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York/"/>
    </mc:Choice>
  </mc:AlternateContent>
  <xr:revisionPtr revIDLastSave="0" documentId="13_ncr:1_{3FD2A7BA-EC7C-7E4C-8BB0-623C357A01AA}" xr6:coauthVersionLast="47" xr6:coauthVersionMax="47" xr10:uidLastSave="{00000000-0000-0000-0000-000000000000}"/>
  <bookViews>
    <workbookView xWindow="0" yWindow="780" windowWidth="24720" windowHeight="20160" xr2:uid="{3E7FEB7C-9B60-7441-B516-249DBB407178}"/>
  </bookViews>
  <sheets>
    <sheet name="Summary" sheetId="11" r:id="rId1"/>
    <sheet name="GASB 68 Data --&gt;" sheetId="10" r:id="rId2"/>
    <sheet name="2015" sheetId="1" r:id="rId3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  <sheet name="2022" sheetId="8" r:id="rId10"/>
    <sheet name="2023" sheetId="9" r:id="rId11"/>
    <sheet name="NY Identifiers &amp; LEAIDs --&gt;" sheetId="13" r:id="rId12"/>
    <sheet name="All Districts" sheetId="12" r:id="rId13"/>
  </sheets>
  <definedNames>
    <definedName name="_xlnm._FilterDatabase" localSheetId="12" hidden="1">'All Districts'!$A$2:$C$2</definedName>
    <definedName name="_xlnm._FilterDatabase" localSheetId="0" hidden="1">Summary!$A$1:$F$7106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8" i="11" l="1"/>
  <c r="E708" i="11" s="1"/>
  <c r="C798" i="11"/>
  <c r="E798" i="11" s="1"/>
  <c r="C888" i="11"/>
  <c r="E888" i="11" s="1"/>
  <c r="C924" i="11"/>
  <c r="E924" i="11" s="1"/>
  <c r="C1041" i="11"/>
  <c r="E1041" i="11" s="1"/>
  <c r="C1239" i="11"/>
  <c r="E1239" i="11" s="1"/>
  <c r="C1338" i="11"/>
  <c r="E1338" i="11" s="1"/>
  <c r="C1743" i="11"/>
  <c r="E1743" i="11" s="1"/>
  <c r="C21" i="11"/>
  <c r="E21" i="11" s="1"/>
  <c r="C1833" i="11"/>
  <c r="E1833" i="11" s="1"/>
  <c r="C2022" i="11"/>
  <c r="E2022" i="11" s="1"/>
  <c r="C2265" i="11"/>
  <c r="E2265" i="11" s="1"/>
  <c r="C2580" i="11"/>
  <c r="E2580" i="11" s="1"/>
  <c r="C2652" i="11"/>
  <c r="E2652" i="11" s="1"/>
  <c r="C2706" i="11"/>
  <c r="E2706" i="11" s="1"/>
  <c r="C2031" i="11"/>
  <c r="E2031" i="11" s="1"/>
  <c r="C2724" i="11"/>
  <c r="E2724" i="11" s="1"/>
  <c r="C3282" i="11"/>
  <c r="E3282" i="11" s="1"/>
  <c r="C3300" i="11"/>
  <c r="E3300" i="11" s="1"/>
  <c r="C3417" i="11"/>
  <c r="E3417" i="11" s="1"/>
  <c r="C420" i="11"/>
  <c r="E420" i="11" s="1"/>
  <c r="C3489" i="11"/>
  <c r="E3489" i="11" s="1"/>
  <c r="C3561" i="11"/>
  <c r="E3561" i="11" s="1"/>
  <c r="C3597" i="11"/>
  <c r="E3597" i="11" s="1"/>
  <c r="C3750" i="11"/>
  <c r="E3750" i="11" s="1"/>
  <c r="C3795" i="11"/>
  <c r="E3795" i="11" s="1"/>
  <c r="C3813" i="11"/>
  <c r="E3813" i="11" s="1"/>
  <c r="C4074" i="11"/>
  <c r="E4074" i="11" s="1"/>
  <c r="C4137" i="11"/>
  <c r="E4137" i="11" s="1"/>
  <c r="C4344" i="11"/>
  <c r="E4344" i="11" s="1"/>
  <c r="C4416" i="11"/>
  <c r="E4416" i="11" s="1"/>
  <c r="C4470" i="11"/>
  <c r="E4470" i="11" s="1"/>
  <c r="C4515" i="11"/>
  <c r="E4515" i="11" s="1"/>
  <c r="C4632" i="11"/>
  <c r="E4632" i="11" s="1"/>
  <c r="C4686" i="11"/>
  <c r="E4686" i="11" s="1"/>
  <c r="C4740" i="11"/>
  <c r="E4740" i="11" s="1"/>
  <c r="C4749" i="11"/>
  <c r="E4749" i="11" s="1"/>
  <c r="C4758" i="11"/>
  <c r="E4758" i="11" s="1"/>
  <c r="C4776" i="11"/>
  <c r="E4776" i="11" s="1"/>
  <c r="C528" i="11"/>
  <c r="E528" i="11" s="1"/>
  <c r="C4983" i="11"/>
  <c r="E4983" i="11" s="1"/>
  <c r="C5118" i="11"/>
  <c r="E5118" i="11" s="1"/>
  <c r="C5181" i="11"/>
  <c r="E5181" i="11" s="1"/>
  <c r="C5217" i="11"/>
  <c r="E5217" i="11" s="1"/>
  <c r="C5352" i="11"/>
  <c r="E5352" i="11" s="1"/>
  <c r="C5406" i="11"/>
  <c r="E5406" i="11" s="1"/>
  <c r="C5442" i="11"/>
  <c r="E5442" i="11" s="1"/>
  <c r="C5532" i="11"/>
  <c r="E5532" i="11" s="1"/>
  <c r="C5586" i="11"/>
  <c r="E5586" i="11" s="1"/>
  <c r="C5640" i="11"/>
  <c r="E5640" i="11" s="1"/>
  <c r="C5694" i="11"/>
  <c r="E5694" i="11" s="1"/>
  <c r="C336" i="11"/>
  <c r="E336" i="11" s="1"/>
  <c r="C6189" i="11"/>
  <c r="E6189" i="11" s="1"/>
  <c r="C6270" i="11"/>
  <c r="E6270" i="11" s="1"/>
  <c r="C6297" i="11"/>
  <c r="E6297" i="11" s="1"/>
  <c r="C6387" i="11"/>
  <c r="E6387" i="11" s="1"/>
  <c r="C6594" i="11"/>
  <c r="E6594" i="11" s="1"/>
  <c r="C6612" i="11"/>
  <c r="E6612" i="11" s="1"/>
  <c r="C6873" i="11"/>
  <c r="E6873" i="11" s="1"/>
  <c r="C7017" i="11"/>
  <c r="E7017" i="11" s="1"/>
  <c r="C618" i="11"/>
  <c r="E618" i="11" s="1"/>
  <c r="C627" i="11"/>
  <c r="E627" i="11" s="1"/>
  <c r="C699" i="11"/>
  <c r="E699" i="11" s="1"/>
  <c r="C744" i="11"/>
  <c r="E744" i="11" s="1"/>
  <c r="C690" i="11"/>
  <c r="E690" i="11" s="1"/>
  <c r="C771" i="11"/>
  <c r="E771" i="11" s="1"/>
  <c r="C780" i="11"/>
  <c r="E780" i="11" s="1"/>
  <c r="C807" i="11"/>
  <c r="E807" i="11" s="1"/>
  <c r="C384" i="11"/>
  <c r="E384" i="11" s="1"/>
  <c r="C834" i="11"/>
  <c r="E834" i="11" s="1"/>
  <c r="C852" i="11"/>
  <c r="E852" i="11" s="1"/>
  <c r="C861" i="11"/>
  <c r="E861" i="11" s="1"/>
  <c r="C870" i="11"/>
  <c r="E870" i="11" s="1"/>
  <c r="C897" i="11"/>
  <c r="E897" i="11" s="1"/>
  <c r="C906" i="11"/>
  <c r="E906" i="11" s="1"/>
  <c r="C951" i="11"/>
  <c r="E951" i="11" s="1"/>
  <c r="C1032" i="11"/>
  <c r="E1032" i="11" s="1"/>
  <c r="C1023" i="11"/>
  <c r="E1023" i="11" s="1"/>
  <c r="C1104" i="11"/>
  <c r="E1104" i="11" s="1"/>
  <c r="C1113" i="11"/>
  <c r="E1113" i="11" s="1"/>
  <c r="C1140" i="11"/>
  <c r="E1140" i="11" s="1"/>
  <c r="C1167" i="11"/>
  <c r="E1167" i="11" s="1"/>
  <c r="C1185" i="11"/>
  <c r="E1185" i="11" s="1"/>
  <c r="C1257" i="11"/>
  <c r="E1257" i="11" s="1"/>
  <c r="C1266" i="11"/>
  <c r="E1266" i="11" s="1"/>
  <c r="C1410" i="11"/>
  <c r="E1410" i="11" s="1"/>
  <c r="C6720" i="11"/>
  <c r="E6720" i="11" s="1"/>
  <c r="C1356" i="11"/>
  <c r="E1356" i="11" s="1"/>
  <c r="C1473" i="11"/>
  <c r="E1473" i="11" s="1"/>
  <c r="C1581" i="11"/>
  <c r="E1581" i="11" s="1"/>
  <c r="C1383" i="11"/>
  <c r="E1383" i="11" s="1"/>
  <c r="C1653" i="11"/>
  <c r="E1653" i="11" s="1"/>
  <c r="C1392" i="11"/>
  <c r="E1392" i="11" s="1"/>
  <c r="C1401" i="11"/>
  <c r="E1401" i="11" s="1"/>
  <c r="C1491" i="11"/>
  <c r="E1491" i="11" s="1"/>
  <c r="C1779" i="11"/>
  <c r="E1779" i="11" s="1"/>
  <c r="C1608" i="11"/>
  <c r="E1608" i="11" s="1"/>
  <c r="C1437" i="11"/>
  <c r="E1437" i="11" s="1"/>
  <c r="C1617" i="11"/>
  <c r="E1617" i="11" s="1"/>
  <c r="C1644" i="11"/>
  <c r="E1644" i="11" s="1"/>
  <c r="C1500" i="11"/>
  <c r="E1500" i="11" s="1"/>
  <c r="C1752" i="11"/>
  <c r="E1752" i="11" s="1"/>
  <c r="C1518" i="11"/>
  <c r="E1518" i="11" s="1"/>
  <c r="C1671" i="11"/>
  <c r="E1671" i="11" s="1"/>
  <c r="C402" i="11"/>
  <c r="E402" i="11" s="1"/>
  <c r="C1770" i="11"/>
  <c r="E1770" i="11" s="1"/>
  <c r="C1806" i="11"/>
  <c r="E1806" i="11" s="1"/>
  <c r="C1887" i="11"/>
  <c r="E1887" i="11" s="1"/>
  <c r="C1734" i="11"/>
  <c r="E1734" i="11" s="1"/>
  <c r="C1374" i="11"/>
  <c r="E1374" i="11" s="1"/>
  <c r="C1851" i="11"/>
  <c r="E1851" i="11" s="1"/>
  <c r="C30" i="11"/>
  <c r="E30" i="11" s="1"/>
  <c r="C1932" i="11"/>
  <c r="E1932" i="11" s="1"/>
  <c r="C1905" i="11"/>
  <c r="E1905" i="11" s="1"/>
  <c r="C3426" i="11"/>
  <c r="E3426" i="11" s="1"/>
  <c r="C1959" i="11"/>
  <c r="E1959" i="11" s="1"/>
  <c r="C1995" i="11"/>
  <c r="E1995" i="11" s="1"/>
  <c r="C2040" i="11"/>
  <c r="E2040" i="11" s="1"/>
  <c r="C2049" i="11"/>
  <c r="E2049" i="11" s="1"/>
  <c r="C2067" i="11"/>
  <c r="E2067" i="11" s="1"/>
  <c r="C2076" i="11"/>
  <c r="E2076" i="11" s="1"/>
  <c r="C2085" i="11"/>
  <c r="E2085" i="11" s="1"/>
  <c r="C2121" i="11"/>
  <c r="E2121" i="11" s="1"/>
  <c r="C2130" i="11"/>
  <c r="E2130" i="11" s="1"/>
  <c r="C2139" i="11"/>
  <c r="E2139" i="11" s="1"/>
  <c r="C2148" i="11"/>
  <c r="E2148" i="11" s="1"/>
  <c r="C2157" i="11"/>
  <c r="E2157" i="11" s="1"/>
  <c r="C2175" i="11"/>
  <c r="E2175" i="11" s="1"/>
  <c r="C2184" i="11"/>
  <c r="E2184" i="11" s="1"/>
  <c r="C2193" i="11"/>
  <c r="E2193" i="11" s="1"/>
  <c r="C2247" i="11"/>
  <c r="E2247" i="11" s="1"/>
  <c r="C2274" i="11"/>
  <c r="E2274" i="11" s="1"/>
  <c r="C6369" i="11"/>
  <c r="E6369" i="11" s="1"/>
  <c r="C2355" i="11"/>
  <c r="E2355" i="11" s="1"/>
  <c r="C2373" i="11"/>
  <c r="E2373" i="11" s="1"/>
  <c r="C2382" i="11"/>
  <c r="E2382" i="11" s="1"/>
  <c r="C2490" i="11"/>
  <c r="E2490" i="11" s="1"/>
  <c r="C2535" i="11"/>
  <c r="E2535" i="11" s="1"/>
  <c r="C2544" i="11"/>
  <c r="E2544" i="11" s="1"/>
  <c r="C2571" i="11"/>
  <c r="E2571" i="11" s="1"/>
  <c r="C2607" i="11"/>
  <c r="E2607" i="11" s="1"/>
  <c r="C2625" i="11"/>
  <c r="E2625" i="11" s="1"/>
  <c r="C2751" i="11"/>
  <c r="E2751" i="11" s="1"/>
  <c r="C2760" i="11"/>
  <c r="E2760" i="11" s="1"/>
  <c r="C2769" i="11"/>
  <c r="E2769" i="11" s="1"/>
  <c r="C2787" i="11"/>
  <c r="E2787" i="11" s="1"/>
  <c r="C2796" i="11"/>
  <c r="E2796" i="11" s="1"/>
  <c r="C2805" i="11"/>
  <c r="E2805" i="11" s="1"/>
  <c r="C6081" i="11"/>
  <c r="E6081" i="11" s="1"/>
  <c r="C2814" i="11"/>
  <c r="E2814" i="11" s="1"/>
  <c r="C2904" i="11"/>
  <c r="E2904" i="11" s="1"/>
  <c r="C2931" i="11"/>
  <c r="E2931" i="11" s="1"/>
  <c r="C2940" i="11"/>
  <c r="E2940" i="11" s="1"/>
  <c r="C3012" i="11"/>
  <c r="E3012" i="11" s="1"/>
  <c r="C3030" i="11"/>
  <c r="E3030" i="11" s="1"/>
  <c r="C3057" i="11"/>
  <c r="E3057" i="11" s="1"/>
  <c r="C3066" i="11"/>
  <c r="E3066" i="11" s="1"/>
  <c r="C3075" i="11"/>
  <c r="E3075" i="11" s="1"/>
  <c r="C3093" i="11"/>
  <c r="E3093" i="11" s="1"/>
  <c r="C3102" i="11"/>
  <c r="E3102" i="11" s="1"/>
  <c r="C3111" i="11"/>
  <c r="E3111" i="11" s="1"/>
  <c r="C3192" i="11"/>
  <c r="E3192" i="11" s="1"/>
  <c r="C3165" i="11"/>
  <c r="E3165" i="11" s="1"/>
  <c r="C3273" i="11"/>
  <c r="E3273" i="11" s="1"/>
  <c r="C3237" i="11"/>
  <c r="E3237" i="11" s="1"/>
  <c r="C3255" i="11"/>
  <c r="E3255" i="11" s="1"/>
  <c r="C3219" i="11"/>
  <c r="E3219" i="11" s="1"/>
  <c r="C3291" i="11"/>
  <c r="E3291" i="11" s="1"/>
  <c r="C3309" i="11"/>
  <c r="E3309" i="11" s="1"/>
  <c r="C3327" i="11"/>
  <c r="E3327" i="11" s="1"/>
  <c r="C3336" i="11"/>
  <c r="E3336" i="11" s="1"/>
  <c r="C3354" i="11"/>
  <c r="E3354" i="11" s="1"/>
  <c r="C1509" i="11"/>
  <c r="E1509" i="11" s="1"/>
  <c r="C6738" i="11"/>
  <c r="E6738" i="11" s="1"/>
  <c r="C3372" i="11"/>
  <c r="E3372" i="11" s="1"/>
  <c r="C3399" i="11"/>
  <c r="E3399" i="11" s="1"/>
  <c r="C3462" i="11"/>
  <c r="E3462" i="11" s="1"/>
  <c r="C3480" i="11"/>
  <c r="E3480" i="11" s="1"/>
  <c r="C3498" i="11"/>
  <c r="E3498" i="11" s="1"/>
  <c r="C3507" i="11"/>
  <c r="E3507" i="11" s="1"/>
  <c r="C3534" i="11"/>
  <c r="E3534" i="11" s="1"/>
  <c r="C3552" i="11"/>
  <c r="E3552" i="11" s="1"/>
  <c r="C129" i="11"/>
  <c r="E129" i="11" s="1"/>
  <c r="C3633" i="11"/>
  <c r="E3633" i="11" s="1"/>
  <c r="C3642" i="11"/>
  <c r="E3642" i="11" s="1"/>
  <c r="C3660" i="11"/>
  <c r="E3660" i="11" s="1"/>
  <c r="C3678" i="11"/>
  <c r="E3678" i="11" s="1"/>
  <c r="C3687" i="11"/>
  <c r="E3687" i="11" s="1"/>
  <c r="C3705" i="11"/>
  <c r="E3705" i="11" s="1"/>
  <c r="C3714" i="11"/>
  <c r="E3714" i="11" s="1"/>
  <c r="C3723" i="11"/>
  <c r="E3723" i="11" s="1"/>
  <c r="C3732" i="11"/>
  <c r="E3732" i="11" s="1"/>
  <c r="C3768" i="11"/>
  <c r="E3768" i="11" s="1"/>
  <c r="C3786" i="11"/>
  <c r="E3786" i="11" s="1"/>
  <c r="C3804" i="11"/>
  <c r="E3804" i="11" s="1"/>
  <c r="C3858" i="11"/>
  <c r="E3858" i="11" s="1"/>
  <c r="C3921" i="11"/>
  <c r="E3921" i="11" s="1"/>
  <c r="C3930" i="11"/>
  <c r="E3930" i="11" s="1"/>
  <c r="C3939" i="11"/>
  <c r="E3939" i="11" s="1"/>
  <c r="C3948" i="11"/>
  <c r="E3948" i="11" s="1"/>
  <c r="C3957" i="11"/>
  <c r="E3957" i="11" s="1"/>
  <c r="C3975" i="11"/>
  <c r="E3975" i="11" s="1"/>
  <c r="C2391" i="11"/>
  <c r="E2391" i="11" s="1"/>
  <c r="C3993" i="11"/>
  <c r="E3993" i="11" s="1"/>
  <c r="C1590" i="11"/>
  <c r="E1590" i="11" s="1"/>
  <c r="C2733" i="11"/>
  <c r="E2733" i="11" s="1"/>
  <c r="C4020" i="11"/>
  <c r="E4020" i="11" s="1"/>
  <c r="C4029" i="11"/>
  <c r="E4029" i="11" s="1"/>
  <c r="C4038" i="11"/>
  <c r="E4038" i="11" s="1"/>
  <c r="C4083" i="11"/>
  <c r="E4083" i="11" s="1"/>
  <c r="C4110" i="11"/>
  <c r="E4110" i="11" s="1"/>
  <c r="C3831" i="11"/>
  <c r="E3831" i="11" s="1"/>
  <c r="C4119" i="11"/>
  <c r="E4119" i="11" s="1"/>
  <c r="C4173" i="11"/>
  <c r="E4173" i="11" s="1"/>
  <c r="C5496" i="11"/>
  <c r="E5496" i="11" s="1"/>
  <c r="C4218" i="11"/>
  <c r="E4218" i="11" s="1"/>
  <c r="C6414" i="11"/>
  <c r="E6414" i="11" s="1"/>
  <c r="C4236" i="11"/>
  <c r="E4236" i="11" s="1"/>
  <c r="C4308" i="11"/>
  <c r="E4308" i="11" s="1"/>
  <c r="C942" i="11"/>
  <c r="E942" i="11" s="1"/>
  <c r="C4353" i="11"/>
  <c r="E4353" i="11" s="1"/>
  <c r="C4380" i="11"/>
  <c r="E4380" i="11" s="1"/>
  <c r="C4452" i="11"/>
  <c r="E4452" i="11" s="1"/>
  <c r="C4488" i="11"/>
  <c r="E4488" i="11" s="1"/>
  <c r="C1680" i="11"/>
  <c r="E1680" i="11" s="1"/>
  <c r="C4407" i="11"/>
  <c r="E4407" i="11" s="1"/>
  <c r="C3138" i="11"/>
  <c r="E3138" i="11" s="1"/>
  <c r="C4524" i="11"/>
  <c r="E4524" i="11" s="1"/>
  <c r="C4533" i="11"/>
  <c r="E4533" i="11" s="1"/>
  <c r="C4542" i="11"/>
  <c r="E4542" i="11" s="1"/>
  <c r="C4569" i="11"/>
  <c r="E4569" i="11" s="1"/>
  <c r="C4596" i="11"/>
  <c r="E4596" i="11" s="1"/>
  <c r="C4623" i="11"/>
  <c r="E4623" i="11" s="1"/>
  <c r="C4668" i="11"/>
  <c r="E4668" i="11" s="1"/>
  <c r="C4704" i="11"/>
  <c r="E4704" i="11" s="1"/>
  <c r="C4722" i="11"/>
  <c r="E4722" i="11" s="1"/>
  <c r="C4803" i="11"/>
  <c r="E4803" i="11" s="1"/>
  <c r="C4821" i="11"/>
  <c r="E4821" i="11" s="1"/>
  <c r="C4848" i="11"/>
  <c r="E4848" i="11" s="1"/>
  <c r="C4884" i="11"/>
  <c r="E4884" i="11" s="1"/>
  <c r="C4902" i="11"/>
  <c r="E4902" i="11" s="1"/>
  <c r="C4920" i="11"/>
  <c r="E4920" i="11" s="1"/>
  <c r="C4947" i="11"/>
  <c r="E4947" i="11" s="1"/>
  <c r="C4974" i="11"/>
  <c r="E4974" i="11" s="1"/>
  <c r="C4992" i="11"/>
  <c r="E4992" i="11" s="1"/>
  <c r="C5010" i="11"/>
  <c r="E5010" i="11" s="1"/>
  <c r="C5019" i="11"/>
  <c r="E5019" i="11" s="1"/>
  <c r="C5046" i="11"/>
  <c r="E5046" i="11" s="1"/>
  <c r="C5028" i="11"/>
  <c r="E5028" i="11" s="1"/>
  <c r="C5037" i="11"/>
  <c r="E5037" i="11" s="1"/>
  <c r="C210" i="11"/>
  <c r="E210" i="11" s="1"/>
  <c r="C5055" i="11"/>
  <c r="E5055" i="11" s="1"/>
  <c r="C5091" i="11"/>
  <c r="E5091" i="11" s="1"/>
  <c r="C5100" i="11"/>
  <c r="E5100" i="11" s="1"/>
  <c r="C5064" i="11"/>
  <c r="E5064" i="11" s="1"/>
  <c r="C5109" i="11"/>
  <c r="E5109" i="11" s="1"/>
  <c r="C5127" i="11"/>
  <c r="E5127" i="11" s="1"/>
  <c r="C5163" i="11"/>
  <c r="E5163" i="11" s="1"/>
  <c r="C5190" i="11"/>
  <c r="E5190" i="11" s="1"/>
  <c r="C5208" i="11"/>
  <c r="E5208" i="11" s="1"/>
  <c r="C5262" i="11"/>
  <c r="E5262" i="11" s="1"/>
  <c r="C5325" i="11"/>
  <c r="E5325" i="11" s="1"/>
  <c r="C5424" i="11"/>
  <c r="E5424" i="11" s="1"/>
  <c r="C5469" i="11"/>
  <c r="E5469" i="11" s="1"/>
  <c r="C5487" i="11"/>
  <c r="E5487" i="11" s="1"/>
  <c r="C5514" i="11"/>
  <c r="E5514" i="11" s="1"/>
  <c r="C5460" i="11"/>
  <c r="E5460" i="11" s="1"/>
  <c r="C5523" i="11"/>
  <c r="E5523" i="11" s="1"/>
  <c r="C5541" i="11"/>
  <c r="E5541" i="11" s="1"/>
  <c r="C5550" i="11"/>
  <c r="E5550" i="11" s="1"/>
  <c r="C5622" i="11"/>
  <c r="E5622" i="11" s="1"/>
  <c r="C5631" i="11"/>
  <c r="E5631" i="11" s="1"/>
  <c r="C5649" i="11"/>
  <c r="E5649" i="11" s="1"/>
  <c r="C5667" i="11"/>
  <c r="E5667" i="11" s="1"/>
  <c r="C5676" i="11"/>
  <c r="E5676" i="11" s="1"/>
  <c r="C5685" i="11"/>
  <c r="E5685" i="11" s="1"/>
  <c r="C5766" i="11"/>
  <c r="E5766" i="11" s="1"/>
  <c r="C4614" i="11"/>
  <c r="E4614" i="11" s="1"/>
  <c r="C5775" i="11"/>
  <c r="E5775" i="11" s="1"/>
  <c r="C5307" i="11"/>
  <c r="E5307" i="11" s="1"/>
  <c r="C5784" i="11"/>
  <c r="E5784" i="11" s="1"/>
  <c r="C5820" i="11"/>
  <c r="E5820" i="11" s="1"/>
  <c r="C5856" i="11"/>
  <c r="E5856" i="11" s="1"/>
  <c r="C5874" i="11"/>
  <c r="E5874" i="11" s="1"/>
  <c r="C1599" i="11"/>
  <c r="E1599" i="11" s="1"/>
  <c r="C5883" i="11"/>
  <c r="E5883" i="11" s="1"/>
  <c r="C5892" i="11"/>
  <c r="E5892" i="11" s="1"/>
  <c r="C5901" i="11"/>
  <c r="E5901" i="11" s="1"/>
  <c r="C5910" i="11"/>
  <c r="E5910" i="11" s="1"/>
  <c r="C5928" i="11"/>
  <c r="E5928" i="11" s="1"/>
  <c r="C5937" i="11"/>
  <c r="E5937" i="11" s="1"/>
  <c r="C5955" i="11"/>
  <c r="E5955" i="11" s="1"/>
  <c r="C5991" i="11"/>
  <c r="E5991" i="11" s="1"/>
  <c r="C6009" i="11"/>
  <c r="E6009" i="11" s="1"/>
  <c r="C6063" i="11"/>
  <c r="E6063" i="11" s="1"/>
  <c r="C6036" i="11"/>
  <c r="E6036" i="11" s="1"/>
  <c r="C2112" i="11"/>
  <c r="E2112" i="11" s="1"/>
  <c r="C6117" i="11"/>
  <c r="E6117" i="11" s="1"/>
  <c r="C5280" i="11"/>
  <c r="E5280" i="11" s="1"/>
  <c r="C6162" i="11"/>
  <c r="E6162" i="11" s="1"/>
  <c r="C6171" i="11"/>
  <c r="E6171" i="11" s="1"/>
  <c r="C6180" i="11"/>
  <c r="E6180" i="11" s="1"/>
  <c r="C318" i="11"/>
  <c r="E318" i="11" s="1"/>
  <c r="C6234" i="11"/>
  <c r="E6234" i="11" s="1"/>
  <c r="C6243" i="11"/>
  <c r="E6243" i="11" s="1"/>
  <c r="C474" i="11"/>
  <c r="E474" i="11" s="1"/>
  <c r="C6324" i="11"/>
  <c r="E6324" i="11" s="1"/>
  <c r="C6378" i="11"/>
  <c r="E6378" i="11" s="1"/>
  <c r="C6459" i="11"/>
  <c r="E6459" i="11" s="1"/>
  <c r="C6495" i="11"/>
  <c r="E6495" i="11" s="1"/>
  <c r="C6468" i="11"/>
  <c r="E6468" i="11" s="1"/>
  <c r="C6513" i="11"/>
  <c r="E6513" i="11" s="1"/>
  <c r="C6522" i="11"/>
  <c r="E6522" i="11" s="1"/>
  <c r="C6549" i="11"/>
  <c r="E6549" i="11" s="1"/>
  <c r="C6567" i="11"/>
  <c r="E6567" i="11" s="1"/>
  <c r="C6477" i="11"/>
  <c r="E6477" i="11" s="1"/>
  <c r="C6405" i="11"/>
  <c r="E6405" i="11" s="1"/>
  <c r="C6576" i="11"/>
  <c r="E6576" i="11" s="1"/>
  <c r="C6585" i="11"/>
  <c r="E6585" i="11" s="1"/>
  <c r="C6621" i="11"/>
  <c r="E6621" i="11" s="1"/>
  <c r="C6630" i="11"/>
  <c r="E6630" i="11" s="1"/>
  <c r="C6648" i="11"/>
  <c r="E6648" i="11" s="1"/>
  <c r="C6657" i="11"/>
  <c r="E6657" i="11" s="1"/>
  <c r="C6684" i="11"/>
  <c r="E6684" i="11" s="1"/>
  <c r="C6729" i="11"/>
  <c r="E6729" i="11" s="1"/>
  <c r="C6828" i="11"/>
  <c r="E6828" i="11" s="1"/>
  <c r="C6747" i="11"/>
  <c r="E6747" i="11" s="1"/>
  <c r="C6756" i="11"/>
  <c r="E6756" i="11" s="1"/>
  <c r="C6693" i="11"/>
  <c r="E6693" i="11" s="1"/>
  <c r="C4371" i="11"/>
  <c r="E4371" i="11" s="1"/>
  <c r="C6909" i="11"/>
  <c r="E6909" i="11" s="1"/>
  <c r="C6891" i="11"/>
  <c r="E6891" i="11" s="1"/>
  <c r="C6882" i="11"/>
  <c r="E6882" i="11" s="1"/>
  <c r="C6936" i="11"/>
  <c r="E6936" i="11" s="1"/>
  <c r="C6954" i="11"/>
  <c r="E6954" i="11" s="1"/>
  <c r="C6972" i="11"/>
  <c r="E6972" i="11" s="1"/>
  <c r="C6918" i="11"/>
  <c r="E6918" i="11" s="1"/>
  <c r="C3156" i="11"/>
  <c r="E3156" i="11" s="1"/>
  <c r="C7035" i="11"/>
  <c r="E7035" i="11" s="1"/>
  <c r="C1014" i="11"/>
  <c r="E1014" i="11" s="1"/>
  <c r="C5802" i="11"/>
  <c r="E5802" i="11" s="1"/>
  <c r="C4128" i="11"/>
  <c r="E4128" i="11" s="1"/>
  <c r="C5721" i="11"/>
  <c r="E5721" i="11" s="1"/>
  <c r="C2004" i="11"/>
  <c r="E2004" i="11" s="1"/>
  <c r="C4092" i="11"/>
  <c r="E4092" i="11" s="1"/>
  <c r="C1869" i="11"/>
  <c r="E1869" i="11" s="1"/>
  <c r="C2562" i="11"/>
  <c r="E2562" i="11" s="1"/>
  <c r="C6900" i="11"/>
  <c r="E6900" i="11" s="1"/>
  <c r="C5757" i="11"/>
  <c r="E5757" i="11" s="1"/>
  <c r="C1068" i="11"/>
  <c r="E1068" i="11" s="1"/>
  <c r="C726" i="11"/>
  <c r="E726" i="11" s="1"/>
  <c r="C960" i="11"/>
  <c r="E960" i="11" s="1"/>
  <c r="C4857" i="11"/>
  <c r="E4857" i="11" s="1"/>
  <c r="C2400" i="11"/>
  <c r="E2400" i="11" s="1"/>
  <c r="C3021" i="11"/>
  <c r="E3021" i="11" s="1"/>
  <c r="C1941" i="11"/>
  <c r="E1941" i="11" s="1"/>
  <c r="C4461" i="11"/>
  <c r="E4461" i="11" s="1"/>
  <c r="C6252" i="11"/>
  <c r="E6252" i="11" s="1"/>
  <c r="C3201" i="11"/>
  <c r="E3201" i="11" s="1"/>
  <c r="C5199" i="11"/>
  <c r="E5199" i="11" s="1"/>
  <c r="C2526" i="11"/>
  <c r="E2526" i="11" s="1"/>
  <c r="C1455" i="11"/>
  <c r="E1455" i="11" s="1"/>
  <c r="C6765" i="11"/>
  <c r="E6765" i="11" s="1"/>
  <c r="C663" i="11"/>
  <c r="E663" i="11" s="1"/>
  <c r="C2256" i="11"/>
  <c r="E2256" i="11" s="1"/>
  <c r="C5289" i="11"/>
  <c r="E5289" i="11" s="1"/>
  <c r="C5298" i="11"/>
  <c r="E5298" i="11" s="1"/>
  <c r="C6666" i="11"/>
  <c r="E6666" i="11" s="1"/>
  <c r="C1428" i="11"/>
  <c r="E1428" i="11" s="1"/>
  <c r="C6018" i="11"/>
  <c r="E6018" i="11" s="1"/>
  <c r="C5154" i="11"/>
  <c r="E5154" i="11" s="1"/>
  <c r="C4245" i="11"/>
  <c r="E4245" i="11" s="1"/>
  <c r="C6360" i="11"/>
  <c r="E6360" i="11" s="1"/>
  <c r="C1563" i="11"/>
  <c r="E1563" i="11" s="1"/>
  <c r="C1725" i="11"/>
  <c r="E1725" i="11" s="1"/>
  <c r="C4929" i="11"/>
  <c r="E4929" i="11" s="1"/>
  <c r="C1176" i="11"/>
  <c r="E1176" i="11" s="1"/>
  <c r="C5388" i="11"/>
  <c r="E5388" i="11" s="1"/>
  <c r="C5838" i="11"/>
  <c r="E5838" i="11" s="1"/>
  <c r="C6810" i="11"/>
  <c r="E6810" i="11" s="1"/>
  <c r="C2553" i="11"/>
  <c r="E2553" i="11" s="1"/>
  <c r="C1419" i="11"/>
  <c r="E1419" i="11" s="1"/>
  <c r="C5082" i="11"/>
  <c r="E5082" i="11" s="1"/>
  <c r="C996" i="11"/>
  <c r="E996" i="11" s="1"/>
  <c r="C2364" i="11"/>
  <c r="E2364" i="11" s="1"/>
  <c r="C5865" i="11"/>
  <c r="E5865" i="11" s="1"/>
  <c r="C2454" i="11"/>
  <c r="E2454" i="11" s="1"/>
  <c r="C4650" i="11"/>
  <c r="E4650" i="11" s="1"/>
  <c r="C1572" i="11"/>
  <c r="E1572" i="11" s="1"/>
  <c r="C4659" i="11"/>
  <c r="E4659" i="11" s="1"/>
  <c r="C789" i="11"/>
  <c r="E789" i="11" s="1"/>
  <c r="C6945" i="11"/>
  <c r="E6945" i="11" s="1"/>
  <c r="C1860" i="11"/>
  <c r="E1860" i="11" s="1"/>
  <c r="C4254" i="11"/>
  <c r="E4254" i="11" s="1"/>
  <c r="C5730" i="11"/>
  <c r="E5730" i="11" s="1"/>
  <c r="C5235" i="11"/>
  <c r="E5235" i="11" s="1"/>
  <c r="C354" i="11"/>
  <c r="E354" i="11" s="1"/>
  <c r="C3516" i="11"/>
  <c r="E3516" i="11" s="1"/>
  <c r="C355" i="11"/>
  <c r="E355" i="11" s="1"/>
  <c r="C1662" i="11"/>
  <c r="E1662" i="11" s="1"/>
  <c r="C4065" i="11"/>
  <c r="E4065" i="11" s="1"/>
  <c r="C1896" i="11"/>
  <c r="E1896" i="11" s="1"/>
  <c r="C3984" i="11"/>
  <c r="E3984" i="11" s="1"/>
  <c r="C2499" i="11"/>
  <c r="E2499" i="11" s="1"/>
  <c r="C582" i="11"/>
  <c r="E582" i="11" s="1"/>
  <c r="C843" i="11"/>
  <c r="E843" i="11" s="1"/>
  <c r="C4866" i="11"/>
  <c r="E4866" i="11" s="1"/>
  <c r="C1986" i="11"/>
  <c r="E1986" i="11" s="1"/>
  <c r="C1914" i="11"/>
  <c r="E1914" i="11" s="1"/>
  <c r="C2994" i="11"/>
  <c r="E2994" i="11" s="1"/>
  <c r="C6504" i="11"/>
  <c r="E6504" i="11" s="1"/>
  <c r="C2850" i="11"/>
  <c r="E2850" i="11" s="1"/>
  <c r="C6351" i="11"/>
  <c r="E6351" i="11" s="1"/>
  <c r="C2670" i="11"/>
  <c r="E2670" i="11" s="1"/>
  <c r="C4893" i="11"/>
  <c r="E4893" i="11" s="1"/>
  <c r="C5829" i="11"/>
  <c r="E5829" i="11" s="1"/>
  <c r="C2688" i="11"/>
  <c r="E2688" i="11" s="1"/>
  <c r="C1977" i="11"/>
  <c r="E1977" i="11" s="1"/>
  <c r="C345" i="11"/>
  <c r="E345" i="11" s="1"/>
  <c r="C4965" i="11"/>
  <c r="E4965" i="11" s="1"/>
  <c r="C5073" i="11"/>
  <c r="E5073" i="11" s="1"/>
  <c r="C6045" i="11"/>
  <c r="E6045" i="11" s="1"/>
  <c r="C5370" i="11"/>
  <c r="E5370" i="11" s="1"/>
  <c r="C4155" i="11"/>
  <c r="E4155" i="11" s="1"/>
  <c r="C591" i="11"/>
  <c r="E591" i="11" s="1"/>
  <c r="C1689" i="11"/>
  <c r="E1689" i="11" s="1"/>
  <c r="C3210" i="11"/>
  <c r="E3210" i="11" s="1"/>
  <c r="C4560" i="11"/>
  <c r="E4560" i="11" s="1"/>
  <c r="C1545" i="11"/>
  <c r="E1545" i="11" s="1"/>
  <c r="C1230" i="11"/>
  <c r="E1230" i="11" s="1"/>
  <c r="C6099" i="11"/>
  <c r="E6099" i="11" s="1"/>
  <c r="C5604" i="11"/>
  <c r="E5604" i="11" s="1"/>
  <c r="C3615" i="11"/>
  <c r="E3615" i="11" s="1"/>
  <c r="C3822" i="11"/>
  <c r="E3822" i="11" s="1"/>
  <c r="C1275" i="11"/>
  <c r="E1275" i="11" s="1"/>
  <c r="C2229" i="11"/>
  <c r="E2229" i="11" s="1"/>
  <c r="C4713" i="11"/>
  <c r="E4713" i="11" s="1"/>
  <c r="C4956" i="11"/>
  <c r="E4956" i="11" s="1"/>
  <c r="C5001" i="11"/>
  <c r="E5001" i="11" s="1"/>
  <c r="C636" i="11"/>
  <c r="E636" i="11" s="1"/>
  <c r="C7008" i="11"/>
  <c r="E7008" i="11" s="1"/>
  <c r="C3318" i="11"/>
  <c r="E3318" i="11" s="1"/>
  <c r="C6963" i="11"/>
  <c r="E6963" i="11" s="1"/>
  <c r="C1527" i="11"/>
  <c r="E1527" i="11" s="1"/>
  <c r="C717" i="11"/>
  <c r="E717" i="11" s="1"/>
  <c r="C4002" i="11"/>
  <c r="E4002" i="11" s="1"/>
  <c r="C5505" i="11"/>
  <c r="E5505" i="11" s="1"/>
  <c r="C6108" i="11"/>
  <c r="E6108" i="11" s="1"/>
  <c r="C5973" i="11"/>
  <c r="E5973" i="11" s="1"/>
  <c r="C438" i="11"/>
  <c r="E438" i="11" s="1"/>
  <c r="C2697" i="11"/>
  <c r="E2697" i="11" s="1"/>
  <c r="C1626" i="11"/>
  <c r="E1626" i="11" s="1"/>
  <c r="C2211" i="11"/>
  <c r="E2211" i="11" s="1"/>
  <c r="C1788" i="11"/>
  <c r="E1788" i="11" s="1"/>
  <c r="C4146" i="11"/>
  <c r="E4146" i="11" s="1"/>
  <c r="C3669" i="11"/>
  <c r="E3669" i="11" s="1"/>
  <c r="C4263" i="11"/>
  <c r="E4263" i="11" s="1"/>
  <c r="C6981" i="11"/>
  <c r="E6981" i="11" s="1"/>
  <c r="C5703" i="11"/>
  <c r="E5703" i="11" s="1"/>
  <c r="C7100" i="11"/>
  <c r="E7100" i="11" s="1"/>
  <c r="C3624" i="11"/>
  <c r="E3624" i="11" s="1"/>
  <c r="C6675" i="11"/>
  <c r="E6675" i="11" s="1"/>
  <c r="C2202" i="11"/>
  <c r="E2202" i="11" s="1"/>
  <c r="C1158" i="11"/>
  <c r="E1158" i="11" s="1"/>
  <c r="C6864" i="11"/>
  <c r="E6864" i="11" s="1"/>
  <c r="C4056" i="11"/>
  <c r="E4056" i="11" s="1"/>
  <c r="C4677" i="11"/>
  <c r="E4677" i="11" s="1"/>
  <c r="C1329" i="11"/>
  <c r="E1329" i="11" s="1"/>
  <c r="C2445" i="11"/>
  <c r="E2445" i="11" s="1"/>
  <c r="C2481" i="11"/>
  <c r="E2481" i="11" s="1"/>
  <c r="C1968" i="11"/>
  <c r="E1968" i="11" s="1"/>
  <c r="C201" i="11"/>
  <c r="E201" i="11" s="1"/>
  <c r="C4290" i="11"/>
  <c r="E4290" i="11" s="1"/>
  <c r="C6711" i="11"/>
  <c r="E6711" i="11" s="1"/>
  <c r="C5145" i="11"/>
  <c r="E5145" i="11" s="1"/>
  <c r="C5379" i="11"/>
  <c r="E5379" i="11" s="1"/>
  <c r="C356" i="11"/>
  <c r="E356" i="11" s="1"/>
  <c r="C645" i="11"/>
  <c r="E645" i="11" s="1"/>
  <c r="C3579" i="11"/>
  <c r="E3579" i="11" s="1"/>
  <c r="C3363" i="11"/>
  <c r="E3363" i="11" s="1"/>
  <c r="C5964" i="11"/>
  <c r="E5964" i="11" s="1"/>
  <c r="C2634" i="11"/>
  <c r="E2634" i="11" s="1"/>
  <c r="C6225" i="11"/>
  <c r="E6225" i="11" s="1"/>
  <c r="C969" i="11"/>
  <c r="E969" i="11" s="1"/>
  <c r="C5559" i="11"/>
  <c r="E5559" i="11" s="1"/>
  <c r="C3849" i="11"/>
  <c r="E3849" i="11" s="1"/>
  <c r="C1797" i="11"/>
  <c r="E1797" i="11" s="1"/>
  <c r="C3840" i="11"/>
  <c r="E3840" i="11" s="1"/>
  <c r="C5982" i="11"/>
  <c r="E5982" i="11" s="1"/>
  <c r="C933" i="11"/>
  <c r="E933" i="11" s="1"/>
  <c r="C6279" i="11"/>
  <c r="E6279" i="11" s="1"/>
  <c r="C825" i="11"/>
  <c r="E825" i="11" s="1"/>
  <c r="C1293" i="11"/>
  <c r="E1293" i="11" s="1"/>
  <c r="C2643" i="11"/>
  <c r="E2643" i="11" s="1"/>
  <c r="C4299" i="11"/>
  <c r="E4299" i="11" s="1"/>
  <c r="C7026" i="11"/>
  <c r="E7026" i="11" s="1"/>
  <c r="C1878" i="11"/>
  <c r="E1878" i="11" s="1"/>
  <c r="C6639" i="11"/>
  <c r="E6639" i="11" s="1"/>
  <c r="C3696" i="11"/>
  <c r="E3696" i="11" s="1"/>
  <c r="C6540" i="11"/>
  <c r="E6540" i="11" s="1"/>
  <c r="C4281" i="11"/>
  <c r="E4281" i="11" s="1"/>
  <c r="C2949" i="11"/>
  <c r="E2949" i="11" s="1"/>
  <c r="C3894" i="11"/>
  <c r="E3894" i="11" s="1"/>
  <c r="C6135" i="11"/>
  <c r="E6135" i="11" s="1"/>
  <c r="C1311" i="11"/>
  <c r="E1311" i="11" s="1"/>
  <c r="C6855" i="11"/>
  <c r="E6855" i="11" s="1"/>
  <c r="C3525" i="11"/>
  <c r="E3525" i="11" s="1"/>
  <c r="C3228" i="11"/>
  <c r="E3228" i="11" s="1"/>
  <c r="C4389" i="11"/>
  <c r="E4389" i="11" s="1"/>
  <c r="C4551" i="11"/>
  <c r="E4551" i="11" s="1"/>
  <c r="C978" i="11"/>
  <c r="E978" i="11" s="1"/>
  <c r="C6432" i="11"/>
  <c r="E6432" i="11" s="1"/>
  <c r="C2283" i="11"/>
  <c r="E2283" i="11" s="1"/>
  <c r="C2508" i="11"/>
  <c r="E2508" i="11" s="1"/>
  <c r="C2427" i="11"/>
  <c r="E2427" i="11" s="1"/>
  <c r="C6441" i="11"/>
  <c r="E6441" i="11" s="1"/>
  <c r="C4101" i="11"/>
  <c r="E4101" i="11" s="1"/>
  <c r="C4587" i="11"/>
  <c r="E4587" i="11" s="1"/>
  <c r="C6450" i="11"/>
  <c r="E6450" i="11" s="1"/>
  <c r="C3390" i="11"/>
  <c r="E3390" i="11" s="1"/>
  <c r="C6423" i="11"/>
  <c r="E6423" i="11" s="1"/>
  <c r="C5793" i="11"/>
  <c r="E5793" i="11" s="1"/>
  <c r="C987" i="11"/>
  <c r="E987" i="11" s="1"/>
  <c r="C4443" i="11"/>
  <c r="E4443" i="11" s="1"/>
  <c r="C4830" i="11"/>
  <c r="E4830" i="11" s="1"/>
  <c r="C1194" i="11"/>
  <c r="E1194" i="11" s="1"/>
  <c r="C5658" i="11"/>
  <c r="E5658" i="11" s="1"/>
  <c r="C6603" i="11"/>
  <c r="E6603" i="11" s="1"/>
  <c r="C6846" i="11"/>
  <c r="E6846" i="11" s="1"/>
  <c r="C5334" i="11"/>
  <c r="E5334" i="11" s="1"/>
  <c r="C2346" i="11"/>
  <c r="E2346" i="11" s="1"/>
  <c r="C3588" i="11"/>
  <c r="E3588" i="11" s="1"/>
  <c r="C456" i="11"/>
  <c r="E456" i="11" s="1"/>
  <c r="C6315" i="11"/>
  <c r="E6315" i="11" s="1"/>
  <c r="C3867" i="11"/>
  <c r="E3867" i="11" s="1"/>
  <c r="C1059" i="11"/>
  <c r="E1059" i="11" s="1"/>
  <c r="C3966" i="11"/>
  <c r="E3966" i="11" s="1"/>
  <c r="C3246" i="11"/>
  <c r="E3246" i="11" s="1"/>
  <c r="C2013" i="11"/>
  <c r="E2013" i="11" s="1"/>
  <c r="C4362" i="11"/>
  <c r="E4362" i="11" s="1"/>
  <c r="C5451" i="11"/>
  <c r="E5451" i="11" s="1"/>
  <c r="C1716" i="11"/>
  <c r="E1716" i="11" s="1"/>
  <c r="C3885" i="11"/>
  <c r="E3885" i="11" s="1"/>
  <c r="C5316" i="11"/>
  <c r="E5316" i="11" s="1"/>
  <c r="C4011" i="11"/>
  <c r="E4011" i="11" s="1"/>
  <c r="C6927" i="11"/>
  <c r="E6927" i="11" s="1"/>
  <c r="C2598" i="11"/>
  <c r="E2598" i="11" s="1"/>
  <c r="C3183" i="11"/>
  <c r="E3183" i="11" s="1"/>
  <c r="C6333" i="11"/>
  <c r="E6333" i="11" s="1"/>
  <c r="C3570" i="11"/>
  <c r="E3570" i="11" s="1"/>
  <c r="C1635" i="11"/>
  <c r="E1635" i="11" s="1"/>
  <c r="C2742" i="11"/>
  <c r="E2742" i="11" s="1"/>
  <c r="C4191" i="11"/>
  <c r="E4191" i="11" s="1"/>
  <c r="C2886" i="11"/>
  <c r="E2886" i="11" s="1"/>
  <c r="C2436" i="11"/>
  <c r="E2436" i="11" s="1"/>
  <c r="C879" i="11"/>
  <c r="E879" i="11" s="1"/>
  <c r="C3876" i="11"/>
  <c r="E3876" i="11" s="1"/>
  <c r="C672" i="11"/>
  <c r="E672" i="11" s="1"/>
  <c r="C219" i="11"/>
  <c r="E219" i="11" s="1"/>
  <c r="C5613" i="11"/>
  <c r="E5613" i="11" s="1"/>
  <c r="C3003" i="11"/>
  <c r="E3003" i="11" s="1"/>
  <c r="C2922" i="11"/>
  <c r="E2922" i="11" s="1"/>
  <c r="C2616" i="11"/>
  <c r="E2616" i="11" s="1"/>
  <c r="C5244" i="11"/>
  <c r="E5244" i="11" s="1"/>
  <c r="C4605" i="11"/>
  <c r="E4605" i="11" s="1"/>
  <c r="C1122" i="11"/>
  <c r="E1122" i="11" s="1"/>
  <c r="C1149" i="11"/>
  <c r="E1149" i="11" s="1"/>
  <c r="C3264" i="11"/>
  <c r="E3264" i="11" s="1"/>
  <c r="C4578" i="11"/>
  <c r="E4578" i="11" s="1"/>
  <c r="C6999" i="11"/>
  <c r="E6999" i="11" s="1"/>
  <c r="C5712" i="11"/>
  <c r="E5712" i="11" s="1"/>
  <c r="C1842" i="11"/>
  <c r="E1842" i="11" s="1"/>
  <c r="C1284" i="11"/>
  <c r="E1284" i="11" s="1"/>
  <c r="C2868" i="11"/>
  <c r="E2868" i="11" s="1"/>
  <c r="C1005" i="11"/>
  <c r="E1005" i="11" s="1"/>
  <c r="C7052" i="11"/>
  <c r="E7052" i="11" s="1"/>
  <c r="C1554" i="11"/>
  <c r="E1554" i="11" s="1"/>
  <c r="C120" i="11"/>
  <c r="E120" i="11" s="1"/>
  <c r="C4398" i="11"/>
  <c r="E4398" i="11" s="1"/>
  <c r="C6207" i="11"/>
  <c r="E6207" i="11" s="1"/>
  <c r="C2679" i="11"/>
  <c r="E2679" i="11" s="1"/>
  <c r="C1698" i="11"/>
  <c r="E1698" i="11" s="1"/>
  <c r="C3129" i="11"/>
  <c r="E3129" i="11" s="1"/>
  <c r="C2220" i="11"/>
  <c r="E2220" i="11" s="1"/>
  <c r="C2967" i="11"/>
  <c r="E2967" i="11" s="1"/>
  <c r="C4272" i="11"/>
  <c r="E4272" i="11" s="1"/>
  <c r="C3147" i="11"/>
  <c r="E3147" i="11" s="1"/>
  <c r="C3039" i="11"/>
  <c r="E3039" i="11" s="1"/>
  <c r="C1095" i="11"/>
  <c r="E1095" i="11" s="1"/>
  <c r="C3741" i="11"/>
  <c r="E3741" i="11" s="1"/>
  <c r="C3912" i="11"/>
  <c r="E3912" i="11" s="1"/>
  <c r="C1761" i="11"/>
  <c r="E1761" i="11" s="1"/>
  <c r="C4695" i="11"/>
  <c r="E4695" i="11" s="1"/>
  <c r="C4938" i="11"/>
  <c r="E4938" i="11" s="1"/>
  <c r="C1815" i="11"/>
  <c r="E1815" i="11" s="1"/>
  <c r="C2589" i="11"/>
  <c r="E2589" i="11" s="1"/>
  <c r="C5946" i="11"/>
  <c r="E5946" i="11" s="1"/>
  <c r="C5748" i="11"/>
  <c r="E5748" i="11" s="1"/>
  <c r="C6126" i="11"/>
  <c r="E6126" i="11" s="1"/>
  <c r="C2913" i="11"/>
  <c r="E2913" i="11" s="1"/>
  <c r="C4731" i="11"/>
  <c r="E4731" i="11" s="1"/>
  <c r="C6054" i="11"/>
  <c r="E6054" i="11" s="1"/>
  <c r="C564" i="11"/>
  <c r="E564" i="11" s="1"/>
  <c r="C762" i="11"/>
  <c r="E762" i="11" s="1"/>
  <c r="C3435" i="11"/>
  <c r="E3435" i="11" s="1"/>
  <c r="C816" i="11"/>
  <c r="E816" i="11" s="1"/>
  <c r="C1086" i="11"/>
  <c r="E1086" i="11" s="1"/>
  <c r="C5226" i="11"/>
  <c r="E5226" i="11" s="1"/>
  <c r="C2976" i="11"/>
  <c r="E2976" i="11" s="1"/>
  <c r="C1320" i="11"/>
  <c r="E1320" i="11" s="1"/>
  <c r="C654" i="11"/>
  <c r="E654" i="11" s="1"/>
  <c r="C1347" i="11"/>
  <c r="E1347" i="11" s="1"/>
  <c r="C2058" i="11"/>
  <c r="E2058" i="11" s="1"/>
  <c r="C6486" i="11"/>
  <c r="E6486" i="11" s="1"/>
  <c r="C681" i="11"/>
  <c r="E681" i="11" s="1"/>
  <c r="C6072" i="11"/>
  <c r="E6072" i="11" s="1"/>
  <c r="C5568" i="11"/>
  <c r="E5568" i="11" s="1"/>
  <c r="C4227" i="11"/>
  <c r="E4227" i="11" s="1"/>
  <c r="C5847" i="11"/>
  <c r="E5847" i="11" s="1"/>
  <c r="C3444" i="11"/>
  <c r="E3444" i="11" s="1"/>
  <c r="C5811" i="11"/>
  <c r="E5811" i="11" s="1"/>
  <c r="C5343" i="11"/>
  <c r="E5343" i="11" s="1"/>
  <c r="C6819" i="11"/>
  <c r="E6819" i="11" s="1"/>
  <c r="C5271" i="11"/>
  <c r="E5271" i="11" s="1"/>
  <c r="C2985" i="11"/>
  <c r="E2985" i="11" s="1"/>
  <c r="C1131" i="11"/>
  <c r="E1131" i="11" s="1"/>
  <c r="C5577" i="11"/>
  <c r="E5577" i="11" s="1"/>
  <c r="C483" i="11"/>
  <c r="E483" i="11" s="1"/>
  <c r="C2103" i="11"/>
  <c r="E2103" i="11" s="1"/>
  <c r="C4911" i="11"/>
  <c r="E4911" i="11" s="1"/>
  <c r="C2418" i="11"/>
  <c r="E2418" i="11" s="1"/>
  <c r="C6027" i="11"/>
  <c r="E6027" i="11" s="1"/>
  <c r="C4047" i="11"/>
  <c r="E4047" i="11" s="1"/>
  <c r="C2859" i="11"/>
  <c r="E2859" i="11" s="1"/>
  <c r="C4434" i="11"/>
  <c r="E4434" i="11" s="1"/>
  <c r="C3759" i="11"/>
  <c r="E3759" i="11" s="1"/>
  <c r="C1203" i="11"/>
  <c r="E1203" i="11" s="1"/>
  <c r="C5172" i="11"/>
  <c r="E5172" i="11" s="1"/>
  <c r="C4335" i="11"/>
  <c r="E4335" i="11" s="1"/>
  <c r="C4164" i="11"/>
  <c r="E4164" i="11" s="1"/>
  <c r="C5433" i="11"/>
  <c r="E5433" i="11" s="1"/>
  <c r="C1482" i="11"/>
  <c r="E1482" i="11" s="1"/>
  <c r="C2094" i="11"/>
  <c r="E2094" i="11" s="1"/>
  <c r="C3408" i="11"/>
  <c r="E3408" i="11" s="1"/>
  <c r="C915" i="11"/>
  <c r="E915" i="11" s="1"/>
  <c r="C2409" i="11"/>
  <c r="E2409" i="11" s="1"/>
  <c r="C6990" i="11"/>
  <c r="E6990" i="11" s="1"/>
  <c r="C2301" i="11"/>
  <c r="E2301" i="11" s="1"/>
  <c r="C6153" i="11"/>
  <c r="E6153" i="11" s="1"/>
  <c r="C6288" i="11"/>
  <c r="E6288" i="11" s="1"/>
  <c r="C5478" i="11"/>
  <c r="E5478" i="11" s="1"/>
  <c r="C3777" i="11"/>
  <c r="E3777" i="11" s="1"/>
  <c r="C2238" i="11"/>
  <c r="E2238" i="11" s="1"/>
  <c r="C4497" i="11"/>
  <c r="E4497" i="11" s="1"/>
  <c r="C6000" i="11"/>
  <c r="E6000" i="11" s="1"/>
  <c r="C6306" i="11"/>
  <c r="E6306" i="11" s="1"/>
  <c r="C2661" i="11"/>
  <c r="E2661" i="11" s="1"/>
  <c r="C2895" i="11"/>
  <c r="E2895" i="11" s="1"/>
  <c r="C3651" i="11"/>
  <c r="E3651" i="11" s="1"/>
  <c r="C1365" i="11"/>
  <c r="E1365" i="11" s="1"/>
  <c r="C3174" i="11"/>
  <c r="E3174" i="11" s="1"/>
  <c r="C753" i="11"/>
  <c r="E753" i="11" s="1"/>
  <c r="C2463" i="11"/>
  <c r="E2463" i="11" s="1"/>
  <c r="C2472" i="11"/>
  <c r="E2472" i="11" s="1"/>
  <c r="C2778" i="11"/>
  <c r="E2778" i="11" s="1"/>
  <c r="C2877" i="11"/>
  <c r="E2877" i="11" s="1"/>
  <c r="C3048" i="11"/>
  <c r="E3048" i="11" s="1"/>
  <c r="C5595" i="11"/>
  <c r="E5595" i="11" s="1"/>
  <c r="C1302" i="11"/>
  <c r="E1302" i="11" s="1"/>
  <c r="C1077" i="11"/>
  <c r="E1077" i="11" s="1"/>
  <c r="C4641" i="11"/>
  <c r="E4641" i="11" s="1"/>
  <c r="C3606" i="11"/>
  <c r="E3606" i="11" s="1"/>
  <c r="C3471" i="11"/>
  <c r="E3471" i="11" s="1"/>
  <c r="C2166" i="11"/>
  <c r="E2166" i="11" s="1"/>
  <c r="C6531" i="11"/>
  <c r="E6531" i="11" s="1"/>
  <c r="C3345" i="11"/>
  <c r="E3345" i="11" s="1"/>
  <c r="C4182" i="11"/>
  <c r="E4182" i="11" s="1"/>
  <c r="C4479" i="11"/>
  <c r="E4479" i="11" s="1"/>
  <c r="C3381" i="11"/>
  <c r="E3381" i="11" s="1"/>
  <c r="C2292" i="11"/>
  <c r="E2292" i="11" s="1"/>
  <c r="C2823" i="11"/>
  <c r="E2823" i="11" s="1"/>
  <c r="C5136" i="11"/>
  <c r="E5136" i="11" s="1"/>
  <c r="C3084" i="11"/>
  <c r="E3084" i="11" s="1"/>
  <c r="C1050" i="11"/>
  <c r="E1050" i="11" s="1"/>
  <c r="C4317" i="11"/>
  <c r="E4317" i="11" s="1"/>
  <c r="C2832" i="11"/>
  <c r="E2832" i="11" s="1"/>
  <c r="C2841" i="11"/>
  <c r="E2841" i="11" s="1"/>
  <c r="C4326" i="11"/>
  <c r="E4326" i="11" s="1"/>
  <c r="C609" i="11"/>
  <c r="E609" i="11" s="1"/>
  <c r="C1221" i="11"/>
  <c r="E1221" i="11" s="1"/>
  <c r="C1446" i="11"/>
  <c r="E1446" i="11" s="1"/>
  <c r="C1464" i="11"/>
  <c r="E1464" i="11" s="1"/>
  <c r="C1707" i="11"/>
  <c r="E1707" i="11" s="1"/>
  <c r="C1923" i="11"/>
  <c r="E1923" i="11" s="1"/>
  <c r="C492" i="11"/>
  <c r="E492" i="11" s="1"/>
  <c r="C2319" i="11"/>
  <c r="E2319" i="11" s="1"/>
  <c r="C2328" i="11"/>
  <c r="E2328" i="11" s="1"/>
  <c r="C2517" i="11"/>
  <c r="E2517" i="11" s="1"/>
  <c r="C4875" i="11"/>
  <c r="E4875" i="11" s="1"/>
  <c r="C2958" i="11"/>
  <c r="E2958" i="11" s="1"/>
  <c r="C3120" i="11"/>
  <c r="E3120" i="11" s="1"/>
  <c r="C3453" i="11"/>
  <c r="E3453" i="11" s="1"/>
  <c r="C5397" i="11"/>
  <c r="E5397" i="11" s="1"/>
  <c r="C3903" i="11"/>
  <c r="E3903" i="11" s="1"/>
  <c r="C4200" i="11"/>
  <c r="E4200" i="11" s="1"/>
  <c r="C4209" i="11"/>
  <c r="E4209" i="11" s="1"/>
  <c r="C510" i="11"/>
  <c r="E510" i="11" s="1"/>
  <c r="C4767" i="11"/>
  <c r="E4767" i="11" s="1"/>
  <c r="C4785" i="11"/>
  <c r="E4785" i="11" s="1"/>
  <c r="C4812" i="11"/>
  <c r="E4812" i="11" s="1"/>
  <c r="C4839" i="11"/>
  <c r="E4839" i="11" s="1"/>
  <c r="C537" i="11"/>
  <c r="E537" i="11" s="1"/>
  <c r="C5253" i="11"/>
  <c r="E5253" i="11" s="1"/>
  <c r="C5361" i="11"/>
  <c r="E5361" i="11" s="1"/>
  <c r="C546" i="11"/>
  <c r="E546" i="11" s="1"/>
  <c r="C6090" i="11"/>
  <c r="E6090" i="11" s="1"/>
  <c r="C6774" i="11"/>
  <c r="E6774" i="11" s="1"/>
  <c r="C6792" i="11"/>
  <c r="E6792" i="11" s="1"/>
  <c r="C5739" i="11"/>
  <c r="E5739" i="11" s="1"/>
  <c r="C6144" i="11"/>
  <c r="E6144" i="11" s="1"/>
  <c r="C6261" i="11"/>
  <c r="E6261" i="11" s="1"/>
  <c r="C6342" i="11"/>
  <c r="E6342" i="11" s="1"/>
  <c r="C6558" i="11"/>
  <c r="E6558" i="11" s="1"/>
  <c r="C4794" i="11"/>
  <c r="E4794" i="11" s="1"/>
  <c r="C183" i="11"/>
  <c r="E183" i="11" s="1"/>
  <c r="C156" i="11"/>
  <c r="E156" i="11" s="1"/>
  <c r="C246" i="11"/>
  <c r="E246" i="11" s="1"/>
  <c r="C273" i="11"/>
  <c r="E273" i="11" s="1"/>
  <c r="C264" i="11"/>
  <c r="E264" i="11" s="1"/>
  <c r="C282" i="11"/>
  <c r="E282" i="11" s="1"/>
  <c r="C291" i="11"/>
  <c r="E291" i="11" s="1"/>
  <c r="C39" i="11"/>
  <c r="E39" i="11" s="1"/>
  <c r="C393" i="11"/>
  <c r="E393" i="11" s="1"/>
  <c r="C2" i="11"/>
  <c r="E2" i="11" s="1"/>
  <c r="C1212" i="11"/>
  <c r="E1212" i="11" s="1"/>
  <c r="C411" i="11"/>
  <c r="E411" i="11" s="1"/>
  <c r="C12" i="11"/>
  <c r="E12" i="11" s="1"/>
  <c r="C1824" i="11"/>
  <c r="E1824" i="11" s="1"/>
  <c r="C501" i="11"/>
  <c r="E501" i="11" s="1"/>
  <c r="C48" i="11"/>
  <c r="E48" i="11" s="1"/>
  <c r="C66" i="11"/>
  <c r="E66" i="11" s="1"/>
  <c r="C57" i="11"/>
  <c r="E57" i="11" s="1"/>
  <c r="C75" i="11"/>
  <c r="E75" i="11" s="1"/>
  <c r="C84" i="11"/>
  <c r="E84" i="11" s="1"/>
  <c r="C102" i="11"/>
  <c r="E102" i="11" s="1"/>
  <c r="C111" i="11"/>
  <c r="E111" i="11" s="1"/>
  <c r="C429" i="11"/>
  <c r="E429" i="11" s="1"/>
  <c r="C447" i="11"/>
  <c r="E447" i="11" s="1"/>
  <c r="C138" i="11"/>
  <c r="E138" i="11" s="1"/>
  <c r="C147" i="11"/>
  <c r="E147" i="11" s="1"/>
  <c r="C174" i="11"/>
  <c r="E174" i="11" s="1"/>
  <c r="C519" i="11"/>
  <c r="E519" i="11" s="1"/>
  <c r="C465" i="11"/>
  <c r="E465" i="11" s="1"/>
  <c r="C165" i="11"/>
  <c r="E165" i="11" s="1"/>
  <c r="C192" i="11"/>
  <c r="E192" i="11" s="1"/>
  <c r="C555" i="11"/>
  <c r="E555" i="11" s="1"/>
  <c r="C228" i="11"/>
  <c r="E228" i="11" s="1"/>
  <c r="C237" i="11"/>
  <c r="E237" i="11" s="1"/>
  <c r="C255" i="11"/>
  <c r="E255" i="11" s="1"/>
  <c r="C327" i="11"/>
  <c r="E327" i="11" s="1"/>
  <c r="C309" i="11"/>
  <c r="E309" i="11" s="1"/>
  <c r="C6783" i="11"/>
  <c r="E6783" i="11" s="1"/>
  <c r="C5919" i="11"/>
  <c r="E5919" i="11" s="1"/>
  <c r="C2337" i="11"/>
  <c r="E2337" i="11" s="1"/>
  <c r="C3543" i="11"/>
  <c r="E3543" i="11" s="1"/>
  <c r="C357" i="11"/>
  <c r="E357" i="11" s="1"/>
  <c r="C93" i="11"/>
  <c r="E93" i="11" s="1"/>
  <c r="C735" i="11"/>
  <c r="E735" i="11" s="1"/>
  <c r="C6216" i="11"/>
  <c r="E6216" i="11" s="1"/>
  <c r="C573" i="11"/>
  <c r="E573" i="11" s="1"/>
  <c r="C2715" i="11"/>
  <c r="E2715" i="11" s="1"/>
  <c r="C358" i="11"/>
  <c r="E358" i="11" s="1"/>
  <c r="C359" i="11"/>
  <c r="E359" i="11" s="1"/>
  <c r="C6198" i="11"/>
  <c r="E6198" i="11" s="1"/>
  <c r="C2310" i="11"/>
  <c r="E2310" i="11" s="1"/>
  <c r="C1248" i="11"/>
  <c r="E1248" i="11" s="1"/>
  <c r="C6837" i="11"/>
  <c r="E6837" i="11" s="1"/>
  <c r="C6801" i="11"/>
  <c r="E6801" i="11" s="1"/>
  <c r="C360" i="11"/>
  <c r="E360" i="11" s="1"/>
  <c r="C4506" i="11"/>
  <c r="E4506" i="11" s="1"/>
  <c r="C300" i="11"/>
  <c r="E300" i="11" s="1"/>
  <c r="C5415" i="11"/>
  <c r="E5415" i="11" s="1"/>
  <c r="C7085" i="11"/>
  <c r="E7085" i="11" s="1"/>
  <c r="C4425" i="11"/>
  <c r="E4425" i="11" s="1"/>
  <c r="C1536" i="11"/>
  <c r="E1536" i="11" s="1"/>
  <c r="C1950" i="11"/>
  <c r="E1950" i="11" s="1"/>
  <c r="C6702" i="11"/>
  <c r="E6702" i="11" s="1"/>
  <c r="C6396" i="11"/>
  <c r="E6396" i="11" s="1"/>
  <c r="C601" i="11"/>
  <c r="E601" i="11" s="1"/>
  <c r="C709" i="11"/>
  <c r="E709" i="11" s="1"/>
  <c r="C799" i="11"/>
  <c r="E799" i="11" s="1"/>
  <c r="C889" i="11"/>
  <c r="E889" i="11" s="1"/>
  <c r="C925" i="11"/>
  <c r="E925" i="11" s="1"/>
  <c r="C1042" i="11"/>
  <c r="E1042" i="11" s="1"/>
  <c r="C1240" i="11"/>
  <c r="E1240" i="11" s="1"/>
  <c r="C1339" i="11"/>
  <c r="E1339" i="11" s="1"/>
  <c r="C1744" i="11"/>
  <c r="E1744" i="11" s="1"/>
  <c r="C22" i="11"/>
  <c r="E22" i="11" s="1"/>
  <c r="C1834" i="11"/>
  <c r="E1834" i="11" s="1"/>
  <c r="C2023" i="11"/>
  <c r="E2023" i="11" s="1"/>
  <c r="C2266" i="11"/>
  <c r="E2266" i="11" s="1"/>
  <c r="C2581" i="11"/>
  <c r="E2581" i="11" s="1"/>
  <c r="C2653" i="11"/>
  <c r="E2653" i="11" s="1"/>
  <c r="C2707" i="11"/>
  <c r="E2707" i="11" s="1"/>
  <c r="C2032" i="11"/>
  <c r="E2032" i="11" s="1"/>
  <c r="C2725" i="11"/>
  <c r="E2725" i="11" s="1"/>
  <c r="C3283" i="11"/>
  <c r="E3283" i="11" s="1"/>
  <c r="C3301" i="11"/>
  <c r="E3301" i="11" s="1"/>
  <c r="C3418" i="11"/>
  <c r="E3418" i="11" s="1"/>
  <c r="C421" i="11"/>
  <c r="E421" i="11" s="1"/>
  <c r="C3490" i="11"/>
  <c r="E3490" i="11" s="1"/>
  <c r="C3562" i="11"/>
  <c r="E3562" i="11" s="1"/>
  <c r="C3598" i="11"/>
  <c r="E3598" i="11" s="1"/>
  <c r="C3751" i="11"/>
  <c r="E3751" i="11" s="1"/>
  <c r="C3796" i="11"/>
  <c r="E3796" i="11" s="1"/>
  <c r="C3814" i="11"/>
  <c r="E3814" i="11" s="1"/>
  <c r="C4075" i="11"/>
  <c r="E4075" i="11" s="1"/>
  <c r="C4138" i="11"/>
  <c r="E4138" i="11" s="1"/>
  <c r="C4345" i="11"/>
  <c r="E4345" i="11" s="1"/>
  <c r="C4417" i="11"/>
  <c r="E4417" i="11" s="1"/>
  <c r="C4471" i="11"/>
  <c r="E4471" i="11" s="1"/>
  <c r="C4516" i="11"/>
  <c r="E4516" i="11" s="1"/>
  <c r="C4633" i="11"/>
  <c r="E4633" i="11" s="1"/>
  <c r="C4687" i="11"/>
  <c r="E4687" i="11" s="1"/>
  <c r="C4741" i="11"/>
  <c r="E4741" i="11" s="1"/>
  <c r="C4750" i="11"/>
  <c r="E4750" i="11" s="1"/>
  <c r="C4759" i="11"/>
  <c r="E4759" i="11" s="1"/>
  <c r="C4777" i="11"/>
  <c r="E4777" i="11" s="1"/>
  <c r="C529" i="11"/>
  <c r="E529" i="11" s="1"/>
  <c r="C4984" i="11"/>
  <c r="E4984" i="11" s="1"/>
  <c r="C5119" i="11"/>
  <c r="E5119" i="11" s="1"/>
  <c r="C5182" i="11"/>
  <c r="E5182" i="11" s="1"/>
  <c r="C5218" i="11"/>
  <c r="E5218" i="11" s="1"/>
  <c r="C5353" i="11"/>
  <c r="E5353" i="11" s="1"/>
  <c r="C5407" i="11"/>
  <c r="E5407" i="11" s="1"/>
  <c r="C5443" i="11"/>
  <c r="E5443" i="11" s="1"/>
  <c r="C5533" i="11"/>
  <c r="E5533" i="11" s="1"/>
  <c r="C5587" i="11"/>
  <c r="E5587" i="11" s="1"/>
  <c r="C5641" i="11"/>
  <c r="E5641" i="11" s="1"/>
  <c r="C5695" i="11"/>
  <c r="E5695" i="11" s="1"/>
  <c r="C337" i="11"/>
  <c r="E337" i="11" s="1"/>
  <c r="C6190" i="11"/>
  <c r="E6190" i="11" s="1"/>
  <c r="C6271" i="11"/>
  <c r="E6271" i="11" s="1"/>
  <c r="C6298" i="11"/>
  <c r="E6298" i="11" s="1"/>
  <c r="C6388" i="11"/>
  <c r="E6388" i="11" s="1"/>
  <c r="C6595" i="11"/>
  <c r="E6595" i="11" s="1"/>
  <c r="C6613" i="11"/>
  <c r="E6613" i="11" s="1"/>
  <c r="C6874" i="11"/>
  <c r="E6874" i="11" s="1"/>
  <c r="C7018" i="11"/>
  <c r="E7018" i="11" s="1"/>
  <c r="C619" i="11"/>
  <c r="E619" i="11" s="1"/>
  <c r="C628" i="11"/>
  <c r="E628" i="11" s="1"/>
  <c r="C700" i="11"/>
  <c r="E700" i="11" s="1"/>
  <c r="C745" i="11"/>
  <c r="E745" i="11" s="1"/>
  <c r="C691" i="11"/>
  <c r="E691" i="11" s="1"/>
  <c r="C772" i="11"/>
  <c r="E772" i="11" s="1"/>
  <c r="C781" i="11"/>
  <c r="E781" i="11" s="1"/>
  <c r="C808" i="11"/>
  <c r="E808" i="11" s="1"/>
  <c r="C385" i="11"/>
  <c r="E385" i="11" s="1"/>
  <c r="C835" i="11"/>
  <c r="E835" i="11" s="1"/>
  <c r="C853" i="11"/>
  <c r="E853" i="11" s="1"/>
  <c r="C862" i="11"/>
  <c r="E862" i="11" s="1"/>
  <c r="C871" i="11"/>
  <c r="E871" i="11" s="1"/>
  <c r="C898" i="11"/>
  <c r="E898" i="11" s="1"/>
  <c r="C907" i="11"/>
  <c r="E907" i="11" s="1"/>
  <c r="C952" i="11"/>
  <c r="E952" i="11" s="1"/>
  <c r="C1033" i="11"/>
  <c r="E1033" i="11" s="1"/>
  <c r="C1024" i="11"/>
  <c r="E1024" i="11" s="1"/>
  <c r="C1105" i="11"/>
  <c r="E1105" i="11" s="1"/>
  <c r="C1114" i="11"/>
  <c r="E1114" i="11" s="1"/>
  <c r="C1141" i="11"/>
  <c r="E1141" i="11" s="1"/>
  <c r="C1168" i="11"/>
  <c r="E1168" i="11" s="1"/>
  <c r="C1186" i="11"/>
  <c r="E1186" i="11" s="1"/>
  <c r="C1258" i="11"/>
  <c r="E1258" i="11" s="1"/>
  <c r="C1267" i="11"/>
  <c r="E1267" i="11" s="1"/>
  <c r="C1411" i="11"/>
  <c r="E1411" i="11" s="1"/>
  <c r="C6721" i="11"/>
  <c r="E6721" i="11" s="1"/>
  <c r="C1357" i="11"/>
  <c r="E1357" i="11" s="1"/>
  <c r="C1474" i="11"/>
  <c r="E1474" i="11" s="1"/>
  <c r="C1582" i="11"/>
  <c r="E1582" i="11" s="1"/>
  <c r="C1384" i="11"/>
  <c r="E1384" i="11" s="1"/>
  <c r="C1654" i="11"/>
  <c r="E1654" i="11" s="1"/>
  <c r="C1393" i="11"/>
  <c r="E1393" i="11" s="1"/>
  <c r="C1402" i="11"/>
  <c r="E1402" i="11" s="1"/>
  <c r="C1492" i="11"/>
  <c r="E1492" i="11" s="1"/>
  <c r="C1780" i="11"/>
  <c r="E1780" i="11" s="1"/>
  <c r="C1609" i="11"/>
  <c r="E1609" i="11" s="1"/>
  <c r="C1438" i="11"/>
  <c r="E1438" i="11" s="1"/>
  <c r="C1618" i="11"/>
  <c r="E1618" i="11" s="1"/>
  <c r="C1645" i="11"/>
  <c r="E1645" i="11" s="1"/>
  <c r="C1501" i="11"/>
  <c r="E1501" i="11" s="1"/>
  <c r="C1753" i="11"/>
  <c r="E1753" i="11" s="1"/>
  <c r="C1519" i="11"/>
  <c r="E1519" i="11" s="1"/>
  <c r="C1672" i="11"/>
  <c r="E1672" i="11" s="1"/>
  <c r="C403" i="11"/>
  <c r="E403" i="11" s="1"/>
  <c r="C1771" i="11"/>
  <c r="E1771" i="11" s="1"/>
  <c r="C1807" i="11"/>
  <c r="E1807" i="11" s="1"/>
  <c r="C1888" i="11"/>
  <c r="E1888" i="11" s="1"/>
  <c r="C1735" i="11"/>
  <c r="E1735" i="11" s="1"/>
  <c r="C1375" i="11"/>
  <c r="E1375" i="11" s="1"/>
  <c r="C1852" i="11"/>
  <c r="E1852" i="11" s="1"/>
  <c r="C31" i="11"/>
  <c r="E31" i="11" s="1"/>
  <c r="C1933" i="11"/>
  <c r="E1933" i="11" s="1"/>
  <c r="C1906" i="11"/>
  <c r="E1906" i="11" s="1"/>
  <c r="C3427" i="11"/>
  <c r="E3427" i="11" s="1"/>
  <c r="C1960" i="11"/>
  <c r="E1960" i="11" s="1"/>
  <c r="C1996" i="11"/>
  <c r="E1996" i="11" s="1"/>
  <c r="C2041" i="11"/>
  <c r="E2041" i="11" s="1"/>
  <c r="C2050" i="11"/>
  <c r="E2050" i="11" s="1"/>
  <c r="C2068" i="11"/>
  <c r="E2068" i="11" s="1"/>
  <c r="C2077" i="11"/>
  <c r="E2077" i="11" s="1"/>
  <c r="C2086" i="11"/>
  <c r="E2086" i="11" s="1"/>
  <c r="C2122" i="11"/>
  <c r="E2122" i="11" s="1"/>
  <c r="C2131" i="11"/>
  <c r="E2131" i="11" s="1"/>
  <c r="C2140" i="11"/>
  <c r="E2140" i="11" s="1"/>
  <c r="C2149" i="11"/>
  <c r="E2149" i="11" s="1"/>
  <c r="C2158" i="11"/>
  <c r="E2158" i="11" s="1"/>
  <c r="C2176" i="11"/>
  <c r="E2176" i="11" s="1"/>
  <c r="C2185" i="11"/>
  <c r="E2185" i="11" s="1"/>
  <c r="C2194" i="11"/>
  <c r="E2194" i="11" s="1"/>
  <c r="C2248" i="11"/>
  <c r="E2248" i="11" s="1"/>
  <c r="C2275" i="11"/>
  <c r="E2275" i="11" s="1"/>
  <c r="C6370" i="11"/>
  <c r="E6370" i="11" s="1"/>
  <c r="C2356" i="11"/>
  <c r="E2356" i="11" s="1"/>
  <c r="C2374" i="11"/>
  <c r="E2374" i="11" s="1"/>
  <c r="C2383" i="11"/>
  <c r="E2383" i="11" s="1"/>
  <c r="C2491" i="11"/>
  <c r="E2491" i="11" s="1"/>
  <c r="C2536" i="11"/>
  <c r="E2536" i="11" s="1"/>
  <c r="C2545" i="11"/>
  <c r="E2545" i="11" s="1"/>
  <c r="C2572" i="11"/>
  <c r="E2572" i="11" s="1"/>
  <c r="C2608" i="11"/>
  <c r="E2608" i="11" s="1"/>
  <c r="C2626" i="11"/>
  <c r="E2626" i="11" s="1"/>
  <c r="C2752" i="11"/>
  <c r="E2752" i="11" s="1"/>
  <c r="C2761" i="11"/>
  <c r="E2761" i="11" s="1"/>
  <c r="C2770" i="11"/>
  <c r="E2770" i="11" s="1"/>
  <c r="C2788" i="11"/>
  <c r="E2788" i="11" s="1"/>
  <c r="C2797" i="11"/>
  <c r="E2797" i="11" s="1"/>
  <c r="C2806" i="11"/>
  <c r="E2806" i="11" s="1"/>
  <c r="C6082" i="11"/>
  <c r="E6082" i="11" s="1"/>
  <c r="C2815" i="11"/>
  <c r="E2815" i="11" s="1"/>
  <c r="C2905" i="11"/>
  <c r="E2905" i="11" s="1"/>
  <c r="C2932" i="11"/>
  <c r="E2932" i="11" s="1"/>
  <c r="C2941" i="11"/>
  <c r="E2941" i="11" s="1"/>
  <c r="C3013" i="11"/>
  <c r="E3013" i="11" s="1"/>
  <c r="C3031" i="11"/>
  <c r="E3031" i="11" s="1"/>
  <c r="C3058" i="11"/>
  <c r="E3058" i="11" s="1"/>
  <c r="C3067" i="11"/>
  <c r="E3067" i="11" s="1"/>
  <c r="C3076" i="11"/>
  <c r="E3076" i="11" s="1"/>
  <c r="C3094" i="11"/>
  <c r="E3094" i="11" s="1"/>
  <c r="C3103" i="11"/>
  <c r="E3103" i="11" s="1"/>
  <c r="C3112" i="11"/>
  <c r="E3112" i="11" s="1"/>
  <c r="C3193" i="11"/>
  <c r="E3193" i="11" s="1"/>
  <c r="C3166" i="11"/>
  <c r="E3166" i="11" s="1"/>
  <c r="C3274" i="11"/>
  <c r="E3274" i="11" s="1"/>
  <c r="C3238" i="11"/>
  <c r="E3238" i="11" s="1"/>
  <c r="C3256" i="11"/>
  <c r="E3256" i="11" s="1"/>
  <c r="C3220" i="11"/>
  <c r="E3220" i="11" s="1"/>
  <c r="C3292" i="11"/>
  <c r="E3292" i="11" s="1"/>
  <c r="C3310" i="11"/>
  <c r="E3310" i="11" s="1"/>
  <c r="C3328" i="11"/>
  <c r="E3328" i="11" s="1"/>
  <c r="C3337" i="11"/>
  <c r="E3337" i="11" s="1"/>
  <c r="C3355" i="11"/>
  <c r="E3355" i="11" s="1"/>
  <c r="C1510" i="11"/>
  <c r="E1510" i="11" s="1"/>
  <c r="C6739" i="11"/>
  <c r="E6739" i="11" s="1"/>
  <c r="C3373" i="11"/>
  <c r="E3373" i="11" s="1"/>
  <c r="C3400" i="11"/>
  <c r="E3400" i="11" s="1"/>
  <c r="C3463" i="11"/>
  <c r="E3463" i="11" s="1"/>
  <c r="C3481" i="11"/>
  <c r="E3481" i="11" s="1"/>
  <c r="C3499" i="11"/>
  <c r="E3499" i="11" s="1"/>
  <c r="C3508" i="11"/>
  <c r="E3508" i="11" s="1"/>
  <c r="C3535" i="11"/>
  <c r="E3535" i="11" s="1"/>
  <c r="C3553" i="11"/>
  <c r="E3553" i="11" s="1"/>
  <c r="C130" i="11"/>
  <c r="E130" i="11" s="1"/>
  <c r="C3634" i="11"/>
  <c r="E3634" i="11" s="1"/>
  <c r="C3643" i="11"/>
  <c r="E3643" i="11" s="1"/>
  <c r="C3661" i="11"/>
  <c r="E3661" i="11" s="1"/>
  <c r="C3679" i="11"/>
  <c r="E3679" i="11" s="1"/>
  <c r="C3688" i="11"/>
  <c r="E3688" i="11" s="1"/>
  <c r="C3706" i="11"/>
  <c r="E3706" i="11" s="1"/>
  <c r="C3715" i="11"/>
  <c r="E3715" i="11" s="1"/>
  <c r="C3724" i="11"/>
  <c r="E3724" i="11" s="1"/>
  <c r="C3733" i="11"/>
  <c r="E3733" i="11" s="1"/>
  <c r="C3769" i="11"/>
  <c r="E3769" i="11" s="1"/>
  <c r="C3787" i="11"/>
  <c r="E3787" i="11" s="1"/>
  <c r="C3805" i="11"/>
  <c r="E3805" i="11" s="1"/>
  <c r="C3859" i="11"/>
  <c r="E3859" i="11" s="1"/>
  <c r="C3922" i="11"/>
  <c r="E3922" i="11" s="1"/>
  <c r="C3931" i="11"/>
  <c r="E3931" i="11" s="1"/>
  <c r="C3940" i="11"/>
  <c r="E3940" i="11" s="1"/>
  <c r="C3949" i="11"/>
  <c r="E3949" i="11" s="1"/>
  <c r="C3958" i="11"/>
  <c r="E3958" i="11" s="1"/>
  <c r="C3976" i="11"/>
  <c r="E3976" i="11" s="1"/>
  <c r="C2392" i="11"/>
  <c r="E2392" i="11" s="1"/>
  <c r="C3994" i="11"/>
  <c r="E3994" i="11" s="1"/>
  <c r="C1591" i="11"/>
  <c r="E1591" i="11" s="1"/>
  <c r="C2734" i="11"/>
  <c r="E2734" i="11" s="1"/>
  <c r="C4021" i="11"/>
  <c r="E4021" i="11" s="1"/>
  <c r="C4030" i="11"/>
  <c r="E4030" i="11" s="1"/>
  <c r="C4039" i="11"/>
  <c r="E4039" i="11" s="1"/>
  <c r="C4084" i="11"/>
  <c r="E4084" i="11" s="1"/>
  <c r="C4111" i="11"/>
  <c r="E4111" i="11" s="1"/>
  <c r="C3832" i="11"/>
  <c r="E3832" i="11" s="1"/>
  <c r="C4120" i="11"/>
  <c r="E4120" i="11" s="1"/>
  <c r="C4174" i="11"/>
  <c r="E4174" i="11" s="1"/>
  <c r="C5497" i="11"/>
  <c r="E5497" i="11" s="1"/>
  <c r="C4219" i="11"/>
  <c r="E4219" i="11" s="1"/>
  <c r="C6415" i="11"/>
  <c r="E6415" i="11" s="1"/>
  <c r="C4237" i="11"/>
  <c r="E4237" i="11" s="1"/>
  <c r="C4309" i="11"/>
  <c r="E4309" i="11" s="1"/>
  <c r="C943" i="11"/>
  <c r="E943" i="11" s="1"/>
  <c r="C4354" i="11"/>
  <c r="E4354" i="11" s="1"/>
  <c r="C4381" i="11"/>
  <c r="E4381" i="11" s="1"/>
  <c r="C4453" i="11"/>
  <c r="E4453" i="11" s="1"/>
  <c r="C4489" i="11"/>
  <c r="E4489" i="11" s="1"/>
  <c r="C1681" i="11"/>
  <c r="E1681" i="11" s="1"/>
  <c r="C4408" i="11"/>
  <c r="E4408" i="11" s="1"/>
  <c r="C3139" i="11"/>
  <c r="E3139" i="11" s="1"/>
  <c r="C4525" i="11"/>
  <c r="E4525" i="11" s="1"/>
  <c r="C4534" i="11"/>
  <c r="E4534" i="11" s="1"/>
  <c r="C4543" i="11"/>
  <c r="E4543" i="11" s="1"/>
  <c r="C4570" i="11"/>
  <c r="E4570" i="11" s="1"/>
  <c r="C4597" i="11"/>
  <c r="E4597" i="11" s="1"/>
  <c r="C4624" i="11"/>
  <c r="E4624" i="11" s="1"/>
  <c r="C4669" i="11"/>
  <c r="E4669" i="11" s="1"/>
  <c r="C4705" i="11"/>
  <c r="E4705" i="11" s="1"/>
  <c r="C4723" i="11"/>
  <c r="E4723" i="11" s="1"/>
  <c r="C4804" i="11"/>
  <c r="E4804" i="11" s="1"/>
  <c r="C4822" i="11"/>
  <c r="E4822" i="11" s="1"/>
  <c r="C4849" i="11"/>
  <c r="E4849" i="11" s="1"/>
  <c r="C4885" i="11"/>
  <c r="E4885" i="11" s="1"/>
  <c r="C4903" i="11"/>
  <c r="E4903" i="11" s="1"/>
  <c r="C4921" i="11"/>
  <c r="E4921" i="11" s="1"/>
  <c r="C4948" i="11"/>
  <c r="E4948" i="11" s="1"/>
  <c r="C4975" i="11"/>
  <c r="E4975" i="11" s="1"/>
  <c r="C4993" i="11"/>
  <c r="E4993" i="11" s="1"/>
  <c r="C5011" i="11"/>
  <c r="E5011" i="11" s="1"/>
  <c r="C5020" i="11"/>
  <c r="E5020" i="11" s="1"/>
  <c r="C5047" i="11"/>
  <c r="E5047" i="11" s="1"/>
  <c r="C5029" i="11"/>
  <c r="E5029" i="11" s="1"/>
  <c r="C5038" i="11"/>
  <c r="E5038" i="11" s="1"/>
  <c r="C211" i="11"/>
  <c r="E211" i="11" s="1"/>
  <c r="C5056" i="11"/>
  <c r="E5056" i="11" s="1"/>
  <c r="C5092" i="11"/>
  <c r="E5092" i="11" s="1"/>
  <c r="C5101" i="11"/>
  <c r="E5101" i="11" s="1"/>
  <c r="C5065" i="11"/>
  <c r="E5065" i="11" s="1"/>
  <c r="C5110" i="11"/>
  <c r="E5110" i="11" s="1"/>
  <c r="C5128" i="11"/>
  <c r="E5128" i="11" s="1"/>
  <c r="C5164" i="11"/>
  <c r="E5164" i="11" s="1"/>
  <c r="C5191" i="11"/>
  <c r="E5191" i="11" s="1"/>
  <c r="C5209" i="11"/>
  <c r="E5209" i="11" s="1"/>
  <c r="C5263" i="11"/>
  <c r="E5263" i="11" s="1"/>
  <c r="C5326" i="11"/>
  <c r="E5326" i="11" s="1"/>
  <c r="C5425" i="11"/>
  <c r="E5425" i="11" s="1"/>
  <c r="C5470" i="11"/>
  <c r="E5470" i="11" s="1"/>
  <c r="C5488" i="11"/>
  <c r="E5488" i="11" s="1"/>
  <c r="C5515" i="11"/>
  <c r="E5515" i="11" s="1"/>
  <c r="C5461" i="11"/>
  <c r="E5461" i="11" s="1"/>
  <c r="C5524" i="11"/>
  <c r="E5524" i="11" s="1"/>
  <c r="C5542" i="11"/>
  <c r="E5542" i="11" s="1"/>
  <c r="C5551" i="11"/>
  <c r="E5551" i="11" s="1"/>
  <c r="C5623" i="11"/>
  <c r="E5623" i="11" s="1"/>
  <c r="C5632" i="11"/>
  <c r="E5632" i="11" s="1"/>
  <c r="C5650" i="11"/>
  <c r="E5650" i="11" s="1"/>
  <c r="C5668" i="11"/>
  <c r="E5668" i="11" s="1"/>
  <c r="C5677" i="11"/>
  <c r="E5677" i="11" s="1"/>
  <c r="C5686" i="11"/>
  <c r="E5686" i="11" s="1"/>
  <c r="C5767" i="11"/>
  <c r="E5767" i="11" s="1"/>
  <c r="C4615" i="11"/>
  <c r="E4615" i="11" s="1"/>
  <c r="C5776" i="11"/>
  <c r="E5776" i="11" s="1"/>
  <c r="C5308" i="11"/>
  <c r="E5308" i="11" s="1"/>
  <c r="C5785" i="11"/>
  <c r="E5785" i="11" s="1"/>
  <c r="C5821" i="11"/>
  <c r="E5821" i="11" s="1"/>
  <c r="C5857" i="11"/>
  <c r="E5857" i="11" s="1"/>
  <c r="C5875" i="11"/>
  <c r="E5875" i="11" s="1"/>
  <c r="C1600" i="11"/>
  <c r="E1600" i="11" s="1"/>
  <c r="C5884" i="11"/>
  <c r="E5884" i="11" s="1"/>
  <c r="C5893" i="11"/>
  <c r="E5893" i="11" s="1"/>
  <c r="C5902" i="11"/>
  <c r="E5902" i="11" s="1"/>
  <c r="C5911" i="11"/>
  <c r="E5911" i="11" s="1"/>
  <c r="C5929" i="11"/>
  <c r="E5929" i="11" s="1"/>
  <c r="C5938" i="11"/>
  <c r="E5938" i="11" s="1"/>
  <c r="C5956" i="11"/>
  <c r="E5956" i="11" s="1"/>
  <c r="C5992" i="11"/>
  <c r="E5992" i="11" s="1"/>
  <c r="C6010" i="11"/>
  <c r="E6010" i="11" s="1"/>
  <c r="C6064" i="11"/>
  <c r="E6064" i="11" s="1"/>
  <c r="C6037" i="11"/>
  <c r="E6037" i="11" s="1"/>
  <c r="C2113" i="11"/>
  <c r="E2113" i="11" s="1"/>
  <c r="C6118" i="11"/>
  <c r="E6118" i="11" s="1"/>
  <c r="C5281" i="11"/>
  <c r="E5281" i="11" s="1"/>
  <c r="C6163" i="11"/>
  <c r="E6163" i="11" s="1"/>
  <c r="C6172" i="11"/>
  <c r="E6172" i="11" s="1"/>
  <c r="C6181" i="11"/>
  <c r="E6181" i="11" s="1"/>
  <c r="C319" i="11"/>
  <c r="E319" i="11" s="1"/>
  <c r="C6235" i="11"/>
  <c r="E6235" i="11" s="1"/>
  <c r="C6244" i="11"/>
  <c r="E6244" i="11" s="1"/>
  <c r="C475" i="11"/>
  <c r="E475" i="11" s="1"/>
  <c r="C6325" i="11"/>
  <c r="E6325" i="11" s="1"/>
  <c r="C6379" i="11"/>
  <c r="E6379" i="11" s="1"/>
  <c r="C6460" i="11"/>
  <c r="E6460" i="11" s="1"/>
  <c r="C6496" i="11"/>
  <c r="E6496" i="11" s="1"/>
  <c r="C6469" i="11"/>
  <c r="E6469" i="11" s="1"/>
  <c r="C6514" i="11"/>
  <c r="E6514" i="11" s="1"/>
  <c r="C6523" i="11"/>
  <c r="E6523" i="11" s="1"/>
  <c r="C6550" i="11"/>
  <c r="E6550" i="11" s="1"/>
  <c r="C6568" i="11"/>
  <c r="E6568" i="11" s="1"/>
  <c r="C6478" i="11"/>
  <c r="E6478" i="11" s="1"/>
  <c r="C6406" i="11"/>
  <c r="E6406" i="11" s="1"/>
  <c r="C6577" i="11"/>
  <c r="E6577" i="11" s="1"/>
  <c r="C6586" i="11"/>
  <c r="E6586" i="11" s="1"/>
  <c r="C6622" i="11"/>
  <c r="E6622" i="11" s="1"/>
  <c r="C6631" i="11"/>
  <c r="E6631" i="11" s="1"/>
  <c r="C6649" i="11"/>
  <c r="E6649" i="11" s="1"/>
  <c r="C6658" i="11"/>
  <c r="E6658" i="11" s="1"/>
  <c r="C6685" i="11"/>
  <c r="E6685" i="11" s="1"/>
  <c r="C6730" i="11"/>
  <c r="E6730" i="11" s="1"/>
  <c r="C6829" i="11"/>
  <c r="E6829" i="11" s="1"/>
  <c r="C6748" i="11"/>
  <c r="E6748" i="11" s="1"/>
  <c r="C6757" i="11"/>
  <c r="E6757" i="11" s="1"/>
  <c r="C6694" i="11"/>
  <c r="E6694" i="11" s="1"/>
  <c r="C4372" i="11"/>
  <c r="E4372" i="11" s="1"/>
  <c r="C6910" i="11"/>
  <c r="E6910" i="11" s="1"/>
  <c r="C6892" i="11"/>
  <c r="E6892" i="11" s="1"/>
  <c r="C6883" i="11"/>
  <c r="E6883" i="11" s="1"/>
  <c r="C6937" i="11"/>
  <c r="E6937" i="11" s="1"/>
  <c r="C6955" i="11"/>
  <c r="E6955" i="11" s="1"/>
  <c r="C6973" i="11"/>
  <c r="E6973" i="11" s="1"/>
  <c r="C6919" i="11"/>
  <c r="E6919" i="11" s="1"/>
  <c r="C3157" i="11"/>
  <c r="E3157" i="11" s="1"/>
  <c r="C7036" i="11"/>
  <c r="E7036" i="11" s="1"/>
  <c r="C1015" i="11"/>
  <c r="E1015" i="11" s="1"/>
  <c r="C5803" i="11"/>
  <c r="E5803" i="11" s="1"/>
  <c r="C4129" i="11"/>
  <c r="E4129" i="11" s="1"/>
  <c r="C5722" i="11"/>
  <c r="E5722" i="11" s="1"/>
  <c r="C2005" i="11"/>
  <c r="E2005" i="11" s="1"/>
  <c r="C4093" i="11"/>
  <c r="E4093" i="11" s="1"/>
  <c r="C1870" i="11"/>
  <c r="E1870" i="11" s="1"/>
  <c r="C2563" i="11"/>
  <c r="E2563" i="11" s="1"/>
  <c r="C6901" i="11"/>
  <c r="E6901" i="11" s="1"/>
  <c r="C5758" i="11"/>
  <c r="E5758" i="11" s="1"/>
  <c r="C1069" i="11"/>
  <c r="E1069" i="11" s="1"/>
  <c r="C727" i="11"/>
  <c r="E727" i="11" s="1"/>
  <c r="C961" i="11"/>
  <c r="E961" i="11" s="1"/>
  <c r="C4858" i="11"/>
  <c r="E4858" i="11" s="1"/>
  <c r="C2401" i="11"/>
  <c r="E2401" i="11" s="1"/>
  <c r="C3022" i="11"/>
  <c r="E3022" i="11" s="1"/>
  <c r="C1942" i="11"/>
  <c r="E1942" i="11" s="1"/>
  <c r="C4462" i="11"/>
  <c r="E4462" i="11" s="1"/>
  <c r="C6253" i="11"/>
  <c r="E6253" i="11" s="1"/>
  <c r="C3202" i="11"/>
  <c r="E3202" i="11" s="1"/>
  <c r="C5200" i="11"/>
  <c r="E5200" i="11" s="1"/>
  <c r="C2527" i="11"/>
  <c r="E2527" i="11" s="1"/>
  <c r="C1456" i="11"/>
  <c r="E1456" i="11" s="1"/>
  <c r="C6766" i="11"/>
  <c r="E6766" i="11" s="1"/>
  <c r="C664" i="11"/>
  <c r="E664" i="11" s="1"/>
  <c r="C2257" i="11"/>
  <c r="E2257" i="11" s="1"/>
  <c r="C5290" i="11"/>
  <c r="E5290" i="11" s="1"/>
  <c r="C5299" i="11"/>
  <c r="E5299" i="11" s="1"/>
  <c r="C6667" i="11"/>
  <c r="E6667" i="11" s="1"/>
  <c r="C1429" i="11"/>
  <c r="E1429" i="11" s="1"/>
  <c r="C6019" i="11"/>
  <c r="E6019" i="11" s="1"/>
  <c r="C5155" i="11"/>
  <c r="E5155" i="11" s="1"/>
  <c r="C4246" i="11"/>
  <c r="E4246" i="11" s="1"/>
  <c r="C6361" i="11"/>
  <c r="E6361" i="11" s="1"/>
  <c r="C1564" i="11"/>
  <c r="E1564" i="11" s="1"/>
  <c r="C1726" i="11"/>
  <c r="E1726" i="11" s="1"/>
  <c r="C4930" i="11"/>
  <c r="E4930" i="11" s="1"/>
  <c r="C1177" i="11"/>
  <c r="E1177" i="11" s="1"/>
  <c r="C5389" i="11"/>
  <c r="E5389" i="11" s="1"/>
  <c r="C5839" i="11"/>
  <c r="E5839" i="11" s="1"/>
  <c r="C6811" i="11"/>
  <c r="E6811" i="11" s="1"/>
  <c r="C2554" i="11"/>
  <c r="E2554" i="11" s="1"/>
  <c r="C1420" i="11"/>
  <c r="E1420" i="11" s="1"/>
  <c r="C5083" i="11"/>
  <c r="E5083" i="11" s="1"/>
  <c r="C997" i="11"/>
  <c r="E997" i="11" s="1"/>
  <c r="C2365" i="11"/>
  <c r="E2365" i="11" s="1"/>
  <c r="C5866" i="11"/>
  <c r="E5866" i="11" s="1"/>
  <c r="C2455" i="11"/>
  <c r="E2455" i="11" s="1"/>
  <c r="C4651" i="11"/>
  <c r="E4651" i="11" s="1"/>
  <c r="C1573" i="11"/>
  <c r="E1573" i="11" s="1"/>
  <c r="C4660" i="11"/>
  <c r="E4660" i="11" s="1"/>
  <c r="C790" i="11"/>
  <c r="E790" i="11" s="1"/>
  <c r="C6946" i="11"/>
  <c r="E6946" i="11" s="1"/>
  <c r="C1861" i="11"/>
  <c r="E1861" i="11" s="1"/>
  <c r="C4255" i="11"/>
  <c r="E4255" i="11" s="1"/>
  <c r="C5731" i="11"/>
  <c r="E5731" i="11" s="1"/>
  <c r="C5236" i="11"/>
  <c r="E5236" i="11" s="1"/>
  <c r="C361" i="11"/>
  <c r="E361" i="11" s="1"/>
  <c r="C3517" i="11"/>
  <c r="E3517" i="11" s="1"/>
  <c r="C362" i="11"/>
  <c r="E362" i="11" s="1"/>
  <c r="C1663" i="11"/>
  <c r="E1663" i="11" s="1"/>
  <c r="C4066" i="11"/>
  <c r="E4066" i="11" s="1"/>
  <c r="C1897" i="11"/>
  <c r="E1897" i="11" s="1"/>
  <c r="C3985" i="11"/>
  <c r="E3985" i="11" s="1"/>
  <c r="C2500" i="11"/>
  <c r="E2500" i="11" s="1"/>
  <c r="C583" i="11"/>
  <c r="E583" i="11" s="1"/>
  <c r="C844" i="11"/>
  <c r="E844" i="11" s="1"/>
  <c r="C4867" i="11"/>
  <c r="E4867" i="11" s="1"/>
  <c r="C1987" i="11"/>
  <c r="E1987" i="11" s="1"/>
  <c r="C1915" i="11"/>
  <c r="E1915" i="11" s="1"/>
  <c r="C2995" i="11"/>
  <c r="E2995" i="11" s="1"/>
  <c r="C6505" i="11"/>
  <c r="E6505" i="11" s="1"/>
  <c r="C2851" i="11"/>
  <c r="E2851" i="11" s="1"/>
  <c r="C6352" i="11"/>
  <c r="E6352" i="11" s="1"/>
  <c r="C2671" i="11"/>
  <c r="E2671" i="11" s="1"/>
  <c r="C4894" i="11"/>
  <c r="E4894" i="11" s="1"/>
  <c r="C5830" i="11"/>
  <c r="E5830" i="11" s="1"/>
  <c r="C2689" i="11"/>
  <c r="E2689" i="11" s="1"/>
  <c r="C1978" i="11"/>
  <c r="E1978" i="11" s="1"/>
  <c r="C346" i="11"/>
  <c r="E346" i="11" s="1"/>
  <c r="C4966" i="11"/>
  <c r="E4966" i="11" s="1"/>
  <c r="C5074" i="11"/>
  <c r="E5074" i="11" s="1"/>
  <c r="C6046" i="11"/>
  <c r="E6046" i="11" s="1"/>
  <c r="C5371" i="11"/>
  <c r="E5371" i="11" s="1"/>
  <c r="C4156" i="11"/>
  <c r="E4156" i="11" s="1"/>
  <c r="C592" i="11"/>
  <c r="E592" i="11" s="1"/>
  <c r="C1690" i="11"/>
  <c r="E1690" i="11" s="1"/>
  <c r="C3211" i="11"/>
  <c r="E3211" i="11" s="1"/>
  <c r="C4561" i="11"/>
  <c r="E4561" i="11" s="1"/>
  <c r="C1546" i="11"/>
  <c r="E1546" i="11" s="1"/>
  <c r="C1231" i="11"/>
  <c r="E1231" i="11" s="1"/>
  <c r="C6100" i="11"/>
  <c r="E6100" i="11" s="1"/>
  <c r="C5605" i="11"/>
  <c r="E5605" i="11" s="1"/>
  <c r="C3616" i="11"/>
  <c r="E3616" i="11" s="1"/>
  <c r="C3823" i="11"/>
  <c r="E3823" i="11" s="1"/>
  <c r="C7105" i="11"/>
  <c r="E7105" i="11" s="1"/>
  <c r="C1276" i="11"/>
  <c r="E1276" i="11" s="1"/>
  <c r="C2230" i="11"/>
  <c r="E2230" i="11" s="1"/>
  <c r="C4714" i="11"/>
  <c r="E4714" i="11" s="1"/>
  <c r="C4957" i="11"/>
  <c r="E4957" i="11" s="1"/>
  <c r="C5002" i="11"/>
  <c r="E5002" i="11" s="1"/>
  <c r="C637" i="11"/>
  <c r="E637" i="11" s="1"/>
  <c r="C7009" i="11"/>
  <c r="E7009" i="11" s="1"/>
  <c r="C3319" i="11"/>
  <c r="E3319" i="11" s="1"/>
  <c r="C6964" i="11"/>
  <c r="E6964" i="11" s="1"/>
  <c r="C1528" i="11"/>
  <c r="E1528" i="11" s="1"/>
  <c r="C718" i="11"/>
  <c r="E718" i="11" s="1"/>
  <c r="C4003" i="11"/>
  <c r="E4003" i="11" s="1"/>
  <c r="C5506" i="11"/>
  <c r="E5506" i="11" s="1"/>
  <c r="C6109" i="11"/>
  <c r="E6109" i="11" s="1"/>
  <c r="C5974" i="11"/>
  <c r="E5974" i="11" s="1"/>
  <c r="C439" i="11"/>
  <c r="E439" i="11" s="1"/>
  <c r="C2698" i="11"/>
  <c r="E2698" i="11" s="1"/>
  <c r="C1627" i="11"/>
  <c r="E1627" i="11" s="1"/>
  <c r="C2212" i="11"/>
  <c r="E2212" i="11" s="1"/>
  <c r="C1789" i="11"/>
  <c r="E1789" i="11" s="1"/>
  <c r="C4147" i="11"/>
  <c r="E4147" i="11" s="1"/>
  <c r="C3670" i="11"/>
  <c r="E3670" i="11" s="1"/>
  <c r="C4264" i="11"/>
  <c r="E4264" i="11" s="1"/>
  <c r="C6982" i="11"/>
  <c r="E6982" i="11" s="1"/>
  <c r="C5704" i="11"/>
  <c r="E5704" i="11" s="1"/>
  <c r="C7101" i="11"/>
  <c r="E7101" i="11" s="1"/>
  <c r="C3625" i="11"/>
  <c r="E3625" i="11" s="1"/>
  <c r="C6676" i="11"/>
  <c r="E6676" i="11" s="1"/>
  <c r="C2203" i="11"/>
  <c r="E2203" i="11" s="1"/>
  <c r="C1159" i="11"/>
  <c r="E1159" i="11" s="1"/>
  <c r="C6865" i="11"/>
  <c r="E6865" i="11" s="1"/>
  <c r="C4057" i="11"/>
  <c r="E4057" i="11" s="1"/>
  <c r="C4678" i="11"/>
  <c r="E4678" i="11" s="1"/>
  <c r="C1330" i="11"/>
  <c r="E1330" i="11" s="1"/>
  <c r="C2446" i="11"/>
  <c r="E2446" i="11" s="1"/>
  <c r="C2482" i="11"/>
  <c r="E2482" i="11" s="1"/>
  <c r="C1969" i="11"/>
  <c r="E1969" i="11" s="1"/>
  <c r="C202" i="11"/>
  <c r="E202" i="11" s="1"/>
  <c r="C4291" i="11"/>
  <c r="E4291" i="11" s="1"/>
  <c r="C6712" i="11"/>
  <c r="E6712" i="11" s="1"/>
  <c r="C5146" i="11"/>
  <c r="E5146" i="11" s="1"/>
  <c r="C5380" i="11"/>
  <c r="E5380" i="11" s="1"/>
  <c r="C363" i="11"/>
  <c r="E363" i="11" s="1"/>
  <c r="C646" i="11"/>
  <c r="E646" i="11" s="1"/>
  <c r="C3580" i="11"/>
  <c r="E3580" i="11" s="1"/>
  <c r="C3364" i="11"/>
  <c r="E3364" i="11" s="1"/>
  <c r="C5965" i="11"/>
  <c r="E5965" i="11" s="1"/>
  <c r="C2635" i="11"/>
  <c r="E2635" i="11" s="1"/>
  <c r="C6226" i="11"/>
  <c r="E6226" i="11" s="1"/>
  <c r="C970" i="11"/>
  <c r="E970" i="11" s="1"/>
  <c r="C5560" i="11"/>
  <c r="E5560" i="11" s="1"/>
  <c r="C3850" i="11"/>
  <c r="E3850" i="11" s="1"/>
  <c r="C1798" i="11"/>
  <c r="E1798" i="11" s="1"/>
  <c r="C3841" i="11"/>
  <c r="E3841" i="11" s="1"/>
  <c r="C5983" i="11"/>
  <c r="E5983" i="11" s="1"/>
  <c r="C934" i="11"/>
  <c r="E934" i="11" s="1"/>
  <c r="C6280" i="11"/>
  <c r="E6280" i="11" s="1"/>
  <c r="C826" i="11"/>
  <c r="E826" i="11" s="1"/>
  <c r="C1294" i="11"/>
  <c r="E1294" i="11" s="1"/>
  <c r="C2644" i="11"/>
  <c r="E2644" i="11" s="1"/>
  <c r="C4300" i="11"/>
  <c r="E4300" i="11" s="1"/>
  <c r="C7027" i="11"/>
  <c r="E7027" i="11" s="1"/>
  <c r="C1879" i="11"/>
  <c r="E1879" i="11" s="1"/>
  <c r="C6640" i="11"/>
  <c r="E6640" i="11" s="1"/>
  <c r="C3697" i="11"/>
  <c r="E3697" i="11" s="1"/>
  <c r="C6541" i="11"/>
  <c r="E6541" i="11" s="1"/>
  <c r="C4282" i="11"/>
  <c r="E4282" i="11" s="1"/>
  <c r="C2950" i="11"/>
  <c r="E2950" i="11" s="1"/>
  <c r="C3895" i="11"/>
  <c r="E3895" i="11" s="1"/>
  <c r="C6136" i="11"/>
  <c r="E6136" i="11" s="1"/>
  <c r="C1312" i="11"/>
  <c r="E1312" i="11" s="1"/>
  <c r="C6856" i="11"/>
  <c r="E6856" i="11" s="1"/>
  <c r="C3526" i="11"/>
  <c r="E3526" i="11" s="1"/>
  <c r="C3229" i="11"/>
  <c r="E3229" i="11" s="1"/>
  <c r="C4390" i="11"/>
  <c r="E4390" i="11" s="1"/>
  <c r="C4552" i="11"/>
  <c r="E4552" i="11" s="1"/>
  <c r="C979" i="11"/>
  <c r="E979" i="11" s="1"/>
  <c r="C6433" i="11"/>
  <c r="E6433" i="11" s="1"/>
  <c r="C2284" i="11"/>
  <c r="E2284" i="11" s="1"/>
  <c r="C2509" i="11"/>
  <c r="E2509" i="11" s="1"/>
  <c r="C2428" i="11"/>
  <c r="E2428" i="11" s="1"/>
  <c r="C6442" i="11"/>
  <c r="E6442" i="11" s="1"/>
  <c r="C4102" i="11"/>
  <c r="E4102" i="11" s="1"/>
  <c r="C4588" i="11"/>
  <c r="E4588" i="11" s="1"/>
  <c r="C6451" i="11"/>
  <c r="E6451" i="11" s="1"/>
  <c r="C3391" i="11"/>
  <c r="E3391" i="11" s="1"/>
  <c r="C6424" i="11"/>
  <c r="E6424" i="11" s="1"/>
  <c r="C5794" i="11"/>
  <c r="E5794" i="11" s="1"/>
  <c r="C988" i="11"/>
  <c r="E988" i="11" s="1"/>
  <c r="C4444" i="11"/>
  <c r="E4444" i="11" s="1"/>
  <c r="C4831" i="11"/>
  <c r="E4831" i="11" s="1"/>
  <c r="C1195" i="11"/>
  <c r="E1195" i="11" s="1"/>
  <c r="C5659" i="11"/>
  <c r="E5659" i="11" s="1"/>
  <c r="C6604" i="11"/>
  <c r="E6604" i="11" s="1"/>
  <c r="C6847" i="11"/>
  <c r="E6847" i="11" s="1"/>
  <c r="C5335" i="11"/>
  <c r="E5335" i="11" s="1"/>
  <c r="C2347" i="11"/>
  <c r="E2347" i="11" s="1"/>
  <c r="C3589" i="11"/>
  <c r="E3589" i="11" s="1"/>
  <c r="C457" i="11"/>
  <c r="E457" i="11" s="1"/>
  <c r="C6316" i="11"/>
  <c r="E6316" i="11" s="1"/>
  <c r="C3868" i="11"/>
  <c r="E3868" i="11" s="1"/>
  <c r="C1060" i="11"/>
  <c r="E1060" i="11" s="1"/>
  <c r="C3967" i="11"/>
  <c r="E3967" i="11" s="1"/>
  <c r="C3247" i="11"/>
  <c r="E3247" i="11" s="1"/>
  <c r="C2014" i="11"/>
  <c r="E2014" i="11" s="1"/>
  <c r="C4363" i="11"/>
  <c r="E4363" i="11" s="1"/>
  <c r="C5452" i="11"/>
  <c r="E5452" i="11" s="1"/>
  <c r="C1717" i="11"/>
  <c r="E1717" i="11" s="1"/>
  <c r="C3886" i="11"/>
  <c r="E3886" i="11" s="1"/>
  <c r="C5317" i="11"/>
  <c r="E5317" i="11" s="1"/>
  <c r="C4012" i="11"/>
  <c r="E4012" i="11" s="1"/>
  <c r="C6928" i="11"/>
  <c r="E6928" i="11" s="1"/>
  <c r="C2599" i="11"/>
  <c r="E2599" i="11" s="1"/>
  <c r="C3184" i="11"/>
  <c r="E3184" i="11" s="1"/>
  <c r="C6334" i="11"/>
  <c r="E6334" i="11" s="1"/>
  <c r="C3571" i="11"/>
  <c r="E3571" i="11" s="1"/>
  <c r="C1636" i="11"/>
  <c r="E1636" i="11" s="1"/>
  <c r="C2743" i="11"/>
  <c r="E2743" i="11" s="1"/>
  <c r="C4192" i="11"/>
  <c r="E4192" i="11" s="1"/>
  <c r="C2887" i="11"/>
  <c r="E2887" i="11" s="1"/>
  <c r="C2437" i="11"/>
  <c r="E2437" i="11" s="1"/>
  <c r="C880" i="11"/>
  <c r="E880" i="11" s="1"/>
  <c r="C3877" i="11"/>
  <c r="E3877" i="11" s="1"/>
  <c r="C673" i="11"/>
  <c r="E673" i="11" s="1"/>
  <c r="C220" i="11"/>
  <c r="E220" i="11" s="1"/>
  <c r="C5614" i="11"/>
  <c r="E5614" i="11" s="1"/>
  <c r="C3004" i="11"/>
  <c r="E3004" i="11" s="1"/>
  <c r="C2923" i="11"/>
  <c r="E2923" i="11" s="1"/>
  <c r="C2617" i="11"/>
  <c r="E2617" i="11" s="1"/>
  <c r="C5245" i="11"/>
  <c r="E5245" i="11" s="1"/>
  <c r="C4606" i="11"/>
  <c r="E4606" i="11" s="1"/>
  <c r="C1123" i="11"/>
  <c r="E1123" i="11" s="1"/>
  <c r="C1150" i="11"/>
  <c r="E1150" i="11" s="1"/>
  <c r="C3265" i="11"/>
  <c r="E3265" i="11" s="1"/>
  <c r="C4579" i="11"/>
  <c r="E4579" i="11" s="1"/>
  <c r="C7000" i="11"/>
  <c r="E7000" i="11" s="1"/>
  <c r="C5713" i="11"/>
  <c r="E5713" i="11" s="1"/>
  <c r="C1843" i="11"/>
  <c r="E1843" i="11" s="1"/>
  <c r="C1285" i="11"/>
  <c r="E1285" i="11" s="1"/>
  <c r="C2869" i="11"/>
  <c r="E2869" i="11" s="1"/>
  <c r="C1006" i="11"/>
  <c r="E1006" i="11" s="1"/>
  <c r="C7053" i="11"/>
  <c r="E7053" i="11" s="1"/>
  <c r="C1555" i="11"/>
  <c r="E1555" i="11" s="1"/>
  <c r="C121" i="11"/>
  <c r="E121" i="11" s="1"/>
  <c r="C4399" i="11"/>
  <c r="E4399" i="11" s="1"/>
  <c r="C6208" i="11"/>
  <c r="E6208" i="11" s="1"/>
  <c r="C2680" i="11"/>
  <c r="E2680" i="11" s="1"/>
  <c r="C1699" i="11"/>
  <c r="E1699" i="11" s="1"/>
  <c r="C3130" i="11"/>
  <c r="E3130" i="11" s="1"/>
  <c r="C2221" i="11"/>
  <c r="E2221" i="11" s="1"/>
  <c r="C2968" i="11"/>
  <c r="E2968" i="11" s="1"/>
  <c r="C4273" i="11"/>
  <c r="E4273" i="11" s="1"/>
  <c r="C3148" i="11"/>
  <c r="E3148" i="11" s="1"/>
  <c r="C3040" i="11"/>
  <c r="E3040" i="11" s="1"/>
  <c r="C1096" i="11"/>
  <c r="E1096" i="11" s="1"/>
  <c r="C3742" i="11"/>
  <c r="E3742" i="11" s="1"/>
  <c r="C3913" i="11"/>
  <c r="E3913" i="11" s="1"/>
  <c r="C1762" i="11"/>
  <c r="E1762" i="11" s="1"/>
  <c r="C4696" i="11"/>
  <c r="E4696" i="11" s="1"/>
  <c r="C4939" i="11"/>
  <c r="E4939" i="11" s="1"/>
  <c r="C1816" i="11"/>
  <c r="E1816" i="11" s="1"/>
  <c r="C2590" i="11"/>
  <c r="E2590" i="11" s="1"/>
  <c r="C5947" i="11"/>
  <c r="E5947" i="11" s="1"/>
  <c r="C5749" i="11"/>
  <c r="E5749" i="11" s="1"/>
  <c r="C6127" i="11"/>
  <c r="E6127" i="11" s="1"/>
  <c r="C2914" i="11"/>
  <c r="E2914" i="11" s="1"/>
  <c r="C4732" i="11"/>
  <c r="E4732" i="11" s="1"/>
  <c r="C6055" i="11"/>
  <c r="E6055" i="11" s="1"/>
  <c r="C565" i="11"/>
  <c r="E565" i="11" s="1"/>
  <c r="C763" i="11"/>
  <c r="E763" i="11" s="1"/>
  <c r="C3436" i="11"/>
  <c r="E3436" i="11" s="1"/>
  <c r="C817" i="11"/>
  <c r="E817" i="11" s="1"/>
  <c r="C1087" i="11"/>
  <c r="E1087" i="11" s="1"/>
  <c r="C5227" i="11"/>
  <c r="E5227" i="11" s="1"/>
  <c r="C2977" i="11"/>
  <c r="E2977" i="11" s="1"/>
  <c r="C1321" i="11"/>
  <c r="E1321" i="11" s="1"/>
  <c r="C655" i="11"/>
  <c r="E655" i="11" s="1"/>
  <c r="C1348" i="11"/>
  <c r="E1348" i="11" s="1"/>
  <c r="C2059" i="11"/>
  <c r="E2059" i="11" s="1"/>
  <c r="C6487" i="11"/>
  <c r="E6487" i="11" s="1"/>
  <c r="C682" i="11"/>
  <c r="E682" i="11" s="1"/>
  <c r="C6073" i="11"/>
  <c r="E6073" i="11" s="1"/>
  <c r="C5569" i="11"/>
  <c r="E5569" i="11" s="1"/>
  <c r="C4228" i="11"/>
  <c r="E4228" i="11" s="1"/>
  <c r="C5848" i="11"/>
  <c r="E5848" i="11" s="1"/>
  <c r="C3445" i="11"/>
  <c r="E3445" i="11" s="1"/>
  <c r="C5812" i="11"/>
  <c r="E5812" i="11" s="1"/>
  <c r="C5344" i="11"/>
  <c r="E5344" i="11" s="1"/>
  <c r="C6820" i="11"/>
  <c r="E6820" i="11" s="1"/>
  <c r="C5272" i="11"/>
  <c r="E5272" i="11" s="1"/>
  <c r="C2986" i="11"/>
  <c r="E2986" i="11" s="1"/>
  <c r="C1132" i="11"/>
  <c r="E1132" i="11" s="1"/>
  <c r="C5578" i="11"/>
  <c r="E5578" i="11" s="1"/>
  <c r="C484" i="11"/>
  <c r="E484" i="11" s="1"/>
  <c r="C2104" i="11"/>
  <c r="E2104" i="11" s="1"/>
  <c r="C4912" i="11"/>
  <c r="E4912" i="11" s="1"/>
  <c r="C2419" i="11"/>
  <c r="E2419" i="11" s="1"/>
  <c r="C6028" i="11"/>
  <c r="E6028" i="11" s="1"/>
  <c r="C4048" i="11"/>
  <c r="E4048" i="11" s="1"/>
  <c r="C2860" i="11"/>
  <c r="E2860" i="11" s="1"/>
  <c r="C4435" i="11"/>
  <c r="E4435" i="11" s="1"/>
  <c r="C3760" i="11"/>
  <c r="E3760" i="11" s="1"/>
  <c r="C1204" i="11"/>
  <c r="E1204" i="11" s="1"/>
  <c r="C5173" i="11"/>
  <c r="E5173" i="11" s="1"/>
  <c r="C4336" i="11"/>
  <c r="E4336" i="11" s="1"/>
  <c r="C4165" i="11"/>
  <c r="E4165" i="11" s="1"/>
  <c r="C5434" i="11"/>
  <c r="E5434" i="11" s="1"/>
  <c r="C1483" i="11"/>
  <c r="E1483" i="11" s="1"/>
  <c r="C2095" i="11"/>
  <c r="E2095" i="11" s="1"/>
  <c r="C3409" i="11"/>
  <c r="E3409" i="11" s="1"/>
  <c r="C916" i="11"/>
  <c r="E916" i="11" s="1"/>
  <c r="C2410" i="11"/>
  <c r="E2410" i="11" s="1"/>
  <c r="C6991" i="11"/>
  <c r="E6991" i="11" s="1"/>
  <c r="C2302" i="11"/>
  <c r="E2302" i="11" s="1"/>
  <c r="C6154" i="11"/>
  <c r="E6154" i="11" s="1"/>
  <c r="C6289" i="11"/>
  <c r="E6289" i="11" s="1"/>
  <c r="C5479" i="11"/>
  <c r="E5479" i="11" s="1"/>
  <c r="C3778" i="11"/>
  <c r="E3778" i="11" s="1"/>
  <c r="C2239" i="11"/>
  <c r="E2239" i="11" s="1"/>
  <c r="C4498" i="11"/>
  <c r="E4498" i="11" s="1"/>
  <c r="C6001" i="11"/>
  <c r="E6001" i="11" s="1"/>
  <c r="C6307" i="11"/>
  <c r="E6307" i="11" s="1"/>
  <c r="C2662" i="11"/>
  <c r="E2662" i="11" s="1"/>
  <c r="C2896" i="11"/>
  <c r="E2896" i="11" s="1"/>
  <c r="C3652" i="11"/>
  <c r="E3652" i="11" s="1"/>
  <c r="C1366" i="11"/>
  <c r="E1366" i="11" s="1"/>
  <c r="C3175" i="11"/>
  <c r="E3175" i="11" s="1"/>
  <c r="C754" i="11"/>
  <c r="E754" i="11" s="1"/>
  <c r="C2464" i="11"/>
  <c r="E2464" i="11" s="1"/>
  <c r="C2473" i="11"/>
  <c r="E2473" i="11" s="1"/>
  <c r="C2779" i="11"/>
  <c r="E2779" i="11" s="1"/>
  <c r="C2878" i="11"/>
  <c r="E2878" i="11" s="1"/>
  <c r="C3049" i="11"/>
  <c r="E3049" i="11" s="1"/>
  <c r="C5596" i="11"/>
  <c r="E5596" i="11" s="1"/>
  <c r="C1303" i="11"/>
  <c r="E1303" i="11" s="1"/>
  <c r="C1078" i="11"/>
  <c r="E1078" i="11" s="1"/>
  <c r="C4642" i="11"/>
  <c r="E4642" i="11" s="1"/>
  <c r="C3607" i="11"/>
  <c r="E3607" i="11" s="1"/>
  <c r="C3472" i="11"/>
  <c r="E3472" i="11" s="1"/>
  <c r="C2167" i="11"/>
  <c r="E2167" i="11" s="1"/>
  <c r="C6532" i="11"/>
  <c r="E6532" i="11" s="1"/>
  <c r="C3346" i="11"/>
  <c r="E3346" i="11" s="1"/>
  <c r="C4183" i="11"/>
  <c r="E4183" i="11" s="1"/>
  <c r="C4480" i="11"/>
  <c r="E4480" i="11" s="1"/>
  <c r="C3382" i="11"/>
  <c r="E3382" i="11" s="1"/>
  <c r="C2293" i="11"/>
  <c r="E2293" i="11" s="1"/>
  <c r="C2824" i="11"/>
  <c r="E2824" i="11" s="1"/>
  <c r="C5137" i="11"/>
  <c r="E5137" i="11" s="1"/>
  <c r="C3085" i="11"/>
  <c r="E3085" i="11" s="1"/>
  <c r="C1051" i="11"/>
  <c r="E1051" i="11" s="1"/>
  <c r="C4318" i="11"/>
  <c r="E4318" i="11" s="1"/>
  <c r="C2833" i="11"/>
  <c r="E2833" i="11" s="1"/>
  <c r="C2842" i="11"/>
  <c r="E2842" i="11" s="1"/>
  <c r="C4327" i="11"/>
  <c r="E4327" i="11" s="1"/>
  <c r="C610" i="11"/>
  <c r="E610" i="11" s="1"/>
  <c r="C1222" i="11"/>
  <c r="E1222" i="11" s="1"/>
  <c r="C1447" i="11"/>
  <c r="E1447" i="11" s="1"/>
  <c r="C1465" i="11"/>
  <c r="E1465" i="11" s="1"/>
  <c r="C1708" i="11"/>
  <c r="E1708" i="11" s="1"/>
  <c r="C1924" i="11"/>
  <c r="E1924" i="11" s="1"/>
  <c r="C493" i="11"/>
  <c r="E493" i="11" s="1"/>
  <c r="C2320" i="11"/>
  <c r="E2320" i="11" s="1"/>
  <c r="C2329" i="11"/>
  <c r="E2329" i="11" s="1"/>
  <c r="C2518" i="11"/>
  <c r="E2518" i="11" s="1"/>
  <c r="C4876" i="11"/>
  <c r="E4876" i="11" s="1"/>
  <c r="C2959" i="11"/>
  <c r="E2959" i="11" s="1"/>
  <c r="C3121" i="11"/>
  <c r="E3121" i="11" s="1"/>
  <c r="C3454" i="11"/>
  <c r="E3454" i="11" s="1"/>
  <c r="C5398" i="11"/>
  <c r="E5398" i="11" s="1"/>
  <c r="C3904" i="11"/>
  <c r="E3904" i="11" s="1"/>
  <c r="C4201" i="11"/>
  <c r="E4201" i="11" s="1"/>
  <c r="C4210" i="11"/>
  <c r="E4210" i="11" s="1"/>
  <c r="C511" i="11"/>
  <c r="E511" i="11" s="1"/>
  <c r="C4768" i="11"/>
  <c r="E4768" i="11" s="1"/>
  <c r="C4786" i="11"/>
  <c r="E4786" i="11" s="1"/>
  <c r="C4813" i="11"/>
  <c r="E4813" i="11" s="1"/>
  <c r="C4840" i="11"/>
  <c r="E4840" i="11" s="1"/>
  <c r="C538" i="11"/>
  <c r="E538" i="11" s="1"/>
  <c r="C5254" i="11"/>
  <c r="E5254" i="11" s="1"/>
  <c r="C5362" i="11"/>
  <c r="E5362" i="11" s="1"/>
  <c r="C547" i="11"/>
  <c r="E547" i="11" s="1"/>
  <c r="C6091" i="11"/>
  <c r="E6091" i="11" s="1"/>
  <c r="C6775" i="11"/>
  <c r="E6775" i="11" s="1"/>
  <c r="C6793" i="11"/>
  <c r="E6793" i="11" s="1"/>
  <c r="C5740" i="11"/>
  <c r="E5740" i="11" s="1"/>
  <c r="C6145" i="11"/>
  <c r="E6145" i="11" s="1"/>
  <c r="C6262" i="11"/>
  <c r="E6262" i="11" s="1"/>
  <c r="C6343" i="11"/>
  <c r="E6343" i="11" s="1"/>
  <c r="C6559" i="11"/>
  <c r="E6559" i="11" s="1"/>
  <c r="C4795" i="11"/>
  <c r="E4795" i="11" s="1"/>
  <c r="C184" i="11"/>
  <c r="E184" i="11" s="1"/>
  <c r="C157" i="11"/>
  <c r="E157" i="11" s="1"/>
  <c r="C247" i="11"/>
  <c r="E247" i="11" s="1"/>
  <c r="C274" i="11"/>
  <c r="E274" i="11" s="1"/>
  <c r="C265" i="11"/>
  <c r="E265" i="11" s="1"/>
  <c r="C283" i="11"/>
  <c r="E283" i="11" s="1"/>
  <c r="C292" i="11"/>
  <c r="E292" i="11" s="1"/>
  <c r="C40" i="11"/>
  <c r="E40" i="11" s="1"/>
  <c r="C394" i="11"/>
  <c r="E394" i="11" s="1"/>
  <c r="C3" i="11"/>
  <c r="E3" i="11" s="1"/>
  <c r="C1213" i="11"/>
  <c r="E1213" i="11" s="1"/>
  <c r="C412" i="11"/>
  <c r="E412" i="11" s="1"/>
  <c r="C13" i="11"/>
  <c r="E13" i="11" s="1"/>
  <c r="C1825" i="11"/>
  <c r="E1825" i="11" s="1"/>
  <c r="C502" i="11"/>
  <c r="E502" i="11" s="1"/>
  <c r="C49" i="11"/>
  <c r="E49" i="11" s="1"/>
  <c r="C67" i="11"/>
  <c r="E67" i="11" s="1"/>
  <c r="C58" i="11"/>
  <c r="E58" i="11" s="1"/>
  <c r="C76" i="11"/>
  <c r="E76" i="11" s="1"/>
  <c r="C85" i="11"/>
  <c r="E85" i="11" s="1"/>
  <c r="C103" i="11"/>
  <c r="E103" i="11" s="1"/>
  <c r="C112" i="11"/>
  <c r="E112" i="11" s="1"/>
  <c r="C430" i="11"/>
  <c r="E430" i="11" s="1"/>
  <c r="C448" i="11"/>
  <c r="E448" i="11" s="1"/>
  <c r="C139" i="11"/>
  <c r="E139" i="11" s="1"/>
  <c r="C148" i="11"/>
  <c r="E148" i="11" s="1"/>
  <c r="C175" i="11"/>
  <c r="E175" i="11" s="1"/>
  <c r="C520" i="11"/>
  <c r="E520" i="11" s="1"/>
  <c r="C466" i="11"/>
  <c r="E466" i="11" s="1"/>
  <c r="C166" i="11"/>
  <c r="E166" i="11" s="1"/>
  <c r="C193" i="11"/>
  <c r="E193" i="11" s="1"/>
  <c r="C556" i="11"/>
  <c r="E556" i="11" s="1"/>
  <c r="C229" i="11"/>
  <c r="E229" i="11" s="1"/>
  <c r="C238" i="11"/>
  <c r="E238" i="11" s="1"/>
  <c r="C256" i="11"/>
  <c r="E256" i="11" s="1"/>
  <c r="C328" i="11"/>
  <c r="E328" i="11" s="1"/>
  <c r="C310" i="11"/>
  <c r="E310" i="11" s="1"/>
  <c r="C6784" i="11"/>
  <c r="E6784" i="11" s="1"/>
  <c r="C5920" i="11"/>
  <c r="E5920" i="11" s="1"/>
  <c r="C2338" i="11"/>
  <c r="E2338" i="11" s="1"/>
  <c r="C3544" i="11"/>
  <c r="E3544" i="11" s="1"/>
  <c r="C364" i="11"/>
  <c r="E364" i="11" s="1"/>
  <c r="C94" i="11"/>
  <c r="E94" i="11" s="1"/>
  <c r="C736" i="11"/>
  <c r="E736" i="11" s="1"/>
  <c r="C6217" i="11"/>
  <c r="E6217" i="11" s="1"/>
  <c r="C574" i="11"/>
  <c r="E574" i="11" s="1"/>
  <c r="C2716" i="11"/>
  <c r="E2716" i="11" s="1"/>
  <c r="C365" i="11"/>
  <c r="E365" i="11" s="1"/>
  <c r="C366" i="11"/>
  <c r="E366" i="11" s="1"/>
  <c r="C6199" i="11"/>
  <c r="E6199" i="11" s="1"/>
  <c r="C2311" i="11"/>
  <c r="E2311" i="11" s="1"/>
  <c r="C367" i="11"/>
  <c r="E367" i="11" s="1"/>
  <c r="C1249" i="11"/>
  <c r="E1249" i="11" s="1"/>
  <c r="C6838" i="11"/>
  <c r="E6838" i="11" s="1"/>
  <c r="C6802" i="11"/>
  <c r="E6802" i="11" s="1"/>
  <c r="C368" i="11"/>
  <c r="E368" i="11" s="1"/>
  <c r="C4507" i="11"/>
  <c r="E4507" i="11" s="1"/>
  <c r="C301" i="11"/>
  <c r="E301" i="11" s="1"/>
  <c r="C5416" i="11"/>
  <c r="E5416" i="11" s="1"/>
  <c r="C7086" i="11"/>
  <c r="E7086" i="11" s="1"/>
  <c r="C4426" i="11"/>
  <c r="E4426" i="11" s="1"/>
  <c r="C1537" i="11"/>
  <c r="E1537" i="11" s="1"/>
  <c r="C1951" i="11"/>
  <c r="E1951" i="11" s="1"/>
  <c r="C6703" i="11"/>
  <c r="E6703" i="11" s="1"/>
  <c r="C6397" i="11"/>
  <c r="E6397" i="11" s="1"/>
  <c r="C7044" i="11"/>
  <c r="E7044" i="11" s="1"/>
  <c r="C602" i="11"/>
  <c r="E602" i="11" s="1"/>
  <c r="C710" i="11"/>
  <c r="E710" i="11" s="1"/>
  <c r="C800" i="11"/>
  <c r="E800" i="11" s="1"/>
  <c r="C890" i="11"/>
  <c r="E890" i="11" s="1"/>
  <c r="C926" i="11"/>
  <c r="E926" i="11" s="1"/>
  <c r="C1043" i="11"/>
  <c r="E1043" i="11" s="1"/>
  <c r="C1241" i="11"/>
  <c r="E1241" i="11" s="1"/>
  <c r="C1340" i="11"/>
  <c r="E1340" i="11" s="1"/>
  <c r="C1745" i="11"/>
  <c r="E1745" i="11" s="1"/>
  <c r="C23" i="11"/>
  <c r="E23" i="11" s="1"/>
  <c r="C1835" i="11"/>
  <c r="E1835" i="11" s="1"/>
  <c r="C2024" i="11"/>
  <c r="E2024" i="11" s="1"/>
  <c r="C2267" i="11"/>
  <c r="E2267" i="11" s="1"/>
  <c r="C2582" i="11"/>
  <c r="E2582" i="11" s="1"/>
  <c r="C2654" i="11"/>
  <c r="E2654" i="11" s="1"/>
  <c r="C2708" i="11"/>
  <c r="E2708" i="11" s="1"/>
  <c r="C2033" i="11"/>
  <c r="E2033" i="11" s="1"/>
  <c r="C2726" i="11"/>
  <c r="E2726" i="11" s="1"/>
  <c r="C3284" i="11"/>
  <c r="E3284" i="11" s="1"/>
  <c r="C3302" i="11"/>
  <c r="E3302" i="11" s="1"/>
  <c r="C3419" i="11"/>
  <c r="E3419" i="11" s="1"/>
  <c r="C422" i="11"/>
  <c r="E422" i="11" s="1"/>
  <c r="C3491" i="11"/>
  <c r="E3491" i="11" s="1"/>
  <c r="C3563" i="11"/>
  <c r="E3563" i="11" s="1"/>
  <c r="C3599" i="11"/>
  <c r="E3599" i="11" s="1"/>
  <c r="C3752" i="11"/>
  <c r="E3752" i="11" s="1"/>
  <c r="C3797" i="11"/>
  <c r="E3797" i="11" s="1"/>
  <c r="C3815" i="11"/>
  <c r="E3815" i="11" s="1"/>
  <c r="C4076" i="11"/>
  <c r="E4076" i="11" s="1"/>
  <c r="C4139" i="11"/>
  <c r="E4139" i="11" s="1"/>
  <c r="C4346" i="11"/>
  <c r="E4346" i="11" s="1"/>
  <c r="C4418" i="11"/>
  <c r="E4418" i="11" s="1"/>
  <c r="C4472" i="11"/>
  <c r="E4472" i="11" s="1"/>
  <c r="C4517" i="11"/>
  <c r="E4517" i="11" s="1"/>
  <c r="C4634" i="11"/>
  <c r="E4634" i="11" s="1"/>
  <c r="C4688" i="11"/>
  <c r="E4688" i="11" s="1"/>
  <c r="C4742" i="11"/>
  <c r="E4742" i="11" s="1"/>
  <c r="C4751" i="11"/>
  <c r="E4751" i="11" s="1"/>
  <c r="C4760" i="11"/>
  <c r="E4760" i="11" s="1"/>
  <c r="C4778" i="11"/>
  <c r="E4778" i="11" s="1"/>
  <c r="C530" i="11"/>
  <c r="E530" i="11" s="1"/>
  <c r="C4985" i="11"/>
  <c r="E4985" i="11" s="1"/>
  <c r="C5120" i="11"/>
  <c r="E5120" i="11" s="1"/>
  <c r="C5183" i="11"/>
  <c r="E5183" i="11" s="1"/>
  <c r="C5219" i="11"/>
  <c r="E5219" i="11" s="1"/>
  <c r="C5354" i="11"/>
  <c r="E5354" i="11" s="1"/>
  <c r="C5408" i="11"/>
  <c r="E5408" i="11" s="1"/>
  <c r="C5444" i="11"/>
  <c r="E5444" i="11" s="1"/>
  <c r="C5534" i="11"/>
  <c r="E5534" i="11" s="1"/>
  <c r="C5588" i="11"/>
  <c r="E5588" i="11" s="1"/>
  <c r="C5642" i="11"/>
  <c r="E5642" i="11" s="1"/>
  <c r="C5696" i="11"/>
  <c r="E5696" i="11" s="1"/>
  <c r="C338" i="11"/>
  <c r="E338" i="11" s="1"/>
  <c r="C6191" i="11"/>
  <c r="E6191" i="11" s="1"/>
  <c r="C6272" i="11"/>
  <c r="E6272" i="11" s="1"/>
  <c r="C6299" i="11"/>
  <c r="E6299" i="11" s="1"/>
  <c r="C6389" i="11"/>
  <c r="E6389" i="11" s="1"/>
  <c r="C6596" i="11"/>
  <c r="E6596" i="11" s="1"/>
  <c r="C6614" i="11"/>
  <c r="E6614" i="11" s="1"/>
  <c r="C6875" i="11"/>
  <c r="E6875" i="11" s="1"/>
  <c r="C7019" i="11"/>
  <c r="E7019" i="11" s="1"/>
  <c r="C620" i="11"/>
  <c r="E620" i="11" s="1"/>
  <c r="C629" i="11"/>
  <c r="E629" i="11" s="1"/>
  <c r="C701" i="11"/>
  <c r="E701" i="11" s="1"/>
  <c r="C746" i="11"/>
  <c r="E746" i="11" s="1"/>
  <c r="C692" i="11"/>
  <c r="E692" i="11" s="1"/>
  <c r="C773" i="11"/>
  <c r="E773" i="11" s="1"/>
  <c r="C782" i="11"/>
  <c r="E782" i="11" s="1"/>
  <c r="C809" i="11"/>
  <c r="E809" i="11" s="1"/>
  <c r="C386" i="11"/>
  <c r="E386" i="11" s="1"/>
  <c r="C836" i="11"/>
  <c r="E836" i="11" s="1"/>
  <c r="C854" i="11"/>
  <c r="E854" i="11" s="1"/>
  <c r="C863" i="11"/>
  <c r="E863" i="11" s="1"/>
  <c r="C872" i="11"/>
  <c r="E872" i="11" s="1"/>
  <c r="C899" i="11"/>
  <c r="E899" i="11" s="1"/>
  <c r="C908" i="11"/>
  <c r="E908" i="11" s="1"/>
  <c r="C953" i="11"/>
  <c r="E953" i="11" s="1"/>
  <c r="C1034" i="11"/>
  <c r="E1034" i="11" s="1"/>
  <c r="C1025" i="11"/>
  <c r="E1025" i="11" s="1"/>
  <c r="C1106" i="11"/>
  <c r="E1106" i="11" s="1"/>
  <c r="C1115" i="11"/>
  <c r="E1115" i="11" s="1"/>
  <c r="C1142" i="11"/>
  <c r="E1142" i="11" s="1"/>
  <c r="C1169" i="11"/>
  <c r="E1169" i="11" s="1"/>
  <c r="C1187" i="11"/>
  <c r="E1187" i="11" s="1"/>
  <c r="C1259" i="11"/>
  <c r="E1259" i="11" s="1"/>
  <c r="C1268" i="11"/>
  <c r="E1268" i="11" s="1"/>
  <c r="C1412" i="11"/>
  <c r="E1412" i="11" s="1"/>
  <c r="C6722" i="11"/>
  <c r="E6722" i="11" s="1"/>
  <c r="C1358" i="11"/>
  <c r="E1358" i="11" s="1"/>
  <c r="C1475" i="11"/>
  <c r="E1475" i="11" s="1"/>
  <c r="C1583" i="11"/>
  <c r="E1583" i="11" s="1"/>
  <c r="C1385" i="11"/>
  <c r="E1385" i="11" s="1"/>
  <c r="C1655" i="11"/>
  <c r="E1655" i="11" s="1"/>
  <c r="C1394" i="11"/>
  <c r="E1394" i="11" s="1"/>
  <c r="C1403" i="11"/>
  <c r="E1403" i="11" s="1"/>
  <c r="C1493" i="11"/>
  <c r="E1493" i="11" s="1"/>
  <c r="C1781" i="11"/>
  <c r="E1781" i="11" s="1"/>
  <c r="C1610" i="11"/>
  <c r="E1610" i="11" s="1"/>
  <c r="C1439" i="11"/>
  <c r="E1439" i="11" s="1"/>
  <c r="C1619" i="11"/>
  <c r="E1619" i="11" s="1"/>
  <c r="C1646" i="11"/>
  <c r="E1646" i="11" s="1"/>
  <c r="C1502" i="11"/>
  <c r="E1502" i="11" s="1"/>
  <c r="C1754" i="11"/>
  <c r="E1754" i="11" s="1"/>
  <c r="C1520" i="11"/>
  <c r="E1520" i="11" s="1"/>
  <c r="C1673" i="11"/>
  <c r="E1673" i="11" s="1"/>
  <c r="C404" i="11"/>
  <c r="E404" i="11" s="1"/>
  <c r="C1772" i="11"/>
  <c r="E1772" i="11" s="1"/>
  <c r="C1808" i="11"/>
  <c r="E1808" i="11" s="1"/>
  <c r="C1889" i="11"/>
  <c r="E1889" i="11" s="1"/>
  <c r="C1736" i="11"/>
  <c r="E1736" i="11" s="1"/>
  <c r="C1376" i="11"/>
  <c r="E1376" i="11" s="1"/>
  <c r="C1853" i="11"/>
  <c r="E1853" i="11" s="1"/>
  <c r="C32" i="11"/>
  <c r="E32" i="11" s="1"/>
  <c r="C1934" i="11"/>
  <c r="E1934" i="11" s="1"/>
  <c r="C1907" i="11"/>
  <c r="E1907" i="11" s="1"/>
  <c r="C3428" i="11"/>
  <c r="E3428" i="11" s="1"/>
  <c r="C1961" i="11"/>
  <c r="E1961" i="11" s="1"/>
  <c r="C1997" i="11"/>
  <c r="E1997" i="11" s="1"/>
  <c r="C2042" i="11"/>
  <c r="E2042" i="11" s="1"/>
  <c r="C2051" i="11"/>
  <c r="E2051" i="11" s="1"/>
  <c r="C2069" i="11"/>
  <c r="E2069" i="11" s="1"/>
  <c r="C2078" i="11"/>
  <c r="E2078" i="11" s="1"/>
  <c r="C2087" i="11"/>
  <c r="E2087" i="11" s="1"/>
  <c r="C2123" i="11"/>
  <c r="E2123" i="11" s="1"/>
  <c r="C2132" i="11"/>
  <c r="E2132" i="11" s="1"/>
  <c r="C2141" i="11"/>
  <c r="E2141" i="11" s="1"/>
  <c r="C2150" i="11"/>
  <c r="E2150" i="11" s="1"/>
  <c r="C2159" i="11"/>
  <c r="E2159" i="11" s="1"/>
  <c r="C2177" i="11"/>
  <c r="E2177" i="11" s="1"/>
  <c r="C2186" i="11"/>
  <c r="E2186" i="11" s="1"/>
  <c r="C2195" i="11"/>
  <c r="E2195" i="11" s="1"/>
  <c r="C2249" i="11"/>
  <c r="E2249" i="11" s="1"/>
  <c r="C2276" i="11"/>
  <c r="E2276" i="11" s="1"/>
  <c r="C6371" i="11"/>
  <c r="E6371" i="11" s="1"/>
  <c r="C2357" i="11"/>
  <c r="E2357" i="11" s="1"/>
  <c r="C2375" i="11"/>
  <c r="E2375" i="11" s="1"/>
  <c r="C2384" i="11"/>
  <c r="E2384" i="11" s="1"/>
  <c r="C2492" i="11"/>
  <c r="E2492" i="11" s="1"/>
  <c r="C2537" i="11"/>
  <c r="E2537" i="11" s="1"/>
  <c r="C2546" i="11"/>
  <c r="E2546" i="11" s="1"/>
  <c r="C2573" i="11"/>
  <c r="E2573" i="11" s="1"/>
  <c r="C2609" i="11"/>
  <c r="E2609" i="11" s="1"/>
  <c r="C2627" i="11"/>
  <c r="E2627" i="11" s="1"/>
  <c r="C2753" i="11"/>
  <c r="E2753" i="11" s="1"/>
  <c r="C2762" i="11"/>
  <c r="E2762" i="11" s="1"/>
  <c r="C2771" i="11"/>
  <c r="E2771" i="11" s="1"/>
  <c r="C2789" i="11"/>
  <c r="E2789" i="11" s="1"/>
  <c r="C2798" i="11"/>
  <c r="E2798" i="11" s="1"/>
  <c r="C2807" i="11"/>
  <c r="E2807" i="11" s="1"/>
  <c r="C6083" i="11"/>
  <c r="E6083" i="11" s="1"/>
  <c r="C2816" i="11"/>
  <c r="E2816" i="11" s="1"/>
  <c r="C2906" i="11"/>
  <c r="E2906" i="11" s="1"/>
  <c r="C2933" i="11"/>
  <c r="E2933" i="11" s="1"/>
  <c r="C2942" i="11"/>
  <c r="E2942" i="11" s="1"/>
  <c r="C3014" i="11"/>
  <c r="E3014" i="11" s="1"/>
  <c r="C3032" i="11"/>
  <c r="E3032" i="11" s="1"/>
  <c r="C3059" i="11"/>
  <c r="E3059" i="11" s="1"/>
  <c r="C3068" i="11"/>
  <c r="E3068" i="11" s="1"/>
  <c r="C3077" i="11"/>
  <c r="E3077" i="11" s="1"/>
  <c r="C3095" i="11"/>
  <c r="E3095" i="11" s="1"/>
  <c r="C3104" i="11"/>
  <c r="E3104" i="11" s="1"/>
  <c r="C3113" i="11"/>
  <c r="E3113" i="11" s="1"/>
  <c r="C3194" i="11"/>
  <c r="E3194" i="11" s="1"/>
  <c r="C3167" i="11"/>
  <c r="E3167" i="11" s="1"/>
  <c r="C3275" i="11"/>
  <c r="E3275" i="11" s="1"/>
  <c r="C3239" i="11"/>
  <c r="E3239" i="11" s="1"/>
  <c r="C3257" i="11"/>
  <c r="E3257" i="11" s="1"/>
  <c r="C3221" i="11"/>
  <c r="E3221" i="11" s="1"/>
  <c r="C3293" i="11"/>
  <c r="E3293" i="11" s="1"/>
  <c r="C3311" i="11"/>
  <c r="E3311" i="11" s="1"/>
  <c r="C3329" i="11"/>
  <c r="E3329" i="11" s="1"/>
  <c r="C3338" i="11"/>
  <c r="E3338" i="11" s="1"/>
  <c r="C3356" i="11"/>
  <c r="E3356" i="11" s="1"/>
  <c r="C1511" i="11"/>
  <c r="E1511" i="11" s="1"/>
  <c r="C6740" i="11"/>
  <c r="E6740" i="11" s="1"/>
  <c r="C3374" i="11"/>
  <c r="E3374" i="11" s="1"/>
  <c r="C3401" i="11"/>
  <c r="E3401" i="11" s="1"/>
  <c r="C3464" i="11"/>
  <c r="E3464" i="11" s="1"/>
  <c r="C3482" i="11"/>
  <c r="E3482" i="11" s="1"/>
  <c r="C3500" i="11"/>
  <c r="E3500" i="11" s="1"/>
  <c r="C3509" i="11"/>
  <c r="E3509" i="11" s="1"/>
  <c r="C3536" i="11"/>
  <c r="E3536" i="11" s="1"/>
  <c r="C3554" i="11"/>
  <c r="E3554" i="11" s="1"/>
  <c r="C131" i="11"/>
  <c r="E131" i="11" s="1"/>
  <c r="C3635" i="11"/>
  <c r="E3635" i="11" s="1"/>
  <c r="C3644" i="11"/>
  <c r="E3644" i="11" s="1"/>
  <c r="C3662" i="11"/>
  <c r="E3662" i="11" s="1"/>
  <c r="C3680" i="11"/>
  <c r="E3680" i="11" s="1"/>
  <c r="C3689" i="11"/>
  <c r="E3689" i="11" s="1"/>
  <c r="C3707" i="11"/>
  <c r="E3707" i="11" s="1"/>
  <c r="C3716" i="11"/>
  <c r="E3716" i="11" s="1"/>
  <c r="C3725" i="11"/>
  <c r="E3725" i="11" s="1"/>
  <c r="C3734" i="11"/>
  <c r="E3734" i="11" s="1"/>
  <c r="C3770" i="11"/>
  <c r="E3770" i="11" s="1"/>
  <c r="C3788" i="11"/>
  <c r="E3788" i="11" s="1"/>
  <c r="C3806" i="11"/>
  <c r="E3806" i="11" s="1"/>
  <c r="C3860" i="11"/>
  <c r="E3860" i="11" s="1"/>
  <c r="C3923" i="11"/>
  <c r="E3923" i="11" s="1"/>
  <c r="C3932" i="11"/>
  <c r="E3932" i="11" s="1"/>
  <c r="C3941" i="11"/>
  <c r="E3941" i="11" s="1"/>
  <c r="C3950" i="11"/>
  <c r="E3950" i="11" s="1"/>
  <c r="C3959" i="11"/>
  <c r="E3959" i="11" s="1"/>
  <c r="C3977" i="11"/>
  <c r="E3977" i="11" s="1"/>
  <c r="C2393" i="11"/>
  <c r="E2393" i="11" s="1"/>
  <c r="C3995" i="11"/>
  <c r="E3995" i="11" s="1"/>
  <c r="C1592" i="11"/>
  <c r="E1592" i="11" s="1"/>
  <c r="C2735" i="11"/>
  <c r="E2735" i="11" s="1"/>
  <c r="C4022" i="11"/>
  <c r="E4022" i="11" s="1"/>
  <c r="C4031" i="11"/>
  <c r="E4031" i="11" s="1"/>
  <c r="C4040" i="11"/>
  <c r="E4040" i="11" s="1"/>
  <c r="C4085" i="11"/>
  <c r="E4085" i="11" s="1"/>
  <c r="C4112" i="11"/>
  <c r="E4112" i="11" s="1"/>
  <c r="C3833" i="11"/>
  <c r="E3833" i="11" s="1"/>
  <c r="C4121" i="11"/>
  <c r="E4121" i="11" s="1"/>
  <c r="C4175" i="11"/>
  <c r="E4175" i="11" s="1"/>
  <c r="C5498" i="11"/>
  <c r="E5498" i="11" s="1"/>
  <c r="C4220" i="11"/>
  <c r="E4220" i="11" s="1"/>
  <c r="C6416" i="11"/>
  <c r="E6416" i="11" s="1"/>
  <c r="C4238" i="11"/>
  <c r="E4238" i="11" s="1"/>
  <c r="C4310" i="11"/>
  <c r="E4310" i="11" s="1"/>
  <c r="C944" i="11"/>
  <c r="E944" i="11" s="1"/>
  <c r="C4355" i="11"/>
  <c r="E4355" i="11" s="1"/>
  <c r="C4382" i="11"/>
  <c r="E4382" i="11" s="1"/>
  <c r="C4454" i="11"/>
  <c r="E4454" i="11" s="1"/>
  <c r="C4490" i="11"/>
  <c r="E4490" i="11" s="1"/>
  <c r="C1682" i="11"/>
  <c r="E1682" i="11" s="1"/>
  <c r="C4409" i="11"/>
  <c r="E4409" i="11" s="1"/>
  <c r="C3140" i="11"/>
  <c r="E3140" i="11" s="1"/>
  <c r="C4526" i="11"/>
  <c r="E4526" i="11" s="1"/>
  <c r="C4535" i="11"/>
  <c r="E4535" i="11" s="1"/>
  <c r="C4544" i="11"/>
  <c r="E4544" i="11" s="1"/>
  <c r="C4571" i="11"/>
  <c r="E4571" i="11" s="1"/>
  <c r="C4598" i="11"/>
  <c r="E4598" i="11" s="1"/>
  <c r="C4625" i="11"/>
  <c r="E4625" i="11" s="1"/>
  <c r="C4670" i="11"/>
  <c r="E4670" i="11" s="1"/>
  <c r="C4706" i="11"/>
  <c r="E4706" i="11" s="1"/>
  <c r="C4724" i="11"/>
  <c r="E4724" i="11" s="1"/>
  <c r="C4805" i="11"/>
  <c r="E4805" i="11" s="1"/>
  <c r="C4823" i="11"/>
  <c r="E4823" i="11" s="1"/>
  <c r="C4850" i="11"/>
  <c r="E4850" i="11" s="1"/>
  <c r="C4886" i="11"/>
  <c r="E4886" i="11" s="1"/>
  <c r="C4904" i="11"/>
  <c r="E4904" i="11" s="1"/>
  <c r="C4922" i="11"/>
  <c r="E4922" i="11" s="1"/>
  <c r="C4949" i="11"/>
  <c r="E4949" i="11" s="1"/>
  <c r="C4976" i="11"/>
  <c r="E4976" i="11" s="1"/>
  <c r="C4994" i="11"/>
  <c r="E4994" i="11" s="1"/>
  <c r="C5012" i="11"/>
  <c r="E5012" i="11" s="1"/>
  <c r="C5021" i="11"/>
  <c r="E5021" i="11" s="1"/>
  <c r="C5048" i="11"/>
  <c r="E5048" i="11" s="1"/>
  <c r="C5030" i="11"/>
  <c r="E5030" i="11" s="1"/>
  <c r="C5039" i="11"/>
  <c r="E5039" i="11" s="1"/>
  <c r="C212" i="11"/>
  <c r="E212" i="11" s="1"/>
  <c r="C5057" i="11"/>
  <c r="E5057" i="11" s="1"/>
  <c r="C5093" i="11"/>
  <c r="E5093" i="11" s="1"/>
  <c r="C5102" i="11"/>
  <c r="E5102" i="11" s="1"/>
  <c r="C5066" i="11"/>
  <c r="E5066" i="11" s="1"/>
  <c r="C5111" i="11"/>
  <c r="E5111" i="11" s="1"/>
  <c r="C5129" i="11"/>
  <c r="E5129" i="11" s="1"/>
  <c r="C5165" i="11"/>
  <c r="E5165" i="11" s="1"/>
  <c r="C5192" i="11"/>
  <c r="E5192" i="11" s="1"/>
  <c r="C5210" i="11"/>
  <c r="E5210" i="11" s="1"/>
  <c r="C5264" i="11"/>
  <c r="E5264" i="11" s="1"/>
  <c r="C5327" i="11"/>
  <c r="E5327" i="11" s="1"/>
  <c r="C5426" i="11"/>
  <c r="E5426" i="11" s="1"/>
  <c r="C5471" i="11"/>
  <c r="E5471" i="11" s="1"/>
  <c r="C5489" i="11"/>
  <c r="E5489" i="11" s="1"/>
  <c r="C5516" i="11"/>
  <c r="E5516" i="11" s="1"/>
  <c r="C5462" i="11"/>
  <c r="E5462" i="11" s="1"/>
  <c r="C5525" i="11"/>
  <c r="E5525" i="11" s="1"/>
  <c r="C5543" i="11"/>
  <c r="E5543" i="11" s="1"/>
  <c r="C5552" i="11"/>
  <c r="E5552" i="11" s="1"/>
  <c r="C5624" i="11"/>
  <c r="E5624" i="11" s="1"/>
  <c r="C5633" i="11"/>
  <c r="E5633" i="11" s="1"/>
  <c r="C5651" i="11"/>
  <c r="E5651" i="11" s="1"/>
  <c r="C5669" i="11"/>
  <c r="E5669" i="11" s="1"/>
  <c r="C5678" i="11"/>
  <c r="E5678" i="11" s="1"/>
  <c r="C5687" i="11"/>
  <c r="E5687" i="11" s="1"/>
  <c r="C5768" i="11"/>
  <c r="E5768" i="11" s="1"/>
  <c r="C4616" i="11"/>
  <c r="E4616" i="11" s="1"/>
  <c r="C5777" i="11"/>
  <c r="E5777" i="11" s="1"/>
  <c r="C5309" i="11"/>
  <c r="E5309" i="11" s="1"/>
  <c r="C5786" i="11"/>
  <c r="E5786" i="11" s="1"/>
  <c r="C5822" i="11"/>
  <c r="E5822" i="11" s="1"/>
  <c r="C5858" i="11"/>
  <c r="E5858" i="11" s="1"/>
  <c r="C5876" i="11"/>
  <c r="E5876" i="11" s="1"/>
  <c r="C1601" i="11"/>
  <c r="E1601" i="11" s="1"/>
  <c r="C5885" i="11"/>
  <c r="E5885" i="11" s="1"/>
  <c r="C5894" i="11"/>
  <c r="E5894" i="11" s="1"/>
  <c r="C5903" i="11"/>
  <c r="E5903" i="11" s="1"/>
  <c r="C5912" i="11"/>
  <c r="E5912" i="11" s="1"/>
  <c r="C5930" i="11"/>
  <c r="E5930" i="11" s="1"/>
  <c r="C5939" i="11"/>
  <c r="E5939" i="11" s="1"/>
  <c r="C5957" i="11"/>
  <c r="E5957" i="11" s="1"/>
  <c r="C5993" i="11"/>
  <c r="E5993" i="11" s="1"/>
  <c r="C6011" i="11"/>
  <c r="E6011" i="11" s="1"/>
  <c r="C6065" i="11"/>
  <c r="E6065" i="11" s="1"/>
  <c r="C6038" i="11"/>
  <c r="E6038" i="11" s="1"/>
  <c r="C2114" i="11"/>
  <c r="E2114" i="11" s="1"/>
  <c r="C6119" i="11"/>
  <c r="E6119" i="11" s="1"/>
  <c r="C5282" i="11"/>
  <c r="E5282" i="11" s="1"/>
  <c r="C6164" i="11"/>
  <c r="E6164" i="11" s="1"/>
  <c r="C6173" i="11"/>
  <c r="E6173" i="11" s="1"/>
  <c r="C6182" i="11"/>
  <c r="E6182" i="11" s="1"/>
  <c r="C320" i="11"/>
  <c r="E320" i="11" s="1"/>
  <c r="C6236" i="11"/>
  <c r="E6236" i="11" s="1"/>
  <c r="C6245" i="11"/>
  <c r="E6245" i="11" s="1"/>
  <c r="C476" i="11"/>
  <c r="E476" i="11" s="1"/>
  <c r="C6326" i="11"/>
  <c r="E6326" i="11" s="1"/>
  <c r="C6380" i="11"/>
  <c r="E6380" i="11" s="1"/>
  <c r="C6461" i="11"/>
  <c r="E6461" i="11" s="1"/>
  <c r="C6497" i="11"/>
  <c r="E6497" i="11" s="1"/>
  <c r="C6470" i="11"/>
  <c r="E6470" i="11" s="1"/>
  <c r="C6515" i="11"/>
  <c r="E6515" i="11" s="1"/>
  <c r="C6524" i="11"/>
  <c r="E6524" i="11" s="1"/>
  <c r="C6551" i="11"/>
  <c r="E6551" i="11" s="1"/>
  <c r="C6569" i="11"/>
  <c r="E6569" i="11" s="1"/>
  <c r="C6479" i="11"/>
  <c r="E6479" i="11" s="1"/>
  <c r="C6407" i="11"/>
  <c r="E6407" i="11" s="1"/>
  <c r="C6578" i="11"/>
  <c r="E6578" i="11" s="1"/>
  <c r="C6587" i="11"/>
  <c r="E6587" i="11" s="1"/>
  <c r="C6623" i="11"/>
  <c r="E6623" i="11" s="1"/>
  <c r="C6632" i="11"/>
  <c r="E6632" i="11" s="1"/>
  <c r="C6650" i="11"/>
  <c r="E6650" i="11" s="1"/>
  <c r="C6659" i="11"/>
  <c r="E6659" i="11" s="1"/>
  <c r="C6686" i="11"/>
  <c r="E6686" i="11" s="1"/>
  <c r="C6731" i="11"/>
  <c r="E6731" i="11" s="1"/>
  <c r="C6830" i="11"/>
  <c r="E6830" i="11" s="1"/>
  <c r="C6749" i="11"/>
  <c r="E6749" i="11" s="1"/>
  <c r="C6758" i="11"/>
  <c r="E6758" i="11" s="1"/>
  <c r="C6695" i="11"/>
  <c r="E6695" i="11" s="1"/>
  <c r="C4373" i="11"/>
  <c r="E4373" i="11" s="1"/>
  <c r="C6911" i="11"/>
  <c r="E6911" i="11" s="1"/>
  <c r="C6893" i="11"/>
  <c r="E6893" i="11" s="1"/>
  <c r="C6884" i="11"/>
  <c r="E6884" i="11" s="1"/>
  <c r="C6938" i="11"/>
  <c r="E6938" i="11" s="1"/>
  <c r="C6956" i="11"/>
  <c r="E6956" i="11" s="1"/>
  <c r="C6974" i="11"/>
  <c r="E6974" i="11" s="1"/>
  <c r="C6920" i="11"/>
  <c r="E6920" i="11" s="1"/>
  <c r="C3158" i="11"/>
  <c r="E3158" i="11" s="1"/>
  <c r="C7037" i="11"/>
  <c r="E7037" i="11" s="1"/>
  <c r="C1016" i="11"/>
  <c r="E1016" i="11" s="1"/>
  <c r="C5804" i="11"/>
  <c r="E5804" i="11" s="1"/>
  <c r="C4130" i="11"/>
  <c r="E4130" i="11" s="1"/>
  <c r="C5723" i="11"/>
  <c r="E5723" i="11" s="1"/>
  <c r="C2006" i="11"/>
  <c r="E2006" i="11" s="1"/>
  <c r="C4094" i="11"/>
  <c r="E4094" i="11" s="1"/>
  <c r="C1871" i="11"/>
  <c r="E1871" i="11" s="1"/>
  <c r="C2564" i="11"/>
  <c r="E2564" i="11" s="1"/>
  <c r="C6902" i="11"/>
  <c r="E6902" i="11" s="1"/>
  <c r="C5759" i="11"/>
  <c r="E5759" i="11" s="1"/>
  <c r="C1070" i="11"/>
  <c r="E1070" i="11" s="1"/>
  <c r="C728" i="11"/>
  <c r="E728" i="11" s="1"/>
  <c r="C962" i="11"/>
  <c r="E962" i="11" s="1"/>
  <c r="C4859" i="11"/>
  <c r="E4859" i="11" s="1"/>
  <c r="C2402" i="11"/>
  <c r="E2402" i="11" s="1"/>
  <c r="C3023" i="11"/>
  <c r="E3023" i="11" s="1"/>
  <c r="C1943" i="11"/>
  <c r="E1943" i="11" s="1"/>
  <c r="C4463" i="11"/>
  <c r="E4463" i="11" s="1"/>
  <c r="C6254" i="11"/>
  <c r="E6254" i="11" s="1"/>
  <c r="C3203" i="11"/>
  <c r="E3203" i="11" s="1"/>
  <c r="C5201" i="11"/>
  <c r="E5201" i="11" s="1"/>
  <c r="C2528" i="11"/>
  <c r="E2528" i="11" s="1"/>
  <c r="C1457" i="11"/>
  <c r="E1457" i="11" s="1"/>
  <c r="C6767" i="11"/>
  <c r="E6767" i="11" s="1"/>
  <c r="C665" i="11"/>
  <c r="E665" i="11" s="1"/>
  <c r="C2258" i="11"/>
  <c r="E2258" i="11" s="1"/>
  <c r="C5291" i="11"/>
  <c r="E5291" i="11" s="1"/>
  <c r="C5300" i="11"/>
  <c r="E5300" i="11" s="1"/>
  <c r="C6668" i="11"/>
  <c r="E6668" i="11" s="1"/>
  <c r="C1430" i="11"/>
  <c r="E1430" i="11" s="1"/>
  <c r="C6020" i="11"/>
  <c r="E6020" i="11" s="1"/>
  <c r="C5156" i="11"/>
  <c r="E5156" i="11" s="1"/>
  <c r="C4247" i="11"/>
  <c r="E4247" i="11" s="1"/>
  <c r="C6362" i="11"/>
  <c r="E6362" i="11" s="1"/>
  <c r="C1565" i="11"/>
  <c r="E1565" i="11" s="1"/>
  <c r="C1727" i="11"/>
  <c r="E1727" i="11" s="1"/>
  <c r="C4931" i="11"/>
  <c r="E4931" i="11" s="1"/>
  <c r="C1178" i="11"/>
  <c r="E1178" i="11" s="1"/>
  <c r="C5390" i="11"/>
  <c r="E5390" i="11" s="1"/>
  <c r="C5840" i="11"/>
  <c r="E5840" i="11" s="1"/>
  <c r="C6812" i="11"/>
  <c r="E6812" i="11" s="1"/>
  <c r="C2555" i="11"/>
  <c r="E2555" i="11" s="1"/>
  <c r="C1421" i="11"/>
  <c r="E1421" i="11" s="1"/>
  <c r="C5084" i="11"/>
  <c r="E5084" i="11" s="1"/>
  <c r="C998" i="11"/>
  <c r="E998" i="11" s="1"/>
  <c r="C2366" i="11"/>
  <c r="E2366" i="11" s="1"/>
  <c r="C5867" i="11"/>
  <c r="E5867" i="11" s="1"/>
  <c r="C2456" i="11"/>
  <c r="E2456" i="11" s="1"/>
  <c r="C4652" i="11"/>
  <c r="E4652" i="11" s="1"/>
  <c r="C1574" i="11"/>
  <c r="E1574" i="11" s="1"/>
  <c r="C4661" i="11"/>
  <c r="E4661" i="11" s="1"/>
  <c r="C791" i="11"/>
  <c r="E791" i="11" s="1"/>
  <c r="C6947" i="11"/>
  <c r="E6947" i="11" s="1"/>
  <c r="C1862" i="11"/>
  <c r="E1862" i="11" s="1"/>
  <c r="C4256" i="11"/>
  <c r="E4256" i="11" s="1"/>
  <c r="C5732" i="11"/>
  <c r="E5732" i="11" s="1"/>
  <c r="C5237" i="11"/>
  <c r="E5237" i="11" s="1"/>
  <c r="C369" i="11"/>
  <c r="E369" i="11" s="1"/>
  <c r="C3518" i="11"/>
  <c r="E3518" i="11" s="1"/>
  <c r="C370" i="11"/>
  <c r="E370" i="11" s="1"/>
  <c r="C1664" i="11"/>
  <c r="E1664" i="11" s="1"/>
  <c r="C4067" i="11"/>
  <c r="E4067" i="11" s="1"/>
  <c r="C1898" i="11"/>
  <c r="E1898" i="11" s="1"/>
  <c r="C3986" i="11"/>
  <c r="E3986" i="11" s="1"/>
  <c r="C2501" i="11"/>
  <c r="E2501" i="11" s="1"/>
  <c r="C584" i="11"/>
  <c r="E584" i="11" s="1"/>
  <c r="C845" i="11"/>
  <c r="E845" i="11" s="1"/>
  <c r="C4868" i="11"/>
  <c r="E4868" i="11" s="1"/>
  <c r="C1988" i="11"/>
  <c r="E1988" i="11" s="1"/>
  <c r="C1916" i="11"/>
  <c r="E1916" i="11" s="1"/>
  <c r="C2996" i="11"/>
  <c r="E2996" i="11" s="1"/>
  <c r="C6506" i="11"/>
  <c r="E6506" i="11" s="1"/>
  <c r="C2852" i="11"/>
  <c r="E2852" i="11" s="1"/>
  <c r="C6353" i="11"/>
  <c r="E6353" i="11" s="1"/>
  <c r="C2672" i="11"/>
  <c r="E2672" i="11" s="1"/>
  <c r="C4895" i="11"/>
  <c r="E4895" i="11" s="1"/>
  <c r="C5831" i="11"/>
  <c r="E5831" i="11" s="1"/>
  <c r="C2690" i="11"/>
  <c r="E2690" i="11" s="1"/>
  <c r="C1979" i="11"/>
  <c r="E1979" i="11" s="1"/>
  <c r="C347" i="11"/>
  <c r="E347" i="11" s="1"/>
  <c r="C4967" i="11"/>
  <c r="E4967" i="11" s="1"/>
  <c r="C5075" i="11"/>
  <c r="E5075" i="11" s="1"/>
  <c r="C6047" i="11"/>
  <c r="E6047" i="11" s="1"/>
  <c r="C5372" i="11"/>
  <c r="E5372" i="11" s="1"/>
  <c r="C4157" i="11"/>
  <c r="E4157" i="11" s="1"/>
  <c r="C593" i="11"/>
  <c r="E593" i="11" s="1"/>
  <c r="C1691" i="11"/>
  <c r="E1691" i="11" s="1"/>
  <c r="C3212" i="11"/>
  <c r="E3212" i="11" s="1"/>
  <c r="C4562" i="11"/>
  <c r="E4562" i="11" s="1"/>
  <c r="C1547" i="11"/>
  <c r="E1547" i="11" s="1"/>
  <c r="C1232" i="11"/>
  <c r="E1232" i="11" s="1"/>
  <c r="C6101" i="11"/>
  <c r="E6101" i="11" s="1"/>
  <c r="C5606" i="11"/>
  <c r="E5606" i="11" s="1"/>
  <c r="C3617" i="11"/>
  <c r="E3617" i="11" s="1"/>
  <c r="C3824" i="11"/>
  <c r="E3824" i="11" s="1"/>
  <c r="C1277" i="11"/>
  <c r="E1277" i="11" s="1"/>
  <c r="C2231" i="11"/>
  <c r="E2231" i="11" s="1"/>
  <c r="C4715" i="11"/>
  <c r="E4715" i="11" s="1"/>
  <c r="C4958" i="11"/>
  <c r="E4958" i="11" s="1"/>
  <c r="C5003" i="11"/>
  <c r="E5003" i="11" s="1"/>
  <c r="C638" i="11"/>
  <c r="E638" i="11" s="1"/>
  <c r="C7010" i="11"/>
  <c r="E7010" i="11" s="1"/>
  <c r="C3320" i="11"/>
  <c r="E3320" i="11" s="1"/>
  <c r="C6965" i="11"/>
  <c r="E6965" i="11" s="1"/>
  <c r="C1529" i="11"/>
  <c r="E1529" i="11" s="1"/>
  <c r="C719" i="11"/>
  <c r="E719" i="11" s="1"/>
  <c r="C4004" i="11"/>
  <c r="E4004" i="11" s="1"/>
  <c r="C5507" i="11"/>
  <c r="E5507" i="11" s="1"/>
  <c r="C6110" i="11"/>
  <c r="E6110" i="11" s="1"/>
  <c r="C5975" i="11"/>
  <c r="E5975" i="11" s="1"/>
  <c r="C440" i="11"/>
  <c r="E440" i="11" s="1"/>
  <c r="C2699" i="11"/>
  <c r="E2699" i="11" s="1"/>
  <c r="C1628" i="11"/>
  <c r="E1628" i="11" s="1"/>
  <c r="C2213" i="11"/>
  <c r="E2213" i="11" s="1"/>
  <c r="C1790" i="11"/>
  <c r="E1790" i="11" s="1"/>
  <c r="C4148" i="11"/>
  <c r="E4148" i="11" s="1"/>
  <c r="C3671" i="11"/>
  <c r="E3671" i="11" s="1"/>
  <c r="C4265" i="11"/>
  <c r="E4265" i="11" s="1"/>
  <c r="C6983" i="11"/>
  <c r="E6983" i="11" s="1"/>
  <c r="C5705" i="11"/>
  <c r="E5705" i="11" s="1"/>
  <c r="C3626" i="11"/>
  <c r="E3626" i="11" s="1"/>
  <c r="C6677" i="11"/>
  <c r="E6677" i="11" s="1"/>
  <c r="C2204" i="11"/>
  <c r="E2204" i="11" s="1"/>
  <c r="C1160" i="11"/>
  <c r="E1160" i="11" s="1"/>
  <c r="C6866" i="11"/>
  <c r="E6866" i="11" s="1"/>
  <c r="C4058" i="11"/>
  <c r="E4058" i="11" s="1"/>
  <c r="C4679" i="11"/>
  <c r="E4679" i="11" s="1"/>
  <c r="C1331" i="11"/>
  <c r="E1331" i="11" s="1"/>
  <c r="C2447" i="11"/>
  <c r="E2447" i="11" s="1"/>
  <c r="C2483" i="11"/>
  <c r="E2483" i="11" s="1"/>
  <c r="C1970" i="11"/>
  <c r="E1970" i="11" s="1"/>
  <c r="C203" i="11"/>
  <c r="E203" i="11" s="1"/>
  <c r="C4292" i="11"/>
  <c r="E4292" i="11" s="1"/>
  <c r="C6713" i="11"/>
  <c r="E6713" i="11" s="1"/>
  <c r="C5147" i="11"/>
  <c r="E5147" i="11" s="1"/>
  <c r="C5381" i="11"/>
  <c r="E5381" i="11" s="1"/>
  <c r="C371" i="11"/>
  <c r="E371" i="11" s="1"/>
  <c r="C647" i="11"/>
  <c r="E647" i="11" s="1"/>
  <c r="C3581" i="11"/>
  <c r="E3581" i="11" s="1"/>
  <c r="C3365" i="11"/>
  <c r="E3365" i="11" s="1"/>
  <c r="C5966" i="11"/>
  <c r="E5966" i="11" s="1"/>
  <c r="C2636" i="11"/>
  <c r="E2636" i="11" s="1"/>
  <c r="C6227" i="11"/>
  <c r="E6227" i="11" s="1"/>
  <c r="C971" i="11"/>
  <c r="E971" i="11" s="1"/>
  <c r="C5561" i="11"/>
  <c r="E5561" i="11" s="1"/>
  <c r="C3851" i="11"/>
  <c r="E3851" i="11" s="1"/>
  <c r="C1799" i="11"/>
  <c r="E1799" i="11" s="1"/>
  <c r="C3842" i="11"/>
  <c r="E3842" i="11" s="1"/>
  <c r="C5984" i="11"/>
  <c r="E5984" i="11" s="1"/>
  <c r="C935" i="11"/>
  <c r="E935" i="11" s="1"/>
  <c r="C6281" i="11"/>
  <c r="E6281" i="11" s="1"/>
  <c r="C827" i="11"/>
  <c r="E827" i="11" s="1"/>
  <c r="C1295" i="11"/>
  <c r="E1295" i="11" s="1"/>
  <c r="C2645" i="11"/>
  <c r="E2645" i="11" s="1"/>
  <c r="C4301" i="11"/>
  <c r="E4301" i="11" s="1"/>
  <c r="C7028" i="11"/>
  <c r="E7028" i="11" s="1"/>
  <c r="C1880" i="11"/>
  <c r="E1880" i="11" s="1"/>
  <c r="C6641" i="11"/>
  <c r="E6641" i="11" s="1"/>
  <c r="C3698" i="11"/>
  <c r="E3698" i="11" s="1"/>
  <c r="C6542" i="11"/>
  <c r="E6542" i="11" s="1"/>
  <c r="C4283" i="11"/>
  <c r="E4283" i="11" s="1"/>
  <c r="C2951" i="11"/>
  <c r="E2951" i="11" s="1"/>
  <c r="C3896" i="11"/>
  <c r="E3896" i="11" s="1"/>
  <c r="C6137" i="11"/>
  <c r="E6137" i="11" s="1"/>
  <c r="C1313" i="11"/>
  <c r="E1313" i="11" s="1"/>
  <c r="C6857" i="11"/>
  <c r="E6857" i="11" s="1"/>
  <c r="C3527" i="11"/>
  <c r="E3527" i="11" s="1"/>
  <c r="C3230" i="11"/>
  <c r="E3230" i="11" s="1"/>
  <c r="C4391" i="11"/>
  <c r="E4391" i="11" s="1"/>
  <c r="C4553" i="11"/>
  <c r="E4553" i="11" s="1"/>
  <c r="C980" i="11"/>
  <c r="E980" i="11" s="1"/>
  <c r="C6434" i="11"/>
  <c r="E6434" i="11" s="1"/>
  <c r="C2285" i="11"/>
  <c r="E2285" i="11" s="1"/>
  <c r="C2510" i="11"/>
  <c r="E2510" i="11" s="1"/>
  <c r="C2429" i="11"/>
  <c r="E2429" i="11" s="1"/>
  <c r="C6443" i="11"/>
  <c r="E6443" i="11" s="1"/>
  <c r="C4103" i="11"/>
  <c r="E4103" i="11" s="1"/>
  <c r="C4589" i="11"/>
  <c r="E4589" i="11" s="1"/>
  <c r="C6452" i="11"/>
  <c r="E6452" i="11" s="1"/>
  <c r="C3392" i="11"/>
  <c r="E3392" i="11" s="1"/>
  <c r="C6425" i="11"/>
  <c r="E6425" i="11" s="1"/>
  <c r="C5795" i="11"/>
  <c r="E5795" i="11" s="1"/>
  <c r="C989" i="11"/>
  <c r="E989" i="11" s="1"/>
  <c r="C4445" i="11"/>
  <c r="E4445" i="11" s="1"/>
  <c r="C4832" i="11"/>
  <c r="E4832" i="11" s="1"/>
  <c r="C1196" i="11"/>
  <c r="E1196" i="11" s="1"/>
  <c r="C5660" i="11"/>
  <c r="E5660" i="11" s="1"/>
  <c r="C6605" i="11"/>
  <c r="E6605" i="11" s="1"/>
  <c r="C6848" i="11"/>
  <c r="E6848" i="11" s="1"/>
  <c r="C5336" i="11"/>
  <c r="E5336" i="11" s="1"/>
  <c r="C2348" i="11"/>
  <c r="E2348" i="11" s="1"/>
  <c r="C3590" i="11"/>
  <c r="E3590" i="11" s="1"/>
  <c r="C458" i="11"/>
  <c r="E458" i="11" s="1"/>
  <c r="C6317" i="11"/>
  <c r="E6317" i="11" s="1"/>
  <c r="C3869" i="11"/>
  <c r="E3869" i="11" s="1"/>
  <c r="C1061" i="11"/>
  <c r="E1061" i="11" s="1"/>
  <c r="C3968" i="11"/>
  <c r="E3968" i="11" s="1"/>
  <c r="C3248" i="11"/>
  <c r="E3248" i="11" s="1"/>
  <c r="C2015" i="11"/>
  <c r="E2015" i="11" s="1"/>
  <c r="C4364" i="11"/>
  <c r="E4364" i="11" s="1"/>
  <c r="C5453" i="11"/>
  <c r="E5453" i="11" s="1"/>
  <c r="C1718" i="11"/>
  <c r="E1718" i="11" s="1"/>
  <c r="C3887" i="11"/>
  <c r="E3887" i="11" s="1"/>
  <c r="C5318" i="11"/>
  <c r="E5318" i="11" s="1"/>
  <c r="C4013" i="11"/>
  <c r="E4013" i="11" s="1"/>
  <c r="C6929" i="11"/>
  <c r="E6929" i="11" s="1"/>
  <c r="C2600" i="11"/>
  <c r="E2600" i="11" s="1"/>
  <c r="C3185" i="11"/>
  <c r="E3185" i="11" s="1"/>
  <c r="C6335" i="11"/>
  <c r="E6335" i="11" s="1"/>
  <c r="C3572" i="11"/>
  <c r="E3572" i="11" s="1"/>
  <c r="C1637" i="11"/>
  <c r="E1637" i="11" s="1"/>
  <c r="C2744" i="11"/>
  <c r="E2744" i="11" s="1"/>
  <c r="C4193" i="11"/>
  <c r="E4193" i="11" s="1"/>
  <c r="C2888" i="11"/>
  <c r="E2888" i="11" s="1"/>
  <c r="C2438" i="11"/>
  <c r="E2438" i="11" s="1"/>
  <c r="C881" i="11"/>
  <c r="E881" i="11" s="1"/>
  <c r="C3878" i="11"/>
  <c r="E3878" i="11" s="1"/>
  <c r="C674" i="11"/>
  <c r="E674" i="11" s="1"/>
  <c r="C221" i="11"/>
  <c r="E221" i="11" s="1"/>
  <c r="C5615" i="11"/>
  <c r="E5615" i="11" s="1"/>
  <c r="C3005" i="11"/>
  <c r="E3005" i="11" s="1"/>
  <c r="C2924" i="11"/>
  <c r="E2924" i="11" s="1"/>
  <c r="C2618" i="11"/>
  <c r="E2618" i="11" s="1"/>
  <c r="C5246" i="11"/>
  <c r="E5246" i="11" s="1"/>
  <c r="C4607" i="11"/>
  <c r="E4607" i="11" s="1"/>
  <c r="C1124" i="11"/>
  <c r="E1124" i="11" s="1"/>
  <c r="C1151" i="11"/>
  <c r="E1151" i="11" s="1"/>
  <c r="C3266" i="11"/>
  <c r="E3266" i="11" s="1"/>
  <c r="C4580" i="11"/>
  <c r="E4580" i="11" s="1"/>
  <c r="C7001" i="11"/>
  <c r="E7001" i="11" s="1"/>
  <c r="C5714" i="11"/>
  <c r="E5714" i="11" s="1"/>
  <c r="C1844" i="11"/>
  <c r="E1844" i="11" s="1"/>
  <c r="C1286" i="11"/>
  <c r="E1286" i="11" s="1"/>
  <c r="C2870" i="11"/>
  <c r="E2870" i="11" s="1"/>
  <c r="C1007" i="11"/>
  <c r="E1007" i="11" s="1"/>
  <c r="C7054" i="11"/>
  <c r="E7054" i="11" s="1"/>
  <c r="C1556" i="11"/>
  <c r="E1556" i="11" s="1"/>
  <c r="C122" i="11"/>
  <c r="E122" i="11" s="1"/>
  <c r="C4400" i="11"/>
  <c r="E4400" i="11" s="1"/>
  <c r="C6209" i="11"/>
  <c r="E6209" i="11" s="1"/>
  <c r="C2681" i="11"/>
  <c r="E2681" i="11" s="1"/>
  <c r="C1700" i="11"/>
  <c r="E1700" i="11" s="1"/>
  <c r="C3131" i="11"/>
  <c r="E3131" i="11" s="1"/>
  <c r="C2222" i="11"/>
  <c r="E2222" i="11" s="1"/>
  <c r="C2969" i="11"/>
  <c r="E2969" i="11" s="1"/>
  <c r="C4274" i="11"/>
  <c r="E4274" i="11" s="1"/>
  <c r="C3149" i="11"/>
  <c r="E3149" i="11" s="1"/>
  <c r="C3041" i="11"/>
  <c r="E3041" i="11" s="1"/>
  <c r="C1097" i="11"/>
  <c r="E1097" i="11" s="1"/>
  <c r="C3743" i="11"/>
  <c r="E3743" i="11" s="1"/>
  <c r="C3914" i="11"/>
  <c r="E3914" i="11" s="1"/>
  <c r="C1763" i="11"/>
  <c r="E1763" i="11" s="1"/>
  <c r="C4697" i="11"/>
  <c r="E4697" i="11" s="1"/>
  <c r="C4940" i="11"/>
  <c r="E4940" i="11" s="1"/>
  <c r="C1817" i="11"/>
  <c r="E1817" i="11" s="1"/>
  <c r="C2591" i="11"/>
  <c r="E2591" i="11" s="1"/>
  <c r="C5948" i="11"/>
  <c r="E5948" i="11" s="1"/>
  <c r="C5750" i="11"/>
  <c r="E5750" i="11" s="1"/>
  <c r="C6128" i="11"/>
  <c r="E6128" i="11" s="1"/>
  <c r="C2915" i="11"/>
  <c r="E2915" i="11" s="1"/>
  <c r="C4733" i="11"/>
  <c r="E4733" i="11" s="1"/>
  <c r="C6056" i="11"/>
  <c r="E6056" i="11" s="1"/>
  <c r="C566" i="11"/>
  <c r="E566" i="11" s="1"/>
  <c r="C764" i="11"/>
  <c r="E764" i="11" s="1"/>
  <c r="C3437" i="11"/>
  <c r="E3437" i="11" s="1"/>
  <c r="C818" i="11"/>
  <c r="E818" i="11" s="1"/>
  <c r="C1088" i="11"/>
  <c r="E1088" i="11" s="1"/>
  <c r="C5228" i="11"/>
  <c r="E5228" i="11" s="1"/>
  <c r="C2978" i="11"/>
  <c r="E2978" i="11" s="1"/>
  <c r="C1322" i="11"/>
  <c r="E1322" i="11" s="1"/>
  <c r="C656" i="11"/>
  <c r="E656" i="11" s="1"/>
  <c r="C1349" i="11"/>
  <c r="E1349" i="11" s="1"/>
  <c r="C2060" i="11"/>
  <c r="E2060" i="11" s="1"/>
  <c r="C6488" i="11"/>
  <c r="E6488" i="11" s="1"/>
  <c r="C683" i="11"/>
  <c r="E683" i="11" s="1"/>
  <c r="C6074" i="11"/>
  <c r="E6074" i="11" s="1"/>
  <c r="C5570" i="11"/>
  <c r="E5570" i="11" s="1"/>
  <c r="C4229" i="11"/>
  <c r="E4229" i="11" s="1"/>
  <c r="C5849" i="11"/>
  <c r="E5849" i="11" s="1"/>
  <c r="C3446" i="11"/>
  <c r="E3446" i="11" s="1"/>
  <c r="C5813" i="11"/>
  <c r="E5813" i="11" s="1"/>
  <c r="C5345" i="11"/>
  <c r="E5345" i="11" s="1"/>
  <c r="C6821" i="11"/>
  <c r="E6821" i="11" s="1"/>
  <c r="C5273" i="11"/>
  <c r="E5273" i="11" s="1"/>
  <c r="C2987" i="11"/>
  <c r="E2987" i="11" s="1"/>
  <c r="C1133" i="11"/>
  <c r="E1133" i="11" s="1"/>
  <c r="C5579" i="11"/>
  <c r="E5579" i="11" s="1"/>
  <c r="C485" i="11"/>
  <c r="E485" i="11" s="1"/>
  <c r="C2105" i="11"/>
  <c r="E2105" i="11" s="1"/>
  <c r="C4913" i="11"/>
  <c r="E4913" i="11" s="1"/>
  <c r="C2420" i="11"/>
  <c r="E2420" i="11" s="1"/>
  <c r="C6029" i="11"/>
  <c r="E6029" i="11" s="1"/>
  <c r="C4049" i="11"/>
  <c r="E4049" i="11" s="1"/>
  <c r="C2861" i="11"/>
  <c r="E2861" i="11" s="1"/>
  <c r="C4436" i="11"/>
  <c r="E4436" i="11" s="1"/>
  <c r="C3761" i="11"/>
  <c r="E3761" i="11" s="1"/>
  <c r="C1205" i="11"/>
  <c r="E1205" i="11" s="1"/>
  <c r="C5174" i="11"/>
  <c r="E5174" i="11" s="1"/>
  <c r="C4337" i="11"/>
  <c r="E4337" i="11" s="1"/>
  <c r="C4166" i="11"/>
  <c r="E4166" i="11" s="1"/>
  <c r="C5435" i="11"/>
  <c r="E5435" i="11" s="1"/>
  <c r="C1484" i="11"/>
  <c r="E1484" i="11" s="1"/>
  <c r="C2096" i="11"/>
  <c r="E2096" i="11" s="1"/>
  <c r="C3410" i="11"/>
  <c r="E3410" i="11" s="1"/>
  <c r="C917" i="11"/>
  <c r="E917" i="11" s="1"/>
  <c r="C2411" i="11"/>
  <c r="E2411" i="11" s="1"/>
  <c r="C6992" i="11"/>
  <c r="E6992" i="11" s="1"/>
  <c r="C2303" i="11"/>
  <c r="E2303" i="11" s="1"/>
  <c r="C6155" i="11"/>
  <c r="E6155" i="11" s="1"/>
  <c r="C6290" i="11"/>
  <c r="E6290" i="11" s="1"/>
  <c r="C5480" i="11"/>
  <c r="E5480" i="11" s="1"/>
  <c r="C3779" i="11"/>
  <c r="E3779" i="11" s="1"/>
  <c r="C2240" i="11"/>
  <c r="E2240" i="11" s="1"/>
  <c r="C4499" i="11"/>
  <c r="E4499" i="11" s="1"/>
  <c r="C6002" i="11"/>
  <c r="E6002" i="11" s="1"/>
  <c r="C6308" i="11"/>
  <c r="E6308" i="11" s="1"/>
  <c r="C2663" i="11"/>
  <c r="E2663" i="11" s="1"/>
  <c r="C2897" i="11"/>
  <c r="E2897" i="11" s="1"/>
  <c r="C3653" i="11"/>
  <c r="E3653" i="11" s="1"/>
  <c r="C1367" i="11"/>
  <c r="E1367" i="11" s="1"/>
  <c r="C3176" i="11"/>
  <c r="E3176" i="11" s="1"/>
  <c r="C755" i="11"/>
  <c r="E755" i="11" s="1"/>
  <c r="C2465" i="11"/>
  <c r="E2465" i="11" s="1"/>
  <c r="C2474" i="11"/>
  <c r="E2474" i="11" s="1"/>
  <c r="C2780" i="11"/>
  <c r="E2780" i="11" s="1"/>
  <c r="C2879" i="11"/>
  <c r="E2879" i="11" s="1"/>
  <c r="C3050" i="11"/>
  <c r="E3050" i="11" s="1"/>
  <c r="C5597" i="11"/>
  <c r="E5597" i="11" s="1"/>
  <c r="C1304" i="11"/>
  <c r="E1304" i="11" s="1"/>
  <c r="C1079" i="11"/>
  <c r="E1079" i="11" s="1"/>
  <c r="C4643" i="11"/>
  <c r="E4643" i="11" s="1"/>
  <c r="C3608" i="11"/>
  <c r="E3608" i="11" s="1"/>
  <c r="C3473" i="11"/>
  <c r="E3473" i="11" s="1"/>
  <c r="C2168" i="11"/>
  <c r="E2168" i="11" s="1"/>
  <c r="C6533" i="11"/>
  <c r="E6533" i="11" s="1"/>
  <c r="C3347" i="11"/>
  <c r="E3347" i="11" s="1"/>
  <c r="C4184" i="11"/>
  <c r="E4184" i="11" s="1"/>
  <c r="C4481" i="11"/>
  <c r="E4481" i="11" s="1"/>
  <c r="C3383" i="11"/>
  <c r="E3383" i="11" s="1"/>
  <c r="C2294" i="11"/>
  <c r="E2294" i="11" s="1"/>
  <c r="C2825" i="11"/>
  <c r="E2825" i="11" s="1"/>
  <c r="C5138" i="11"/>
  <c r="E5138" i="11" s="1"/>
  <c r="C3086" i="11"/>
  <c r="E3086" i="11" s="1"/>
  <c r="C1052" i="11"/>
  <c r="E1052" i="11" s="1"/>
  <c r="C4319" i="11"/>
  <c r="E4319" i="11" s="1"/>
  <c r="C2834" i="11"/>
  <c r="E2834" i="11" s="1"/>
  <c r="C2843" i="11"/>
  <c r="E2843" i="11" s="1"/>
  <c r="C4328" i="11"/>
  <c r="E4328" i="11" s="1"/>
  <c r="C611" i="11"/>
  <c r="E611" i="11" s="1"/>
  <c r="C1223" i="11"/>
  <c r="E1223" i="11" s="1"/>
  <c r="C1448" i="11"/>
  <c r="E1448" i="11" s="1"/>
  <c r="C1466" i="11"/>
  <c r="E1466" i="11" s="1"/>
  <c r="C1709" i="11"/>
  <c r="E1709" i="11" s="1"/>
  <c r="C1925" i="11"/>
  <c r="E1925" i="11" s="1"/>
  <c r="C494" i="11"/>
  <c r="E494" i="11" s="1"/>
  <c r="C2321" i="11"/>
  <c r="E2321" i="11" s="1"/>
  <c r="C2330" i="11"/>
  <c r="E2330" i="11" s="1"/>
  <c r="C2519" i="11"/>
  <c r="E2519" i="11" s="1"/>
  <c r="C4877" i="11"/>
  <c r="E4877" i="11" s="1"/>
  <c r="C2960" i="11"/>
  <c r="E2960" i="11" s="1"/>
  <c r="C3122" i="11"/>
  <c r="E3122" i="11" s="1"/>
  <c r="C3455" i="11"/>
  <c r="E3455" i="11" s="1"/>
  <c r="C5399" i="11"/>
  <c r="E5399" i="11" s="1"/>
  <c r="C3905" i="11"/>
  <c r="E3905" i="11" s="1"/>
  <c r="C4202" i="11"/>
  <c r="E4202" i="11" s="1"/>
  <c r="C4211" i="11"/>
  <c r="E4211" i="11" s="1"/>
  <c r="C512" i="11"/>
  <c r="E512" i="11" s="1"/>
  <c r="C4769" i="11"/>
  <c r="E4769" i="11" s="1"/>
  <c r="C4787" i="11"/>
  <c r="E4787" i="11" s="1"/>
  <c r="C4814" i="11"/>
  <c r="E4814" i="11" s="1"/>
  <c r="C4841" i="11"/>
  <c r="E4841" i="11" s="1"/>
  <c r="C539" i="11"/>
  <c r="E539" i="11" s="1"/>
  <c r="C5255" i="11"/>
  <c r="E5255" i="11" s="1"/>
  <c r="C5363" i="11"/>
  <c r="E5363" i="11" s="1"/>
  <c r="C548" i="11"/>
  <c r="E548" i="11" s="1"/>
  <c r="C6092" i="11"/>
  <c r="E6092" i="11" s="1"/>
  <c r="C6776" i="11"/>
  <c r="E6776" i="11" s="1"/>
  <c r="C6794" i="11"/>
  <c r="E6794" i="11" s="1"/>
  <c r="C5741" i="11"/>
  <c r="E5741" i="11" s="1"/>
  <c r="C6146" i="11"/>
  <c r="E6146" i="11" s="1"/>
  <c r="C6263" i="11"/>
  <c r="E6263" i="11" s="1"/>
  <c r="C6344" i="11"/>
  <c r="E6344" i="11" s="1"/>
  <c r="C6560" i="11"/>
  <c r="E6560" i="11" s="1"/>
  <c r="C4796" i="11"/>
  <c r="E4796" i="11" s="1"/>
  <c r="C185" i="11"/>
  <c r="E185" i="11" s="1"/>
  <c r="C158" i="11"/>
  <c r="E158" i="11" s="1"/>
  <c r="C248" i="11"/>
  <c r="E248" i="11" s="1"/>
  <c r="C275" i="11"/>
  <c r="E275" i="11" s="1"/>
  <c r="C266" i="11"/>
  <c r="E266" i="11" s="1"/>
  <c r="C284" i="11"/>
  <c r="E284" i="11" s="1"/>
  <c r="C293" i="11"/>
  <c r="E293" i="11" s="1"/>
  <c r="C41" i="11"/>
  <c r="E41" i="11" s="1"/>
  <c r="C395" i="11"/>
  <c r="E395" i="11" s="1"/>
  <c r="C4" i="11"/>
  <c r="E4" i="11" s="1"/>
  <c r="C1214" i="11"/>
  <c r="E1214" i="11" s="1"/>
  <c r="C413" i="11"/>
  <c r="E413" i="11" s="1"/>
  <c r="C14" i="11"/>
  <c r="E14" i="11" s="1"/>
  <c r="C1826" i="11"/>
  <c r="E1826" i="11" s="1"/>
  <c r="C503" i="11"/>
  <c r="E503" i="11" s="1"/>
  <c r="C50" i="11"/>
  <c r="E50" i="11" s="1"/>
  <c r="C68" i="11"/>
  <c r="E68" i="11" s="1"/>
  <c r="C59" i="11"/>
  <c r="E59" i="11" s="1"/>
  <c r="C77" i="11"/>
  <c r="E77" i="11" s="1"/>
  <c r="C86" i="11"/>
  <c r="E86" i="11" s="1"/>
  <c r="C104" i="11"/>
  <c r="E104" i="11" s="1"/>
  <c r="C113" i="11"/>
  <c r="E113" i="11" s="1"/>
  <c r="C431" i="11"/>
  <c r="E431" i="11" s="1"/>
  <c r="C449" i="11"/>
  <c r="E449" i="11" s="1"/>
  <c r="C140" i="11"/>
  <c r="E140" i="11" s="1"/>
  <c r="C149" i="11"/>
  <c r="E149" i="11" s="1"/>
  <c r="C176" i="11"/>
  <c r="E176" i="11" s="1"/>
  <c r="C521" i="11"/>
  <c r="E521" i="11" s="1"/>
  <c r="C467" i="11"/>
  <c r="E467" i="11" s="1"/>
  <c r="C167" i="11"/>
  <c r="E167" i="11" s="1"/>
  <c r="C194" i="11"/>
  <c r="E194" i="11" s="1"/>
  <c r="C557" i="11"/>
  <c r="E557" i="11" s="1"/>
  <c r="C230" i="11"/>
  <c r="E230" i="11" s="1"/>
  <c r="C239" i="11"/>
  <c r="E239" i="11" s="1"/>
  <c r="C257" i="11"/>
  <c r="E257" i="11" s="1"/>
  <c r="C329" i="11"/>
  <c r="E329" i="11" s="1"/>
  <c r="C311" i="11"/>
  <c r="E311" i="11" s="1"/>
  <c r="C6785" i="11"/>
  <c r="E6785" i="11" s="1"/>
  <c r="C5921" i="11"/>
  <c r="E5921" i="11" s="1"/>
  <c r="C2339" i="11"/>
  <c r="E2339" i="11" s="1"/>
  <c r="C3545" i="11"/>
  <c r="E3545" i="11" s="1"/>
  <c r="C95" i="11"/>
  <c r="E95" i="11" s="1"/>
  <c r="C737" i="11"/>
  <c r="E737" i="11" s="1"/>
  <c r="C6218" i="11"/>
  <c r="E6218" i="11" s="1"/>
  <c r="C575" i="11"/>
  <c r="E575" i="11" s="1"/>
  <c r="C2717" i="11"/>
  <c r="E2717" i="11" s="1"/>
  <c r="C6200" i="11"/>
  <c r="E6200" i="11" s="1"/>
  <c r="C2312" i="11"/>
  <c r="E2312" i="11" s="1"/>
  <c r="C1250" i="11"/>
  <c r="E1250" i="11" s="1"/>
  <c r="C6839" i="11"/>
  <c r="E6839" i="11" s="1"/>
  <c r="C6803" i="11"/>
  <c r="E6803" i="11" s="1"/>
  <c r="C372" i="11"/>
  <c r="E372" i="11" s="1"/>
  <c r="C4508" i="11"/>
  <c r="E4508" i="11" s="1"/>
  <c r="C302" i="11"/>
  <c r="E302" i="11" s="1"/>
  <c r="C5417" i="11"/>
  <c r="E5417" i="11" s="1"/>
  <c r="C7087" i="11"/>
  <c r="E7087" i="11" s="1"/>
  <c r="C4427" i="11"/>
  <c r="E4427" i="11" s="1"/>
  <c r="C1538" i="11"/>
  <c r="E1538" i="11" s="1"/>
  <c r="C1952" i="11"/>
  <c r="E1952" i="11" s="1"/>
  <c r="C6704" i="11"/>
  <c r="E6704" i="11" s="1"/>
  <c r="C6398" i="11"/>
  <c r="E6398" i="11" s="1"/>
  <c r="C7045" i="11"/>
  <c r="E7045" i="11" s="1"/>
  <c r="C7059" i="11"/>
  <c r="E7059" i="11" s="1"/>
  <c r="C7066" i="11"/>
  <c r="E7066" i="11" s="1"/>
  <c r="C603" i="11"/>
  <c r="E603" i="11" s="1"/>
  <c r="C711" i="11"/>
  <c r="E711" i="11" s="1"/>
  <c r="C801" i="11"/>
  <c r="E801" i="11" s="1"/>
  <c r="C891" i="11"/>
  <c r="E891" i="11" s="1"/>
  <c r="C927" i="11"/>
  <c r="E927" i="11" s="1"/>
  <c r="C1044" i="11"/>
  <c r="E1044" i="11" s="1"/>
  <c r="C1242" i="11"/>
  <c r="E1242" i="11" s="1"/>
  <c r="C1341" i="11"/>
  <c r="E1341" i="11" s="1"/>
  <c r="C1746" i="11"/>
  <c r="E1746" i="11" s="1"/>
  <c r="C24" i="11"/>
  <c r="E24" i="11" s="1"/>
  <c r="C1836" i="11"/>
  <c r="E1836" i="11" s="1"/>
  <c r="C2025" i="11"/>
  <c r="E2025" i="11" s="1"/>
  <c r="C2268" i="11"/>
  <c r="E2268" i="11" s="1"/>
  <c r="C2583" i="11"/>
  <c r="E2583" i="11" s="1"/>
  <c r="C2655" i="11"/>
  <c r="E2655" i="11" s="1"/>
  <c r="C2709" i="11"/>
  <c r="E2709" i="11" s="1"/>
  <c r="C2034" i="11"/>
  <c r="E2034" i="11" s="1"/>
  <c r="C2727" i="11"/>
  <c r="E2727" i="11" s="1"/>
  <c r="C3285" i="11"/>
  <c r="E3285" i="11" s="1"/>
  <c r="C3303" i="11"/>
  <c r="E3303" i="11" s="1"/>
  <c r="C3420" i="11"/>
  <c r="E3420" i="11" s="1"/>
  <c r="C423" i="11"/>
  <c r="E423" i="11" s="1"/>
  <c r="C3492" i="11"/>
  <c r="E3492" i="11" s="1"/>
  <c r="C3564" i="11"/>
  <c r="E3564" i="11" s="1"/>
  <c r="C3600" i="11"/>
  <c r="E3600" i="11" s="1"/>
  <c r="C3753" i="11"/>
  <c r="E3753" i="11" s="1"/>
  <c r="C3798" i="11"/>
  <c r="E3798" i="11" s="1"/>
  <c r="C3816" i="11"/>
  <c r="E3816" i="11" s="1"/>
  <c r="C4077" i="11"/>
  <c r="E4077" i="11" s="1"/>
  <c r="C4140" i="11"/>
  <c r="E4140" i="11" s="1"/>
  <c r="C4347" i="11"/>
  <c r="E4347" i="11" s="1"/>
  <c r="C4419" i="11"/>
  <c r="E4419" i="11" s="1"/>
  <c r="C4473" i="11"/>
  <c r="E4473" i="11" s="1"/>
  <c r="C4518" i="11"/>
  <c r="E4518" i="11" s="1"/>
  <c r="C4635" i="11"/>
  <c r="E4635" i="11" s="1"/>
  <c r="C4689" i="11"/>
  <c r="E4689" i="11" s="1"/>
  <c r="C4743" i="11"/>
  <c r="E4743" i="11" s="1"/>
  <c r="C4752" i="11"/>
  <c r="E4752" i="11" s="1"/>
  <c r="C4761" i="11"/>
  <c r="E4761" i="11" s="1"/>
  <c r="C4779" i="11"/>
  <c r="E4779" i="11" s="1"/>
  <c r="C531" i="11"/>
  <c r="E531" i="11" s="1"/>
  <c r="C4986" i="11"/>
  <c r="E4986" i="11" s="1"/>
  <c r="C5121" i="11"/>
  <c r="E5121" i="11" s="1"/>
  <c r="C5184" i="11"/>
  <c r="E5184" i="11" s="1"/>
  <c r="C5220" i="11"/>
  <c r="E5220" i="11" s="1"/>
  <c r="C5355" i="11"/>
  <c r="E5355" i="11" s="1"/>
  <c r="C5409" i="11"/>
  <c r="E5409" i="11" s="1"/>
  <c r="C5445" i="11"/>
  <c r="E5445" i="11" s="1"/>
  <c r="C5535" i="11"/>
  <c r="E5535" i="11" s="1"/>
  <c r="C5589" i="11"/>
  <c r="E5589" i="11" s="1"/>
  <c r="C5643" i="11"/>
  <c r="E5643" i="11" s="1"/>
  <c r="C5697" i="11"/>
  <c r="E5697" i="11" s="1"/>
  <c r="C339" i="11"/>
  <c r="E339" i="11" s="1"/>
  <c r="C6192" i="11"/>
  <c r="E6192" i="11" s="1"/>
  <c r="C6273" i="11"/>
  <c r="E6273" i="11" s="1"/>
  <c r="C6300" i="11"/>
  <c r="E6300" i="11" s="1"/>
  <c r="C6390" i="11"/>
  <c r="E6390" i="11" s="1"/>
  <c r="C6597" i="11"/>
  <c r="E6597" i="11" s="1"/>
  <c r="C6615" i="11"/>
  <c r="E6615" i="11" s="1"/>
  <c r="C6876" i="11"/>
  <c r="E6876" i="11" s="1"/>
  <c r="C7020" i="11"/>
  <c r="E7020" i="11" s="1"/>
  <c r="C621" i="11"/>
  <c r="E621" i="11" s="1"/>
  <c r="C630" i="11"/>
  <c r="E630" i="11" s="1"/>
  <c r="C702" i="11"/>
  <c r="E702" i="11" s="1"/>
  <c r="C747" i="11"/>
  <c r="E747" i="11" s="1"/>
  <c r="C693" i="11"/>
  <c r="E693" i="11" s="1"/>
  <c r="C774" i="11"/>
  <c r="E774" i="11" s="1"/>
  <c r="C783" i="11"/>
  <c r="E783" i="11" s="1"/>
  <c r="C810" i="11"/>
  <c r="E810" i="11" s="1"/>
  <c r="C387" i="11"/>
  <c r="E387" i="11" s="1"/>
  <c r="C837" i="11"/>
  <c r="E837" i="11" s="1"/>
  <c r="C855" i="11"/>
  <c r="E855" i="11" s="1"/>
  <c r="C864" i="11"/>
  <c r="E864" i="11" s="1"/>
  <c r="C873" i="11"/>
  <c r="E873" i="11" s="1"/>
  <c r="C900" i="11"/>
  <c r="E900" i="11" s="1"/>
  <c r="C909" i="11"/>
  <c r="E909" i="11" s="1"/>
  <c r="C954" i="11"/>
  <c r="E954" i="11" s="1"/>
  <c r="C1035" i="11"/>
  <c r="E1035" i="11" s="1"/>
  <c r="C1026" i="11"/>
  <c r="E1026" i="11" s="1"/>
  <c r="C1107" i="11"/>
  <c r="E1107" i="11" s="1"/>
  <c r="C1116" i="11"/>
  <c r="E1116" i="11" s="1"/>
  <c r="C1143" i="11"/>
  <c r="E1143" i="11" s="1"/>
  <c r="C1170" i="11"/>
  <c r="E1170" i="11" s="1"/>
  <c r="C1188" i="11"/>
  <c r="E1188" i="11" s="1"/>
  <c r="C1260" i="11"/>
  <c r="E1260" i="11" s="1"/>
  <c r="C1269" i="11"/>
  <c r="E1269" i="11" s="1"/>
  <c r="C1413" i="11"/>
  <c r="E1413" i="11" s="1"/>
  <c r="C6723" i="11"/>
  <c r="E6723" i="11" s="1"/>
  <c r="C1359" i="11"/>
  <c r="E1359" i="11" s="1"/>
  <c r="C1476" i="11"/>
  <c r="E1476" i="11" s="1"/>
  <c r="C1584" i="11"/>
  <c r="E1584" i="11" s="1"/>
  <c r="C1386" i="11"/>
  <c r="E1386" i="11" s="1"/>
  <c r="C1656" i="11"/>
  <c r="E1656" i="11" s="1"/>
  <c r="C1395" i="11"/>
  <c r="E1395" i="11" s="1"/>
  <c r="C1404" i="11"/>
  <c r="E1404" i="11" s="1"/>
  <c r="C1494" i="11"/>
  <c r="E1494" i="11" s="1"/>
  <c r="C1782" i="11"/>
  <c r="E1782" i="11" s="1"/>
  <c r="C1611" i="11"/>
  <c r="E1611" i="11" s="1"/>
  <c r="C1440" i="11"/>
  <c r="E1440" i="11" s="1"/>
  <c r="C1620" i="11"/>
  <c r="E1620" i="11" s="1"/>
  <c r="C1647" i="11"/>
  <c r="E1647" i="11" s="1"/>
  <c r="C1503" i="11"/>
  <c r="E1503" i="11" s="1"/>
  <c r="C1755" i="11"/>
  <c r="E1755" i="11" s="1"/>
  <c r="C1521" i="11"/>
  <c r="E1521" i="11" s="1"/>
  <c r="C1674" i="11"/>
  <c r="E1674" i="11" s="1"/>
  <c r="C405" i="11"/>
  <c r="E405" i="11" s="1"/>
  <c r="C1773" i="11"/>
  <c r="E1773" i="11" s="1"/>
  <c r="C1809" i="11"/>
  <c r="E1809" i="11" s="1"/>
  <c r="C1890" i="11"/>
  <c r="E1890" i="11" s="1"/>
  <c r="C1737" i="11"/>
  <c r="E1737" i="11" s="1"/>
  <c r="C1377" i="11"/>
  <c r="E1377" i="11" s="1"/>
  <c r="C1854" i="11"/>
  <c r="E1854" i="11" s="1"/>
  <c r="C33" i="11"/>
  <c r="E33" i="11" s="1"/>
  <c r="C1935" i="11"/>
  <c r="E1935" i="11" s="1"/>
  <c r="C1908" i="11"/>
  <c r="E1908" i="11" s="1"/>
  <c r="C3429" i="11"/>
  <c r="E3429" i="11" s="1"/>
  <c r="C1962" i="11"/>
  <c r="E1962" i="11" s="1"/>
  <c r="C1998" i="11"/>
  <c r="E1998" i="11" s="1"/>
  <c r="C2043" i="11"/>
  <c r="E2043" i="11" s="1"/>
  <c r="C2052" i="11"/>
  <c r="E2052" i="11" s="1"/>
  <c r="C2070" i="11"/>
  <c r="E2070" i="11" s="1"/>
  <c r="C2079" i="11"/>
  <c r="E2079" i="11" s="1"/>
  <c r="C2088" i="11"/>
  <c r="E2088" i="11" s="1"/>
  <c r="C2124" i="11"/>
  <c r="E2124" i="11" s="1"/>
  <c r="C2133" i="11"/>
  <c r="E2133" i="11" s="1"/>
  <c r="C2142" i="11"/>
  <c r="E2142" i="11" s="1"/>
  <c r="C2151" i="11"/>
  <c r="E2151" i="11" s="1"/>
  <c r="C2160" i="11"/>
  <c r="E2160" i="11" s="1"/>
  <c r="C2178" i="11"/>
  <c r="E2178" i="11" s="1"/>
  <c r="C2187" i="11"/>
  <c r="E2187" i="11" s="1"/>
  <c r="C2196" i="11"/>
  <c r="E2196" i="11" s="1"/>
  <c r="C2250" i="11"/>
  <c r="E2250" i="11" s="1"/>
  <c r="C2277" i="11"/>
  <c r="E2277" i="11" s="1"/>
  <c r="C6372" i="11"/>
  <c r="E6372" i="11" s="1"/>
  <c r="C2358" i="11"/>
  <c r="E2358" i="11" s="1"/>
  <c r="C2376" i="11"/>
  <c r="E2376" i="11" s="1"/>
  <c r="C2385" i="11"/>
  <c r="E2385" i="11" s="1"/>
  <c r="C2493" i="11"/>
  <c r="E2493" i="11" s="1"/>
  <c r="C2538" i="11"/>
  <c r="E2538" i="11" s="1"/>
  <c r="C2547" i="11"/>
  <c r="E2547" i="11" s="1"/>
  <c r="C2574" i="11"/>
  <c r="E2574" i="11" s="1"/>
  <c r="C2610" i="11"/>
  <c r="E2610" i="11" s="1"/>
  <c r="C2628" i="11"/>
  <c r="E2628" i="11" s="1"/>
  <c r="C2754" i="11"/>
  <c r="E2754" i="11" s="1"/>
  <c r="C2763" i="11"/>
  <c r="E2763" i="11" s="1"/>
  <c r="C2772" i="11"/>
  <c r="E2772" i="11" s="1"/>
  <c r="C2790" i="11"/>
  <c r="E2790" i="11" s="1"/>
  <c r="C2799" i="11"/>
  <c r="E2799" i="11" s="1"/>
  <c r="C2808" i="11"/>
  <c r="E2808" i="11" s="1"/>
  <c r="C6084" i="11"/>
  <c r="E6084" i="11" s="1"/>
  <c r="C2817" i="11"/>
  <c r="E2817" i="11" s="1"/>
  <c r="C2907" i="11"/>
  <c r="E2907" i="11" s="1"/>
  <c r="C2934" i="11"/>
  <c r="E2934" i="11" s="1"/>
  <c r="C2943" i="11"/>
  <c r="E2943" i="11" s="1"/>
  <c r="C3015" i="11"/>
  <c r="E3015" i="11" s="1"/>
  <c r="C3033" i="11"/>
  <c r="E3033" i="11" s="1"/>
  <c r="C3060" i="11"/>
  <c r="E3060" i="11" s="1"/>
  <c r="C3069" i="11"/>
  <c r="E3069" i="11" s="1"/>
  <c r="C3078" i="11"/>
  <c r="E3078" i="11" s="1"/>
  <c r="C3096" i="11"/>
  <c r="E3096" i="11" s="1"/>
  <c r="C3105" i="11"/>
  <c r="E3105" i="11" s="1"/>
  <c r="C3114" i="11"/>
  <c r="E3114" i="11" s="1"/>
  <c r="C3195" i="11"/>
  <c r="E3195" i="11" s="1"/>
  <c r="C3168" i="11"/>
  <c r="E3168" i="11" s="1"/>
  <c r="C3276" i="11"/>
  <c r="E3276" i="11" s="1"/>
  <c r="C3240" i="11"/>
  <c r="E3240" i="11" s="1"/>
  <c r="C3258" i="11"/>
  <c r="E3258" i="11" s="1"/>
  <c r="C3222" i="11"/>
  <c r="E3222" i="11" s="1"/>
  <c r="C3294" i="11"/>
  <c r="E3294" i="11" s="1"/>
  <c r="C3312" i="11"/>
  <c r="E3312" i="11" s="1"/>
  <c r="C3330" i="11"/>
  <c r="E3330" i="11" s="1"/>
  <c r="C3339" i="11"/>
  <c r="E3339" i="11" s="1"/>
  <c r="C3357" i="11"/>
  <c r="E3357" i="11" s="1"/>
  <c r="C1512" i="11"/>
  <c r="E1512" i="11" s="1"/>
  <c r="C6741" i="11"/>
  <c r="E6741" i="11" s="1"/>
  <c r="C3375" i="11"/>
  <c r="E3375" i="11" s="1"/>
  <c r="C3402" i="11"/>
  <c r="E3402" i="11" s="1"/>
  <c r="C3465" i="11"/>
  <c r="E3465" i="11" s="1"/>
  <c r="C3483" i="11"/>
  <c r="E3483" i="11" s="1"/>
  <c r="C3501" i="11"/>
  <c r="E3501" i="11" s="1"/>
  <c r="C3510" i="11"/>
  <c r="E3510" i="11" s="1"/>
  <c r="C3537" i="11"/>
  <c r="E3537" i="11" s="1"/>
  <c r="C3555" i="11"/>
  <c r="E3555" i="11" s="1"/>
  <c r="C132" i="11"/>
  <c r="E132" i="11" s="1"/>
  <c r="C3636" i="11"/>
  <c r="E3636" i="11" s="1"/>
  <c r="C3645" i="11"/>
  <c r="E3645" i="11" s="1"/>
  <c r="C3663" i="11"/>
  <c r="E3663" i="11" s="1"/>
  <c r="C3681" i="11"/>
  <c r="E3681" i="11" s="1"/>
  <c r="C3690" i="11"/>
  <c r="E3690" i="11" s="1"/>
  <c r="C3708" i="11"/>
  <c r="E3708" i="11" s="1"/>
  <c r="C3717" i="11"/>
  <c r="E3717" i="11" s="1"/>
  <c r="C3726" i="11"/>
  <c r="E3726" i="11" s="1"/>
  <c r="C3735" i="11"/>
  <c r="E3735" i="11" s="1"/>
  <c r="C3771" i="11"/>
  <c r="E3771" i="11" s="1"/>
  <c r="C3789" i="11"/>
  <c r="E3789" i="11" s="1"/>
  <c r="C3807" i="11"/>
  <c r="E3807" i="11" s="1"/>
  <c r="C3861" i="11"/>
  <c r="E3861" i="11" s="1"/>
  <c r="C3924" i="11"/>
  <c r="E3924" i="11" s="1"/>
  <c r="C3933" i="11"/>
  <c r="E3933" i="11" s="1"/>
  <c r="C3942" i="11"/>
  <c r="E3942" i="11" s="1"/>
  <c r="C3951" i="11"/>
  <c r="E3951" i="11" s="1"/>
  <c r="C3960" i="11"/>
  <c r="E3960" i="11" s="1"/>
  <c r="C3978" i="11"/>
  <c r="E3978" i="11" s="1"/>
  <c r="C2394" i="11"/>
  <c r="E2394" i="11" s="1"/>
  <c r="C3996" i="11"/>
  <c r="E3996" i="11" s="1"/>
  <c r="C1593" i="11"/>
  <c r="E1593" i="11" s="1"/>
  <c r="C2736" i="11"/>
  <c r="E2736" i="11" s="1"/>
  <c r="C4023" i="11"/>
  <c r="E4023" i="11" s="1"/>
  <c r="C4032" i="11"/>
  <c r="E4032" i="11" s="1"/>
  <c r="C4041" i="11"/>
  <c r="E4041" i="11" s="1"/>
  <c r="C4086" i="11"/>
  <c r="E4086" i="11" s="1"/>
  <c r="C4113" i="11"/>
  <c r="E4113" i="11" s="1"/>
  <c r="C3834" i="11"/>
  <c r="E3834" i="11" s="1"/>
  <c r="C4122" i="11"/>
  <c r="E4122" i="11" s="1"/>
  <c r="C4176" i="11"/>
  <c r="E4176" i="11" s="1"/>
  <c r="C5499" i="11"/>
  <c r="E5499" i="11" s="1"/>
  <c r="C4221" i="11"/>
  <c r="E4221" i="11" s="1"/>
  <c r="C6417" i="11"/>
  <c r="E6417" i="11" s="1"/>
  <c r="C4239" i="11"/>
  <c r="E4239" i="11" s="1"/>
  <c r="C4311" i="11"/>
  <c r="E4311" i="11" s="1"/>
  <c r="C945" i="11"/>
  <c r="E945" i="11" s="1"/>
  <c r="C4356" i="11"/>
  <c r="E4356" i="11" s="1"/>
  <c r="C4383" i="11"/>
  <c r="E4383" i="11" s="1"/>
  <c r="C4455" i="11"/>
  <c r="E4455" i="11" s="1"/>
  <c r="C4491" i="11"/>
  <c r="E4491" i="11" s="1"/>
  <c r="C1683" i="11"/>
  <c r="E1683" i="11" s="1"/>
  <c r="C4410" i="11"/>
  <c r="E4410" i="11" s="1"/>
  <c r="C3141" i="11"/>
  <c r="E3141" i="11" s="1"/>
  <c r="C4527" i="11"/>
  <c r="E4527" i="11" s="1"/>
  <c r="C4536" i="11"/>
  <c r="E4536" i="11" s="1"/>
  <c r="C4545" i="11"/>
  <c r="E4545" i="11" s="1"/>
  <c r="C4572" i="11"/>
  <c r="E4572" i="11" s="1"/>
  <c r="C4599" i="11"/>
  <c r="E4599" i="11" s="1"/>
  <c r="C4626" i="11"/>
  <c r="E4626" i="11" s="1"/>
  <c r="C4671" i="11"/>
  <c r="E4671" i="11" s="1"/>
  <c r="C4707" i="11"/>
  <c r="E4707" i="11" s="1"/>
  <c r="C4725" i="11"/>
  <c r="E4725" i="11" s="1"/>
  <c r="C4806" i="11"/>
  <c r="E4806" i="11" s="1"/>
  <c r="C4824" i="11"/>
  <c r="E4824" i="11" s="1"/>
  <c r="C4851" i="11"/>
  <c r="E4851" i="11" s="1"/>
  <c r="C4887" i="11"/>
  <c r="E4887" i="11" s="1"/>
  <c r="C4905" i="11"/>
  <c r="E4905" i="11" s="1"/>
  <c r="C4923" i="11"/>
  <c r="E4923" i="11" s="1"/>
  <c r="C4950" i="11"/>
  <c r="E4950" i="11" s="1"/>
  <c r="C4977" i="11"/>
  <c r="E4977" i="11" s="1"/>
  <c r="C4995" i="11"/>
  <c r="E4995" i="11" s="1"/>
  <c r="C5013" i="11"/>
  <c r="E5013" i="11" s="1"/>
  <c r="C5022" i="11"/>
  <c r="E5022" i="11" s="1"/>
  <c r="C5049" i="11"/>
  <c r="E5049" i="11" s="1"/>
  <c r="C5031" i="11"/>
  <c r="E5031" i="11" s="1"/>
  <c r="C5040" i="11"/>
  <c r="E5040" i="11" s="1"/>
  <c r="C213" i="11"/>
  <c r="E213" i="11" s="1"/>
  <c r="C5058" i="11"/>
  <c r="E5058" i="11" s="1"/>
  <c r="C5094" i="11"/>
  <c r="E5094" i="11" s="1"/>
  <c r="C5103" i="11"/>
  <c r="E5103" i="11" s="1"/>
  <c r="C5067" i="11"/>
  <c r="E5067" i="11" s="1"/>
  <c r="C5112" i="11"/>
  <c r="E5112" i="11" s="1"/>
  <c r="C5130" i="11"/>
  <c r="E5130" i="11" s="1"/>
  <c r="C5166" i="11"/>
  <c r="E5166" i="11" s="1"/>
  <c r="C5193" i="11"/>
  <c r="E5193" i="11" s="1"/>
  <c r="C5211" i="11"/>
  <c r="E5211" i="11" s="1"/>
  <c r="C5265" i="11"/>
  <c r="E5265" i="11" s="1"/>
  <c r="C5328" i="11"/>
  <c r="E5328" i="11" s="1"/>
  <c r="C5427" i="11"/>
  <c r="E5427" i="11" s="1"/>
  <c r="C5472" i="11"/>
  <c r="E5472" i="11" s="1"/>
  <c r="C5490" i="11"/>
  <c r="E5490" i="11" s="1"/>
  <c r="C5517" i="11"/>
  <c r="E5517" i="11" s="1"/>
  <c r="C5463" i="11"/>
  <c r="E5463" i="11" s="1"/>
  <c r="C5526" i="11"/>
  <c r="E5526" i="11" s="1"/>
  <c r="C5544" i="11"/>
  <c r="E5544" i="11" s="1"/>
  <c r="C5553" i="11"/>
  <c r="E5553" i="11" s="1"/>
  <c r="C5625" i="11"/>
  <c r="E5625" i="11" s="1"/>
  <c r="C5634" i="11"/>
  <c r="E5634" i="11" s="1"/>
  <c r="C5652" i="11"/>
  <c r="E5652" i="11" s="1"/>
  <c r="C5670" i="11"/>
  <c r="E5670" i="11" s="1"/>
  <c r="C5679" i="11"/>
  <c r="E5679" i="11" s="1"/>
  <c r="C5688" i="11"/>
  <c r="E5688" i="11" s="1"/>
  <c r="C5769" i="11"/>
  <c r="E5769" i="11" s="1"/>
  <c r="C4617" i="11"/>
  <c r="E4617" i="11" s="1"/>
  <c r="C5778" i="11"/>
  <c r="E5778" i="11" s="1"/>
  <c r="C5310" i="11"/>
  <c r="E5310" i="11" s="1"/>
  <c r="C5787" i="11"/>
  <c r="E5787" i="11" s="1"/>
  <c r="C5823" i="11"/>
  <c r="E5823" i="11" s="1"/>
  <c r="C5859" i="11"/>
  <c r="E5859" i="11" s="1"/>
  <c r="C5877" i="11"/>
  <c r="E5877" i="11" s="1"/>
  <c r="C1602" i="11"/>
  <c r="E1602" i="11" s="1"/>
  <c r="C5886" i="11"/>
  <c r="E5886" i="11" s="1"/>
  <c r="C5895" i="11"/>
  <c r="E5895" i="11" s="1"/>
  <c r="C5904" i="11"/>
  <c r="E5904" i="11" s="1"/>
  <c r="C5913" i="11"/>
  <c r="E5913" i="11" s="1"/>
  <c r="C5931" i="11"/>
  <c r="E5931" i="11" s="1"/>
  <c r="C5940" i="11"/>
  <c r="E5940" i="11" s="1"/>
  <c r="C5958" i="11"/>
  <c r="E5958" i="11" s="1"/>
  <c r="C5994" i="11"/>
  <c r="E5994" i="11" s="1"/>
  <c r="C6012" i="11"/>
  <c r="E6012" i="11" s="1"/>
  <c r="C6066" i="11"/>
  <c r="E6066" i="11" s="1"/>
  <c r="C6039" i="11"/>
  <c r="E6039" i="11" s="1"/>
  <c r="C2115" i="11"/>
  <c r="E2115" i="11" s="1"/>
  <c r="C6120" i="11"/>
  <c r="E6120" i="11" s="1"/>
  <c r="C5283" i="11"/>
  <c r="E5283" i="11" s="1"/>
  <c r="C6165" i="11"/>
  <c r="E6165" i="11" s="1"/>
  <c r="C6174" i="11"/>
  <c r="E6174" i="11" s="1"/>
  <c r="C6183" i="11"/>
  <c r="E6183" i="11" s="1"/>
  <c r="C321" i="11"/>
  <c r="E321" i="11" s="1"/>
  <c r="C6237" i="11"/>
  <c r="E6237" i="11" s="1"/>
  <c r="C6246" i="11"/>
  <c r="E6246" i="11" s="1"/>
  <c r="C477" i="11"/>
  <c r="E477" i="11" s="1"/>
  <c r="C6327" i="11"/>
  <c r="E6327" i="11" s="1"/>
  <c r="C6381" i="11"/>
  <c r="E6381" i="11" s="1"/>
  <c r="C6462" i="11"/>
  <c r="E6462" i="11" s="1"/>
  <c r="C6498" i="11"/>
  <c r="E6498" i="11" s="1"/>
  <c r="C6471" i="11"/>
  <c r="E6471" i="11" s="1"/>
  <c r="C6516" i="11"/>
  <c r="E6516" i="11" s="1"/>
  <c r="C6525" i="11"/>
  <c r="E6525" i="11" s="1"/>
  <c r="C6552" i="11"/>
  <c r="E6552" i="11" s="1"/>
  <c r="C6570" i="11"/>
  <c r="E6570" i="11" s="1"/>
  <c r="C6480" i="11"/>
  <c r="E6480" i="11" s="1"/>
  <c r="C6408" i="11"/>
  <c r="E6408" i="11" s="1"/>
  <c r="C6579" i="11"/>
  <c r="E6579" i="11" s="1"/>
  <c r="C6588" i="11"/>
  <c r="E6588" i="11" s="1"/>
  <c r="C6624" i="11"/>
  <c r="E6624" i="11" s="1"/>
  <c r="C6633" i="11"/>
  <c r="E6633" i="11" s="1"/>
  <c r="C6651" i="11"/>
  <c r="E6651" i="11" s="1"/>
  <c r="C6660" i="11"/>
  <c r="E6660" i="11" s="1"/>
  <c r="C6687" i="11"/>
  <c r="E6687" i="11" s="1"/>
  <c r="C6732" i="11"/>
  <c r="E6732" i="11" s="1"/>
  <c r="C6831" i="11"/>
  <c r="E6831" i="11" s="1"/>
  <c r="C6750" i="11"/>
  <c r="E6750" i="11" s="1"/>
  <c r="C6759" i="11"/>
  <c r="E6759" i="11" s="1"/>
  <c r="C6696" i="11"/>
  <c r="E6696" i="11" s="1"/>
  <c r="C4374" i="11"/>
  <c r="E4374" i="11" s="1"/>
  <c r="C6912" i="11"/>
  <c r="E6912" i="11" s="1"/>
  <c r="C6894" i="11"/>
  <c r="E6894" i="11" s="1"/>
  <c r="C6885" i="11"/>
  <c r="E6885" i="11" s="1"/>
  <c r="C6939" i="11"/>
  <c r="E6939" i="11" s="1"/>
  <c r="C6957" i="11"/>
  <c r="E6957" i="11" s="1"/>
  <c r="C6975" i="11"/>
  <c r="E6975" i="11" s="1"/>
  <c r="C6921" i="11"/>
  <c r="E6921" i="11" s="1"/>
  <c r="C3159" i="11"/>
  <c r="E3159" i="11" s="1"/>
  <c r="C7038" i="11"/>
  <c r="E7038" i="11" s="1"/>
  <c r="C1017" i="11"/>
  <c r="E1017" i="11" s="1"/>
  <c r="C5805" i="11"/>
  <c r="E5805" i="11" s="1"/>
  <c r="C4131" i="11"/>
  <c r="E4131" i="11" s="1"/>
  <c r="C5724" i="11"/>
  <c r="E5724" i="11" s="1"/>
  <c r="C2007" i="11"/>
  <c r="E2007" i="11" s="1"/>
  <c r="C4095" i="11"/>
  <c r="E4095" i="11" s="1"/>
  <c r="C1872" i="11"/>
  <c r="E1872" i="11" s="1"/>
  <c r="C2565" i="11"/>
  <c r="E2565" i="11" s="1"/>
  <c r="C6903" i="11"/>
  <c r="E6903" i="11" s="1"/>
  <c r="C5760" i="11"/>
  <c r="E5760" i="11" s="1"/>
  <c r="C1071" i="11"/>
  <c r="E1071" i="11" s="1"/>
  <c r="C729" i="11"/>
  <c r="E729" i="11" s="1"/>
  <c r="C963" i="11"/>
  <c r="E963" i="11" s="1"/>
  <c r="C4860" i="11"/>
  <c r="E4860" i="11" s="1"/>
  <c r="C2403" i="11"/>
  <c r="E2403" i="11" s="1"/>
  <c r="C3024" i="11"/>
  <c r="E3024" i="11" s="1"/>
  <c r="C1944" i="11"/>
  <c r="E1944" i="11" s="1"/>
  <c r="C4464" i="11"/>
  <c r="E4464" i="11" s="1"/>
  <c r="C6255" i="11"/>
  <c r="E6255" i="11" s="1"/>
  <c r="C3204" i="11"/>
  <c r="E3204" i="11" s="1"/>
  <c r="C5202" i="11"/>
  <c r="E5202" i="11" s="1"/>
  <c r="C2529" i="11"/>
  <c r="E2529" i="11" s="1"/>
  <c r="C1458" i="11"/>
  <c r="E1458" i="11" s="1"/>
  <c r="C6768" i="11"/>
  <c r="E6768" i="11" s="1"/>
  <c r="C666" i="11"/>
  <c r="E666" i="11" s="1"/>
  <c r="C2259" i="11"/>
  <c r="E2259" i="11" s="1"/>
  <c r="C5292" i="11"/>
  <c r="E5292" i="11" s="1"/>
  <c r="C5301" i="11"/>
  <c r="E5301" i="11" s="1"/>
  <c r="C6669" i="11"/>
  <c r="E6669" i="11" s="1"/>
  <c r="C1431" i="11"/>
  <c r="E1431" i="11" s="1"/>
  <c r="C6021" i="11"/>
  <c r="E6021" i="11" s="1"/>
  <c r="C5157" i="11"/>
  <c r="E5157" i="11" s="1"/>
  <c r="C4248" i="11"/>
  <c r="E4248" i="11" s="1"/>
  <c r="C6363" i="11"/>
  <c r="E6363" i="11" s="1"/>
  <c r="C1566" i="11"/>
  <c r="E1566" i="11" s="1"/>
  <c r="C1728" i="11"/>
  <c r="E1728" i="11" s="1"/>
  <c r="C4932" i="11"/>
  <c r="E4932" i="11" s="1"/>
  <c r="C1179" i="11"/>
  <c r="E1179" i="11" s="1"/>
  <c r="C5391" i="11"/>
  <c r="E5391" i="11" s="1"/>
  <c r="C5841" i="11"/>
  <c r="E5841" i="11" s="1"/>
  <c r="C6813" i="11"/>
  <c r="E6813" i="11" s="1"/>
  <c r="C2556" i="11"/>
  <c r="E2556" i="11" s="1"/>
  <c r="C1422" i="11"/>
  <c r="E1422" i="11" s="1"/>
  <c r="C5085" i="11"/>
  <c r="E5085" i="11" s="1"/>
  <c r="C999" i="11"/>
  <c r="E999" i="11" s="1"/>
  <c r="C2367" i="11"/>
  <c r="E2367" i="11" s="1"/>
  <c r="C5868" i="11"/>
  <c r="E5868" i="11" s="1"/>
  <c r="C2457" i="11"/>
  <c r="E2457" i="11" s="1"/>
  <c r="C4653" i="11"/>
  <c r="E4653" i="11" s="1"/>
  <c r="C1575" i="11"/>
  <c r="E1575" i="11" s="1"/>
  <c r="C4662" i="11"/>
  <c r="E4662" i="11" s="1"/>
  <c r="C792" i="11"/>
  <c r="E792" i="11" s="1"/>
  <c r="C6948" i="11"/>
  <c r="E6948" i="11" s="1"/>
  <c r="C1863" i="11"/>
  <c r="E1863" i="11" s="1"/>
  <c r="C4257" i="11"/>
  <c r="E4257" i="11" s="1"/>
  <c r="C5733" i="11"/>
  <c r="E5733" i="11" s="1"/>
  <c r="C5238" i="11"/>
  <c r="E5238" i="11" s="1"/>
  <c r="C373" i="11"/>
  <c r="E373" i="11" s="1"/>
  <c r="C3519" i="11"/>
  <c r="E3519" i="11" s="1"/>
  <c r="C374" i="11"/>
  <c r="E374" i="11" s="1"/>
  <c r="C1665" i="11"/>
  <c r="E1665" i="11" s="1"/>
  <c r="C4068" i="11"/>
  <c r="E4068" i="11" s="1"/>
  <c r="C1899" i="11"/>
  <c r="E1899" i="11" s="1"/>
  <c r="C3987" i="11"/>
  <c r="E3987" i="11" s="1"/>
  <c r="C2502" i="11"/>
  <c r="E2502" i="11" s="1"/>
  <c r="C585" i="11"/>
  <c r="E585" i="11" s="1"/>
  <c r="C846" i="11"/>
  <c r="E846" i="11" s="1"/>
  <c r="C4869" i="11"/>
  <c r="E4869" i="11" s="1"/>
  <c r="C1989" i="11"/>
  <c r="E1989" i="11" s="1"/>
  <c r="C1917" i="11"/>
  <c r="E1917" i="11" s="1"/>
  <c r="C2997" i="11"/>
  <c r="E2997" i="11" s="1"/>
  <c r="C6507" i="11"/>
  <c r="E6507" i="11" s="1"/>
  <c r="C2853" i="11"/>
  <c r="E2853" i="11" s="1"/>
  <c r="C6354" i="11"/>
  <c r="E6354" i="11" s="1"/>
  <c r="C2673" i="11"/>
  <c r="E2673" i="11" s="1"/>
  <c r="C4896" i="11"/>
  <c r="E4896" i="11" s="1"/>
  <c r="C5832" i="11"/>
  <c r="E5832" i="11" s="1"/>
  <c r="C2691" i="11"/>
  <c r="E2691" i="11" s="1"/>
  <c r="C1980" i="11"/>
  <c r="E1980" i="11" s="1"/>
  <c r="C348" i="11"/>
  <c r="E348" i="11" s="1"/>
  <c r="C4968" i="11"/>
  <c r="E4968" i="11" s="1"/>
  <c r="C5076" i="11"/>
  <c r="E5076" i="11" s="1"/>
  <c r="C6048" i="11"/>
  <c r="E6048" i="11" s="1"/>
  <c r="C5373" i="11"/>
  <c r="E5373" i="11" s="1"/>
  <c r="C4158" i="11"/>
  <c r="E4158" i="11" s="1"/>
  <c r="C594" i="11"/>
  <c r="E594" i="11" s="1"/>
  <c r="C1692" i="11"/>
  <c r="E1692" i="11" s="1"/>
  <c r="C3213" i="11"/>
  <c r="E3213" i="11" s="1"/>
  <c r="C4563" i="11"/>
  <c r="E4563" i="11" s="1"/>
  <c r="C1548" i="11"/>
  <c r="E1548" i="11" s="1"/>
  <c r="C1233" i="11"/>
  <c r="E1233" i="11" s="1"/>
  <c r="C6102" i="11"/>
  <c r="E6102" i="11" s="1"/>
  <c r="C5607" i="11"/>
  <c r="E5607" i="11" s="1"/>
  <c r="C3618" i="11"/>
  <c r="E3618" i="11" s="1"/>
  <c r="C3825" i="11"/>
  <c r="E3825" i="11" s="1"/>
  <c r="C1278" i="11"/>
  <c r="E1278" i="11" s="1"/>
  <c r="C2232" i="11"/>
  <c r="E2232" i="11" s="1"/>
  <c r="C4716" i="11"/>
  <c r="E4716" i="11" s="1"/>
  <c r="C4959" i="11"/>
  <c r="E4959" i="11" s="1"/>
  <c r="C5004" i="11"/>
  <c r="E5004" i="11" s="1"/>
  <c r="C639" i="11"/>
  <c r="E639" i="11" s="1"/>
  <c r="C7011" i="11"/>
  <c r="E7011" i="11" s="1"/>
  <c r="C3321" i="11"/>
  <c r="E3321" i="11" s="1"/>
  <c r="C6966" i="11"/>
  <c r="E6966" i="11" s="1"/>
  <c r="C1530" i="11"/>
  <c r="E1530" i="11" s="1"/>
  <c r="C720" i="11"/>
  <c r="E720" i="11" s="1"/>
  <c r="C4005" i="11"/>
  <c r="E4005" i="11" s="1"/>
  <c r="C5508" i="11"/>
  <c r="E5508" i="11" s="1"/>
  <c r="C6111" i="11"/>
  <c r="E6111" i="11" s="1"/>
  <c r="C5976" i="11"/>
  <c r="E5976" i="11" s="1"/>
  <c r="C441" i="11"/>
  <c r="E441" i="11" s="1"/>
  <c r="C2700" i="11"/>
  <c r="E2700" i="11" s="1"/>
  <c r="C1629" i="11"/>
  <c r="E1629" i="11" s="1"/>
  <c r="C2214" i="11"/>
  <c r="E2214" i="11" s="1"/>
  <c r="C1791" i="11"/>
  <c r="E1791" i="11" s="1"/>
  <c r="C4149" i="11"/>
  <c r="E4149" i="11" s="1"/>
  <c r="C3672" i="11"/>
  <c r="E3672" i="11" s="1"/>
  <c r="C4266" i="11"/>
  <c r="E4266" i="11" s="1"/>
  <c r="C6984" i="11"/>
  <c r="E6984" i="11" s="1"/>
  <c r="C5706" i="11"/>
  <c r="E5706" i="11" s="1"/>
  <c r="C3627" i="11"/>
  <c r="E3627" i="11" s="1"/>
  <c r="C6678" i="11"/>
  <c r="E6678" i="11" s="1"/>
  <c r="C2205" i="11"/>
  <c r="E2205" i="11" s="1"/>
  <c r="C1161" i="11"/>
  <c r="E1161" i="11" s="1"/>
  <c r="C6867" i="11"/>
  <c r="E6867" i="11" s="1"/>
  <c r="C4059" i="11"/>
  <c r="E4059" i="11" s="1"/>
  <c r="C4680" i="11"/>
  <c r="E4680" i="11" s="1"/>
  <c r="C1332" i="11"/>
  <c r="E1332" i="11" s="1"/>
  <c r="C2448" i="11"/>
  <c r="E2448" i="11" s="1"/>
  <c r="C2484" i="11"/>
  <c r="E2484" i="11" s="1"/>
  <c r="C1971" i="11"/>
  <c r="E1971" i="11" s="1"/>
  <c r="C204" i="11"/>
  <c r="E204" i="11" s="1"/>
  <c r="C4293" i="11"/>
  <c r="E4293" i="11" s="1"/>
  <c r="C6714" i="11"/>
  <c r="E6714" i="11" s="1"/>
  <c r="C5148" i="11"/>
  <c r="E5148" i="11" s="1"/>
  <c r="C5382" i="11"/>
  <c r="E5382" i="11" s="1"/>
  <c r="C375" i="11"/>
  <c r="E375" i="11" s="1"/>
  <c r="C648" i="11"/>
  <c r="E648" i="11" s="1"/>
  <c r="C3582" i="11"/>
  <c r="E3582" i="11" s="1"/>
  <c r="C3366" i="11"/>
  <c r="E3366" i="11" s="1"/>
  <c r="C5967" i="11"/>
  <c r="E5967" i="11" s="1"/>
  <c r="C2637" i="11"/>
  <c r="E2637" i="11" s="1"/>
  <c r="C6228" i="11"/>
  <c r="E6228" i="11" s="1"/>
  <c r="C972" i="11"/>
  <c r="E972" i="11" s="1"/>
  <c r="C5562" i="11"/>
  <c r="E5562" i="11" s="1"/>
  <c r="C3852" i="11"/>
  <c r="E3852" i="11" s="1"/>
  <c r="C1800" i="11"/>
  <c r="E1800" i="11" s="1"/>
  <c r="C3843" i="11"/>
  <c r="E3843" i="11" s="1"/>
  <c r="C5985" i="11"/>
  <c r="E5985" i="11" s="1"/>
  <c r="C936" i="11"/>
  <c r="E936" i="11" s="1"/>
  <c r="C6282" i="11"/>
  <c r="E6282" i="11" s="1"/>
  <c r="C828" i="11"/>
  <c r="E828" i="11" s="1"/>
  <c r="C1296" i="11"/>
  <c r="E1296" i="11" s="1"/>
  <c r="C2646" i="11"/>
  <c r="E2646" i="11" s="1"/>
  <c r="C4302" i="11"/>
  <c r="E4302" i="11" s="1"/>
  <c r="C7029" i="11"/>
  <c r="E7029" i="11" s="1"/>
  <c r="C1881" i="11"/>
  <c r="E1881" i="11" s="1"/>
  <c r="C6642" i="11"/>
  <c r="E6642" i="11" s="1"/>
  <c r="C3699" i="11"/>
  <c r="E3699" i="11" s="1"/>
  <c r="C6543" i="11"/>
  <c r="E6543" i="11" s="1"/>
  <c r="C4284" i="11"/>
  <c r="E4284" i="11" s="1"/>
  <c r="C2952" i="11"/>
  <c r="E2952" i="11" s="1"/>
  <c r="C3897" i="11"/>
  <c r="E3897" i="11" s="1"/>
  <c r="C6138" i="11"/>
  <c r="E6138" i="11" s="1"/>
  <c r="C1314" i="11"/>
  <c r="E1314" i="11" s="1"/>
  <c r="C6858" i="11"/>
  <c r="E6858" i="11" s="1"/>
  <c r="C3528" i="11"/>
  <c r="E3528" i="11" s="1"/>
  <c r="C3231" i="11"/>
  <c r="E3231" i="11" s="1"/>
  <c r="C4392" i="11"/>
  <c r="E4392" i="11" s="1"/>
  <c r="C4554" i="11"/>
  <c r="E4554" i="11" s="1"/>
  <c r="C981" i="11"/>
  <c r="E981" i="11" s="1"/>
  <c r="C6435" i="11"/>
  <c r="E6435" i="11" s="1"/>
  <c r="C2286" i="11"/>
  <c r="E2286" i="11" s="1"/>
  <c r="C2511" i="11"/>
  <c r="E2511" i="11" s="1"/>
  <c r="C2430" i="11"/>
  <c r="E2430" i="11" s="1"/>
  <c r="C6444" i="11"/>
  <c r="E6444" i="11" s="1"/>
  <c r="C4104" i="11"/>
  <c r="E4104" i="11" s="1"/>
  <c r="C4590" i="11"/>
  <c r="E4590" i="11" s="1"/>
  <c r="C6453" i="11"/>
  <c r="E6453" i="11" s="1"/>
  <c r="C3393" i="11"/>
  <c r="E3393" i="11" s="1"/>
  <c r="C6426" i="11"/>
  <c r="E6426" i="11" s="1"/>
  <c r="C5796" i="11"/>
  <c r="E5796" i="11" s="1"/>
  <c r="C990" i="11"/>
  <c r="E990" i="11" s="1"/>
  <c r="C4446" i="11"/>
  <c r="E4446" i="11" s="1"/>
  <c r="C4833" i="11"/>
  <c r="E4833" i="11" s="1"/>
  <c r="C1197" i="11"/>
  <c r="E1197" i="11" s="1"/>
  <c r="C5661" i="11"/>
  <c r="E5661" i="11" s="1"/>
  <c r="C6606" i="11"/>
  <c r="E6606" i="11" s="1"/>
  <c r="C6849" i="11"/>
  <c r="E6849" i="11" s="1"/>
  <c r="C5337" i="11"/>
  <c r="E5337" i="11" s="1"/>
  <c r="C2349" i="11"/>
  <c r="E2349" i="11" s="1"/>
  <c r="C3591" i="11"/>
  <c r="E3591" i="11" s="1"/>
  <c r="C459" i="11"/>
  <c r="E459" i="11" s="1"/>
  <c r="C6318" i="11"/>
  <c r="E6318" i="11" s="1"/>
  <c r="C3870" i="11"/>
  <c r="E3870" i="11" s="1"/>
  <c r="C1062" i="11"/>
  <c r="E1062" i="11" s="1"/>
  <c r="C3969" i="11"/>
  <c r="E3969" i="11" s="1"/>
  <c r="C3249" i="11"/>
  <c r="E3249" i="11" s="1"/>
  <c r="C2016" i="11"/>
  <c r="E2016" i="11" s="1"/>
  <c r="C4365" i="11"/>
  <c r="E4365" i="11" s="1"/>
  <c r="C5454" i="11"/>
  <c r="E5454" i="11" s="1"/>
  <c r="C1719" i="11"/>
  <c r="E1719" i="11" s="1"/>
  <c r="C3888" i="11"/>
  <c r="E3888" i="11" s="1"/>
  <c r="C5319" i="11"/>
  <c r="E5319" i="11" s="1"/>
  <c r="C4014" i="11"/>
  <c r="E4014" i="11" s="1"/>
  <c r="C6930" i="11"/>
  <c r="E6930" i="11" s="1"/>
  <c r="C2601" i="11"/>
  <c r="E2601" i="11" s="1"/>
  <c r="C3186" i="11"/>
  <c r="E3186" i="11" s="1"/>
  <c r="C6336" i="11"/>
  <c r="E6336" i="11" s="1"/>
  <c r="C3573" i="11"/>
  <c r="E3573" i="11" s="1"/>
  <c r="C1638" i="11"/>
  <c r="E1638" i="11" s="1"/>
  <c r="C2745" i="11"/>
  <c r="E2745" i="11" s="1"/>
  <c r="C4194" i="11"/>
  <c r="E4194" i="11" s="1"/>
  <c r="C2889" i="11"/>
  <c r="E2889" i="11" s="1"/>
  <c r="C2439" i="11"/>
  <c r="E2439" i="11" s="1"/>
  <c r="C882" i="11"/>
  <c r="E882" i="11" s="1"/>
  <c r="C3879" i="11"/>
  <c r="E3879" i="11" s="1"/>
  <c r="C675" i="11"/>
  <c r="E675" i="11" s="1"/>
  <c r="C222" i="11"/>
  <c r="E222" i="11" s="1"/>
  <c r="C5616" i="11"/>
  <c r="E5616" i="11" s="1"/>
  <c r="C3006" i="11"/>
  <c r="E3006" i="11" s="1"/>
  <c r="C2925" i="11"/>
  <c r="E2925" i="11" s="1"/>
  <c r="C2619" i="11"/>
  <c r="E2619" i="11" s="1"/>
  <c r="C5247" i="11"/>
  <c r="E5247" i="11" s="1"/>
  <c r="C4608" i="11"/>
  <c r="E4608" i="11" s="1"/>
  <c r="C1125" i="11"/>
  <c r="E1125" i="11" s="1"/>
  <c r="C1152" i="11"/>
  <c r="E1152" i="11" s="1"/>
  <c r="C3267" i="11"/>
  <c r="E3267" i="11" s="1"/>
  <c r="C4581" i="11"/>
  <c r="E4581" i="11" s="1"/>
  <c r="C7002" i="11"/>
  <c r="E7002" i="11" s="1"/>
  <c r="C5715" i="11"/>
  <c r="E5715" i="11" s="1"/>
  <c r="C1845" i="11"/>
  <c r="E1845" i="11" s="1"/>
  <c r="C1287" i="11"/>
  <c r="E1287" i="11" s="1"/>
  <c r="C2871" i="11"/>
  <c r="E2871" i="11" s="1"/>
  <c r="C1008" i="11"/>
  <c r="E1008" i="11" s="1"/>
  <c r="C7055" i="11"/>
  <c r="E7055" i="11" s="1"/>
  <c r="C1557" i="11"/>
  <c r="E1557" i="11" s="1"/>
  <c r="C123" i="11"/>
  <c r="E123" i="11" s="1"/>
  <c r="C4401" i="11"/>
  <c r="E4401" i="11" s="1"/>
  <c r="C6210" i="11"/>
  <c r="E6210" i="11" s="1"/>
  <c r="C2682" i="11"/>
  <c r="E2682" i="11" s="1"/>
  <c r="C1701" i="11"/>
  <c r="E1701" i="11" s="1"/>
  <c r="C3132" i="11"/>
  <c r="E3132" i="11" s="1"/>
  <c r="C2223" i="11"/>
  <c r="E2223" i="11" s="1"/>
  <c r="C2970" i="11"/>
  <c r="E2970" i="11" s="1"/>
  <c r="C4275" i="11"/>
  <c r="E4275" i="11" s="1"/>
  <c r="C3150" i="11"/>
  <c r="E3150" i="11" s="1"/>
  <c r="C3042" i="11"/>
  <c r="E3042" i="11" s="1"/>
  <c r="C1098" i="11"/>
  <c r="E1098" i="11" s="1"/>
  <c r="C3744" i="11"/>
  <c r="E3744" i="11" s="1"/>
  <c r="C3915" i="11"/>
  <c r="E3915" i="11" s="1"/>
  <c r="C1764" i="11"/>
  <c r="E1764" i="11" s="1"/>
  <c r="C4698" i="11"/>
  <c r="E4698" i="11" s="1"/>
  <c r="C4941" i="11"/>
  <c r="E4941" i="11" s="1"/>
  <c r="C1818" i="11"/>
  <c r="E1818" i="11" s="1"/>
  <c r="C2592" i="11"/>
  <c r="E2592" i="11" s="1"/>
  <c r="C5949" i="11"/>
  <c r="E5949" i="11" s="1"/>
  <c r="C5751" i="11"/>
  <c r="E5751" i="11" s="1"/>
  <c r="C6129" i="11"/>
  <c r="E6129" i="11" s="1"/>
  <c r="C2916" i="11"/>
  <c r="E2916" i="11" s="1"/>
  <c r="C4734" i="11"/>
  <c r="E4734" i="11" s="1"/>
  <c r="C6057" i="11"/>
  <c r="E6057" i="11" s="1"/>
  <c r="C567" i="11"/>
  <c r="E567" i="11" s="1"/>
  <c r="C765" i="11"/>
  <c r="E765" i="11" s="1"/>
  <c r="C3438" i="11"/>
  <c r="E3438" i="11" s="1"/>
  <c r="C819" i="11"/>
  <c r="E819" i="11" s="1"/>
  <c r="C1089" i="11"/>
  <c r="E1089" i="11" s="1"/>
  <c r="C5229" i="11"/>
  <c r="E5229" i="11" s="1"/>
  <c r="C2979" i="11"/>
  <c r="E2979" i="11" s="1"/>
  <c r="C1323" i="11"/>
  <c r="E1323" i="11" s="1"/>
  <c r="C657" i="11"/>
  <c r="E657" i="11" s="1"/>
  <c r="C1350" i="11"/>
  <c r="E1350" i="11" s="1"/>
  <c r="C2061" i="11"/>
  <c r="E2061" i="11" s="1"/>
  <c r="C6489" i="11"/>
  <c r="E6489" i="11" s="1"/>
  <c r="C684" i="11"/>
  <c r="E684" i="11" s="1"/>
  <c r="C6075" i="11"/>
  <c r="E6075" i="11" s="1"/>
  <c r="C5571" i="11"/>
  <c r="E5571" i="11" s="1"/>
  <c r="C4230" i="11"/>
  <c r="E4230" i="11" s="1"/>
  <c r="C5850" i="11"/>
  <c r="E5850" i="11" s="1"/>
  <c r="C3447" i="11"/>
  <c r="E3447" i="11" s="1"/>
  <c r="C5814" i="11"/>
  <c r="E5814" i="11" s="1"/>
  <c r="C5346" i="11"/>
  <c r="E5346" i="11" s="1"/>
  <c r="C6822" i="11"/>
  <c r="E6822" i="11" s="1"/>
  <c r="C5274" i="11"/>
  <c r="E5274" i="11" s="1"/>
  <c r="C2988" i="11"/>
  <c r="E2988" i="11" s="1"/>
  <c r="C1134" i="11"/>
  <c r="E1134" i="11" s="1"/>
  <c r="C5580" i="11"/>
  <c r="E5580" i="11" s="1"/>
  <c r="C486" i="11"/>
  <c r="E486" i="11" s="1"/>
  <c r="C2106" i="11"/>
  <c r="E2106" i="11" s="1"/>
  <c r="C4914" i="11"/>
  <c r="E4914" i="11" s="1"/>
  <c r="C2421" i="11"/>
  <c r="E2421" i="11" s="1"/>
  <c r="C6030" i="11"/>
  <c r="E6030" i="11" s="1"/>
  <c r="C4050" i="11"/>
  <c r="E4050" i="11" s="1"/>
  <c r="C2862" i="11"/>
  <c r="E2862" i="11" s="1"/>
  <c r="C4437" i="11"/>
  <c r="E4437" i="11" s="1"/>
  <c r="C3762" i="11"/>
  <c r="E3762" i="11" s="1"/>
  <c r="C1206" i="11"/>
  <c r="E1206" i="11" s="1"/>
  <c r="C5175" i="11"/>
  <c r="E5175" i="11" s="1"/>
  <c r="C4338" i="11"/>
  <c r="E4338" i="11" s="1"/>
  <c r="C4167" i="11"/>
  <c r="E4167" i="11" s="1"/>
  <c r="C5436" i="11"/>
  <c r="E5436" i="11" s="1"/>
  <c r="C1485" i="11"/>
  <c r="E1485" i="11" s="1"/>
  <c r="C2097" i="11"/>
  <c r="E2097" i="11" s="1"/>
  <c r="C3411" i="11"/>
  <c r="E3411" i="11" s="1"/>
  <c r="C918" i="11"/>
  <c r="E918" i="11" s="1"/>
  <c r="C2412" i="11"/>
  <c r="E2412" i="11" s="1"/>
  <c r="C6993" i="11"/>
  <c r="E6993" i="11" s="1"/>
  <c r="C2304" i="11"/>
  <c r="E2304" i="11" s="1"/>
  <c r="C6156" i="11"/>
  <c r="E6156" i="11" s="1"/>
  <c r="C6291" i="11"/>
  <c r="E6291" i="11" s="1"/>
  <c r="C5481" i="11"/>
  <c r="E5481" i="11" s="1"/>
  <c r="C3780" i="11"/>
  <c r="E3780" i="11" s="1"/>
  <c r="C2241" i="11"/>
  <c r="E2241" i="11" s="1"/>
  <c r="C4500" i="11"/>
  <c r="E4500" i="11" s="1"/>
  <c r="C6003" i="11"/>
  <c r="E6003" i="11" s="1"/>
  <c r="C6309" i="11"/>
  <c r="E6309" i="11" s="1"/>
  <c r="C2664" i="11"/>
  <c r="E2664" i="11" s="1"/>
  <c r="C2898" i="11"/>
  <c r="E2898" i="11" s="1"/>
  <c r="C3654" i="11"/>
  <c r="E3654" i="11" s="1"/>
  <c r="C1368" i="11"/>
  <c r="E1368" i="11" s="1"/>
  <c r="C3177" i="11"/>
  <c r="E3177" i="11" s="1"/>
  <c r="C756" i="11"/>
  <c r="E756" i="11" s="1"/>
  <c r="C2466" i="11"/>
  <c r="E2466" i="11" s="1"/>
  <c r="C2475" i="11"/>
  <c r="E2475" i="11" s="1"/>
  <c r="C2781" i="11"/>
  <c r="E2781" i="11" s="1"/>
  <c r="C2880" i="11"/>
  <c r="E2880" i="11" s="1"/>
  <c r="C3051" i="11"/>
  <c r="E3051" i="11" s="1"/>
  <c r="C5598" i="11"/>
  <c r="E5598" i="11" s="1"/>
  <c r="C1305" i="11"/>
  <c r="E1305" i="11" s="1"/>
  <c r="C1080" i="11"/>
  <c r="E1080" i="11" s="1"/>
  <c r="C4644" i="11"/>
  <c r="E4644" i="11" s="1"/>
  <c r="C3609" i="11"/>
  <c r="E3609" i="11" s="1"/>
  <c r="C3474" i="11"/>
  <c r="E3474" i="11" s="1"/>
  <c r="C2169" i="11"/>
  <c r="E2169" i="11" s="1"/>
  <c r="C6534" i="11"/>
  <c r="E6534" i="11" s="1"/>
  <c r="C3348" i="11"/>
  <c r="E3348" i="11" s="1"/>
  <c r="C4185" i="11"/>
  <c r="E4185" i="11" s="1"/>
  <c r="C4482" i="11"/>
  <c r="E4482" i="11" s="1"/>
  <c r="C3384" i="11"/>
  <c r="E3384" i="11" s="1"/>
  <c r="C2295" i="11"/>
  <c r="E2295" i="11" s="1"/>
  <c r="C2826" i="11"/>
  <c r="E2826" i="11" s="1"/>
  <c r="C5139" i="11"/>
  <c r="E5139" i="11" s="1"/>
  <c r="C3087" i="11"/>
  <c r="E3087" i="11" s="1"/>
  <c r="C1053" i="11"/>
  <c r="E1053" i="11" s="1"/>
  <c r="C4320" i="11"/>
  <c r="E4320" i="11" s="1"/>
  <c r="C2835" i="11"/>
  <c r="E2835" i="11" s="1"/>
  <c r="C2844" i="11"/>
  <c r="E2844" i="11" s="1"/>
  <c r="C4329" i="11"/>
  <c r="E4329" i="11" s="1"/>
  <c r="C612" i="11"/>
  <c r="E612" i="11" s="1"/>
  <c r="C1224" i="11"/>
  <c r="E1224" i="11" s="1"/>
  <c r="C1449" i="11"/>
  <c r="E1449" i="11" s="1"/>
  <c r="C1467" i="11"/>
  <c r="E1467" i="11" s="1"/>
  <c r="C1710" i="11"/>
  <c r="E1710" i="11" s="1"/>
  <c r="C1926" i="11"/>
  <c r="E1926" i="11" s="1"/>
  <c r="C495" i="11"/>
  <c r="E495" i="11" s="1"/>
  <c r="C2322" i="11"/>
  <c r="E2322" i="11" s="1"/>
  <c r="C2331" i="11"/>
  <c r="E2331" i="11" s="1"/>
  <c r="C2520" i="11"/>
  <c r="E2520" i="11" s="1"/>
  <c r="C4878" i="11"/>
  <c r="E4878" i="11" s="1"/>
  <c r="C2961" i="11"/>
  <c r="E2961" i="11" s="1"/>
  <c r="C3123" i="11"/>
  <c r="E3123" i="11" s="1"/>
  <c r="C3456" i="11"/>
  <c r="E3456" i="11" s="1"/>
  <c r="C5400" i="11"/>
  <c r="E5400" i="11" s="1"/>
  <c r="C3906" i="11"/>
  <c r="E3906" i="11" s="1"/>
  <c r="C4203" i="11"/>
  <c r="E4203" i="11" s="1"/>
  <c r="C4212" i="11"/>
  <c r="E4212" i="11" s="1"/>
  <c r="C513" i="11"/>
  <c r="E513" i="11" s="1"/>
  <c r="C4770" i="11"/>
  <c r="E4770" i="11" s="1"/>
  <c r="C4788" i="11"/>
  <c r="E4788" i="11" s="1"/>
  <c r="C4815" i="11"/>
  <c r="E4815" i="11" s="1"/>
  <c r="C4842" i="11"/>
  <c r="E4842" i="11" s="1"/>
  <c r="C540" i="11"/>
  <c r="E540" i="11" s="1"/>
  <c r="C5256" i="11"/>
  <c r="E5256" i="11" s="1"/>
  <c r="C5364" i="11"/>
  <c r="E5364" i="11" s="1"/>
  <c r="C549" i="11"/>
  <c r="E549" i="11" s="1"/>
  <c r="C6093" i="11"/>
  <c r="E6093" i="11" s="1"/>
  <c r="C6777" i="11"/>
  <c r="E6777" i="11" s="1"/>
  <c r="C6795" i="11"/>
  <c r="E6795" i="11" s="1"/>
  <c r="C5742" i="11"/>
  <c r="E5742" i="11" s="1"/>
  <c r="C6147" i="11"/>
  <c r="E6147" i="11" s="1"/>
  <c r="C6264" i="11"/>
  <c r="E6264" i="11" s="1"/>
  <c r="C6345" i="11"/>
  <c r="E6345" i="11" s="1"/>
  <c r="C6561" i="11"/>
  <c r="E6561" i="11" s="1"/>
  <c r="C4797" i="11"/>
  <c r="E4797" i="11" s="1"/>
  <c r="C186" i="11"/>
  <c r="E186" i="11" s="1"/>
  <c r="C159" i="11"/>
  <c r="E159" i="11" s="1"/>
  <c r="C249" i="11"/>
  <c r="E249" i="11" s="1"/>
  <c r="C276" i="11"/>
  <c r="E276" i="11" s="1"/>
  <c r="C267" i="11"/>
  <c r="E267" i="11" s="1"/>
  <c r="C285" i="11"/>
  <c r="E285" i="11" s="1"/>
  <c r="C294" i="11"/>
  <c r="E294" i="11" s="1"/>
  <c r="C42" i="11"/>
  <c r="E42" i="11" s="1"/>
  <c r="C396" i="11"/>
  <c r="E396" i="11" s="1"/>
  <c r="C5" i="11"/>
  <c r="E5" i="11" s="1"/>
  <c r="C1215" i="11"/>
  <c r="E1215" i="11" s="1"/>
  <c r="C414" i="11"/>
  <c r="E414" i="11" s="1"/>
  <c r="C15" i="11"/>
  <c r="E15" i="11" s="1"/>
  <c r="C1827" i="11"/>
  <c r="E1827" i="11" s="1"/>
  <c r="C504" i="11"/>
  <c r="E504" i="11" s="1"/>
  <c r="C51" i="11"/>
  <c r="E51" i="11" s="1"/>
  <c r="C69" i="11"/>
  <c r="E69" i="11" s="1"/>
  <c r="C60" i="11"/>
  <c r="E60" i="11" s="1"/>
  <c r="C78" i="11"/>
  <c r="E78" i="11" s="1"/>
  <c r="C87" i="11"/>
  <c r="E87" i="11" s="1"/>
  <c r="C105" i="11"/>
  <c r="E105" i="11" s="1"/>
  <c r="C114" i="11"/>
  <c r="E114" i="11" s="1"/>
  <c r="C432" i="11"/>
  <c r="E432" i="11" s="1"/>
  <c r="C450" i="11"/>
  <c r="E450" i="11" s="1"/>
  <c r="C141" i="11"/>
  <c r="E141" i="11" s="1"/>
  <c r="C150" i="11"/>
  <c r="E150" i="11" s="1"/>
  <c r="C177" i="11"/>
  <c r="E177" i="11" s="1"/>
  <c r="C522" i="11"/>
  <c r="E522" i="11" s="1"/>
  <c r="C468" i="11"/>
  <c r="E468" i="11" s="1"/>
  <c r="C168" i="11"/>
  <c r="E168" i="11" s="1"/>
  <c r="C195" i="11"/>
  <c r="E195" i="11" s="1"/>
  <c r="C558" i="11"/>
  <c r="E558" i="11" s="1"/>
  <c r="C231" i="11"/>
  <c r="E231" i="11" s="1"/>
  <c r="C240" i="11"/>
  <c r="E240" i="11" s="1"/>
  <c r="C258" i="11"/>
  <c r="E258" i="11" s="1"/>
  <c r="C330" i="11"/>
  <c r="E330" i="11" s="1"/>
  <c r="C312" i="11"/>
  <c r="E312" i="11" s="1"/>
  <c r="C6786" i="11"/>
  <c r="E6786" i="11" s="1"/>
  <c r="C5922" i="11"/>
  <c r="E5922" i="11" s="1"/>
  <c r="C2340" i="11"/>
  <c r="E2340" i="11" s="1"/>
  <c r="C3546" i="11"/>
  <c r="E3546" i="11" s="1"/>
  <c r="C96" i="11"/>
  <c r="E96" i="11" s="1"/>
  <c r="C738" i="11"/>
  <c r="E738" i="11" s="1"/>
  <c r="C6219" i="11"/>
  <c r="E6219" i="11" s="1"/>
  <c r="C576" i="11"/>
  <c r="E576" i="11" s="1"/>
  <c r="C2718" i="11"/>
  <c r="E2718" i="11" s="1"/>
  <c r="C6201" i="11"/>
  <c r="E6201" i="11" s="1"/>
  <c r="C2313" i="11"/>
  <c r="E2313" i="11" s="1"/>
  <c r="C1251" i="11"/>
  <c r="E1251" i="11" s="1"/>
  <c r="C6840" i="11"/>
  <c r="E6840" i="11" s="1"/>
  <c r="C6804" i="11"/>
  <c r="E6804" i="11" s="1"/>
  <c r="C376" i="11"/>
  <c r="E376" i="11" s="1"/>
  <c r="C4509" i="11"/>
  <c r="E4509" i="11" s="1"/>
  <c r="C303" i="11"/>
  <c r="E303" i="11" s="1"/>
  <c r="C5418" i="11"/>
  <c r="E5418" i="11" s="1"/>
  <c r="C7088" i="11"/>
  <c r="E7088" i="11" s="1"/>
  <c r="C4428" i="11"/>
  <c r="E4428" i="11" s="1"/>
  <c r="C1539" i="11"/>
  <c r="E1539" i="11" s="1"/>
  <c r="C1953" i="11"/>
  <c r="E1953" i="11" s="1"/>
  <c r="C6705" i="11"/>
  <c r="E6705" i="11" s="1"/>
  <c r="C6399" i="11"/>
  <c r="E6399" i="11" s="1"/>
  <c r="C7046" i="11"/>
  <c r="E7046" i="11" s="1"/>
  <c r="C7060" i="11"/>
  <c r="E7060" i="11" s="1"/>
  <c r="C7067" i="11"/>
  <c r="E7067" i="11" s="1"/>
  <c r="C7079" i="11"/>
  <c r="E7079" i="11" s="1"/>
  <c r="C7073" i="11"/>
  <c r="E7073" i="11" s="1"/>
  <c r="C604" i="11"/>
  <c r="E604" i="11" s="1"/>
  <c r="C712" i="11"/>
  <c r="E712" i="11" s="1"/>
  <c r="C802" i="11"/>
  <c r="E802" i="11" s="1"/>
  <c r="C892" i="11"/>
  <c r="E892" i="11" s="1"/>
  <c r="C928" i="11"/>
  <c r="E928" i="11" s="1"/>
  <c r="C1045" i="11"/>
  <c r="E1045" i="11" s="1"/>
  <c r="C1243" i="11"/>
  <c r="E1243" i="11" s="1"/>
  <c r="C1342" i="11"/>
  <c r="E1342" i="11" s="1"/>
  <c r="C1747" i="11"/>
  <c r="E1747" i="11" s="1"/>
  <c r="C25" i="11"/>
  <c r="E25" i="11" s="1"/>
  <c r="C1837" i="11"/>
  <c r="E1837" i="11" s="1"/>
  <c r="C2026" i="11"/>
  <c r="E2026" i="11" s="1"/>
  <c r="C2269" i="11"/>
  <c r="E2269" i="11" s="1"/>
  <c r="C2584" i="11"/>
  <c r="E2584" i="11" s="1"/>
  <c r="C2656" i="11"/>
  <c r="E2656" i="11" s="1"/>
  <c r="C2710" i="11"/>
  <c r="E2710" i="11" s="1"/>
  <c r="C2035" i="11"/>
  <c r="E2035" i="11" s="1"/>
  <c r="C2728" i="11"/>
  <c r="E2728" i="11" s="1"/>
  <c r="C3286" i="11"/>
  <c r="E3286" i="11" s="1"/>
  <c r="C3304" i="11"/>
  <c r="E3304" i="11" s="1"/>
  <c r="C3421" i="11"/>
  <c r="E3421" i="11" s="1"/>
  <c r="C424" i="11"/>
  <c r="E424" i="11" s="1"/>
  <c r="C3493" i="11"/>
  <c r="E3493" i="11" s="1"/>
  <c r="C3565" i="11"/>
  <c r="E3565" i="11" s="1"/>
  <c r="C3601" i="11"/>
  <c r="E3601" i="11" s="1"/>
  <c r="C3754" i="11"/>
  <c r="E3754" i="11" s="1"/>
  <c r="C3799" i="11"/>
  <c r="E3799" i="11" s="1"/>
  <c r="C3817" i="11"/>
  <c r="E3817" i="11" s="1"/>
  <c r="C4078" i="11"/>
  <c r="E4078" i="11" s="1"/>
  <c r="C4141" i="11"/>
  <c r="E4141" i="11" s="1"/>
  <c r="C4348" i="11"/>
  <c r="E4348" i="11" s="1"/>
  <c r="C4420" i="11"/>
  <c r="E4420" i="11" s="1"/>
  <c r="C4474" i="11"/>
  <c r="E4474" i="11" s="1"/>
  <c r="C4519" i="11"/>
  <c r="E4519" i="11" s="1"/>
  <c r="C4636" i="11"/>
  <c r="E4636" i="11" s="1"/>
  <c r="C4690" i="11"/>
  <c r="E4690" i="11" s="1"/>
  <c r="C4744" i="11"/>
  <c r="E4744" i="11" s="1"/>
  <c r="C4753" i="11"/>
  <c r="E4753" i="11" s="1"/>
  <c r="C4762" i="11"/>
  <c r="E4762" i="11" s="1"/>
  <c r="C4780" i="11"/>
  <c r="E4780" i="11" s="1"/>
  <c r="C532" i="11"/>
  <c r="E532" i="11" s="1"/>
  <c r="C4987" i="11"/>
  <c r="E4987" i="11" s="1"/>
  <c r="C5122" i="11"/>
  <c r="E5122" i="11" s="1"/>
  <c r="C5185" i="11"/>
  <c r="E5185" i="11" s="1"/>
  <c r="C5221" i="11"/>
  <c r="E5221" i="11" s="1"/>
  <c r="C5356" i="11"/>
  <c r="E5356" i="11" s="1"/>
  <c r="C5410" i="11"/>
  <c r="E5410" i="11" s="1"/>
  <c r="C5446" i="11"/>
  <c r="E5446" i="11" s="1"/>
  <c r="C5536" i="11"/>
  <c r="E5536" i="11" s="1"/>
  <c r="C5590" i="11"/>
  <c r="E5590" i="11" s="1"/>
  <c r="C5644" i="11"/>
  <c r="E5644" i="11" s="1"/>
  <c r="C5698" i="11"/>
  <c r="E5698" i="11" s="1"/>
  <c r="C340" i="11"/>
  <c r="E340" i="11" s="1"/>
  <c r="C6193" i="11"/>
  <c r="E6193" i="11" s="1"/>
  <c r="C6274" i="11"/>
  <c r="E6274" i="11" s="1"/>
  <c r="C6301" i="11"/>
  <c r="E6301" i="11" s="1"/>
  <c r="C6391" i="11"/>
  <c r="E6391" i="11" s="1"/>
  <c r="C6598" i="11"/>
  <c r="E6598" i="11" s="1"/>
  <c r="C6616" i="11"/>
  <c r="E6616" i="11" s="1"/>
  <c r="C6877" i="11"/>
  <c r="E6877" i="11" s="1"/>
  <c r="C7021" i="11"/>
  <c r="E7021" i="11" s="1"/>
  <c r="C622" i="11"/>
  <c r="E622" i="11" s="1"/>
  <c r="C631" i="11"/>
  <c r="E631" i="11" s="1"/>
  <c r="C703" i="11"/>
  <c r="E703" i="11" s="1"/>
  <c r="C748" i="11"/>
  <c r="E748" i="11" s="1"/>
  <c r="C694" i="11"/>
  <c r="E694" i="11" s="1"/>
  <c r="C775" i="11"/>
  <c r="E775" i="11" s="1"/>
  <c r="C784" i="11"/>
  <c r="E784" i="11" s="1"/>
  <c r="C811" i="11"/>
  <c r="E811" i="11" s="1"/>
  <c r="C388" i="11"/>
  <c r="E388" i="11" s="1"/>
  <c r="C838" i="11"/>
  <c r="E838" i="11" s="1"/>
  <c r="C856" i="11"/>
  <c r="E856" i="11" s="1"/>
  <c r="C865" i="11"/>
  <c r="E865" i="11" s="1"/>
  <c r="C874" i="11"/>
  <c r="E874" i="11" s="1"/>
  <c r="C901" i="11"/>
  <c r="E901" i="11" s="1"/>
  <c r="C910" i="11"/>
  <c r="E910" i="11" s="1"/>
  <c r="C955" i="11"/>
  <c r="E955" i="11" s="1"/>
  <c r="C1036" i="11"/>
  <c r="E1036" i="11" s="1"/>
  <c r="C1027" i="11"/>
  <c r="E1027" i="11" s="1"/>
  <c r="C1108" i="11"/>
  <c r="E1108" i="11" s="1"/>
  <c r="C1117" i="11"/>
  <c r="E1117" i="11" s="1"/>
  <c r="C1144" i="11"/>
  <c r="E1144" i="11" s="1"/>
  <c r="C1171" i="11"/>
  <c r="E1171" i="11" s="1"/>
  <c r="C1189" i="11"/>
  <c r="E1189" i="11" s="1"/>
  <c r="C1261" i="11"/>
  <c r="E1261" i="11" s="1"/>
  <c r="C1270" i="11"/>
  <c r="E1270" i="11" s="1"/>
  <c r="C1414" i="11"/>
  <c r="E1414" i="11" s="1"/>
  <c r="C6724" i="11"/>
  <c r="E6724" i="11" s="1"/>
  <c r="C1360" i="11"/>
  <c r="E1360" i="11" s="1"/>
  <c r="C1477" i="11"/>
  <c r="E1477" i="11" s="1"/>
  <c r="C1585" i="11"/>
  <c r="E1585" i="11" s="1"/>
  <c r="C1387" i="11"/>
  <c r="E1387" i="11" s="1"/>
  <c r="C1657" i="11"/>
  <c r="E1657" i="11" s="1"/>
  <c r="C1396" i="11"/>
  <c r="E1396" i="11" s="1"/>
  <c r="C1405" i="11"/>
  <c r="E1405" i="11" s="1"/>
  <c r="C1495" i="11"/>
  <c r="E1495" i="11" s="1"/>
  <c r="C1783" i="11"/>
  <c r="E1783" i="11" s="1"/>
  <c r="C1612" i="11"/>
  <c r="E1612" i="11" s="1"/>
  <c r="C1441" i="11"/>
  <c r="E1441" i="11" s="1"/>
  <c r="C1621" i="11"/>
  <c r="E1621" i="11" s="1"/>
  <c r="C1648" i="11"/>
  <c r="E1648" i="11" s="1"/>
  <c r="C1504" i="11"/>
  <c r="E1504" i="11" s="1"/>
  <c r="C1756" i="11"/>
  <c r="E1756" i="11" s="1"/>
  <c r="C1522" i="11"/>
  <c r="E1522" i="11" s="1"/>
  <c r="C1675" i="11"/>
  <c r="E1675" i="11" s="1"/>
  <c r="C406" i="11"/>
  <c r="E406" i="11" s="1"/>
  <c r="C1774" i="11"/>
  <c r="E1774" i="11" s="1"/>
  <c r="C1810" i="11"/>
  <c r="E1810" i="11" s="1"/>
  <c r="C1891" i="11"/>
  <c r="E1891" i="11" s="1"/>
  <c r="C1738" i="11"/>
  <c r="E1738" i="11" s="1"/>
  <c r="C1378" i="11"/>
  <c r="E1378" i="11" s="1"/>
  <c r="C1855" i="11"/>
  <c r="E1855" i="11" s="1"/>
  <c r="C34" i="11"/>
  <c r="E34" i="11" s="1"/>
  <c r="C1936" i="11"/>
  <c r="E1936" i="11" s="1"/>
  <c r="C1909" i="11"/>
  <c r="E1909" i="11" s="1"/>
  <c r="C3430" i="11"/>
  <c r="E3430" i="11" s="1"/>
  <c r="C1963" i="11"/>
  <c r="E1963" i="11" s="1"/>
  <c r="C1999" i="11"/>
  <c r="E1999" i="11" s="1"/>
  <c r="C2044" i="11"/>
  <c r="E2044" i="11" s="1"/>
  <c r="C2053" i="11"/>
  <c r="E2053" i="11" s="1"/>
  <c r="C2071" i="11"/>
  <c r="E2071" i="11" s="1"/>
  <c r="C2080" i="11"/>
  <c r="E2080" i="11" s="1"/>
  <c r="C2089" i="11"/>
  <c r="E2089" i="11" s="1"/>
  <c r="C2125" i="11"/>
  <c r="E2125" i="11" s="1"/>
  <c r="C2134" i="11"/>
  <c r="E2134" i="11" s="1"/>
  <c r="C2143" i="11"/>
  <c r="E2143" i="11" s="1"/>
  <c r="C2152" i="11"/>
  <c r="E2152" i="11" s="1"/>
  <c r="C2161" i="11"/>
  <c r="E2161" i="11" s="1"/>
  <c r="C2179" i="11"/>
  <c r="E2179" i="11" s="1"/>
  <c r="C2188" i="11"/>
  <c r="E2188" i="11" s="1"/>
  <c r="C2197" i="11"/>
  <c r="E2197" i="11" s="1"/>
  <c r="C2251" i="11"/>
  <c r="E2251" i="11" s="1"/>
  <c r="C2278" i="11"/>
  <c r="E2278" i="11" s="1"/>
  <c r="C6373" i="11"/>
  <c r="E6373" i="11" s="1"/>
  <c r="C2359" i="11"/>
  <c r="E2359" i="11" s="1"/>
  <c r="C2377" i="11"/>
  <c r="E2377" i="11" s="1"/>
  <c r="C2386" i="11"/>
  <c r="E2386" i="11" s="1"/>
  <c r="C2494" i="11"/>
  <c r="E2494" i="11" s="1"/>
  <c r="C2539" i="11"/>
  <c r="E2539" i="11" s="1"/>
  <c r="C2548" i="11"/>
  <c r="E2548" i="11" s="1"/>
  <c r="C2575" i="11"/>
  <c r="E2575" i="11" s="1"/>
  <c r="C2611" i="11"/>
  <c r="E2611" i="11" s="1"/>
  <c r="C2629" i="11"/>
  <c r="E2629" i="11" s="1"/>
  <c r="C2755" i="11"/>
  <c r="E2755" i="11" s="1"/>
  <c r="C2764" i="11"/>
  <c r="E2764" i="11" s="1"/>
  <c r="C2773" i="11"/>
  <c r="E2773" i="11" s="1"/>
  <c r="C2791" i="11"/>
  <c r="E2791" i="11" s="1"/>
  <c r="C2800" i="11"/>
  <c r="E2800" i="11" s="1"/>
  <c r="C2809" i="11"/>
  <c r="E2809" i="11" s="1"/>
  <c r="C6085" i="11"/>
  <c r="E6085" i="11" s="1"/>
  <c r="C2818" i="11"/>
  <c r="E2818" i="11" s="1"/>
  <c r="C2908" i="11"/>
  <c r="E2908" i="11" s="1"/>
  <c r="C2935" i="11"/>
  <c r="E2935" i="11" s="1"/>
  <c r="C2944" i="11"/>
  <c r="E2944" i="11" s="1"/>
  <c r="C3016" i="11"/>
  <c r="E3016" i="11" s="1"/>
  <c r="C3034" i="11"/>
  <c r="E3034" i="11" s="1"/>
  <c r="C3061" i="11"/>
  <c r="E3061" i="11" s="1"/>
  <c r="C3070" i="11"/>
  <c r="E3070" i="11" s="1"/>
  <c r="C3079" i="11"/>
  <c r="E3079" i="11" s="1"/>
  <c r="C3097" i="11"/>
  <c r="E3097" i="11" s="1"/>
  <c r="C3106" i="11"/>
  <c r="E3106" i="11" s="1"/>
  <c r="C3115" i="11"/>
  <c r="E3115" i="11" s="1"/>
  <c r="C3196" i="11"/>
  <c r="E3196" i="11" s="1"/>
  <c r="C3169" i="11"/>
  <c r="E3169" i="11" s="1"/>
  <c r="C3277" i="11"/>
  <c r="E3277" i="11" s="1"/>
  <c r="C3241" i="11"/>
  <c r="E3241" i="11" s="1"/>
  <c r="C3259" i="11"/>
  <c r="E3259" i="11" s="1"/>
  <c r="C3223" i="11"/>
  <c r="E3223" i="11" s="1"/>
  <c r="C3295" i="11"/>
  <c r="E3295" i="11" s="1"/>
  <c r="C3313" i="11"/>
  <c r="E3313" i="11" s="1"/>
  <c r="C3331" i="11"/>
  <c r="E3331" i="11" s="1"/>
  <c r="C3340" i="11"/>
  <c r="E3340" i="11" s="1"/>
  <c r="C3358" i="11"/>
  <c r="E3358" i="11" s="1"/>
  <c r="C1513" i="11"/>
  <c r="E1513" i="11" s="1"/>
  <c r="C6742" i="11"/>
  <c r="E6742" i="11" s="1"/>
  <c r="C3376" i="11"/>
  <c r="E3376" i="11" s="1"/>
  <c r="C3403" i="11"/>
  <c r="E3403" i="11" s="1"/>
  <c r="C3466" i="11"/>
  <c r="E3466" i="11" s="1"/>
  <c r="C3484" i="11"/>
  <c r="E3484" i="11" s="1"/>
  <c r="C3502" i="11"/>
  <c r="E3502" i="11" s="1"/>
  <c r="C3511" i="11"/>
  <c r="E3511" i="11" s="1"/>
  <c r="C3538" i="11"/>
  <c r="E3538" i="11" s="1"/>
  <c r="C3556" i="11"/>
  <c r="E3556" i="11" s="1"/>
  <c r="C133" i="11"/>
  <c r="E133" i="11" s="1"/>
  <c r="C3637" i="11"/>
  <c r="E3637" i="11" s="1"/>
  <c r="C3646" i="11"/>
  <c r="E3646" i="11" s="1"/>
  <c r="C3664" i="11"/>
  <c r="E3664" i="11" s="1"/>
  <c r="C3682" i="11"/>
  <c r="E3682" i="11" s="1"/>
  <c r="C3691" i="11"/>
  <c r="E3691" i="11" s="1"/>
  <c r="C3709" i="11"/>
  <c r="E3709" i="11" s="1"/>
  <c r="C3718" i="11"/>
  <c r="E3718" i="11" s="1"/>
  <c r="C3727" i="11"/>
  <c r="E3727" i="11" s="1"/>
  <c r="C3736" i="11"/>
  <c r="E3736" i="11" s="1"/>
  <c r="C3772" i="11"/>
  <c r="E3772" i="11" s="1"/>
  <c r="C3790" i="11"/>
  <c r="E3790" i="11" s="1"/>
  <c r="C3808" i="11"/>
  <c r="E3808" i="11" s="1"/>
  <c r="C3862" i="11"/>
  <c r="E3862" i="11" s="1"/>
  <c r="C3925" i="11"/>
  <c r="E3925" i="11" s="1"/>
  <c r="C3934" i="11"/>
  <c r="E3934" i="11" s="1"/>
  <c r="C3943" i="11"/>
  <c r="E3943" i="11" s="1"/>
  <c r="C3952" i="11"/>
  <c r="E3952" i="11" s="1"/>
  <c r="C3961" i="11"/>
  <c r="E3961" i="11" s="1"/>
  <c r="C3979" i="11"/>
  <c r="E3979" i="11" s="1"/>
  <c r="C2395" i="11"/>
  <c r="E2395" i="11" s="1"/>
  <c r="C3997" i="11"/>
  <c r="E3997" i="11" s="1"/>
  <c r="C1594" i="11"/>
  <c r="E1594" i="11" s="1"/>
  <c r="C2737" i="11"/>
  <c r="E2737" i="11" s="1"/>
  <c r="C4024" i="11"/>
  <c r="E4024" i="11" s="1"/>
  <c r="C4033" i="11"/>
  <c r="E4033" i="11" s="1"/>
  <c r="C4042" i="11"/>
  <c r="E4042" i="11" s="1"/>
  <c r="C4087" i="11"/>
  <c r="E4087" i="11" s="1"/>
  <c r="C4114" i="11"/>
  <c r="E4114" i="11" s="1"/>
  <c r="C3835" i="11"/>
  <c r="E3835" i="11" s="1"/>
  <c r="C4123" i="11"/>
  <c r="E4123" i="11" s="1"/>
  <c r="C4177" i="11"/>
  <c r="E4177" i="11" s="1"/>
  <c r="C5500" i="11"/>
  <c r="E5500" i="11" s="1"/>
  <c r="C4222" i="11"/>
  <c r="E4222" i="11" s="1"/>
  <c r="C6418" i="11"/>
  <c r="E6418" i="11" s="1"/>
  <c r="C4240" i="11"/>
  <c r="E4240" i="11" s="1"/>
  <c r="C4312" i="11"/>
  <c r="E4312" i="11" s="1"/>
  <c r="C946" i="11"/>
  <c r="E946" i="11" s="1"/>
  <c r="C4357" i="11"/>
  <c r="E4357" i="11" s="1"/>
  <c r="C4384" i="11"/>
  <c r="E4384" i="11" s="1"/>
  <c r="C4456" i="11"/>
  <c r="E4456" i="11" s="1"/>
  <c r="C4492" i="11"/>
  <c r="E4492" i="11" s="1"/>
  <c r="C1684" i="11"/>
  <c r="E1684" i="11" s="1"/>
  <c r="C4411" i="11"/>
  <c r="E4411" i="11" s="1"/>
  <c r="C3142" i="11"/>
  <c r="E3142" i="11" s="1"/>
  <c r="C4528" i="11"/>
  <c r="E4528" i="11" s="1"/>
  <c r="C4537" i="11"/>
  <c r="E4537" i="11" s="1"/>
  <c r="C4546" i="11"/>
  <c r="E4546" i="11" s="1"/>
  <c r="C4573" i="11"/>
  <c r="E4573" i="11" s="1"/>
  <c r="C4600" i="11"/>
  <c r="E4600" i="11" s="1"/>
  <c r="C4627" i="11"/>
  <c r="E4627" i="11" s="1"/>
  <c r="C4672" i="11"/>
  <c r="E4672" i="11" s="1"/>
  <c r="C4708" i="11"/>
  <c r="E4708" i="11" s="1"/>
  <c r="C4726" i="11"/>
  <c r="E4726" i="11" s="1"/>
  <c r="C4807" i="11"/>
  <c r="E4807" i="11" s="1"/>
  <c r="C4825" i="11"/>
  <c r="E4825" i="11" s="1"/>
  <c r="C4852" i="11"/>
  <c r="E4852" i="11" s="1"/>
  <c r="C4888" i="11"/>
  <c r="E4888" i="11" s="1"/>
  <c r="C4906" i="11"/>
  <c r="E4906" i="11" s="1"/>
  <c r="C4924" i="11"/>
  <c r="E4924" i="11" s="1"/>
  <c r="C4951" i="11"/>
  <c r="E4951" i="11" s="1"/>
  <c r="C4978" i="11"/>
  <c r="E4978" i="11" s="1"/>
  <c r="C4996" i="11"/>
  <c r="E4996" i="11" s="1"/>
  <c r="C5014" i="11"/>
  <c r="E5014" i="11" s="1"/>
  <c r="C5023" i="11"/>
  <c r="E5023" i="11" s="1"/>
  <c r="C5050" i="11"/>
  <c r="E5050" i="11" s="1"/>
  <c r="C5032" i="11"/>
  <c r="E5032" i="11" s="1"/>
  <c r="C5041" i="11"/>
  <c r="E5041" i="11" s="1"/>
  <c r="C214" i="11"/>
  <c r="E214" i="11" s="1"/>
  <c r="C5059" i="11"/>
  <c r="E5059" i="11" s="1"/>
  <c r="C5095" i="11"/>
  <c r="E5095" i="11" s="1"/>
  <c r="C5104" i="11"/>
  <c r="E5104" i="11" s="1"/>
  <c r="C5068" i="11"/>
  <c r="E5068" i="11" s="1"/>
  <c r="C5113" i="11"/>
  <c r="E5113" i="11" s="1"/>
  <c r="C5131" i="11"/>
  <c r="E5131" i="11" s="1"/>
  <c r="C5167" i="11"/>
  <c r="E5167" i="11" s="1"/>
  <c r="C5194" i="11"/>
  <c r="E5194" i="11" s="1"/>
  <c r="C5212" i="11"/>
  <c r="E5212" i="11" s="1"/>
  <c r="C5266" i="11"/>
  <c r="E5266" i="11" s="1"/>
  <c r="C5329" i="11"/>
  <c r="E5329" i="11" s="1"/>
  <c r="C5428" i="11"/>
  <c r="E5428" i="11" s="1"/>
  <c r="C5473" i="11"/>
  <c r="E5473" i="11" s="1"/>
  <c r="C5491" i="11"/>
  <c r="E5491" i="11" s="1"/>
  <c r="C5518" i="11"/>
  <c r="E5518" i="11" s="1"/>
  <c r="C5464" i="11"/>
  <c r="E5464" i="11" s="1"/>
  <c r="C5527" i="11"/>
  <c r="E5527" i="11" s="1"/>
  <c r="C5545" i="11"/>
  <c r="E5545" i="11" s="1"/>
  <c r="C5554" i="11"/>
  <c r="E5554" i="11" s="1"/>
  <c r="C5626" i="11"/>
  <c r="E5626" i="11" s="1"/>
  <c r="C5635" i="11"/>
  <c r="E5635" i="11" s="1"/>
  <c r="C5653" i="11"/>
  <c r="E5653" i="11" s="1"/>
  <c r="C5671" i="11"/>
  <c r="E5671" i="11" s="1"/>
  <c r="C5680" i="11"/>
  <c r="E5680" i="11" s="1"/>
  <c r="C5689" i="11"/>
  <c r="E5689" i="11" s="1"/>
  <c r="C5770" i="11"/>
  <c r="E5770" i="11" s="1"/>
  <c r="C4618" i="11"/>
  <c r="E4618" i="11" s="1"/>
  <c r="C5779" i="11"/>
  <c r="E5779" i="11" s="1"/>
  <c r="C5311" i="11"/>
  <c r="E5311" i="11" s="1"/>
  <c r="C5788" i="11"/>
  <c r="E5788" i="11" s="1"/>
  <c r="C5824" i="11"/>
  <c r="E5824" i="11" s="1"/>
  <c r="C5860" i="11"/>
  <c r="E5860" i="11" s="1"/>
  <c r="C5878" i="11"/>
  <c r="E5878" i="11" s="1"/>
  <c r="C1603" i="11"/>
  <c r="E1603" i="11" s="1"/>
  <c r="C5887" i="11"/>
  <c r="E5887" i="11" s="1"/>
  <c r="C5896" i="11"/>
  <c r="E5896" i="11" s="1"/>
  <c r="C5905" i="11"/>
  <c r="E5905" i="11" s="1"/>
  <c r="C5914" i="11"/>
  <c r="E5914" i="11" s="1"/>
  <c r="C5932" i="11"/>
  <c r="E5932" i="11" s="1"/>
  <c r="C5941" i="11"/>
  <c r="E5941" i="11" s="1"/>
  <c r="C5959" i="11"/>
  <c r="E5959" i="11" s="1"/>
  <c r="C5995" i="11"/>
  <c r="E5995" i="11" s="1"/>
  <c r="C6013" i="11"/>
  <c r="E6013" i="11" s="1"/>
  <c r="C6067" i="11"/>
  <c r="E6067" i="11" s="1"/>
  <c r="C6040" i="11"/>
  <c r="E6040" i="11" s="1"/>
  <c r="C2116" i="11"/>
  <c r="E2116" i="11" s="1"/>
  <c r="C6121" i="11"/>
  <c r="E6121" i="11" s="1"/>
  <c r="C5284" i="11"/>
  <c r="E5284" i="11" s="1"/>
  <c r="C6166" i="11"/>
  <c r="E6166" i="11" s="1"/>
  <c r="C6175" i="11"/>
  <c r="E6175" i="11" s="1"/>
  <c r="C6184" i="11"/>
  <c r="E6184" i="11" s="1"/>
  <c r="C322" i="11"/>
  <c r="E322" i="11" s="1"/>
  <c r="C6238" i="11"/>
  <c r="E6238" i="11" s="1"/>
  <c r="C6247" i="11"/>
  <c r="E6247" i="11" s="1"/>
  <c r="C478" i="11"/>
  <c r="E478" i="11" s="1"/>
  <c r="C6328" i="11"/>
  <c r="E6328" i="11" s="1"/>
  <c r="C6382" i="11"/>
  <c r="E6382" i="11" s="1"/>
  <c r="C6463" i="11"/>
  <c r="E6463" i="11" s="1"/>
  <c r="C6499" i="11"/>
  <c r="E6499" i="11" s="1"/>
  <c r="C6472" i="11"/>
  <c r="E6472" i="11" s="1"/>
  <c r="C6517" i="11"/>
  <c r="E6517" i="11" s="1"/>
  <c r="C6526" i="11"/>
  <c r="E6526" i="11" s="1"/>
  <c r="C6553" i="11"/>
  <c r="E6553" i="11" s="1"/>
  <c r="C6571" i="11"/>
  <c r="E6571" i="11" s="1"/>
  <c r="C6481" i="11"/>
  <c r="E6481" i="11" s="1"/>
  <c r="C6409" i="11"/>
  <c r="E6409" i="11" s="1"/>
  <c r="C6580" i="11"/>
  <c r="E6580" i="11" s="1"/>
  <c r="C6589" i="11"/>
  <c r="E6589" i="11" s="1"/>
  <c r="C6625" i="11"/>
  <c r="E6625" i="11" s="1"/>
  <c r="C6634" i="11"/>
  <c r="E6634" i="11" s="1"/>
  <c r="C6652" i="11"/>
  <c r="E6652" i="11" s="1"/>
  <c r="C6661" i="11"/>
  <c r="E6661" i="11" s="1"/>
  <c r="C6688" i="11"/>
  <c r="E6688" i="11" s="1"/>
  <c r="C6733" i="11"/>
  <c r="E6733" i="11" s="1"/>
  <c r="C6832" i="11"/>
  <c r="E6832" i="11" s="1"/>
  <c r="C6751" i="11"/>
  <c r="E6751" i="11" s="1"/>
  <c r="C6760" i="11"/>
  <c r="E6760" i="11" s="1"/>
  <c r="C6697" i="11"/>
  <c r="E6697" i="11" s="1"/>
  <c r="C4375" i="11"/>
  <c r="E4375" i="11" s="1"/>
  <c r="C6913" i="11"/>
  <c r="E6913" i="11" s="1"/>
  <c r="C6895" i="11"/>
  <c r="E6895" i="11" s="1"/>
  <c r="C6886" i="11"/>
  <c r="E6886" i="11" s="1"/>
  <c r="C6940" i="11"/>
  <c r="E6940" i="11" s="1"/>
  <c r="C6958" i="11"/>
  <c r="E6958" i="11" s="1"/>
  <c r="C6976" i="11"/>
  <c r="E6976" i="11" s="1"/>
  <c r="C6922" i="11"/>
  <c r="E6922" i="11" s="1"/>
  <c r="C3160" i="11"/>
  <c r="E3160" i="11" s="1"/>
  <c r="C7039" i="11"/>
  <c r="E7039" i="11" s="1"/>
  <c r="C1018" i="11"/>
  <c r="E1018" i="11" s="1"/>
  <c r="C5806" i="11"/>
  <c r="E5806" i="11" s="1"/>
  <c r="C4132" i="11"/>
  <c r="E4132" i="11" s="1"/>
  <c r="C5725" i="11"/>
  <c r="E5725" i="11" s="1"/>
  <c r="C2008" i="11"/>
  <c r="E2008" i="11" s="1"/>
  <c r="C4096" i="11"/>
  <c r="E4096" i="11" s="1"/>
  <c r="C1873" i="11"/>
  <c r="E1873" i="11" s="1"/>
  <c r="C2566" i="11"/>
  <c r="E2566" i="11" s="1"/>
  <c r="C6904" i="11"/>
  <c r="E6904" i="11" s="1"/>
  <c r="C5761" i="11"/>
  <c r="E5761" i="11" s="1"/>
  <c r="C1072" i="11"/>
  <c r="E1072" i="11" s="1"/>
  <c r="C730" i="11"/>
  <c r="E730" i="11" s="1"/>
  <c r="C964" i="11"/>
  <c r="E964" i="11" s="1"/>
  <c r="C4861" i="11"/>
  <c r="E4861" i="11" s="1"/>
  <c r="C2404" i="11"/>
  <c r="E2404" i="11" s="1"/>
  <c r="C3025" i="11"/>
  <c r="E3025" i="11" s="1"/>
  <c r="C1945" i="11"/>
  <c r="E1945" i="11" s="1"/>
  <c r="C4465" i="11"/>
  <c r="E4465" i="11" s="1"/>
  <c r="C6256" i="11"/>
  <c r="E6256" i="11" s="1"/>
  <c r="C3205" i="11"/>
  <c r="E3205" i="11" s="1"/>
  <c r="C5203" i="11"/>
  <c r="E5203" i="11" s="1"/>
  <c r="C2530" i="11"/>
  <c r="E2530" i="11" s="1"/>
  <c r="C1459" i="11"/>
  <c r="E1459" i="11" s="1"/>
  <c r="C6769" i="11"/>
  <c r="E6769" i="11" s="1"/>
  <c r="C667" i="11"/>
  <c r="E667" i="11" s="1"/>
  <c r="C2260" i="11"/>
  <c r="E2260" i="11" s="1"/>
  <c r="C5293" i="11"/>
  <c r="E5293" i="11" s="1"/>
  <c r="C5302" i="11"/>
  <c r="E5302" i="11" s="1"/>
  <c r="C6670" i="11"/>
  <c r="E6670" i="11" s="1"/>
  <c r="C1432" i="11"/>
  <c r="E1432" i="11" s="1"/>
  <c r="C6022" i="11"/>
  <c r="E6022" i="11" s="1"/>
  <c r="C5158" i="11"/>
  <c r="E5158" i="11" s="1"/>
  <c r="C4249" i="11"/>
  <c r="E4249" i="11" s="1"/>
  <c r="C6364" i="11"/>
  <c r="E6364" i="11" s="1"/>
  <c r="C1567" i="11"/>
  <c r="E1567" i="11" s="1"/>
  <c r="C1729" i="11"/>
  <c r="E1729" i="11" s="1"/>
  <c r="C4933" i="11"/>
  <c r="E4933" i="11" s="1"/>
  <c r="C1180" i="11"/>
  <c r="E1180" i="11" s="1"/>
  <c r="C5392" i="11"/>
  <c r="E5392" i="11" s="1"/>
  <c r="C5842" i="11"/>
  <c r="E5842" i="11" s="1"/>
  <c r="C6814" i="11"/>
  <c r="E6814" i="11" s="1"/>
  <c r="C2557" i="11"/>
  <c r="E2557" i="11" s="1"/>
  <c r="C1423" i="11"/>
  <c r="E1423" i="11" s="1"/>
  <c r="C5086" i="11"/>
  <c r="E5086" i="11" s="1"/>
  <c r="C1000" i="11"/>
  <c r="E1000" i="11" s="1"/>
  <c r="C2368" i="11"/>
  <c r="E2368" i="11" s="1"/>
  <c r="C5869" i="11"/>
  <c r="E5869" i="11" s="1"/>
  <c r="C2458" i="11"/>
  <c r="E2458" i="11" s="1"/>
  <c r="C4654" i="11"/>
  <c r="E4654" i="11" s="1"/>
  <c r="C1576" i="11"/>
  <c r="E1576" i="11" s="1"/>
  <c r="C4663" i="11"/>
  <c r="E4663" i="11" s="1"/>
  <c r="C793" i="11"/>
  <c r="E793" i="11" s="1"/>
  <c r="C6949" i="11"/>
  <c r="E6949" i="11" s="1"/>
  <c r="C1864" i="11"/>
  <c r="E1864" i="11" s="1"/>
  <c r="C4258" i="11"/>
  <c r="E4258" i="11" s="1"/>
  <c r="C5734" i="11"/>
  <c r="E5734" i="11" s="1"/>
  <c r="C5239" i="11"/>
  <c r="E5239" i="11" s="1"/>
  <c r="C377" i="11"/>
  <c r="E377" i="11" s="1"/>
  <c r="C3520" i="11"/>
  <c r="E3520" i="11" s="1"/>
  <c r="C378" i="11"/>
  <c r="E378" i="11" s="1"/>
  <c r="C1666" i="11"/>
  <c r="E1666" i="11" s="1"/>
  <c r="C4069" i="11"/>
  <c r="E4069" i="11" s="1"/>
  <c r="C1900" i="11"/>
  <c r="E1900" i="11" s="1"/>
  <c r="C3988" i="11"/>
  <c r="E3988" i="11" s="1"/>
  <c r="C2503" i="11"/>
  <c r="E2503" i="11" s="1"/>
  <c r="C586" i="11"/>
  <c r="E586" i="11" s="1"/>
  <c r="C847" i="11"/>
  <c r="E847" i="11" s="1"/>
  <c r="C4870" i="11"/>
  <c r="E4870" i="11" s="1"/>
  <c r="C1990" i="11"/>
  <c r="E1990" i="11" s="1"/>
  <c r="C1918" i="11"/>
  <c r="E1918" i="11" s="1"/>
  <c r="C2998" i="11"/>
  <c r="E2998" i="11" s="1"/>
  <c r="C6508" i="11"/>
  <c r="E6508" i="11" s="1"/>
  <c r="C2854" i="11"/>
  <c r="E2854" i="11" s="1"/>
  <c r="C6355" i="11"/>
  <c r="E6355" i="11" s="1"/>
  <c r="C2674" i="11"/>
  <c r="E2674" i="11" s="1"/>
  <c r="C4897" i="11"/>
  <c r="E4897" i="11" s="1"/>
  <c r="C5833" i="11"/>
  <c r="E5833" i="11" s="1"/>
  <c r="C2692" i="11"/>
  <c r="E2692" i="11" s="1"/>
  <c r="C1981" i="11"/>
  <c r="E1981" i="11" s="1"/>
  <c r="C349" i="11"/>
  <c r="E349" i="11" s="1"/>
  <c r="C4969" i="11"/>
  <c r="E4969" i="11" s="1"/>
  <c r="C5077" i="11"/>
  <c r="E5077" i="11" s="1"/>
  <c r="C6049" i="11"/>
  <c r="E6049" i="11" s="1"/>
  <c r="C5374" i="11"/>
  <c r="E5374" i="11" s="1"/>
  <c r="C4159" i="11"/>
  <c r="E4159" i="11" s="1"/>
  <c r="C595" i="11"/>
  <c r="E595" i="11" s="1"/>
  <c r="C1693" i="11"/>
  <c r="E1693" i="11" s="1"/>
  <c r="C3214" i="11"/>
  <c r="E3214" i="11" s="1"/>
  <c r="C4564" i="11"/>
  <c r="E4564" i="11" s="1"/>
  <c r="C1549" i="11"/>
  <c r="E1549" i="11" s="1"/>
  <c r="C1234" i="11"/>
  <c r="E1234" i="11" s="1"/>
  <c r="C6103" i="11"/>
  <c r="E6103" i="11" s="1"/>
  <c r="C5608" i="11"/>
  <c r="E5608" i="11" s="1"/>
  <c r="C3619" i="11"/>
  <c r="E3619" i="11" s="1"/>
  <c r="C3826" i="11"/>
  <c r="E3826" i="11" s="1"/>
  <c r="C1279" i="11"/>
  <c r="E1279" i="11" s="1"/>
  <c r="C2233" i="11"/>
  <c r="E2233" i="11" s="1"/>
  <c r="C4717" i="11"/>
  <c r="E4717" i="11" s="1"/>
  <c r="C4960" i="11"/>
  <c r="E4960" i="11" s="1"/>
  <c r="C5005" i="11"/>
  <c r="E5005" i="11" s="1"/>
  <c r="C640" i="11"/>
  <c r="E640" i="11" s="1"/>
  <c r="C7012" i="11"/>
  <c r="E7012" i="11" s="1"/>
  <c r="C3322" i="11"/>
  <c r="E3322" i="11" s="1"/>
  <c r="C6967" i="11"/>
  <c r="E6967" i="11" s="1"/>
  <c r="C1531" i="11"/>
  <c r="E1531" i="11" s="1"/>
  <c r="C721" i="11"/>
  <c r="E721" i="11" s="1"/>
  <c r="C4006" i="11"/>
  <c r="E4006" i="11" s="1"/>
  <c r="C5509" i="11"/>
  <c r="E5509" i="11" s="1"/>
  <c r="C6112" i="11"/>
  <c r="E6112" i="11" s="1"/>
  <c r="C5977" i="11"/>
  <c r="E5977" i="11" s="1"/>
  <c r="C442" i="11"/>
  <c r="E442" i="11" s="1"/>
  <c r="C2701" i="11"/>
  <c r="E2701" i="11" s="1"/>
  <c r="C1630" i="11"/>
  <c r="E1630" i="11" s="1"/>
  <c r="C2215" i="11"/>
  <c r="E2215" i="11" s="1"/>
  <c r="C1792" i="11"/>
  <c r="E1792" i="11" s="1"/>
  <c r="C4150" i="11"/>
  <c r="E4150" i="11" s="1"/>
  <c r="C3673" i="11"/>
  <c r="E3673" i="11" s="1"/>
  <c r="C4267" i="11"/>
  <c r="E4267" i="11" s="1"/>
  <c r="C6985" i="11"/>
  <c r="E6985" i="11" s="1"/>
  <c r="C5707" i="11"/>
  <c r="E5707" i="11" s="1"/>
  <c r="C3628" i="11"/>
  <c r="E3628" i="11" s="1"/>
  <c r="C6679" i="11"/>
  <c r="E6679" i="11" s="1"/>
  <c r="C2206" i="11"/>
  <c r="E2206" i="11" s="1"/>
  <c r="C1162" i="11"/>
  <c r="E1162" i="11" s="1"/>
  <c r="C6868" i="11"/>
  <c r="E6868" i="11" s="1"/>
  <c r="C4060" i="11"/>
  <c r="E4060" i="11" s="1"/>
  <c r="C4681" i="11"/>
  <c r="E4681" i="11" s="1"/>
  <c r="C1333" i="11"/>
  <c r="E1333" i="11" s="1"/>
  <c r="C2449" i="11"/>
  <c r="E2449" i="11" s="1"/>
  <c r="C2485" i="11"/>
  <c r="E2485" i="11" s="1"/>
  <c r="C1972" i="11"/>
  <c r="E1972" i="11" s="1"/>
  <c r="C205" i="11"/>
  <c r="E205" i="11" s="1"/>
  <c r="C4294" i="11"/>
  <c r="E4294" i="11" s="1"/>
  <c r="C6715" i="11"/>
  <c r="E6715" i="11" s="1"/>
  <c r="C5149" i="11"/>
  <c r="E5149" i="11" s="1"/>
  <c r="C5383" i="11"/>
  <c r="E5383" i="11" s="1"/>
  <c r="C379" i="11"/>
  <c r="E379" i="11" s="1"/>
  <c r="C649" i="11"/>
  <c r="E649" i="11" s="1"/>
  <c r="C3583" i="11"/>
  <c r="E3583" i="11" s="1"/>
  <c r="C3367" i="11"/>
  <c r="E3367" i="11" s="1"/>
  <c r="C5968" i="11"/>
  <c r="E5968" i="11" s="1"/>
  <c r="C2638" i="11"/>
  <c r="E2638" i="11" s="1"/>
  <c r="C6229" i="11"/>
  <c r="E6229" i="11" s="1"/>
  <c r="C973" i="11"/>
  <c r="E973" i="11" s="1"/>
  <c r="C5563" i="11"/>
  <c r="E5563" i="11" s="1"/>
  <c r="C3853" i="11"/>
  <c r="E3853" i="11" s="1"/>
  <c r="C1801" i="11"/>
  <c r="E1801" i="11" s="1"/>
  <c r="C3844" i="11"/>
  <c r="E3844" i="11" s="1"/>
  <c r="C5986" i="11"/>
  <c r="E5986" i="11" s="1"/>
  <c r="C937" i="11"/>
  <c r="E937" i="11" s="1"/>
  <c r="C6283" i="11"/>
  <c r="E6283" i="11" s="1"/>
  <c r="C829" i="11"/>
  <c r="E829" i="11" s="1"/>
  <c r="C1297" i="11"/>
  <c r="E1297" i="11" s="1"/>
  <c r="C2647" i="11"/>
  <c r="E2647" i="11" s="1"/>
  <c r="C4303" i="11"/>
  <c r="E4303" i="11" s="1"/>
  <c r="C7030" i="11"/>
  <c r="E7030" i="11" s="1"/>
  <c r="C1882" i="11"/>
  <c r="E1882" i="11" s="1"/>
  <c r="C6643" i="11"/>
  <c r="E6643" i="11" s="1"/>
  <c r="C3700" i="11"/>
  <c r="E3700" i="11" s="1"/>
  <c r="C6544" i="11"/>
  <c r="E6544" i="11" s="1"/>
  <c r="C4285" i="11"/>
  <c r="E4285" i="11" s="1"/>
  <c r="C2953" i="11"/>
  <c r="E2953" i="11" s="1"/>
  <c r="C3898" i="11"/>
  <c r="E3898" i="11" s="1"/>
  <c r="C6139" i="11"/>
  <c r="E6139" i="11" s="1"/>
  <c r="C1315" i="11"/>
  <c r="E1315" i="11" s="1"/>
  <c r="C6859" i="11"/>
  <c r="E6859" i="11" s="1"/>
  <c r="C3529" i="11"/>
  <c r="E3529" i="11" s="1"/>
  <c r="C3232" i="11"/>
  <c r="E3232" i="11" s="1"/>
  <c r="C4393" i="11"/>
  <c r="E4393" i="11" s="1"/>
  <c r="C4555" i="11"/>
  <c r="E4555" i="11" s="1"/>
  <c r="C982" i="11"/>
  <c r="E982" i="11" s="1"/>
  <c r="C6436" i="11"/>
  <c r="E6436" i="11" s="1"/>
  <c r="C2287" i="11"/>
  <c r="E2287" i="11" s="1"/>
  <c r="C2512" i="11"/>
  <c r="E2512" i="11" s="1"/>
  <c r="C2431" i="11"/>
  <c r="E2431" i="11" s="1"/>
  <c r="C6445" i="11"/>
  <c r="E6445" i="11" s="1"/>
  <c r="C4105" i="11"/>
  <c r="E4105" i="11" s="1"/>
  <c r="C4591" i="11"/>
  <c r="E4591" i="11" s="1"/>
  <c r="C6454" i="11"/>
  <c r="E6454" i="11" s="1"/>
  <c r="C3394" i="11"/>
  <c r="E3394" i="11" s="1"/>
  <c r="C6427" i="11"/>
  <c r="E6427" i="11" s="1"/>
  <c r="C5797" i="11"/>
  <c r="E5797" i="11" s="1"/>
  <c r="C991" i="11"/>
  <c r="E991" i="11" s="1"/>
  <c r="C4447" i="11"/>
  <c r="E4447" i="11" s="1"/>
  <c r="C4834" i="11"/>
  <c r="E4834" i="11" s="1"/>
  <c r="C1198" i="11"/>
  <c r="E1198" i="11" s="1"/>
  <c r="C5662" i="11"/>
  <c r="E5662" i="11" s="1"/>
  <c r="C6607" i="11"/>
  <c r="E6607" i="11" s="1"/>
  <c r="C6850" i="11"/>
  <c r="E6850" i="11" s="1"/>
  <c r="C5338" i="11"/>
  <c r="E5338" i="11" s="1"/>
  <c r="C2350" i="11"/>
  <c r="E2350" i="11" s="1"/>
  <c r="C3592" i="11"/>
  <c r="E3592" i="11" s="1"/>
  <c r="C460" i="11"/>
  <c r="E460" i="11" s="1"/>
  <c r="C6319" i="11"/>
  <c r="E6319" i="11" s="1"/>
  <c r="C3871" i="11"/>
  <c r="E3871" i="11" s="1"/>
  <c r="C1063" i="11"/>
  <c r="E1063" i="11" s="1"/>
  <c r="C3970" i="11"/>
  <c r="E3970" i="11" s="1"/>
  <c r="C3250" i="11"/>
  <c r="E3250" i="11" s="1"/>
  <c r="C2017" i="11"/>
  <c r="E2017" i="11" s="1"/>
  <c r="C4366" i="11"/>
  <c r="E4366" i="11" s="1"/>
  <c r="C5455" i="11"/>
  <c r="E5455" i="11" s="1"/>
  <c r="C1720" i="11"/>
  <c r="E1720" i="11" s="1"/>
  <c r="C3889" i="11"/>
  <c r="E3889" i="11" s="1"/>
  <c r="C5320" i="11"/>
  <c r="E5320" i="11" s="1"/>
  <c r="C4015" i="11"/>
  <c r="E4015" i="11" s="1"/>
  <c r="C6931" i="11"/>
  <c r="E6931" i="11" s="1"/>
  <c r="C2602" i="11"/>
  <c r="E2602" i="11" s="1"/>
  <c r="C3187" i="11"/>
  <c r="E3187" i="11" s="1"/>
  <c r="C6337" i="11"/>
  <c r="E6337" i="11" s="1"/>
  <c r="C3574" i="11"/>
  <c r="E3574" i="11" s="1"/>
  <c r="C1639" i="11"/>
  <c r="E1639" i="11" s="1"/>
  <c r="C2746" i="11"/>
  <c r="E2746" i="11" s="1"/>
  <c r="C4195" i="11"/>
  <c r="E4195" i="11" s="1"/>
  <c r="C2890" i="11"/>
  <c r="E2890" i="11" s="1"/>
  <c r="C2440" i="11"/>
  <c r="E2440" i="11" s="1"/>
  <c r="C883" i="11"/>
  <c r="E883" i="11" s="1"/>
  <c r="C3880" i="11"/>
  <c r="E3880" i="11" s="1"/>
  <c r="C676" i="11"/>
  <c r="E676" i="11" s="1"/>
  <c r="C223" i="11"/>
  <c r="E223" i="11" s="1"/>
  <c r="C5617" i="11"/>
  <c r="E5617" i="11" s="1"/>
  <c r="C3007" i="11"/>
  <c r="E3007" i="11" s="1"/>
  <c r="C2926" i="11"/>
  <c r="E2926" i="11" s="1"/>
  <c r="C2620" i="11"/>
  <c r="E2620" i="11" s="1"/>
  <c r="C5248" i="11"/>
  <c r="E5248" i="11" s="1"/>
  <c r="C4609" i="11"/>
  <c r="E4609" i="11" s="1"/>
  <c r="C1126" i="11"/>
  <c r="E1126" i="11" s="1"/>
  <c r="C1153" i="11"/>
  <c r="E1153" i="11" s="1"/>
  <c r="C3268" i="11"/>
  <c r="E3268" i="11" s="1"/>
  <c r="C4582" i="11"/>
  <c r="E4582" i="11" s="1"/>
  <c r="C7003" i="11"/>
  <c r="E7003" i="11" s="1"/>
  <c r="C5716" i="11"/>
  <c r="E5716" i="11" s="1"/>
  <c r="C1846" i="11"/>
  <c r="E1846" i="11" s="1"/>
  <c r="C1288" i="11"/>
  <c r="E1288" i="11" s="1"/>
  <c r="C2872" i="11"/>
  <c r="E2872" i="11" s="1"/>
  <c r="C1009" i="11"/>
  <c r="E1009" i="11" s="1"/>
  <c r="C7056" i="11"/>
  <c r="E7056" i="11" s="1"/>
  <c r="C1558" i="11"/>
  <c r="E1558" i="11" s="1"/>
  <c r="C124" i="11"/>
  <c r="E124" i="11" s="1"/>
  <c r="C4402" i="11"/>
  <c r="E4402" i="11" s="1"/>
  <c r="C6211" i="11"/>
  <c r="E6211" i="11" s="1"/>
  <c r="C2683" i="11"/>
  <c r="E2683" i="11" s="1"/>
  <c r="C1702" i="11"/>
  <c r="E1702" i="11" s="1"/>
  <c r="C3133" i="11"/>
  <c r="E3133" i="11" s="1"/>
  <c r="C2224" i="11"/>
  <c r="E2224" i="11" s="1"/>
  <c r="C2971" i="11"/>
  <c r="E2971" i="11" s="1"/>
  <c r="C4276" i="11"/>
  <c r="E4276" i="11" s="1"/>
  <c r="C3151" i="11"/>
  <c r="E3151" i="11" s="1"/>
  <c r="C3043" i="11"/>
  <c r="E3043" i="11" s="1"/>
  <c r="C1099" i="11"/>
  <c r="E1099" i="11" s="1"/>
  <c r="C3745" i="11"/>
  <c r="E3745" i="11" s="1"/>
  <c r="C3916" i="11"/>
  <c r="E3916" i="11" s="1"/>
  <c r="C1765" i="11"/>
  <c r="E1765" i="11" s="1"/>
  <c r="C4699" i="11"/>
  <c r="E4699" i="11" s="1"/>
  <c r="C4942" i="11"/>
  <c r="E4942" i="11" s="1"/>
  <c r="C1819" i="11"/>
  <c r="E1819" i="11" s="1"/>
  <c r="C2593" i="11"/>
  <c r="E2593" i="11" s="1"/>
  <c r="C5950" i="11"/>
  <c r="E5950" i="11" s="1"/>
  <c r="C5752" i="11"/>
  <c r="E5752" i="11" s="1"/>
  <c r="C6130" i="11"/>
  <c r="E6130" i="11" s="1"/>
  <c r="C2917" i="11"/>
  <c r="E2917" i="11" s="1"/>
  <c r="C4735" i="11"/>
  <c r="E4735" i="11" s="1"/>
  <c r="C6058" i="11"/>
  <c r="E6058" i="11" s="1"/>
  <c r="C568" i="11"/>
  <c r="E568" i="11" s="1"/>
  <c r="C766" i="11"/>
  <c r="E766" i="11" s="1"/>
  <c r="C3439" i="11"/>
  <c r="E3439" i="11" s="1"/>
  <c r="C820" i="11"/>
  <c r="E820" i="11" s="1"/>
  <c r="C1090" i="11"/>
  <c r="E1090" i="11" s="1"/>
  <c r="C5230" i="11"/>
  <c r="E5230" i="11" s="1"/>
  <c r="C2980" i="11"/>
  <c r="E2980" i="11" s="1"/>
  <c r="C1324" i="11"/>
  <c r="E1324" i="11" s="1"/>
  <c r="C658" i="11"/>
  <c r="E658" i="11" s="1"/>
  <c r="C1351" i="11"/>
  <c r="E1351" i="11" s="1"/>
  <c r="C2062" i="11"/>
  <c r="E2062" i="11" s="1"/>
  <c r="C6490" i="11"/>
  <c r="E6490" i="11" s="1"/>
  <c r="C685" i="11"/>
  <c r="E685" i="11" s="1"/>
  <c r="C6076" i="11"/>
  <c r="E6076" i="11" s="1"/>
  <c r="C5572" i="11"/>
  <c r="E5572" i="11" s="1"/>
  <c r="C4231" i="11"/>
  <c r="E4231" i="11" s="1"/>
  <c r="C5851" i="11"/>
  <c r="E5851" i="11" s="1"/>
  <c r="C3448" i="11"/>
  <c r="E3448" i="11" s="1"/>
  <c r="C5815" i="11"/>
  <c r="E5815" i="11" s="1"/>
  <c r="C5347" i="11"/>
  <c r="E5347" i="11" s="1"/>
  <c r="C6823" i="11"/>
  <c r="E6823" i="11" s="1"/>
  <c r="C5275" i="11"/>
  <c r="E5275" i="11" s="1"/>
  <c r="C2989" i="11"/>
  <c r="E2989" i="11" s="1"/>
  <c r="C1135" i="11"/>
  <c r="E1135" i="11" s="1"/>
  <c r="C5581" i="11"/>
  <c r="E5581" i="11" s="1"/>
  <c r="C487" i="11"/>
  <c r="E487" i="11" s="1"/>
  <c r="C2107" i="11"/>
  <c r="E2107" i="11" s="1"/>
  <c r="C4915" i="11"/>
  <c r="E4915" i="11" s="1"/>
  <c r="C2422" i="11"/>
  <c r="E2422" i="11" s="1"/>
  <c r="C6031" i="11"/>
  <c r="E6031" i="11" s="1"/>
  <c r="C4051" i="11"/>
  <c r="E4051" i="11" s="1"/>
  <c r="C2863" i="11"/>
  <c r="E2863" i="11" s="1"/>
  <c r="C4438" i="11"/>
  <c r="E4438" i="11" s="1"/>
  <c r="C3763" i="11"/>
  <c r="E3763" i="11" s="1"/>
  <c r="C1207" i="11"/>
  <c r="E1207" i="11" s="1"/>
  <c r="C5176" i="11"/>
  <c r="E5176" i="11" s="1"/>
  <c r="C4339" i="11"/>
  <c r="E4339" i="11" s="1"/>
  <c r="C4168" i="11"/>
  <c r="E4168" i="11" s="1"/>
  <c r="C5437" i="11"/>
  <c r="E5437" i="11" s="1"/>
  <c r="C1486" i="11"/>
  <c r="E1486" i="11" s="1"/>
  <c r="C2098" i="11"/>
  <c r="E2098" i="11" s="1"/>
  <c r="C3412" i="11"/>
  <c r="E3412" i="11" s="1"/>
  <c r="C919" i="11"/>
  <c r="E919" i="11" s="1"/>
  <c r="C2413" i="11"/>
  <c r="E2413" i="11" s="1"/>
  <c r="C6994" i="11"/>
  <c r="E6994" i="11" s="1"/>
  <c r="C2305" i="11"/>
  <c r="E2305" i="11" s="1"/>
  <c r="C6157" i="11"/>
  <c r="E6157" i="11" s="1"/>
  <c r="C6292" i="11"/>
  <c r="E6292" i="11" s="1"/>
  <c r="C5482" i="11"/>
  <c r="E5482" i="11" s="1"/>
  <c r="C3781" i="11"/>
  <c r="E3781" i="11" s="1"/>
  <c r="C2242" i="11"/>
  <c r="E2242" i="11" s="1"/>
  <c r="C4501" i="11"/>
  <c r="E4501" i="11" s="1"/>
  <c r="C6004" i="11"/>
  <c r="E6004" i="11" s="1"/>
  <c r="C6310" i="11"/>
  <c r="E6310" i="11" s="1"/>
  <c r="C2665" i="11"/>
  <c r="E2665" i="11" s="1"/>
  <c r="C2899" i="11"/>
  <c r="E2899" i="11" s="1"/>
  <c r="C3655" i="11"/>
  <c r="E3655" i="11" s="1"/>
  <c r="C1369" i="11"/>
  <c r="E1369" i="11" s="1"/>
  <c r="C3178" i="11"/>
  <c r="E3178" i="11" s="1"/>
  <c r="C757" i="11"/>
  <c r="E757" i="11" s="1"/>
  <c r="C2467" i="11"/>
  <c r="E2467" i="11" s="1"/>
  <c r="C2476" i="11"/>
  <c r="E2476" i="11" s="1"/>
  <c r="C2782" i="11"/>
  <c r="E2782" i="11" s="1"/>
  <c r="C2881" i="11"/>
  <c r="E2881" i="11" s="1"/>
  <c r="C3052" i="11"/>
  <c r="E3052" i="11" s="1"/>
  <c r="C5599" i="11"/>
  <c r="E5599" i="11" s="1"/>
  <c r="C1306" i="11"/>
  <c r="E1306" i="11" s="1"/>
  <c r="C1081" i="11"/>
  <c r="E1081" i="11" s="1"/>
  <c r="C4645" i="11"/>
  <c r="E4645" i="11" s="1"/>
  <c r="C3610" i="11"/>
  <c r="E3610" i="11" s="1"/>
  <c r="C3475" i="11"/>
  <c r="E3475" i="11" s="1"/>
  <c r="C2170" i="11"/>
  <c r="E2170" i="11" s="1"/>
  <c r="C6535" i="11"/>
  <c r="E6535" i="11" s="1"/>
  <c r="C3349" i="11"/>
  <c r="E3349" i="11" s="1"/>
  <c r="C4186" i="11"/>
  <c r="E4186" i="11" s="1"/>
  <c r="C4483" i="11"/>
  <c r="E4483" i="11" s="1"/>
  <c r="C3385" i="11"/>
  <c r="E3385" i="11" s="1"/>
  <c r="C2296" i="11"/>
  <c r="E2296" i="11" s="1"/>
  <c r="C2827" i="11"/>
  <c r="E2827" i="11" s="1"/>
  <c r="C5140" i="11"/>
  <c r="E5140" i="11" s="1"/>
  <c r="C3088" i="11"/>
  <c r="E3088" i="11" s="1"/>
  <c r="C1054" i="11"/>
  <c r="E1054" i="11" s="1"/>
  <c r="C4321" i="11"/>
  <c r="E4321" i="11" s="1"/>
  <c r="C2836" i="11"/>
  <c r="E2836" i="11" s="1"/>
  <c r="C2845" i="11"/>
  <c r="E2845" i="11" s="1"/>
  <c r="C4330" i="11"/>
  <c r="E4330" i="11" s="1"/>
  <c r="C613" i="11"/>
  <c r="E613" i="11" s="1"/>
  <c r="C1225" i="11"/>
  <c r="E1225" i="11" s="1"/>
  <c r="C1450" i="11"/>
  <c r="E1450" i="11" s="1"/>
  <c r="C1468" i="11"/>
  <c r="E1468" i="11" s="1"/>
  <c r="C1711" i="11"/>
  <c r="E1711" i="11" s="1"/>
  <c r="C1927" i="11"/>
  <c r="E1927" i="11" s="1"/>
  <c r="C496" i="11"/>
  <c r="E496" i="11" s="1"/>
  <c r="C2323" i="11"/>
  <c r="E2323" i="11" s="1"/>
  <c r="C2332" i="11"/>
  <c r="E2332" i="11" s="1"/>
  <c r="C2521" i="11"/>
  <c r="E2521" i="11" s="1"/>
  <c r="C4879" i="11"/>
  <c r="E4879" i="11" s="1"/>
  <c r="C2962" i="11"/>
  <c r="E2962" i="11" s="1"/>
  <c r="C3124" i="11"/>
  <c r="E3124" i="11" s="1"/>
  <c r="C3457" i="11"/>
  <c r="E3457" i="11" s="1"/>
  <c r="C5401" i="11"/>
  <c r="E5401" i="11" s="1"/>
  <c r="C3907" i="11"/>
  <c r="E3907" i="11" s="1"/>
  <c r="C4204" i="11"/>
  <c r="E4204" i="11" s="1"/>
  <c r="C4213" i="11"/>
  <c r="E4213" i="11" s="1"/>
  <c r="C514" i="11"/>
  <c r="E514" i="11" s="1"/>
  <c r="C4771" i="11"/>
  <c r="E4771" i="11" s="1"/>
  <c r="C4789" i="11"/>
  <c r="E4789" i="11" s="1"/>
  <c r="C4816" i="11"/>
  <c r="E4816" i="11" s="1"/>
  <c r="C4843" i="11"/>
  <c r="E4843" i="11" s="1"/>
  <c r="C541" i="11"/>
  <c r="E541" i="11" s="1"/>
  <c r="C5257" i="11"/>
  <c r="E5257" i="11" s="1"/>
  <c r="C5365" i="11"/>
  <c r="E5365" i="11" s="1"/>
  <c r="C550" i="11"/>
  <c r="E550" i="11" s="1"/>
  <c r="C6094" i="11"/>
  <c r="E6094" i="11" s="1"/>
  <c r="C6778" i="11"/>
  <c r="E6778" i="11" s="1"/>
  <c r="C6796" i="11"/>
  <c r="E6796" i="11" s="1"/>
  <c r="C5743" i="11"/>
  <c r="E5743" i="11" s="1"/>
  <c r="C6148" i="11"/>
  <c r="E6148" i="11" s="1"/>
  <c r="C6265" i="11"/>
  <c r="E6265" i="11" s="1"/>
  <c r="C6346" i="11"/>
  <c r="E6346" i="11" s="1"/>
  <c r="C6562" i="11"/>
  <c r="E6562" i="11" s="1"/>
  <c r="C4798" i="11"/>
  <c r="E4798" i="11" s="1"/>
  <c r="C187" i="11"/>
  <c r="E187" i="11" s="1"/>
  <c r="C160" i="11"/>
  <c r="E160" i="11" s="1"/>
  <c r="C250" i="11"/>
  <c r="E250" i="11" s="1"/>
  <c r="C277" i="11"/>
  <c r="E277" i="11" s="1"/>
  <c r="C268" i="11"/>
  <c r="E268" i="11" s="1"/>
  <c r="C286" i="11"/>
  <c r="E286" i="11" s="1"/>
  <c r="C295" i="11"/>
  <c r="E295" i="11" s="1"/>
  <c r="C43" i="11"/>
  <c r="E43" i="11" s="1"/>
  <c r="C397" i="11"/>
  <c r="E397" i="11" s="1"/>
  <c r="C6" i="11"/>
  <c r="E6" i="11" s="1"/>
  <c r="C1216" i="11"/>
  <c r="E1216" i="11" s="1"/>
  <c r="C415" i="11"/>
  <c r="E415" i="11" s="1"/>
  <c r="C16" i="11"/>
  <c r="E16" i="11" s="1"/>
  <c r="C1828" i="11"/>
  <c r="E1828" i="11" s="1"/>
  <c r="C505" i="11"/>
  <c r="E505" i="11" s="1"/>
  <c r="C52" i="11"/>
  <c r="E52" i="11" s="1"/>
  <c r="C70" i="11"/>
  <c r="E70" i="11" s="1"/>
  <c r="C61" i="11"/>
  <c r="E61" i="11" s="1"/>
  <c r="C79" i="11"/>
  <c r="E79" i="11" s="1"/>
  <c r="C88" i="11"/>
  <c r="E88" i="11" s="1"/>
  <c r="C106" i="11"/>
  <c r="E106" i="11" s="1"/>
  <c r="C115" i="11"/>
  <c r="E115" i="11" s="1"/>
  <c r="C433" i="11"/>
  <c r="E433" i="11" s="1"/>
  <c r="C451" i="11"/>
  <c r="E451" i="11" s="1"/>
  <c r="C142" i="11"/>
  <c r="E142" i="11" s="1"/>
  <c r="C151" i="11"/>
  <c r="E151" i="11" s="1"/>
  <c r="C178" i="11"/>
  <c r="E178" i="11" s="1"/>
  <c r="C523" i="11"/>
  <c r="E523" i="11" s="1"/>
  <c r="C469" i="11"/>
  <c r="E469" i="11" s="1"/>
  <c r="C169" i="11"/>
  <c r="E169" i="11" s="1"/>
  <c r="C196" i="11"/>
  <c r="E196" i="11" s="1"/>
  <c r="C559" i="11"/>
  <c r="E559" i="11" s="1"/>
  <c r="C232" i="11"/>
  <c r="E232" i="11" s="1"/>
  <c r="C241" i="11"/>
  <c r="E241" i="11" s="1"/>
  <c r="C259" i="11"/>
  <c r="E259" i="11" s="1"/>
  <c r="C331" i="11"/>
  <c r="E331" i="11" s="1"/>
  <c r="C313" i="11"/>
  <c r="E313" i="11" s="1"/>
  <c r="C6787" i="11"/>
  <c r="E6787" i="11" s="1"/>
  <c r="C5923" i="11"/>
  <c r="E5923" i="11" s="1"/>
  <c r="C2341" i="11"/>
  <c r="E2341" i="11" s="1"/>
  <c r="C3547" i="11"/>
  <c r="E3547" i="11" s="1"/>
  <c r="C97" i="11"/>
  <c r="E97" i="11" s="1"/>
  <c r="C739" i="11"/>
  <c r="E739" i="11" s="1"/>
  <c r="C6220" i="11"/>
  <c r="E6220" i="11" s="1"/>
  <c r="C577" i="11"/>
  <c r="E577" i="11" s="1"/>
  <c r="C2719" i="11"/>
  <c r="E2719" i="11" s="1"/>
  <c r="C6202" i="11"/>
  <c r="E6202" i="11" s="1"/>
  <c r="C2314" i="11"/>
  <c r="E2314" i="11" s="1"/>
  <c r="C1252" i="11"/>
  <c r="E1252" i="11" s="1"/>
  <c r="C6841" i="11"/>
  <c r="E6841" i="11" s="1"/>
  <c r="C6805" i="11"/>
  <c r="E6805" i="11" s="1"/>
  <c r="C4510" i="11"/>
  <c r="E4510" i="11" s="1"/>
  <c r="C304" i="11"/>
  <c r="E304" i="11" s="1"/>
  <c r="C5419" i="11"/>
  <c r="E5419" i="11" s="1"/>
  <c r="C7089" i="11"/>
  <c r="E7089" i="11" s="1"/>
  <c r="C4429" i="11"/>
  <c r="E4429" i="11" s="1"/>
  <c r="C1540" i="11"/>
  <c r="E1540" i="11" s="1"/>
  <c r="C1954" i="11"/>
  <c r="E1954" i="11" s="1"/>
  <c r="C6706" i="11"/>
  <c r="E6706" i="11" s="1"/>
  <c r="C6400" i="11"/>
  <c r="E6400" i="11" s="1"/>
  <c r="C7047" i="11"/>
  <c r="E7047" i="11" s="1"/>
  <c r="C7061" i="11"/>
  <c r="E7061" i="11" s="1"/>
  <c r="C7068" i="11"/>
  <c r="E7068" i="11" s="1"/>
  <c r="C7080" i="11"/>
  <c r="E7080" i="11" s="1"/>
  <c r="C7074" i="11"/>
  <c r="E7074" i="11" s="1"/>
  <c r="C605" i="11"/>
  <c r="E605" i="11" s="1"/>
  <c r="C713" i="11"/>
  <c r="E713" i="11" s="1"/>
  <c r="C803" i="11"/>
  <c r="E803" i="11" s="1"/>
  <c r="C893" i="11"/>
  <c r="E893" i="11" s="1"/>
  <c r="C929" i="11"/>
  <c r="E929" i="11" s="1"/>
  <c r="C1046" i="11"/>
  <c r="E1046" i="11" s="1"/>
  <c r="C1244" i="11"/>
  <c r="E1244" i="11" s="1"/>
  <c r="C1343" i="11"/>
  <c r="E1343" i="11" s="1"/>
  <c r="C1748" i="11"/>
  <c r="E1748" i="11" s="1"/>
  <c r="C26" i="11"/>
  <c r="E26" i="11" s="1"/>
  <c r="C1838" i="11"/>
  <c r="E1838" i="11" s="1"/>
  <c r="C2027" i="11"/>
  <c r="E2027" i="11" s="1"/>
  <c r="C2270" i="11"/>
  <c r="E2270" i="11" s="1"/>
  <c r="C2585" i="11"/>
  <c r="E2585" i="11" s="1"/>
  <c r="C2657" i="11"/>
  <c r="E2657" i="11" s="1"/>
  <c r="C2711" i="11"/>
  <c r="E2711" i="11" s="1"/>
  <c r="C2036" i="11"/>
  <c r="E2036" i="11" s="1"/>
  <c r="C2729" i="11"/>
  <c r="E2729" i="11" s="1"/>
  <c r="C3287" i="11"/>
  <c r="E3287" i="11" s="1"/>
  <c r="C3305" i="11"/>
  <c r="E3305" i="11" s="1"/>
  <c r="C3422" i="11"/>
  <c r="E3422" i="11" s="1"/>
  <c r="C425" i="11"/>
  <c r="E425" i="11" s="1"/>
  <c r="C3494" i="11"/>
  <c r="E3494" i="11" s="1"/>
  <c r="C3566" i="11"/>
  <c r="E3566" i="11" s="1"/>
  <c r="C3602" i="11"/>
  <c r="E3602" i="11" s="1"/>
  <c r="C3755" i="11"/>
  <c r="E3755" i="11" s="1"/>
  <c r="C3800" i="11"/>
  <c r="E3800" i="11" s="1"/>
  <c r="C3818" i="11"/>
  <c r="E3818" i="11" s="1"/>
  <c r="C4079" i="11"/>
  <c r="E4079" i="11" s="1"/>
  <c r="C4142" i="11"/>
  <c r="E4142" i="11" s="1"/>
  <c r="C4349" i="11"/>
  <c r="E4349" i="11" s="1"/>
  <c r="C4421" i="11"/>
  <c r="E4421" i="11" s="1"/>
  <c r="C4475" i="11"/>
  <c r="E4475" i="11" s="1"/>
  <c r="C4520" i="11"/>
  <c r="E4520" i="11" s="1"/>
  <c r="C4637" i="11"/>
  <c r="E4637" i="11" s="1"/>
  <c r="C4691" i="11"/>
  <c r="E4691" i="11" s="1"/>
  <c r="C4745" i="11"/>
  <c r="E4745" i="11" s="1"/>
  <c r="C4754" i="11"/>
  <c r="E4754" i="11" s="1"/>
  <c r="C4763" i="11"/>
  <c r="E4763" i="11" s="1"/>
  <c r="C4781" i="11"/>
  <c r="E4781" i="11" s="1"/>
  <c r="C533" i="11"/>
  <c r="E533" i="11" s="1"/>
  <c r="C4988" i="11"/>
  <c r="E4988" i="11" s="1"/>
  <c r="C5123" i="11"/>
  <c r="E5123" i="11" s="1"/>
  <c r="C5186" i="11"/>
  <c r="E5186" i="11" s="1"/>
  <c r="C5222" i="11"/>
  <c r="E5222" i="11" s="1"/>
  <c r="C5357" i="11"/>
  <c r="E5357" i="11" s="1"/>
  <c r="C5411" i="11"/>
  <c r="E5411" i="11" s="1"/>
  <c r="C5447" i="11"/>
  <c r="E5447" i="11" s="1"/>
  <c r="C5537" i="11"/>
  <c r="E5537" i="11" s="1"/>
  <c r="C5591" i="11"/>
  <c r="E5591" i="11" s="1"/>
  <c r="C5645" i="11"/>
  <c r="E5645" i="11" s="1"/>
  <c r="C5699" i="11"/>
  <c r="E5699" i="11" s="1"/>
  <c r="C341" i="11"/>
  <c r="E341" i="11" s="1"/>
  <c r="C6194" i="11"/>
  <c r="E6194" i="11" s="1"/>
  <c r="C6275" i="11"/>
  <c r="E6275" i="11" s="1"/>
  <c r="C6302" i="11"/>
  <c r="E6302" i="11" s="1"/>
  <c r="C6392" i="11"/>
  <c r="E6392" i="11" s="1"/>
  <c r="C6599" i="11"/>
  <c r="E6599" i="11" s="1"/>
  <c r="C6617" i="11"/>
  <c r="E6617" i="11" s="1"/>
  <c r="C6878" i="11"/>
  <c r="E6878" i="11" s="1"/>
  <c r="C7022" i="11"/>
  <c r="E7022" i="11" s="1"/>
  <c r="C623" i="11"/>
  <c r="E623" i="11" s="1"/>
  <c r="C632" i="11"/>
  <c r="E632" i="11" s="1"/>
  <c r="C704" i="11"/>
  <c r="E704" i="11" s="1"/>
  <c r="C749" i="11"/>
  <c r="E749" i="11" s="1"/>
  <c r="C695" i="11"/>
  <c r="E695" i="11" s="1"/>
  <c r="C776" i="11"/>
  <c r="E776" i="11" s="1"/>
  <c r="C785" i="11"/>
  <c r="E785" i="11" s="1"/>
  <c r="C812" i="11"/>
  <c r="E812" i="11" s="1"/>
  <c r="C389" i="11"/>
  <c r="E389" i="11" s="1"/>
  <c r="C839" i="11"/>
  <c r="E839" i="11" s="1"/>
  <c r="C857" i="11"/>
  <c r="E857" i="11" s="1"/>
  <c r="C866" i="11"/>
  <c r="E866" i="11" s="1"/>
  <c r="C875" i="11"/>
  <c r="E875" i="11" s="1"/>
  <c r="C902" i="11"/>
  <c r="E902" i="11" s="1"/>
  <c r="C911" i="11"/>
  <c r="E911" i="11" s="1"/>
  <c r="C956" i="11"/>
  <c r="E956" i="11" s="1"/>
  <c r="C1037" i="11"/>
  <c r="E1037" i="11" s="1"/>
  <c r="C1028" i="11"/>
  <c r="E1028" i="11" s="1"/>
  <c r="C1109" i="11"/>
  <c r="E1109" i="11" s="1"/>
  <c r="C1118" i="11"/>
  <c r="E1118" i="11" s="1"/>
  <c r="C1145" i="11"/>
  <c r="E1145" i="11" s="1"/>
  <c r="C1172" i="11"/>
  <c r="E1172" i="11" s="1"/>
  <c r="C1190" i="11"/>
  <c r="E1190" i="11" s="1"/>
  <c r="C1262" i="11"/>
  <c r="E1262" i="11" s="1"/>
  <c r="C1271" i="11"/>
  <c r="E1271" i="11" s="1"/>
  <c r="C1415" i="11"/>
  <c r="E1415" i="11" s="1"/>
  <c r="C6725" i="11"/>
  <c r="E6725" i="11" s="1"/>
  <c r="C1361" i="11"/>
  <c r="E1361" i="11" s="1"/>
  <c r="C1478" i="11"/>
  <c r="E1478" i="11" s="1"/>
  <c r="C1586" i="11"/>
  <c r="E1586" i="11" s="1"/>
  <c r="C1388" i="11"/>
  <c r="E1388" i="11" s="1"/>
  <c r="C1658" i="11"/>
  <c r="E1658" i="11" s="1"/>
  <c r="C1397" i="11"/>
  <c r="E1397" i="11" s="1"/>
  <c r="C1406" i="11"/>
  <c r="E1406" i="11" s="1"/>
  <c r="C1496" i="11"/>
  <c r="E1496" i="11" s="1"/>
  <c r="C1784" i="11"/>
  <c r="E1784" i="11" s="1"/>
  <c r="C1613" i="11"/>
  <c r="E1613" i="11" s="1"/>
  <c r="C1442" i="11"/>
  <c r="E1442" i="11" s="1"/>
  <c r="C1622" i="11"/>
  <c r="E1622" i="11" s="1"/>
  <c r="C1649" i="11"/>
  <c r="E1649" i="11" s="1"/>
  <c r="C1505" i="11"/>
  <c r="E1505" i="11" s="1"/>
  <c r="C1757" i="11"/>
  <c r="E1757" i="11" s="1"/>
  <c r="C1523" i="11"/>
  <c r="E1523" i="11" s="1"/>
  <c r="C1676" i="11"/>
  <c r="E1676" i="11" s="1"/>
  <c r="C407" i="11"/>
  <c r="E407" i="11" s="1"/>
  <c r="C1775" i="11"/>
  <c r="E1775" i="11" s="1"/>
  <c r="C1811" i="11"/>
  <c r="E1811" i="11" s="1"/>
  <c r="C1892" i="11"/>
  <c r="E1892" i="11" s="1"/>
  <c r="C1739" i="11"/>
  <c r="E1739" i="11" s="1"/>
  <c r="C1379" i="11"/>
  <c r="E1379" i="11" s="1"/>
  <c r="C1856" i="11"/>
  <c r="E1856" i="11" s="1"/>
  <c r="C35" i="11"/>
  <c r="E35" i="11" s="1"/>
  <c r="C1937" i="11"/>
  <c r="E1937" i="11" s="1"/>
  <c r="C1910" i="11"/>
  <c r="E1910" i="11" s="1"/>
  <c r="C3431" i="11"/>
  <c r="E3431" i="11" s="1"/>
  <c r="C1964" i="11"/>
  <c r="E1964" i="11" s="1"/>
  <c r="C2000" i="11"/>
  <c r="E2000" i="11" s="1"/>
  <c r="C2045" i="11"/>
  <c r="E2045" i="11" s="1"/>
  <c r="C2054" i="11"/>
  <c r="E2054" i="11" s="1"/>
  <c r="C2072" i="11"/>
  <c r="E2072" i="11" s="1"/>
  <c r="C2081" i="11"/>
  <c r="E2081" i="11" s="1"/>
  <c r="C2090" i="11"/>
  <c r="E2090" i="11" s="1"/>
  <c r="C2126" i="11"/>
  <c r="E2126" i="11" s="1"/>
  <c r="C2135" i="11"/>
  <c r="E2135" i="11" s="1"/>
  <c r="C2144" i="11"/>
  <c r="E2144" i="11" s="1"/>
  <c r="C2153" i="11"/>
  <c r="E2153" i="11" s="1"/>
  <c r="C2162" i="11"/>
  <c r="E2162" i="11" s="1"/>
  <c r="C2180" i="11"/>
  <c r="E2180" i="11" s="1"/>
  <c r="C2189" i="11"/>
  <c r="E2189" i="11" s="1"/>
  <c r="C2198" i="11"/>
  <c r="E2198" i="11" s="1"/>
  <c r="C2252" i="11"/>
  <c r="E2252" i="11" s="1"/>
  <c r="C2279" i="11"/>
  <c r="E2279" i="11" s="1"/>
  <c r="C6374" i="11"/>
  <c r="E6374" i="11" s="1"/>
  <c r="C2360" i="11"/>
  <c r="E2360" i="11" s="1"/>
  <c r="C2378" i="11"/>
  <c r="E2378" i="11" s="1"/>
  <c r="C2387" i="11"/>
  <c r="E2387" i="11" s="1"/>
  <c r="C2495" i="11"/>
  <c r="E2495" i="11" s="1"/>
  <c r="C2540" i="11"/>
  <c r="E2540" i="11" s="1"/>
  <c r="C2549" i="11"/>
  <c r="E2549" i="11" s="1"/>
  <c r="C2576" i="11"/>
  <c r="E2576" i="11" s="1"/>
  <c r="C2612" i="11"/>
  <c r="E2612" i="11" s="1"/>
  <c r="C2630" i="11"/>
  <c r="E2630" i="11" s="1"/>
  <c r="C2756" i="11"/>
  <c r="E2756" i="11" s="1"/>
  <c r="C2765" i="11"/>
  <c r="E2765" i="11" s="1"/>
  <c r="C2774" i="11"/>
  <c r="E2774" i="11" s="1"/>
  <c r="C2792" i="11"/>
  <c r="E2792" i="11" s="1"/>
  <c r="C2801" i="11"/>
  <c r="E2801" i="11" s="1"/>
  <c r="C2810" i="11"/>
  <c r="E2810" i="11" s="1"/>
  <c r="C6086" i="11"/>
  <c r="E6086" i="11" s="1"/>
  <c r="C2819" i="11"/>
  <c r="E2819" i="11" s="1"/>
  <c r="C2909" i="11"/>
  <c r="E2909" i="11" s="1"/>
  <c r="C2936" i="11"/>
  <c r="E2936" i="11" s="1"/>
  <c r="C2945" i="11"/>
  <c r="E2945" i="11" s="1"/>
  <c r="C3017" i="11"/>
  <c r="E3017" i="11" s="1"/>
  <c r="C3035" i="11"/>
  <c r="E3035" i="11" s="1"/>
  <c r="C3062" i="11"/>
  <c r="E3062" i="11" s="1"/>
  <c r="C3071" i="11"/>
  <c r="E3071" i="11" s="1"/>
  <c r="C3080" i="11"/>
  <c r="E3080" i="11" s="1"/>
  <c r="C3098" i="11"/>
  <c r="E3098" i="11" s="1"/>
  <c r="C3107" i="11"/>
  <c r="E3107" i="11" s="1"/>
  <c r="C3116" i="11"/>
  <c r="E3116" i="11" s="1"/>
  <c r="C3197" i="11"/>
  <c r="E3197" i="11" s="1"/>
  <c r="C3170" i="11"/>
  <c r="E3170" i="11" s="1"/>
  <c r="C3278" i="11"/>
  <c r="E3278" i="11" s="1"/>
  <c r="C3242" i="11"/>
  <c r="E3242" i="11" s="1"/>
  <c r="C3260" i="11"/>
  <c r="E3260" i="11" s="1"/>
  <c r="C3224" i="11"/>
  <c r="E3224" i="11" s="1"/>
  <c r="C3296" i="11"/>
  <c r="E3296" i="11" s="1"/>
  <c r="C3314" i="11"/>
  <c r="E3314" i="11" s="1"/>
  <c r="C3332" i="11"/>
  <c r="E3332" i="11" s="1"/>
  <c r="C3341" i="11"/>
  <c r="E3341" i="11" s="1"/>
  <c r="C3359" i="11"/>
  <c r="E3359" i="11" s="1"/>
  <c r="C1514" i="11"/>
  <c r="E1514" i="11" s="1"/>
  <c r="C6743" i="11"/>
  <c r="E6743" i="11" s="1"/>
  <c r="C3377" i="11"/>
  <c r="E3377" i="11" s="1"/>
  <c r="C3404" i="11"/>
  <c r="E3404" i="11" s="1"/>
  <c r="C3467" i="11"/>
  <c r="E3467" i="11" s="1"/>
  <c r="C3485" i="11"/>
  <c r="E3485" i="11" s="1"/>
  <c r="C3503" i="11"/>
  <c r="E3503" i="11" s="1"/>
  <c r="C3512" i="11"/>
  <c r="E3512" i="11" s="1"/>
  <c r="C3539" i="11"/>
  <c r="E3539" i="11" s="1"/>
  <c r="C3557" i="11"/>
  <c r="E3557" i="11" s="1"/>
  <c r="C134" i="11"/>
  <c r="E134" i="11" s="1"/>
  <c r="C3638" i="11"/>
  <c r="E3638" i="11" s="1"/>
  <c r="C3647" i="11"/>
  <c r="E3647" i="11" s="1"/>
  <c r="C3665" i="11"/>
  <c r="E3665" i="11" s="1"/>
  <c r="C3683" i="11"/>
  <c r="E3683" i="11" s="1"/>
  <c r="C3692" i="11"/>
  <c r="E3692" i="11" s="1"/>
  <c r="C3710" i="11"/>
  <c r="E3710" i="11" s="1"/>
  <c r="C3719" i="11"/>
  <c r="E3719" i="11" s="1"/>
  <c r="C3728" i="11"/>
  <c r="E3728" i="11" s="1"/>
  <c r="C3737" i="11"/>
  <c r="E3737" i="11" s="1"/>
  <c r="C3773" i="11"/>
  <c r="E3773" i="11" s="1"/>
  <c r="C3791" i="11"/>
  <c r="E3791" i="11" s="1"/>
  <c r="C3809" i="11"/>
  <c r="E3809" i="11" s="1"/>
  <c r="C3863" i="11"/>
  <c r="E3863" i="11" s="1"/>
  <c r="C3926" i="11"/>
  <c r="E3926" i="11" s="1"/>
  <c r="C3935" i="11"/>
  <c r="E3935" i="11" s="1"/>
  <c r="C3944" i="11"/>
  <c r="E3944" i="11" s="1"/>
  <c r="C3953" i="11"/>
  <c r="E3953" i="11" s="1"/>
  <c r="C3962" i="11"/>
  <c r="E3962" i="11" s="1"/>
  <c r="C3980" i="11"/>
  <c r="E3980" i="11" s="1"/>
  <c r="C2396" i="11"/>
  <c r="E2396" i="11" s="1"/>
  <c r="C3998" i="11"/>
  <c r="E3998" i="11" s="1"/>
  <c r="C1595" i="11"/>
  <c r="E1595" i="11" s="1"/>
  <c r="C2738" i="11"/>
  <c r="E2738" i="11" s="1"/>
  <c r="C4025" i="11"/>
  <c r="E4025" i="11" s="1"/>
  <c r="C4034" i="11"/>
  <c r="E4034" i="11" s="1"/>
  <c r="C4043" i="11"/>
  <c r="E4043" i="11" s="1"/>
  <c r="C4088" i="11"/>
  <c r="E4088" i="11" s="1"/>
  <c r="C4115" i="11"/>
  <c r="E4115" i="11" s="1"/>
  <c r="C3836" i="11"/>
  <c r="E3836" i="11" s="1"/>
  <c r="C4124" i="11"/>
  <c r="E4124" i="11" s="1"/>
  <c r="C4178" i="11"/>
  <c r="E4178" i="11" s="1"/>
  <c r="C5501" i="11"/>
  <c r="E5501" i="11" s="1"/>
  <c r="C4223" i="11"/>
  <c r="E4223" i="11" s="1"/>
  <c r="C6419" i="11"/>
  <c r="E6419" i="11" s="1"/>
  <c r="C4241" i="11"/>
  <c r="E4241" i="11" s="1"/>
  <c r="C4313" i="11"/>
  <c r="E4313" i="11" s="1"/>
  <c r="C947" i="11"/>
  <c r="E947" i="11" s="1"/>
  <c r="C4358" i="11"/>
  <c r="E4358" i="11" s="1"/>
  <c r="C4385" i="11"/>
  <c r="E4385" i="11" s="1"/>
  <c r="C4457" i="11"/>
  <c r="E4457" i="11" s="1"/>
  <c r="C4493" i="11"/>
  <c r="E4493" i="11" s="1"/>
  <c r="C1685" i="11"/>
  <c r="E1685" i="11" s="1"/>
  <c r="C4412" i="11"/>
  <c r="E4412" i="11" s="1"/>
  <c r="C3143" i="11"/>
  <c r="E3143" i="11" s="1"/>
  <c r="C4529" i="11"/>
  <c r="E4529" i="11" s="1"/>
  <c r="C4538" i="11"/>
  <c r="E4538" i="11" s="1"/>
  <c r="C4547" i="11"/>
  <c r="E4547" i="11" s="1"/>
  <c r="C4574" i="11"/>
  <c r="E4574" i="11" s="1"/>
  <c r="C4601" i="11"/>
  <c r="E4601" i="11" s="1"/>
  <c r="C4628" i="11"/>
  <c r="E4628" i="11" s="1"/>
  <c r="C4673" i="11"/>
  <c r="E4673" i="11" s="1"/>
  <c r="C4709" i="11"/>
  <c r="E4709" i="11" s="1"/>
  <c r="C4727" i="11"/>
  <c r="E4727" i="11" s="1"/>
  <c r="C4808" i="11"/>
  <c r="E4808" i="11" s="1"/>
  <c r="C4826" i="11"/>
  <c r="E4826" i="11" s="1"/>
  <c r="C4853" i="11"/>
  <c r="E4853" i="11" s="1"/>
  <c r="C4889" i="11"/>
  <c r="E4889" i="11" s="1"/>
  <c r="C4907" i="11"/>
  <c r="E4907" i="11" s="1"/>
  <c r="C4925" i="11"/>
  <c r="E4925" i="11" s="1"/>
  <c r="C4952" i="11"/>
  <c r="E4952" i="11" s="1"/>
  <c r="C4979" i="11"/>
  <c r="E4979" i="11" s="1"/>
  <c r="C4997" i="11"/>
  <c r="E4997" i="11" s="1"/>
  <c r="C5015" i="11"/>
  <c r="E5015" i="11" s="1"/>
  <c r="C5024" i="11"/>
  <c r="E5024" i="11" s="1"/>
  <c r="C5051" i="11"/>
  <c r="E5051" i="11" s="1"/>
  <c r="C5033" i="11"/>
  <c r="E5033" i="11" s="1"/>
  <c r="C5042" i="11"/>
  <c r="E5042" i="11" s="1"/>
  <c r="C215" i="11"/>
  <c r="E215" i="11" s="1"/>
  <c r="C5060" i="11"/>
  <c r="E5060" i="11" s="1"/>
  <c r="C5096" i="11"/>
  <c r="E5096" i="11" s="1"/>
  <c r="C5105" i="11"/>
  <c r="E5105" i="11" s="1"/>
  <c r="C5069" i="11"/>
  <c r="E5069" i="11" s="1"/>
  <c r="C5114" i="11"/>
  <c r="E5114" i="11" s="1"/>
  <c r="C5132" i="11"/>
  <c r="E5132" i="11" s="1"/>
  <c r="C5168" i="11"/>
  <c r="E5168" i="11" s="1"/>
  <c r="C5195" i="11"/>
  <c r="E5195" i="11" s="1"/>
  <c r="C5213" i="11"/>
  <c r="E5213" i="11" s="1"/>
  <c r="C5267" i="11"/>
  <c r="E5267" i="11" s="1"/>
  <c r="C5330" i="11"/>
  <c r="E5330" i="11" s="1"/>
  <c r="C5429" i="11"/>
  <c r="E5429" i="11" s="1"/>
  <c r="C5474" i="11"/>
  <c r="E5474" i="11" s="1"/>
  <c r="C5492" i="11"/>
  <c r="E5492" i="11" s="1"/>
  <c r="C5519" i="11"/>
  <c r="E5519" i="11" s="1"/>
  <c r="C5465" i="11"/>
  <c r="E5465" i="11" s="1"/>
  <c r="C5528" i="11"/>
  <c r="E5528" i="11" s="1"/>
  <c r="C5546" i="11"/>
  <c r="E5546" i="11" s="1"/>
  <c r="C5555" i="11"/>
  <c r="E5555" i="11" s="1"/>
  <c r="C5627" i="11"/>
  <c r="E5627" i="11" s="1"/>
  <c r="C5636" i="11"/>
  <c r="E5636" i="11" s="1"/>
  <c r="C5654" i="11"/>
  <c r="E5654" i="11" s="1"/>
  <c r="C5672" i="11"/>
  <c r="E5672" i="11" s="1"/>
  <c r="C5681" i="11"/>
  <c r="E5681" i="11" s="1"/>
  <c r="C5690" i="11"/>
  <c r="E5690" i="11" s="1"/>
  <c r="C5771" i="11"/>
  <c r="E5771" i="11" s="1"/>
  <c r="C4619" i="11"/>
  <c r="E4619" i="11" s="1"/>
  <c r="C5780" i="11"/>
  <c r="E5780" i="11" s="1"/>
  <c r="C5312" i="11"/>
  <c r="E5312" i="11" s="1"/>
  <c r="C5789" i="11"/>
  <c r="E5789" i="11" s="1"/>
  <c r="C5825" i="11"/>
  <c r="E5825" i="11" s="1"/>
  <c r="C5861" i="11"/>
  <c r="E5861" i="11" s="1"/>
  <c r="C5879" i="11"/>
  <c r="E5879" i="11" s="1"/>
  <c r="C1604" i="11"/>
  <c r="E1604" i="11" s="1"/>
  <c r="C5888" i="11"/>
  <c r="E5888" i="11" s="1"/>
  <c r="C5897" i="11"/>
  <c r="E5897" i="11" s="1"/>
  <c r="C5906" i="11"/>
  <c r="E5906" i="11" s="1"/>
  <c r="C5915" i="11"/>
  <c r="E5915" i="11" s="1"/>
  <c r="C5933" i="11"/>
  <c r="E5933" i="11" s="1"/>
  <c r="C5942" i="11"/>
  <c r="E5942" i="11" s="1"/>
  <c r="C5960" i="11"/>
  <c r="E5960" i="11" s="1"/>
  <c r="C5996" i="11"/>
  <c r="E5996" i="11" s="1"/>
  <c r="C6014" i="11"/>
  <c r="E6014" i="11" s="1"/>
  <c r="C6068" i="11"/>
  <c r="E6068" i="11" s="1"/>
  <c r="C6041" i="11"/>
  <c r="E6041" i="11" s="1"/>
  <c r="C2117" i="11"/>
  <c r="E2117" i="11" s="1"/>
  <c r="C6122" i="11"/>
  <c r="E6122" i="11" s="1"/>
  <c r="C5285" i="11"/>
  <c r="E5285" i="11" s="1"/>
  <c r="C6167" i="11"/>
  <c r="E6167" i="11" s="1"/>
  <c r="C6176" i="11"/>
  <c r="E6176" i="11" s="1"/>
  <c r="C6185" i="11"/>
  <c r="E6185" i="11" s="1"/>
  <c r="C323" i="11"/>
  <c r="E323" i="11" s="1"/>
  <c r="C6239" i="11"/>
  <c r="E6239" i="11" s="1"/>
  <c r="C6248" i="11"/>
  <c r="E6248" i="11" s="1"/>
  <c r="C479" i="11"/>
  <c r="E479" i="11" s="1"/>
  <c r="C6329" i="11"/>
  <c r="E6329" i="11" s="1"/>
  <c r="C6383" i="11"/>
  <c r="E6383" i="11" s="1"/>
  <c r="C6464" i="11"/>
  <c r="E6464" i="11" s="1"/>
  <c r="C6500" i="11"/>
  <c r="E6500" i="11" s="1"/>
  <c r="C6473" i="11"/>
  <c r="E6473" i="11" s="1"/>
  <c r="C6518" i="11"/>
  <c r="E6518" i="11" s="1"/>
  <c r="C6527" i="11"/>
  <c r="E6527" i="11" s="1"/>
  <c r="C6554" i="11"/>
  <c r="E6554" i="11" s="1"/>
  <c r="C6572" i="11"/>
  <c r="E6572" i="11" s="1"/>
  <c r="C6482" i="11"/>
  <c r="E6482" i="11" s="1"/>
  <c r="C6410" i="11"/>
  <c r="E6410" i="11" s="1"/>
  <c r="C6581" i="11"/>
  <c r="E6581" i="11" s="1"/>
  <c r="C6590" i="11"/>
  <c r="E6590" i="11" s="1"/>
  <c r="C6626" i="11"/>
  <c r="E6626" i="11" s="1"/>
  <c r="C6635" i="11"/>
  <c r="E6635" i="11" s="1"/>
  <c r="C6653" i="11"/>
  <c r="E6653" i="11" s="1"/>
  <c r="C6662" i="11"/>
  <c r="E6662" i="11" s="1"/>
  <c r="C6689" i="11"/>
  <c r="E6689" i="11" s="1"/>
  <c r="C6734" i="11"/>
  <c r="E6734" i="11" s="1"/>
  <c r="C6833" i="11"/>
  <c r="E6833" i="11" s="1"/>
  <c r="C6752" i="11"/>
  <c r="E6752" i="11" s="1"/>
  <c r="C6761" i="11"/>
  <c r="E6761" i="11" s="1"/>
  <c r="C6698" i="11"/>
  <c r="E6698" i="11" s="1"/>
  <c r="C4376" i="11"/>
  <c r="E4376" i="11" s="1"/>
  <c r="C6914" i="11"/>
  <c r="E6914" i="11" s="1"/>
  <c r="C6896" i="11"/>
  <c r="E6896" i="11" s="1"/>
  <c r="C6887" i="11"/>
  <c r="E6887" i="11" s="1"/>
  <c r="C6941" i="11"/>
  <c r="E6941" i="11" s="1"/>
  <c r="C6959" i="11"/>
  <c r="E6959" i="11" s="1"/>
  <c r="C6977" i="11"/>
  <c r="E6977" i="11" s="1"/>
  <c r="C6923" i="11"/>
  <c r="E6923" i="11" s="1"/>
  <c r="C3161" i="11"/>
  <c r="E3161" i="11" s="1"/>
  <c r="C7040" i="11"/>
  <c r="E7040" i="11" s="1"/>
  <c r="C1019" i="11"/>
  <c r="E1019" i="11" s="1"/>
  <c r="C5807" i="11"/>
  <c r="E5807" i="11" s="1"/>
  <c r="C4133" i="11"/>
  <c r="E4133" i="11" s="1"/>
  <c r="C5726" i="11"/>
  <c r="E5726" i="11" s="1"/>
  <c r="C2009" i="11"/>
  <c r="E2009" i="11" s="1"/>
  <c r="C4097" i="11"/>
  <c r="E4097" i="11" s="1"/>
  <c r="C1874" i="11"/>
  <c r="E1874" i="11" s="1"/>
  <c r="C2567" i="11"/>
  <c r="E2567" i="11" s="1"/>
  <c r="C6905" i="11"/>
  <c r="E6905" i="11" s="1"/>
  <c r="C5762" i="11"/>
  <c r="E5762" i="11" s="1"/>
  <c r="C1073" i="11"/>
  <c r="E1073" i="11" s="1"/>
  <c r="C731" i="11"/>
  <c r="E731" i="11" s="1"/>
  <c r="C965" i="11"/>
  <c r="E965" i="11" s="1"/>
  <c r="C4862" i="11"/>
  <c r="E4862" i="11" s="1"/>
  <c r="C2405" i="11"/>
  <c r="E2405" i="11" s="1"/>
  <c r="C3026" i="11"/>
  <c r="E3026" i="11" s="1"/>
  <c r="C1946" i="11"/>
  <c r="E1946" i="11" s="1"/>
  <c r="C4466" i="11"/>
  <c r="E4466" i="11" s="1"/>
  <c r="C6257" i="11"/>
  <c r="E6257" i="11" s="1"/>
  <c r="C3206" i="11"/>
  <c r="E3206" i="11" s="1"/>
  <c r="C5204" i="11"/>
  <c r="E5204" i="11" s="1"/>
  <c r="C2531" i="11"/>
  <c r="E2531" i="11" s="1"/>
  <c r="C1460" i="11"/>
  <c r="E1460" i="11" s="1"/>
  <c r="C6770" i="11"/>
  <c r="E6770" i="11" s="1"/>
  <c r="C668" i="11"/>
  <c r="E668" i="11" s="1"/>
  <c r="C2261" i="11"/>
  <c r="E2261" i="11" s="1"/>
  <c r="C5294" i="11"/>
  <c r="E5294" i="11" s="1"/>
  <c r="C5303" i="11"/>
  <c r="E5303" i="11" s="1"/>
  <c r="C6671" i="11"/>
  <c r="E6671" i="11" s="1"/>
  <c r="C1433" i="11"/>
  <c r="E1433" i="11" s="1"/>
  <c r="C6023" i="11"/>
  <c r="E6023" i="11" s="1"/>
  <c r="C5159" i="11"/>
  <c r="E5159" i="11" s="1"/>
  <c r="C4250" i="11"/>
  <c r="E4250" i="11" s="1"/>
  <c r="C6365" i="11"/>
  <c r="E6365" i="11" s="1"/>
  <c r="C1568" i="11"/>
  <c r="E1568" i="11" s="1"/>
  <c r="C1730" i="11"/>
  <c r="E1730" i="11" s="1"/>
  <c r="C4934" i="11"/>
  <c r="E4934" i="11" s="1"/>
  <c r="C1181" i="11"/>
  <c r="E1181" i="11" s="1"/>
  <c r="C5393" i="11"/>
  <c r="E5393" i="11" s="1"/>
  <c r="C5843" i="11"/>
  <c r="E5843" i="11" s="1"/>
  <c r="C6815" i="11"/>
  <c r="E6815" i="11" s="1"/>
  <c r="C2558" i="11"/>
  <c r="E2558" i="11" s="1"/>
  <c r="C1424" i="11"/>
  <c r="E1424" i="11" s="1"/>
  <c r="C5087" i="11"/>
  <c r="E5087" i="11" s="1"/>
  <c r="C1001" i="11"/>
  <c r="E1001" i="11" s="1"/>
  <c r="C2369" i="11"/>
  <c r="E2369" i="11" s="1"/>
  <c r="C5870" i="11"/>
  <c r="E5870" i="11" s="1"/>
  <c r="C2459" i="11"/>
  <c r="E2459" i="11" s="1"/>
  <c r="C4655" i="11"/>
  <c r="E4655" i="11" s="1"/>
  <c r="C1577" i="11"/>
  <c r="E1577" i="11" s="1"/>
  <c r="C4664" i="11"/>
  <c r="E4664" i="11" s="1"/>
  <c r="C794" i="11"/>
  <c r="E794" i="11" s="1"/>
  <c r="C6950" i="11"/>
  <c r="E6950" i="11" s="1"/>
  <c r="C1865" i="11"/>
  <c r="E1865" i="11" s="1"/>
  <c r="C4259" i="11"/>
  <c r="E4259" i="11" s="1"/>
  <c r="C5735" i="11"/>
  <c r="E5735" i="11" s="1"/>
  <c r="C5240" i="11"/>
  <c r="E5240" i="11" s="1"/>
  <c r="C3521" i="11"/>
  <c r="E3521" i="11" s="1"/>
  <c r="C7090" i="11"/>
  <c r="E7090" i="11" s="1"/>
  <c r="C1667" i="11"/>
  <c r="E1667" i="11" s="1"/>
  <c r="C4070" i="11"/>
  <c r="E4070" i="11" s="1"/>
  <c r="C1901" i="11"/>
  <c r="E1901" i="11" s="1"/>
  <c r="C3989" i="11"/>
  <c r="E3989" i="11" s="1"/>
  <c r="C2504" i="11"/>
  <c r="E2504" i="11" s="1"/>
  <c r="C587" i="11"/>
  <c r="E587" i="11" s="1"/>
  <c r="C848" i="11"/>
  <c r="E848" i="11" s="1"/>
  <c r="C4871" i="11"/>
  <c r="E4871" i="11" s="1"/>
  <c r="C1991" i="11"/>
  <c r="E1991" i="11" s="1"/>
  <c r="C1919" i="11"/>
  <c r="E1919" i="11" s="1"/>
  <c r="C2999" i="11"/>
  <c r="E2999" i="11" s="1"/>
  <c r="C6509" i="11"/>
  <c r="E6509" i="11" s="1"/>
  <c r="C2855" i="11"/>
  <c r="E2855" i="11" s="1"/>
  <c r="C6356" i="11"/>
  <c r="E6356" i="11" s="1"/>
  <c r="C2675" i="11"/>
  <c r="E2675" i="11" s="1"/>
  <c r="C4898" i="11"/>
  <c r="E4898" i="11" s="1"/>
  <c r="C5834" i="11"/>
  <c r="E5834" i="11" s="1"/>
  <c r="C2693" i="11"/>
  <c r="E2693" i="11" s="1"/>
  <c r="C1982" i="11"/>
  <c r="E1982" i="11" s="1"/>
  <c r="C350" i="11"/>
  <c r="E350" i="11" s="1"/>
  <c r="C4970" i="11"/>
  <c r="E4970" i="11" s="1"/>
  <c r="C5078" i="11"/>
  <c r="E5078" i="11" s="1"/>
  <c r="C6050" i="11"/>
  <c r="E6050" i="11" s="1"/>
  <c r="C5375" i="11"/>
  <c r="E5375" i="11" s="1"/>
  <c r="C4160" i="11"/>
  <c r="E4160" i="11" s="1"/>
  <c r="C596" i="11"/>
  <c r="E596" i="11" s="1"/>
  <c r="C1694" i="11"/>
  <c r="E1694" i="11" s="1"/>
  <c r="C3215" i="11"/>
  <c r="E3215" i="11" s="1"/>
  <c r="C4565" i="11"/>
  <c r="E4565" i="11" s="1"/>
  <c r="C1550" i="11"/>
  <c r="E1550" i="11" s="1"/>
  <c r="C1235" i="11"/>
  <c r="E1235" i="11" s="1"/>
  <c r="C6104" i="11"/>
  <c r="E6104" i="11" s="1"/>
  <c r="C5609" i="11"/>
  <c r="E5609" i="11" s="1"/>
  <c r="C3620" i="11"/>
  <c r="E3620" i="11" s="1"/>
  <c r="C3827" i="11"/>
  <c r="E3827" i="11" s="1"/>
  <c r="C1280" i="11"/>
  <c r="E1280" i="11" s="1"/>
  <c r="C2234" i="11"/>
  <c r="E2234" i="11" s="1"/>
  <c r="C4718" i="11"/>
  <c r="E4718" i="11" s="1"/>
  <c r="C4961" i="11"/>
  <c r="E4961" i="11" s="1"/>
  <c r="C5006" i="11"/>
  <c r="E5006" i="11" s="1"/>
  <c r="C641" i="11"/>
  <c r="E641" i="11" s="1"/>
  <c r="C7013" i="11"/>
  <c r="E7013" i="11" s="1"/>
  <c r="C3323" i="11"/>
  <c r="E3323" i="11" s="1"/>
  <c r="C6968" i="11"/>
  <c r="E6968" i="11" s="1"/>
  <c r="C1532" i="11"/>
  <c r="E1532" i="11" s="1"/>
  <c r="C722" i="11"/>
  <c r="E722" i="11" s="1"/>
  <c r="C4007" i="11"/>
  <c r="E4007" i="11" s="1"/>
  <c r="C5510" i="11"/>
  <c r="E5510" i="11" s="1"/>
  <c r="C6113" i="11"/>
  <c r="E6113" i="11" s="1"/>
  <c r="C5978" i="11"/>
  <c r="E5978" i="11" s="1"/>
  <c r="C443" i="11"/>
  <c r="E443" i="11" s="1"/>
  <c r="C2702" i="11"/>
  <c r="E2702" i="11" s="1"/>
  <c r="C1631" i="11"/>
  <c r="E1631" i="11" s="1"/>
  <c r="C2216" i="11"/>
  <c r="E2216" i="11" s="1"/>
  <c r="C1793" i="11"/>
  <c r="E1793" i="11" s="1"/>
  <c r="C4151" i="11"/>
  <c r="E4151" i="11" s="1"/>
  <c r="C3674" i="11"/>
  <c r="E3674" i="11" s="1"/>
  <c r="C4268" i="11"/>
  <c r="E4268" i="11" s="1"/>
  <c r="C6986" i="11"/>
  <c r="E6986" i="11" s="1"/>
  <c r="C5708" i="11"/>
  <c r="E5708" i="11" s="1"/>
  <c r="C3629" i="11"/>
  <c r="E3629" i="11" s="1"/>
  <c r="C6680" i="11"/>
  <c r="E6680" i="11" s="1"/>
  <c r="C2207" i="11"/>
  <c r="E2207" i="11" s="1"/>
  <c r="C1163" i="11"/>
  <c r="E1163" i="11" s="1"/>
  <c r="C6869" i="11"/>
  <c r="E6869" i="11" s="1"/>
  <c r="C4061" i="11"/>
  <c r="E4061" i="11" s="1"/>
  <c r="C4682" i="11"/>
  <c r="E4682" i="11" s="1"/>
  <c r="C1334" i="11"/>
  <c r="E1334" i="11" s="1"/>
  <c r="C2450" i="11"/>
  <c r="E2450" i="11" s="1"/>
  <c r="C2486" i="11"/>
  <c r="E2486" i="11" s="1"/>
  <c r="C1973" i="11"/>
  <c r="E1973" i="11" s="1"/>
  <c r="C206" i="11"/>
  <c r="E206" i="11" s="1"/>
  <c r="C4295" i="11"/>
  <c r="E4295" i="11" s="1"/>
  <c r="C6716" i="11"/>
  <c r="E6716" i="11" s="1"/>
  <c r="C5150" i="11"/>
  <c r="E5150" i="11" s="1"/>
  <c r="C5384" i="11"/>
  <c r="E5384" i="11" s="1"/>
  <c r="C380" i="11"/>
  <c r="E380" i="11" s="1"/>
  <c r="C650" i="11"/>
  <c r="E650" i="11" s="1"/>
  <c r="C3584" i="11"/>
  <c r="E3584" i="11" s="1"/>
  <c r="C3368" i="11"/>
  <c r="E3368" i="11" s="1"/>
  <c r="C5969" i="11"/>
  <c r="E5969" i="11" s="1"/>
  <c r="C2639" i="11"/>
  <c r="E2639" i="11" s="1"/>
  <c r="C6230" i="11"/>
  <c r="E6230" i="11" s="1"/>
  <c r="C974" i="11"/>
  <c r="E974" i="11" s="1"/>
  <c r="C5564" i="11"/>
  <c r="E5564" i="11" s="1"/>
  <c r="C3854" i="11"/>
  <c r="E3854" i="11" s="1"/>
  <c r="C1802" i="11"/>
  <c r="E1802" i="11" s="1"/>
  <c r="C3845" i="11"/>
  <c r="E3845" i="11" s="1"/>
  <c r="C5987" i="11"/>
  <c r="E5987" i="11" s="1"/>
  <c r="C938" i="11"/>
  <c r="E938" i="11" s="1"/>
  <c r="C6284" i="11"/>
  <c r="E6284" i="11" s="1"/>
  <c r="C830" i="11"/>
  <c r="E830" i="11" s="1"/>
  <c r="C1298" i="11"/>
  <c r="E1298" i="11" s="1"/>
  <c r="C2648" i="11"/>
  <c r="E2648" i="11" s="1"/>
  <c r="C4304" i="11"/>
  <c r="E4304" i="11" s="1"/>
  <c r="C7031" i="11"/>
  <c r="E7031" i="11" s="1"/>
  <c r="C1883" i="11"/>
  <c r="E1883" i="11" s="1"/>
  <c r="C6644" i="11"/>
  <c r="E6644" i="11" s="1"/>
  <c r="C3701" i="11"/>
  <c r="E3701" i="11" s="1"/>
  <c r="C6545" i="11"/>
  <c r="E6545" i="11" s="1"/>
  <c r="C4286" i="11"/>
  <c r="E4286" i="11" s="1"/>
  <c r="C2954" i="11"/>
  <c r="E2954" i="11" s="1"/>
  <c r="C3899" i="11"/>
  <c r="E3899" i="11" s="1"/>
  <c r="C6140" i="11"/>
  <c r="E6140" i="11" s="1"/>
  <c r="C1316" i="11"/>
  <c r="E1316" i="11" s="1"/>
  <c r="C6860" i="11"/>
  <c r="E6860" i="11" s="1"/>
  <c r="C3530" i="11"/>
  <c r="E3530" i="11" s="1"/>
  <c r="C3233" i="11"/>
  <c r="E3233" i="11" s="1"/>
  <c r="C4394" i="11"/>
  <c r="E4394" i="11" s="1"/>
  <c r="C4556" i="11"/>
  <c r="E4556" i="11" s="1"/>
  <c r="C983" i="11"/>
  <c r="E983" i="11" s="1"/>
  <c r="C6437" i="11"/>
  <c r="E6437" i="11" s="1"/>
  <c r="C2288" i="11"/>
  <c r="E2288" i="11" s="1"/>
  <c r="C2513" i="11"/>
  <c r="E2513" i="11" s="1"/>
  <c r="C2432" i="11"/>
  <c r="E2432" i="11" s="1"/>
  <c r="C6446" i="11"/>
  <c r="E6446" i="11" s="1"/>
  <c r="C4106" i="11"/>
  <c r="E4106" i="11" s="1"/>
  <c r="C4592" i="11"/>
  <c r="E4592" i="11" s="1"/>
  <c r="C6455" i="11"/>
  <c r="E6455" i="11" s="1"/>
  <c r="C3395" i="11"/>
  <c r="E3395" i="11" s="1"/>
  <c r="C6428" i="11"/>
  <c r="E6428" i="11" s="1"/>
  <c r="C5798" i="11"/>
  <c r="E5798" i="11" s="1"/>
  <c r="C992" i="11"/>
  <c r="E992" i="11" s="1"/>
  <c r="C4448" i="11"/>
  <c r="E4448" i="11" s="1"/>
  <c r="C4835" i="11"/>
  <c r="E4835" i="11" s="1"/>
  <c r="C1199" i="11"/>
  <c r="E1199" i="11" s="1"/>
  <c r="C5663" i="11"/>
  <c r="E5663" i="11" s="1"/>
  <c r="C6608" i="11"/>
  <c r="E6608" i="11" s="1"/>
  <c r="C6851" i="11"/>
  <c r="E6851" i="11" s="1"/>
  <c r="C5339" i="11"/>
  <c r="E5339" i="11" s="1"/>
  <c r="C2351" i="11"/>
  <c r="E2351" i="11" s="1"/>
  <c r="C3593" i="11"/>
  <c r="E3593" i="11" s="1"/>
  <c r="C461" i="11"/>
  <c r="E461" i="11" s="1"/>
  <c r="C6320" i="11"/>
  <c r="E6320" i="11" s="1"/>
  <c r="C3872" i="11"/>
  <c r="E3872" i="11" s="1"/>
  <c r="C1064" i="11"/>
  <c r="E1064" i="11" s="1"/>
  <c r="C3971" i="11"/>
  <c r="E3971" i="11" s="1"/>
  <c r="C3251" i="11"/>
  <c r="E3251" i="11" s="1"/>
  <c r="C2018" i="11"/>
  <c r="E2018" i="11" s="1"/>
  <c r="C4367" i="11"/>
  <c r="E4367" i="11" s="1"/>
  <c r="C5456" i="11"/>
  <c r="E5456" i="11" s="1"/>
  <c r="C1721" i="11"/>
  <c r="E1721" i="11" s="1"/>
  <c r="C3890" i="11"/>
  <c r="E3890" i="11" s="1"/>
  <c r="C5321" i="11"/>
  <c r="E5321" i="11" s="1"/>
  <c r="C4016" i="11"/>
  <c r="E4016" i="11" s="1"/>
  <c r="C6932" i="11"/>
  <c r="E6932" i="11" s="1"/>
  <c r="C2603" i="11"/>
  <c r="E2603" i="11" s="1"/>
  <c r="C3188" i="11"/>
  <c r="E3188" i="11" s="1"/>
  <c r="C6338" i="11"/>
  <c r="E6338" i="11" s="1"/>
  <c r="C3575" i="11"/>
  <c r="E3575" i="11" s="1"/>
  <c r="C1640" i="11"/>
  <c r="E1640" i="11" s="1"/>
  <c r="C2747" i="11"/>
  <c r="E2747" i="11" s="1"/>
  <c r="C4196" i="11"/>
  <c r="E4196" i="11" s="1"/>
  <c r="C2891" i="11"/>
  <c r="E2891" i="11" s="1"/>
  <c r="C2441" i="11"/>
  <c r="E2441" i="11" s="1"/>
  <c r="C884" i="11"/>
  <c r="E884" i="11" s="1"/>
  <c r="C3881" i="11"/>
  <c r="E3881" i="11" s="1"/>
  <c r="C677" i="11"/>
  <c r="E677" i="11" s="1"/>
  <c r="C224" i="11"/>
  <c r="E224" i="11" s="1"/>
  <c r="C5618" i="11"/>
  <c r="E5618" i="11" s="1"/>
  <c r="C3008" i="11"/>
  <c r="E3008" i="11" s="1"/>
  <c r="C2927" i="11"/>
  <c r="E2927" i="11" s="1"/>
  <c r="C2621" i="11"/>
  <c r="E2621" i="11" s="1"/>
  <c r="C5249" i="11"/>
  <c r="E5249" i="11" s="1"/>
  <c r="C4610" i="11"/>
  <c r="E4610" i="11" s="1"/>
  <c r="C1127" i="11"/>
  <c r="E1127" i="11" s="1"/>
  <c r="C1154" i="11"/>
  <c r="E1154" i="11" s="1"/>
  <c r="C3269" i="11"/>
  <c r="E3269" i="11" s="1"/>
  <c r="C4583" i="11"/>
  <c r="E4583" i="11" s="1"/>
  <c r="C7004" i="11"/>
  <c r="E7004" i="11" s="1"/>
  <c r="C5717" i="11"/>
  <c r="E5717" i="11" s="1"/>
  <c r="C1847" i="11"/>
  <c r="E1847" i="11" s="1"/>
  <c r="C1289" i="11"/>
  <c r="E1289" i="11" s="1"/>
  <c r="C2873" i="11"/>
  <c r="E2873" i="11" s="1"/>
  <c r="C1010" i="11"/>
  <c r="E1010" i="11" s="1"/>
  <c r="C7057" i="11"/>
  <c r="E7057" i="11" s="1"/>
  <c r="C1559" i="11"/>
  <c r="E1559" i="11" s="1"/>
  <c r="C125" i="11"/>
  <c r="E125" i="11" s="1"/>
  <c r="C4403" i="11"/>
  <c r="E4403" i="11" s="1"/>
  <c r="C6212" i="11"/>
  <c r="E6212" i="11" s="1"/>
  <c r="C2684" i="11"/>
  <c r="E2684" i="11" s="1"/>
  <c r="C1703" i="11"/>
  <c r="E1703" i="11" s="1"/>
  <c r="C3134" i="11"/>
  <c r="E3134" i="11" s="1"/>
  <c r="C2225" i="11"/>
  <c r="E2225" i="11" s="1"/>
  <c r="C2972" i="11"/>
  <c r="E2972" i="11" s="1"/>
  <c r="C4277" i="11"/>
  <c r="E4277" i="11" s="1"/>
  <c r="C3152" i="11"/>
  <c r="E3152" i="11" s="1"/>
  <c r="C3044" i="11"/>
  <c r="E3044" i="11" s="1"/>
  <c r="C1100" i="11"/>
  <c r="E1100" i="11" s="1"/>
  <c r="C3746" i="11"/>
  <c r="E3746" i="11" s="1"/>
  <c r="C3917" i="11"/>
  <c r="E3917" i="11" s="1"/>
  <c r="C1766" i="11"/>
  <c r="E1766" i="11" s="1"/>
  <c r="C4700" i="11"/>
  <c r="E4700" i="11" s="1"/>
  <c r="C4943" i="11"/>
  <c r="E4943" i="11" s="1"/>
  <c r="C1820" i="11"/>
  <c r="E1820" i="11" s="1"/>
  <c r="C2594" i="11"/>
  <c r="E2594" i="11" s="1"/>
  <c r="C5951" i="11"/>
  <c r="E5951" i="11" s="1"/>
  <c r="C5753" i="11"/>
  <c r="E5753" i="11" s="1"/>
  <c r="C6131" i="11"/>
  <c r="E6131" i="11" s="1"/>
  <c r="C2918" i="11"/>
  <c r="E2918" i="11" s="1"/>
  <c r="C4736" i="11"/>
  <c r="E4736" i="11" s="1"/>
  <c r="C6059" i="11"/>
  <c r="E6059" i="11" s="1"/>
  <c r="C569" i="11"/>
  <c r="E569" i="11" s="1"/>
  <c r="C767" i="11"/>
  <c r="E767" i="11" s="1"/>
  <c r="C3440" i="11"/>
  <c r="E3440" i="11" s="1"/>
  <c r="C821" i="11"/>
  <c r="E821" i="11" s="1"/>
  <c r="C1091" i="11"/>
  <c r="E1091" i="11" s="1"/>
  <c r="C5231" i="11"/>
  <c r="E5231" i="11" s="1"/>
  <c r="C2981" i="11"/>
  <c r="E2981" i="11" s="1"/>
  <c r="C1325" i="11"/>
  <c r="E1325" i="11" s="1"/>
  <c r="C659" i="11"/>
  <c r="E659" i="11" s="1"/>
  <c r="C1352" i="11"/>
  <c r="E1352" i="11" s="1"/>
  <c r="C2063" i="11"/>
  <c r="E2063" i="11" s="1"/>
  <c r="C6491" i="11"/>
  <c r="E6491" i="11" s="1"/>
  <c r="C686" i="11"/>
  <c r="E686" i="11" s="1"/>
  <c r="C6077" i="11"/>
  <c r="E6077" i="11" s="1"/>
  <c r="C5573" i="11"/>
  <c r="E5573" i="11" s="1"/>
  <c r="C4232" i="11"/>
  <c r="E4232" i="11" s="1"/>
  <c r="C5852" i="11"/>
  <c r="E5852" i="11" s="1"/>
  <c r="C3449" i="11"/>
  <c r="E3449" i="11" s="1"/>
  <c r="C5816" i="11"/>
  <c r="E5816" i="11" s="1"/>
  <c r="C5348" i="11"/>
  <c r="E5348" i="11" s="1"/>
  <c r="C6824" i="11"/>
  <c r="E6824" i="11" s="1"/>
  <c r="C5276" i="11"/>
  <c r="E5276" i="11" s="1"/>
  <c r="C2990" i="11"/>
  <c r="E2990" i="11" s="1"/>
  <c r="C1136" i="11"/>
  <c r="E1136" i="11" s="1"/>
  <c r="C5582" i="11"/>
  <c r="E5582" i="11" s="1"/>
  <c r="C488" i="11"/>
  <c r="E488" i="11" s="1"/>
  <c r="C2108" i="11"/>
  <c r="E2108" i="11" s="1"/>
  <c r="C4916" i="11"/>
  <c r="E4916" i="11" s="1"/>
  <c r="C2423" i="11"/>
  <c r="E2423" i="11" s="1"/>
  <c r="C6032" i="11"/>
  <c r="E6032" i="11" s="1"/>
  <c r="C4052" i="11"/>
  <c r="E4052" i="11" s="1"/>
  <c r="C2864" i="11"/>
  <c r="E2864" i="11" s="1"/>
  <c r="C4439" i="11"/>
  <c r="E4439" i="11" s="1"/>
  <c r="C3764" i="11"/>
  <c r="E3764" i="11" s="1"/>
  <c r="C1208" i="11"/>
  <c r="E1208" i="11" s="1"/>
  <c r="C5177" i="11"/>
  <c r="E5177" i="11" s="1"/>
  <c r="C4340" i="11"/>
  <c r="E4340" i="11" s="1"/>
  <c r="C4169" i="11"/>
  <c r="E4169" i="11" s="1"/>
  <c r="C5438" i="11"/>
  <c r="E5438" i="11" s="1"/>
  <c r="C1487" i="11"/>
  <c r="E1487" i="11" s="1"/>
  <c r="C2099" i="11"/>
  <c r="E2099" i="11" s="1"/>
  <c r="C3413" i="11"/>
  <c r="E3413" i="11" s="1"/>
  <c r="C920" i="11"/>
  <c r="E920" i="11" s="1"/>
  <c r="C2414" i="11"/>
  <c r="E2414" i="11" s="1"/>
  <c r="C6995" i="11"/>
  <c r="E6995" i="11" s="1"/>
  <c r="C2306" i="11"/>
  <c r="E2306" i="11" s="1"/>
  <c r="C6158" i="11"/>
  <c r="E6158" i="11" s="1"/>
  <c r="C6293" i="11"/>
  <c r="E6293" i="11" s="1"/>
  <c r="C5483" i="11"/>
  <c r="E5483" i="11" s="1"/>
  <c r="C3782" i="11"/>
  <c r="E3782" i="11" s="1"/>
  <c r="C2243" i="11"/>
  <c r="E2243" i="11" s="1"/>
  <c r="C4502" i="11"/>
  <c r="E4502" i="11" s="1"/>
  <c r="C6005" i="11"/>
  <c r="E6005" i="11" s="1"/>
  <c r="C6311" i="11"/>
  <c r="E6311" i="11" s="1"/>
  <c r="C2666" i="11"/>
  <c r="E2666" i="11" s="1"/>
  <c r="C2900" i="11"/>
  <c r="E2900" i="11" s="1"/>
  <c r="C3656" i="11"/>
  <c r="E3656" i="11" s="1"/>
  <c r="C1370" i="11"/>
  <c r="E1370" i="11" s="1"/>
  <c r="C3179" i="11"/>
  <c r="E3179" i="11" s="1"/>
  <c r="C758" i="11"/>
  <c r="E758" i="11" s="1"/>
  <c r="C2468" i="11"/>
  <c r="E2468" i="11" s="1"/>
  <c r="C2477" i="11"/>
  <c r="E2477" i="11" s="1"/>
  <c r="C2783" i="11"/>
  <c r="E2783" i="11" s="1"/>
  <c r="C2882" i="11"/>
  <c r="E2882" i="11" s="1"/>
  <c r="C3053" i="11"/>
  <c r="E3053" i="11" s="1"/>
  <c r="C5600" i="11"/>
  <c r="E5600" i="11" s="1"/>
  <c r="C1307" i="11"/>
  <c r="E1307" i="11" s="1"/>
  <c r="C1082" i="11"/>
  <c r="E1082" i="11" s="1"/>
  <c r="C4646" i="11"/>
  <c r="E4646" i="11" s="1"/>
  <c r="C3611" i="11"/>
  <c r="E3611" i="11" s="1"/>
  <c r="C3476" i="11"/>
  <c r="E3476" i="11" s="1"/>
  <c r="C2171" i="11"/>
  <c r="E2171" i="11" s="1"/>
  <c r="C6536" i="11"/>
  <c r="E6536" i="11" s="1"/>
  <c r="C3350" i="11"/>
  <c r="E3350" i="11" s="1"/>
  <c r="C4187" i="11"/>
  <c r="E4187" i="11" s="1"/>
  <c r="C4484" i="11"/>
  <c r="E4484" i="11" s="1"/>
  <c r="C3386" i="11"/>
  <c r="E3386" i="11" s="1"/>
  <c r="C2297" i="11"/>
  <c r="E2297" i="11" s="1"/>
  <c r="C2828" i="11"/>
  <c r="E2828" i="11" s="1"/>
  <c r="C5141" i="11"/>
  <c r="E5141" i="11" s="1"/>
  <c r="C3089" i="11"/>
  <c r="E3089" i="11" s="1"/>
  <c r="C1055" i="11"/>
  <c r="E1055" i="11" s="1"/>
  <c r="C4322" i="11"/>
  <c r="E4322" i="11" s="1"/>
  <c r="C2837" i="11"/>
  <c r="E2837" i="11" s="1"/>
  <c r="C2846" i="11"/>
  <c r="E2846" i="11" s="1"/>
  <c r="C4331" i="11"/>
  <c r="E4331" i="11" s="1"/>
  <c r="C614" i="11"/>
  <c r="E614" i="11" s="1"/>
  <c r="C1226" i="11"/>
  <c r="E1226" i="11" s="1"/>
  <c r="C1451" i="11"/>
  <c r="E1451" i="11" s="1"/>
  <c r="C1469" i="11"/>
  <c r="E1469" i="11" s="1"/>
  <c r="C1712" i="11"/>
  <c r="E1712" i="11" s="1"/>
  <c r="C1928" i="11"/>
  <c r="E1928" i="11" s="1"/>
  <c r="C497" i="11"/>
  <c r="E497" i="11" s="1"/>
  <c r="C2324" i="11"/>
  <c r="E2324" i="11" s="1"/>
  <c r="C2333" i="11"/>
  <c r="E2333" i="11" s="1"/>
  <c r="C2522" i="11"/>
  <c r="E2522" i="11" s="1"/>
  <c r="C4880" i="11"/>
  <c r="E4880" i="11" s="1"/>
  <c r="C2963" i="11"/>
  <c r="E2963" i="11" s="1"/>
  <c r="C3125" i="11"/>
  <c r="E3125" i="11" s="1"/>
  <c r="C3458" i="11"/>
  <c r="E3458" i="11" s="1"/>
  <c r="C5402" i="11"/>
  <c r="E5402" i="11" s="1"/>
  <c r="C3908" i="11"/>
  <c r="E3908" i="11" s="1"/>
  <c r="C4205" i="11"/>
  <c r="E4205" i="11" s="1"/>
  <c r="C4214" i="11"/>
  <c r="E4214" i="11" s="1"/>
  <c r="C515" i="11"/>
  <c r="E515" i="11" s="1"/>
  <c r="C4772" i="11"/>
  <c r="E4772" i="11" s="1"/>
  <c r="C4790" i="11"/>
  <c r="E4790" i="11" s="1"/>
  <c r="C4817" i="11"/>
  <c r="E4817" i="11" s="1"/>
  <c r="C4844" i="11"/>
  <c r="E4844" i="11" s="1"/>
  <c r="C542" i="11"/>
  <c r="E542" i="11" s="1"/>
  <c r="C5258" i="11"/>
  <c r="E5258" i="11" s="1"/>
  <c r="C5366" i="11"/>
  <c r="E5366" i="11" s="1"/>
  <c r="C551" i="11"/>
  <c r="E551" i="11" s="1"/>
  <c r="C6095" i="11"/>
  <c r="E6095" i="11" s="1"/>
  <c r="C6779" i="11"/>
  <c r="E6779" i="11" s="1"/>
  <c r="C6797" i="11"/>
  <c r="E6797" i="11" s="1"/>
  <c r="C5744" i="11"/>
  <c r="E5744" i="11" s="1"/>
  <c r="C6149" i="11"/>
  <c r="E6149" i="11" s="1"/>
  <c r="C6266" i="11"/>
  <c r="E6266" i="11" s="1"/>
  <c r="C6347" i="11"/>
  <c r="E6347" i="11" s="1"/>
  <c r="C6563" i="11"/>
  <c r="E6563" i="11" s="1"/>
  <c r="C4799" i="11"/>
  <c r="E4799" i="11" s="1"/>
  <c r="C188" i="11"/>
  <c r="E188" i="11" s="1"/>
  <c r="C161" i="11"/>
  <c r="E161" i="11" s="1"/>
  <c r="C251" i="11"/>
  <c r="E251" i="11" s="1"/>
  <c r="C278" i="11"/>
  <c r="E278" i="11" s="1"/>
  <c r="C269" i="11"/>
  <c r="E269" i="11" s="1"/>
  <c r="C287" i="11"/>
  <c r="E287" i="11" s="1"/>
  <c r="C296" i="11"/>
  <c r="E296" i="11" s="1"/>
  <c r="C44" i="11"/>
  <c r="E44" i="11" s="1"/>
  <c r="C398" i="11"/>
  <c r="E398" i="11" s="1"/>
  <c r="C7" i="11"/>
  <c r="E7" i="11" s="1"/>
  <c r="C1217" i="11"/>
  <c r="E1217" i="11" s="1"/>
  <c r="C416" i="11"/>
  <c r="E416" i="11" s="1"/>
  <c r="C17" i="11"/>
  <c r="E17" i="11" s="1"/>
  <c r="C1829" i="11"/>
  <c r="E1829" i="11" s="1"/>
  <c r="C506" i="11"/>
  <c r="E506" i="11" s="1"/>
  <c r="C53" i="11"/>
  <c r="E53" i="11" s="1"/>
  <c r="C71" i="11"/>
  <c r="E71" i="11" s="1"/>
  <c r="C62" i="11"/>
  <c r="E62" i="11" s="1"/>
  <c r="C80" i="11"/>
  <c r="E80" i="11" s="1"/>
  <c r="C89" i="11"/>
  <c r="E89" i="11" s="1"/>
  <c r="C107" i="11"/>
  <c r="E107" i="11" s="1"/>
  <c r="C116" i="11"/>
  <c r="E116" i="11" s="1"/>
  <c r="C434" i="11"/>
  <c r="E434" i="11" s="1"/>
  <c r="C452" i="11"/>
  <c r="E452" i="11" s="1"/>
  <c r="C143" i="11"/>
  <c r="E143" i="11" s="1"/>
  <c r="C152" i="11"/>
  <c r="E152" i="11" s="1"/>
  <c r="C179" i="11"/>
  <c r="E179" i="11" s="1"/>
  <c r="C524" i="11"/>
  <c r="E524" i="11" s="1"/>
  <c r="C470" i="11"/>
  <c r="E470" i="11" s="1"/>
  <c r="C170" i="11"/>
  <c r="E170" i="11" s="1"/>
  <c r="C197" i="11"/>
  <c r="E197" i="11" s="1"/>
  <c r="C560" i="11"/>
  <c r="E560" i="11" s="1"/>
  <c r="C233" i="11"/>
  <c r="E233" i="11" s="1"/>
  <c r="C242" i="11"/>
  <c r="E242" i="11" s="1"/>
  <c r="C260" i="11"/>
  <c r="E260" i="11" s="1"/>
  <c r="C332" i="11"/>
  <c r="E332" i="11" s="1"/>
  <c r="C314" i="11"/>
  <c r="E314" i="11" s="1"/>
  <c r="C6788" i="11"/>
  <c r="E6788" i="11" s="1"/>
  <c r="C5924" i="11"/>
  <c r="E5924" i="11" s="1"/>
  <c r="C2342" i="11"/>
  <c r="E2342" i="11" s="1"/>
  <c r="C3548" i="11"/>
  <c r="E3548" i="11" s="1"/>
  <c r="C98" i="11"/>
  <c r="E98" i="11" s="1"/>
  <c r="C740" i="11"/>
  <c r="E740" i="11" s="1"/>
  <c r="C6221" i="11"/>
  <c r="E6221" i="11" s="1"/>
  <c r="C578" i="11"/>
  <c r="E578" i="11" s="1"/>
  <c r="C2720" i="11"/>
  <c r="E2720" i="11" s="1"/>
  <c r="C6203" i="11"/>
  <c r="E6203" i="11" s="1"/>
  <c r="C2315" i="11"/>
  <c r="E2315" i="11" s="1"/>
  <c r="C1253" i="11"/>
  <c r="E1253" i="11" s="1"/>
  <c r="C6842" i="11"/>
  <c r="E6842" i="11" s="1"/>
  <c r="C6806" i="11"/>
  <c r="E6806" i="11" s="1"/>
  <c r="C4511" i="11"/>
  <c r="E4511" i="11" s="1"/>
  <c r="C305" i="11"/>
  <c r="E305" i="11" s="1"/>
  <c r="C5420" i="11"/>
  <c r="E5420" i="11" s="1"/>
  <c r="C4430" i="11"/>
  <c r="E4430" i="11" s="1"/>
  <c r="C1541" i="11"/>
  <c r="E1541" i="11" s="1"/>
  <c r="C1955" i="11"/>
  <c r="E1955" i="11" s="1"/>
  <c r="C6707" i="11"/>
  <c r="E6707" i="11" s="1"/>
  <c r="C6401" i="11"/>
  <c r="E6401" i="11" s="1"/>
  <c r="C7048" i="11"/>
  <c r="E7048" i="11" s="1"/>
  <c r="C7062" i="11"/>
  <c r="E7062" i="11" s="1"/>
  <c r="C7069" i="11"/>
  <c r="E7069" i="11" s="1"/>
  <c r="C7081" i="11"/>
  <c r="E7081" i="11" s="1"/>
  <c r="C7075" i="11"/>
  <c r="E7075" i="11" s="1"/>
  <c r="C7094" i="11"/>
  <c r="E7094" i="11" s="1"/>
  <c r="C606" i="11"/>
  <c r="E606" i="11" s="1"/>
  <c r="C714" i="11"/>
  <c r="E714" i="11" s="1"/>
  <c r="C804" i="11"/>
  <c r="E804" i="11" s="1"/>
  <c r="C894" i="11"/>
  <c r="E894" i="11" s="1"/>
  <c r="C930" i="11"/>
  <c r="E930" i="11" s="1"/>
  <c r="C1047" i="11"/>
  <c r="E1047" i="11" s="1"/>
  <c r="C1245" i="11"/>
  <c r="E1245" i="11" s="1"/>
  <c r="C1344" i="11"/>
  <c r="E1344" i="11" s="1"/>
  <c r="C1749" i="11"/>
  <c r="E1749" i="11" s="1"/>
  <c r="C27" i="11"/>
  <c r="E27" i="11" s="1"/>
  <c r="C1839" i="11"/>
  <c r="E1839" i="11" s="1"/>
  <c r="C2028" i="11"/>
  <c r="E2028" i="11" s="1"/>
  <c r="C2271" i="11"/>
  <c r="E2271" i="11" s="1"/>
  <c r="C2586" i="11"/>
  <c r="E2586" i="11" s="1"/>
  <c r="C2658" i="11"/>
  <c r="E2658" i="11" s="1"/>
  <c r="C2712" i="11"/>
  <c r="E2712" i="11" s="1"/>
  <c r="C2037" i="11"/>
  <c r="E2037" i="11" s="1"/>
  <c r="C2730" i="11"/>
  <c r="E2730" i="11" s="1"/>
  <c r="C3288" i="11"/>
  <c r="E3288" i="11" s="1"/>
  <c r="C3306" i="11"/>
  <c r="E3306" i="11" s="1"/>
  <c r="C3423" i="11"/>
  <c r="E3423" i="11" s="1"/>
  <c r="C426" i="11"/>
  <c r="E426" i="11" s="1"/>
  <c r="C3495" i="11"/>
  <c r="E3495" i="11" s="1"/>
  <c r="C3567" i="11"/>
  <c r="E3567" i="11" s="1"/>
  <c r="C3603" i="11"/>
  <c r="E3603" i="11" s="1"/>
  <c r="C3756" i="11"/>
  <c r="E3756" i="11" s="1"/>
  <c r="C3801" i="11"/>
  <c r="E3801" i="11" s="1"/>
  <c r="C3819" i="11"/>
  <c r="E3819" i="11" s="1"/>
  <c r="C4080" i="11"/>
  <c r="E4080" i="11" s="1"/>
  <c r="C4143" i="11"/>
  <c r="E4143" i="11" s="1"/>
  <c r="C4350" i="11"/>
  <c r="E4350" i="11" s="1"/>
  <c r="C4422" i="11"/>
  <c r="E4422" i="11" s="1"/>
  <c r="C4476" i="11"/>
  <c r="E4476" i="11" s="1"/>
  <c r="C4521" i="11"/>
  <c r="E4521" i="11" s="1"/>
  <c r="C4638" i="11"/>
  <c r="E4638" i="11" s="1"/>
  <c r="C4692" i="11"/>
  <c r="E4692" i="11" s="1"/>
  <c r="C4746" i="11"/>
  <c r="E4746" i="11" s="1"/>
  <c r="C4755" i="11"/>
  <c r="E4755" i="11" s="1"/>
  <c r="C4764" i="11"/>
  <c r="E4764" i="11" s="1"/>
  <c r="C4782" i="11"/>
  <c r="E4782" i="11" s="1"/>
  <c r="C534" i="11"/>
  <c r="E534" i="11" s="1"/>
  <c r="C4989" i="11"/>
  <c r="E4989" i="11" s="1"/>
  <c r="C5124" i="11"/>
  <c r="E5124" i="11" s="1"/>
  <c r="C5187" i="11"/>
  <c r="E5187" i="11" s="1"/>
  <c r="C5223" i="11"/>
  <c r="E5223" i="11" s="1"/>
  <c r="C5358" i="11"/>
  <c r="E5358" i="11" s="1"/>
  <c r="C5412" i="11"/>
  <c r="E5412" i="11" s="1"/>
  <c r="C5448" i="11"/>
  <c r="E5448" i="11" s="1"/>
  <c r="C5538" i="11"/>
  <c r="E5538" i="11" s="1"/>
  <c r="C5592" i="11"/>
  <c r="E5592" i="11" s="1"/>
  <c r="C5646" i="11"/>
  <c r="E5646" i="11" s="1"/>
  <c r="C5700" i="11"/>
  <c r="E5700" i="11" s="1"/>
  <c r="C342" i="11"/>
  <c r="E342" i="11" s="1"/>
  <c r="C6195" i="11"/>
  <c r="E6195" i="11" s="1"/>
  <c r="C6276" i="11"/>
  <c r="E6276" i="11" s="1"/>
  <c r="C6303" i="11"/>
  <c r="E6303" i="11" s="1"/>
  <c r="C6393" i="11"/>
  <c r="E6393" i="11" s="1"/>
  <c r="C6600" i="11"/>
  <c r="E6600" i="11" s="1"/>
  <c r="C6618" i="11"/>
  <c r="E6618" i="11" s="1"/>
  <c r="C6879" i="11"/>
  <c r="E6879" i="11" s="1"/>
  <c r="C7023" i="11"/>
  <c r="E7023" i="11" s="1"/>
  <c r="C624" i="11"/>
  <c r="E624" i="11" s="1"/>
  <c r="C633" i="11"/>
  <c r="E633" i="11" s="1"/>
  <c r="C705" i="11"/>
  <c r="E705" i="11" s="1"/>
  <c r="C750" i="11"/>
  <c r="E750" i="11" s="1"/>
  <c r="C696" i="11"/>
  <c r="E696" i="11" s="1"/>
  <c r="C777" i="11"/>
  <c r="E777" i="11" s="1"/>
  <c r="C786" i="11"/>
  <c r="E786" i="11" s="1"/>
  <c r="C813" i="11"/>
  <c r="E813" i="11" s="1"/>
  <c r="C390" i="11"/>
  <c r="E390" i="11" s="1"/>
  <c r="C840" i="11"/>
  <c r="E840" i="11" s="1"/>
  <c r="C858" i="11"/>
  <c r="E858" i="11" s="1"/>
  <c r="C867" i="11"/>
  <c r="E867" i="11" s="1"/>
  <c r="C876" i="11"/>
  <c r="E876" i="11" s="1"/>
  <c r="C903" i="11"/>
  <c r="E903" i="11" s="1"/>
  <c r="C912" i="11"/>
  <c r="E912" i="11" s="1"/>
  <c r="C957" i="11"/>
  <c r="E957" i="11" s="1"/>
  <c r="C1038" i="11"/>
  <c r="E1038" i="11" s="1"/>
  <c r="C1029" i="11"/>
  <c r="E1029" i="11" s="1"/>
  <c r="C1110" i="11"/>
  <c r="E1110" i="11" s="1"/>
  <c r="C1119" i="11"/>
  <c r="E1119" i="11" s="1"/>
  <c r="C1146" i="11"/>
  <c r="E1146" i="11" s="1"/>
  <c r="C1173" i="11"/>
  <c r="E1173" i="11" s="1"/>
  <c r="C1191" i="11"/>
  <c r="E1191" i="11" s="1"/>
  <c r="C1263" i="11"/>
  <c r="E1263" i="11" s="1"/>
  <c r="C1272" i="11"/>
  <c r="E1272" i="11" s="1"/>
  <c r="C1416" i="11"/>
  <c r="E1416" i="11" s="1"/>
  <c r="C6726" i="11"/>
  <c r="E6726" i="11" s="1"/>
  <c r="C1362" i="11"/>
  <c r="E1362" i="11" s="1"/>
  <c r="C1479" i="11"/>
  <c r="E1479" i="11" s="1"/>
  <c r="C1587" i="11"/>
  <c r="E1587" i="11" s="1"/>
  <c r="C1389" i="11"/>
  <c r="E1389" i="11" s="1"/>
  <c r="C1659" i="11"/>
  <c r="E1659" i="11" s="1"/>
  <c r="C1398" i="11"/>
  <c r="E1398" i="11" s="1"/>
  <c r="C1407" i="11"/>
  <c r="E1407" i="11" s="1"/>
  <c r="C1497" i="11"/>
  <c r="E1497" i="11" s="1"/>
  <c r="C1785" i="11"/>
  <c r="E1785" i="11" s="1"/>
  <c r="C1614" i="11"/>
  <c r="E1614" i="11" s="1"/>
  <c r="C1443" i="11"/>
  <c r="E1443" i="11" s="1"/>
  <c r="C1623" i="11"/>
  <c r="E1623" i="11" s="1"/>
  <c r="C1650" i="11"/>
  <c r="E1650" i="11" s="1"/>
  <c r="C1506" i="11"/>
  <c r="E1506" i="11" s="1"/>
  <c r="C1758" i="11"/>
  <c r="E1758" i="11" s="1"/>
  <c r="C1524" i="11"/>
  <c r="E1524" i="11" s="1"/>
  <c r="C1677" i="11"/>
  <c r="E1677" i="11" s="1"/>
  <c r="C408" i="11"/>
  <c r="E408" i="11" s="1"/>
  <c r="C1776" i="11"/>
  <c r="E1776" i="11" s="1"/>
  <c r="C1812" i="11"/>
  <c r="E1812" i="11" s="1"/>
  <c r="C1893" i="11"/>
  <c r="E1893" i="11" s="1"/>
  <c r="C1740" i="11"/>
  <c r="E1740" i="11" s="1"/>
  <c r="C1380" i="11"/>
  <c r="E1380" i="11" s="1"/>
  <c r="C1857" i="11"/>
  <c r="E1857" i="11" s="1"/>
  <c r="C36" i="11"/>
  <c r="E36" i="11" s="1"/>
  <c r="C1938" i="11"/>
  <c r="E1938" i="11" s="1"/>
  <c r="C1911" i="11"/>
  <c r="E1911" i="11" s="1"/>
  <c r="C3432" i="11"/>
  <c r="E3432" i="11" s="1"/>
  <c r="C1965" i="11"/>
  <c r="E1965" i="11" s="1"/>
  <c r="C2001" i="11"/>
  <c r="E2001" i="11" s="1"/>
  <c r="C2046" i="11"/>
  <c r="E2046" i="11" s="1"/>
  <c r="C2055" i="11"/>
  <c r="E2055" i="11" s="1"/>
  <c r="C2073" i="11"/>
  <c r="E2073" i="11" s="1"/>
  <c r="C2082" i="11"/>
  <c r="E2082" i="11" s="1"/>
  <c r="C2091" i="11"/>
  <c r="E2091" i="11" s="1"/>
  <c r="C2127" i="11"/>
  <c r="E2127" i="11" s="1"/>
  <c r="C2136" i="11"/>
  <c r="E2136" i="11" s="1"/>
  <c r="C2145" i="11"/>
  <c r="E2145" i="11" s="1"/>
  <c r="C2154" i="11"/>
  <c r="E2154" i="11" s="1"/>
  <c r="C2163" i="11"/>
  <c r="E2163" i="11" s="1"/>
  <c r="C2181" i="11"/>
  <c r="E2181" i="11" s="1"/>
  <c r="C2190" i="11"/>
  <c r="E2190" i="11" s="1"/>
  <c r="C2199" i="11"/>
  <c r="E2199" i="11" s="1"/>
  <c r="C2253" i="11"/>
  <c r="E2253" i="11" s="1"/>
  <c r="C2280" i="11"/>
  <c r="E2280" i="11" s="1"/>
  <c r="C6375" i="11"/>
  <c r="E6375" i="11" s="1"/>
  <c r="C2361" i="11"/>
  <c r="E2361" i="11" s="1"/>
  <c r="C2379" i="11"/>
  <c r="E2379" i="11" s="1"/>
  <c r="C2388" i="11"/>
  <c r="E2388" i="11" s="1"/>
  <c r="C2496" i="11"/>
  <c r="E2496" i="11" s="1"/>
  <c r="C2541" i="11"/>
  <c r="E2541" i="11" s="1"/>
  <c r="C2550" i="11"/>
  <c r="E2550" i="11" s="1"/>
  <c r="C2577" i="11"/>
  <c r="E2577" i="11" s="1"/>
  <c r="C2613" i="11"/>
  <c r="E2613" i="11" s="1"/>
  <c r="C2631" i="11"/>
  <c r="E2631" i="11" s="1"/>
  <c r="C2757" i="11"/>
  <c r="E2757" i="11" s="1"/>
  <c r="C2766" i="11"/>
  <c r="E2766" i="11" s="1"/>
  <c r="C2775" i="11"/>
  <c r="E2775" i="11" s="1"/>
  <c r="C2793" i="11"/>
  <c r="E2793" i="11" s="1"/>
  <c r="C2802" i="11"/>
  <c r="E2802" i="11" s="1"/>
  <c r="C2811" i="11"/>
  <c r="E2811" i="11" s="1"/>
  <c r="C6087" i="11"/>
  <c r="E6087" i="11" s="1"/>
  <c r="C2820" i="11"/>
  <c r="E2820" i="11" s="1"/>
  <c r="C2910" i="11"/>
  <c r="E2910" i="11" s="1"/>
  <c r="C2937" i="11"/>
  <c r="E2937" i="11" s="1"/>
  <c r="C2946" i="11"/>
  <c r="E2946" i="11" s="1"/>
  <c r="C3018" i="11"/>
  <c r="E3018" i="11" s="1"/>
  <c r="C3036" i="11"/>
  <c r="E3036" i="11" s="1"/>
  <c r="C3063" i="11"/>
  <c r="E3063" i="11" s="1"/>
  <c r="C3072" i="11"/>
  <c r="E3072" i="11" s="1"/>
  <c r="C3081" i="11"/>
  <c r="E3081" i="11" s="1"/>
  <c r="C3099" i="11"/>
  <c r="E3099" i="11" s="1"/>
  <c r="C3108" i="11"/>
  <c r="E3108" i="11" s="1"/>
  <c r="C3117" i="11"/>
  <c r="E3117" i="11" s="1"/>
  <c r="C3198" i="11"/>
  <c r="E3198" i="11" s="1"/>
  <c r="C3171" i="11"/>
  <c r="E3171" i="11" s="1"/>
  <c r="C3279" i="11"/>
  <c r="E3279" i="11" s="1"/>
  <c r="C3243" i="11"/>
  <c r="E3243" i="11" s="1"/>
  <c r="C3261" i="11"/>
  <c r="E3261" i="11" s="1"/>
  <c r="C3225" i="11"/>
  <c r="E3225" i="11" s="1"/>
  <c r="C3297" i="11"/>
  <c r="E3297" i="11" s="1"/>
  <c r="C3315" i="11"/>
  <c r="E3315" i="11" s="1"/>
  <c r="C3333" i="11"/>
  <c r="E3333" i="11" s="1"/>
  <c r="C3342" i="11"/>
  <c r="E3342" i="11" s="1"/>
  <c r="C3360" i="11"/>
  <c r="E3360" i="11" s="1"/>
  <c r="C1515" i="11"/>
  <c r="E1515" i="11" s="1"/>
  <c r="C6744" i="11"/>
  <c r="E6744" i="11" s="1"/>
  <c r="C3378" i="11"/>
  <c r="E3378" i="11" s="1"/>
  <c r="C3405" i="11"/>
  <c r="E3405" i="11" s="1"/>
  <c r="C3468" i="11"/>
  <c r="E3468" i="11" s="1"/>
  <c r="C3486" i="11"/>
  <c r="E3486" i="11" s="1"/>
  <c r="C3504" i="11"/>
  <c r="E3504" i="11" s="1"/>
  <c r="C3513" i="11"/>
  <c r="E3513" i="11" s="1"/>
  <c r="C3540" i="11"/>
  <c r="E3540" i="11" s="1"/>
  <c r="C3558" i="11"/>
  <c r="E3558" i="11" s="1"/>
  <c r="C135" i="11"/>
  <c r="E135" i="11" s="1"/>
  <c r="C3639" i="11"/>
  <c r="E3639" i="11" s="1"/>
  <c r="C3648" i="11"/>
  <c r="E3648" i="11" s="1"/>
  <c r="C3666" i="11"/>
  <c r="E3666" i="11" s="1"/>
  <c r="C3684" i="11"/>
  <c r="E3684" i="11" s="1"/>
  <c r="C3693" i="11"/>
  <c r="E3693" i="11" s="1"/>
  <c r="C3711" i="11"/>
  <c r="E3711" i="11" s="1"/>
  <c r="C3720" i="11"/>
  <c r="E3720" i="11" s="1"/>
  <c r="C3729" i="11"/>
  <c r="E3729" i="11" s="1"/>
  <c r="C3738" i="11"/>
  <c r="E3738" i="11" s="1"/>
  <c r="C3774" i="11"/>
  <c r="E3774" i="11" s="1"/>
  <c r="C3792" i="11"/>
  <c r="E3792" i="11" s="1"/>
  <c r="C3810" i="11"/>
  <c r="E3810" i="11" s="1"/>
  <c r="C3864" i="11"/>
  <c r="E3864" i="11" s="1"/>
  <c r="C3927" i="11"/>
  <c r="E3927" i="11" s="1"/>
  <c r="C3936" i="11"/>
  <c r="E3936" i="11" s="1"/>
  <c r="C3945" i="11"/>
  <c r="E3945" i="11" s="1"/>
  <c r="C3954" i="11"/>
  <c r="E3954" i="11" s="1"/>
  <c r="C3963" i="11"/>
  <c r="E3963" i="11" s="1"/>
  <c r="C3981" i="11"/>
  <c r="E3981" i="11" s="1"/>
  <c r="C2397" i="11"/>
  <c r="E2397" i="11" s="1"/>
  <c r="C3999" i="11"/>
  <c r="E3999" i="11" s="1"/>
  <c r="C1596" i="11"/>
  <c r="E1596" i="11" s="1"/>
  <c r="C2739" i="11"/>
  <c r="E2739" i="11" s="1"/>
  <c r="C4026" i="11"/>
  <c r="E4026" i="11" s="1"/>
  <c r="C4035" i="11"/>
  <c r="E4035" i="11" s="1"/>
  <c r="C4044" i="11"/>
  <c r="E4044" i="11" s="1"/>
  <c r="C4089" i="11"/>
  <c r="E4089" i="11" s="1"/>
  <c r="C4116" i="11"/>
  <c r="E4116" i="11" s="1"/>
  <c r="C3837" i="11"/>
  <c r="E3837" i="11" s="1"/>
  <c r="C4125" i="11"/>
  <c r="E4125" i="11" s="1"/>
  <c r="C4179" i="11"/>
  <c r="E4179" i="11" s="1"/>
  <c r="C5502" i="11"/>
  <c r="E5502" i="11" s="1"/>
  <c r="C4224" i="11"/>
  <c r="E4224" i="11" s="1"/>
  <c r="C6420" i="11"/>
  <c r="E6420" i="11" s="1"/>
  <c r="C4242" i="11"/>
  <c r="E4242" i="11" s="1"/>
  <c r="C4314" i="11"/>
  <c r="E4314" i="11" s="1"/>
  <c r="C948" i="11"/>
  <c r="E948" i="11" s="1"/>
  <c r="C4359" i="11"/>
  <c r="E4359" i="11" s="1"/>
  <c r="C4386" i="11"/>
  <c r="E4386" i="11" s="1"/>
  <c r="C4458" i="11"/>
  <c r="E4458" i="11" s="1"/>
  <c r="C4494" i="11"/>
  <c r="E4494" i="11" s="1"/>
  <c r="C1686" i="11"/>
  <c r="E1686" i="11" s="1"/>
  <c r="C4413" i="11"/>
  <c r="E4413" i="11" s="1"/>
  <c r="C3144" i="11"/>
  <c r="E3144" i="11" s="1"/>
  <c r="C4530" i="11"/>
  <c r="E4530" i="11" s="1"/>
  <c r="C4539" i="11"/>
  <c r="E4539" i="11" s="1"/>
  <c r="C4548" i="11"/>
  <c r="E4548" i="11" s="1"/>
  <c r="C4575" i="11"/>
  <c r="E4575" i="11" s="1"/>
  <c r="C4602" i="11"/>
  <c r="E4602" i="11" s="1"/>
  <c r="C4629" i="11"/>
  <c r="E4629" i="11" s="1"/>
  <c r="C4674" i="11"/>
  <c r="E4674" i="11" s="1"/>
  <c r="C4710" i="11"/>
  <c r="E4710" i="11" s="1"/>
  <c r="C4728" i="11"/>
  <c r="E4728" i="11" s="1"/>
  <c r="C4809" i="11"/>
  <c r="E4809" i="11" s="1"/>
  <c r="C4827" i="11"/>
  <c r="E4827" i="11" s="1"/>
  <c r="C4854" i="11"/>
  <c r="E4854" i="11" s="1"/>
  <c r="C4890" i="11"/>
  <c r="E4890" i="11" s="1"/>
  <c r="C4908" i="11"/>
  <c r="E4908" i="11" s="1"/>
  <c r="C4926" i="11"/>
  <c r="E4926" i="11" s="1"/>
  <c r="C4953" i="11"/>
  <c r="E4953" i="11" s="1"/>
  <c r="C4980" i="11"/>
  <c r="E4980" i="11" s="1"/>
  <c r="C4998" i="11"/>
  <c r="E4998" i="11" s="1"/>
  <c r="C5016" i="11"/>
  <c r="E5016" i="11" s="1"/>
  <c r="C5025" i="11"/>
  <c r="E5025" i="11" s="1"/>
  <c r="C5052" i="11"/>
  <c r="E5052" i="11" s="1"/>
  <c r="C5034" i="11"/>
  <c r="E5034" i="11" s="1"/>
  <c r="C5043" i="11"/>
  <c r="E5043" i="11" s="1"/>
  <c r="C216" i="11"/>
  <c r="E216" i="11" s="1"/>
  <c r="C5061" i="11"/>
  <c r="E5061" i="11" s="1"/>
  <c r="C5097" i="11"/>
  <c r="E5097" i="11" s="1"/>
  <c r="C5106" i="11"/>
  <c r="E5106" i="11" s="1"/>
  <c r="C5070" i="11"/>
  <c r="E5070" i="11" s="1"/>
  <c r="C5115" i="11"/>
  <c r="E5115" i="11" s="1"/>
  <c r="C5133" i="11"/>
  <c r="E5133" i="11" s="1"/>
  <c r="C5169" i="11"/>
  <c r="E5169" i="11" s="1"/>
  <c r="C5196" i="11"/>
  <c r="E5196" i="11" s="1"/>
  <c r="C5214" i="11"/>
  <c r="E5214" i="11" s="1"/>
  <c r="C5268" i="11"/>
  <c r="E5268" i="11" s="1"/>
  <c r="C5331" i="11"/>
  <c r="E5331" i="11" s="1"/>
  <c r="C5430" i="11"/>
  <c r="E5430" i="11" s="1"/>
  <c r="C5475" i="11"/>
  <c r="E5475" i="11" s="1"/>
  <c r="C5493" i="11"/>
  <c r="E5493" i="11" s="1"/>
  <c r="C5520" i="11"/>
  <c r="E5520" i="11" s="1"/>
  <c r="C5466" i="11"/>
  <c r="E5466" i="11" s="1"/>
  <c r="C5529" i="11"/>
  <c r="E5529" i="11" s="1"/>
  <c r="C5547" i="11"/>
  <c r="E5547" i="11" s="1"/>
  <c r="C5556" i="11"/>
  <c r="E5556" i="11" s="1"/>
  <c r="C5628" i="11"/>
  <c r="E5628" i="11" s="1"/>
  <c r="C5637" i="11"/>
  <c r="E5637" i="11" s="1"/>
  <c r="C5655" i="11"/>
  <c r="E5655" i="11" s="1"/>
  <c r="C5673" i="11"/>
  <c r="E5673" i="11" s="1"/>
  <c r="C5682" i="11"/>
  <c r="E5682" i="11" s="1"/>
  <c r="C5691" i="11"/>
  <c r="E5691" i="11" s="1"/>
  <c r="C5772" i="11"/>
  <c r="E5772" i="11" s="1"/>
  <c r="C4620" i="11"/>
  <c r="E4620" i="11" s="1"/>
  <c r="C5781" i="11"/>
  <c r="E5781" i="11" s="1"/>
  <c r="C5313" i="11"/>
  <c r="E5313" i="11" s="1"/>
  <c r="C5790" i="11"/>
  <c r="E5790" i="11" s="1"/>
  <c r="C5826" i="11"/>
  <c r="E5826" i="11" s="1"/>
  <c r="C5862" i="11"/>
  <c r="E5862" i="11" s="1"/>
  <c r="C5880" i="11"/>
  <c r="E5880" i="11" s="1"/>
  <c r="C1605" i="11"/>
  <c r="E1605" i="11" s="1"/>
  <c r="C5889" i="11"/>
  <c r="E5889" i="11" s="1"/>
  <c r="C5898" i="11"/>
  <c r="E5898" i="11" s="1"/>
  <c r="C5907" i="11"/>
  <c r="E5907" i="11" s="1"/>
  <c r="C5916" i="11"/>
  <c r="E5916" i="11" s="1"/>
  <c r="C5934" i="11"/>
  <c r="E5934" i="11" s="1"/>
  <c r="C5943" i="11"/>
  <c r="E5943" i="11" s="1"/>
  <c r="C5961" i="11"/>
  <c r="E5961" i="11" s="1"/>
  <c r="C5997" i="11"/>
  <c r="E5997" i="11" s="1"/>
  <c r="C6015" i="11"/>
  <c r="E6015" i="11" s="1"/>
  <c r="C6069" i="11"/>
  <c r="E6069" i="11" s="1"/>
  <c r="C6042" i="11"/>
  <c r="E6042" i="11" s="1"/>
  <c r="C2118" i="11"/>
  <c r="E2118" i="11" s="1"/>
  <c r="C6123" i="11"/>
  <c r="E6123" i="11" s="1"/>
  <c r="C5286" i="11"/>
  <c r="E5286" i="11" s="1"/>
  <c r="C6168" i="11"/>
  <c r="E6168" i="11" s="1"/>
  <c r="C6177" i="11"/>
  <c r="E6177" i="11" s="1"/>
  <c r="C6186" i="11"/>
  <c r="E6186" i="11" s="1"/>
  <c r="C324" i="11"/>
  <c r="E324" i="11" s="1"/>
  <c r="C6240" i="11"/>
  <c r="E6240" i="11" s="1"/>
  <c r="C6249" i="11"/>
  <c r="E6249" i="11" s="1"/>
  <c r="C480" i="11"/>
  <c r="E480" i="11" s="1"/>
  <c r="C6330" i="11"/>
  <c r="E6330" i="11" s="1"/>
  <c r="C6384" i="11"/>
  <c r="E6384" i="11" s="1"/>
  <c r="C6465" i="11"/>
  <c r="E6465" i="11" s="1"/>
  <c r="C6501" i="11"/>
  <c r="E6501" i="11" s="1"/>
  <c r="C6474" i="11"/>
  <c r="E6474" i="11" s="1"/>
  <c r="C6519" i="11"/>
  <c r="E6519" i="11" s="1"/>
  <c r="C6528" i="11"/>
  <c r="E6528" i="11" s="1"/>
  <c r="C6555" i="11"/>
  <c r="E6555" i="11" s="1"/>
  <c r="C6573" i="11"/>
  <c r="E6573" i="11" s="1"/>
  <c r="C6483" i="11"/>
  <c r="E6483" i="11" s="1"/>
  <c r="C6411" i="11"/>
  <c r="E6411" i="11" s="1"/>
  <c r="C6582" i="11"/>
  <c r="E6582" i="11" s="1"/>
  <c r="C6591" i="11"/>
  <c r="E6591" i="11" s="1"/>
  <c r="C6627" i="11"/>
  <c r="E6627" i="11" s="1"/>
  <c r="C6636" i="11"/>
  <c r="E6636" i="11" s="1"/>
  <c r="C6654" i="11"/>
  <c r="E6654" i="11" s="1"/>
  <c r="C6663" i="11"/>
  <c r="E6663" i="11" s="1"/>
  <c r="C6690" i="11"/>
  <c r="E6690" i="11" s="1"/>
  <c r="C6735" i="11"/>
  <c r="E6735" i="11" s="1"/>
  <c r="C6834" i="11"/>
  <c r="E6834" i="11" s="1"/>
  <c r="C6753" i="11"/>
  <c r="E6753" i="11" s="1"/>
  <c r="C6762" i="11"/>
  <c r="E6762" i="11" s="1"/>
  <c r="C6699" i="11"/>
  <c r="E6699" i="11" s="1"/>
  <c r="C4377" i="11"/>
  <c r="E4377" i="11" s="1"/>
  <c r="C6915" i="11"/>
  <c r="E6915" i="11" s="1"/>
  <c r="C6897" i="11"/>
  <c r="E6897" i="11" s="1"/>
  <c r="C6888" i="11"/>
  <c r="E6888" i="11" s="1"/>
  <c r="C6942" i="11"/>
  <c r="E6942" i="11" s="1"/>
  <c r="C6960" i="11"/>
  <c r="E6960" i="11" s="1"/>
  <c r="C6978" i="11"/>
  <c r="E6978" i="11" s="1"/>
  <c r="C6924" i="11"/>
  <c r="E6924" i="11" s="1"/>
  <c r="C3162" i="11"/>
  <c r="E3162" i="11" s="1"/>
  <c r="C7041" i="11"/>
  <c r="E7041" i="11" s="1"/>
  <c r="C1020" i="11"/>
  <c r="E1020" i="11" s="1"/>
  <c r="C5808" i="11"/>
  <c r="E5808" i="11" s="1"/>
  <c r="C4134" i="11"/>
  <c r="E4134" i="11" s="1"/>
  <c r="C5727" i="11"/>
  <c r="E5727" i="11" s="1"/>
  <c r="C2010" i="11"/>
  <c r="E2010" i="11" s="1"/>
  <c r="C4098" i="11"/>
  <c r="E4098" i="11" s="1"/>
  <c r="C1875" i="11"/>
  <c r="E1875" i="11" s="1"/>
  <c r="C2568" i="11"/>
  <c r="E2568" i="11" s="1"/>
  <c r="C6906" i="11"/>
  <c r="E6906" i="11" s="1"/>
  <c r="C5763" i="11"/>
  <c r="E5763" i="11" s="1"/>
  <c r="C1074" i="11"/>
  <c r="E1074" i="11" s="1"/>
  <c r="C732" i="11"/>
  <c r="E732" i="11" s="1"/>
  <c r="C966" i="11"/>
  <c r="E966" i="11" s="1"/>
  <c r="C4863" i="11"/>
  <c r="E4863" i="11" s="1"/>
  <c r="C2406" i="11"/>
  <c r="E2406" i="11" s="1"/>
  <c r="C3027" i="11"/>
  <c r="E3027" i="11" s="1"/>
  <c r="C1947" i="11"/>
  <c r="E1947" i="11" s="1"/>
  <c r="C4467" i="11"/>
  <c r="E4467" i="11" s="1"/>
  <c r="C6258" i="11"/>
  <c r="E6258" i="11" s="1"/>
  <c r="C3207" i="11"/>
  <c r="E3207" i="11" s="1"/>
  <c r="C5205" i="11"/>
  <c r="E5205" i="11" s="1"/>
  <c r="C2532" i="11"/>
  <c r="E2532" i="11" s="1"/>
  <c r="C1461" i="11"/>
  <c r="E1461" i="11" s="1"/>
  <c r="C6771" i="11"/>
  <c r="E6771" i="11" s="1"/>
  <c r="C669" i="11"/>
  <c r="E669" i="11" s="1"/>
  <c r="C2262" i="11"/>
  <c r="E2262" i="11" s="1"/>
  <c r="C5295" i="11"/>
  <c r="E5295" i="11" s="1"/>
  <c r="C5304" i="11"/>
  <c r="E5304" i="11" s="1"/>
  <c r="C6672" i="11"/>
  <c r="E6672" i="11" s="1"/>
  <c r="C1434" i="11"/>
  <c r="E1434" i="11" s="1"/>
  <c r="C6024" i="11"/>
  <c r="E6024" i="11" s="1"/>
  <c r="C5160" i="11"/>
  <c r="E5160" i="11" s="1"/>
  <c r="C4251" i="11"/>
  <c r="E4251" i="11" s="1"/>
  <c r="C6366" i="11"/>
  <c r="E6366" i="11" s="1"/>
  <c r="C1569" i="11"/>
  <c r="E1569" i="11" s="1"/>
  <c r="C1731" i="11"/>
  <c r="E1731" i="11" s="1"/>
  <c r="C4935" i="11"/>
  <c r="E4935" i="11" s="1"/>
  <c r="C1182" i="11"/>
  <c r="E1182" i="11" s="1"/>
  <c r="C5394" i="11"/>
  <c r="E5394" i="11" s="1"/>
  <c r="C5844" i="11"/>
  <c r="E5844" i="11" s="1"/>
  <c r="C6816" i="11"/>
  <c r="E6816" i="11" s="1"/>
  <c r="C2559" i="11"/>
  <c r="E2559" i="11" s="1"/>
  <c r="C1425" i="11"/>
  <c r="E1425" i="11" s="1"/>
  <c r="C5088" i="11"/>
  <c r="E5088" i="11" s="1"/>
  <c r="C1002" i="11"/>
  <c r="E1002" i="11" s="1"/>
  <c r="C2370" i="11"/>
  <c r="E2370" i="11" s="1"/>
  <c r="C5871" i="11"/>
  <c r="E5871" i="11" s="1"/>
  <c r="C2460" i="11"/>
  <c r="E2460" i="11" s="1"/>
  <c r="C4656" i="11"/>
  <c r="E4656" i="11" s="1"/>
  <c r="C1578" i="11"/>
  <c r="E1578" i="11" s="1"/>
  <c r="C4665" i="11"/>
  <c r="E4665" i="11" s="1"/>
  <c r="C795" i="11"/>
  <c r="E795" i="11" s="1"/>
  <c r="C6951" i="11"/>
  <c r="E6951" i="11" s="1"/>
  <c r="C1866" i="11"/>
  <c r="E1866" i="11" s="1"/>
  <c r="C4260" i="11"/>
  <c r="E4260" i="11" s="1"/>
  <c r="C5736" i="11"/>
  <c r="E5736" i="11" s="1"/>
  <c r="C5241" i="11"/>
  <c r="E5241" i="11" s="1"/>
  <c r="C3522" i="11"/>
  <c r="E3522" i="11" s="1"/>
  <c r="C7091" i="11"/>
  <c r="E7091" i="11" s="1"/>
  <c r="C1668" i="11"/>
  <c r="E1668" i="11" s="1"/>
  <c r="C4071" i="11"/>
  <c r="E4071" i="11" s="1"/>
  <c r="C1902" i="11"/>
  <c r="E1902" i="11" s="1"/>
  <c r="C3990" i="11"/>
  <c r="E3990" i="11" s="1"/>
  <c r="C2505" i="11"/>
  <c r="E2505" i="11" s="1"/>
  <c r="C588" i="11"/>
  <c r="E588" i="11" s="1"/>
  <c r="C849" i="11"/>
  <c r="E849" i="11" s="1"/>
  <c r="C4872" i="11"/>
  <c r="E4872" i="11" s="1"/>
  <c r="C1992" i="11"/>
  <c r="E1992" i="11" s="1"/>
  <c r="C1920" i="11"/>
  <c r="E1920" i="11" s="1"/>
  <c r="C3000" i="11"/>
  <c r="E3000" i="11" s="1"/>
  <c r="C6510" i="11"/>
  <c r="E6510" i="11" s="1"/>
  <c r="C2856" i="11"/>
  <c r="E2856" i="11" s="1"/>
  <c r="C6357" i="11"/>
  <c r="E6357" i="11" s="1"/>
  <c r="C2676" i="11"/>
  <c r="E2676" i="11" s="1"/>
  <c r="C4899" i="11"/>
  <c r="E4899" i="11" s="1"/>
  <c r="C5835" i="11"/>
  <c r="E5835" i="11" s="1"/>
  <c r="C2694" i="11"/>
  <c r="E2694" i="11" s="1"/>
  <c r="C1983" i="11"/>
  <c r="E1983" i="11" s="1"/>
  <c r="C351" i="11"/>
  <c r="E351" i="11" s="1"/>
  <c r="C4971" i="11"/>
  <c r="E4971" i="11" s="1"/>
  <c r="C5079" i="11"/>
  <c r="E5079" i="11" s="1"/>
  <c r="C6051" i="11"/>
  <c r="E6051" i="11" s="1"/>
  <c r="C5376" i="11"/>
  <c r="E5376" i="11" s="1"/>
  <c r="C4161" i="11"/>
  <c r="E4161" i="11" s="1"/>
  <c r="C597" i="11"/>
  <c r="E597" i="11" s="1"/>
  <c r="C1695" i="11"/>
  <c r="E1695" i="11" s="1"/>
  <c r="C3216" i="11"/>
  <c r="E3216" i="11" s="1"/>
  <c r="C4566" i="11"/>
  <c r="E4566" i="11" s="1"/>
  <c r="C1551" i="11"/>
  <c r="E1551" i="11" s="1"/>
  <c r="C1236" i="11"/>
  <c r="E1236" i="11" s="1"/>
  <c r="C6105" i="11"/>
  <c r="E6105" i="11" s="1"/>
  <c r="C5610" i="11"/>
  <c r="E5610" i="11" s="1"/>
  <c r="C3621" i="11"/>
  <c r="E3621" i="11" s="1"/>
  <c r="C3828" i="11"/>
  <c r="E3828" i="11" s="1"/>
  <c r="C1281" i="11"/>
  <c r="E1281" i="11" s="1"/>
  <c r="C2235" i="11"/>
  <c r="E2235" i="11" s="1"/>
  <c r="C4719" i="11"/>
  <c r="E4719" i="11" s="1"/>
  <c r="C4962" i="11"/>
  <c r="E4962" i="11" s="1"/>
  <c r="C5007" i="11"/>
  <c r="E5007" i="11" s="1"/>
  <c r="C642" i="11"/>
  <c r="E642" i="11" s="1"/>
  <c r="C7014" i="11"/>
  <c r="E7014" i="11" s="1"/>
  <c r="C3324" i="11"/>
  <c r="E3324" i="11" s="1"/>
  <c r="C6969" i="11"/>
  <c r="E6969" i="11" s="1"/>
  <c r="C1533" i="11"/>
  <c r="E1533" i="11" s="1"/>
  <c r="C723" i="11"/>
  <c r="E723" i="11" s="1"/>
  <c r="C4008" i="11"/>
  <c r="E4008" i="11" s="1"/>
  <c r="C5511" i="11"/>
  <c r="E5511" i="11" s="1"/>
  <c r="C6114" i="11"/>
  <c r="E6114" i="11" s="1"/>
  <c r="C5979" i="11"/>
  <c r="E5979" i="11" s="1"/>
  <c r="C444" i="11"/>
  <c r="E444" i="11" s="1"/>
  <c r="C2703" i="11"/>
  <c r="E2703" i="11" s="1"/>
  <c r="C1632" i="11"/>
  <c r="E1632" i="11" s="1"/>
  <c r="C2217" i="11"/>
  <c r="E2217" i="11" s="1"/>
  <c r="C1794" i="11"/>
  <c r="E1794" i="11" s="1"/>
  <c r="C4152" i="11"/>
  <c r="E4152" i="11" s="1"/>
  <c r="C3675" i="11"/>
  <c r="E3675" i="11" s="1"/>
  <c r="C4269" i="11"/>
  <c r="E4269" i="11" s="1"/>
  <c r="C6987" i="11"/>
  <c r="E6987" i="11" s="1"/>
  <c r="C5709" i="11"/>
  <c r="E5709" i="11" s="1"/>
  <c r="C3630" i="11"/>
  <c r="E3630" i="11" s="1"/>
  <c r="C6681" i="11"/>
  <c r="E6681" i="11" s="1"/>
  <c r="C2208" i="11"/>
  <c r="E2208" i="11" s="1"/>
  <c r="C1164" i="11"/>
  <c r="E1164" i="11" s="1"/>
  <c r="C6870" i="11"/>
  <c r="E6870" i="11" s="1"/>
  <c r="C4062" i="11"/>
  <c r="E4062" i="11" s="1"/>
  <c r="C4683" i="11"/>
  <c r="E4683" i="11" s="1"/>
  <c r="C1335" i="11"/>
  <c r="E1335" i="11" s="1"/>
  <c r="C2451" i="11"/>
  <c r="E2451" i="11" s="1"/>
  <c r="C2487" i="11"/>
  <c r="E2487" i="11" s="1"/>
  <c r="C1974" i="11"/>
  <c r="E1974" i="11" s="1"/>
  <c r="C207" i="11"/>
  <c r="E207" i="11" s="1"/>
  <c r="C4296" i="11"/>
  <c r="E4296" i="11" s="1"/>
  <c r="C6717" i="11"/>
  <c r="E6717" i="11" s="1"/>
  <c r="C5151" i="11"/>
  <c r="E5151" i="11" s="1"/>
  <c r="C5385" i="11"/>
  <c r="E5385" i="11" s="1"/>
  <c r="C381" i="11"/>
  <c r="E381" i="11" s="1"/>
  <c r="C651" i="11"/>
  <c r="E651" i="11" s="1"/>
  <c r="C3585" i="11"/>
  <c r="E3585" i="11" s="1"/>
  <c r="C3369" i="11"/>
  <c r="E3369" i="11" s="1"/>
  <c r="C5970" i="11"/>
  <c r="E5970" i="11" s="1"/>
  <c r="C2640" i="11"/>
  <c r="E2640" i="11" s="1"/>
  <c r="C6231" i="11"/>
  <c r="E6231" i="11" s="1"/>
  <c r="C975" i="11"/>
  <c r="E975" i="11" s="1"/>
  <c r="C5565" i="11"/>
  <c r="E5565" i="11" s="1"/>
  <c r="C3855" i="11"/>
  <c r="E3855" i="11" s="1"/>
  <c r="C1803" i="11"/>
  <c r="E1803" i="11" s="1"/>
  <c r="C3846" i="11"/>
  <c r="E3846" i="11" s="1"/>
  <c r="C5988" i="11"/>
  <c r="E5988" i="11" s="1"/>
  <c r="C939" i="11"/>
  <c r="E939" i="11" s="1"/>
  <c r="C6285" i="11"/>
  <c r="E6285" i="11" s="1"/>
  <c r="C831" i="11"/>
  <c r="E831" i="11" s="1"/>
  <c r="C1299" i="11"/>
  <c r="E1299" i="11" s="1"/>
  <c r="C2649" i="11"/>
  <c r="E2649" i="11" s="1"/>
  <c r="C4305" i="11"/>
  <c r="E4305" i="11" s="1"/>
  <c r="C7032" i="11"/>
  <c r="E7032" i="11" s="1"/>
  <c r="C1884" i="11"/>
  <c r="E1884" i="11" s="1"/>
  <c r="C6645" i="11"/>
  <c r="E6645" i="11" s="1"/>
  <c r="C3702" i="11"/>
  <c r="E3702" i="11" s="1"/>
  <c r="C6546" i="11"/>
  <c r="E6546" i="11" s="1"/>
  <c r="C4287" i="11"/>
  <c r="E4287" i="11" s="1"/>
  <c r="C2955" i="11"/>
  <c r="E2955" i="11" s="1"/>
  <c r="C3900" i="11"/>
  <c r="E3900" i="11" s="1"/>
  <c r="C6141" i="11"/>
  <c r="E6141" i="11" s="1"/>
  <c r="C1317" i="11"/>
  <c r="E1317" i="11" s="1"/>
  <c r="C6861" i="11"/>
  <c r="E6861" i="11" s="1"/>
  <c r="C3531" i="11"/>
  <c r="E3531" i="11" s="1"/>
  <c r="C3234" i="11"/>
  <c r="E3234" i="11" s="1"/>
  <c r="C4395" i="11"/>
  <c r="E4395" i="11" s="1"/>
  <c r="C4557" i="11"/>
  <c r="E4557" i="11" s="1"/>
  <c r="C984" i="11"/>
  <c r="E984" i="11" s="1"/>
  <c r="C6438" i="11"/>
  <c r="E6438" i="11" s="1"/>
  <c r="C2289" i="11"/>
  <c r="E2289" i="11" s="1"/>
  <c r="C2514" i="11"/>
  <c r="E2514" i="11" s="1"/>
  <c r="C2433" i="11"/>
  <c r="E2433" i="11" s="1"/>
  <c r="C6447" i="11"/>
  <c r="E6447" i="11" s="1"/>
  <c r="C4107" i="11"/>
  <c r="E4107" i="11" s="1"/>
  <c r="C4593" i="11"/>
  <c r="E4593" i="11" s="1"/>
  <c r="C6456" i="11"/>
  <c r="E6456" i="11" s="1"/>
  <c r="C3396" i="11"/>
  <c r="E3396" i="11" s="1"/>
  <c r="C6429" i="11"/>
  <c r="E6429" i="11" s="1"/>
  <c r="C5799" i="11"/>
  <c r="E5799" i="11" s="1"/>
  <c r="C993" i="11"/>
  <c r="E993" i="11" s="1"/>
  <c r="C4449" i="11"/>
  <c r="E4449" i="11" s="1"/>
  <c r="C4836" i="11"/>
  <c r="E4836" i="11" s="1"/>
  <c r="C1200" i="11"/>
  <c r="E1200" i="11" s="1"/>
  <c r="C5664" i="11"/>
  <c r="E5664" i="11" s="1"/>
  <c r="C6609" i="11"/>
  <c r="E6609" i="11" s="1"/>
  <c r="C6852" i="11"/>
  <c r="E6852" i="11" s="1"/>
  <c r="C5340" i="11"/>
  <c r="E5340" i="11" s="1"/>
  <c r="C2352" i="11"/>
  <c r="E2352" i="11" s="1"/>
  <c r="C3594" i="11"/>
  <c r="E3594" i="11" s="1"/>
  <c r="C462" i="11"/>
  <c r="E462" i="11" s="1"/>
  <c r="C6321" i="11"/>
  <c r="E6321" i="11" s="1"/>
  <c r="C3873" i="11"/>
  <c r="E3873" i="11" s="1"/>
  <c r="C1065" i="11"/>
  <c r="E1065" i="11" s="1"/>
  <c r="C3972" i="11"/>
  <c r="E3972" i="11" s="1"/>
  <c r="C3252" i="11"/>
  <c r="E3252" i="11" s="1"/>
  <c r="C2019" i="11"/>
  <c r="E2019" i="11" s="1"/>
  <c r="C4368" i="11"/>
  <c r="E4368" i="11" s="1"/>
  <c r="C5457" i="11"/>
  <c r="E5457" i="11" s="1"/>
  <c r="C1722" i="11"/>
  <c r="E1722" i="11" s="1"/>
  <c r="C3891" i="11"/>
  <c r="E3891" i="11" s="1"/>
  <c r="C5322" i="11"/>
  <c r="E5322" i="11" s="1"/>
  <c r="C4017" i="11"/>
  <c r="E4017" i="11" s="1"/>
  <c r="C6933" i="11"/>
  <c r="E6933" i="11" s="1"/>
  <c r="C2604" i="11"/>
  <c r="E2604" i="11" s="1"/>
  <c r="C3189" i="11"/>
  <c r="E3189" i="11" s="1"/>
  <c r="C6339" i="11"/>
  <c r="E6339" i="11" s="1"/>
  <c r="C3576" i="11"/>
  <c r="E3576" i="11" s="1"/>
  <c r="C1641" i="11"/>
  <c r="E1641" i="11" s="1"/>
  <c r="C2748" i="11"/>
  <c r="E2748" i="11" s="1"/>
  <c r="C4197" i="11"/>
  <c r="E4197" i="11" s="1"/>
  <c r="C2892" i="11"/>
  <c r="E2892" i="11" s="1"/>
  <c r="C2442" i="11"/>
  <c r="E2442" i="11" s="1"/>
  <c r="C885" i="11"/>
  <c r="E885" i="11" s="1"/>
  <c r="C3882" i="11"/>
  <c r="E3882" i="11" s="1"/>
  <c r="C678" i="11"/>
  <c r="E678" i="11" s="1"/>
  <c r="C225" i="11"/>
  <c r="E225" i="11" s="1"/>
  <c r="C5619" i="11"/>
  <c r="E5619" i="11" s="1"/>
  <c r="C3009" i="11"/>
  <c r="E3009" i="11" s="1"/>
  <c r="C2928" i="11"/>
  <c r="E2928" i="11" s="1"/>
  <c r="C2622" i="11"/>
  <c r="E2622" i="11" s="1"/>
  <c r="C5250" i="11"/>
  <c r="E5250" i="11" s="1"/>
  <c r="C4611" i="11"/>
  <c r="E4611" i="11" s="1"/>
  <c r="C1128" i="11"/>
  <c r="E1128" i="11" s="1"/>
  <c r="C1155" i="11"/>
  <c r="E1155" i="11" s="1"/>
  <c r="C3270" i="11"/>
  <c r="E3270" i="11" s="1"/>
  <c r="C4584" i="11"/>
  <c r="E4584" i="11" s="1"/>
  <c r="C7005" i="11"/>
  <c r="E7005" i="11" s="1"/>
  <c r="C5718" i="11"/>
  <c r="E5718" i="11" s="1"/>
  <c r="C1848" i="11"/>
  <c r="E1848" i="11" s="1"/>
  <c r="C1290" i="11"/>
  <c r="E1290" i="11" s="1"/>
  <c r="C2874" i="11"/>
  <c r="E2874" i="11" s="1"/>
  <c r="C1011" i="11"/>
  <c r="E1011" i="11" s="1"/>
  <c r="C7058" i="11"/>
  <c r="E7058" i="11" s="1"/>
  <c r="C1560" i="11"/>
  <c r="E1560" i="11" s="1"/>
  <c r="C126" i="11"/>
  <c r="E126" i="11" s="1"/>
  <c r="C4404" i="11"/>
  <c r="E4404" i="11" s="1"/>
  <c r="C6213" i="11"/>
  <c r="E6213" i="11" s="1"/>
  <c r="C2685" i="11"/>
  <c r="E2685" i="11" s="1"/>
  <c r="C1704" i="11"/>
  <c r="E1704" i="11" s="1"/>
  <c r="C3135" i="11"/>
  <c r="E3135" i="11" s="1"/>
  <c r="C2226" i="11"/>
  <c r="E2226" i="11" s="1"/>
  <c r="C2973" i="11"/>
  <c r="E2973" i="11" s="1"/>
  <c r="C4278" i="11"/>
  <c r="E4278" i="11" s="1"/>
  <c r="C3153" i="11"/>
  <c r="E3153" i="11" s="1"/>
  <c r="C3045" i="11"/>
  <c r="E3045" i="11" s="1"/>
  <c r="C1101" i="11"/>
  <c r="E1101" i="11" s="1"/>
  <c r="C3747" i="11"/>
  <c r="E3747" i="11" s="1"/>
  <c r="C3918" i="11"/>
  <c r="E3918" i="11" s="1"/>
  <c r="C1767" i="11"/>
  <c r="E1767" i="11" s="1"/>
  <c r="C4701" i="11"/>
  <c r="E4701" i="11" s="1"/>
  <c r="C4944" i="11"/>
  <c r="E4944" i="11" s="1"/>
  <c r="C1821" i="11"/>
  <c r="E1821" i="11" s="1"/>
  <c r="C2595" i="11"/>
  <c r="E2595" i="11" s="1"/>
  <c r="C5952" i="11"/>
  <c r="E5952" i="11" s="1"/>
  <c r="C5754" i="11"/>
  <c r="E5754" i="11" s="1"/>
  <c r="C6132" i="11"/>
  <c r="E6132" i="11" s="1"/>
  <c r="C2919" i="11"/>
  <c r="E2919" i="11" s="1"/>
  <c r="C4737" i="11"/>
  <c r="E4737" i="11" s="1"/>
  <c r="C6060" i="11"/>
  <c r="E6060" i="11" s="1"/>
  <c r="C570" i="11"/>
  <c r="E570" i="11" s="1"/>
  <c r="C768" i="11"/>
  <c r="E768" i="11" s="1"/>
  <c r="C3441" i="11"/>
  <c r="E3441" i="11" s="1"/>
  <c r="C822" i="11"/>
  <c r="E822" i="11" s="1"/>
  <c r="C1092" i="11"/>
  <c r="E1092" i="11" s="1"/>
  <c r="C5232" i="11"/>
  <c r="E5232" i="11" s="1"/>
  <c r="C2982" i="11"/>
  <c r="E2982" i="11" s="1"/>
  <c r="C1326" i="11"/>
  <c r="E1326" i="11" s="1"/>
  <c r="C660" i="11"/>
  <c r="E660" i="11" s="1"/>
  <c r="C1353" i="11"/>
  <c r="E1353" i="11" s="1"/>
  <c r="C2064" i="11"/>
  <c r="E2064" i="11" s="1"/>
  <c r="C6492" i="11"/>
  <c r="E6492" i="11" s="1"/>
  <c r="C687" i="11"/>
  <c r="E687" i="11" s="1"/>
  <c r="C6078" i="11"/>
  <c r="E6078" i="11" s="1"/>
  <c r="C5574" i="11"/>
  <c r="E5574" i="11" s="1"/>
  <c r="C4233" i="11"/>
  <c r="E4233" i="11" s="1"/>
  <c r="C5853" i="11"/>
  <c r="E5853" i="11" s="1"/>
  <c r="C3450" i="11"/>
  <c r="E3450" i="11" s="1"/>
  <c r="C5817" i="11"/>
  <c r="E5817" i="11" s="1"/>
  <c r="C5349" i="11"/>
  <c r="E5349" i="11" s="1"/>
  <c r="C6825" i="11"/>
  <c r="E6825" i="11" s="1"/>
  <c r="C5277" i="11"/>
  <c r="E5277" i="11" s="1"/>
  <c r="C2991" i="11"/>
  <c r="E2991" i="11" s="1"/>
  <c r="C1137" i="11"/>
  <c r="E1137" i="11" s="1"/>
  <c r="C5583" i="11"/>
  <c r="E5583" i="11" s="1"/>
  <c r="C489" i="11"/>
  <c r="E489" i="11" s="1"/>
  <c r="C2109" i="11"/>
  <c r="E2109" i="11" s="1"/>
  <c r="C4917" i="11"/>
  <c r="E4917" i="11" s="1"/>
  <c r="C2424" i="11"/>
  <c r="E2424" i="11" s="1"/>
  <c r="C6033" i="11"/>
  <c r="E6033" i="11" s="1"/>
  <c r="C4053" i="11"/>
  <c r="E4053" i="11" s="1"/>
  <c r="C2865" i="11"/>
  <c r="E2865" i="11" s="1"/>
  <c r="C4440" i="11"/>
  <c r="E4440" i="11" s="1"/>
  <c r="C3765" i="11"/>
  <c r="E3765" i="11" s="1"/>
  <c r="C1209" i="11"/>
  <c r="E1209" i="11" s="1"/>
  <c r="C5178" i="11"/>
  <c r="E5178" i="11" s="1"/>
  <c r="C4341" i="11"/>
  <c r="E4341" i="11" s="1"/>
  <c r="C4170" i="11"/>
  <c r="E4170" i="11" s="1"/>
  <c r="C5439" i="11"/>
  <c r="E5439" i="11" s="1"/>
  <c r="C1488" i="11"/>
  <c r="E1488" i="11" s="1"/>
  <c r="C2100" i="11"/>
  <c r="E2100" i="11" s="1"/>
  <c r="C3414" i="11"/>
  <c r="E3414" i="11" s="1"/>
  <c r="C921" i="11"/>
  <c r="E921" i="11" s="1"/>
  <c r="C2415" i="11"/>
  <c r="E2415" i="11" s="1"/>
  <c r="C6996" i="11"/>
  <c r="E6996" i="11" s="1"/>
  <c r="C2307" i="11"/>
  <c r="E2307" i="11" s="1"/>
  <c r="C6159" i="11"/>
  <c r="E6159" i="11" s="1"/>
  <c r="C6294" i="11"/>
  <c r="E6294" i="11" s="1"/>
  <c r="C5484" i="11"/>
  <c r="E5484" i="11" s="1"/>
  <c r="C3783" i="11"/>
  <c r="E3783" i="11" s="1"/>
  <c r="C2244" i="11"/>
  <c r="E2244" i="11" s="1"/>
  <c r="C4503" i="11"/>
  <c r="E4503" i="11" s="1"/>
  <c r="C6006" i="11"/>
  <c r="E6006" i="11" s="1"/>
  <c r="C6312" i="11"/>
  <c r="E6312" i="11" s="1"/>
  <c r="C2667" i="11"/>
  <c r="E2667" i="11" s="1"/>
  <c r="C2901" i="11"/>
  <c r="E2901" i="11" s="1"/>
  <c r="C3657" i="11"/>
  <c r="E3657" i="11" s="1"/>
  <c r="C1371" i="11"/>
  <c r="E1371" i="11" s="1"/>
  <c r="C3180" i="11"/>
  <c r="E3180" i="11" s="1"/>
  <c r="C759" i="11"/>
  <c r="E759" i="11" s="1"/>
  <c r="C2469" i="11"/>
  <c r="E2469" i="11" s="1"/>
  <c r="C2478" i="11"/>
  <c r="E2478" i="11" s="1"/>
  <c r="C2784" i="11"/>
  <c r="E2784" i="11" s="1"/>
  <c r="C2883" i="11"/>
  <c r="E2883" i="11" s="1"/>
  <c r="C3054" i="11"/>
  <c r="E3054" i="11" s="1"/>
  <c r="C5601" i="11"/>
  <c r="E5601" i="11" s="1"/>
  <c r="C1308" i="11"/>
  <c r="E1308" i="11" s="1"/>
  <c r="C1083" i="11"/>
  <c r="E1083" i="11" s="1"/>
  <c r="C4647" i="11"/>
  <c r="E4647" i="11" s="1"/>
  <c r="C3612" i="11"/>
  <c r="E3612" i="11" s="1"/>
  <c r="C3477" i="11"/>
  <c r="E3477" i="11" s="1"/>
  <c r="C2172" i="11"/>
  <c r="E2172" i="11" s="1"/>
  <c r="C6537" i="11"/>
  <c r="E6537" i="11" s="1"/>
  <c r="C3351" i="11"/>
  <c r="E3351" i="11" s="1"/>
  <c r="C4188" i="11"/>
  <c r="E4188" i="11" s="1"/>
  <c r="C4485" i="11"/>
  <c r="E4485" i="11" s="1"/>
  <c r="C3387" i="11"/>
  <c r="E3387" i="11" s="1"/>
  <c r="C2298" i="11"/>
  <c r="E2298" i="11" s="1"/>
  <c r="C2829" i="11"/>
  <c r="E2829" i="11" s="1"/>
  <c r="C5142" i="11"/>
  <c r="E5142" i="11" s="1"/>
  <c r="C3090" i="11"/>
  <c r="E3090" i="11" s="1"/>
  <c r="C1056" i="11"/>
  <c r="E1056" i="11" s="1"/>
  <c r="C4323" i="11"/>
  <c r="E4323" i="11" s="1"/>
  <c r="C2838" i="11"/>
  <c r="E2838" i="11" s="1"/>
  <c r="C2847" i="11"/>
  <c r="E2847" i="11" s="1"/>
  <c r="C4332" i="11"/>
  <c r="E4332" i="11" s="1"/>
  <c r="C615" i="11"/>
  <c r="E615" i="11" s="1"/>
  <c r="C1227" i="11"/>
  <c r="E1227" i="11" s="1"/>
  <c r="C1452" i="11"/>
  <c r="E1452" i="11" s="1"/>
  <c r="C1470" i="11"/>
  <c r="E1470" i="11" s="1"/>
  <c r="C1713" i="11"/>
  <c r="E1713" i="11" s="1"/>
  <c r="C1929" i="11"/>
  <c r="E1929" i="11" s="1"/>
  <c r="C498" i="11"/>
  <c r="E498" i="11" s="1"/>
  <c r="C2325" i="11"/>
  <c r="E2325" i="11" s="1"/>
  <c r="C2334" i="11"/>
  <c r="E2334" i="11" s="1"/>
  <c r="C2523" i="11"/>
  <c r="E2523" i="11" s="1"/>
  <c r="C4881" i="11"/>
  <c r="E4881" i="11" s="1"/>
  <c r="C2964" i="11"/>
  <c r="E2964" i="11" s="1"/>
  <c r="C3126" i="11"/>
  <c r="E3126" i="11" s="1"/>
  <c r="C3459" i="11"/>
  <c r="E3459" i="11" s="1"/>
  <c r="C5403" i="11"/>
  <c r="E5403" i="11" s="1"/>
  <c r="C3909" i="11"/>
  <c r="E3909" i="11" s="1"/>
  <c r="C4206" i="11"/>
  <c r="E4206" i="11" s="1"/>
  <c r="C4215" i="11"/>
  <c r="E4215" i="11" s="1"/>
  <c r="C516" i="11"/>
  <c r="E516" i="11" s="1"/>
  <c r="C4773" i="11"/>
  <c r="E4773" i="11" s="1"/>
  <c r="C4791" i="11"/>
  <c r="E4791" i="11" s="1"/>
  <c r="C4818" i="11"/>
  <c r="E4818" i="11" s="1"/>
  <c r="C4845" i="11"/>
  <c r="E4845" i="11" s="1"/>
  <c r="C543" i="11"/>
  <c r="E543" i="11" s="1"/>
  <c r="C5259" i="11"/>
  <c r="E5259" i="11" s="1"/>
  <c r="C5367" i="11"/>
  <c r="E5367" i="11" s="1"/>
  <c r="C552" i="11"/>
  <c r="E552" i="11" s="1"/>
  <c r="C6096" i="11"/>
  <c r="E6096" i="11" s="1"/>
  <c r="C6780" i="11"/>
  <c r="E6780" i="11" s="1"/>
  <c r="C6798" i="11"/>
  <c r="E6798" i="11" s="1"/>
  <c r="C5745" i="11"/>
  <c r="E5745" i="11" s="1"/>
  <c r="C6150" i="11"/>
  <c r="E6150" i="11" s="1"/>
  <c r="C6267" i="11"/>
  <c r="E6267" i="11" s="1"/>
  <c r="C6348" i="11"/>
  <c r="E6348" i="11" s="1"/>
  <c r="C6564" i="11"/>
  <c r="E6564" i="11" s="1"/>
  <c r="C4800" i="11"/>
  <c r="E4800" i="11" s="1"/>
  <c r="C189" i="11"/>
  <c r="E189" i="11" s="1"/>
  <c r="C162" i="11"/>
  <c r="E162" i="11" s="1"/>
  <c r="C252" i="11"/>
  <c r="E252" i="11" s="1"/>
  <c r="C279" i="11"/>
  <c r="E279" i="11" s="1"/>
  <c r="C270" i="11"/>
  <c r="E270" i="11" s="1"/>
  <c r="C288" i="11"/>
  <c r="E288" i="11" s="1"/>
  <c r="C297" i="11"/>
  <c r="E297" i="11" s="1"/>
  <c r="C45" i="11"/>
  <c r="E45" i="11" s="1"/>
  <c r="C399" i="11"/>
  <c r="E399" i="11" s="1"/>
  <c r="C8" i="11"/>
  <c r="E8" i="11" s="1"/>
  <c r="C1218" i="11"/>
  <c r="E1218" i="11" s="1"/>
  <c r="C417" i="11"/>
  <c r="E417" i="11" s="1"/>
  <c r="C18" i="11"/>
  <c r="E18" i="11" s="1"/>
  <c r="C1830" i="11"/>
  <c r="E1830" i="11" s="1"/>
  <c r="C507" i="11"/>
  <c r="E507" i="11" s="1"/>
  <c r="C54" i="11"/>
  <c r="E54" i="11" s="1"/>
  <c r="C72" i="11"/>
  <c r="E72" i="11" s="1"/>
  <c r="C63" i="11"/>
  <c r="E63" i="11" s="1"/>
  <c r="C81" i="11"/>
  <c r="E81" i="11" s="1"/>
  <c r="C90" i="11"/>
  <c r="E90" i="11" s="1"/>
  <c r="C108" i="11"/>
  <c r="E108" i="11" s="1"/>
  <c r="C117" i="11"/>
  <c r="E117" i="11" s="1"/>
  <c r="C435" i="11"/>
  <c r="E435" i="11" s="1"/>
  <c r="C453" i="11"/>
  <c r="E453" i="11" s="1"/>
  <c r="C144" i="11"/>
  <c r="E144" i="11" s="1"/>
  <c r="C153" i="11"/>
  <c r="E153" i="11" s="1"/>
  <c r="C180" i="11"/>
  <c r="E180" i="11" s="1"/>
  <c r="C525" i="11"/>
  <c r="E525" i="11" s="1"/>
  <c r="C471" i="11"/>
  <c r="E471" i="11" s="1"/>
  <c r="C171" i="11"/>
  <c r="E171" i="11" s="1"/>
  <c r="C198" i="11"/>
  <c r="E198" i="11" s="1"/>
  <c r="C561" i="11"/>
  <c r="E561" i="11" s="1"/>
  <c r="C234" i="11"/>
  <c r="E234" i="11" s="1"/>
  <c r="C243" i="11"/>
  <c r="E243" i="11" s="1"/>
  <c r="C261" i="11"/>
  <c r="E261" i="11" s="1"/>
  <c r="C333" i="11"/>
  <c r="E333" i="11" s="1"/>
  <c r="C315" i="11"/>
  <c r="E315" i="11" s="1"/>
  <c r="C6789" i="11"/>
  <c r="E6789" i="11" s="1"/>
  <c r="C5925" i="11"/>
  <c r="E5925" i="11" s="1"/>
  <c r="C2343" i="11"/>
  <c r="E2343" i="11" s="1"/>
  <c r="C3549" i="11"/>
  <c r="E3549" i="11" s="1"/>
  <c r="C99" i="11"/>
  <c r="E99" i="11" s="1"/>
  <c r="C741" i="11"/>
  <c r="E741" i="11" s="1"/>
  <c r="C6222" i="11"/>
  <c r="E6222" i="11" s="1"/>
  <c r="C579" i="11"/>
  <c r="E579" i="11" s="1"/>
  <c r="C2721" i="11"/>
  <c r="E2721" i="11" s="1"/>
  <c r="C6204" i="11"/>
  <c r="E6204" i="11" s="1"/>
  <c r="C2316" i="11"/>
  <c r="E2316" i="11" s="1"/>
  <c r="C1254" i="11"/>
  <c r="E1254" i="11" s="1"/>
  <c r="C6843" i="11"/>
  <c r="E6843" i="11" s="1"/>
  <c r="C6807" i="11"/>
  <c r="E6807" i="11" s="1"/>
  <c r="C4512" i="11"/>
  <c r="E4512" i="11" s="1"/>
  <c r="C306" i="11"/>
  <c r="E306" i="11" s="1"/>
  <c r="C5421" i="11"/>
  <c r="E5421" i="11" s="1"/>
  <c r="C4431" i="11"/>
  <c r="E4431" i="11" s="1"/>
  <c r="C1542" i="11"/>
  <c r="E1542" i="11" s="1"/>
  <c r="C1956" i="11"/>
  <c r="E1956" i="11" s="1"/>
  <c r="C6708" i="11"/>
  <c r="E6708" i="11" s="1"/>
  <c r="C6402" i="11"/>
  <c r="E6402" i="11" s="1"/>
  <c r="C7049" i="11"/>
  <c r="E7049" i="11" s="1"/>
  <c r="C7063" i="11"/>
  <c r="E7063" i="11" s="1"/>
  <c r="C7070" i="11"/>
  <c r="E7070" i="11" s="1"/>
  <c r="C7082" i="11"/>
  <c r="E7082" i="11" s="1"/>
  <c r="C7076" i="11"/>
  <c r="E7076" i="11" s="1"/>
  <c r="C7095" i="11"/>
  <c r="E7095" i="11" s="1"/>
  <c r="C607" i="11"/>
  <c r="E607" i="11" s="1"/>
  <c r="C715" i="11"/>
  <c r="E715" i="11" s="1"/>
  <c r="C805" i="11"/>
  <c r="E805" i="11" s="1"/>
  <c r="C895" i="11"/>
  <c r="E895" i="11" s="1"/>
  <c r="C931" i="11"/>
  <c r="E931" i="11" s="1"/>
  <c r="C1048" i="11"/>
  <c r="E1048" i="11" s="1"/>
  <c r="C1246" i="11"/>
  <c r="E1246" i="11" s="1"/>
  <c r="C1345" i="11"/>
  <c r="E1345" i="11" s="1"/>
  <c r="C1750" i="11"/>
  <c r="E1750" i="11" s="1"/>
  <c r="C28" i="11"/>
  <c r="E28" i="11" s="1"/>
  <c r="C1840" i="11"/>
  <c r="E1840" i="11" s="1"/>
  <c r="C2029" i="11"/>
  <c r="E2029" i="11" s="1"/>
  <c r="C2272" i="11"/>
  <c r="E2272" i="11" s="1"/>
  <c r="C2587" i="11"/>
  <c r="E2587" i="11" s="1"/>
  <c r="C2659" i="11"/>
  <c r="E2659" i="11" s="1"/>
  <c r="C2713" i="11"/>
  <c r="E2713" i="11" s="1"/>
  <c r="C2038" i="11"/>
  <c r="E2038" i="11" s="1"/>
  <c r="C2731" i="11"/>
  <c r="E2731" i="11" s="1"/>
  <c r="C3289" i="11"/>
  <c r="E3289" i="11" s="1"/>
  <c r="C3307" i="11"/>
  <c r="E3307" i="11" s="1"/>
  <c r="C3424" i="11"/>
  <c r="E3424" i="11" s="1"/>
  <c r="C427" i="11"/>
  <c r="E427" i="11" s="1"/>
  <c r="C3496" i="11"/>
  <c r="E3496" i="11" s="1"/>
  <c r="C3568" i="11"/>
  <c r="E3568" i="11" s="1"/>
  <c r="C3604" i="11"/>
  <c r="E3604" i="11" s="1"/>
  <c r="C3757" i="11"/>
  <c r="E3757" i="11" s="1"/>
  <c r="C3802" i="11"/>
  <c r="E3802" i="11" s="1"/>
  <c r="C3820" i="11"/>
  <c r="E3820" i="11" s="1"/>
  <c r="C4081" i="11"/>
  <c r="E4081" i="11" s="1"/>
  <c r="C4144" i="11"/>
  <c r="E4144" i="11" s="1"/>
  <c r="C4351" i="11"/>
  <c r="E4351" i="11" s="1"/>
  <c r="C4423" i="11"/>
  <c r="E4423" i="11" s="1"/>
  <c r="C4477" i="11"/>
  <c r="E4477" i="11" s="1"/>
  <c r="C4522" i="11"/>
  <c r="E4522" i="11" s="1"/>
  <c r="C4639" i="11"/>
  <c r="E4639" i="11" s="1"/>
  <c r="C4693" i="11"/>
  <c r="E4693" i="11" s="1"/>
  <c r="C4747" i="11"/>
  <c r="E4747" i="11" s="1"/>
  <c r="C4756" i="11"/>
  <c r="E4756" i="11" s="1"/>
  <c r="C4765" i="11"/>
  <c r="E4765" i="11" s="1"/>
  <c r="C4783" i="11"/>
  <c r="E4783" i="11" s="1"/>
  <c r="C535" i="11"/>
  <c r="E535" i="11" s="1"/>
  <c r="C4990" i="11"/>
  <c r="E4990" i="11" s="1"/>
  <c r="C5125" i="11"/>
  <c r="E5125" i="11" s="1"/>
  <c r="C5188" i="11"/>
  <c r="E5188" i="11" s="1"/>
  <c r="C5224" i="11"/>
  <c r="E5224" i="11" s="1"/>
  <c r="C5359" i="11"/>
  <c r="E5359" i="11" s="1"/>
  <c r="C5413" i="11"/>
  <c r="E5413" i="11" s="1"/>
  <c r="C5449" i="11"/>
  <c r="E5449" i="11" s="1"/>
  <c r="C5539" i="11"/>
  <c r="E5539" i="11" s="1"/>
  <c r="C5593" i="11"/>
  <c r="E5593" i="11" s="1"/>
  <c r="C5647" i="11"/>
  <c r="E5647" i="11" s="1"/>
  <c r="C5701" i="11"/>
  <c r="E5701" i="11" s="1"/>
  <c r="C343" i="11"/>
  <c r="E343" i="11" s="1"/>
  <c r="C6196" i="11"/>
  <c r="E6196" i="11" s="1"/>
  <c r="C6277" i="11"/>
  <c r="E6277" i="11" s="1"/>
  <c r="C6304" i="11"/>
  <c r="E6304" i="11" s="1"/>
  <c r="C6394" i="11"/>
  <c r="E6394" i="11" s="1"/>
  <c r="C6601" i="11"/>
  <c r="E6601" i="11" s="1"/>
  <c r="C6619" i="11"/>
  <c r="E6619" i="11" s="1"/>
  <c r="C6880" i="11"/>
  <c r="E6880" i="11" s="1"/>
  <c r="C7024" i="11"/>
  <c r="E7024" i="11" s="1"/>
  <c r="C625" i="11"/>
  <c r="E625" i="11" s="1"/>
  <c r="C634" i="11"/>
  <c r="E634" i="11" s="1"/>
  <c r="C706" i="11"/>
  <c r="E706" i="11" s="1"/>
  <c r="C751" i="11"/>
  <c r="E751" i="11" s="1"/>
  <c r="C697" i="11"/>
  <c r="E697" i="11" s="1"/>
  <c r="C778" i="11"/>
  <c r="E778" i="11" s="1"/>
  <c r="C787" i="11"/>
  <c r="E787" i="11" s="1"/>
  <c r="C814" i="11"/>
  <c r="E814" i="11" s="1"/>
  <c r="C391" i="11"/>
  <c r="E391" i="11" s="1"/>
  <c r="C841" i="11"/>
  <c r="E841" i="11" s="1"/>
  <c r="C859" i="11"/>
  <c r="E859" i="11" s="1"/>
  <c r="C868" i="11"/>
  <c r="E868" i="11" s="1"/>
  <c r="C877" i="11"/>
  <c r="E877" i="11" s="1"/>
  <c r="C904" i="11"/>
  <c r="E904" i="11" s="1"/>
  <c r="C913" i="11"/>
  <c r="E913" i="11" s="1"/>
  <c r="C958" i="11"/>
  <c r="E958" i="11" s="1"/>
  <c r="C1039" i="11"/>
  <c r="E1039" i="11" s="1"/>
  <c r="C1030" i="11"/>
  <c r="E1030" i="11" s="1"/>
  <c r="C1111" i="11"/>
  <c r="E1111" i="11" s="1"/>
  <c r="C1120" i="11"/>
  <c r="E1120" i="11" s="1"/>
  <c r="C1147" i="11"/>
  <c r="E1147" i="11" s="1"/>
  <c r="C1174" i="11"/>
  <c r="E1174" i="11" s="1"/>
  <c r="C1192" i="11"/>
  <c r="E1192" i="11" s="1"/>
  <c r="C1264" i="11"/>
  <c r="E1264" i="11" s="1"/>
  <c r="C1273" i="11"/>
  <c r="E1273" i="11" s="1"/>
  <c r="C1417" i="11"/>
  <c r="E1417" i="11" s="1"/>
  <c r="C6727" i="11"/>
  <c r="E6727" i="11" s="1"/>
  <c r="C1363" i="11"/>
  <c r="E1363" i="11" s="1"/>
  <c r="C1480" i="11"/>
  <c r="E1480" i="11" s="1"/>
  <c r="C1588" i="11"/>
  <c r="E1588" i="11" s="1"/>
  <c r="C1390" i="11"/>
  <c r="E1390" i="11" s="1"/>
  <c r="C1660" i="11"/>
  <c r="E1660" i="11" s="1"/>
  <c r="C1399" i="11"/>
  <c r="E1399" i="11" s="1"/>
  <c r="C1408" i="11"/>
  <c r="E1408" i="11" s="1"/>
  <c r="C1498" i="11"/>
  <c r="E1498" i="11" s="1"/>
  <c r="C1786" i="11"/>
  <c r="E1786" i="11" s="1"/>
  <c r="C1615" i="11"/>
  <c r="E1615" i="11" s="1"/>
  <c r="C1444" i="11"/>
  <c r="E1444" i="11" s="1"/>
  <c r="C1624" i="11"/>
  <c r="E1624" i="11" s="1"/>
  <c r="C1651" i="11"/>
  <c r="E1651" i="11" s="1"/>
  <c r="C1507" i="11"/>
  <c r="E1507" i="11" s="1"/>
  <c r="C1759" i="11"/>
  <c r="E1759" i="11" s="1"/>
  <c r="C1525" i="11"/>
  <c r="E1525" i="11" s="1"/>
  <c r="C1678" i="11"/>
  <c r="E1678" i="11" s="1"/>
  <c r="C409" i="11"/>
  <c r="E409" i="11" s="1"/>
  <c r="C1777" i="11"/>
  <c r="E1777" i="11" s="1"/>
  <c r="C1813" i="11"/>
  <c r="E1813" i="11" s="1"/>
  <c r="C1894" i="11"/>
  <c r="E1894" i="11" s="1"/>
  <c r="C1741" i="11"/>
  <c r="E1741" i="11" s="1"/>
  <c r="C1381" i="11"/>
  <c r="E1381" i="11" s="1"/>
  <c r="C1858" i="11"/>
  <c r="E1858" i="11" s="1"/>
  <c r="C37" i="11"/>
  <c r="E37" i="11" s="1"/>
  <c r="C1939" i="11"/>
  <c r="E1939" i="11" s="1"/>
  <c r="C1912" i="11"/>
  <c r="E1912" i="11" s="1"/>
  <c r="C3433" i="11"/>
  <c r="E3433" i="11" s="1"/>
  <c r="C1966" i="11"/>
  <c r="E1966" i="11" s="1"/>
  <c r="C2002" i="11"/>
  <c r="E2002" i="11" s="1"/>
  <c r="C2047" i="11"/>
  <c r="E2047" i="11" s="1"/>
  <c r="C2056" i="11"/>
  <c r="E2056" i="11" s="1"/>
  <c r="C2074" i="11"/>
  <c r="E2074" i="11" s="1"/>
  <c r="C2083" i="11"/>
  <c r="E2083" i="11" s="1"/>
  <c r="C2092" i="11"/>
  <c r="E2092" i="11" s="1"/>
  <c r="C2128" i="11"/>
  <c r="E2128" i="11" s="1"/>
  <c r="C2137" i="11"/>
  <c r="E2137" i="11" s="1"/>
  <c r="C2146" i="11"/>
  <c r="E2146" i="11" s="1"/>
  <c r="C2155" i="11"/>
  <c r="E2155" i="11" s="1"/>
  <c r="C2164" i="11"/>
  <c r="E2164" i="11" s="1"/>
  <c r="C2182" i="11"/>
  <c r="E2182" i="11" s="1"/>
  <c r="C2191" i="11"/>
  <c r="E2191" i="11" s="1"/>
  <c r="C2200" i="11"/>
  <c r="E2200" i="11" s="1"/>
  <c r="C2254" i="11"/>
  <c r="E2254" i="11" s="1"/>
  <c r="C2281" i="11"/>
  <c r="E2281" i="11" s="1"/>
  <c r="C6376" i="11"/>
  <c r="E6376" i="11" s="1"/>
  <c r="C2362" i="11"/>
  <c r="E2362" i="11" s="1"/>
  <c r="C2380" i="11"/>
  <c r="E2380" i="11" s="1"/>
  <c r="C2389" i="11"/>
  <c r="E2389" i="11" s="1"/>
  <c r="C2497" i="11"/>
  <c r="E2497" i="11" s="1"/>
  <c r="C2542" i="11"/>
  <c r="E2542" i="11" s="1"/>
  <c r="C2551" i="11"/>
  <c r="E2551" i="11" s="1"/>
  <c r="C2578" i="11"/>
  <c r="E2578" i="11" s="1"/>
  <c r="C2614" i="11"/>
  <c r="E2614" i="11" s="1"/>
  <c r="C2632" i="11"/>
  <c r="E2632" i="11" s="1"/>
  <c r="C2758" i="11"/>
  <c r="E2758" i="11" s="1"/>
  <c r="C2767" i="11"/>
  <c r="E2767" i="11" s="1"/>
  <c r="C2776" i="11"/>
  <c r="E2776" i="11" s="1"/>
  <c r="C2794" i="11"/>
  <c r="E2794" i="11" s="1"/>
  <c r="C2803" i="11"/>
  <c r="E2803" i="11" s="1"/>
  <c r="C2812" i="11"/>
  <c r="E2812" i="11" s="1"/>
  <c r="C6088" i="11"/>
  <c r="E6088" i="11" s="1"/>
  <c r="C2821" i="11"/>
  <c r="E2821" i="11" s="1"/>
  <c r="C2911" i="11"/>
  <c r="E2911" i="11" s="1"/>
  <c r="C2938" i="11"/>
  <c r="E2938" i="11" s="1"/>
  <c r="C2947" i="11"/>
  <c r="E2947" i="11" s="1"/>
  <c r="C3019" i="11"/>
  <c r="E3019" i="11" s="1"/>
  <c r="C3037" i="11"/>
  <c r="E3037" i="11" s="1"/>
  <c r="C3064" i="11"/>
  <c r="E3064" i="11" s="1"/>
  <c r="C3073" i="11"/>
  <c r="E3073" i="11" s="1"/>
  <c r="C3082" i="11"/>
  <c r="E3082" i="11" s="1"/>
  <c r="C3100" i="11"/>
  <c r="E3100" i="11" s="1"/>
  <c r="C3109" i="11"/>
  <c r="E3109" i="11" s="1"/>
  <c r="C3118" i="11"/>
  <c r="E3118" i="11" s="1"/>
  <c r="C3199" i="11"/>
  <c r="E3199" i="11" s="1"/>
  <c r="C3172" i="11"/>
  <c r="E3172" i="11" s="1"/>
  <c r="C3280" i="11"/>
  <c r="E3280" i="11" s="1"/>
  <c r="C3244" i="11"/>
  <c r="E3244" i="11" s="1"/>
  <c r="C3262" i="11"/>
  <c r="E3262" i="11" s="1"/>
  <c r="C3226" i="11"/>
  <c r="E3226" i="11" s="1"/>
  <c r="C3298" i="11"/>
  <c r="E3298" i="11" s="1"/>
  <c r="C3316" i="11"/>
  <c r="E3316" i="11" s="1"/>
  <c r="C3334" i="11"/>
  <c r="E3334" i="11" s="1"/>
  <c r="C3343" i="11"/>
  <c r="E3343" i="11" s="1"/>
  <c r="C3361" i="11"/>
  <c r="E3361" i="11" s="1"/>
  <c r="C1516" i="11"/>
  <c r="E1516" i="11" s="1"/>
  <c r="C6745" i="11"/>
  <c r="E6745" i="11" s="1"/>
  <c r="C3379" i="11"/>
  <c r="E3379" i="11" s="1"/>
  <c r="C3406" i="11"/>
  <c r="E3406" i="11" s="1"/>
  <c r="C3469" i="11"/>
  <c r="E3469" i="11" s="1"/>
  <c r="C3487" i="11"/>
  <c r="E3487" i="11" s="1"/>
  <c r="C3505" i="11"/>
  <c r="E3505" i="11" s="1"/>
  <c r="C3514" i="11"/>
  <c r="E3514" i="11" s="1"/>
  <c r="C3541" i="11"/>
  <c r="E3541" i="11" s="1"/>
  <c r="C3559" i="11"/>
  <c r="E3559" i="11" s="1"/>
  <c r="C136" i="11"/>
  <c r="E136" i="11" s="1"/>
  <c r="C3640" i="11"/>
  <c r="E3640" i="11" s="1"/>
  <c r="C3649" i="11"/>
  <c r="E3649" i="11" s="1"/>
  <c r="C3667" i="11"/>
  <c r="E3667" i="11" s="1"/>
  <c r="C3685" i="11"/>
  <c r="E3685" i="11" s="1"/>
  <c r="C3694" i="11"/>
  <c r="E3694" i="11" s="1"/>
  <c r="C3712" i="11"/>
  <c r="E3712" i="11" s="1"/>
  <c r="C3721" i="11"/>
  <c r="E3721" i="11" s="1"/>
  <c r="C3730" i="11"/>
  <c r="E3730" i="11" s="1"/>
  <c r="C3739" i="11"/>
  <c r="E3739" i="11" s="1"/>
  <c r="C3775" i="11"/>
  <c r="E3775" i="11" s="1"/>
  <c r="C3793" i="11"/>
  <c r="E3793" i="11" s="1"/>
  <c r="C3811" i="11"/>
  <c r="E3811" i="11" s="1"/>
  <c r="C3865" i="11"/>
  <c r="E3865" i="11" s="1"/>
  <c r="C3928" i="11"/>
  <c r="E3928" i="11" s="1"/>
  <c r="C3937" i="11"/>
  <c r="E3937" i="11" s="1"/>
  <c r="C3946" i="11"/>
  <c r="E3946" i="11" s="1"/>
  <c r="C3955" i="11"/>
  <c r="E3955" i="11" s="1"/>
  <c r="C3964" i="11"/>
  <c r="E3964" i="11" s="1"/>
  <c r="C3982" i="11"/>
  <c r="E3982" i="11" s="1"/>
  <c r="C2398" i="11"/>
  <c r="E2398" i="11" s="1"/>
  <c r="C4000" i="11"/>
  <c r="E4000" i="11" s="1"/>
  <c r="C1597" i="11"/>
  <c r="E1597" i="11" s="1"/>
  <c r="C2740" i="11"/>
  <c r="E2740" i="11" s="1"/>
  <c r="C4027" i="11"/>
  <c r="E4027" i="11" s="1"/>
  <c r="C4036" i="11"/>
  <c r="E4036" i="11" s="1"/>
  <c r="C4045" i="11"/>
  <c r="E4045" i="11" s="1"/>
  <c r="C4090" i="11"/>
  <c r="E4090" i="11" s="1"/>
  <c r="C4117" i="11"/>
  <c r="E4117" i="11" s="1"/>
  <c r="C3838" i="11"/>
  <c r="E3838" i="11" s="1"/>
  <c r="C4126" i="11"/>
  <c r="E4126" i="11" s="1"/>
  <c r="C4180" i="11"/>
  <c r="E4180" i="11" s="1"/>
  <c r="C5503" i="11"/>
  <c r="E5503" i="11" s="1"/>
  <c r="C4225" i="11"/>
  <c r="E4225" i="11" s="1"/>
  <c r="C6421" i="11"/>
  <c r="E6421" i="11" s="1"/>
  <c r="C4243" i="11"/>
  <c r="E4243" i="11" s="1"/>
  <c r="C4315" i="11"/>
  <c r="E4315" i="11" s="1"/>
  <c r="C949" i="11"/>
  <c r="E949" i="11" s="1"/>
  <c r="C4360" i="11"/>
  <c r="E4360" i="11" s="1"/>
  <c r="C4387" i="11"/>
  <c r="E4387" i="11" s="1"/>
  <c r="C4459" i="11"/>
  <c r="E4459" i="11" s="1"/>
  <c r="C4495" i="11"/>
  <c r="E4495" i="11" s="1"/>
  <c r="C1687" i="11"/>
  <c r="E1687" i="11" s="1"/>
  <c r="C4414" i="11"/>
  <c r="E4414" i="11" s="1"/>
  <c r="C3145" i="11"/>
  <c r="E3145" i="11" s="1"/>
  <c r="C4531" i="11"/>
  <c r="E4531" i="11" s="1"/>
  <c r="C4540" i="11"/>
  <c r="E4540" i="11" s="1"/>
  <c r="C4549" i="11"/>
  <c r="E4549" i="11" s="1"/>
  <c r="C4576" i="11"/>
  <c r="E4576" i="11" s="1"/>
  <c r="C4603" i="11"/>
  <c r="E4603" i="11" s="1"/>
  <c r="C4630" i="11"/>
  <c r="E4630" i="11" s="1"/>
  <c r="C4675" i="11"/>
  <c r="E4675" i="11" s="1"/>
  <c r="C4711" i="11"/>
  <c r="E4711" i="11" s="1"/>
  <c r="C4729" i="11"/>
  <c r="E4729" i="11" s="1"/>
  <c r="C4810" i="11"/>
  <c r="E4810" i="11" s="1"/>
  <c r="C4828" i="11"/>
  <c r="E4828" i="11" s="1"/>
  <c r="C4855" i="11"/>
  <c r="E4855" i="11" s="1"/>
  <c r="C4891" i="11"/>
  <c r="E4891" i="11" s="1"/>
  <c r="C4909" i="11"/>
  <c r="E4909" i="11" s="1"/>
  <c r="C4927" i="11"/>
  <c r="E4927" i="11" s="1"/>
  <c r="C4954" i="11"/>
  <c r="E4954" i="11" s="1"/>
  <c r="C4981" i="11"/>
  <c r="E4981" i="11" s="1"/>
  <c r="C4999" i="11"/>
  <c r="E4999" i="11" s="1"/>
  <c r="C5017" i="11"/>
  <c r="E5017" i="11" s="1"/>
  <c r="C5026" i="11"/>
  <c r="E5026" i="11" s="1"/>
  <c r="C5053" i="11"/>
  <c r="E5053" i="11" s="1"/>
  <c r="C5035" i="11"/>
  <c r="E5035" i="11" s="1"/>
  <c r="C5044" i="11"/>
  <c r="E5044" i="11" s="1"/>
  <c r="C217" i="11"/>
  <c r="E217" i="11" s="1"/>
  <c r="C5062" i="11"/>
  <c r="E5062" i="11" s="1"/>
  <c r="C5098" i="11"/>
  <c r="E5098" i="11" s="1"/>
  <c r="C5107" i="11"/>
  <c r="E5107" i="11" s="1"/>
  <c r="C5071" i="11"/>
  <c r="E5071" i="11" s="1"/>
  <c r="C5116" i="11"/>
  <c r="E5116" i="11" s="1"/>
  <c r="C5134" i="11"/>
  <c r="E5134" i="11" s="1"/>
  <c r="C5170" i="11"/>
  <c r="E5170" i="11" s="1"/>
  <c r="C5197" i="11"/>
  <c r="E5197" i="11" s="1"/>
  <c r="C5215" i="11"/>
  <c r="E5215" i="11" s="1"/>
  <c r="C5269" i="11"/>
  <c r="E5269" i="11" s="1"/>
  <c r="C5332" i="11"/>
  <c r="E5332" i="11" s="1"/>
  <c r="C5431" i="11"/>
  <c r="E5431" i="11" s="1"/>
  <c r="C5476" i="11"/>
  <c r="E5476" i="11" s="1"/>
  <c r="C5494" i="11"/>
  <c r="E5494" i="11" s="1"/>
  <c r="C5521" i="11"/>
  <c r="E5521" i="11" s="1"/>
  <c r="C5467" i="11"/>
  <c r="E5467" i="11" s="1"/>
  <c r="C5530" i="11"/>
  <c r="E5530" i="11" s="1"/>
  <c r="C5548" i="11"/>
  <c r="E5548" i="11" s="1"/>
  <c r="C5557" i="11"/>
  <c r="E5557" i="11" s="1"/>
  <c r="C5629" i="11"/>
  <c r="E5629" i="11" s="1"/>
  <c r="C5638" i="11"/>
  <c r="E5638" i="11" s="1"/>
  <c r="C5656" i="11"/>
  <c r="E5656" i="11" s="1"/>
  <c r="C5674" i="11"/>
  <c r="E5674" i="11" s="1"/>
  <c r="C5683" i="11"/>
  <c r="E5683" i="11" s="1"/>
  <c r="C5692" i="11"/>
  <c r="E5692" i="11" s="1"/>
  <c r="C5773" i="11"/>
  <c r="E5773" i="11" s="1"/>
  <c r="C4621" i="11"/>
  <c r="E4621" i="11" s="1"/>
  <c r="C5782" i="11"/>
  <c r="E5782" i="11" s="1"/>
  <c r="C5314" i="11"/>
  <c r="E5314" i="11" s="1"/>
  <c r="C5791" i="11"/>
  <c r="E5791" i="11" s="1"/>
  <c r="C5827" i="11"/>
  <c r="E5827" i="11" s="1"/>
  <c r="C5863" i="11"/>
  <c r="E5863" i="11" s="1"/>
  <c r="C5881" i="11"/>
  <c r="E5881" i="11" s="1"/>
  <c r="C1606" i="11"/>
  <c r="E1606" i="11" s="1"/>
  <c r="C5890" i="11"/>
  <c r="E5890" i="11" s="1"/>
  <c r="C5899" i="11"/>
  <c r="E5899" i="11" s="1"/>
  <c r="C5908" i="11"/>
  <c r="E5908" i="11" s="1"/>
  <c r="C5917" i="11"/>
  <c r="E5917" i="11" s="1"/>
  <c r="C5935" i="11"/>
  <c r="E5935" i="11" s="1"/>
  <c r="C5944" i="11"/>
  <c r="E5944" i="11" s="1"/>
  <c r="C5962" i="11"/>
  <c r="E5962" i="11" s="1"/>
  <c r="C5998" i="11"/>
  <c r="E5998" i="11" s="1"/>
  <c r="C6016" i="11"/>
  <c r="E6016" i="11" s="1"/>
  <c r="C6070" i="11"/>
  <c r="E6070" i="11" s="1"/>
  <c r="C6043" i="11"/>
  <c r="E6043" i="11" s="1"/>
  <c r="C2119" i="11"/>
  <c r="E2119" i="11" s="1"/>
  <c r="C6124" i="11"/>
  <c r="E6124" i="11" s="1"/>
  <c r="C5287" i="11"/>
  <c r="E5287" i="11" s="1"/>
  <c r="C6169" i="11"/>
  <c r="E6169" i="11" s="1"/>
  <c r="C6178" i="11"/>
  <c r="E6178" i="11" s="1"/>
  <c r="C6187" i="11"/>
  <c r="E6187" i="11" s="1"/>
  <c r="C325" i="11"/>
  <c r="E325" i="11" s="1"/>
  <c r="C6241" i="11"/>
  <c r="E6241" i="11" s="1"/>
  <c r="C6250" i="11"/>
  <c r="E6250" i="11" s="1"/>
  <c r="C481" i="11"/>
  <c r="E481" i="11" s="1"/>
  <c r="C6331" i="11"/>
  <c r="E6331" i="11" s="1"/>
  <c r="C6385" i="11"/>
  <c r="E6385" i="11" s="1"/>
  <c r="C6466" i="11"/>
  <c r="E6466" i="11" s="1"/>
  <c r="C6502" i="11"/>
  <c r="E6502" i="11" s="1"/>
  <c r="C6475" i="11"/>
  <c r="E6475" i="11" s="1"/>
  <c r="C6520" i="11"/>
  <c r="E6520" i="11" s="1"/>
  <c r="C6529" i="11"/>
  <c r="E6529" i="11" s="1"/>
  <c r="C6556" i="11"/>
  <c r="E6556" i="11" s="1"/>
  <c r="C6574" i="11"/>
  <c r="E6574" i="11" s="1"/>
  <c r="C6484" i="11"/>
  <c r="E6484" i="11" s="1"/>
  <c r="C6412" i="11"/>
  <c r="E6412" i="11" s="1"/>
  <c r="C6583" i="11"/>
  <c r="E6583" i="11" s="1"/>
  <c r="C6592" i="11"/>
  <c r="E6592" i="11" s="1"/>
  <c r="C6628" i="11"/>
  <c r="E6628" i="11" s="1"/>
  <c r="C6637" i="11"/>
  <c r="E6637" i="11" s="1"/>
  <c r="C6655" i="11"/>
  <c r="E6655" i="11" s="1"/>
  <c r="C6664" i="11"/>
  <c r="E6664" i="11" s="1"/>
  <c r="C6691" i="11"/>
  <c r="E6691" i="11" s="1"/>
  <c r="C6736" i="11"/>
  <c r="E6736" i="11" s="1"/>
  <c r="C6835" i="11"/>
  <c r="E6835" i="11" s="1"/>
  <c r="C6754" i="11"/>
  <c r="E6754" i="11" s="1"/>
  <c r="C6763" i="11"/>
  <c r="E6763" i="11" s="1"/>
  <c r="C6700" i="11"/>
  <c r="E6700" i="11" s="1"/>
  <c r="C4378" i="11"/>
  <c r="E4378" i="11" s="1"/>
  <c r="C6916" i="11"/>
  <c r="E6916" i="11" s="1"/>
  <c r="C6898" i="11"/>
  <c r="E6898" i="11" s="1"/>
  <c r="C6889" i="11"/>
  <c r="E6889" i="11" s="1"/>
  <c r="C6943" i="11"/>
  <c r="E6943" i="11" s="1"/>
  <c r="C6961" i="11"/>
  <c r="E6961" i="11" s="1"/>
  <c r="C6979" i="11"/>
  <c r="E6979" i="11" s="1"/>
  <c r="C6925" i="11"/>
  <c r="E6925" i="11" s="1"/>
  <c r="C3163" i="11"/>
  <c r="E3163" i="11" s="1"/>
  <c r="C7042" i="11"/>
  <c r="E7042" i="11" s="1"/>
  <c r="C1021" i="11"/>
  <c r="E1021" i="11" s="1"/>
  <c r="C5809" i="11"/>
  <c r="E5809" i="11" s="1"/>
  <c r="C4135" i="11"/>
  <c r="E4135" i="11" s="1"/>
  <c r="C5728" i="11"/>
  <c r="E5728" i="11" s="1"/>
  <c r="C2011" i="11"/>
  <c r="E2011" i="11" s="1"/>
  <c r="C4099" i="11"/>
  <c r="E4099" i="11" s="1"/>
  <c r="C1876" i="11"/>
  <c r="E1876" i="11" s="1"/>
  <c r="C2569" i="11"/>
  <c r="E2569" i="11" s="1"/>
  <c r="C6907" i="11"/>
  <c r="E6907" i="11" s="1"/>
  <c r="C5764" i="11"/>
  <c r="E5764" i="11" s="1"/>
  <c r="C1075" i="11"/>
  <c r="E1075" i="11" s="1"/>
  <c r="C733" i="11"/>
  <c r="E733" i="11" s="1"/>
  <c r="C967" i="11"/>
  <c r="E967" i="11" s="1"/>
  <c r="C4864" i="11"/>
  <c r="E4864" i="11" s="1"/>
  <c r="C2407" i="11"/>
  <c r="E2407" i="11" s="1"/>
  <c r="C3028" i="11"/>
  <c r="E3028" i="11" s="1"/>
  <c r="C1948" i="11"/>
  <c r="E1948" i="11" s="1"/>
  <c r="C4468" i="11"/>
  <c r="E4468" i="11" s="1"/>
  <c r="C6259" i="11"/>
  <c r="E6259" i="11" s="1"/>
  <c r="C3208" i="11"/>
  <c r="E3208" i="11" s="1"/>
  <c r="C5206" i="11"/>
  <c r="E5206" i="11" s="1"/>
  <c r="C2533" i="11"/>
  <c r="E2533" i="11" s="1"/>
  <c r="C1462" i="11"/>
  <c r="E1462" i="11" s="1"/>
  <c r="C6772" i="11"/>
  <c r="E6772" i="11" s="1"/>
  <c r="C670" i="11"/>
  <c r="E670" i="11" s="1"/>
  <c r="C2263" i="11"/>
  <c r="E2263" i="11" s="1"/>
  <c r="C5296" i="11"/>
  <c r="E5296" i="11" s="1"/>
  <c r="C5305" i="11"/>
  <c r="E5305" i="11" s="1"/>
  <c r="C6673" i="11"/>
  <c r="E6673" i="11" s="1"/>
  <c r="C1435" i="11"/>
  <c r="E1435" i="11" s="1"/>
  <c r="C6025" i="11"/>
  <c r="E6025" i="11" s="1"/>
  <c r="C5161" i="11"/>
  <c r="E5161" i="11" s="1"/>
  <c r="C4252" i="11"/>
  <c r="E4252" i="11" s="1"/>
  <c r="C6367" i="11"/>
  <c r="E6367" i="11" s="1"/>
  <c r="C1570" i="11"/>
  <c r="E1570" i="11" s="1"/>
  <c r="C1732" i="11"/>
  <c r="E1732" i="11" s="1"/>
  <c r="C4936" i="11"/>
  <c r="E4936" i="11" s="1"/>
  <c r="C1183" i="11"/>
  <c r="E1183" i="11" s="1"/>
  <c r="C5395" i="11"/>
  <c r="E5395" i="11" s="1"/>
  <c r="C5845" i="11"/>
  <c r="E5845" i="11" s="1"/>
  <c r="C6817" i="11"/>
  <c r="E6817" i="11" s="1"/>
  <c r="C2560" i="11"/>
  <c r="E2560" i="11" s="1"/>
  <c r="C1426" i="11"/>
  <c r="E1426" i="11" s="1"/>
  <c r="C5089" i="11"/>
  <c r="E5089" i="11" s="1"/>
  <c r="C1003" i="11"/>
  <c r="E1003" i="11" s="1"/>
  <c r="C2371" i="11"/>
  <c r="E2371" i="11" s="1"/>
  <c r="C5872" i="11"/>
  <c r="E5872" i="11" s="1"/>
  <c r="C2461" i="11"/>
  <c r="E2461" i="11" s="1"/>
  <c r="C4657" i="11"/>
  <c r="E4657" i="11" s="1"/>
  <c r="C1579" i="11"/>
  <c r="E1579" i="11" s="1"/>
  <c r="C4666" i="11"/>
  <c r="E4666" i="11" s="1"/>
  <c r="C796" i="11"/>
  <c r="E796" i="11" s="1"/>
  <c r="C6952" i="11"/>
  <c r="E6952" i="11" s="1"/>
  <c r="C1867" i="11"/>
  <c r="E1867" i="11" s="1"/>
  <c r="C4261" i="11"/>
  <c r="E4261" i="11" s="1"/>
  <c r="C5737" i="11"/>
  <c r="E5737" i="11" s="1"/>
  <c r="C5242" i="11"/>
  <c r="E5242" i="11" s="1"/>
  <c r="C3523" i="11"/>
  <c r="E3523" i="11" s="1"/>
  <c r="C7092" i="11"/>
  <c r="E7092" i="11" s="1"/>
  <c r="C1669" i="11"/>
  <c r="E1669" i="11" s="1"/>
  <c r="C4072" i="11"/>
  <c r="E4072" i="11" s="1"/>
  <c r="C1903" i="11"/>
  <c r="E1903" i="11" s="1"/>
  <c r="C3991" i="11"/>
  <c r="E3991" i="11" s="1"/>
  <c r="C2506" i="11"/>
  <c r="E2506" i="11" s="1"/>
  <c r="C589" i="11"/>
  <c r="E589" i="11" s="1"/>
  <c r="C850" i="11"/>
  <c r="E850" i="11" s="1"/>
  <c r="C4873" i="11"/>
  <c r="E4873" i="11" s="1"/>
  <c r="C1993" i="11"/>
  <c r="E1993" i="11" s="1"/>
  <c r="C1921" i="11"/>
  <c r="E1921" i="11" s="1"/>
  <c r="C3001" i="11"/>
  <c r="E3001" i="11" s="1"/>
  <c r="C6511" i="11"/>
  <c r="E6511" i="11" s="1"/>
  <c r="C2857" i="11"/>
  <c r="E2857" i="11" s="1"/>
  <c r="C6358" i="11"/>
  <c r="E6358" i="11" s="1"/>
  <c r="C2677" i="11"/>
  <c r="E2677" i="11" s="1"/>
  <c r="C4900" i="11"/>
  <c r="E4900" i="11" s="1"/>
  <c r="C5836" i="11"/>
  <c r="E5836" i="11" s="1"/>
  <c r="C2695" i="11"/>
  <c r="E2695" i="11" s="1"/>
  <c r="C1984" i="11"/>
  <c r="E1984" i="11" s="1"/>
  <c r="C352" i="11"/>
  <c r="E352" i="11" s="1"/>
  <c r="C4972" i="11"/>
  <c r="E4972" i="11" s="1"/>
  <c r="C5080" i="11"/>
  <c r="E5080" i="11" s="1"/>
  <c r="C6052" i="11"/>
  <c r="E6052" i="11" s="1"/>
  <c r="C5377" i="11"/>
  <c r="E5377" i="11" s="1"/>
  <c r="C4162" i="11"/>
  <c r="E4162" i="11" s="1"/>
  <c r="C598" i="11"/>
  <c r="E598" i="11" s="1"/>
  <c r="C1696" i="11"/>
  <c r="E1696" i="11" s="1"/>
  <c r="C3217" i="11"/>
  <c r="E3217" i="11" s="1"/>
  <c r="C4567" i="11"/>
  <c r="E4567" i="11" s="1"/>
  <c r="C1552" i="11"/>
  <c r="E1552" i="11" s="1"/>
  <c r="C1237" i="11"/>
  <c r="E1237" i="11" s="1"/>
  <c r="C6106" i="11"/>
  <c r="E6106" i="11" s="1"/>
  <c r="C5611" i="11"/>
  <c r="E5611" i="11" s="1"/>
  <c r="C3622" i="11"/>
  <c r="E3622" i="11" s="1"/>
  <c r="C3829" i="11"/>
  <c r="E3829" i="11" s="1"/>
  <c r="C1282" i="11"/>
  <c r="E1282" i="11" s="1"/>
  <c r="C2236" i="11"/>
  <c r="E2236" i="11" s="1"/>
  <c r="C4720" i="11"/>
  <c r="E4720" i="11" s="1"/>
  <c r="C4963" i="11"/>
  <c r="E4963" i="11" s="1"/>
  <c r="C5008" i="11"/>
  <c r="E5008" i="11" s="1"/>
  <c r="C643" i="11"/>
  <c r="E643" i="11" s="1"/>
  <c r="C7015" i="11"/>
  <c r="E7015" i="11" s="1"/>
  <c r="C3325" i="11"/>
  <c r="E3325" i="11" s="1"/>
  <c r="C6970" i="11"/>
  <c r="E6970" i="11" s="1"/>
  <c r="C1534" i="11"/>
  <c r="E1534" i="11" s="1"/>
  <c r="C724" i="11"/>
  <c r="E724" i="11" s="1"/>
  <c r="C4009" i="11"/>
  <c r="E4009" i="11" s="1"/>
  <c r="C5512" i="11"/>
  <c r="E5512" i="11" s="1"/>
  <c r="C6115" i="11"/>
  <c r="E6115" i="11" s="1"/>
  <c r="C5980" i="11"/>
  <c r="E5980" i="11" s="1"/>
  <c r="C445" i="11"/>
  <c r="E445" i="11" s="1"/>
  <c r="C2704" i="11"/>
  <c r="E2704" i="11" s="1"/>
  <c r="C1633" i="11"/>
  <c r="E1633" i="11" s="1"/>
  <c r="C2218" i="11"/>
  <c r="E2218" i="11" s="1"/>
  <c r="C1795" i="11"/>
  <c r="E1795" i="11" s="1"/>
  <c r="C4153" i="11"/>
  <c r="E4153" i="11" s="1"/>
  <c r="C3676" i="11"/>
  <c r="E3676" i="11" s="1"/>
  <c r="C4270" i="11"/>
  <c r="E4270" i="11" s="1"/>
  <c r="C6988" i="11"/>
  <c r="E6988" i="11" s="1"/>
  <c r="C5710" i="11"/>
  <c r="E5710" i="11" s="1"/>
  <c r="C3631" i="11"/>
  <c r="E3631" i="11" s="1"/>
  <c r="C6682" i="11"/>
  <c r="E6682" i="11" s="1"/>
  <c r="C2209" i="11"/>
  <c r="E2209" i="11" s="1"/>
  <c r="C1165" i="11"/>
  <c r="E1165" i="11" s="1"/>
  <c r="C6871" i="11"/>
  <c r="E6871" i="11" s="1"/>
  <c r="C4063" i="11"/>
  <c r="E4063" i="11" s="1"/>
  <c r="C4684" i="11"/>
  <c r="E4684" i="11" s="1"/>
  <c r="C1336" i="11"/>
  <c r="E1336" i="11" s="1"/>
  <c r="C2452" i="11"/>
  <c r="E2452" i="11" s="1"/>
  <c r="C2488" i="11"/>
  <c r="E2488" i="11" s="1"/>
  <c r="C1975" i="11"/>
  <c r="E1975" i="11" s="1"/>
  <c r="C208" i="11"/>
  <c r="E208" i="11" s="1"/>
  <c r="C4297" i="11"/>
  <c r="E4297" i="11" s="1"/>
  <c r="C6718" i="11"/>
  <c r="E6718" i="11" s="1"/>
  <c r="C5152" i="11"/>
  <c r="E5152" i="11" s="1"/>
  <c r="C5386" i="11"/>
  <c r="E5386" i="11" s="1"/>
  <c r="C382" i="11"/>
  <c r="E382" i="11" s="1"/>
  <c r="C652" i="11"/>
  <c r="E652" i="11" s="1"/>
  <c r="C3586" i="11"/>
  <c r="E3586" i="11" s="1"/>
  <c r="C3370" i="11"/>
  <c r="E3370" i="11" s="1"/>
  <c r="C5971" i="11"/>
  <c r="E5971" i="11" s="1"/>
  <c r="C2641" i="11"/>
  <c r="E2641" i="11" s="1"/>
  <c r="C6232" i="11"/>
  <c r="E6232" i="11" s="1"/>
  <c r="C976" i="11"/>
  <c r="E976" i="11" s="1"/>
  <c r="C5566" i="11"/>
  <c r="E5566" i="11" s="1"/>
  <c r="C3856" i="11"/>
  <c r="E3856" i="11" s="1"/>
  <c r="C1804" i="11"/>
  <c r="E1804" i="11" s="1"/>
  <c r="C3847" i="11"/>
  <c r="E3847" i="11" s="1"/>
  <c r="C5989" i="11"/>
  <c r="E5989" i="11" s="1"/>
  <c r="C940" i="11"/>
  <c r="E940" i="11" s="1"/>
  <c r="C6286" i="11"/>
  <c r="E6286" i="11" s="1"/>
  <c r="C832" i="11"/>
  <c r="E832" i="11" s="1"/>
  <c r="C1300" i="11"/>
  <c r="E1300" i="11" s="1"/>
  <c r="C2650" i="11"/>
  <c r="E2650" i="11" s="1"/>
  <c r="C4306" i="11"/>
  <c r="E4306" i="11" s="1"/>
  <c r="C7033" i="11"/>
  <c r="E7033" i="11" s="1"/>
  <c r="C1885" i="11"/>
  <c r="E1885" i="11" s="1"/>
  <c r="C6646" i="11"/>
  <c r="E6646" i="11" s="1"/>
  <c r="C3703" i="11"/>
  <c r="E3703" i="11" s="1"/>
  <c r="C6547" i="11"/>
  <c r="E6547" i="11" s="1"/>
  <c r="C4288" i="11"/>
  <c r="E4288" i="11" s="1"/>
  <c r="C2956" i="11"/>
  <c r="E2956" i="11" s="1"/>
  <c r="C3901" i="11"/>
  <c r="E3901" i="11" s="1"/>
  <c r="C6142" i="11"/>
  <c r="E6142" i="11" s="1"/>
  <c r="C1318" i="11"/>
  <c r="E1318" i="11" s="1"/>
  <c r="C6862" i="11"/>
  <c r="E6862" i="11" s="1"/>
  <c r="C3532" i="11"/>
  <c r="E3532" i="11" s="1"/>
  <c r="C3235" i="11"/>
  <c r="E3235" i="11" s="1"/>
  <c r="C4396" i="11"/>
  <c r="E4396" i="11" s="1"/>
  <c r="C4558" i="11"/>
  <c r="E4558" i="11" s="1"/>
  <c r="C985" i="11"/>
  <c r="E985" i="11" s="1"/>
  <c r="C6439" i="11"/>
  <c r="E6439" i="11" s="1"/>
  <c r="C2290" i="11"/>
  <c r="E2290" i="11" s="1"/>
  <c r="C2515" i="11"/>
  <c r="E2515" i="11" s="1"/>
  <c r="C2434" i="11"/>
  <c r="E2434" i="11" s="1"/>
  <c r="C6448" i="11"/>
  <c r="E6448" i="11" s="1"/>
  <c r="C4108" i="11"/>
  <c r="E4108" i="11" s="1"/>
  <c r="C4594" i="11"/>
  <c r="E4594" i="11" s="1"/>
  <c r="C6457" i="11"/>
  <c r="E6457" i="11" s="1"/>
  <c r="C3397" i="11"/>
  <c r="E3397" i="11" s="1"/>
  <c r="C6430" i="11"/>
  <c r="E6430" i="11" s="1"/>
  <c r="C5800" i="11"/>
  <c r="E5800" i="11" s="1"/>
  <c r="C994" i="11"/>
  <c r="E994" i="11" s="1"/>
  <c r="C4450" i="11"/>
  <c r="E4450" i="11" s="1"/>
  <c r="C4837" i="11"/>
  <c r="E4837" i="11" s="1"/>
  <c r="C1201" i="11"/>
  <c r="E1201" i="11" s="1"/>
  <c r="C5665" i="11"/>
  <c r="E5665" i="11" s="1"/>
  <c r="C6610" i="11"/>
  <c r="E6610" i="11" s="1"/>
  <c r="C6853" i="11"/>
  <c r="E6853" i="11" s="1"/>
  <c r="C5341" i="11"/>
  <c r="E5341" i="11" s="1"/>
  <c r="C2353" i="11"/>
  <c r="E2353" i="11" s="1"/>
  <c r="C3595" i="11"/>
  <c r="E3595" i="11" s="1"/>
  <c r="C463" i="11"/>
  <c r="E463" i="11" s="1"/>
  <c r="C6322" i="11"/>
  <c r="E6322" i="11" s="1"/>
  <c r="C3874" i="11"/>
  <c r="E3874" i="11" s="1"/>
  <c r="C1066" i="11"/>
  <c r="E1066" i="11" s="1"/>
  <c r="C3973" i="11"/>
  <c r="E3973" i="11" s="1"/>
  <c r="C3253" i="11"/>
  <c r="E3253" i="11" s="1"/>
  <c r="C2020" i="11"/>
  <c r="E2020" i="11" s="1"/>
  <c r="C4369" i="11"/>
  <c r="E4369" i="11" s="1"/>
  <c r="C5458" i="11"/>
  <c r="E5458" i="11" s="1"/>
  <c r="C1723" i="11"/>
  <c r="E1723" i="11" s="1"/>
  <c r="C3892" i="11"/>
  <c r="E3892" i="11" s="1"/>
  <c r="C5323" i="11"/>
  <c r="E5323" i="11" s="1"/>
  <c r="C4018" i="11"/>
  <c r="E4018" i="11" s="1"/>
  <c r="C6934" i="11"/>
  <c r="E6934" i="11" s="1"/>
  <c r="C2605" i="11"/>
  <c r="E2605" i="11" s="1"/>
  <c r="C3190" i="11"/>
  <c r="E3190" i="11" s="1"/>
  <c r="C6340" i="11"/>
  <c r="E6340" i="11" s="1"/>
  <c r="C3577" i="11"/>
  <c r="E3577" i="11" s="1"/>
  <c r="C1642" i="11"/>
  <c r="E1642" i="11" s="1"/>
  <c r="C2749" i="11"/>
  <c r="E2749" i="11" s="1"/>
  <c r="C4198" i="11"/>
  <c r="E4198" i="11" s="1"/>
  <c r="C2893" i="11"/>
  <c r="E2893" i="11" s="1"/>
  <c r="C2443" i="11"/>
  <c r="E2443" i="11" s="1"/>
  <c r="C886" i="11"/>
  <c r="E886" i="11" s="1"/>
  <c r="C3883" i="11"/>
  <c r="E3883" i="11" s="1"/>
  <c r="C679" i="11"/>
  <c r="E679" i="11" s="1"/>
  <c r="C226" i="11"/>
  <c r="E226" i="11" s="1"/>
  <c r="C5620" i="11"/>
  <c r="E5620" i="11" s="1"/>
  <c r="C3010" i="11"/>
  <c r="E3010" i="11" s="1"/>
  <c r="C2929" i="11"/>
  <c r="E2929" i="11" s="1"/>
  <c r="C2623" i="11"/>
  <c r="E2623" i="11" s="1"/>
  <c r="C5251" i="11"/>
  <c r="E5251" i="11" s="1"/>
  <c r="C4612" i="11"/>
  <c r="E4612" i="11" s="1"/>
  <c r="C1129" i="11"/>
  <c r="E1129" i="11" s="1"/>
  <c r="C1156" i="11"/>
  <c r="E1156" i="11" s="1"/>
  <c r="C3271" i="11"/>
  <c r="E3271" i="11" s="1"/>
  <c r="C4585" i="11"/>
  <c r="E4585" i="11" s="1"/>
  <c r="C7006" i="11"/>
  <c r="E7006" i="11" s="1"/>
  <c r="C5719" i="11"/>
  <c r="E5719" i="11" s="1"/>
  <c r="C1849" i="11"/>
  <c r="E1849" i="11" s="1"/>
  <c r="C1291" i="11"/>
  <c r="E1291" i="11" s="1"/>
  <c r="C2875" i="11"/>
  <c r="E2875" i="11" s="1"/>
  <c r="C1012" i="11"/>
  <c r="E1012" i="11" s="1"/>
  <c r="C1561" i="11"/>
  <c r="E1561" i="11" s="1"/>
  <c r="C127" i="11"/>
  <c r="E127" i="11" s="1"/>
  <c r="C4405" i="11"/>
  <c r="E4405" i="11" s="1"/>
  <c r="C6214" i="11"/>
  <c r="E6214" i="11" s="1"/>
  <c r="C2686" i="11"/>
  <c r="E2686" i="11" s="1"/>
  <c r="C1705" i="11"/>
  <c r="E1705" i="11" s="1"/>
  <c r="C3136" i="11"/>
  <c r="E3136" i="11" s="1"/>
  <c r="C2227" i="11"/>
  <c r="E2227" i="11" s="1"/>
  <c r="C2974" i="11"/>
  <c r="E2974" i="11" s="1"/>
  <c r="C4279" i="11"/>
  <c r="E4279" i="11" s="1"/>
  <c r="C3154" i="11"/>
  <c r="E3154" i="11" s="1"/>
  <c r="C3046" i="11"/>
  <c r="E3046" i="11" s="1"/>
  <c r="C1102" i="11"/>
  <c r="E1102" i="11" s="1"/>
  <c r="C3748" i="11"/>
  <c r="E3748" i="11" s="1"/>
  <c r="C3919" i="11"/>
  <c r="E3919" i="11" s="1"/>
  <c r="C1768" i="11"/>
  <c r="E1768" i="11" s="1"/>
  <c r="C4702" i="11"/>
  <c r="E4702" i="11" s="1"/>
  <c r="C4945" i="11"/>
  <c r="E4945" i="11" s="1"/>
  <c r="C1822" i="11"/>
  <c r="E1822" i="11" s="1"/>
  <c r="C2596" i="11"/>
  <c r="E2596" i="11" s="1"/>
  <c r="C5953" i="11"/>
  <c r="E5953" i="11" s="1"/>
  <c r="C5755" i="11"/>
  <c r="E5755" i="11" s="1"/>
  <c r="C6133" i="11"/>
  <c r="E6133" i="11" s="1"/>
  <c r="C2920" i="11"/>
  <c r="E2920" i="11" s="1"/>
  <c r="C4738" i="11"/>
  <c r="E4738" i="11" s="1"/>
  <c r="C6061" i="11"/>
  <c r="E6061" i="11" s="1"/>
  <c r="C571" i="11"/>
  <c r="E571" i="11" s="1"/>
  <c r="C769" i="11"/>
  <c r="E769" i="11" s="1"/>
  <c r="C3442" i="11"/>
  <c r="E3442" i="11" s="1"/>
  <c r="C823" i="11"/>
  <c r="E823" i="11" s="1"/>
  <c r="C1093" i="11"/>
  <c r="E1093" i="11" s="1"/>
  <c r="C5233" i="11"/>
  <c r="E5233" i="11" s="1"/>
  <c r="C2983" i="11"/>
  <c r="E2983" i="11" s="1"/>
  <c r="C1327" i="11"/>
  <c r="E1327" i="11" s="1"/>
  <c r="C661" i="11"/>
  <c r="E661" i="11" s="1"/>
  <c r="C1354" i="11"/>
  <c r="E1354" i="11" s="1"/>
  <c r="C2065" i="11"/>
  <c r="E2065" i="11" s="1"/>
  <c r="C6493" i="11"/>
  <c r="E6493" i="11" s="1"/>
  <c r="C688" i="11"/>
  <c r="E688" i="11" s="1"/>
  <c r="C6079" i="11"/>
  <c r="E6079" i="11" s="1"/>
  <c r="C5575" i="11"/>
  <c r="E5575" i="11" s="1"/>
  <c r="C4234" i="11"/>
  <c r="E4234" i="11" s="1"/>
  <c r="C5854" i="11"/>
  <c r="E5854" i="11" s="1"/>
  <c r="C3451" i="11"/>
  <c r="E3451" i="11" s="1"/>
  <c r="C5818" i="11"/>
  <c r="E5818" i="11" s="1"/>
  <c r="C5350" i="11"/>
  <c r="E5350" i="11" s="1"/>
  <c r="C6826" i="11"/>
  <c r="E6826" i="11" s="1"/>
  <c r="C5278" i="11"/>
  <c r="E5278" i="11" s="1"/>
  <c r="C2992" i="11"/>
  <c r="E2992" i="11" s="1"/>
  <c r="C1138" i="11"/>
  <c r="E1138" i="11" s="1"/>
  <c r="C5584" i="11"/>
  <c r="E5584" i="11" s="1"/>
  <c r="C490" i="11"/>
  <c r="E490" i="11" s="1"/>
  <c r="C2110" i="11"/>
  <c r="E2110" i="11" s="1"/>
  <c r="C4918" i="11"/>
  <c r="E4918" i="11" s="1"/>
  <c r="C2425" i="11"/>
  <c r="E2425" i="11" s="1"/>
  <c r="C6034" i="11"/>
  <c r="E6034" i="11" s="1"/>
  <c r="C4054" i="11"/>
  <c r="E4054" i="11" s="1"/>
  <c r="C2866" i="11"/>
  <c r="E2866" i="11" s="1"/>
  <c r="C4441" i="11"/>
  <c r="E4441" i="11" s="1"/>
  <c r="C3766" i="11"/>
  <c r="E3766" i="11" s="1"/>
  <c r="C1210" i="11"/>
  <c r="E1210" i="11" s="1"/>
  <c r="C5179" i="11"/>
  <c r="E5179" i="11" s="1"/>
  <c r="C4342" i="11"/>
  <c r="E4342" i="11" s="1"/>
  <c r="C4171" i="11"/>
  <c r="E4171" i="11" s="1"/>
  <c r="C5440" i="11"/>
  <c r="E5440" i="11" s="1"/>
  <c r="C1489" i="11"/>
  <c r="E1489" i="11" s="1"/>
  <c r="C2101" i="11"/>
  <c r="E2101" i="11" s="1"/>
  <c r="C3415" i="11"/>
  <c r="E3415" i="11" s="1"/>
  <c r="C922" i="11"/>
  <c r="E922" i="11" s="1"/>
  <c r="C2416" i="11"/>
  <c r="E2416" i="11" s="1"/>
  <c r="C6997" i="11"/>
  <c r="E6997" i="11" s="1"/>
  <c r="C2308" i="11"/>
  <c r="E2308" i="11" s="1"/>
  <c r="C6160" i="11"/>
  <c r="E6160" i="11" s="1"/>
  <c r="C6295" i="11"/>
  <c r="E6295" i="11" s="1"/>
  <c r="C5485" i="11"/>
  <c r="E5485" i="11" s="1"/>
  <c r="C3784" i="11"/>
  <c r="E3784" i="11" s="1"/>
  <c r="C2245" i="11"/>
  <c r="E2245" i="11" s="1"/>
  <c r="C4504" i="11"/>
  <c r="E4504" i="11" s="1"/>
  <c r="C6007" i="11"/>
  <c r="E6007" i="11" s="1"/>
  <c r="C6313" i="11"/>
  <c r="E6313" i="11" s="1"/>
  <c r="C2668" i="11"/>
  <c r="E2668" i="11" s="1"/>
  <c r="C2902" i="11"/>
  <c r="E2902" i="11" s="1"/>
  <c r="C3658" i="11"/>
  <c r="E3658" i="11" s="1"/>
  <c r="C1372" i="11"/>
  <c r="E1372" i="11" s="1"/>
  <c r="C3181" i="11"/>
  <c r="E3181" i="11" s="1"/>
  <c r="C760" i="11"/>
  <c r="E760" i="11" s="1"/>
  <c r="C2470" i="11"/>
  <c r="E2470" i="11" s="1"/>
  <c r="C2479" i="11"/>
  <c r="E2479" i="11" s="1"/>
  <c r="C2785" i="11"/>
  <c r="E2785" i="11" s="1"/>
  <c r="C2884" i="11"/>
  <c r="E2884" i="11" s="1"/>
  <c r="C3055" i="11"/>
  <c r="E3055" i="11" s="1"/>
  <c r="C5602" i="11"/>
  <c r="E5602" i="11" s="1"/>
  <c r="C1309" i="11"/>
  <c r="E1309" i="11" s="1"/>
  <c r="C1084" i="11"/>
  <c r="E1084" i="11" s="1"/>
  <c r="C4648" i="11"/>
  <c r="E4648" i="11" s="1"/>
  <c r="C3613" i="11"/>
  <c r="E3613" i="11" s="1"/>
  <c r="C3478" i="11"/>
  <c r="E3478" i="11" s="1"/>
  <c r="C2173" i="11"/>
  <c r="E2173" i="11" s="1"/>
  <c r="C6538" i="11"/>
  <c r="E6538" i="11" s="1"/>
  <c r="C3352" i="11"/>
  <c r="E3352" i="11" s="1"/>
  <c r="C4189" i="11"/>
  <c r="E4189" i="11" s="1"/>
  <c r="C4486" i="11"/>
  <c r="E4486" i="11" s="1"/>
  <c r="C3388" i="11"/>
  <c r="E3388" i="11" s="1"/>
  <c r="C2299" i="11"/>
  <c r="E2299" i="11" s="1"/>
  <c r="C2830" i="11"/>
  <c r="E2830" i="11" s="1"/>
  <c r="C5143" i="11"/>
  <c r="E5143" i="11" s="1"/>
  <c r="C3091" i="11"/>
  <c r="E3091" i="11" s="1"/>
  <c r="C1057" i="11"/>
  <c r="E1057" i="11" s="1"/>
  <c r="C4324" i="11"/>
  <c r="E4324" i="11" s="1"/>
  <c r="C2839" i="11"/>
  <c r="E2839" i="11" s="1"/>
  <c r="C2848" i="11"/>
  <c r="E2848" i="11" s="1"/>
  <c r="C4333" i="11"/>
  <c r="E4333" i="11" s="1"/>
  <c r="C616" i="11"/>
  <c r="E616" i="11" s="1"/>
  <c r="C1228" i="11"/>
  <c r="E1228" i="11" s="1"/>
  <c r="C1453" i="11"/>
  <c r="E1453" i="11" s="1"/>
  <c r="C1471" i="11"/>
  <c r="E1471" i="11" s="1"/>
  <c r="C1714" i="11"/>
  <c r="E1714" i="11" s="1"/>
  <c r="C1930" i="11"/>
  <c r="E1930" i="11" s="1"/>
  <c r="C499" i="11"/>
  <c r="E499" i="11" s="1"/>
  <c r="C2326" i="11"/>
  <c r="E2326" i="11" s="1"/>
  <c r="C2335" i="11"/>
  <c r="E2335" i="11" s="1"/>
  <c r="C2524" i="11"/>
  <c r="E2524" i="11" s="1"/>
  <c r="C4882" i="11"/>
  <c r="E4882" i="11" s="1"/>
  <c r="C2965" i="11"/>
  <c r="E2965" i="11" s="1"/>
  <c r="C3127" i="11"/>
  <c r="E3127" i="11" s="1"/>
  <c r="C3460" i="11"/>
  <c r="E3460" i="11" s="1"/>
  <c r="C5404" i="11"/>
  <c r="E5404" i="11" s="1"/>
  <c r="C3910" i="11"/>
  <c r="E3910" i="11" s="1"/>
  <c r="C4207" i="11"/>
  <c r="E4207" i="11" s="1"/>
  <c r="C4216" i="11"/>
  <c r="E4216" i="11" s="1"/>
  <c r="C517" i="11"/>
  <c r="E517" i="11" s="1"/>
  <c r="C4774" i="11"/>
  <c r="E4774" i="11" s="1"/>
  <c r="C4792" i="11"/>
  <c r="E4792" i="11" s="1"/>
  <c r="C4819" i="11"/>
  <c r="E4819" i="11" s="1"/>
  <c r="C4846" i="11"/>
  <c r="E4846" i="11" s="1"/>
  <c r="C544" i="11"/>
  <c r="E544" i="11" s="1"/>
  <c r="C5260" i="11"/>
  <c r="E5260" i="11" s="1"/>
  <c r="C5368" i="11"/>
  <c r="E5368" i="11" s="1"/>
  <c r="C553" i="11"/>
  <c r="E553" i="11" s="1"/>
  <c r="C6097" i="11"/>
  <c r="E6097" i="11" s="1"/>
  <c r="C6781" i="11"/>
  <c r="E6781" i="11" s="1"/>
  <c r="C6799" i="11"/>
  <c r="E6799" i="11" s="1"/>
  <c r="C5746" i="11"/>
  <c r="E5746" i="11" s="1"/>
  <c r="C6151" i="11"/>
  <c r="E6151" i="11" s="1"/>
  <c r="C6268" i="11"/>
  <c r="E6268" i="11" s="1"/>
  <c r="C6349" i="11"/>
  <c r="E6349" i="11" s="1"/>
  <c r="C6565" i="11"/>
  <c r="E6565" i="11" s="1"/>
  <c r="C4801" i="11"/>
  <c r="E4801" i="11" s="1"/>
  <c r="C190" i="11"/>
  <c r="E190" i="11" s="1"/>
  <c r="C163" i="11"/>
  <c r="E163" i="11" s="1"/>
  <c r="C253" i="11"/>
  <c r="E253" i="11" s="1"/>
  <c r="C280" i="11"/>
  <c r="E280" i="11" s="1"/>
  <c r="C271" i="11"/>
  <c r="E271" i="11" s="1"/>
  <c r="C289" i="11"/>
  <c r="E289" i="11" s="1"/>
  <c r="C298" i="11"/>
  <c r="E298" i="11" s="1"/>
  <c r="C46" i="11"/>
  <c r="E46" i="11" s="1"/>
  <c r="C400" i="11"/>
  <c r="E400" i="11" s="1"/>
  <c r="C9" i="11"/>
  <c r="E9" i="11" s="1"/>
  <c r="C1219" i="11"/>
  <c r="E1219" i="11" s="1"/>
  <c r="C418" i="11"/>
  <c r="E418" i="11" s="1"/>
  <c r="C19" i="11"/>
  <c r="E19" i="11" s="1"/>
  <c r="C1831" i="11"/>
  <c r="E1831" i="11" s="1"/>
  <c r="C508" i="11"/>
  <c r="E508" i="11" s="1"/>
  <c r="C55" i="11"/>
  <c r="E55" i="11" s="1"/>
  <c r="C73" i="11"/>
  <c r="E73" i="11" s="1"/>
  <c r="C64" i="11"/>
  <c r="E64" i="11" s="1"/>
  <c r="C82" i="11"/>
  <c r="E82" i="11" s="1"/>
  <c r="C91" i="11"/>
  <c r="E91" i="11" s="1"/>
  <c r="C109" i="11"/>
  <c r="E109" i="11" s="1"/>
  <c r="C118" i="11"/>
  <c r="E118" i="11" s="1"/>
  <c r="C436" i="11"/>
  <c r="E436" i="11" s="1"/>
  <c r="C454" i="11"/>
  <c r="E454" i="11" s="1"/>
  <c r="C145" i="11"/>
  <c r="E145" i="11" s="1"/>
  <c r="C154" i="11"/>
  <c r="E154" i="11" s="1"/>
  <c r="C181" i="11"/>
  <c r="E181" i="11" s="1"/>
  <c r="C526" i="11"/>
  <c r="E526" i="11" s="1"/>
  <c r="C472" i="11"/>
  <c r="E472" i="11" s="1"/>
  <c r="C172" i="11"/>
  <c r="E172" i="11" s="1"/>
  <c r="C199" i="11"/>
  <c r="E199" i="11" s="1"/>
  <c r="C562" i="11"/>
  <c r="E562" i="11" s="1"/>
  <c r="C235" i="11"/>
  <c r="E235" i="11" s="1"/>
  <c r="C244" i="11"/>
  <c r="E244" i="11" s="1"/>
  <c r="C262" i="11"/>
  <c r="E262" i="11" s="1"/>
  <c r="C334" i="11"/>
  <c r="E334" i="11" s="1"/>
  <c r="C316" i="11"/>
  <c r="E316" i="11" s="1"/>
  <c r="C6790" i="11"/>
  <c r="E6790" i="11" s="1"/>
  <c r="C5926" i="11"/>
  <c r="E5926" i="11" s="1"/>
  <c r="C2344" i="11"/>
  <c r="E2344" i="11" s="1"/>
  <c r="C3550" i="11"/>
  <c r="E3550" i="11" s="1"/>
  <c r="C100" i="11"/>
  <c r="E100" i="11" s="1"/>
  <c r="C742" i="11"/>
  <c r="E742" i="11" s="1"/>
  <c r="C6223" i="11"/>
  <c r="E6223" i="11" s="1"/>
  <c r="C580" i="11"/>
  <c r="E580" i="11" s="1"/>
  <c r="C2722" i="11"/>
  <c r="E2722" i="11" s="1"/>
  <c r="C6205" i="11"/>
  <c r="E6205" i="11" s="1"/>
  <c r="C2317" i="11"/>
  <c r="E2317" i="11" s="1"/>
  <c r="C1255" i="11"/>
  <c r="E1255" i="11" s="1"/>
  <c r="C6844" i="11"/>
  <c r="E6844" i="11" s="1"/>
  <c r="C6808" i="11"/>
  <c r="E6808" i="11" s="1"/>
  <c r="C4513" i="11"/>
  <c r="E4513" i="11" s="1"/>
  <c r="C307" i="11"/>
  <c r="E307" i="11" s="1"/>
  <c r="C5422" i="11"/>
  <c r="E5422" i="11" s="1"/>
  <c r="C4432" i="11"/>
  <c r="E4432" i="11" s="1"/>
  <c r="C1543" i="11"/>
  <c r="E1543" i="11" s="1"/>
  <c r="C1957" i="11"/>
  <c r="E1957" i="11" s="1"/>
  <c r="C6709" i="11"/>
  <c r="E6709" i="11" s="1"/>
  <c r="C6403" i="11"/>
  <c r="E6403" i="11" s="1"/>
  <c r="C7050" i="11"/>
  <c r="E7050" i="11" s="1"/>
  <c r="C7064" i="11"/>
  <c r="E7064" i="11" s="1"/>
  <c r="C7071" i="11"/>
  <c r="E7071" i="11" s="1"/>
  <c r="C7083" i="11"/>
  <c r="E7083" i="11" s="1"/>
  <c r="C7077" i="11"/>
  <c r="E7077" i="11" s="1"/>
  <c r="C7096" i="11"/>
  <c r="E7096" i="11" s="1"/>
  <c r="C7098" i="11"/>
  <c r="E7098" i="11" s="1"/>
  <c r="C608" i="11"/>
  <c r="E608" i="11" s="1"/>
  <c r="C716" i="11"/>
  <c r="E716" i="11" s="1"/>
  <c r="C806" i="11"/>
  <c r="E806" i="11" s="1"/>
  <c r="C896" i="11"/>
  <c r="E896" i="11" s="1"/>
  <c r="C932" i="11"/>
  <c r="E932" i="11" s="1"/>
  <c r="C1049" i="11"/>
  <c r="E1049" i="11" s="1"/>
  <c r="C1247" i="11"/>
  <c r="E1247" i="11" s="1"/>
  <c r="C1346" i="11"/>
  <c r="E1346" i="11" s="1"/>
  <c r="C1751" i="11"/>
  <c r="E1751" i="11" s="1"/>
  <c r="C29" i="11"/>
  <c r="E29" i="11" s="1"/>
  <c r="C1841" i="11"/>
  <c r="E1841" i="11" s="1"/>
  <c r="C2030" i="11"/>
  <c r="E2030" i="11" s="1"/>
  <c r="C2273" i="11"/>
  <c r="E2273" i="11" s="1"/>
  <c r="C2588" i="11"/>
  <c r="E2588" i="11" s="1"/>
  <c r="C2660" i="11"/>
  <c r="E2660" i="11" s="1"/>
  <c r="C2714" i="11"/>
  <c r="E2714" i="11" s="1"/>
  <c r="C2039" i="11"/>
  <c r="E2039" i="11" s="1"/>
  <c r="C2732" i="11"/>
  <c r="E2732" i="11" s="1"/>
  <c r="C3290" i="11"/>
  <c r="E3290" i="11" s="1"/>
  <c r="C3308" i="11"/>
  <c r="E3308" i="11" s="1"/>
  <c r="C3425" i="11"/>
  <c r="E3425" i="11" s="1"/>
  <c r="C428" i="11"/>
  <c r="E428" i="11" s="1"/>
  <c r="C3497" i="11"/>
  <c r="E3497" i="11" s="1"/>
  <c r="C3569" i="11"/>
  <c r="E3569" i="11" s="1"/>
  <c r="C3605" i="11"/>
  <c r="E3605" i="11" s="1"/>
  <c r="C3758" i="11"/>
  <c r="E3758" i="11" s="1"/>
  <c r="C3803" i="11"/>
  <c r="E3803" i="11" s="1"/>
  <c r="C3821" i="11"/>
  <c r="E3821" i="11" s="1"/>
  <c r="C4082" i="11"/>
  <c r="E4082" i="11" s="1"/>
  <c r="C4145" i="11"/>
  <c r="E4145" i="11" s="1"/>
  <c r="C4352" i="11"/>
  <c r="E4352" i="11" s="1"/>
  <c r="C4424" i="11"/>
  <c r="E4424" i="11" s="1"/>
  <c r="C4478" i="11"/>
  <c r="E4478" i="11" s="1"/>
  <c r="C4523" i="11"/>
  <c r="E4523" i="11" s="1"/>
  <c r="C4640" i="11"/>
  <c r="E4640" i="11" s="1"/>
  <c r="C4694" i="11"/>
  <c r="E4694" i="11" s="1"/>
  <c r="C4748" i="11"/>
  <c r="E4748" i="11" s="1"/>
  <c r="C4757" i="11"/>
  <c r="E4757" i="11" s="1"/>
  <c r="C4766" i="11"/>
  <c r="E4766" i="11" s="1"/>
  <c r="C4784" i="11"/>
  <c r="E4784" i="11" s="1"/>
  <c r="C536" i="11"/>
  <c r="E536" i="11" s="1"/>
  <c r="C4991" i="11"/>
  <c r="E4991" i="11" s="1"/>
  <c r="C5126" i="11"/>
  <c r="E5126" i="11" s="1"/>
  <c r="C5189" i="11"/>
  <c r="E5189" i="11" s="1"/>
  <c r="C5225" i="11"/>
  <c r="E5225" i="11" s="1"/>
  <c r="C5360" i="11"/>
  <c r="E5360" i="11" s="1"/>
  <c r="C5414" i="11"/>
  <c r="E5414" i="11" s="1"/>
  <c r="C5450" i="11"/>
  <c r="E5450" i="11" s="1"/>
  <c r="C5540" i="11"/>
  <c r="E5540" i="11" s="1"/>
  <c r="C5594" i="11"/>
  <c r="E5594" i="11" s="1"/>
  <c r="C5648" i="11"/>
  <c r="E5648" i="11" s="1"/>
  <c r="C5702" i="11"/>
  <c r="E5702" i="11" s="1"/>
  <c r="C344" i="11"/>
  <c r="E344" i="11" s="1"/>
  <c r="C6197" i="11"/>
  <c r="E6197" i="11" s="1"/>
  <c r="C6278" i="11"/>
  <c r="E6278" i="11" s="1"/>
  <c r="C6305" i="11"/>
  <c r="E6305" i="11" s="1"/>
  <c r="C6395" i="11"/>
  <c r="E6395" i="11" s="1"/>
  <c r="C6602" i="11"/>
  <c r="E6602" i="11" s="1"/>
  <c r="C6620" i="11"/>
  <c r="E6620" i="11" s="1"/>
  <c r="C6881" i="11"/>
  <c r="E6881" i="11" s="1"/>
  <c r="C7025" i="11"/>
  <c r="E7025" i="11" s="1"/>
  <c r="C626" i="11"/>
  <c r="E626" i="11" s="1"/>
  <c r="C635" i="11"/>
  <c r="E635" i="11" s="1"/>
  <c r="C707" i="11"/>
  <c r="E707" i="11" s="1"/>
  <c r="C752" i="11"/>
  <c r="E752" i="11" s="1"/>
  <c r="C698" i="11"/>
  <c r="E698" i="11" s="1"/>
  <c r="C779" i="11"/>
  <c r="E779" i="11" s="1"/>
  <c r="C788" i="11"/>
  <c r="E788" i="11" s="1"/>
  <c r="C815" i="11"/>
  <c r="E815" i="11" s="1"/>
  <c r="C392" i="11"/>
  <c r="E392" i="11" s="1"/>
  <c r="C842" i="11"/>
  <c r="E842" i="11" s="1"/>
  <c r="C860" i="11"/>
  <c r="E860" i="11" s="1"/>
  <c r="C869" i="11"/>
  <c r="E869" i="11" s="1"/>
  <c r="C878" i="11"/>
  <c r="E878" i="11" s="1"/>
  <c r="C905" i="11"/>
  <c r="E905" i="11" s="1"/>
  <c r="C914" i="11"/>
  <c r="E914" i="11" s="1"/>
  <c r="C959" i="11"/>
  <c r="E959" i="11" s="1"/>
  <c r="C1040" i="11"/>
  <c r="E1040" i="11" s="1"/>
  <c r="C1031" i="11"/>
  <c r="E1031" i="11" s="1"/>
  <c r="C1112" i="11"/>
  <c r="E1112" i="11" s="1"/>
  <c r="C1121" i="11"/>
  <c r="E1121" i="11" s="1"/>
  <c r="C1148" i="11"/>
  <c r="E1148" i="11" s="1"/>
  <c r="C1175" i="11"/>
  <c r="E1175" i="11" s="1"/>
  <c r="C1193" i="11"/>
  <c r="E1193" i="11" s="1"/>
  <c r="C1265" i="11"/>
  <c r="E1265" i="11" s="1"/>
  <c r="C1274" i="11"/>
  <c r="E1274" i="11" s="1"/>
  <c r="C1418" i="11"/>
  <c r="E1418" i="11" s="1"/>
  <c r="C6728" i="11"/>
  <c r="E6728" i="11" s="1"/>
  <c r="C1364" i="11"/>
  <c r="E1364" i="11" s="1"/>
  <c r="C1481" i="11"/>
  <c r="E1481" i="11" s="1"/>
  <c r="C1589" i="11"/>
  <c r="E1589" i="11" s="1"/>
  <c r="C1391" i="11"/>
  <c r="E1391" i="11" s="1"/>
  <c r="C1661" i="11"/>
  <c r="E1661" i="11" s="1"/>
  <c r="C1400" i="11"/>
  <c r="E1400" i="11" s="1"/>
  <c r="C1409" i="11"/>
  <c r="E1409" i="11" s="1"/>
  <c r="C1499" i="11"/>
  <c r="E1499" i="11" s="1"/>
  <c r="C1787" i="11"/>
  <c r="E1787" i="11" s="1"/>
  <c r="C1616" i="11"/>
  <c r="E1616" i="11" s="1"/>
  <c r="C1445" i="11"/>
  <c r="E1445" i="11" s="1"/>
  <c r="C1625" i="11"/>
  <c r="E1625" i="11" s="1"/>
  <c r="C1652" i="11"/>
  <c r="E1652" i="11" s="1"/>
  <c r="C1508" i="11"/>
  <c r="E1508" i="11" s="1"/>
  <c r="C1760" i="11"/>
  <c r="E1760" i="11" s="1"/>
  <c r="C1526" i="11"/>
  <c r="E1526" i="11" s="1"/>
  <c r="C1679" i="11"/>
  <c r="E1679" i="11" s="1"/>
  <c r="C410" i="11"/>
  <c r="E410" i="11" s="1"/>
  <c r="C1778" i="11"/>
  <c r="E1778" i="11" s="1"/>
  <c r="C1814" i="11"/>
  <c r="E1814" i="11" s="1"/>
  <c r="C1895" i="11"/>
  <c r="E1895" i="11" s="1"/>
  <c r="C1742" i="11"/>
  <c r="E1742" i="11" s="1"/>
  <c r="C1382" i="11"/>
  <c r="E1382" i="11" s="1"/>
  <c r="C1859" i="11"/>
  <c r="E1859" i="11" s="1"/>
  <c r="C38" i="11"/>
  <c r="E38" i="11" s="1"/>
  <c r="C1940" i="11"/>
  <c r="E1940" i="11" s="1"/>
  <c r="C1913" i="11"/>
  <c r="E1913" i="11" s="1"/>
  <c r="C3434" i="11"/>
  <c r="E3434" i="11" s="1"/>
  <c r="C1967" i="11"/>
  <c r="E1967" i="11" s="1"/>
  <c r="C2003" i="11"/>
  <c r="E2003" i="11" s="1"/>
  <c r="C2048" i="11"/>
  <c r="E2048" i="11" s="1"/>
  <c r="C2057" i="11"/>
  <c r="E2057" i="11" s="1"/>
  <c r="C2075" i="11"/>
  <c r="E2075" i="11" s="1"/>
  <c r="C2084" i="11"/>
  <c r="E2084" i="11" s="1"/>
  <c r="C2093" i="11"/>
  <c r="E2093" i="11" s="1"/>
  <c r="C2129" i="11"/>
  <c r="E2129" i="11" s="1"/>
  <c r="C2138" i="11"/>
  <c r="E2138" i="11" s="1"/>
  <c r="C2147" i="11"/>
  <c r="E2147" i="11" s="1"/>
  <c r="C2156" i="11"/>
  <c r="E2156" i="11" s="1"/>
  <c r="C2165" i="11"/>
  <c r="E2165" i="11" s="1"/>
  <c r="C2183" i="11"/>
  <c r="E2183" i="11" s="1"/>
  <c r="C2192" i="11"/>
  <c r="E2192" i="11" s="1"/>
  <c r="C2201" i="11"/>
  <c r="E2201" i="11" s="1"/>
  <c r="C2255" i="11"/>
  <c r="E2255" i="11" s="1"/>
  <c r="C2282" i="11"/>
  <c r="E2282" i="11" s="1"/>
  <c r="C6377" i="11"/>
  <c r="E6377" i="11" s="1"/>
  <c r="C2363" i="11"/>
  <c r="E2363" i="11" s="1"/>
  <c r="C2381" i="11"/>
  <c r="E2381" i="11" s="1"/>
  <c r="C2390" i="11"/>
  <c r="E2390" i="11" s="1"/>
  <c r="C2498" i="11"/>
  <c r="E2498" i="11" s="1"/>
  <c r="C2543" i="11"/>
  <c r="E2543" i="11" s="1"/>
  <c r="C2552" i="11"/>
  <c r="E2552" i="11" s="1"/>
  <c r="C2579" i="11"/>
  <c r="E2579" i="11" s="1"/>
  <c r="C2615" i="11"/>
  <c r="E2615" i="11" s="1"/>
  <c r="C2633" i="11"/>
  <c r="E2633" i="11" s="1"/>
  <c r="C2759" i="11"/>
  <c r="E2759" i="11" s="1"/>
  <c r="C2768" i="11"/>
  <c r="E2768" i="11" s="1"/>
  <c r="C2777" i="11"/>
  <c r="E2777" i="11" s="1"/>
  <c r="C2795" i="11"/>
  <c r="E2795" i="11" s="1"/>
  <c r="C2804" i="11"/>
  <c r="E2804" i="11" s="1"/>
  <c r="C2813" i="11"/>
  <c r="E2813" i="11" s="1"/>
  <c r="C6089" i="11"/>
  <c r="E6089" i="11" s="1"/>
  <c r="C2822" i="11"/>
  <c r="E2822" i="11" s="1"/>
  <c r="C2912" i="11"/>
  <c r="E2912" i="11" s="1"/>
  <c r="C2939" i="11"/>
  <c r="E2939" i="11" s="1"/>
  <c r="C2948" i="11"/>
  <c r="E2948" i="11" s="1"/>
  <c r="C3020" i="11"/>
  <c r="E3020" i="11" s="1"/>
  <c r="C3038" i="11"/>
  <c r="E3038" i="11" s="1"/>
  <c r="C3065" i="11"/>
  <c r="E3065" i="11" s="1"/>
  <c r="C3074" i="11"/>
  <c r="E3074" i="11" s="1"/>
  <c r="C3083" i="11"/>
  <c r="E3083" i="11" s="1"/>
  <c r="C3101" i="11"/>
  <c r="E3101" i="11" s="1"/>
  <c r="C3110" i="11"/>
  <c r="E3110" i="11" s="1"/>
  <c r="C3119" i="11"/>
  <c r="E3119" i="11" s="1"/>
  <c r="C3200" i="11"/>
  <c r="E3200" i="11" s="1"/>
  <c r="C3173" i="11"/>
  <c r="E3173" i="11" s="1"/>
  <c r="C3281" i="11"/>
  <c r="E3281" i="11" s="1"/>
  <c r="C3245" i="11"/>
  <c r="E3245" i="11" s="1"/>
  <c r="C3263" i="11"/>
  <c r="E3263" i="11" s="1"/>
  <c r="C3227" i="11"/>
  <c r="E3227" i="11" s="1"/>
  <c r="C3299" i="11"/>
  <c r="E3299" i="11" s="1"/>
  <c r="C3317" i="11"/>
  <c r="E3317" i="11" s="1"/>
  <c r="C3335" i="11"/>
  <c r="E3335" i="11" s="1"/>
  <c r="C3344" i="11"/>
  <c r="E3344" i="11" s="1"/>
  <c r="C3362" i="11"/>
  <c r="E3362" i="11" s="1"/>
  <c r="C1517" i="11"/>
  <c r="E1517" i="11" s="1"/>
  <c r="C6746" i="11"/>
  <c r="E6746" i="11" s="1"/>
  <c r="C3380" i="11"/>
  <c r="E3380" i="11" s="1"/>
  <c r="C3407" i="11"/>
  <c r="E3407" i="11" s="1"/>
  <c r="C3470" i="11"/>
  <c r="E3470" i="11" s="1"/>
  <c r="C3488" i="11"/>
  <c r="E3488" i="11" s="1"/>
  <c r="C3506" i="11"/>
  <c r="E3506" i="11" s="1"/>
  <c r="C3515" i="11"/>
  <c r="E3515" i="11" s="1"/>
  <c r="C3542" i="11"/>
  <c r="E3542" i="11" s="1"/>
  <c r="C3560" i="11"/>
  <c r="E3560" i="11" s="1"/>
  <c r="C137" i="11"/>
  <c r="E137" i="11" s="1"/>
  <c r="C3641" i="11"/>
  <c r="E3641" i="11" s="1"/>
  <c r="C3650" i="11"/>
  <c r="E3650" i="11" s="1"/>
  <c r="C3668" i="11"/>
  <c r="E3668" i="11" s="1"/>
  <c r="C3686" i="11"/>
  <c r="E3686" i="11" s="1"/>
  <c r="C3695" i="11"/>
  <c r="E3695" i="11" s="1"/>
  <c r="C3713" i="11"/>
  <c r="E3713" i="11" s="1"/>
  <c r="C3722" i="11"/>
  <c r="E3722" i="11" s="1"/>
  <c r="C3731" i="11"/>
  <c r="E3731" i="11" s="1"/>
  <c r="C3740" i="11"/>
  <c r="E3740" i="11" s="1"/>
  <c r="C3776" i="11"/>
  <c r="E3776" i="11" s="1"/>
  <c r="C3794" i="11"/>
  <c r="E3794" i="11" s="1"/>
  <c r="C3812" i="11"/>
  <c r="E3812" i="11" s="1"/>
  <c r="C3866" i="11"/>
  <c r="E3866" i="11" s="1"/>
  <c r="C3929" i="11"/>
  <c r="E3929" i="11" s="1"/>
  <c r="C3938" i="11"/>
  <c r="E3938" i="11" s="1"/>
  <c r="C3947" i="11"/>
  <c r="E3947" i="11" s="1"/>
  <c r="C3956" i="11"/>
  <c r="E3956" i="11" s="1"/>
  <c r="C3965" i="11"/>
  <c r="E3965" i="11" s="1"/>
  <c r="C3983" i="11"/>
  <c r="E3983" i="11" s="1"/>
  <c r="C2399" i="11"/>
  <c r="E2399" i="11" s="1"/>
  <c r="C4001" i="11"/>
  <c r="E4001" i="11" s="1"/>
  <c r="C1598" i="11"/>
  <c r="E1598" i="11" s="1"/>
  <c r="C2741" i="11"/>
  <c r="E2741" i="11" s="1"/>
  <c r="C4028" i="11"/>
  <c r="E4028" i="11" s="1"/>
  <c r="C4037" i="11"/>
  <c r="E4037" i="11" s="1"/>
  <c r="C4046" i="11"/>
  <c r="E4046" i="11" s="1"/>
  <c r="C4091" i="11"/>
  <c r="E4091" i="11" s="1"/>
  <c r="C4118" i="11"/>
  <c r="E4118" i="11" s="1"/>
  <c r="C3839" i="11"/>
  <c r="E3839" i="11" s="1"/>
  <c r="C4127" i="11"/>
  <c r="E4127" i="11" s="1"/>
  <c r="C4181" i="11"/>
  <c r="E4181" i="11" s="1"/>
  <c r="C5504" i="11"/>
  <c r="E5504" i="11" s="1"/>
  <c r="C4226" i="11"/>
  <c r="E4226" i="11" s="1"/>
  <c r="C6422" i="11"/>
  <c r="E6422" i="11" s="1"/>
  <c r="C4244" i="11"/>
  <c r="E4244" i="11" s="1"/>
  <c r="C4316" i="11"/>
  <c r="E4316" i="11" s="1"/>
  <c r="C950" i="11"/>
  <c r="E950" i="11" s="1"/>
  <c r="C4361" i="11"/>
  <c r="E4361" i="11" s="1"/>
  <c r="C4388" i="11"/>
  <c r="E4388" i="11" s="1"/>
  <c r="C4460" i="11"/>
  <c r="E4460" i="11" s="1"/>
  <c r="C4496" i="11"/>
  <c r="E4496" i="11" s="1"/>
  <c r="C1688" i="11"/>
  <c r="E1688" i="11" s="1"/>
  <c r="C4415" i="11"/>
  <c r="E4415" i="11" s="1"/>
  <c r="C3146" i="11"/>
  <c r="E3146" i="11" s="1"/>
  <c r="C4532" i="11"/>
  <c r="E4532" i="11" s="1"/>
  <c r="C4541" i="11"/>
  <c r="E4541" i="11" s="1"/>
  <c r="C4550" i="11"/>
  <c r="E4550" i="11" s="1"/>
  <c r="C4577" i="11"/>
  <c r="E4577" i="11" s="1"/>
  <c r="C4604" i="11"/>
  <c r="E4604" i="11" s="1"/>
  <c r="C4631" i="11"/>
  <c r="E4631" i="11" s="1"/>
  <c r="C4676" i="11"/>
  <c r="E4676" i="11" s="1"/>
  <c r="C4712" i="11"/>
  <c r="E4712" i="11" s="1"/>
  <c r="C4730" i="11"/>
  <c r="E4730" i="11" s="1"/>
  <c r="C4811" i="11"/>
  <c r="E4811" i="11" s="1"/>
  <c r="C4829" i="11"/>
  <c r="E4829" i="11" s="1"/>
  <c r="C4856" i="11"/>
  <c r="E4856" i="11" s="1"/>
  <c r="C4892" i="11"/>
  <c r="E4892" i="11" s="1"/>
  <c r="C4910" i="11"/>
  <c r="E4910" i="11" s="1"/>
  <c r="C4928" i="11"/>
  <c r="E4928" i="11" s="1"/>
  <c r="C4955" i="11"/>
  <c r="E4955" i="11" s="1"/>
  <c r="C4982" i="11"/>
  <c r="E4982" i="11" s="1"/>
  <c r="C5000" i="11"/>
  <c r="E5000" i="11" s="1"/>
  <c r="C5018" i="11"/>
  <c r="E5018" i="11" s="1"/>
  <c r="C5027" i="11"/>
  <c r="E5027" i="11" s="1"/>
  <c r="C5054" i="11"/>
  <c r="E5054" i="11" s="1"/>
  <c r="C5036" i="11"/>
  <c r="E5036" i="11" s="1"/>
  <c r="C5045" i="11"/>
  <c r="E5045" i="11" s="1"/>
  <c r="C218" i="11"/>
  <c r="E218" i="11" s="1"/>
  <c r="C5063" i="11"/>
  <c r="E5063" i="11" s="1"/>
  <c r="C5099" i="11"/>
  <c r="E5099" i="11" s="1"/>
  <c r="C5108" i="11"/>
  <c r="E5108" i="11" s="1"/>
  <c r="C5072" i="11"/>
  <c r="E5072" i="11" s="1"/>
  <c r="C5117" i="11"/>
  <c r="E5117" i="11" s="1"/>
  <c r="C5135" i="11"/>
  <c r="E5135" i="11" s="1"/>
  <c r="C5171" i="11"/>
  <c r="E5171" i="11" s="1"/>
  <c r="C5198" i="11"/>
  <c r="E5198" i="11" s="1"/>
  <c r="C5216" i="11"/>
  <c r="E5216" i="11" s="1"/>
  <c r="C5270" i="11"/>
  <c r="E5270" i="11" s="1"/>
  <c r="C5333" i="11"/>
  <c r="E5333" i="11" s="1"/>
  <c r="C5432" i="11"/>
  <c r="E5432" i="11" s="1"/>
  <c r="C5477" i="11"/>
  <c r="E5477" i="11" s="1"/>
  <c r="C5495" i="11"/>
  <c r="E5495" i="11" s="1"/>
  <c r="C5522" i="11"/>
  <c r="E5522" i="11" s="1"/>
  <c r="C5468" i="11"/>
  <c r="E5468" i="11" s="1"/>
  <c r="C5531" i="11"/>
  <c r="E5531" i="11" s="1"/>
  <c r="C5549" i="11"/>
  <c r="E5549" i="11" s="1"/>
  <c r="C5558" i="11"/>
  <c r="E5558" i="11" s="1"/>
  <c r="C5630" i="11"/>
  <c r="E5630" i="11" s="1"/>
  <c r="C5639" i="11"/>
  <c r="E5639" i="11" s="1"/>
  <c r="C5657" i="11"/>
  <c r="E5657" i="11" s="1"/>
  <c r="C5675" i="11"/>
  <c r="E5675" i="11" s="1"/>
  <c r="C5684" i="11"/>
  <c r="E5684" i="11" s="1"/>
  <c r="C5693" i="11"/>
  <c r="E5693" i="11" s="1"/>
  <c r="C5774" i="11"/>
  <c r="E5774" i="11" s="1"/>
  <c r="C4622" i="11"/>
  <c r="E4622" i="11" s="1"/>
  <c r="C5783" i="11"/>
  <c r="E5783" i="11" s="1"/>
  <c r="C5315" i="11"/>
  <c r="E5315" i="11" s="1"/>
  <c r="C5792" i="11"/>
  <c r="E5792" i="11" s="1"/>
  <c r="C5828" i="11"/>
  <c r="E5828" i="11" s="1"/>
  <c r="C5864" i="11"/>
  <c r="E5864" i="11" s="1"/>
  <c r="C5882" i="11"/>
  <c r="E5882" i="11" s="1"/>
  <c r="C1607" i="11"/>
  <c r="E1607" i="11" s="1"/>
  <c r="C5891" i="11"/>
  <c r="E5891" i="11" s="1"/>
  <c r="C5900" i="11"/>
  <c r="E5900" i="11" s="1"/>
  <c r="C5909" i="11"/>
  <c r="E5909" i="11" s="1"/>
  <c r="C5918" i="11"/>
  <c r="E5918" i="11" s="1"/>
  <c r="C5936" i="11"/>
  <c r="E5936" i="11" s="1"/>
  <c r="C5945" i="11"/>
  <c r="E5945" i="11" s="1"/>
  <c r="C5963" i="11"/>
  <c r="E5963" i="11" s="1"/>
  <c r="C5999" i="11"/>
  <c r="E5999" i="11" s="1"/>
  <c r="C6017" i="11"/>
  <c r="E6017" i="11" s="1"/>
  <c r="C6071" i="11"/>
  <c r="E6071" i="11" s="1"/>
  <c r="C6044" i="11"/>
  <c r="E6044" i="11" s="1"/>
  <c r="C2120" i="11"/>
  <c r="E2120" i="11" s="1"/>
  <c r="C6125" i="11"/>
  <c r="E6125" i="11" s="1"/>
  <c r="C5288" i="11"/>
  <c r="E5288" i="11" s="1"/>
  <c r="C6170" i="11"/>
  <c r="E6170" i="11" s="1"/>
  <c r="C6179" i="11"/>
  <c r="E6179" i="11" s="1"/>
  <c r="C6188" i="11"/>
  <c r="E6188" i="11" s="1"/>
  <c r="C326" i="11"/>
  <c r="E326" i="11" s="1"/>
  <c r="C6242" i="11"/>
  <c r="E6242" i="11" s="1"/>
  <c r="C6251" i="11"/>
  <c r="E6251" i="11" s="1"/>
  <c r="C482" i="11"/>
  <c r="E482" i="11" s="1"/>
  <c r="C6332" i="11"/>
  <c r="E6332" i="11" s="1"/>
  <c r="C6386" i="11"/>
  <c r="E6386" i="11" s="1"/>
  <c r="C6467" i="11"/>
  <c r="E6467" i="11" s="1"/>
  <c r="C6503" i="11"/>
  <c r="E6503" i="11" s="1"/>
  <c r="C6476" i="11"/>
  <c r="E6476" i="11" s="1"/>
  <c r="C6521" i="11"/>
  <c r="E6521" i="11" s="1"/>
  <c r="C6530" i="11"/>
  <c r="E6530" i="11" s="1"/>
  <c r="C6557" i="11"/>
  <c r="E6557" i="11" s="1"/>
  <c r="C6575" i="11"/>
  <c r="E6575" i="11" s="1"/>
  <c r="C6485" i="11"/>
  <c r="E6485" i="11" s="1"/>
  <c r="C6413" i="11"/>
  <c r="E6413" i="11" s="1"/>
  <c r="C6584" i="11"/>
  <c r="E6584" i="11" s="1"/>
  <c r="C6593" i="11"/>
  <c r="E6593" i="11" s="1"/>
  <c r="C6629" i="11"/>
  <c r="E6629" i="11" s="1"/>
  <c r="C6638" i="11"/>
  <c r="E6638" i="11" s="1"/>
  <c r="C6656" i="11"/>
  <c r="E6656" i="11" s="1"/>
  <c r="C6665" i="11"/>
  <c r="E6665" i="11" s="1"/>
  <c r="C6692" i="11"/>
  <c r="E6692" i="11" s="1"/>
  <c r="C6737" i="11"/>
  <c r="E6737" i="11" s="1"/>
  <c r="C6836" i="11"/>
  <c r="E6836" i="11" s="1"/>
  <c r="C6755" i="11"/>
  <c r="E6755" i="11" s="1"/>
  <c r="C6764" i="11"/>
  <c r="E6764" i="11" s="1"/>
  <c r="C6701" i="11"/>
  <c r="E6701" i="11" s="1"/>
  <c r="C4379" i="11"/>
  <c r="E4379" i="11" s="1"/>
  <c r="C6917" i="11"/>
  <c r="E6917" i="11" s="1"/>
  <c r="C6899" i="11"/>
  <c r="E6899" i="11" s="1"/>
  <c r="C6890" i="11"/>
  <c r="E6890" i="11" s="1"/>
  <c r="C6944" i="11"/>
  <c r="E6944" i="11" s="1"/>
  <c r="C6962" i="11"/>
  <c r="E6962" i="11" s="1"/>
  <c r="C6980" i="11"/>
  <c r="E6980" i="11" s="1"/>
  <c r="C6926" i="11"/>
  <c r="E6926" i="11" s="1"/>
  <c r="C3164" i="11"/>
  <c r="E3164" i="11" s="1"/>
  <c r="C7043" i="11"/>
  <c r="E7043" i="11" s="1"/>
  <c r="C1022" i="11"/>
  <c r="E1022" i="11" s="1"/>
  <c r="C5810" i="11"/>
  <c r="E5810" i="11" s="1"/>
  <c r="C4136" i="11"/>
  <c r="E4136" i="11" s="1"/>
  <c r="C5729" i="11"/>
  <c r="E5729" i="11" s="1"/>
  <c r="C2012" i="11"/>
  <c r="E2012" i="11" s="1"/>
  <c r="C4100" i="11"/>
  <c r="E4100" i="11" s="1"/>
  <c r="C1877" i="11"/>
  <c r="E1877" i="11" s="1"/>
  <c r="C2570" i="11"/>
  <c r="E2570" i="11" s="1"/>
  <c r="C6908" i="11"/>
  <c r="E6908" i="11" s="1"/>
  <c r="C5765" i="11"/>
  <c r="E5765" i="11" s="1"/>
  <c r="C1076" i="11"/>
  <c r="E1076" i="11" s="1"/>
  <c r="C734" i="11"/>
  <c r="E734" i="11" s="1"/>
  <c r="C968" i="11"/>
  <c r="E968" i="11" s="1"/>
  <c r="C4865" i="11"/>
  <c r="E4865" i="11" s="1"/>
  <c r="C2408" i="11"/>
  <c r="E2408" i="11" s="1"/>
  <c r="C3029" i="11"/>
  <c r="E3029" i="11" s="1"/>
  <c r="C1949" i="11"/>
  <c r="E1949" i="11" s="1"/>
  <c r="C4469" i="11"/>
  <c r="E4469" i="11" s="1"/>
  <c r="C6260" i="11"/>
  <c r="E6260" i="11" s="1"/>
  <c r="C3209" i="11"/>
  <c r="E3209" i="11" s="1"/>
  <c r="C5207" i="11"/>
  <c r="E5207" i="11" s="1"/>
  <c r="C2534" i="11"/>
  <c r="E2534" i="11" s="1"/>
  <c r="C1463" i="11"/>
  <c r="E1463" i="11" s="1"/>
  <c r="C6773" i="11"/>
  <c r="E6773" i="11" s="1"/>
  <c r="C671" i="11"/>
  <c r="E671" i="11" s="1"/>
  <c r="C2264" i="11"/>
  <c r="E2264" i="11" s="1"/>
  <c r="C5297" i="11"/>
  <c r="E5297" i="11" s="1"/>
  <c r="C5306" i="11"/>
  <c r="E5306" i="11" s="1"/>
  <c r="C6674" i="11"/>
  <c r="E6674" i="11" s="1"/>
  <c r="C1436" i="11"/>
  <c r="E1436" i="11" s="1"/>
  <c r="C6026" i="11"/>
  <c r="E6026" i="11" s="1"/>
  <c r="C5162" i="11"/>
  <c r="E5162" i="11" s="1"/>
  <c r="C4253" i="11"/>
  <c r="E4253" i="11" s="1"/>
  <c r="C6368" i="11"/>
  <c r="E6368" i="11" s="1"/>
  <c r="C1571" i="11"/>
  <c r="E1571" i="11" s="1"/>
  <c r="C1733" i="11"/>
  <c r="E1733" i="11" s="1"/>
  <c r="C4937" i="11"/>
  <c r="E4937" i="11" s="1"/>
  <c r="C1184" i="11"/>
  <c r="E1184" i="11" s="1"/>
  <c r="C5396" i="11"/>
  <c r="E5396" i="11" s="1"/>
  <c r="C5846" i="11"/>
  <c r="E5846" i="11" s="1"/>
  <c r="C6818" i="11"/>
  <c r="E6818" i="11" s="1"/>
  <c r="C2561" i="11"/>
  <c r="E2561" i="11" s="1"/>
  <c r="C1427" i="11"/>
  <c r="E1427" i="11" s="1"/>
  <c r="C5090" i="11"/>
  <c r="E5090" i="11" s="1"/>
  <c r="C1004" i="11"/>
  <c r="E1004" i="11" s="1"/>
  <c r="C2372" i="11"/>
  <c r="E2372" i="11" s="1"/>
  <c r="C5873" i="11"/>
  <c r="E5873" i="11" s="1"/>
  <c r="C2462" i="11"/>
  <c r="E2462" i="11" s="1"/>
  <c r="C4658" i="11"/>
  <c r="E4658" i="11" s="1"/>
  <c r="C1580" i="11"/>
  <c r="E1580" i="11" s="1"/>
  <c r="C4667" i="11"/>
  <c r="E4667" i="11" s="1"/>
  <c r="C797" i="11"/>
  <c r="E797" i="11" s="1"/>
  <c r="C6953" i="11"/>
  <c r="E6953" i="11" s="1"/>
  <c r="C1868" i="11"/>
  <c r="E1868" i="11" s="1"/>
  <c r="C4262" i="11"/>
  <c r="E4262" i="11" s="1"/>
  <c r="C5738" i="11"/>
  <c r="E5738" i="11" s="1"/>
  <c r="C5243" i="11"/>
  <c r="E5243" i="11" s="1"/>
  <c r="C3524" i="11"/>
  <c r="E3524" i="11" s="1"/>
  <c r="C7093" i="11"/>
  <c r="E7093" i="11" s="1"/>
  <c r="C1670" i="11"/>
  <c r="E1670" i="11" s="1"/>
  <c r="C4073" i="11"/>
  <c r="E4073" i="11" s="1"/>
  <c r="C1904" i="11"/>
  <c r="E1904" i="11" s="1"/>
  <c r="C3992" i="11"/>
  <c r="E3992" i="11" s="1"/>
  <c r="C2507" i="11"/>
  <c r="E2507" i="11" s="1"/>
  <c r="C590" i="11"/>
  <c r="E590" i="11" s="1"/>
  <c r="C851" i="11"/>
  <c r="E851" i="11" s="1"/>
  <c r="C4874" i="11"/>
  <c r="E4874" i="11" s="1"/>
  <c r="C1994" i="11"/>
  <c r="E1994" i="11" s="1"/>
  <c r="C1922" i="11"/>
  <c r="E1922" i="11" s="1"/>
  <c r="C3002" i="11"/>
  <c r="E3002" i="11" s="1"/>
  <c r="C6512" i="11"/>
  <c r="E6512" i="11" s="1"/>
  <c r="C2858" i="11"/>
  <c r="E2858" i="11" s="1"/>
  <c r="C6359" i="11"/>
  <c r="E6359" i="11" s="1"/>
  <c r="C2678" i="11"/>
  <c r="E2678" i="11" s="1"/>
  <c r="C4901" i="11"/>
  <c r="E4901" i="11" s="1"/>
  <c r="C5837" i="11"/>
  <c r="E5837" i="11" s="1"/>
  <c r="C2696" i="11"/>
  <c r="E2696" i="11" s="1"/>
  <c r="C1985" i="11"/>
  <c r="E1985" i="11" s="1"/>
  <c r="C353" i="11"/>
  <c r="E353" i="11" s="1"/>
  <c r="C4973" i="11"/>
  <c r="E4973" i="11" s="1"/>
  <c r="C5081" i="11"/>
  <c r="E5081" i="11" s="1"/>
  <c r="C6053" i="11"/>
  <c r="E6053" i="11" s="1"/>
  <c r="C5378" i="11"/>
  <c r="E5378" i="11" s="1"/>
  <c r="C4163" i="11"/>
  <c r="E4163" i="11" s="1"/>
  <c r="C599" i="11"/>
  <c r="E599" i="11" s="1"/>
  <c r="C1697" i="11"/>
  <c r="E1697" i="11" s="1"/>
  <c r="C3218" i="11"/>
  <c r="E3218" i="11" s="1"/>
  <c r="C4568" i="11"/>
  <c r="E4568" i="11" s="1"/>
  <c r="C1553" i="11"/>
  <c r="E1553" i="11" s="1"/>
  <c r="C1238" i="11"/>
  <c r="E1238" i="11" s="1"/>
  <c r="C6107" i="11"/>
  <c r="E6107" i="11" s="1"/>
  <c r="C5612" i="11"/>
  <c r="E5612" i="11" s="1"/>
  <c r="C3623" i="11"/>
  <c r="E3623" i="11" s="1"/>
  <c r="C3830" i="11"/>
  <c r="E3830" i="11" s="1"/>
  <c r="C1283" i="11"/>
  <c r="E1283" i="11" s="1"/>
  <c r="C2237" i="11"/>
  <c r="E2237" i="11" s="1"/>
  <c r="C4721" i="11"/>
  <c r="E4721" i="11" s="1"/>
  <c r="C4964" i="11"/>
  <c r="E4964" i="11" s="1"/>
  <c r="C5009" i="11"/>
  <c r="E5009" i="11" s="1"/>
  <c r="C644" i="11"/>
  <c r="E644" i="11" s="1"/>
  <c r="C7016" i="11"/>
  <c r="E7016" i="11" s="1"/>
  <c r="C3326" i="11"/>
  <c r="E3326" i="11" s="1"/>
  <c r="C6971" i="11"/>
  <c r="E6971" i="11" s="1"/>
  <c r="C1535" i="11"/>
  <c r="E1535" i="11" s="1"/>
  <c r="C725" i="11"/>
  <c r="E725" i="11" s="1"/>
  <c r="C4010" i="11"/>
  <c r="E4010" i="11" s="1"/>
  <c r="C5513" i="11"/>
  <c r="E5513" i="11" s="1"/>
  <c r="C6116" i="11"/>
  <c r="E6116" i="11" s="1"/>
  <c r="C5981" i="11"/>
  <c r="E5981" i="11" s="1"/>
  <c r="C446" i="11"/>
  <c r="E446" i="11" s="1"/>
  <c r="C2705" i="11"/>
  <c r="E2705" i="11" s="1"/>
  <c r="C1634" i="11"/>
  <c r="E1634" i="11" s="1"/>
  <c r="C2219" i="11"/>
  <c r="E2219" i="11" s="1"/>
  <c r="C1796" i="11"/>
  <c r="E1796" i="11" s="1"/>
  <c r="C4154" i="11"/>
  <c r="E4154" i="11" s="1"/>
  <c r="C3677" i="11"/>
  <c r="E3677" i="11" s="1"/>
  <c r="C4271" i="11"/>
  <c r="E4271" i="11" s="1"/>
  <c r="C6989" i="11"/>
  <c r="E6989" i="11" s="1"/>
  <c r="C5711" i="11"/>
  <c r="E5711" i="11" s="1"/>
  <c r="C3632" i="11"/>
  <c r="E3632" i="11" s="1"/>
  <c r="C6683" i="11"/>
  <c r="E6683" i="11" s="1"/>
  <c r="C2210" i="11"/>
  <c r="E2210" i="11" s="1"/>
  <c r="C1166" i="11"/>
  <c r="E1166" i="11" s="1"/>
  <c r="C6872" i="11"/>
  <c r="E6872" i="11" s="1"/>
  <c r="C4064" i="11"/>
  <c r="E4064" i="11" s="1"/>
  <c r="C4685" i="11"/>
  <c r="E4685" i="11" s="1"/>
  <c r="C1337" i="11"/>
  <c r="E1337" i="11" s="1"/>
  <c r="C2453" i="11"/>
  <c r="E2453" i="11" s="1"/>
  <c r="C2489" i="11"/>
  <c r="E2489" i="11" s="1"/>
  <c r="C1976" i="11"/>
  <c r="E1976" i="11" s="1"/>
  <c r="C209" i="11"/>
  <c r="E209" i="11" s="1"/>
  <c r="C4298" i="11"/>
  <c r="E4298" i="11" s="1"/>
  <c r="C6719" i="11"/>
  <c r="E6719" i="11" s="1"/>
  <c r="C5153" i="11"/>
  <c r="E5153" i="11" s="1"/>
  <c r="C5387" i="11"/>
  <c r="E5387" i="11" s="1"/>
  <c r="C383" i="11"/>
  <c r="E383" i="11" s="1"/>
  <c r="C653" i="11"/>
  <c r="E653" i="11" s="1"/>
  <c r="C3587" i="11"/>
  <c r="E3587" i="11" s="1"/>
  <c r="C3371" i="11"/>
  <c r="E3371" i="11" s="1"/>
  <c r="C5972" i="11"/>
  <c r="E5972" i="11" s="1"/>
  <c r="C2642" i="11"/>
  <c r="E2642" i="11" s="1"/>
  <c r="C6233" i="11"/>
  <c r="E6233" i="11" s="1"/>
  <c r="C977" i="11"/>
  <c r="E977" i="11" s="1"/>
  <c r="C5567" i="11"/>
  <c r="E5567" i="11" s="1"/>
  <c r="C3857" i="11"/>
  <c r="E3857" i="11" s="1"/>
  <c r="C1805" i="11"/>
  <c r="E1805" i="11" s="1"/>
  <c r="C3848" i="11"/>
  <c r="E3848" i="11" s="1"/>
  <c r="C5990" i="11"/>
  <c r="E5990" i="11" s="1"/>
  <c r="C941" i="11"/>
  <c r="E941" i="11" s="1"/>
  <c r="C6287" i="11"/>
  <c r="E6287" i="11" s="1"/>
  <c r="C833" i="11"/>
  <c r="E833" i="11" s="1"/>
  <c r="C1301" i="11"/>
  <c r="E1301" i="11" s="1"/>
  <c r="C2651" i="11"/>
  <c r="E2651" i="11" s="1"/>
  <c r="C4307" i="11"/>
  <c r="E4307" i="11" s="1"/>
  <c r="C7034" i="11"/>
  <c r="E7034" i="11" s="1"/>
  <c r="C1886" i="11"/>
  <c r="E1886" i="11" s="1"/>
  <c r="C6647" i="11"/>
  <c r="E6647" i="11" s="1"/>
  <c r="C3704" i="11"/>
  <c r="E3704" i="11" s="1"/>
  <c r="C6548" i="11"/>
  <c r="E6548" i="11" s="1"/>
  <c r="C4289" i="11"/>
  <c r="E4289" i="11" s="1"/>
  <c r="C2957" i="11"/>
  <c r="E2957" i="11" s="1"/>
  <c r="C3902" i="11"/>
  <c r="E3902" i="11" s="1"/>
  <c r="C6143" i="11"/>
  <c r="E6143" i="11" s="1"/>
  <c r="C1319" i="11"/>
  <c r="E1319" i="11" s="1"/>
  <c r="C6863" i="11"/>
  <c r="E6863" i="11" s="1"/>
  <c r="C3533" i="11"/>
  <c r="E3533" i="11" s="1"/>
  <c r="C3236" i="11"/>
  <c r="E3236" i="11" s="1"/>
  <c r="C4397" i="11"/>
  <c r="E4397" i="11" s="1"/>
  <c r="C4559" i="11"/>
  <c r="E4559" i="11" s="1"/>
  <c r="C986" i="11"/>
  <c r="E986" i="11" s="1"/>
  <c r="C6440" i="11"/>
  <c r="E6440" i="11" s="1"/>
  <c r="C2291" i="11"/>
  <c r="E2291" i="11" s="1"/>
  <c r="C2516" i="11"/>
  <c r="E2516" i="11" s="1"/>
  <c r="C2435" i="11"/>
  <c r="E2435" i="11" s="1"/>
  <c r="C6449" i="11"/>
  <c r="E6449" i="11" s="1"/>
  <c r="C4109" i="11"/>
  <c r="E4109" i="11" s="1"/>
  <c r="C4595" i="11"/>
  <c r="E4595" i="11" s="1"/>
  <c r="C6458" i="11"/>
  <c r="E6458" i="11" s="1"/>
  <c r="C3398" i="11"/>
  <c r="E3398" i="11" s="1"/>
  <c r="C6431" i="11"/>
  <c r="E6431" i="11" s="1"/>
  <c r="C5801" i="11"/>
  <c r="E5801" i="11" s="1"/>
  <c r="C995" i="11"/>
  <c r="E995" i="11" s="1"/>
  <c r="C4451" i="11"/>
  <c r="E4451" i="11" s="1"/>
  <c r="C4838" i="11"/>
  <c r="E4838" i="11" s="1"/>
  <c r="C1202" i="11"/>
  <c r="E1202" i="11" s="1"/>
  <c r="C5666" i="11"/>
  <c r="E5666" i="11" s="1"/>
  <c r="C6611" i="11"/>
  <c r="E6611" i="11" s="1"/>
  <c r="C6854" i="11"/>
  <c r="E6854" i="11" s="1"/>
  <c r="C5342" i="11"/>
  <c r="E5342" i="11" s="1"/>
  <c r="C2354" i="11"/>
  <c r="E2354" i="11" s="1"/>
  <c r="C3596" i="11"/>
  <c r="E3596" i="11" s="1"/>
  <c r="C464" i="11"/>
  <c r="E464" i="11" s="1"/>
  <c r="C6323" i="11"/>
  <c r="E6323" i="11" s="1"/>
  <c r="C3875" i="11"/>
  <c r="E3875" i="11" s="1"/>
  <c r="C1067" i="11"/>
  <c r="E1067" i="11" s="1"/>
  <c r="C3974" i="11"/>
  <c r="E3974" i="11" s="1"/>
  <c r="C3254" i="11"/>
  <c r="E3254" i="11" s="1"/>
  <c r="C2021" i="11"/>
  <c r="E2021" i="11" s="1"/>
  <c r="C4370" i="11"/>
  <c r="E4370" i="11" s="1"/>
  <c r="C5459" i="11"/>
  <c r="E5459" i="11" s="1"/>
  <c r="C1724" i="11"/>
  <c r="E1724" i="11" s="1"/>
  <c r="C3893" i="11"/>
  <c r="E3893" i="11" s="1"/>
  <c r="C5324" i="11"/>
  <c r="E5324" i="11" s="1"/>
  <c r="C4019" i="11"/>
  <c r="E4019" i="11" s="1"/>
  <c r="C6935" i="11"/>
  <c r="E6935" i="11" s="1"/>
  <c r="C2606" i="11"/>
  <c r="E2606" i="11" s="1"/>
  <c r="C3191" i="11"/>
  <c r="E3191" i="11" s="1"/>
  <c r="C6341" i="11"/>
  <c r="E6341" i="11" s="1"/>
  <c r="C3578" i="11"/>
  <c r="E3578" i="11" s="1"/>
  <c r="C1643" i="11"/>
  <c r="E1643" i="11" s="1"/>
  <c r="C2750" i="11"/>
  <c r="E2750" i="11" s="1"/>
  <c r="C4199" i="11"/>
  <c r="E4199" i="11" s="1"/>
  <c r="C2894" i="11"/>
  <c r="E2894" i="11" s="1"/>
  <c r="C2444" i="11"/>
  <c r="E2444" i="11" s="1"/>
  <c r="C887" i="11"/>
  <c r="E887" i="11" s="1"/>
  <c r="C3884" i="11"/>
  <c r="E3884" i="11" s="1"/>
  <c r="C680" i="11"/>
  <c r="E680" i="11" s="1"/>
  <c r="C227" i="11"/>
  <c r="E227" i="11" s="1"/>
  <c r="C5621" i="11"/>
  <c r="E5621" i="11" s="1"/>
  <c r="C3011" i="11"/>
  <c r="E3011" i="11" s="1"/>
  <c r="C2930" i="11"/>
  <c r="E2930" i="11" s="1"/>
  <c r="C2624" i="11"/>
  <c r="E2624" i="11" s="1"/>
  <c r="C5252" i="11"/>
  <c r="E5252" i="11" s="1"/>
  <c r="C4613" i="11"/>
  <c r="E4613" i="11" s="1"/>
  <c r="C1130" i="11"/>
  <c r="E1130" i="11" s="1"/>
  <c r="C1157" i="11"/>
  <c r="E1157" i="11" s="1"/>
  <c r="C3272" i="11"/>
  <c r="E3272" i="11" s="1"/>
  <c r="C4586" i="11"/>
  <c r="E4586" i="11" s="1"/>
  <c r="C7007" i="11"/>
  <c r="E7007" i="11" s="1"/>
  <c r="C5720" i="11"/>
  <c r="E5720" i="11" s="1"/>
  <c r="C1850" i="11"/>
  <c r="E1850" i="11" s="1"/>
  <c r="C1292" i="11"/>
  <c r="E1292" i="11" s="1"/>
  <c r="C2876" i="11"/>
  <c r="E2876" i="11" s="1"/>
  <c r="C1013" i="11"/>
  <c r="E1013" i="11" s="1"/>
  <c r="C1562" i="11"/>
  <c r="E1562" i="11" s="1"/>
  <c r="C128" i="11"/>
  <c r="E128" i="11" s="1"/>
  <c r="C4406" i="11"/>
  <c r="E4406" i="11" s="1"/>
  <c r="C6215" i="11"/>
  <c r="E6215" i="11" s="1"/>
  <c r="C2687" i="11"/>
  <c r="E2687" i="11" s="1"/>
  <c r="C1706" i="11"/>
  <c r="E1706" i="11" s="1"/>
  <c r="C3137" i="11"/>
  <c r="E3137" i="11" s="1"/>
  <c r="C2228" i="11"/>
  <c r="E2228" i="11" s="1"/>
  <c r="C2975" i="11"/>
  <c r="E2975" i="11" s="1"/>
  <c r="C4280" i="11"/>
  <c r="E4280" i="11" s="1"/>
  <c r="C3155" i="11"/>
  <c r="E3155" i="11" s="1"/>
  <c r="C3047" i="11"/>
  <c r="E3047" i="11" s="1"/>
  <c r="C1103" i="11"/>
  <c r="E1103" i="11" s="1"/>
  <c r="C3749" i="11"/>
  <c r="E3749" i="11" s="1"/>
  <c r="C3920" i="11"/>
  <c r="E3920" i="11" s="1"/>
  <c r="C1769" i="11"/>
  <c r="E1769" i="11" s="1"/>
  <c r="C4703" i="11"/>
  <c r="E4703" i="11" s="1"/>
  <c r="C4946" i="11"/>
  <c r="E4946" i="11" s="1"/>
  <c r="C1823" i="11"/>
  <c r="E1823" i="11" s="1"/>
  <c r="C2597" i="11"/>
  <c r="E2597" i="11" s="1"/>
  <c r="C5954" i="11"/>
  <c r="E5954" i="11" s="1"/>
  <c r="C5756" i="11"/>
  <c r="E5756" i="11" s="1"/>
  <c r="C6134" i="11"/>
  <c r="E6134" i="11" s="1"/>
  <c r="C2921" i="11"/>
  <c r="E2921" i="11" s="1"/>
  <c r="C4739" i="11"/>
  <c r="E4739" i="11" s="1"/>
  <c r="C6062" i="11"/>
  <c r="E6062" i="11" s="1"/>
  <c r="C572" i="11"/>
  <c r="E572" i="11" s="1"/>
  <c r="C770" i="11"/>
  <c r="E770" i="11" s="1"/>
  <c r="C3443" i="11"/>
  <c r="E3443" i="11" s="1"/>
  <c r="C824" i="11"/>
  <c r="E824" i="11" s="1"/>
  <c r="C1094" i="11"/>
  <c r="E1094" i="11" s="1"/>
  <c r="C5234" i="11"/>
  <c r="E5234" i="11" s="1"/>
  <c r="C2984" i="11"/>
  <c r="E2984" i="11" s="1"/>
  <c r="C1328" i="11"/>
  <c r="E1328" i="11" s="1"/>
  <c r="C662" i="11"/>
  <c r="E662" i="11" s="1"/>
  <c r="C1355" i="11"/>
  <c r="E1355" i="11" s="1"/>
  <c r="C2066" i="11"/>
  <c r="E2066" i="11" s="1"/>
  <c r="C6494" i="11"/>
  <c r="E6494" i="11" s="1"/>
  <c r="C689" i="11"/>
  <c r="E689" i="11" s="1"/>
  <c r="C6080" i="11"/>
  <c r="E6080" i="11" s="1"/>
  <c r="C5576" i="11"/>
  <c r="E5576" i="11" s="1"/>
  <c r="C4235" i="11"/>
  <c r="E4235" i="11" s="1"/>
  <c r="C5855" i="11"/>
  <c r="E5855" i="11" s="1"/>
  <c r="C3452" i="11"/>
  <c r="E3452" i="11" s="1"/>
  <c r="C5819" i="11"/>
  <c r="E5819" i="11" s="1"/>
  <c r="C5351" i="11"/>
  <c r="E5351" i="11" s="1"/>
  <c r="C6827" i="11"/>
  <c r="E6827" i="11" s="1"/>
  <c r="C5279" i="11"/>
  <c r="E5279" i="11" s="1"/>
  <c r="C2993" i="11"/>
  <c r="E2993" i="11" s="1"/>
  <c r="C1139" i="11"/>
  <c r="E1139" i="11" s="1"/>
  <c r="C5585" i="11"/>
  <c r="E5585" i="11" s="1"/>
  <c r="C491" i="11"/>
  <c r="E491" i="11" s="1"/>
  <c r="C2111" i="11"/>
  <c r="E2111" i="11" s="1"/>
  <c r="C4919" i="11"/>
  <c r="E4919" i="11" s="1"/>
  <c r="C2426" i="11"/>
  <c r="E2426" i="11" s="1"/>
  <c r="C6035" i="11"/>
  <c r="E6035" i="11" s="1"/>
  <c r="C4055" i="11"/>
  <c r="E4055" i="11" s="1"/>
  <c r="C2867" i="11"/>
  <c r="E2867" i="11" s="1"/>
  <c r="C4442" i="11"/>
  <c r="E4442" i="11" s="1"/>
  <c r="C3767" i="11"/>
  <c r="E3767" i="11" s="1"/>
  <c r="C1211" i="11"/>
  <c r="E1211" i="11" s="1"/>
  <c r="C5180" i="11"/>
  <c r="E5180" i="11" s="1"/>
  <c r="C4343" i="11"/>
  <c r="E4343" i="11" s="1"/>
  <c r="C4172" i="11"/>
  <c r="E4172" i="11" s="1"/>
  <c r="C5441" i="11"/>
  <c r="E5441" i="11" s="1"/>
  <c r="C1490" i="11"/>
  <c r="E1490" i="11" s="1"/>
  <c r="C2102" i="11"/>
  <c r="E2102" i="11" s="1"/>
  <c r="C3416" i="11"/>
  <c r="E3416" i="11" s="1"/>
  <c r="C923" i="11"/>
  <c r="E923" i="11" s="1"/>
  <c r="C2417" i="11"/>
  <c r="E2417" i="11" s="1"/>
  <c r="C6998" i="11"/>
  <c r="E6998" i="11" s="1"/>
  <c r="C2309" i="11"/>
  <c r="E2309" i="11" s="1"/>
  <c r="C6161" i="11"/>
  <c r="E6161" i="11" s="1"/>
  <c r="C6296" i="11"/>
  <c r="E6296" i="11" s="1"/>
  <c r="C5486" i="11"/>
  <c r="E5486" i="11" s="1"/>
  <c r="C3785" i="11"/>
  <c r="E3785" i="11" s="1"/>
  <c r="C2246" i="11"/>
  <c r="E2246" i="11" s="1"/>
  <c r="C4505" i="11"/>
  <c r="E4505" i="11" s="1"/>
  <c r="C6008" i="11"/>
  <c r="E6008" i="11" s="1"/>
  <c r="C6314" i="11"/>
  <c r="E6314" i="11" s="1"/>
  <c r="C2669" i="11"/>
  <c r="E2669" i="11" s="1"/>
  <c r="C2903" i="11"/>
  <c r="E2903" i="11" s="1"/>
  <c r="C3659" i="11"/>
  <c r="E3659" i="11" s="1"/>
  <c r="C1373" i="11"/>
  <c r="E1373" i="11" s="1"/>
  <c r="C3182" i="11"/>
  <c r="E3182" i="11" s="1"/>
  <c r="C761" i="11"/>
  <c r="E761" i="11" s="1"/>
  <c r="C2471" i="11"/>
  <c r="E2471" i="11" s="1"/>
  <c r="C2480" i="11"/>
  <c r="E2480" i="11" s="1"/>
  <c r="C2786" i="11"/>
  <c r="E2786" i="11" s="1"/>
  <c r="C2885" i="11"/>
  <c r="E2885" i="11" s="1"/>
  <c r="C3056" i="11"/>
  <c r="E3056" i="11" s="1"/>
  <c r="C5603" i="11"/>
  <c r="E5603" i="11" s="1"/>
  <c r="C1310" i="11"/>
  <c r="E1310" i="11" s="1"/>
  <c r="C1085" i="11"/>
  <c r="E1085" i="11" s="1"/>
  <c r="C4649" i="11"/>
  <c r="E4649" i="11" s="1"/>
  <c r="C3614" i="11"/>
  <c r="E3614" i="11" s="1"/>
  <c r="C3479" i="11"/>
  <c r="E3479" i="11" s="1"/>
  <c r="C2174" i="11"/>
  <c r="E2174" i="11" s="1"/>
  <c r="C6539" i="11"/>
  <c r="E6539" i="11" s="1"/>
  <c r="C3353" i="11"/>
  <c r="E3353" i="11" s="1"/>
  <c r="C4190" i="11"/>
  <c r="E4190" i="11" s="1"/>
  <c r="C4487" i="11"/>
  <c r="E4487" i="11" s="1"/>
  <c r="C3389" i="11"/>
  <c r="E3389" i="11" s="1"/>
  <c r="C2300" i="11"/>
  <c r="E2300" i="11" s="1"/>
  <c r="C2831" i="11"/>
  <c r="E2831" i="11" s="1"/>
  <c r="C5144" i="11"/>
  <c r="E5144" i="11" s="1"/>
  <c r="C3092" i="11"/>
  <c r="E3092" i="11" s="1"/>
  <c r="C1058" i="11"/>
  <c r="E1058" i="11" s="1"/>
  <c r="C4325" i="11"/>
  <c r="E4325" i="11" s="1"/>
  <c r="C2840" i="11"/>
  <c r="E2840" i="11" s="1"/>
  <c r="C2849" i="11"/>
  <c r="E2849" i="11" s="1"/>
  <c r="C4334" i="11"/>
  <c r="E4334" i="11" s="1"/>
  <c r="C617" i="11"/>
  <c r="E617" i="11" s="1"/>
  <c r="C1229" i="11"/>
  <c r="E1229" i="11" s="1"/>
  <c r="C1454" i="11"/>
  <c r="E1454" i="11" s="1"/>
  <c r="C1472" i="11"/>
  <c r="E1472" i="11" s="1"/>
  <c r="C1715" i="11"/>
  <c r="E1715" i="11" s="1"/>
  <c r="C1931" i="11"/>
  <c r="E1931" i="11" s="1"/>
  <c r="C500" i="11"/>
  <c r="E500" i="11" s="1"/>
  <c r="C2327" i="11"/>
  <c r="E2327" i="11" s="1"/>
  <c r="C2336" i="11"/>
  <c r="E2336" i="11" s="1"/>
  <c r="C2525" i="11"/>
  <c r="E2525" i="11" s="1"/>
  <c r="C4883" i="11"/>
  <c r="E4883" i="11" s="1"/>
  <c r="C2966" i="11"/>
  <c r="E2966" i="11" s="1"/>
  <c r="C3128" i="11"/>
  <c r="E3128" i="11" s="1"/>
  <c r="C3461" i="11"/>
  <c r="E3461" i="11" s="1"/>
  <c r="C5405" i="11"/>
  <c r="E5405" i="11" s="1"/>
  <c r="C3911" i="11"/>
  <c r="E3911" i="11" s="1"/>
  <c r="C4208" i="11"/>
  <c r="E4208" i="11" s="1"/>
  <c r="C4217" i="11"/>
  <c r="E4217" i="11" s="1"/>
  <c r="C518" i="11"/>
  <c r="E518" i="11" s="1"/>
  <c r="C4775" i="11"/>
  <c r="E4775" i="11" s="1"/>
  <c r="C4793" i="11"/>
  <c r="E4793" i="11" s="1"/>
  <c r="C4820" i="11"/>
  <c r="E4820" i="11" s="1"/>
  <c r="C4847" i="11"/>
  <c r="E4847" i="11" s="1"/>
  <c r="C545" i="11"/>
  <c r="E545" i="11" s="1"/>
  <c r="C5261" i="11"/>
  <c r="E5261" i="11" s="1"/>
  <c r="C5369" i="11"/>
  <c r="E5369" i="11" s="1"/>
  <c r="C554" i="11"/>
  <c r="E554" i="11" s="1"/>
  <c r="C6098" i="11"/>
  <c r="E6098" i="11" s="1"/>
  <c r="C6782" i="11"/>
  <c r="E6782" i="11" s="1"/>
  <c r="C6800" i="11"/>
  <c r="E6800" i="11" s="1"/>
  <c r="C5747" i="11"/>
  <c r="E5747" i="11" s="1"/>
  <c r="C6152" i="11"/>
  <c r="E6152" i="11" s="1"/>
  <c r="C6269" i="11"/>
  <c r="E6269" i="11" s="1"/>
  <c r="C6350" i="11"/>
  <c r="E6350" i="11" s="1"/>
  <c r="C6566" i="11"/>
  <c r="E6566" i="11" s="1"/>
  <c r="C4802" i="11"/>
  <c r="E4802" i="11" s="1"/>
  <c r="C191" i="11"/>
  <c r="E191" i="11" s="1"/>
  <c r="C164" i="11"/>
  <c r="E164" i="11" s="1"/>
  <c r="C254" i="11"/>
  <c r="E254" i="11" s="1"/>
  <c r="C281" i="11"/>
  <c r="E281" i="11" s="1"/>
  <c r="C272" i="11"/>
  <c r="E272" i="11" s="1"/>
  <c r="C290" i="11"/>
  <c r="E290" i="11" s="1"/>
  <c r="C299" i="11"/>
  <c r="E299" i="11" s="1"/>
  <c r="C47" i="11"/>
  <c r="E47" i="11" s="1"/>
  <c r="C401" i="11"/>
  <c r="E401" i="11" s="1"/>
  <c r="C10" i="11"/>
  <c r="E10" i="11" s="1"/>
  <c r="C1220" i="11"/>
  <c r="E1220" i="11" s="1"/>
  <c r="C419" i="11"/>
  <c r="E419" i="11" s="1"/>
  <c r="C20" i="11"/>
  <c r="E20" i="11" s="1"/>
  <c r="C1832" i="11"/>
  <c r="E1832" i="11" s="1"/>
  <c r="C509" i="11"/>
  <c r="E509" i="11" s="1"/>
  <c r="C56" i="11"/>
  <c r="E56" i="11" s="1"/>
  <c r="C74" i="11"/>
  <c r="E74" i="11" s="1"/>
  <c r="C65" i="11"/>
  <c r="E65" i="11" s="1"/>
  <c r="C83" i="11"/>
  <c r="E83" i="11" s="1"/>
  <c r="C92" i="11"/>
  <c r="E92" i="11" s="1"/>
  <c r="C110" i="11"/>
  <c r="E110" i="11" s="1"/>
  <c r="C119" i="11"/>
  <c r="E119" i="11" s="1"/>
  <c r="C437" i="11"/>
  <c r="E437" i="11" s="1"/>
  <c r="C455" i="11"/>
  <c r="E455" i="11" s="1"/>
  <c r="C146" i="11"/>
  <c r="E146" i="11" s="1"/>
  <c r="C155" i="11"/>
  <c r="E155" i="11" s="1"/>
  <c r="C182" i="11"/>
  <c r="E182" i="11" s="1"/>
  <c r="C527" i="11"/>
  <c r="E527" i="11" s="1"/>
  <c r="C473" i="11"/>
  <c r="E473" i="11" s="1"/>
  <c r="C173" i="11"/>
  <c r="E173" i="11" s="1"/>
  <c r="C200" i="11"/>
  <c r="E200" i="11" s="1"/>
  <c r="C563" i="11"/>
  <c r="E563" i="11" s="1"/>
  <c r="C236" i="11"/>
  <c r="E236" i="11" s="1"/>
  <c r="C245" i="11"/>
  <c r="E245" i="11" s="1"/>
  <c r="C263" i="11"/>
  <c r="E263" i="11" s="1"/>
  <c r="C335" i="11"/>
  <c r="E335" i="11" s="1"/>
  <c r="C317" i="11"/>
  <c r="E317" i="11" s="1"/>
  <c r="C6791" i="11"/>
  <c r="E6791" i="11" s="1"/>
  <c r="C5927" i="11"/>
  <c r="E5927" i="11" s="1"/>
  <c r="C2345" i="11"/>
  <c r="E2345" i="11" s="1"/>
  <c r="C3551" i="11"/>
  <c r="E3551" i="11" s="1"/>
  <c r="C101" i="11"/>
  <c r="E101" i="11" s="1"/>
  <c r="C743" i="11"/>
  <c r="E743" i="11" s="1"/>
  <c r="C6224" i="11"/>
  <c r="E6224" i="11" s="1"/>
  <c r="C581" i="11"/>
  <c r="E581" i="11" s="1"/>
  <c r="C2723" i="11"/>
  <c r="E2723" i="11" s="1"/>
  <c r="C6206" i="11"/>
  <c r="E6206" i="11" s="1"/>
  <c r="C2318" i="11"/>
  <c r="E2318" i="11" s="1"/>
  <c r="C1256" i="11"/>
  <c r="E1256" i="11" s="1"/>
  <c r="C6845" i="11"/>
  <c r="E6845" i="11" s="1"/>
  <c r="C6809" i="11"/>
  <c r="E6809" i="11" s="1"/>
  <c r="C4514" i="11"/>
  <c r="E4514" i="11" s="1"/>
  <c r="C308" i="11"/>
  <c r="E308" i="11" s="1"/>
  <c r="C5423" i="11"/>
  <c r="E5423" i="11" s="1"/>
  <c r="C4433" i="11"/>
  <c r="E4433" i="11" s="1"/>
  <c r="C1544" i="11"/>
  <c r="E1544" i="11" s="1"/>
  <c r="C1958" i="11"/>
  <c r="E1958" i="11" s="1"/>
  <c r="C6710" i="11"/>
  <c r="E6710" i="11" s="1"/>
  <c r="C6404" i="11"/>
  <c r="E6404" i="11" s="1"/>
  <c r="C7051" i="11"/>
  <c r="E7051" i="11" s="1"/>
  <c r="C7065" i="11"/>
  <c r="E7065" i="11" s="1"/>
  <c r="C7072" i="11"/>
  <c r="E7072" i="11" s="1"/>
  <c r="C7084" i="11"/>
  <c r="E7084" i="11" s="1"/>
  <c r="C7078" i="11"/>
  <c r="E7078" i="11" s="1"/>
  <c r="C7097" i="11"/>
  <c r="E7097" i="11" s="1"/>
  <c r="C7099" i="11"/>
  <c r="E7099" i="11" s="1"/>
  <c r="C7106" i="11"/>
  <c r="E7106" i="11" s="1"/>
  <c r="C7104" i="11"/>
  <c r="E7104" i="11" s="1"/>
  <c r="C7102" i="11"/>
  <c r="E7102" i="11" s="1"/>
  <c r="C11" i="11"/>
  <c r="E11" i="11" s="1"/>
  <c r="C7103" i="11"/>
  <c r="E7103" i="11" s="1"/>
  <c r="C600" i="11"/>
  <c r="E600" i="11" s="1"/>
  <c r="C796" i="9"/>
  <c r="C800" i="9" s="1"/>
  <c r="C791" i="8"/>
  <c r="C795" i="8" s="1"/>
  <c r="C791" i="7"/>
  <c r="C795" i="7" s="1"/>
  <c r="C791" i="6"/>
  <c r="C795" i="6" s="1"/>
  <c r="C792" i="5"/>
  <c r="C796" i="5" s="1"/>
  <c r="C793" i="4"/>
  <c r="C797" i="4" s="1"/>
  <c r="C791" i="3"/>
  <c r="C795" i="3" s="1"/>
  <c r="C795" i="2"/>
  <c r="C799" i="2" s="1"/>
  <c r="C792" i="1"/>
  <c r="C796" i="1" s="1"/>
  <c r="F396" i="11" l="1"/>
  <c r="F394" i="11"/>
  <c r="F317" i="11"/>
  <c r="F473" i="11"/>
  <c r="F308" i="11"/>
  <c r="F581" i="11"/>
  <c r="F7102" i="11"/>
  <c r="F7065" i="11"/>
  <c r="F6269" i="11"/>
  <c r="F617" i="11"/>
  <c r="F2669" i="11"/>
  <c r="F5576" i="11"/>
  <c r="F1562" i="11"/>
  <c r="F7106" i="11"/>
  <c r="F689" i="11"/>
  <c r="F4595" i="11"/>
  <c r="F4820" i="11"/>
  <c r="F5351" i="11"/>
  <c r="F1256" i="11"/>
  <c r="F191" i="11"/>
  <c r="F4793" i="11"/>
  <c r="F4325" i="11"/>
  <c r="F1310" i="11"/>
  <c r="F3182" i="11"/>
  <c r="F5252" i="11"/>
  <c r="F3191" i="11"/>
  <c r="F4451" i="11"/>
  <c r="F3236" i="11"/>
  <c r="F833" i="11"/>
  <c r="F977" i="11"/>
  <c r="F5387" i="11"/>
  <c r="F5711" i="11"/>
  <c r="F6971" i="11"/>
  <c r="F1283" i="11"/>
  <c r="F3218" i="11"/>
  <c r="F353" i="11"/>
  <c r="F1877" i="11"/>
  <c r="F6656" i="11"/>
  <c r="F6125" i="11"/>
  <c r="F5828" i="11"/>
  <c r="F4244" i="11"/>
  <c r="F3668" i="11"/>
  <c r="F3200" i="11"/>
  <c r="F3020" i="11"/>
  <c r="F2201" i="11"/>
  <c r="F1778" i="11"/>
  <c r="F1589" i="11"/>
  <c r="F1175" i="11"/>
  <c r="F779" i="11"/>
  <c r="F5126" i="11"/>
  <c r="F3290" i="11"/>
  <c r="F7064" i="11"/>
  <c r="F580" i="11"/>
  <c r="F472" i="11"/>
  <c r="F19" i="11"/>
  <c r="F6268" i="11"/>
  <c r="F2335" i="11"/>
  <c r="F2830" i="11"/>
  <c r="F2785" i="11"/>
  <c r="F6160" i="11"/>
  <c r="F4054" i="11"/>
  <c r="F5575" i="11"/>
  <c r="F2974" i="11"/>
  <c r="F4208" i="11"/>
  <c r="F182" i="11"/>
  <c r="F6710" i="11"/>
  <c r="F2840" i="11"/>
  <c r="F5756" i="11"/>
  <c r="F4190" i="11"/>
  <c r="F2066" i="11"/>
  <c r="F3443" i="11"/>
  <c r="F5954" i="11"/>
  <c r="F1103" i="11"/>
  <c r="F2687" i="11"/>
  <c r="F1850" i="11"/>
  <c r="F887" i="11"/>
  <c r="F3596" i="11"/>
  <c r="F6449" i="11"/>
  <c r="F6548" i="11"/>
  <c r="F11" i="11"/>
  <c r="F7072" i="11"/>
  <c r="F5423" i="11"/>
  <c r="F2723" i="11"/>
  <c r="F6791" i="11"/>
  <c r="F173" i="11"/>
  <c r="F119" i="11"/>
  <c r="F1832" i="11"/>
  <c r="F290" i="11"/>
  <c r="F6350" i="11"/>
  <c r="F5369" i="11"/>
  <c r="F4217" i="11"/>
  <c r="F2525" i="11"/>
  <c r="F1229" i="11"/>
  <c r="F5144" i="11"/>
  <c r="F2174" i="11"/>
  <c r="F2885" i="11"/>
  <c r="F2903" i="11"/>
  <c r="F6296" i="11"/>
  <c r="F5261" i="11"/>
  <c r="F2831" i="11"/>
  <c r="F6161" i="11"/>
  <c r="F2984" i="11"/>
  <c r="F3272" i="11"/>
  <c r="F1067" i="11"/>
  <c r="F3398" i="11"/>
  <c r="F6440" i="11"/>
  <c r="F6143" i="11"/>
  <c r="F7034" i="11"/>
  <c r="F3848" i="11"/>
  <c r="F3371" i="11"/>
  <c r="F209" i="11"/>
  <c r="F1166" i="11"/>
  <c r="F4154" i="11"/>
  <c r="F5513" i="11"/>
  <c r="F5009" i="11"/>
  <c r="F6107" i="11"/>
  <c r="F5378" i="11"/>
  <c r="F4901" i="11"/>
  <c r="F4874" i="11"/>
  <c r="F7093" i="11"/>
  <c r="F4667" i="11"/>
  <c r="F1427" i="11"/>
  <c r="F1571" i="11"/>
  <c r="F5297" i="11"/>
  <c r="F6260" i="11"/>
  <c r="F1076" i="11"/>
  <c r="F4136" i="11"/>
  <c r="F6944" i="11"/>
  <c r="F6836" i="11"/>
  <c r="F6584" i="11"/>
  <c r="F6503" i="11"/>
  <c r="F6188" i="11"/>
  <c r="F6017" i="11"/>
  <c r="F5891" i="11"/>
  <c r="F4622" i="11"/>
  <c r="F5558" i="11"/>
  <c r="F5333" i="11"/>
  <c r="F5108" i="11"/>
  <c r="F5018" i="11"/>
  <c r="F4829" i="11"/>
  <c r="F4550" i="11"/>
  <c r="F4388" i="11"/>
  <c r="F4181" i="11"/>
  <c r="F2741" i="11"/>
  <c r="F3938" i="11"/>
  <c r="F3722" i="11"/>
  <c r="F3560" i="11"/>
  <c r="F6746" i="11"/>
  <c r="F3263" i="11"/>
  <c r="F3083" i="11"/>
  <c r="F2822" i="11"/>
  <c r="F110" i="11"/>
  <c r="F20" i="11"/>
  <c r="F272" i="11"/>
  <c r="F6611" i="11"/>
  <c r="F7104" i="11"/>
  <c r="F7051" i="11"/>
  <c r="F4514" i="11"/>
  <c r="F6224" i="11"/>
  <c r="F335" i="11"/>
  <c r="F527" i="11"/>
  <c r="F92" i="11"/>
  <c r="F419" i="11"/>
  <c r="F281" i="11"/>
  <c r="F6152" i="11"/>
  <c r="F545" i="11"/>
  <c r="F3911" i="11"/>
  <c r="F2327" i="11"/>
  <c r="F4334" i="11"/>
  <c r="F2300" i="11"/>
  <c r="F3614" i="11"/>
  <c r="F2480" i="11"/>
  <c r="F6314" i="11"/>
  <c r="F2309" i="11"/>
  <c r="F4172" i="11"/>
  <c r="F6035" i="11"/>
  <c r="F5279" i="11"/>
  <c r="F6080" i="11"/>
  <c r="F5234" i="11"/>
  <c r="F2921" i="11"/>
  <c r="F1769" i="11"/>
  <c r="F2228" i="11"/>
  <c r="F1013" i="11"/>
  <c r="F1157" i="11"/>
  <c r="F227" i="11"/>
  <c r="F1643" i="11"/>
  <c r="F3893" i="11"/>
  <c r="F3875" i="11"/>
  <c r="F5666" i="11"/>
  <c r="F6458" i="11"/>
  <c r="F986" i="11"/>
  <c r="F3902" i="11"/>
  <c r="F4307" i="11"/>
  <c r="F1805" i="11"/>
  <c r="F3587" i="11"/>
  <c r="F1976" i="11"/>
  <c r="F2210" i="11"/>
  <c r="F1796" i="11"/>
  <c r="F4010" i="11"/>
  <c r="F4964" i="11"/>
  <c r="F1238" i="11"/>
  <c r="F6053" i="11"/>
  <c r="F2678" i="11"/>
  <c r="F851" i="11"/>
  <c r="F3524" i="11"/>
  <c r="F5441" i="11"/>
  <c r="F2750" i="11"/>
  <c r="F5747" i="11"/>
  <c r="F2426" i="11"/>
  <c r="F1202" i="11"/>
  <c r="F4559" i="11"/>
  <c r="F2957" i="11"/>
  <c r="F2651" i="11"/>
  <c r="F3857" i="11"/>
  <c r="F653" i="11"/>
  <c r="F2489" i="11"/>
  <c r="F6683" i="11"/>
  <c r="F2219" i="11"/>
  <c r="F725" i="11"/>
  <c r="F4721" i="11"/>
  <c r="F1553" i="11"/>
  <c r="F5081" i="11"/>
  <c r="F6359" i="11"/>
  <c r="F590" i="11"/>
  <c r="F5243" i="11"/>
  <c r="F4658" i="11"/>
  <c r="F6818" i="11"/>
  <c r="F4253" i="11"/>
  <c r="F671" i="11"/>
  <c r="F1949" i="11"/>
  <c r="F6908" i="11"/>
  <c r="F1022" i="11"/>
  <c r="F6899" i="11"/>
  <c r="F6692" i="11"/>
  <c r="F2336" i="11"/>
  <c r="F4739" i="11"/>
  <c r="F6809" i="11"/>
  <c r="F254" i="11"/>
  <c r="F6998" i="11"/>
  <c r="F1094" i="11"/>
  <c r="F3920" i="11"/>
  <c r="F2876" i="11"/>
  <c r="F680" i="11"/>
  <c r="F1724" i="11"/>
  <c r="F101" i="11"/>
  <c r="F155" i="11"/>
  <c r="F65" i="11"/>
  <c r="F10" i="11"/>
  <c r="F1931" i="11"/>
  <c r="F1085" i="11"/>
  <c r="F4505" i="11"/>
  <c r="F4919" i="11"/>
  <c r="F824" i="11"/>
  <c r="F3749" i="11"/>
  <c r="F1706" i="11"/>
  <c r="F1292" i="11"/>
  <c r="F4613" i="11"/>
  <c r="F3884" i="11"/>
  <c r="F6341" i="11"/>
  <c r="F5459" i="11"/>
  <c r="F464" i="11"/>
  <c r="F4838" i="11"/>
  <c r="F4109" i="11"/>
  <c r="F4397" i="11"/>
  <c r="F4289" i="11"/>
  <c r="F1301" i="11"/>
  <c r="F5567" i="11"/>
  <c r="F383" i="11"/>
  <c r="F2453" i="11"/>
  <c r="F3632" i="11"/>
  <c r="F1634" i="11"/>
  <c r="F1535" i="11"/>
  <c r="F2237" i="11"/>
  <c r="F4568" i="11"/>
  <c r="F4973" i="11"/>
  <c r="F2858" i="11"/>
  <c r="F2507" i="11"/>
  <c r="F5738" i="11"/>
  <c r="F2462" i="11"/>
  <c r="F5846" i="11"/>
  <c r="F5162" i="11"/>
  <c r="F6773" i="11"/>
  <c r="F3029" i="11"/>
  <c r="F2570" i="11"/>
  <c r="F7043" i="11"/>
  <c r="F6917" i="11"/>
  <c r="F6665" i="11"/>
  <c r="F6575" i="11"/>
  <c r="F6332" i="11"/>
  <c r="F5288" i="11"/>
  <c r="F5945" i="11"/>
  <c r="F5864" i="11"/>
  <c r="F5684" i="11"/>
  <c r="F5468" i="11"/>
  <c r="F5198" i="11"/>
  <c r="F218" i="11"/>
  <c r="F4955" i="11"/>
  <c r="F4712" i="11"/>
  <c r="F3146" i="11"/>
  <c r="F4316" i="11"/>
  <c r="F4118" i="11"/>
  <c r="F2399" i="11"/>
  <c r="F3812" i="11"/>
  <c r="F3686" i="11"/>
  <c r="F3506" i="11"/>
  <c r="F3344" i="11"/>
  <c r="F3173" i="11"/>
  <c r="F3038" i="11"/>
  <c r="F2804" i="11"/>
  <c r="F2552" i="11"/>
  <c r="F2255" i="11"/>
  <c r="F2786" i="11"/>
  <c r="F2993" i="11"/>
  <c r="F2975" i="11"/>
  <c r="F5324" i="11"/>
  <c r="F743" i="11"/>
  <c r="F1220" i="11"/>
  <c r="F5405" i="11"/>
  <c r="F500" i="11"/>
  <c r="F3389" i="11"/>
  <c r="F4649" i="11"/>
  <c r="F2471" i="11"/>
  <c r="F6008" i="11"/>
  <c r="F6827" i="11"/>
  <c r="F6134" i="11"/>
  <c r="F3137" i="11"/>
  <c r="F1130" i="11"/>
  <c r="F3578" i="11"/>
  <c r="F7099" i="11"/>
  <c r="F6845" i="11"/>
  <c r="F245" i="11"/>
  <c r="F164" i="11"/>
  <c r="F6800" i="11"/>
  <c r="F4487" i="11"/>
  <c r="F761" i="11"/>
  <c r="F2417" i="11"/>
  <c r="F5180" i="11"/>
  <c r="F6494" i="11"/>
  <c r="F7097" i="11"/>
  <c r="F1958" i="11"/>
  <c r="F3551" i="11"/>
  <c r="F146" i="11"/>
  <c r="F74" i="11"/>
  <c r="F401" i="11"/>
  <c r="F6782" i="11"/>
  <c r="F3128" i="11"/>
  <c r="F2246" i="11"/>
  <c r="F1211" i="11"/>
  <c r="F5819" i="11"/>
  <c r="F1337" i="11"/>
  <c r="F3992" i="11"/>
  <c r="F5873" i="11"/>
  <c r="F2408" i="11"/>
  <c r="F482" i="11"/>
  <c r="F5936" i="11"/>
  <c r="F5522" i="11"/>
  <c r="F4928" i="11"/>
  <c r="F3983" i="11"/>
  <c r="F2543" i="11"/>
  <c r="F2093" i="11"/>
  <c r="F1445" i="11"/>
  <c r="F905" i="11"/>
  <c r="F6620" i="11"/>
  <c r="F4640" i="11"/>
  <c r="F1841" i="11"/>
  <c r="F307" i="11"/>
  <c r="F316" i="11"/>
  <c r="F109" i="11"/>
  <c r="F271" i="11"/>
  <c r="F3478" i="11"/>
  <c r="F2668" i="11"/>
  <c r="F5440" i="11"/>
  <c r="F1561" i="11"/>
  <c r="F3479" i="11"/>
  <c r="F4055" i="11"/>
  <c r="F4703" i="11"/>
  <c r="F5621" i="11"/>
  <c r="F6404" i="11"/>
  <c r="F263" i="11"/>
  <c r="F83" i="11"/>
  <c r="F4847" i="11"/>
  <c r="F2849" i="11"/>
  <c r="F4343" i="11"/>
  <c r="F6323" i="11"/>
  <c r="F3461" i="11"/>
  <c r="F236" i="11"/>
  <c r="F1715" i="11"/>
  <c r="F923" i="11"/>
  <c r="F2111" i="11"/>
  <c r="F4370" i="11"/>
  <c r="F2705" i="11"/>
  <c r="F6512" i="11"/>
  <c r="F4262" i="11"/>
  <c r="F5396" i="11"/>
  <c r="F6026" i="11"/>
  <c r="F1463" i="11"/>
  <c r="F3164" i="11"/>
  <c r="F4379" i="11"/>
  <c r="F6557" i="11"/>
  <c r="F5675" i="11"/>
  <c r="F5171" i="11"/>
  <c r="F5045" i="11"/>
  <c r="F4676" i="11"/>
  <c r="F4415" i="11"/>
  <c r="F4091" i="11"/>
  <c r="F3794" i="11"/>
  <c r="F3488" i="11"/>
  <c r="F3335" i="11"/>
  <c r="F2795" i="11"/>
  <c r="F1913" i="11"/>
  <c r="F5648" i="11"/>
  <c r="F3803" i="11"/>
  <c r="F806" i="11"/>
  <c r="F5260" i="11"/>
  <c r="F4207" i="11"/>
  <c r="F616" i="11"/>
  <c r="F2992" i="11"/>
  <c r="F2983" i="11"/>
  <c r="F4738" i="11"/>
  <c r="F4702" i="11"/>
  <c r="F3271" i="11"/>
  <c r="F2749" i="11"/>
  <c r="F1066" i="11"/>
  <c r="F7033" i="11"/>
  <c r="F3370" i="11"/>
  <c r="F4153" i="11"/>
  <c r="F6106" i="11"/>
  <c r="F4873" i="11"/>
  <c r="F4666" i="11"/>
  <c r="F1570" i="11"/>
  <c r="F6259" i="11"/>
  <c r="F4135" i="11"/>
  <c r="F6943" i="11"/>
  <c r="F6187" i="11"/>
  <c r="F5332" i="11"/>
  <c r="F4828" i="11"/>
  <c r="F4180" i="11"/>
  <c r="F3721" i="11"/>
  <c r="F3262" i="11"/>
  <c r="F2821" i="11"/>
  <c r="F2155" i="11"/>
  <c r="F1030" i="11"/>
  <c r="F600" i="11"/>
  <c r="F1544" i="11"/>
  <c r="F2345" i="11"/>
  <c r="F455" i="11"/>
  <c r="F4802" i="11"/>
  <c r="F4775" i="11"/>
  <c r="F1472" i="11"/>
  <c r="F3353" i="11"/>
  <c r="F5603" i="11"/>
  <c r="F3785" i="11"/>
  <c r="F3416" i="11"/>
  <c r="F491" i="11"/>
  <c r="F3452" i="11"/>
  <c r="F1355" i="11"/>
  <c r="F3047" i="11"/>
  <c r="F5720" i="11"/>
  <c r="F2624" i="11"/>
  <c r="F2444" i="11"/>
  <c r="F2606" i="11"/>
  <c r="F5153" i="11"/>
  <c r="F4685" i="11"/>
  <c r="F6989" i="11"/>
  <c r="F3830" i="11"/>
  <c r="F1904" i="11"/>
  <c r="F1184" i="11"/>
  <c r="F4865" i="11"/>
  <c r="F6251" i="11"/>
  <c r="F4910" i="11"/>
  <c r="F4046" i="11"/>
  <c r="F3776" i="11"/>
  <c r="F2192" i="11"/>
  <c r="F1940" i="11"/>
  <c r="F410" i="11"/>
  <c r="F1616" i="11"/>
  <c r="F1481" i="11"/>
  <c r="F5594" i="11"/>
  <c r="F4991" i="11"/>
  <c r="F4523" i="11"/>
  <c r="F2732" i="11"/>
  <c r="F716" i="11"/>
  <c r="F7050" i="11"/>
  <c r="F4513" i="11"/>
  <c r="F6223" i="11"/>
  <c r="F526" i="11"/>
  <c r="F280" i="11"/>
  <c r="F6151" i="11"/>
  <c r="F3910" i="11"/>
  <c r="F4333" i="11"/>
  <c r="F3613" i="11"/>
  <c r="F5278" i="11"/>
  <c r="F5233" i="11"/>
  <c r="F1768" i="11"/>
  <c r="F1012" i="11"/>
  <c r="F1156" i="11"/>
  <c r="F1642" i="11"/>
  <c r="F3892" i="11"/>
  <c r="F3874" i="11"/>
  <c r="F5665" i="11"/>
  <c r="F6457" i="11"/>
  <c r="F3901" i="11"/>
  <c r="F1804" i="11"/>
  <c r="F1975" i="11"/>
  <c r="F4963" i="11"/>
  <c r="F6052" i="11"/>
  <c r="F850" i="11"/>
  <c r="F1579" i="11"/>
  <c r="F2560" i="11"/>
  <c r="F6736" i="11"/>
  <c r="F2614" i="11"/>
  <c r="F1273" i="11"/>
  <c r="F6204" i="11"/>
  <c r="F435" i="11"/>
  <c r="F297" i="11"/>
  <c r="F552" i="11"/>
  <c r="F4881" i="11"/>
  <c r="F3090" i="11"/>
  <c r="F3054" i="11"/>
  <c r="F5853" i="11"/>
  <c r="F4404" i="11"/>
  <c r="F2622" i="11"/>
  <c r="F2604" i="11"/>
  <c r="F2352" i="11"/>
  <c r="F2433" i="11"/>
  <c r="F3702" i="11"/>
  <c r="F6231" i="11"/>
  <c r="F4683" i="11"/>
  <c r="F444" i="11"/>
  <c r="F3324" i="11"/>
  <c r="F1902" i="11"/>
  <c r="F1866" i="11"/>
  <c r="F2370" i="11"/>
  <c r="F1434" i="11"/>
  <c r="F2532" i="11"/>
  <c r="F4098" i="11"/>
  <c r="F6924" i="11"/>
  <c r="F6699" i="11"/>
  <c r="F6636" i="11"/>
  <c r="F6528" i="11"/>
  <c r="F6249" i="11"/>
  <c r="F2118" i="11"/>
  <c r="F5916" i="11"/>
  <c r="F5790" i="11"/>
  <c r="F5493" i="11"/>
  <c r="F5133" i="11"/>
  <c r="F5034" i="11"/>
  <c r="F4908" i="11"/>
  <c r="F4629" i="11"/>
  <c r="F1686" i="11"/>
  <c r="F4044" i="11"/>
  <c r="F3963" i="11"/>
  <c r="F3648" i="11"/>
  <c r="F7103" i="11"/>
  <c r="F7084" i="11"/>
  <c r="F4433" i="11"/>
  <c r="F6206" i="11"/>
  <c r="F5927" i="11"/>
  <c r="F200" i="11"/>
  <c r="F437" i="11"/>
  <c r="F509" i="11"/>
  <c r="F299" i="11"/>
  <c r="F6566" i="11"/>
  <c r="F554" i="11"/>
  <c r="F518" i="11"/>
  <c r="F4883" i="11"/>
  <c r="F1454" i="11"/>
  <c r="F3092" i="11"/>
  <c r="F6539" i="11"/>
  <c r="F3056" i="11"/>
  <c r="F3659" i="11"/>
  <c r="F5486" i="11"/>
  <c r="F2102" i="11"/>
  <c r="F4442" i="11"/>
  <c r="F5585" i="11"/>
  <c r="F5855" i="11"/>
  <c r="F662" i="11"/>
  <c r="F572" i="11"/>
  <c r="F1823" i="11"/>
  <c r="F3155" i="11"/>
  <c r="F4406" i="11"/>
  <c r="F7007" i="11"/>
  <c r="F2930" i="11"/>
  <c r="F2894" i="11"/>
  <c r="F6935" i="11"/>
  <c r="F3254" i="11"/>
  <c r="F5342" i="11"/>
  <c r="F5801" i="11"/>
  <c r="F2516" i="11"/>
  <c r="F6863" i="11"/>
  <c r="F6647" i="11"/>
  <c r="F941" i="11"/>
  <c r="F2642" i="11"/>
  <c r="F6719" i="11"/>
  <c r="F4064" i="11"/>
  <c r="F4271" i="11"/>
  <c r="F5981" i="11"/>
  <c r="F7016" i="11"/>
  <c r="F3623" i="11"/>
  <c r="F599" i="11"/>
  <c r="F2696" i="11"/>
  <c r="F1922" i="11"/>
  <c r="F4073" i="11"/>
  <c r="F6953" i="11"/>
  <c r="F1004" i="11"/>
  <c r="F4937" i="11"/>
  <c r="F6674" i="11"/>
  <c r="F5207" i="11"/>
  <c r="F968" i="11"/>
  <c r="F2012" i="11"/>
  <c r="F6980" i="11"/>
  <c r="F6764" i="11"/>
  <c r="F6629" i="11"/>
  <c r="F6521" i="11"/>
  <c r="F6242" i="11"/>
  <c r="F6044" i="11"/>
  <c r="F5909" i="11"/>
  <c r="F5315" i="11"/>
  <c r="F5639" i="11"/>
  <c r="F5477" i="11"/>
  <c r="F5117" i="11"/>
  <c r="F5054" i="11"/>
  <c r="F4892" i="11"/>
  <c r="F4604" i="11"/>
  <c r="F4496" i="11"/>
  <c r="F4226" i="11"/>
  <c r="F4037" i="11"/>
  <c r="F3956" i="11"/>
  <c r="F3740" i="11"/>
  <c r="F3641" i="11"/>
  <c r="F3407" i="11"/>
  <c r="F3299" i="11"/>
  <c r="F3110" i="11"/>
  <c r="F2939" i="11"/>
  <c r="F2768" i="11"/>
  <c r="F2390" i="11"/>
  <c r="F2183" i="11"/>
  <c r="F2075" i="11"/>
  <c r="F38" i="11"/>
  <c r="F1679" i="11"/>
  <c r="F1787" i="11"/>
  <c r="F1364" i="11"/>
  <c r="F1121" i="11"/>
  <c r="F869" i="11"/>
  <c r="F752" i="11"/>
  <c r="F6395" i="11"/>
  <c r="F5540" i="11"/>
  <c r="F536" i="11"/>
  <c r="F4478" i="11"/>
  <c r="F3605" i="11"/>
  <c r="F2039" i="11"/>
  <c r="F1751" i="11"/>
  <c r="F608" i="11"/>
  <c r="F6403" i="11"/>
  <c r="F6808" i="11"/>
  <c r="F742" i="11"/>
  <c r="F262" i="11"/>
  <c r="F181" i="11"/>
  <c r="F82" i="11"/>
  <c r="F1219" i="11"/>
  <c r="F253" i="11"/>
  <c r="F5746" i="11"/>
  <c r="F4846" i="11"/>
  <c r="F5404" i="11"/>
  <c r="F499" i="11"/>
  <c r="F2848" i="11"/>
  <c r="F3388" i="11"/>
  <c r="F4648" i="11"/>
  <c r="F2470" i="11"/>
  <c r="F6007" i="11"/>
  <c r="F6997" i="11"/>
  <c r="F4342" i="11"/>
  <c r="F2425" i="11"/>
  <c r="F6826" i="11"/>
  <c r="F688" i="11"/>
  <c r="F1093" i="11"/>
  <c r="F6133" i="11"/>
  <c r="F3919" i="11"/>
  <c r="F3136" i="11"/>
  <c r="F2875" i="11"/>
  <c r="F1129" i="11"/>
  <c r="F679" i="11"/>
  <c r="F3577" i="11"/>
  <c r="F1723" i="11"/>
  <c r="F6322" i="11"/>
  <c r="F1201" i="11"/>
  <c r="F4594" i="11"/>
  <c r="F4558" i="11"/>
  <c r="F2956" i="11"/>
  <c r="F2650" i="11"/>
  <c r="F3856" i="11"/>
  <c r="F652" i="11"/>
  <c r="F2488" i="11"/>
  <c r="F6682" i="11"/>
  <c r="F2218" i="11"/>
  <c r="F724" i="11"/>
  <c r="F4720" i="11"/>
  <c r="F1552" i="11"/>
  <c r="F5080" i="11"/>
  <c r="F6358" i="11"/>
  <c r="F589" i="11"/>
  <c r="F5242" i="11"/>
  <c r="F4657" i="11"/>
  <c r="F6817" i="11"/>
  <c r="F4252" i="11"/>
  <c r="F670" i="11"/>
  <c r="F1948" i="11"/>
  <c r="F6907" i="11"/>
  <c r="F1490" i="11"/>
  <c r="F2867" i="11"/>
  <c r="F1139" i="11"/>
  <c r="F4235" i="11"/>
  <c r="F1328" i="11"/>
  <c r="F6062" i="11"/>
  <c r="F4946" i="11"/>
  <c r="F4280" i="11"/>
  <c r="F128" i="11"/>
  <c r="F4586" i="11"/>
  <c r="F3011" i="11"/>
  <c r="F4199" i="11"/>
  <c r="F4019" i="11"/>
  <c r="F3974" i="11"/>
  <c r="F6854" i="11"/>
  <c r="F6431" i="11"/>
  <c r="F2291" i="11"/>
  <c r="F1319" i="11"/>
  <c r="F1886" i="11"/>
  <c r="F5990" i="11"/>
  <c r="F5972" i="11"/>
  <c r="F4298" i="11"/>
  <c r="F6872" i="11"/>
  <c r="F3677" i="11"/>
  <c r="F6116" i="11"/>
  <c r="F644" i="11"/>
  <c r="F5612" i="11"/>
  <c r="F4163" i="11"/>
  <c r="F5837" i="11"/>
  <c r="F1994" i="11"/>
  <c r="F1670" i="11"/>
  <c r="F797" i="11"/>
  <c r="F5090" i="11"/>
  <c r="F1733" i="11"/>
  <c r="F5306" i="11"/>
  <c r="F3209" i="11"/>
  <c r="F734" i="11"/>
  <c r="F5729" i="11"/>
  <c r="F6962" i="11"/>
  <c r="F6755" i="11"/>
  <c r="F6593" i="11"/>
  <c r="F6476" i="11"/>
  <c r="F326" i="11"/>
  <c r="F6071" i="11"/>
  <c r="F5900" i="11"/>
  <c r="F5783" i="11"/>
  <c r="F5630" i="11"/>
  <c r="F5432" i="11"/>
  <c r="F5072" i="11"/>
  <c r="F5027" i="11"/>
  <c r="F4856" i="11"/>
  <c r="F4577" i="11"/>
  <c r="F4460" i="11"/>
  <c r="F5504" i="11"/>
  <c r="F4028" i="11"/>
  <c r="F3947" i="11"/>
  <c r="F3731" i="11"/>
  <c r="F137" i="11"/>
  <c r="F3380" i="11"/>
  <c r="F3227" i="11"/>
  <c r="F3101" i="11"/>
  <c r="F2912" i="11"/>
  <c r="F2759" i="11"/>
  <c r="F2381" i="11"/>
  <c r="F2165" i="11"/>
  <c r="F2057" i="11"/>
  <c r="F1859" i="11"/>
  <c r="F1526" i="11"/>
  <c r="F1499" i="11"/>
  <c r="F6728" i="11"/>
  <c r="F1112" i="11"/>
  <c r="F860" i="11"/>
  <c r="F707" i="11"/>
  <c r="F6305" i="11"/>
  <c r="F5450" i="11"/>
  <c r="F4784" i="11"/>
  <c r="F4424" i="11"/>
  <c r="F3569" i="11"/>
  <c r="F2714" i="11"/>
  <c r="F1346" i="11"/>
  <c r="F7098" i="11"/>
  <c r="F6709" i="11"/>
  <c r="F6844" i="11"/>
  <c r="F100" i="11"/>
  <c r="F244" i="11"/>
  <c r="F154" i="11"/>
  <c r="F64" i="11"/>
  <c r="F9" i="11"/>
  <c r="F163" i="11"/>
  <c r="F6799" i="11"/>
  <c r="F4819" i="11"/>
  <c r="F3460" i="11"/>
  <c r="F1930" i="11"/>
  <c r="F2839" i="11"/>
  <c r="F4486" i="11"/>
  <c r="F1084" i="11"/>
  <c r="F760" i="11"/>
  <c r="F4504" i="11"/>
  <c r="F2416" i="11"/>
  <c r="F5179" i="11"/>
  <c r="F4918" i="11"/>
  <c r="F5350" i="11"/>
  <c r="F6493" i="11"/>
  <c r="F823" i="11"/>
  <c r="F5755" i="11"/>
  <c r="F3748" i="11"/>
  <c r="F1705" i="11"/>
  <c r="F1291" i="11"/>
  <c r="F4612" i="11"/>
  <c r="F3883" i="11"/>
  <c r="F6340" i="11"/>
  <c r="F5458" i="11"/>
  <c r="F463" i="11"/>
  <c r="F4837" i="11"/>
  <c r="F4108" i="11"/>
  <c r="F4396" i="11"/>
  <c r="F4288" i="11"/>
  <c r="F1300" i="11"/>
  <c r="F5566" i="11"/>
  <c r="F382" i="11"/>
  <c r="F2452" i="11"/>
  <c r="F3631" i="11"/>
  <c r="F1633" i="11"/>
  <c r="F1534" i="11"/>
  <c r="F2236" i="11"/>
  <c r="F4567" i="11"/>
  <c r="F4972" i="11"/>
  <c r="F2857" i="11"/>
  <c r="F2506" i="11"/>
  <c r="F5737" i="11"/>
  <c r="F2461" i="11"/>
  <c r="F5845" i="11"/>
  <c r="F5161" i="11"/>
  <c r="F6772" i="11"/>
  <c r="F3028" i="11"/>
  <c r="F2569" i="11"/>
  <c r="F7042" i="11"/>
  <c r="F6916" i="11"/>
  <c r="F6664" i="11"/>
  <c r="F6574" i="11"/>
  <c r="F6331" i="11"/>
  <c r="F5287" i="11"/>
  <c r="F5944" i="11"/>
  <c r="F5863" i="11"/>
  <c r="F5683" i="11"/>
  <c r="F5467" i="11"/>
  <c r="F5197" i="11"/>
  <c r="F217" i="11"/>
  <c r="F4954" i="11"/>
  <c r="F4711" i="11"/>
  <c r="F3145" i="11"/>
  <c r="F4315" i="11"/>
  <c r="F4117" i="11"/>
  <c r="F2398" i="11"/>
  <c r="F3811" i="11"/>
  <c r="F3685" i="11"/>
  <c r="F3505" i="11"/>
  <c r="F3343" i="11"/>
  <c r="F3172" i="11"/>
  <c r="F3037" i="11"/>
  <c r="F2803" i="11"/>
  <c r="F2551" i="11"/>
  <c r="F2254" i="11"/>
  <c r="F2128" i="11"/>
  <c r="F3433" i="11"/>
  <c r="F1813" i="11"/>
  <c r="F1624" i="11"/>
  <c r="F1390" i="11"/>
  <c r="F1192" i="11"/>
  <c r="F913" i="11"/>
  <c r="F787" i="11"/>
  <c r="F6880" i="11"/>
  <c r="F5701" i="11"/>
  <c r="F5188" i="11"/>
  <c r="F4693" i="11"/>
  <c r="F3820" i="11"/>
  <c r="F3307" i="11"/>
  <c r="F2029" i="11"/>
  <c r="F895" i="11"/>
  <c r="F7063" i="11"/>
  <c r="F306" i="11"/>
  <c r="F579" i="11"/>
  <c r="F315" i="11"/>
  <c r="F471" i="11"/>
  <c r="F108" i="11"/>
  <c r="F18" i="11"/>
  <c r="F270" i="11"/>
  <c r="F6267" i="11"/>
  <c r="F5259" i="11"/>
  <c r="F4206" i="11"/>
  <c r="F2334" i="11"/>
  <c r="F615" i="11"/>
  <c r="F2829" i="11"/>
  <c r="F3477" i="11"/>
  <c r="F2784" i="11"/>
  <c r="F2667" i="11"/>
  <c r="F6159" i="11"/>
  <c r="F5439" i="11"/>
  <c r="F4053" i="11"/>
  <c r="F2991" i="11"/>
  <c r="F5574" i="11"/>
  <c r="F2982" i="11"/>
  <c r="F4737" i="11"/>
  <c r="F4701" i="11"/>
  <c r="F2973" i="11"/>
  <c r="F1560" i="11"/>
  <c r="F4584" i="11"/>
  <c r="F3009" i="11"/>
  <c r="F4197" i="11"/>
  <c r="F4017" i="11"/>
  <c r="F3972" i="11"/>
  <c r="F6852" i="11"/>
  <c r="F6429" i="11"/>
  <c r="F2289" i="11"/>
  <c r="F1317" i="11"/>
  <c r="F1884" i="11"/>
  <c r="F5988" i="11"/>
  <c r="F5970" i="11"/>
  <c r="F4296" i="11"/>
  <c r="F6870" i="11"/>
  <c r="F3675" i="11"/>
  <c r="F6114" i="11"/>
  <c r="F642" i="11"/>
  <c r="F5610" i="11"/>
  <c r="F4161" i="11"/>
  <c r="F5835" i="11"/>
  <c r="F1992" i="11"/>
  <c r="F1668" i="11"/>
  <c r="F795" i="11"/>
  <c r="F5088" i="11"/>
  <c r="F1731" i="11"/>
  <c r="F5304" i="11"/>
  <c r="F3207" i="11"/>
  <c r="F732" i="11"/>
  <c r="F5727" i="11"/>
  <c r="F6960" i="11"/>
  <c r="F6753" i="11"/>
  <c r="F6591" i="11"/>
  <c r="F6474" i="11"/>
  <c r="F324" i="11"/>
  <c r="F6069" i="11"/>
  <c r="F5898" i="11"/>
  <c r="F5781" i="11"/>
  <c r="F5628" i="11"/>
  <c r="F5430" i="11"/>
  <c r="F5070" i="11"/>
  <c r="F5025" i="11"/>
  <c r="F4854" i="11"/>
  <c r="F4575" i="11"/>
  <c r="F4458" i="11"/>
  <c r="F5502" i="11"/>
  <c r="F4026" i="11"/>
  <c r="F3945" i="11"/>
  <c r="F3729" i="11"/>
  <c r="F135" i="11"/>
  <c r="F3378" i="11"/>
  <c r="F3225" i="11"/>
  <c r="F3099" i="11"/>
  <c r="F2910" i="11"/>
  <c r="F2757" i="11"/>
  <c r="F2379" i="11"/>
  <c r="F2163" i="11"/>
  <c r="F2055" i="11"/>
  <c r="F1857" i="11"/>
  <c r="F1524" i="11"/>
  <c r="F1497" i="11"/>
  <c r="F6726" i="11"/>
  <c r="F1110" i="11"/>
  <c r="F858" i="11"/>
  <c r="F2633" i="11"/>
  <c r="F2363" i="11"/>
  <c r="F2156" i="11"/>
  <c r="F2048" i="11"/>
  <c r="F1382" i="11"/>
  <c r="F1760" i="11"/>
  <c r="F1409" i="11"/>
  <c r="F1418" i="11"/>
  <c r="F1031" i="11"/>
  <c r="F842" i="11"/>
  <c r="F635" i="11"/>
  <c r="F6278" i="11"/>
  <c r="F5414" i="11"/>
  <c r="F4766" i="11"/>
  <c r="F4352" i="11"/>
  <c r="F3497" i="11"/>
  <c r="F2660" i="11"/>
  <c r="F1247" i="11"/>
  <c r="F7096" i="11"/>
  <c r="F1957" i="11"/>
  <c r="F1255" i="11"/>
  <c r="F3550" i="11"/>
  <c r="F235" i="11"/>
  <c r="F145" i="11"/>
  <c r="F73" i="11"/>
  <c r="F400" i="11"/>
  <c r="F190" i="11"/>
  <c r="F6781" i="11"/>
  <c r="F4792" i="11"/>
  <c r="F3127" i="11"/>
  <c r="F1714" i="11"/>
  <c r="F4324" i="11"/>
  <c r="F4189" i="11"/>
  <c r="F1309" i="11"/>
  <c r="F3181" i="11"/>
  <c r="F2245" i="11"/>
  <c r="F922" i="11"/>
  <c r="F1210" i="11"/>
  <c r="F2110" i="11"/>
  <c r="F5818" i="11"/>
  <c r="F2065" i="11"/>
  <c r="F3442" i="11"/>
  <c r="F5953" i="11"/>
  <c r="F1102" i="11"/>
  <c r="F2686" i="11"/>
  <c r="F1849" i="11"/>
  <c r="F5251" i="11"/>
  <c r="F886" i="11"/>
  <c r="F3190" i="11"/>
  <c r="F4369" i="11"/>
  <c r="F3595" i="11"/>
  <c r="F4450" i="11"/>
  <c r="F6448" i="11"/>
  <c r="F3235" i="11"/>
  <c r="F6547" i="11"/>
  <c r="F832" i="11"/>
  <c r="F976" i="11"/>
  <c r="F5386" i="11"/>
  <c r="F1336" i="11"/>
  <c r="F5710" i="11"/>
  <c r="F2704" i="11"/>
  <c r="F6970" i="11"/>
  <c r="F1282" i="11"/>
  <c r="F3217" i="11"/>
  <c r="F352" i="11"/>
  <c r="F6511" i="11"/>
  <c r="F3991" i="11"/>
  <c r="F4261" i="11"/>
  <c r="F5872" i="11"/>
  <c r="F5395" i="11"/>
  <c r="F6025" i="11"/>
  <c r="F1462" i="11"/>
  <c r="F2407" i="11"/>
  <c r="F1876" i="11"/>
  <c r="F3163" i="11"/>
  <c r="F4378" i="11"/>
  <c r="F6655" i="11"/>
  <c r="F6556" i="11"/>
  <c r="F481" i="11"/>
  <c r="F6124" i="11"/>
  <c r="F5935" i="11"/>
  <c r="F5827" i="11"/>
  <c r="F5674" i="11"/>
  <c r="F5521" i="11"/>
  <c r="F5170" i="11"/>
  <c r="F5044" i="11"/>
  <c r="F4927" i="11"/>
  <c r="F4675" i="11"/>
  <c r="F4414" i="11"/>
  <c r="F4243" i="11"/>
  <c r="F4090" i="11"/>
  <c r="F3982" i="11"/>
  <c r="F3793" i="11"/>
  <c r="F3667" i="11"/>
  <c r="F3487" i="11"/>
  <c r="F3334" i="11"/>
  <c r="F3199" i="11"/>
  <c r="F3019" i="11"/>
  <c r="F2794" i="11"/>
  <c r="F2542" i="11"/>
  <c r="F2200" i="11"/>
  <c r="F2092" i="11"/>
  <c r="F1912" i="11"/>
  <c r="F1777" i="11"/>
  <c r="F1444" i="11"/>
  <c r="F1588" i="11"/>
  <c r="F1174" i="11"/>
  <c r="F904" i="11"/>
  <c r="F778" i="11"/>
  <c r="F6619" i="11"/>
  <c r="F5647" i="11"/>
  <c r="F5125" i="11"/>
  <c r="F4639" i="11"/>
  <c r="F3802" i="11"/>
  <c r="F3289" i="11"/>
  <c r="F1840" i="11"/>
  <c r="F805" i="11"/>
  <c r="F7049" i="11"/>
  <c r="F4512" i="11"/>
  <c r="F6222" i="11"/>
  <c r="F333" i="11"/>
  <c r="F525" i="11"/>
  <c r="F90" i="11"/>
  <c r="F417" i="11"/>
  <c r="F279" i="11"/>
  <c r="F6150" i="11"/>
  <c r="F543" i="11"/>
  <c r="F3909" i="11"/>
  <c r="F2325" i="11"/>
  <c r="F4332" i="11"/>
  <c r="F2298" i="11"/>
  <c r="F3612" i="11"/>
  <c r="F2478" i="11"/>
  <c r="F6312" i="11"/>
  <c r="F2307" i="11"/>
  <c r="F4170" i="11"/>
  <c r="F6033" i="11"/>
  <c r="F5277" i="11"/>
  <c r="F6078" i="11"/>
  <c r="F5232" i="11"/>
  <c r="F2919" i="11"/>
  <c r="F1767" i="11"/>
  <c r="F2226" i="11"/>
  <c r="F7058" i="11"/>
  <c r="F3270" i="11"/>
  <c r="F5619" i="11"/>
  <c r="F2748" i="11"/>
  <c r="F5322" i="11"/>
  <c r="F1065" i="11"/>
  <c r="F6609" i="11"/>
  <c r="F3396" i="11"/>
  <c r="F6438" i="11"/>
  <c r="F6141" i="11"/>
  <c r="F7032" i="11"/>
  <c r="F3846" i="11"/>
  <c r="F3369" i="11"/>
  <c r="F207" i="11"/>
  <c r="F1164" i="11"/>
  <c r="F4152" i="11"/>
  <c r="F5511" i="11"/>
  <c r="F5007" i="11"/>
  <c r="F6105" i="11"/>
  <c r="F5376" i="11"/>
  <c r="F4899" i="11"/>
  <c r="F4872" i="11"/>
  <c r="F7091" i="11"/>
  <c r="F4665" i="11"/>
  <c r="F1425" i="11"/>
  <c r="F1569" i="11"/>
  <c r="F5295" i="11"/>
  <c r="F6258" i="11"/>
  <c r="F1074" i="11"/>
  <c r="F4134" i="11"/>
  <c r="F6942" i="11"/>
  <c r="F6834" i="11"/>
  <c r="F6582" i="11"/>
  <c r="F6501" i="11"/>
  <c r="F6186" i="11"/>
  <c r="F6015" i="11"/>
  <c r="F5889" i="11"/>
  <c r="F4620" i="11"/>
  <c r="F5556" i="11"/>
  <c r="F5331" i="11"/>
  <c r="F5106" i="11"/>
  <c r="F5016" i="11"/>
  <c r="F4827" i="11"/>
  <c r="F4548" i="11"/>
  <c r="F4386" i="11"/>
  <c r="F4179" i="11"/>
  <c r="F2739" i="11"/>
  <c r="F3936" i="11"/>
  <c r="F3720" i="11"/>
  <c r="F3558" i="11"/>
  <c r="F6744" i="11"/>
  <c r="F3261" i="11"/>
  <c r="F3081" i="11"/>
  <c r="F2820" i="11"/>
  <c r="F2631" i="11"/>
  <c r="F2361" i="11"/>
  <c r="F2154" i="11"/>
  <c r="F2046" i="11"/>
  <c r="F1380" i="11"/>
  <c r="F1758" i="11"/>
  <c r="F1407" i="11"/>
  <c r="F1416" i="11"/>
  <c r="F1029" i="11"/>
  <c r="F840" i="11"/>
  <c r="F633" i="11"/>
  <c r="F6276" i="11"/>
  <c r="F5412" i="11"/>
  <c r="F4764" i="11"/>
  <c r="F4350" i="11"/>
  <c r="F3495" i="11"/>
  <c r="F2658" i="11"/>
  <c r="F1245" i="11"/>
  <c r="F7075" i="11"/>
  <c r="F1541" i="11"/>
  <c r="F2315" i="11"/>
  <c r="F2342" i="11"/>
  <c r="F560" i="11"/>
  <c r="F452" i="11"/>
  <c r="F53" i="11"/>
  <c r="F44" i="11"/>
  <c r="F4799" i="11"/>
  <c r="F6095" i="11"/>
  <c r="F4772" i="11"/>
  <c r="F2963" i="11"/>
  <c r="F1469" i="11"/>
  <c r="F1055" i="11"/>
  <c r="F3350" i="11"/>
  <c r="F5600" i="11"/>
  <c r="F1370" i="11"/>
  <c r="F3782" i="11"/>
  <c r="F3413" i="11"/>
  <c r="F3764" i="11"/>
  <c r="F488" i="11"/>
  <c r="F3449" i="11"/>
  <c r="F1352" i="11"/>
  <c r="F767" i="11"/>
  <c r="F2594" i="11"/>
  <c r="F3044" i="11"/>
  <c r="F6212" i="11"/>
  <c r="F1847" i="11"/>
  <c r="F5249" i="11"/>
  <c r="F884" i="11"/>
  <c r="F3188" i="11"/>
  <c r="F4367" i="11"/>
  <c r="F3593" i="11"/>
  <c r="F4448" i="11"/>
  <c r="F6446" i="11"/>
  <c r="F3233" i="11"/>
  <c r="F6545" i="11"/>
  <c r="F830" i="11"/>
  <c r="F974" i="11"/>
  <c r="F5384" i="11"/>
  <c r="F1334" i="11"/>
  <c r="F5708" i="11"/>
  <c r="F2702" i="11"/>
  <c r="F6968" i="11"/>
  <c r="F1280" i="11"/>
  <c r="F3215" i="11"/>
  <c r="F350" i="11"/>
  <c r="F6509" i="11"/>
  <c r="F3989" i="11"/>
  <c r="F4259" i="11"/>
  <c r="F5870" i="11"/>
  <c r="F5393" i="11"/>
  <c r="F6023" i="11"/>
  <c r="F1460" i="11"/>
  <c r="F2405" i="11"/>
  <c r="F1874" i="11"/>
  <c r="F3161" i="11"/>
  <c r="F4376" i="11"/>
  <c r="F6653" i="11"/>
  <c r="F6554" i="11"/>
  <c r="F479" i="11"/>
  <c r="F6122" i="11"/>
  <c r="F5933" i="11"/>
  <c r="F5825" i="11"/>
  <c r="F1580" i="11"/>
  <c r="F2561" i="11"/>
  <c r="F6368" i="11"/>
  <c r="F2264" i="11"/>
  <c r="F4469" i="11"/>
  <c r="F5765" i="11"/>
  <c r="F5810" i="11"/>
  <c r="F6890" i="11"/>
  <c r="F6737" i="11"/>
  <c r="F6413" i="11"/>
  <c r="F6467" i="11"/>
  <c r="F6179" i="11"/>
  <c r="F5999" i="11"/>
  <c r="F1607" i="11"/>
  <c r="F5774" i="11"/>
  <c r="F5549" i="11"/>
  <c r="F5270" i="11"/>
  <c r="F5099" i="11"/>
  <c r="F5000" i="11"/>
  <c r="F4811" i="11"/>
  <c r="F4541" i="11"/>
  <c r="F4361" i="11"/>
  <c r="F4127" i="11"/>
  <c r="F1598" i="11"/>
  <c r="F3929" i="11"/>
  <c r="F3713" i="11"/>
  <c r="F3542" i="11"/>
  <c r="F1517" i="11"/>
  <c r="F3245" i="11"/>
  <c r="F3074" i="11"/>
  <c r="F6089" i="11"/>
  <c r="F2615" i="11"/>
  <c r="F6377" i="11"/>
  <c r="F2147" i="11"/>
  <c r="F2003" i="11"/>
  <c r="F1742" i="11"/>
  <c r="F1508" i="11"/>
  <c r="F1400" i="11"/>
  <c r="F1274" i="11"/>
  <c r="F1040" i="11"/>
  <c r="F392" i="11"/>
  <c r="F626" i="11"/>
  <c r="F6197" i="11"/>
  <c r="F5360" i="11"/>
  <c r="F4757" i="11"/>
  <c r="F4145" i="11"/>
  <c r="F428" i="11"/>
  <c r="F2588" i="11"/>
  <c r="F1049" i="11"/>
  <c r="F7077" i="11"/>
  <c r="F1543" i="11"/>
  <c r="F2317" i="11"/>
  <c r="F2344" i="11"/>
  <c r="F562" i="11"/>
  <c r="F454" i="11"/>
  <c r="F55" i="11"/>
  <c r="F46" i="11"/>
  <c r="F4801" i="11"/>
  <c r="F6097" i="11"/>
  <c r="F4774" i="11"/>
  <c r="F2965" i="11"/>
  <c r="F1471" i="11"/>
  <c r="F1057" i="11"/>
  <c r="F3352" i="11"/>
  <c r="F5602" i="11"/>
  <c r="F1372" i="11"/>
  <c r="F3784" i="11"/>
  <c r="F3415" i="11"/>
  <c r="F3766" i="11"/>
  <c r="F490" i="11"/>
  <c r="F3451" i="11"/>
  <c r="F1354" i="11"/>
  <c r="F769" i="11"/>
  <c r="F2596" i="11"/>
  <c r="F3046" i="11"/>
  <c r="F6214" i="11"/>
  <c r="F5719" i="11"/>
  <c r="F2623" i="11"/>
  <c r="F2443" i="11"/>
  <c r="F2605" i="11"/>
  <c r="F2020" i="11"/>
  <c r="F2353" i="11"/>
  <c r="F994" i="11"/>
  <c r="F2434" i="11"/>
  <c r="F3532" i="11"/>
  <c r="F3703" i="11"/>
  <c r="F6286" i="11"/>
  <c r="F6232" i="11"/>
  <c r="F5152" i="11"/>
  <c r="F4684" i="11"/>
  <c r="F6988" i="11"/>
  <c r="F445" i="11"/>
  <c r="F3325" i="11"/>
  <c r="F3829" i="11"/>
  <c r="F1696" i="11"/>
  <c r="F1984" i="11"/>
  <c r="F3001" i="11"/>
  <c r="F1903" i="11"/>
  <c r="F1867" i="11"/>
  <c r="F2371" i="11"/>
  <c r="F1183" i="11"/>
  <c r="F1435" i="11"/>
  <c r="F2533" i="11"/>
  <c r="F4864" i="11"/>
  <c r="F4099" i="11"/>
  <c r="F6925" i="11"/>
  <c r="F6700" i="11"/>
  <c r="F6637" i="11"/>
  <c r="F6529" i="11"/>
  <c r="F6250" i="11"/>
  <c r="F2119" i="11"/>
  <c r="F5917" i="11"/>
  <c r="F5791" i="11"/>
  <c r="F5656" i="11"/>
  <c r="F5494" i="11"/>
  <c r="F5134" i="11"/>
  <c r="F5035" i="11"/>
  <c r="F4909" i="11"/>
  <c r="F4630" i="11"/>
  <c r="F1687" i="11"/>
  <c r="F6421" i="11"/>
  <c r="F4045" i="11"/>
  <c r="F3964" i="11"/>
  <c r="F3775" i="11"/>
  <c r="F3649" i="11"/>
  <c r="F3469" i="11"/>
  <c r="F3316" i="11"/>
  <c r="F3118" i="11"/>
  <c r="F2947" i="11"/>
  <c r="F2776" i="11"/>
  <c r="F2497" i="11"/>
  <c r="F2191" i="11"/>
  <c r="F2083" i="11"/>
  <c r="F1939" i="11"/>
  <c r="F409" i="11"/>
  <c r="F1615" i="11"/>
  <c r="F1480" i="11"/>
  <c r="F1147" i="11"/>
  <c r="F877" i="11"/>
  <c r="F697" i="11"/>
  <c r="F6601" i="11"/>
  <c r="F5593" i="11"/>
  <c r="F4990" i="11"/>
  <c r="F4522" i="11"/>
  <c r="F3757" i="11"/>
  <c r="F2731" i="11"/>
  <c r="F28" i="11"/>
  <c r="F715" i="11"/>
  <c r="F6402" i="11"/>
  <c r="F6807" i="11"/>
  <c r="F741" i="11"/>
  <c r="F261" i="11"/>
  <c r="F180" i="11"/>
  <c r="F81" i="11"/>
  <c r="F1218" i="11"/>
  <c r="F252" i="11"/>
  <c r="F5745" i="11"/>
  <c r="F4845" i="11"/>
  <c r="F5403" i="11"/>
  <c r="F498" i="11"/>
  <c r="F2847" i="11"/>
  <c r="F3387" i="11"/>
  <c r="F4647" i="11"/>
  <c r="F2469" i="11"/>
  <c r="F6006" i="11"/>
  <c r="F6996" i="11"/>
  <c r="F4341" i="11"/>
  <c r="F2424" i="11"/>
  <c r="F6825" i="11"/>
  <c r="F687" i="11"/>
  <c r="F1092" i="11"/>
  <c r="F6132" i="11"/>
  <c r="F3918" i="11"/>
  <c r="F3135" i="11"/>
  <c r="F1011" i="11"/>
  <c r="F1155" i="11"/>
  <c r="F225" i="11"/>
  <c r="F1641" i="11"/>
  <c r="F3891" i="11"/>
  <c r="F3873" i="11"/>
  <c r="F5664" i="11"/>
  <c r="F6456" i="11"/>
  <c r="F984" i="11"/>
  <c r="F3900" i="11"/>
  <c r="F4305" i="11"/>
  <c r="F1803" i="11"/>
  <c r="F3585" i="11"/>
  <c r="F1974" i="11"/>
  <c r="F2208" i="11"/>
  <c r="F1794" i="11"/>
  <c r="F4008" i="11"/>
  <c r="F4962" i="11"/>
  <c r="F1236" i="11"/>
  <c r="F6051" i="11"/>
  <c r="F2676" i="11"/>
  <c r="F849" i="11"/>
  <c r="F3522" i="11"/>
  <c r="F1578" i="11"/>
  <c r="F2559" i="11"/>
  <c r="F6366" i="11"/>
  <c r="F2262" i="11"/>
  <c r="F4467" i="11"/>
  <c r="F5763" i="11"/>
  <c r="F5808" i="11"/>
  <c r="F6888" i="11"/>
  <c r="F6735" i="11"/>
  <c r="F6411" i="11"/>
  <c r="F6465" i="11"/>
  <c r="F6177" i="11"/>
  <c r="F5997" i="11"/>
  <c r="F1605" i="11"/>
  <c r="F5772" i="11"/>
  <c r="F5547" i="11"/>
  <c r="F5268" i="11"/>
  <c r="F5097" i="11"/>
  <c r="F4998" i="11"/>
  <c r="F4809" i="11"/>
  <c r="F4539" i="11"/>
  <c r="F4359" i="11"/>
  <c r="F4125" i="11"/>
  <c r="F1596" i="11"/>
  <c r="F3927" i="11"/>
  <c r="F3711" i="11"/>
  <c r="F3540" i="11"/>
  <c r="F1515" i="11"/>
  <c r="F3243" i="11"/>
  <c r="F3072" i="11"/>
  <c r="F6087" i="11"/>
  <c r="F2613" i="11"/>
  <c r="F6375" i="11"/>
  <c r="F2145" i="11"/>
  <c r="F2001" i="11"/>
  <c r="F1740" i="11"/>
  <c r="F1506" i="11"/>
  <c r="F1398" i="11"/>
  <c r="F1272" i="11"/>
  <c r="F1038" i="11"/>
  <c r="F390" i="11"/>
  <c r="F624" i="11"/>
  <c r="F6195" i="11"/>
  <c r="F5358" i="11"/>
  <c r="F4755" i="11"/>
  <c r="F4143" i="11"/>
  <c r="F426" i="11"/>
  <c r="F2586" i="11"/>
  <c r="F1047" i="11"/>
  <c r="F7081" i="11"/>
  <c r="F4430" i="11"/>
  <c r="F6203" i="11"/>
  <c r="F5924" i="11"/>
  <c r="F197" i="11"/>
  <c r="F434" i="11"/>
  <c r="F506" i="11"/>
  <c r="F296" i="11"/>
  <c r="F6563" i="11"/>
  <c r="F551" i="11"/>
  <c r="F515" i="11"/>
  <c r="F4880" i="11"/>
  <c r="F1451" i="11"/>
  <c r="F3089" i="11"/>
  <c r="F6536" i="11"/>
  <c r="F3053" i="11"/>
  <c r="F3656" i="11"/>
  <c r="F5483" i="11"/>
  <c r="F2099" i="11"/>
  <c r="F4439" i="11"/>
  <c r="F5582" i="11"/>
  <c r="F5852" i="11"/>
  <c r="F659" i="11"/>
  <c r="F569" i="11"/>
  <c r="F1820" i="11"/>
  <c r="F3152" i="11"/>
  <c r="F4403" i="11"/>
  <c r="F5717" i="11"/>
  <c r="F2621" i="11"/>
  <c r="F2441" i="11"/>
  <c r="F2603" i="11"/>
  <c r="F6485" i="11"/>
  <c r="F6386" i="11"/>
  <c r="F6170" i="11"/>
  <c r="F5963" i="11"/>
  <c r="F5882" i="11"/>
  <c r="F5693" i="11"/>
  <c r="F5531" i="11"/>
  <c r="F5216" i="11"/>
  <c r="F5063" i="11"/>
  <c r="F4982" i="11"/>
  <c r="F4730" i="11"/>
  <c r="F4532" i="11"/>
  <c r="F950" i="11"/>
  <c r="F3839" i="11"/>
  <c r="F4001" i="11"/>
  <c r="F3866" i="11"/>
  <c r="F3695" i="11"/>
  <c r="F3515" i="11"/>
  <c r="F3362" i="11"/>
  <c r="F3281" i="11"/>
  <c r="F3065" i="11"/>
  <c r="F2813" i="11"/>
  <c r="F2579" i="11"/>
  <c r="F2282" i="11"/>
  <c r="F2138" i="11"/>
  <c r="F1967" i="11"/>
  <c r="F1895" i="11"/>
  <c r="F1652" i="11"/>
  <c r="F1661" i="11"/>
  <c r="F1265" i="11"/>
  <c r="F959" i="11"/>
  <c r="F815" i="11"/>
  <c r="F7025" i="11"/>
  <c r="F344" i="11"/>
  <c r="F5225" i="11"/>
  <c r="F4748" i="11"/>
  <c r="F4082" i="11"/>
  <c r="F3425" i="11"/>
  <c r="F2273" i="11"/>
  <c r="F932" i="11"/>
  <c r="F7083" i="11"/>
  <c r="F4432" i="11"/>
  <c r="F6205" i="11"/>
  <c r="F5926" i="11"/>
  <c r="F199" i="11"/>
  <c r="F436" i="11"/>
  <c r="F508" i="11"/>
  <c r="F298" i="11"/>
  <c r="F6565" i="11"/>
  <c r="F553" i="11"/>
  <c r="F517" i="11"/>
  <c r="F4882" i="11"/>
  <c r="F1453" i="11"/>
  <c r="F3091" i="11"/>
  <c r="F6538" i="11"/>
  <c r="F3055" i="11"/>
  <c r="F3658" i="11"/>
  <c r="F5485" i="11"/>
  <c r="F2101" i="11"/>
  <c r="F4441" i="11"/>
  <c r="F5584" i="11"/>
  <c r="F5854" i="11"/>
  <c r="F661" i="11"/>
  <c r="F571" i="11"/>
  <c r="F1822" i="11"/>
  <c r="F3154" i="11"/>
  <c r="F4405" i="11"/>
  <c r="F7006" i="11"/>
  <c r="F2929" i="11"/>
  <c r="F2893" i="11"/>
  <c r="F6934" i="11"/>
  <c r="F3253" i="11"/>
  <c r="F5341" i="11"/>
  <c r="F5800" i="11"/>
  <c r="F2515" i="11"/>
  <c r="F6862" i="11"/>
  <c r="F6646" i="11"/>
  <c r="F940" i="11"/>
  <c r="F2641" i="11"/>
  <c r="F6718" i="11"/>
  <c r="F4063" i="11"/>
  <c r="F4270" i="11"/>
  <c r="F5980" i="11"/>
  <c r="F7015" i="11"/>
  <c r="F3622" i="11"/>
  <c r="F598" i="11"/>
  <c r="F2695" i="11"/>
  <c r="F1921" i="11"/>
  <c r="F4072" i="11"/>
  <c r="F6952" i="11"/>
  <c r="F1003" i="11"/>
  <c r="F4936" i="11"/>
  <c r="F6673" i="11"/>
  <c r="F5206" i="11"/>
  <c r="F967" i="11"/>
  <c r="F2011" i="11"/>
  <c r="F6979" i="11"/>
  <c r="F6763" i="11"/>
  <c r="F6628" i="11"/>
  <c r="F6520" i="11"/>
  <c r="F6241" i="11"/>
  <c r="F6043" i="11"/>
  <c r="F5908" i="11"/>
  <c r="F5314" i="11"/>
  <c r="F5638" i="11"/>
  <c r="F5476" i="11"/>
  <c r="F5116" i="11"/>
  <c r="F5053" i="11"/>
  <c r="F4891" i="11"/>
  <c r="F4603" i="11"/>
  <c r="F4495" i="11"/>
  <c r="F4225" i="11"/>
  <c r="F4036" i="11"/>
  <c r="F3955" i="11"/>
  <c r="F3739" i="11"/>
  <c r="F3640" i="11"/>
  <c r="F3406" i="11"/>
  <c r="F3298" i="11"/>
  <c r="F3109" i="11"/>
  <c r="F2938" i="11"/>
  <c r="F2767" i="11"/>
  <c r="F2389" i="11"/>
  <c r="F2182" i="11"/>
  <c r="F2074" i="11"/>
  <c r="F37" i="11"/>
  <c r="F1678" i="11"/>
  <c r="F1786" i="11"/>
  <c r="F1363" i="11"/>
  <c r="F1120" i="11"/>
  <c r="F868" i="11"/>
  <c r="F751" i="11"/>
  <c r="F6394" i="11"/>
  <c r="F5539" i="11"/>
  <c r="F535" i="11"/>
  <c r="F4477" i="11"/>
  <c r="F3604" i="11"/>
  <c r="F2038" i="11"/>
  <c r="F1750" i="11"/>
  <c r="F607" i="11"/>
  <c r="F6708" i="11"/>
  <c r="F6843" i="11"/>
  <c r="F99" i="11"/>
  <c r="F243" i="11"/>
  <c r="F153" i="11"/>
  <c r="F63" i="11"/>
  <c r="F8" i="11"/>
  <c r="F162" i="11"/>
  <c r="F6798" i="11"/>
  <c r="F4818" i="11"/>
  <c r="F3459" i="11"/>
  <c r="F1929" i="11"/>
  <c r="F2838" i="11"/>
  <c r="F4485" i="11"/>
  <c r="F1083" i="11"/>
  <c r="F759" i="11"/>
  <c r="F4503" i="11"/>
  <c r="F2415" i="11"/>
  <c r="F5178" i="11"/>
  <c r="F4917" i="11"/>
  <c r="F5349" i="11"/>
  <c r="F6492" i="11"/>
  <c r="F822" i="11"/>
  <c r="F5754" i="11"/>
  <c r="F3747" i="11"/>
  <c r="F1704" i="11"/>
  <c r="F2874" i="11"/>
  <c r="F1128" i="11"/>
  <c r="F678" i="11"/>
  <c r="F3576" i="11"/>
  <c r="F1722" i="11"/>
  <c r="F6321" i="11"/>
  <c r="F1200" i="11"/>
  <c r="F4593" i="11"/>
  <c r="F4557" i="11"/>
  <c r="F2955" i="11"/>
  <c r="F2649" i="11"/>
  <c r="F3855" i="11"/>
  <c r="F651" i="11"/>
  <c r="F2487" i="11"/>
  <c r="F6681" i="11"/>
  <c r="F2217" i="11"/>
  <c r="F723" i="11"/>
  <c r="F4719" i="11"/>
  <c r="F1551" i="11"/>
  <c r="F5079" i="11"/>
  <c r="F6357" i="11"/>
  <c r="F588" i="11"/>
  <c r="F5241" i="11"/>
  <c r="F4656" i="11"/>
  <c r="F6816" i="11"/>
  <c r="F4251" i="11"/>
  <c r="F669" i="11"/>
  <c r="F1947" i="11"/>
  <c r="F6906" i="11"/>
  <c r="F1020" i="11"/>
  <c r="F6897" i="11"/>
  <c r="F6690" i="11"/>
  <c r="F6483" i="11"/>
  <c r="F6384" i="11"/>
  <c r="F6168" i="11"/>
  <c r="F5961" i="11"/>
  <c r="F5880" i="11"/>
  <c r="F5691" i="11"/>
  <c r="F5529" i="11"/>
  <c r="F5214" i="11"/>
  <c r="F5061" i="11"/>
  <c r="F4980" i="11"/>
  <c r="F4728" i="11"/>
  <c r="F4530" i="11"/>
  <c r="F948" i="11"/>
  <c r="F3837" i="11"/>
  <c r="F3999" i="11"/>
  <c r="F3864" i="11"/>
  <c r="F3693" i="11"/>
  <c r="F3513" i="11"/>
  <c r="F3360" i="11"/>
  <c r="F3279" i="11"/>
  <c r="F3063" i="11"/>
  <c r="F2811" i="11"/>
  <c r="F2577" i="11"/>
  <c r="F2280" i="11"/>
  <c r="F2136" i="11"/>
  <c r="F1965" i="11"/>
  <c r="F1893" i="11"/>
  <c r="F1650" i="11"/>
  <c r="F1659" i="11"/>
  <c r="F1263" i="11"/>
  <c r="F957" i="11"/>
  <c r="F813" i="11"/>
  <c r="F7023" i="11"/>
  <c r="F342" i="11"/>
  <c r="F5223" i="11"/>
  <c r="F4746" i="11"/>
  <c r="F4080" i="11"/>
  <c r="F3423" i="11"/>
  <c r="F2271" i="11"/>
  <c r="F930" i="11"/>
  <c r="F7069" i="11"/>
  <c r="F5420" i="11"/>
  <c r="F2720" i="11"/>
  <c r="F6788" i="11"/>
  <c r="F170" i="11"/>
  <c r="F116" i="11"/>
  <c r="F1829" i="11"/>
  <c r="F287" i="11"/>
  <c r="F6347" i="11"/>
  <c r="F5366" i="11"/>
  <c r="F4214" i="11"/>
  <c r="F2522" i="11"/>
  <c r="F1226" i="11"/>
  <c r="F5141" i="11"/>
  <c r="F2171" i="11"/>
  <c r="F2882" i="11"/>
  <c r="F2900" i="11"/>
  <c r="F6293" i="11"/>
  <c r="F1487" i="11"/>
  <c r="F2864" i="11"/>
  <c r="F1136" i="11"/>
  <c r="F4232" i="11"/>
  <c r="F1325" i="11"/>
  <c r="F6059" i="11"/>
  <c r="F4943" i="11"/>
  <c r="F4277" i="11"/>
  <c r="F125" i="11"/>
  <c r="F7004" i="11"/>
  <c r="F2927" i="11"/>
  <c r="F2891" i="11"/>
  <c r="F6932" i="11"/>
  <c r="F3251" i="11"/>
  <c r="F5339" i="11"/>
  <c r="F5798" i="11"/>
  <c r="F2513" i="11"/>
  <c r="F6860" i="11"/>
  <c r="F6644" i="11"/>
  <c r="F938" i="11"/>
  <c r="F2639" i="11"/>
  <c r="F6716" i="11"/>
  <c r="F4061" i="11"/>
  <c r="F4268" i="11"/>
  <c r="F5978" i="11"/>
  <c r="F7013" i="11"/>
  <c r="F3620" i="11"/>
  <c r="F596" i="11"/>
  <c r="F2693" i="11"/>
  <c r="F1919" i="11"/>
  <c r="F4070" i="11"/>
  <c r="F6950" i="11"/>
  <c r="F1001" i="11"/>
  <c r="F4934" i="11"/>
  <c r="F6671" i="11"/>
  <c r="F5204" i="11"/>
  <c r="F965" i="11"/>
  <c r="F2009" i="11"/>
  <c r="F6977" i="11"/>
  <c r="F6761" i="11"/>
  <c r="F6626" i="11"/>
  <c r="F6518" i="11"/>
  <c r="F6239" i="11"/>
  <c r="F6041" i="11"/>
  <c r="F5906" i="11"/>
  <c r="F5312" i="11"/>
  <c r="F5636" i="11"/>
  <c r="F5474" i="11"/>
  <c r="F5114" i="11"/>
  <c r="F5051" i="11"/>
  <c r="F4889" i="11"/>
  <c r="F4601" i="11"/>
  <c r="F4493" i="11"/>
  <c r="F4223" i="11"/>
  <c r="F4034" i="11"/>
  <c r="F3953" i="11"/>
  <c r="F3737" i="11"/>
  <c r="F3638" i="11"/>
  <c r="F3404" i="11"/>
  <c r="F3296" i="11"/>
  <c r="F3107" i="11"/>
  <c r="F2936" i="11"/>
  <c r="F2765" i="11"/>
  <c r="F2387" i="11"/>
  <c r="F2180" i="11"/>
  <c r="F2072" i="11"/>
  <c r="F35" i="11"/>
  <c r="F1676" i="11"/>
  <c r="F1784" i="11"/>
  <c r="F1361" i="11"/>
  <c r="F1118" i="11"/>
  <c r="F866" i="11"/>
  <c r="F749" i="11"/>
  <c r="F6392" i="11"/>
  <c r="F5537" i="11"/>
  <c r="F533" i="11"/>
  <c r="F4475" i="11"/>
  <c r="F3602" i="11"/>
  <c r="F2036" i="11"/>
  <c r="F1748" i="11"/>
  <c r="F605" i="11"/>
  <c r="F1954" i="11"/>
  <c r="F6841" i="11"/>
  <c r="F97" i="11"/>
  <c r="F241" i="11"/>
  <c r="F151" i="11"/>
  <c r="F2129" i="11"/>
  <c r="F3434" i="11"/>
  <c r="F1814" i="11"/>
  <c r="F1625" i="11"/>
  <c r="F1391" i="11"/>
  <c r="F1193" i="11"/>
  <c r="F914" i="11"/>
  <c r="F788" i="11"/>
  <c r="F6881" i="11"/>
  <c r="F5702" i="11"/>
  <c r="F5189" i="11"/>
  <c r="F4694" i="11"/>
  <c r="F3821" i="11"/>
  <c r="F3308" i="11"/>
  <c r="F2030" i="11"/>
  <c r="F896" i="11"/>
  <c r="F7071" i="11"/>
  <c r="F5422" i="11"/>
  <c r="F2722" i="11"/>
  <c r="F6790" i="11"/>
  <c r="F172" i="11"/>
  <c r="F118" i="11"/>
  <c r="F1831" i="11"/>
  <c r="F289" i="11"/>
  <c r="F6349" i="11"/>
  <c r="F5368" i="11"/>
  <c r="F4216" i="11"/>
  <c r="F2524" i="11"/>
  <c r="F1228" i="11"/>
  <c r="F5143" i="11"/>
  <c r="F2173" i="11"/>
  <c r="F2884" i="11"/>
  <c r="F2902" i="11"/>
  <c r="F6295" i="11"/>
  <c r="F1489" i="11"/>
  <c r="F2866" i="11"/>
  <c r="F1138" i="11"/>
  <c r="F4234" i="11"/>
  <c r="F1327" i="11"/>
  <c r="F6061" i="11"/>
  <c r="F4945" i="11"/>
  <c r="F4279" i="11"/>
  <c r="F127" i="11"/>
  <c r="F4585" i="11"/>
  <c r="F3010" i="11"/>
  <c r="F4198" i="11"/>
  <c r="F4018" i="11"/>
  <c r="F3973" i="11"/>
  <c r="F6853" i="11"/>
  <c r="F6430" i="11"/>
  <c r="F2290" i="11"/>
  <c r="F1318" i="11"/>
  <c r="F1885" i="11"/>
  <c r="F5989" i="11"/>
  <c r="F5971" i="11"/>
  <c r="F4297" i="11"/>
  <c r="F6871" i="11"/>
  <c r="F3676" i="11"/>
  <c r="F6115" i="11"/>
  <c r="F643" i="11"/>
  <c r="F5611" i="11"/>
  <c r="F4162" i="11"/>
  <c r="F5836" i="11"/>
  <c r="F1993" i="11"/>
  <c r="F1669" i="11"/>
  <c r="F796" i="11"/>
  <c r="F5089" i="11"/>
  <c r="F1732" i="11"/>
  <c r="F5305" i="11"/>
  <c r="F3208" i="11"/>
  <c r="F733" i="11"/>
  <c r="F5728" i="11"/>
  <c r="F6961" i="11"/>
  <c r="F6754" i="11"/>
  <c r="F6592" i="11"/>
  <c r="F6475" i="11"/>
  <c r="F325" i="11"/>
  <c r="F6070" i="11"/>
  <c r="F5899" i="11"/>
  <c r="F5782" i="11"/>
  <c r="F5629" i="11"/>
  <c r="F5431" i="11"/>
  <c r="F5071" i="11"/>
  <c r="F5026" i="11"/>
  <c r="F4855" i="11"/>
  <c r="F4576" i="11"/>
  <c r="F4459" i="11"/>
  <c r="F5503" i="11"/>
  <c r="F4027" i="11"/>
  <c r="F3946" i="11"/>
  <c r="F3730" i="11"/>
  <c r="F136" i="11"/>
  <c r="F3379" i="11"/>
  <c r="F3226" i="11"/>
  <c r="F3100" i="11"/>
  <c r="F2911" i="11"/>
  <c r="F2758" i="11"/>
  <c r="F2380" i="11"/>
  <c r="F2164" i="11"/>
  <c r="F2056" i="11"/>
  <c r="F1858" i="11"/>
  <c r="F1525" i="11"/>
  <c r="F1498" i="11"/>
  <c r="F6727" i="11"/>
  <c r="F1111" i="11"/>
  <c r="F859" i="11"/>
  <c r="F706" i="11"/>
  <c r="F6304" i="11"/>
  <c r="F5449" i="11"/>
  <c r="F4783" i="11"/>
  <c r="F4423" i="11"/>
  <c r="F3568" i="11"/>
  <c r="F2713" i="11"/>
  <c r="F1345" i="11"/>
  <c r="F7095" i="11"/>
  <c r="F1956" i="11"/>
  <c r="F1254" i="11"/>
  <c r="F3549" i="11"/>
  <c r="F234" i="11"/>
  <c r="F144" i="11"/>
  <c r="F72" i="11"/>
  <c r="F399" i="11"/>
  <c r="F189" i="11"/>
  <c r="F6780" i="11"/>
  <c r="F4791" i="11"/>
  <c r="F3126" i="11"/>
  <c r="F1713" i="11"/>
  <c r="F4323" i="11"/>
  <c r="F4188" i="11"/>
  <c r="F1308" i="11"/>
  <c r="F3180" i="11"/>
  <c r="F2244" i="11"/>
  <c r="F921" i="11"/>
  <c r="F1209" i="11"/>
  <c r="F2109" i="11"/>
  <c r="F5817" i="11"/>
  <c r="F2064" i="11"/>
  <c r="F3441" i="11"/>
  <c r="F5952" i="11"/>
  <c r="F1101" i="11"/>
  <c r="F2685" i="11"/>
  <c r="F1290" i="11"/>
  <c r="F4611" i="11"/>
  <c r="F3882" i="11"/>
  <c r="F6339" i="11"/>
  <c r="F5457" i="11"/>
  <c r="F462" i="11"/>
  <c r="F4836" i="11"/>
  <c r="F4107" i="11"/>
  <c r="F4395" i="11"/>
  <c r="F4287" i="11"/>
  <c r="F1299" i="11"/>
  <c r="F5565" i="11"/>
  <c r="F381" i="11"/>
  <c r="F2451" i="11"/>
  <c r="F3630" i="11"/>
  <c r="F1632" i="11"/>
  <c r="F1533" i="11"/>
  <c r="F2235" i="11"/>
  <c r="F4566" i="11"/>
  <c r="F4971" i="11"/>
  <c r="F2856" i="11"/>
  <c r="F2505" i="11"/>
  <c r="F5736" i="11"/>
  <c r="F2460" i="11"/>
  <c r="F5844" i="11"/>
  <c r="F5160" i="11"/>
  <c r="F6771" i="11"/>
  <c r="F3027" i="11"/>
  <c r="F2568" i="11"/>
  <c r="F7041" i="11"/>
  <c r="F6915" i="11"/>
  <c r="F6663" i="11"/>
  <c r="F6573" i="11"/>
  <c r="F6330" i="11"/>
  <c r="F5286" i="11"/>
  <c r="F5943" i="11"/>
  <c r="F5862" i="11"/>
  <c r="F5682" i="11"/>
  <c r="F5466" i="11"/>
  <c r="F5196" i="11"/>
  <c r="F216" i="11"/>
  <c r="F4953" i="11"/>
  <c r="F4710" i="11"/>
  <c r="F3144" i="11"/>
  <c r="F4314" i="11"/>
  <c r="F4116" i="11"/>
  <c r="F2397" i="11"/>
  <c r="F3810" i="11"/>
  <c r="F3684" i="11"/>
  <c r="F3504" i="11"/>
  <c r="F3342" i="11"/>
  <c r="F3171" i="11"/>
  <c r="F3036" i="11"/>
  <c r="F2802" i="11"/>
  <c r="F2550" i="11"/>
  <c r="F2253" i="11"/>
  <c r="F2127" i="11"/>
  <c r="F3432" i="11"/>
  <c r="F1812" i="11"/>
  <c r="F1623" i="11"/>
  <c r="F1389" i="11"/>
  <c r="F1191" i="11"/>
  <c r="F912" i="11"/>
  <c r="F786" i="11"/>
  <c r="F6879" i="11"/>
  <c r="F5700" i="11"/>
  <c r="F5187" i="11"/>
  <c r="F4692" i="11"/>
  <c r="F3819" i="11"/>
  <c r="F3306" i="11"/>
  <c r="F2028" i="11"/>
  <c r="F894" i="11"/>
  <c r="F7062" i="11"/>
  <c r="F305" i="11"/>
  <c r="F578" i="11"/>
  <c r="F314" i="11"/>
  <c r="F470" i="11"/>
  <c r="F107" i="11"/>
  <c r="F17" i="11"/>
  <c r="F269" i="11"/>
  <c r="F6266" i="11"/>
  <c r="F5258" i="11"/>
  <c r="F4205" i="11"/>
  <c r="F2333" i="11"/>
  <c r="F614" i="11"/>
  <c r="F2828" i="11"/>
  <c r="F3476" i="11"/>
  <c r="F2783" i="11"/>
  <c r="F2666" i="11"/>
  <c r="F6158" i="11"/>
  <c r="F5438" i="11"/>
  <c r="F4052" i="11"/>
  <c r="F2990" i="11"/>
  <c r="F5573" i="11"/>
  <c r="F2981" i="11"/>
  <c r="F4736" i="11"/>
  <c r="F4700" i="11"/>
  <c r="F2972" i="11"/>
  <c r="F1559" i="11"/>
  <c r="F4583" i="11"/>
  <c r="F3008" i="11"/>
  <c r="F4196" i="11"/>
  <c r="F4016" i="11"/>
  <c r="F3971" i="11"/>
  <c r="F6851" i="11"/>
  <c r="F6428" i="11"/>
  <c r="F2288" i="11"/>
  <c r="F1316" i="11"/>
  <c r="F1883" i="11"/>
  <c r="F5987" i="11"/>
  <c r="F5969" i="11"/>
  <c r="F4295" i="11"/>
  <c r="F6869" i="11"/>
  <c r="F3674" i="11"/>
  <c r="F6113" i="11"/>
  <c r="F641" i="11"/>
  <c r="F5609" i="11"/>
  <c r="F4160" i="11"/>
  <c r="F5834" i="11"/>
  <c r="F1991" i="11"/>
  <c r="F1667" i="11"/>
  <c r="F794" i="11"/>
  <c r="F5087" i="11"/>
  <c r="F1730" i="11"/>
  <c r="F5303" i="11"/>
  <c r="F3206" i="11"/>
  <c r="F731" i="11"/>
  <c r="F5726" i="11"/>
  <c r="F6959" i="11"/>
  <c r="F6752" i="11"/>
  <c r="F6590" i="11"/>
  <c r="F6473" i="11"/>
  <c r="F323" i="11"/>
  <c r="F6068" i="11"/>
  <c r="F5897" i="11"/>
  <c r="F5780" i="11"/>
  <c r="F5627" i="11"/>
  <c r="F5429" i="11"/>
  <c r="F5069" i="11"/>
  <c r="F5024" i="11"/>
  <c r="F4853" i="11"/>
  <c r="F4574" i="11"/>
  <c r="F4457" i="11"/>
  <c r="F5501" i="11"/>
  <c r="F4025" i="11"/>
  <c r="F3944" i="11"/>
  <c r="F3728" i="11"/>
  <c r="F134" i="11"/>
  <c r="F3377" i="11"/>
  <c r="F3224" i="11"/>
  <c r="F3098" i="11"/>
  <c r="F2909" i="11"/>
  <c r="F2756" i="11"/>
  <c r="F2378" i="11"/>
  <c r="F2162" i="11"/>
  <c r="F2054" i="11"/>
  <c r="F1856" i="11"/>
  <c r="F1523" i="11"/>
  <c r="F1496" i="11"/>
  <c r="F6725" i="11"/>
  <c r="F1109" i="11"/>
  <c r="F857" i="11"/>
  <c r="F704" i="11"/>
  <c r="F6302" i="11"/>
  <c r="F5447" i="11"/>
  <c r="F4781" i="11"/>
  <c r="F4421" i="11"/>
  <c r="F3566" i="11"/>
  <c r="F2711" i="11"/>
  <c r="F1343" i="11"/>
  <c r="F7074" i="11"/>
  <c r="F1540" i="11"/>
  <c r="F1252" i="11"/>
  <c r="F3547" i="11"/>
  <c r="F232" i="11"/>
  <c r="F5323" i="11"/>
  <c r="F3397" i="11"/>
  <c r="F6439" i="11"/>
  <c r="F6142" i="11"/>
  <c r="F3847" i="11"/>
  <c r="F208" i="11"/>
  <c r="F1165" i="11"/>
  <c r="F5512" i="11"/>
  <c r="F5377" i="11"/>
  <c r="F6835" i="11"/>
  <c r="F6583" i="11"/>
  <c r="F6016" i="11"/>
  <c r="F4621" i="11"/>
  <c r="F5107" i="11"/>
  <c r="F4549" i="11"/>
  <c r="F2740" i="11"/>
  <c r="F6745" i="11"/>
  <c r="F2632" i="11"/>
  <c r="F1381" i="11"/>
  <c r="F1408" i="11"/>
  <c r="F841" i="11"/>
  <c r="F634" i="11"/>
  <c r="F6277" i="11"/>
  <c r="F5413" i="11"/>
  <c r="F4765" i="11"/>
  <c r="F4351" i="11"/>
  <c r="F3496" i="11"/>
  <c r="F2659" i="11"/>
  <c r="F1246" i="11"/>
  <c r="F7076" i="11"/>
  <c r="F1542" i="11"/>
  <c r="F2316" i="11"/>
  <c r="F2343" i="11"/>
  <c r="F561" i="11"/>
  <c r="F453" i="11"/>
  <c r="F54" i="11"/>
  <c r="F45" i="11"/>
  <c r="F4800" i="11"/>
  <c r="F6096" i="11"/>
  <c r="F4773" i="11"/>
  <c r="F2964" i="11"/>
  <c r="F1470" i="11"/>
  <c r="F1056" i="11"/>
  <c r="F3351" i="11"/>
  <c r="F5601" i="11"/>
  <c r="F1371" i="11"/>
  <c r="F3783" i="11"/>
  <c r="F3414" i="11"/>
  <c r="F3765" i="11"/>
  <c r="F489" i="11"/>
  <c r="F3450" i="11"/>
  <c r="F1353" i="11"/>
  <c r="F768" i="11"/>
  <c r="F2595" i="11"/>
  <c r="F3045" i="11"/>
  <c r="F6213" i="11"/>
  <c r="F1848" i="11"/>
  <c r="F5250" i="11"/>
  <c r="F885" i="11"/>
  <c r="F3189" i="11"/>
  <c r="F4368" i="11"/>
  <c r="F3594" i="11"/>
  <c r="F4449" i="11"/>
  <c r="F6447" i="11"/>
  <c r="F3234" i="11"/>
  <c r="F6546" i="11"/>
  <c r="F831" i="11"/>
  <c r="F975" i="11"/>
  <c r="F5385" i="11"/>
  <c r="F1335" i="11"/>
  <c r="F5709" i="11"/>
  <c r="F2703" i="11"/>
  <c r="F6969" i="11"/>
  <c r="F1281" i="11"/>
  <c r="F3216" i="11"/>
  <c r="F351" i="11"/>
  <c r="F6510" i="11"/>
  <c r="F3990" i="11"/>
  <c r="F4260" i="11"/>
  <c r="F5871" i="11"/>
  <c r="F5394" i="11"/>
  <c r="F6024" i="11"/>
  <c r="F1461" i="11"/>
  <c r="F2406" i="11"/>
  <c r="F1875" i="11"/>
  <c r="F3162" i="11"/>
  <c r="F4377" i="11"/>
  <c r="F6654" i="11"/>
  <c r="F6555" i="11"/>
  <c r="F480" i="11"/>
  <c r="F6123" i="11"/>
  <c r="F5934" i="11"/>
  <c r="F5826" i="11"/>
  <c r="F5673" i="11"/>
  <c r="F5520" i="11"/>
  <c r="F5169" i="11"/>
  <c r="F5043" i="11"/>
  <c r="F4926" i="11"/>
  <c r="F4674" i="11"/>
  <c r="F4413" i="11"/>
  <c r="F4242" i="11"/>
  <c r="F4089" i="11"/>
  <c r="F3981" i="11"/>
  <c r="F3792" i="11"/>
  <c r="F3666" i="11"/>
  <c r="F3486" i="11"/>
  <c r="F3333" i="11"/>
  <c r="F3198" i="11"/>
  <c r="F3018" i="11"/>
  <c r="F2793" i="11"/>
  <c r="F2541" i="11"/>
  <c r="F2199" i="11"/>
  <c r="F2091" i="11"/>
  <c r="F1911" i="11"/>
  <c r="F1776" i="11"/>
  <c r="F1443" i="11"/>
  <c r="F1587" i="11"/>
  <c r="F1173" i="11"/>
  <c r="F903" i="11"/>
  <c r="F777" i="11"/>
  <c r="F6618" i="11"/>
  <c r="F5646" i="11"/>
  <c r="F5124" i="11"/>
  <c r="F4638" i="11"/>
  <c r="F3801" i="11"/>
  <c r="F3288" i="11"/>
  <c r="F1839" i="11"/>
  <c r="F804" i="11"/>
  <c r="F7048" i="11"/>
  <c r="F4511" i="11"/>
  <c r="F6221" i="11"/>
  <c r="F332" i="11"/>
  <c r="F524" i="11"/>
  <c r="F89" i="11"/>
  <c r="F416" i="11"/>
  <c r="F278" i="11"/>
  <c r="F6149" i="11"/>
  <c r="F542" i="11"/>
  <c r="F3908" i="11"/>
  <c r="F2324" i="11"/>
  <c r="F4331" i="11"/>
  <c r="F2297" i="11"/>
  <c r="F3611" i="11"/>
  <c r="F2477" i="11"/>
  <c r="F6311" i="11"/>
  <c r="F2306" i="11"/>
  <c r="F4169" i="11"/>
  <c r="F6032" i="11"/>
  <c r="F5276" i="11"/>
  <c r="F6077" i="11"/>
  <c r="F5231" i="11"/>
  <c r="F2918" i="11"/>
  <c r="F1766" i="11"/>
  <c r="F2225" i="11"/>
  <c r="F7057" i="11"/>
  <c r="F3269" i="11"/>
  <c r="F5618" i="11"/>
  <c r="F2747" i="11"/>
  <c r="F5321" i="11"/>
  <c r="F1064" i="11"/>
  <c r="F6608" i="11"/>
  <c r="F3395" i="11"/>
  <c r="F6437" i="11"/>
  <c r="F6140" i="11"/>
  <c r="F7031" i="11"/>
  <c r="F3845" i="11"/>
  <c r="F3368" i="11"/>
  <c r="F206" i="11"/>
  <c r="F1163" i="11"/>
  <c r="F4151" i="11"/>
  <c r="F5510" i="11"/>
  <c r="F5006" i="11"/>
  <c r="F6104" i="11"/>
  <c r="F5375" i="11"/>
  <c r="F4898" i="11"/>
  <c r="F4871" i="11"/>
  <c r="F7090" i="11"/>
  <c r="F4664" i="11"/>
  <c r="F1424" i="11"/>
  <c r="F1568" i="11"/>
  <c r="F5294" i="11"/>
  <c r="F6257" i="11"/>
  <c r="F1073" i="11"/>
  <c r="F4133" i="11"/>
  <c r="F6941" i="11"/>
  <c r="F6833" i="11"/>
  <c r="F6581" i="11"/>
  <c r="F6500" i="11"/>
  <c r="F6185" i="11"/>
  <c r="F6014" i="11"/>
  <c r="F5888" i="11"/>
  <c r="F4619" i="11"/>
  <c r="F5555" i="11"/>
  <c r="F5330" i="11"/>
  <c r="F5105" i="11"/>
  <c r="F5015" i="11"/>
  <c r="F4826" i="11"/>
  <c r="F4547" i="11"/>
  <c r="F4385" i="11"/>
  <c r="F4178" i="11"/>
  <c r="F2738" i="11"/>
  <c r="F3935" i="11"/>
  <c r="F3719" i="11"/>
  <c r="F3557" i="11"/>
  <c r="F6743" i="11"/>
  <c r="F3260" i="11"/>
  <c r="F3080" i="11"/>
  <c r="F2819" i="11"/>
  <c r="F2630" i="11"/>
  <c r="F2360" i="11"/>
  <c r="F2153" i="11"/>
  <c r="F2045" i="11"/>
  <c r="F1379" i="11"/>
  <c r="F1757" i="11"/>
  <c r="F1406" i="11"/>
  <c r="F1415" i="11"/>
  <c r="F1028" i="11"/>
  <c r="F839" i="11"/>
  <c r="F632" i="11"/>
  <c r="F6275" i="11"/>
  <c r="F5411" i="11"/>
  <c r="F4763" i="11"/>
  <c r="F4349" i="11"/>
  <c r="F3494" i="11"/>
  <c r="F2657" i="11"/>
  <c r="F1244" i="11"/>
  <c r="F7080" i="11"/>
  <c r="F4429" i="11"/>
  <c r="F2314" i="11"/>
  <c r="F2341" i="11"/>
  <c r="F559" i="11"/>
  <c r="F451" i="11"/>
  <c r="F52" i="11"/>
  <c r="F43" i="11"/>
  <c r="F4798" i="11"/>
  <c r="F6094" i="11"/>
  <c r="F4771" i="11"/>
  <c r="F2962" i="11"/>
  <c r="F1468" i="11"/>
  <c r="F1054" i="11"/>
  <c r="F3349" i="11"/>
  <c r="F5599" i="11"/>
  <c r="F1369" i="11"/>
  <c r="F3781" i="11"/>
  <c r="F3412" i="11"/>
  <c r="F3763" i="11"/>
  <c r="F487" i="11"/>
  <c r="F3448" i="11"/>
  <c r="F1351" i="11"/>
  <c r="F766" i="11"/>
  <c r="F2593" i="11"/>
  <c r="F3043" i="11"/>
  <c r="F6211" i="11"/>
  <c r="F1846" i="11"/>
  <c r="F5248" i="11"/>
  <c r="F883" i="11"/>
  <c r="F3187" i="11"/>
  <c r="F5620" i="11"/>
  <c r="F6610" i="11"/>
  <c r="F5008" i="11"/>
  <c r="F4900" i="11"/>
  <c r="F7092" i="11"/>
  <c r="F1426" i="11"/>
  <c r="F5296" i="11"/>
  <c r="F1075" i="11"/>
  <c r="F6502" i="11"/>
  <c r="F5890" i="11"/>
  <c r="F5557" i="11"/>
  <c r="F5017" i="11"/>
  <c r="F4387" i="11"/>
  <c r="F3937" i="11"/>
  <c r="F3559" i="11"/>
  <c r="F3082" i="11"/>
  <c r="F2362" i="11"/>
  <c r="F2047" i="11"/>
  <c r="F1759" i="11"/>
  <c r="F1417" i="11"/>
  <c r="F7078" i="11"/>
  <c r="F2318" i="11"/>
  <c r="F563" i="11"/>
  <c r="F56" i="11"/>
  <c r="F47" i="11"/>
  <c r="F6098" i="11"/>
  <c r="F2966" i="11"/>
  <c r="F1058" i="11"/>
  <c r="F1373" i="11"/>
  <c r="F3767" i="11"/>
  <c r="F770" i="11"/>
  <c r="F2597" i="11"/>
  <c r="F6215" i="11"/>
  <c r="F2021" i="11"/>
  <c r="F2354" i="11"/>
  <c r="F995" i="11"/>
  <c r="F2435" i="11"/>
  <c r="F3533" i="11"/>
  <c r="F3704" i="11"/>
  <c r="F6287" i="11"/>
  <c r="F6233" i="11"/>
  <c r="F446" i="11"/>
  <c r="F3326" i="11"/>
  <c r="F1697" i="11"/>
  <c r="F1985" i="11"/>
  <c r="F3002" i="11"/>
  <c r="F1868" i="11"/>
  <c r="F2372" i="11"/>
  <c r="F1436" i="11"/>
  <c r="F2534" i="11"/>
  <c r="F4100" i="11"/>
  <c r="F6926" i="11"/>
  <c r="F6701" i="11"/>
  <c r="F6638" i="11"/>
  <c r="F6530" i="11"/>
  <c r="F2120" i="11"/>
  <c r="F5918" i="11"/>
  <c r="F5792" i="11"/>
  <c r="F5657" i="11"/>
  <c r="F5495" i="11"/>
  <c r="F5135" i="11"/>
  <c r="F5036" i="11"/>
  <c r="F4631" i="11"/>
  <c r="F1688" i="11"/>
  <c r="F6422" i="11"/>
  <c r="F3965" i="11"/>
  <c r="F3650" i="11"/>
  <c r="F3470" i="11"/>
  <c r="F3317" i="11"/>
  <c r="F3119" i="11"/>
  <c r="F2948" i="11"/>
  <c r="F2777" i="11"/>
  <c r="F2498" i="11"/>
  <c r="F2084" i="11"/>
  <c r="F1148" i="11"/>
  <c r="F878" i="11"/>
  <c r="F698" i="11"/>
  <c r="F6602" i="11"/>
  <c r="F3758" i="11"/>
  <c r="F29" i="11"/>
  <c r="F334" i="11"/>
  <c r="F91" i="11"/>
  <c r="F418" i="11"/>
  <c r="F544" i="11"/>
  <c r="F2326" i="11"/>
  <c r="F2299" i="11"/>
  <c r="F2479" i="11"/>
  <c r="F6313" i="11"/>
  <c r="F2308" i="11"/>
  <c r="F4171" i="11"/>
  <c r="F6034" i="11"/>
  <c r="F6079" i="11"/>
  <c r="F2920" i="11"/>
  <c r="F2227" i="11"/>
  <c r="F226" i="11"/>
  <c r="F985" i="11"/>
  <c r="F4306" i="11"/>
  <c r="F3586" i="11"/>
  <c r="F2209" i="11"/>
  <c r="F1795" i="11"/>
  <c r="F4009" i="11"/>
  <c r="F1237" i="11"/>
  <c r="F2677" i="11"/>
  <c r="F3523" i="11"/>
  <c r="F6367" i="11"/>
  <c r="F2263" i="11"/>
  <c r="F4468" i="11"/>
  <c r="F5764" i="11"/>
  <c r="F5809" i="11"/>
  <c r="F6889" i="11"/>
  <c r="F6412" i="11"/>
  <c r="F6466" i="11"/>
  <c r="F6178" i="11"/>
  <c r="F5998" i="11"/>
  <c r="F1606" i="11"/>
  <c r="F5773" i="11"/>
  <c r="F5548" i="11"/>
  <c r="F5269" i="11"/>
  <c r="F5098" i="11"/>
  <c r="F4999" i="11"/>
  <c r="F4810" i="11"/>
  <c r="F4540" i="11"/>
  <c r="F4360" i="11"/>
  <c r="F4126" i="11"/>
  <c r="F1597" i="11"/>
  <c r="F3928" i="11"/>
  <c r="F3712" i="11"/>
  <c r="F3541" i="11"/>
  <c r="F1516" i="11"/>
  <c r="F3244" i="11"/>
  <c r="F3073" i="11"/>
  <c r="F6088" i="11"/>
  <c r="F6376" i="11"/>
  <c r="F2146" i="11"/>
  <c r="F2002" i="11"/>
  <c r="F1741" i="11"/>
  <c r="F1507" i="11"/>
  <c r="F1399" i="11"/>
  <c r="F1039" i="11"/>
  <c r="F391" i="11"/>
  <c r="F625" i="11"/>
  <c r="F6196" i="11"/>
  <c r="F5359" i="11"/>
  <c r="F4756" i="11"/>
  <c r="F4144" i="11"/>
  <c r="F427" i="11"/>
  <c r="F2587" i="11"/>
  <c r="F1048" i="11"/>
  <c r="F7082" i="11"/>
  <c r="F4431" i="11"/>
  <c r="F5925" i="11"/>
  <c r="F198" i="11"/>
  <c r="F507" i="11"/>
  <c r="F6564" i="11"/>
  <c r="F516" i="11"/>
  <c r="F1452" i="11"/>
  <c r="F6537" i="11"/>
  <c r="F3657" i="11"/>
  <c r="F5484" i="11"/>
  <c r="F2100" i="11"/>
  <c r="F4440" i="11"/>
  <c r="F5583" i="11"/>
  <c r="F660" i="11"/>
  <c r="F570" i="11"/>
  <c r="F1821" i="11"/>
  <c r="F3153" i="11"/>
  <c r="F5718" i="11"/>
  <c r="F2442" i="11"/>
  <c r="F2019" i="11"/>
  <c r="F993" i="11"/>
  <c r="F3531" i="11"/>
  <c r="F6285" i="11"/>
  <c r="F5151" i="11"/>
  <c r="F6987" i="11"/>
  <c r="F3828" i="11"/>
  <c r="F1695" i="11"/>
  <c r="F1983" i="11"/>
  <c r="F3000" i="11"/>
  <c r="F1182" i="11"/>
  <c r="F4863" i="11"/>
  <c r="F5655" i="11"/>
  <c r="F6420" i="11"/>
  <c r="F3774" i="11"/>
  <c r="F3468" i="11"/>
  <c r="F3315" i="11"/>
  <c r="F3117" i="11"/>
  <c r="F2946" i="11"/>
  <c r="F2775" i="11"/>
  <c r="F2496" i="11"/>
  <c r="F2190" i="11"/>
  <c r="F2082" i="11"/>
  <c r="F1938" i="11"/>
  <c r="F408" i="11"/>
  <c r="F1614" i="11"/>
  <c r="F1479" i="11"/>
  <c r="F1146" i="11"/>
  <c r="F876" i="11"/>
  <c r="F696" i="11"/>
  <c r="F6600" i="11"/>
  <c r="F5592" i="11"/>
  <c r="F4989" i="11"/>
  <c r="F4521" i="11"/>
  <c r="F3756" i="11"/>
  <c r="F2730" i="11"/>
  <c r="F27" i="11"/>
  <c r="F714" i="11"/>
  <c r="F6401" i="11"/>
  <c r="F6806" i="11"/>
  <c r="F740" i="11"/>
  <c r="F260" i="11"/>
  <c r="F179" i="11"/>
  <c r="F80" i="11"/>
  <c r="F1217" i="11"/>
  <c r="F251" i="11"/>
  <c r="F5744" i="11"/>
  <c r="F4844" i="11"/>
  <c r="F5402" i="11"/>
  <c r="F497" i="11"/>
  <c r="F2846" i="11"/>
  <c r="F3386" i="11"/>
  <c r="F4646" i="11"/>
  <c r="F2468" i="11"/>
  <c r="F6005" i="11"/>
  <c r="F6995" i="11"/>
  <c r="F4340" i="11"/>
  <c r="F2423" i="11"/>
  <c r="F6824" i="11"/>
  <c r="F686" i="11"/>
  <c r="F1091" i="11"/>
  <c r="F6131" i="11"/>
  <c r="F3917" i="11"/>
  <c r="F3134" i="11"/>
  <c r="F1010" i="11"/>
  <c r="F1154" i="11"/>
  <c r="F224" i="11"/>
  <c r="F1640" i="11"/>
  <c r="F3890" i="11"/>
  <c r="F3872" i="11"/>
  <c r="F5663" i="11"/>
  <c r="F6455" i="11"/>
  <c r="F983" i="11"/>
  <c r="F3899" i="11"/>
  <c r="F4304" i="11"/>
  <c r="F1802" i="11"/>
  <c r="F3584" i="11"/>
  <c r="F1973" i="11"/>
  <c r="F2207" i="11"/>
  <c r="F1793" i="11"/>
  <c r="F4007" i="11"/>
  <c r="F4961" i="11"/>
  <c r="F1235" i="11"/>
  <c r="F6050" i="11"/>
  <c r="F2675" i="11"/>
  <c r="F848" i="11"/>
  <c r="F3521" i="11"/>
  <c r="F1577" i="11"/>
  <c r="F2558" i="11"/>
  <c r="F6365" i="11"/>
  <c r="F2261" i="11"/>
  <c r="F4466" i="11"/>
  <c r="F5762" i="11"/>
  <c r="F5807" i="11"/>
  <c r="F6887" i="11"/>
  <c r="F6734" i="11"/>
  <c r="F6410" i="11"/>
  <c r="F6464" i="11"/>
  <c r="F6176" i="11"/>
  <c r="F5996" i="11"/>
  <c r="F1604" i="11"/>
  <c r="F5771" i="11"/>
  <c r="F5546" i="11"/>
  <c r="F5267" i="11"/>
  <c r="F5096" i="11"/>
  <c r="F4997" i="11"/>
  <c r="F4808" i="11"/>
  <c r="F4538" i="11"/>
  <c r="F4358" i="11"/>
  <c r="F4124" i="11"/>
  <c r="F1595" i="11"/>
  <c r="F3926" i="11"/>
  <c r="F3710" i="11"/>
  <c r="F3539" i="11"/>
  <c r="F1514" i="11"/>
  <c r="F3242" i="11"/>
  <c r="F3071" i="11"/>
  <c r="F6086" i="11"/>
  <c r="F2612" i="11"/>
  <c r="F6374" i="11"/>
  <c r="F2144" i="11"/>
  <c r="F2000" i="11"/>
  <c r="F1739" i="11"/>
  <c r="F1505" i="11"/>
  <c r="F1397" i="11"/>
  <c r="F1271" i="11"/>
  <c r="F1037" i="11"/>
  <c r="F389" i="11"/>
  <c r="F623" i="11"/>
  <c r="F6194" i="11"/>
  <c r="F5357" i="11"/>
  <c r="F4754" i="11"/>
  <c r="F4142" i="11"/>
  <c r="F425" i="11"/>
  <c r="F2585" i="11"/>
  <c r="F1046" i="11"/>
  <c r="F7068" i="11"/>
  <c r="F7089" i="11"/>
  <c r="F6202" i="11"/>
  <c r="F5923" i="11"/>
  <c r="F196" i="11"/>
  <c r="F433" i="11"/>
  <c r="F1021" i="11"/>
  <c r="F6898" i="11"/>
  <c r="F6691" i="11"/>
  <c r="F6484" i="11"/>
  <c r="F6385" i="11"/>
  <c r="F6169" i="11"/>
  <c r="F5962" i="11"/>
  <c r="F5881" i="11"/>
  <c r="F5692" i="11"/>
  <c r="F5530" i="11"/>
  <c r="F5215" i="11"/>
  <c r="F5062" i="11"/>
  <c r="F4981" i="11"/>
  <c r="F4729" i="11"/>
  <c r="F4531" i="11"/>
  <c r="F949" i="11"/>
  <c r="F3838" i="11"/>
  <c r="F4000" i="11"/>
  <c r="F3865" i="11"/>
  <c r="F3694" i="11"/>
  <c r="F3514" i="11"/>
  <c r="F3361" i="11"/>
  <c r="F3280" i="11"/>
  <c r="F3064" i="11"/>
  <c r="F2812" i="11"/>
  <c r="F2578" i="11"/>
  <c r="F2281" i="11"/>
  <c r="F2137" i="11"/>
  <c r="F1966" i="11"/>
  <c r="F1894" i="11"/>
  <c r="F1651" i="11"/>
  <c r="F1660" i="11"/>
  <c r="F1264" i="11"/>
  <c r="F958" i="11"/>
  <c r="F814" i="11"/>
  <c r="F7024" i="11"/>
  <c r="F343" i="11"/>
  <c r="F5224" i="11"/>
  <c r="F4747" i="11"/>
  <c r="F4081" i="11"/>
  <c r="F3424" i="11"/>
  <c r="F2272" i="11"/>
  <c r="F931" i="11"/>
  <c r="F7070" i="11"/>
  <c r="F5421" i="11"/>
  <c r="F2721" i="11"/>
  <c r="F6789" i="11"/>
  <c r="F171" i="11"/>
  <c r="F117" i="11"/>
  <c r="F1830" i="11"/>
  <c r="F288" i="11"/>
  <c r="F6348" i="11"/>
  <c r="F5367" i="11"/>
  <c r="F4215" i="11"/>
  <c r="F2523" i="11"/>
  <c r="F1227" i="11"/>
  <c r="F5142" i="11"/>
  <c r="F2172" i="11"/>
  <c r="F2883" i="11"/>
  <c r="F2901" i="11"/>
  <c r="F6294" i="11"/>
  <c r="F1488" i="11"/>
  <c r="F2865" i="11"/>
  <c r="F1137" i="11"/>
  <c r="F4233" i="11"/>
  <c r="F1326" i="11"/>
  <c r="F6060" i="11"/>
  <c r="F4944" i="11"/>
  <c r="F4278" i="11"/>
  <c r="F126" i="11"/>
  <c r="F7005" i="11"/>
  <c r="F2928" i="11"/>
  <c r="F2892" i="11"/>
  <c r="F6933" i="11"/>
  <c r="F3252" i="11"/>
  <c r="F5340" i="11"/>
  <c r="F5799" i="11"/>
  <c r="F2514" i="11"/>
  <c r="F6861" i="11"/>
  <c r="F6645" i="11"/>
  <c r="F939" i="11"/>
  <c r="F2640" i="11"/>
  <c r="F6717" i="11"/>
  <c r="F4062" i="11"/>
  <c r="F4269" i="11"/>
  <c r="F5979" i="11"/>
  <c r="F7014" i="11"/>
  <c r="F3621" i="11"/>
  <c r="F597" i="11"/>
  <c r="F2694" i="11"/>
  <c r="F1920" i="11"/>
  <c r="F4071" i="11"/>
  <c r="F6951" i="11"/>
  <c r="F1002" i="11"/>
  <c r="F4935" i="11"/>
  <c r="F6672" i="11"/>
  <c r="F5205" i="11"/>
  <c r="F966" i="11"/>
  <c r="F2010" i="11"/>
  <c r="F6978" i="11"/>
  <c r="F6762" i="11"/>
  <c r="F6627" i="11"/>
  <c r="F6519" i="11"/>
  <c r="F6240" i="11"/>
  <c r="F6042" i="11"/>
  <c r="F5907" i="11"/>
  <c r="F5313" i="11"/>
  <c r="F5637" i="11"/>
  <c r="F5475" i="11"/>
  <c r="F5115" i="11"/>
  <c r="F5052" i="11"/>
  <c r="F4890" i="11"/>
  <c r="F4602" i="11"/>
  <c r="F4494" i="11"/>
  <c r="F4224" i="11"/>
  <c r="F4035" i="11"/>
  <c r="F3954" i="11"/>
  <c r="F3738" i="11"/>
  <c r="F3639" i="11"/>
  <c r="F3405" i="11"/>
  <c r="F3297" i="11"/>
  <c r="F3108" i="11"/>
  <c r="F2937" i="11"/>
  <c r="F2766" i="11"/>
  <c r="F2388" i="11"/>
  <c r="F2181" i="11"/>
  <c r="F2073" i="11"/>
  <c r="F36" i="11"/>
  <c r="F1677" i="11"/>
  <c r="F1785" i="11"/>
  <c r="F1362" i="11"/>
  <c r="F1119" i="11"/>
  <c r="F867" i="11"/>
  <c r="F750" i="11"/>
  <c r="F6393" i="11"/>
  <c r="F5538" i="11"/>
  <c r="F534" i="11"/>
  <c r="F4476" i="11"/>
  <c r="F3603" i="11"/>
  <c r="F2037" i="11"/>
  <c r="F1749" i="11"/>
  <c r="F606" i="11"/>
  <c r="F6707" i="11"/>
  <c r="F6842" i="11"/>
  <c r="F98" i="11"/>
  <c r="F242" i="11"/>
  <c r="F152" i="11"/>
  <c r="F62" i="11"/>
  <c r="F7" i="11"/>
  <c r="F161" i="11"/>
  <c r="F6797" i="11"/>
  <c r="F4817" i="11"/>
  <c r="F3458" i="11"/>
  <c r="F1928" i="11"/>
  <c r="F2837" i="11"/>
  <c r="F4484" i="11"/>
  <c r="F1082" i="11"/>
  <c r="F758" i="11"/>
  <c r="F4502" i="11"/>
  <c r="F2414" i="11"/>
  <c r="F5177" i="11"/>
  <c r="F4916" i="11"/>
  <c r="F5348" i="11"/>
  <c r="F6491" i="11"/>
  <c r="F821" i="11"/>
  <c r="F5753" i="11"/>
  <c r="F3746" i="11"/>
  <c r="F1703" i="11"/>
  <c r="F2873" i="11"/>
  <c r="F1127" i="11"/>
  <c r="F677" i="11"/>
  <c r="F3575" i="11"/>
  <c r="F1721" i="11"/>
  <c r="F6320" i="11"/>
  <c r="F1199" i="11"/>
  <c r="F4592" i="11"/>
  <c r="F4556" i="11"/>
  <c r="F2954" i="11"/>
  <c r="F2648" i="11"/>
  <c r="F3854" i="11"/>
  <c r="F650" i="11"/>
  <c r="F2486" i="11"/>
  <c r="F6680" i="11"/>
  <c r="F2216" i="11"/>
  <c r="F722" i="11"/>
  <c r="F4718" i="11"/>
  <c r="F1550" i="11"/>
  <c r="F5078" i="11"/>
  <c r="F6356" i="11"/>
  <c r="F587" i="11"/>
  <c r="F5240" i="11"/>
  <c r="F4655" i="11"/>
  <c r="F6815" i="11"/>
  <c r="F4250" i="11"/>
  <c r="F668" i="11"/>
  <c r="F1946" i="11"/>
  <c r="F6905" i="11"/>
  <c r="F1019" i="11"/>
  <c r="F6896" i="11"/>
  <c r="F6689" i="11"/>
  <c r="F6482" i="11"/>
  <c r="F6383" i="11"/>
  <c r="F6167" i="11"/>
  <c r="F5960" i="11"/>
  <c r="F5879" i="11"/>
  <c r="F5690" i="11"/>
  <c r="F5528" i="11"/>
  <c r="F5213" i="11"/>
  <c r="F5060" i="11"/>
  <c r="F4979" i="11"/>
  <c r="F4727" i="11"/>
  <c r="F4529" i="11"/>
  <c r="F947" i="11"/>
  <c r="F3836" i="11"/>
  <c r="F3998" i="11"/>
  <c r="F705" i="11"/>
  <c r="F6303" i="11"/>
  <c r="F5448" i="11"/>
  <c r="F4782" i="11"/>
  <c r="F4422" i="11"/>
  <c r="F3567" i="11"/>
  <c r="F2712" i="11"/>
  <c r="F1344" i="11"/>
  <c r="F7094" i="11"/>
  <c r="F1955" i="11"/>
  <c r="F1253" i="11"/>
  <c r="F3548" i="11"/>
  <c r="F233" i="11"/>
  <c r="F143" i="11"/>
  <c r="F71" i="11"/>
  <c r="F398" i="11"/>
  <c r="F188" i="11"/>
  <c r="F6779" i="11"/>
  <c r="F4790" i="11"/>
  <c r="F3125" i="11"/>
  <c r="F1712" i="11"/>
  <c r="F4322" i="11"/>
  <c r="F4187" i="11"/>
  <c r="F1307" i="11"/>
  <c r="F3179" i="11"/>
  <c r="F2243" i="11"/>
  <c r="F920" i="11"/>
  <c r="F1208" i="11"/>
  <c r="F2108" i="11"/>
  <c r="F5816" i="11"/>
  <c r="F2063" i="11"/>
  <c r="F3440" i="11"/>
  <c r="F5951" i="11"/>
  <c r="F1100" i="11"/>
  <c r="F2684" i="11"/>
  <c r="F1289" i="11"/>
  <c r="F4610" i="11"/>
  <c r="F3881" i="11"/>
  <c r="F6338" i="11"/>
  <c r="F5456" i="11"/>
  <c r="F461" i="11"/>
  <c r="F4835" i="11"/>
  <c r="F4106" i="11"/>
  <c r="F4394" i="11"/>
  <c r="F4286" i="11"/>
  <c r="F1298" i="11"/>
  <c r="F5564" i="11"/>
  <c r="F380" i="11"/>
  <c r="F2450" i="11"/>
  <c r="F3629" i="11"/>
  <c r="F1631" i="11"/>
  <c r="F1532" i="11"/>
  <c r="F2234" i="11"/>
  <c r="F4565" i="11"/>
  <c r="F4970" i="11"/>
  <c r="F2855" i="11"/>
  <c r="F2504" i="11"/>
  <c r="F5735" i="11"/>
  <c r="F2459" i="11"/>
  <c r="F5843" i="11"/>
  <c r="F5159" i="11"/>
  <c r="F6770" i="11"/>
  <c r="F3026" i="11"/>
  <c r="F2567" i="11"/>
  <c r="F7040" i="11"/>
  <c r="F6914" i="11"/>
  <c r="F6662" i="11"/>
  <c r="F6572" i="11"/>
  <c r="F6329" i="11"/>
  <c r="F5285" i="11"/>
  <c r="F5942" i="11"/>
  <c r="F5861" i="11"/>
  <c r="F5681" i="11"/>
  <c r="F5465" i="11"/>
  <c r="F5195" i="11"/>
  <c r="F215" i="11"/>
  <c r="F4952" i="11"/>
  <c r="F4709" i="11"/>
  <c r="F3143" i="11"/>
  <c r="F4313" i="11"/>
  <c r="F4115" i="11"/>
  <c r="F2396" i="11"/>
  <c r="F3809" i="11"/>
  <c r="F3683" i="11"/>
  <c r="F3503" i="11"/>
  <c r="F3341" i="11"/>
  <c r="F3170" i="11"/>
  <c r="F3035" i="11"/>
  <c r="F2801" i="11"/>
  <c r="F2549" i="11"/>
  <c r="F2252" i="11"/>
  <c r="F2126" i="11"/>
  <c r="F3431" i="11"/>
  <c r="F1811" i="11"/>
  <c r="F1622" i="11"/>
  <c r="F1388" i="11"/>
  <c r="F1190" i="11"/>
  <c r="F911" i="11"/>
  <c r="F785" i="11"/>
  <c r="F6878" i="11"/>
  <c r="F5699" i="11"/>
  <c r="F5186" i="11"/>
  <c r="F4691" i="11"/>
  <c r="F3818" i="11"/>
  <c r="F3305" i="11"/>
  <c r="F2027" i="11"/>
  <c r="F893" i="11"/>
  <c r="F7047" i="11"/>
  <c r="F304" i="11"/>
  <c r="F577" i="11"/>
  <c r="F313" i="11"/>
  <c r="F469" i="11"/>
  <c r="F106" i="11"/>
  <c r="F16" i="11"/>
  <c r="F268" i="11"/>
  <c r="F6265" i="11"/>
  <c r="F5257" i="11"/>
  <c r="F4204" i="11"/>
  <c r="F2332" i="11"/>
  <c r="F613" i="11"/>
  <c r="F2827" i="11"/>
  <c r="F5672" i="11"/>
  <c r="F5519" i="11"/>
  <c r="F5168" i="11"/>
  <c r="F5042" i="11"/>
  <c r="F4925" i="11"/>
  <c r="F4673" i="11"/>
  <c r="F4412" i="11"/>
  <c r="F4241" i="11"/>
  <c r="F4088" i="11"/>
  <c r="F3980" i="11"/>
  <c r="F3791" i="11"/>
  <c r="F3665" i="11"/>
  <c r="F3485" i="11"/>
  <c r="F3332" i="11"/>
  <c r="F3197" i="11"/>
  <c r="F3017" i="11"/>
  <c r="F2792" i="11"/>
  <c r="F2540" i="11"/>
  <c r="F2198" i="11"/>
  <c r="F2090" i="11"/>
  <c r="F1910" i="11"/>
  <c r="F1775" i="11"/>
  <c r="F1442" i="11"/>
  <c r="F1586" i="11"/>
  <c r="F1172" i="11"/>
  <c r="F902" i="11"/>
  <c r="F776" i="11"/>
  <c r="F6617" i="11"/>
  <c r="F5645" i="11"/>
  <c r="F5123" i="11"/>
  <c r="F4637" i="11"/>
  <c r="F3800" i="11"/>
  <c r="F3287" i="11"/>
  <c r="F1838" i="11"/>
  <c r="F803" i="11"/>
  <c r="F6400" i="11"/>
  <c r="F4510" i="11"/>
  <c r="F6220" i="11"/>
  <c r="F331" i="11"/>
  <c r="F523" i="11"/>
  <c r="F88" i="11"/>
  <c r="F415" i="11"/>
  <c r="F277" i="11"/>
  <c r="F6148" i="11"/>
  <c r="F541" i="11"/>
  <c r="F3907" i="11"/>
  <c r="F2323" i="11"/>
  <c r="F4330" i="11"/>
  <c r="F2296" i="11"/>
  <c r="F3610" i="11"/>
  <c r="F2476" i="11"/>
  <c r="F6310" i="11"/>
  <c r="F2305" i="11"/>
  <c r="F4168" i="11"/>
  <c r="F6031" i="11"/>
  <c r="F5275" i="11"/>
  <c r="F6076" i="11"/>
  <c r="F5230" i="11"/>
  <c r="F2917" i="11"/>
  <c r="F1765" i="11"/>
  <c r="F2224" i="11"/>
  <c r="F7056" i="11"/>
  <c r="F3268" i="11"/>
  <c r="F5617" i="11"/>
  <c r="F2746" i="11"/>
  <c r="F5320" i="11"/>
  <c r="F1063" i="11"/>
  <c r="F6607" i="11"/>
  <c r="F3394" i="11"/>
  <c r="F6436" i="11"/>
  <c r="F6139" i="11"/>
  <c r="F7030" i="11"/>
  <c r="F3844" i="11"/>
  <c r="F3367" i="11"/>
  <c r="F205" i="11"/>
  <c r="F1162" i="11"/>
  <c r="F4150" i="11"/>
  <c r="F5509" i="11"/>
  <c r="F5005" i="11"/>
  <c r="F6103" i="11"/>
  <c r="F5374" i="11"/>
  <c r="F4897" i="11"/>
  <c r="F4870" i="11"/>
  <c r="F378" i="11"/>
  <c r="F793" i="11"/>
  <c r="F5086" i="11"/>
  <c r="F1729" i="11"/>
  <c r="F5302" i="11"/>
  <c r="F3205" i="11"/>
  <c r="F730" i="11"/>
  <c r="F5725" i="11"/>
  <c r="F6958" i="11"/>
  <c r="F6751" i="11"/>
  <c r="F6589" i="11"/>
  <c r="F6472" i="11"/>
  <c r="F322" i="11"/>
  <c r="F6067" i="11"/>
  <c r="F5896" i="11"/>
  <c r="F5779" i="11"/>
  <c r="F5626" i="11"/>
  <c r="F5428" i="11"/>
  <c r="F5068" i="11"/>
  <c r="F5023" i="11"/>
  <c r="F4852" i="11"/>
  <c r="F4573" i="11"/>
  <c r="F4456" i="11"/>
  <c r="F5500" i="11"/>
  <c r="F4024" i="11"/>
  <c r="F3943" i="11"/>
  <c r="F3727" i="11"/>
  <c r="F133" i="11"/>
  <c r="F3376" i="11"/>
  <c r="F3223" i="11"/>
  <c r="F3097" i="11"/>
  <c r="F2908" i="11"/>
  <c r="F2755" i="11"/>
  <c r="F2377" i="11"/>
  <c r="F2161" i="11"/>
  <c r="F2053" i="11"/>
  <c r="F1855" i="11"/>
  <c r="F1522" i="11"/>
  <c r="F1495" i="11"/>
  <c r="F6724" i="11"/>
  <c r="F1108" i="11"/>
  <c r="F856" i="11"/>
  <c r="F703" i="11"/>
  <c r="F6301" i="11"/>
  <c r="F5446" i="11"/>
  <c r="F4780" i="11"/>
  <c r="F4420" i="11"/>
  <c r="F3565" i="11"/>
  <c r="F2710" i="11"/>
  <c r="F1342" i="11"/>
  <c r="F7073" i="11"/>
  <c r="F1539" i="11"/>
  <c r="F6840" i="11"/>
  <c r="F96" i="11"/>
  <c r="F240" i="11"/>
  <c r="F2018" i="11"/>
  <c r="F2351" i="11"/>
  <c r="F992" i="11"/>
  <c r="F2432" i="11"/>
  <c r="F3530" i="11"/>
  <c r="F3701" i="11"/>
  <c r="F6284" i="11"/>
  <c r="F6230" i="11"/>
  <c r="F5150" i="11"/>
  <c r="F4682" i="11"/>
  <c r="F6986" i="11"/>
  <c r="F443" i="11"/>
  <c r="F3323" i="11"/>
  <c r="F3827" i="11"/>
  <c r="F1694" i="11"/>
  <c r="F1982" i="11"/>
  <c r="F2999" i="11"/>
  <c r="F1901" i="11"/>
  <c r="F1865" i="11"/>
  <c r="F2369" i="11"/>
  <c r="F1181" i="11"/>
  <c r="F1433" i="11"/>
  <c r="F2531" i="11"/>
  <c r="F4862" i="11"/>
  <c r="F4097" i="11"/>
  <c r="F6923" i="11"/>
  <c r="F6698" i="11"/>
  <c r="F6635" i="11"/>
  <c r="F6527" i="11"/>
  <c r="F6248" i="11"/>
  <c r="F2117" i="11"/>
  <c r="F5915" i="11"/>
  <c r="F5789" i="11"/>
  <c r="F5654" i="11"/>
  <c r="F5492" i="11"/>
  <c r="F5132" i="11"/>
  <c r="F5033" i="11"/>
  <c r="F4907" i="11"/>
  <c r="F4628" i="11"/>
  <c r="F1685" i="11"/>
  <c r="F6419" i="11"/>
  <c r="F4043" i="11"/>
  <c r="F3962" i="11"/>
  <c r="F3773" i="11"/>
  <c r="F3647" i="11"/>
  <c r="F3467" i="11"/>
  <c r="F3314" i="11"/>
  <c r="F3116" i="11"/>
  <c r="F2945" i="11"/>
  <c r="F2774" i="11"/>
  <c r="F2495" i="11"/>
  <c r="F2189" i="11"/>
  <c r="F2081" i="11"/>
  <c r="F1937" i="11"/>
  <c r="F407" i="11"/>
  <c r="F1613" i="11"/>
  <c r="F1478" i="11"/>
  <c r="F1145" i="11"/>
  <c r="F875" i="11"/>
  <c r="F695" i="11"/>
  <c r="F6599" i="11"/>
  <c r="F5591" i="11"/>
  <c r="F4988" i="11"/>
  <c r="F4520" i="11"/>
  <c r="F3755" i="11"/>
  <c r="F2729" i="11"/>
  <c r="F26" i="11"/>
  <c r="F713" i="11"/>
  <c r="F6706" i="11"/>
  <c r="F6805" i="11"/>
  <c r="F739" i="11"/>
  <c r="F259" i="11"/>
  <c r="F178" i="11"/>
  <c r="F79" i="11"/>
  <c r="F1216" i="11"/>
  <c r="F250" i="11"/>
  <c r="F5743" i="11"/>
  <c r="F4843" i="11"/>
  <c r="F5401" i="11"/>
  <c r="F496" i="11"/>
  <c r="F2845" i="11"/>
  <c r="F3385" i="11"/>
  <c r="F4645" i="11"/>
  <c r="F2467" i="11"/>
  <c r="F6004" i="11"/>
  <c r="F6994" i="11"/>
  <c r="F4339" i="11"/>
  <c r="F2422" i="11"/>
  <c r="F6823" i="11"/>
  <c r="F685" i="11"/>
  <c r="F1090" i="11"/>
  <c r="F6130" i="11"/>
  <c r="F3916" i="11"/>
  <c r="F3133" i="11"/>
  <c r="F1009" i="11"/>
  <c r="F1153" i="11"/>
  <c r="F223" i="11"/>
  <c r="F1639" i="11"/>
  <c r="F3889" i="11"/>
  <c r="F3871" i="11"/>
  <c r="F5662" i="11"/>
  <c r="F6454" i="11"/>
  <c r="F982" i="11"/>
  <c r="F3898" i="11"/>
  <c r="F4303" i="11"/>
  <c r="F1801" i="11"/>
  <c r="F3583" i="11"/>
  <c r="F1972" i="11"/>
  <c r="F2206" i="11"/>
  <c r="F1792" i="11"/>
  <c r="F4006" i="11"/>
  <c r="F4960" i="11"/>
  <c r="F1234" i="11"/>
  <c r="F6049" i="11"/>
  <c r="F2674" i="11"/>
  <c r="F847" i="11"/>
  <c r="F3520" i="11"/>
  <c r="F4663" i="11"/>
  <c r="F1423" i="11"/>
  <c r="F1567" i="11"/>
  <c r="F5293" i="11"/>
  <c r="F6256" i="11"/>
  <c r="F1072" i="11"/>
  <c r="F4132" i="11"/>
  <c r="F6940" i="11"/>
  <c r="F6832" i="11"/>
  <c r="F6580" i="11"/>
  <c r="F6499" i="11"/>
  <c r="F6184" i="11"/>
  <c r="F6013" i="11"/>
  <c r="F5887" i="11"/>
  <c r="F4618" i="11"/>
  <c r="F5554" i="11"/>
  <c r="F5329" i="11"/>
  <c r="F5104" i="11"/>
  <c r="F5014" i="11"/>
  <c r="F4825" i="11"/>
  <c r="F4546" i="11"/>
  <c r="F4384" i="11"/>
  <c r="F4177" i="11"/>
  <c r="F2737" i="11"/>
  <c r="F3934" i="11"/>
  <c r="F3718" i="11"/>
  <c r="F3556" i="11"/>
  <c r="F6742" i="11"/>
  <c r="F3259" i="11"/>
  <c r="F3079" i="11"/>
  <c r="F2818" i="11"/>
  <c r="F2629" i="11"/>
  <c r="F2359" i="11"/>
  <c r="F2152" i="11"/>
  <c r="F2044" i="11"/>
  <c r="F1378" i="11"/>
  <c r="F1756" i="11"/>
  <c r="F1405" i="11"/>
  <c r="F1414" i="11"/>
  <c r="F1027" i="11"/>
  <c r="F838" i="11"/>
  <c r="F631" i="11"/>
  <c r="F6274" i="11"/>
  <c r="F5410" i="11"/>
  <c r="F4762" i="11"/>
  <c r="F4348" i="11"/>
  <c r="F3493" i="11"/>
  <c r="F2656" i="11"/>
  <c r="F1243" i="11"/>
  <c r="F7079" i="11"/>
  <c r="F4428" i="11"/>
  <c r="F1251" i="11"/>
  <c r="F3546" i="11"/>
  <c r="F61" i="11"/>
  <c r="F6" i="11"/>
  <c r="F160" i="11"/>
  <c r="F6796" i="11"/>
  <c r="F4816" i="11"/>
  <c r="F3457" i="11"/>
  <c r="F1927" i="11"/>
  <c r="F2836" i="11"/>
  <c r="F4483" i="11"/>
  <c r="F1081" i="11"/>
  <c r="F757" i="11"/>
  <c r="F4501" i="11"/>
  <c r="F2413" i="11"/>
  <c r="F5176" i="11"/>
  <c r="F4915" i="11"/>
  <c r="F5347" i="11"/>
  <c r="F6490" i="11"/>
  <c r="F820" i="11"/>
  <c r="F5752" i="11"/>
  <c r="F3745" i="11"/>
  <c r="F1702" i="11"/>
  <c r="F2872" i="11"/>
  <c r="F1126" i="11"/>
  <c r="F676" i="11"/>
  <c r="F3574" i="11"/>
  <c r="F1720" i="11"/>
  <c r="F6319" i="11"/>
  <c r="F1198" i="11"/>
  <c r="F4591" i="11"/>
  <c r="F4555" i="11"/>
  <c r="F2953" i="11"/>
  <c r="F2647" i="11"/>
  <c r="F3853" i="11"/>
  <c r="F649" i="11"/>
  <c r="F2485" i="11"/>
  <c r="F6679" i="11"/>
  <c r="F2215" i="11"/>
  <c r="F721" i="11"/>
  <c r="F4717" i="11"/>
  <c r="F1549" i="11"/>
  <c r="F5077" i="11"/>
  <c r="F6355" i="11"/>
  <c r="F586" i="11"/>
  <c r="F377" i="11"/>
  <c r="F1576" i="11"/>
  <c r="F2557" i="11"/>
  <c r="F6364" i="11"/>
  <c r="F2260" i="11"/>
  <c r="F4465" i="11"/>
  <c r="F5761" i="11"/>
  <c r="F5806" i="11"/>
  <c r="F6886" i="11"/>
  <c r="F6733" i="11"/>
  <c r="F6409" i="11"/>
  <c r="F6463" i="11"/>
  <c r="F6175" i="11"/>
  <c r="F5995" i="11"/>
  <c r="F1603" i="11"/>
  <c r="F5770" i="11"/>
  <c r="F5545" i="11"/>
  <c r="F5266" i="11"/>
  <c r="F5095" i="11"/>
  <c r="F4996" i="11"/>
  <c r="F4807" i="11"/>
  <c r="F4537" i="11"/>
  <c r="F4357" i="11"/>
  <c r="F4123" i="11"/>
  <c r="F1594" i="11"/>
  <c r="F3925" i="11"/>
  <c r="F3709" i="11"/>
  <c r="F3538" i="11"/>
  <c r="F1513" i="11"/>
  <c r="F3241" i="11"/>
  <c r="F3070" i="11"/>
  <c r="F6085" i="11"/>
  <c r="F2611" i="11"/>
  <c r="F6373" i="11"/>
  <c r="F2143" i="11"/>
  <c r="F1999" i="11"/>
  <c r="F1738" i="11"/>
  <c r="F1504" i="11"/>
  <c r="F1396" i="11"/>
  <c r="F1270" i="11"/>
  <c r="F1036" i="11"/>
  <c r="F388" i="11"/>
  <c r="F622" i="11"/>
  <c r="F6193" i="11"/>
  <c r="F5356" i="11"/>
  <c r="F4753" i="11"/>
  <c r="F4141" i="11"/>
  <c r="F424" i="11"/>
  <c r="F2584" i="11"/>
  <c r="F1045" i="11"/>
  <c r="F7067" i="11"/>
  <c r="F7088" i="11"/>
  <c r="F2313" i="11"/>
  <c r="F2340" i="11"/>
  <c r="F558" i="11"/>
  <c r="F450" i="11"/>
  <c r="F51" i="11"/>
  <c r="F42" i="11"/>
  <c r="F4797" i="11"/>
  <c r="F6093" i="11"/>
  <c r="F4770" i="11"/>
  <c r="F2961" i="11"/>
  <c r="F1467" i="11"/>
  <c r="F1053" i="11"/>
  <c r="F3348" i="11"/>
  <c r="F5598" i="11"/>
  <c r="F1368" i="11"/>
  <c r="F3780" i="11"/>
  <c r="F3411" i="11"/>
  <c r="F3762" i="11"/>
  <c r="F486" i="11"/>
  <c r="F3447" i="11"/>
  <c r="F1350" i="11"/>
  <c r="F765" i="11"/>
  <c r="F2592" i="11"/>
  <c r="F3042" i="11"/>
  <c r="F6210" i="11"/>
  <c r="F1845" i="11"/>
  <c r="F5247" i="11"/>
  <c r="F882" i="11"/>
  <c r="F3186" i="11"/>
  <c r="F4365" i="11"/>
  <c r="F3591" i="11"/>
  <c r="F4446" i="11"/>
  <c r="F6444" i="11"/>
  <c r="F3231" i="11"/>
  <c r="F6543" i="11"/>
  <c r="F828" i="11"/>
  <c r="F972" i="11"/>
  <c r="F5382" i="11"/>
  <c r="F1332" i="11"/>
  <c r="F5706" i="11"/>
  <c r="F2700" i="11"/>
  <c r="F6966" i="11"/>
  <c r="F1278" i="11"/>
  <c r="F3213" i="11"/>
  <c r="F348" i="11"/>
  <c r="F6507" i="11"/>
  <c r="F3987" i="11"/>
  <c r="F5733" i="11"/>
  <c r="F2457" i="11"/>
  <c r="F5841" i="11"/>
  <c r="F5157" i="11"/>
  <c r="F6768" i="11"/>
  <c r="F3024" i="11"/>
  <c r="F2565" i="11"/>
  <c r="F7038" i="11"/>
  <c r="F6912" i="11"/>
  <c r="F6660" i="11"/>
  <c r="F6570" i="11"/>
  <c r="F6327" i="11"/>
  <c r="F5283" i="11"/>
  <c r="F5940" i="11"/>
  <c r="F5859" i="11"/>
  <c r="F5679" i="11"/>
  <c r="F5463" i="11"/>
  <c r="F5193" i="11"/>
  <c r="F213" i="11"/>
  <c r="F4950" i="11"/>
  <c r="F4707" i="11"/>
  <c r="F3141" i="11"/>
  <c r="F4311" i="11"/>
  <c r="F4113" i="11"/>
  <c r="F2394" i="11"/>
  <c r="F3807" i="11"/>
  <c r="F3681" i="11"/>
  <c r="F3501" i="11"/>
  <c r="F3339" i="11"/>
  <c r="F3168" i="11"/>
  <c r="F3033" i="11"/>
  <c r="F2799" i="11"/>
  <c r="F2547" i="11"/>
  <c r="F2250" i="11"/>
  <c r="F2124" i="11"/>
  <c r="F3429" i="11"/>
  <c r="F1809" i="11"/>
  <c r="F1620" i="11"/>
  <c r="F1386" i="11"/>
  <c r="F1188" i="11"/>
  <c r="F909" i="11"/>
  <c r="F783" i="11"/>
  <c r="F6876" i="11"/>
  <c r="F5697" i="11"/>
  <c r="F5184" i="11"/>
  <c r="F4689" i="11"/>
  <c r="F3816" i="11"/>
  <c r="F3303" i="11"/>
  <c r="F2025" i="11"/>
  <c r="F891" i="11"/>
  <c r="F6704" i="11"/>
  <c r="F372" i="11"/>
  <c r="F6218" i="11"/>
  <c r="F329" i="11"/>
  <c r="F521" i="11"/>
  <c r="F86" i="11"/>
  <c r="F413" i="11"/>
  <c r="F275" i="11"/>
  <c r="F6146" i="11"/>
  <c r="F539" i="11"/>
  <c r="F3905" i="11"/>
  <c r="F2321" i="11"/>
  <c r="F4328" i="11"/>
  <c r="F2294" i="11"/>
  <c r="F3608" i="11"/>
  <c r="F2474" i="11"/>
  <c r="F6308" i="11"/>
  <c r="F2303" i="11"/>
  <c r="F4166" i="11"/>
  <c r="F6029" i="11"/>
  <c r="F5273" i="11"/>
  <c r="F6074" i="11"/>
  <c r="F5228" i="11"/>
  <c r="F2915" i="11"/>
  <c r="F1763" i="11"/>
  <c r="F2222" i="11"/>
  <c r="F7054" i="11"/>
  <c r="F3266" i="11"/>
  <c r="F5615" i="11"/>
  <c r="F2744" i="11"/>
  <c r="F5318" i="11"/>
  <c r="F1061" i="11"/>
  <c r="F6605" i="11"/>
  <c r="F3392" i="11"/>
  <c r="F6434" i="11"/>
  <c r="F6137" i="11"/>
  <c r="F7028" i="11"/>
  <c r="F3842" i="11"/>
  <c r="F3365" i="11"/>
  <c r="F203" i="11"/>
  <c r="F1160" i="11"/>
  <c r="F4148" i="11"/>
  <c r="F5507" i="11"/>
  <c r="F5003" i="11"/>
  <c r="F6101" i="11"/>
  <c r="F5372" i="11"/>
  <c r="F4895" i="11"/>
  <c r="F4868" i="11"/>
  <c r="F370" i="11"/>
  <c r="F791" i="11"/>
  <c r="F5084" i="11"/>
  <c r="F1727" i="11"/>
  <c r="F5300" i="11"/>
  <c r="F3203" i="11"/>
  <c r="F728" i="11"/>
  <c r="F5723" i="11"/>
  <c r="F6956" i="11"/>
  <c r="F6749" i="11"/>
  <c r="F142" i="11"/>
  <c r="F70" i="11"/>
  <c r="F397" i="11"/>
  <c r="F187" i="11"/>
  <c r="F6778" i="11"/>
  <c r="F4789" i="11"/>
  <c r="F3124" i="11"/>
  <c r="F1711" i="11"/>
  <c r="F4321" i="11"/>
  <c r="F4186" i="11"/>
  <c r="F1306" i="11"/>
  <c r="F3178" i="11"/>
  <c r="F2242" i="11"/>
  <c r="F919" i="11"/>
  <c r="F1207" i="11"/>
  <c r="F2107" i="11"/>
  <c r="F5815" i="11"/>
  <c r="F2062" i="11"/>
  <c r="F3439" i="11"/>
  <c r="F5950" i="11"/>
  <c r="F1099" i="11"/>
  <c r="F2683" i="11"/>
  <c r="F1288" i="11"/>
  <c r="F4609" i="11"/>
  <c r="F3880" i="11"/>
  <c r="F6337" i="11"/>
  <c r="F5455" i="11"/>
  <c r="F460" i="11"/>
  <c r="F4834" i="11"/>
  <c r="F4105" i="11"/>
  <c r="F4393" i="11"/>
  <c r="F4285" i="11"/>
  <c r="F1297" i="11"/>
  <c r="F5563" i="11"/>
  <c r="F379" i="11"/>
  <c r="F2449" i="11"/>
  <c r="F3628" i="11"/>
  <c r="F1630" i="11"/>
  <c r="F1531" i="11"/>
  <c r="F2233" i="11"/>
  <c r="F4564" i="11"/>
  <c r="F4969" i="11"/>
  <c r="F2854" i="11"/>
  <c r="F2503" i="11"/>
  <c r="F5239" i="11"/>
  <c r="F4654" i="11"/>
  <c r="F6814" i="11"/>
  <c r="F4249" i="11"/>
  <c r="F667" i="11"/>
  <c r="F1945" i="11"/>
  <c r="F6904" i="11"/>
  <c r="F1018" i="11"/>
  <c r="F6895" i="11"/>
  <c r="F6688" i="11"/>
  <c r="F6481" i="11"/>
  <c r="F6382" i="11"/>
  <c r="F6166" i="11"/>
  <c r="F5959" i="11"/>
  <c r="F5878" i="11"/>
  <c r="F5689" i="11"/>
  <c r="F5527" i="11"/>
  <c r="F5212" i="11"/>
  <c r="F5059" i="11"/>
  <c r="F4978" i="11"/>
  <c r="F4726" i="11"/>
  <c r="F4528" i="11"/>
  <c r="F946" i="11"/>
  <c r="F3835" i="11"/>
  <c r="F3997" i="11"/>
  <c r="F3862" i="11"/>
  <c r="F3691" i="11"/>
  <c r="F3511" i="11"/>
  <c r="F3358" i="11"/>
  <c r="F3277" i="11"/>
  <c r="F3061" i="11"/>
  <c r="F2809" i="11"/>
  <c r="F2575" i="11"/>
  <c r="F2278" i="11"/>
  <c r="F2134" i="11"/>
  <c r="F1963" i="11"/>
  <c r="F1891" i="11"/>
  <c r="F1648" i="11"/>
  <c r="F1657" i="11"/>
  <c r="F1261" i="11"/>
  <c r="F955" i="11"/>
  <c r="F811" i="11"/>
  <c r="F7021" i="11"/>
  <c r="F340" i="11"/>
  <c r="F5221" i="11"/>
  <c r="F4744" i="11"/>
  <c r="F4078" i="11"/>
  <c r="F3421" i="11"/>
  <c r="F2269" i="11"/>
  <c r="F928" i="11"/>
  <c r="F7060" i="11"/>
  <c r="F5418" i="11"/>
  <c r="F6201" i="11"/>
  <c r="F5922" i="11"/>
  <c r="F195" i="11"/>
  <c r="F432" i="11"/>
  <c r="F504" i="11"/>
  <c r="F294" i="11"/>
  <c r="F6561" i="11"/>
  <c r="F549" i="11"/>
  <c r="F513" i="11"/>
  <c r="F4878" i="11"/>
  <c r="F1449" i="11"/>
  <c r="F3087" i="11"/>
  <c r="F6534" i="11"/>
  <c r="F3051" i="11"/>
  <c r="F3654" i="11"/>
  <c r="F5481" i="11"/>
  <c r="F2097" i="11"/>
  <c r="F4437" i="11"/>
  <c r="F5580" i="11"/>
  <c r="F5850" i="11"/>
  <c r="F657" i="11"/>
  <c r="F567" i="11"/>
  <c r="F1818" i="11"/>
  <c r="F3150" i="11"/>
  <c r="F4401" i="11"/>
  <c r="F5715" i="11"/>
  <c r="F2619" i="11"/>
  <c r="F2439" i="11"/>
  <c r="F2601" i="11"/>
  <c r="F2016" i="11"/>
  <c r="F2349" i="11"/>
  <c r="F990" i="11"/>
  <c r="F2430" i="11"/>
  <c r="F3528" i="11"/>
  <c r="F3699" i="11"/>
  <c r="F6282" i="11"/>
  <c r="F6228" i="11"/>
  <c r="F5148" i="11"/>
  <c r="F4680" i="11"/>
  <c r="F6984" i="11"/>
  <c r="F441" i="11"/>
  <c r="F3321" i="11"/>
  <c r="F3825" i="11"/>
  <c r="F4366" i="11"/>
  <c r="F3592" i="11"/>
  <c r="F4447" i="11"/>
  <c r="F6445" i="11"/>
  <c r="F3232" i="11"/>
  <c r="F6544" i="11"/>
  <c r="F829" i="11"/>
  <c r="F973" i="11"/>
  <c r="F5383" i="11"/>
  <c r="F1333" i="11"/>
  <c r="F5707" i="11"/>
  <c r="F2701" i="11"/>
  <c r="F6967" i="11"/>
  <c r="F1279" i="11"/>
  <c r="F3214" i="11"/>
  <c r="F349" i="11"/>
  <c r="F6508" i="11"/>
  <c r="F3988" i="11"/>
  <c r="F5734" i="11"/>
  <c r="F2458" i="11"/>
  <c r="F5842" i="11"/>
  <c r="F5158" i="11"/>
  <c r="F6769" i="11"/>
  <c r="F3025" i="11"/>
  <c r="F2566" i="11"/>
  <c r="F7039" i="11"/>
  <c r="F6913" i="11"/>
  <c r="F6661" i="11"/>
  <c r="F6571" i="11"/>
  <c r="F6328" i="11"/>
  <c r="F5284" i="11"/>
  <c r="F5941" i="11"/>
  <c r="F5860" i="11"/>
  <c r="F5680" i="11"/>
  <c r="F5464" i="11"/>
  <c r="F5194" i="11"/>
  <c r="F214" i="11"/>
  <c r="F4951" i="11"/>
  <c r="F4708" i="11"/>
  <c r="F3142" i="11"/>
  <c r="F4312" i="11"/>
  <c r="F4114" i="11"/>
  <c r="F2395" i="11"/>
  <c r="F3808" i="11"/>
  <c r="F3682" i="11"/>
  <c r="F3502" i="11"/>
  <c r="F3340" i="11"/>
  <c r="F3169" i="11"/>
  <c r="F3034" i="11"/>
  <c r="F2800" i="11"/>
  <c r="F2548" i="11"/>
  <c r="F2251" i="11"/>
  <c r="F2125" i="11"/>
  <c r="F3430" i="11"/>
  <c r="F1810" i="11"/>
  <c r="F1621" i="11"/>
  <c r="F1387" i="11"/>
  <c r="F1189" i="11"/>
  <c r="F910" i="11"/>
  <c r="F784" i="11"/>
  <c r="F6877" i="11"/>
  <c r="F5698" i="11"/>
  <c r="F5185" i="11"/>
  <c r="F4690" i="11"/>
  <c r="F3817" i="11"/>
  <c r="F3304" i="11"/>
  <c r="F2026" i="11"/>
  <c r="F892" i="11"/>
  <c r="F7046" i="11"/>
  <c r="F303" i="11"/>
  <c r="F2718" i="11"/>
  <c r="F6786" i="11"/>
  <c r="F168" i="11"/>
  <c r="F114" i="11"/>
  <c r="F1827" i="11"/>
  <c r="F285" i="11"/>
  <c r="F6345" i="11"/>
  <c r="F5364" i="11"/>
  <c r="F4212" i="11"/>
  <c r="F2520" i="11"/>
  <c r="F1224" i="11"/>
  <c r="F5139" i="11"/>
  <c r="F2169" i="11"/>
  <c r="F2880" i="11"/>
  <c r="F2898" i="11"/>
  <c r="F6291" i="11"/>
  <c r="F1485" i="11"/>
  <c r="F2862" i="11"/>
  <c r="F1134" i="11"/>
  <c r="F4230" i="11"/>
  <c r="F1323" i="11"/>
  <c r="F6057" i="11"/>
  <c r="F4941" i="11"/>
  <c r="F4275" i="11"/>
  <c r="F123" i="11"/>
  <c r="F7002" i="11"/>
  <c r="F2925" i="11"/>
  <c r="F2889" i="11"/>
  <c r="F6930" i="11"/>
  <c r="F3249" i="11"/>
  <c r="F5337" i="11"/>
  <c r="F5796" i="11"/>
  <c r="F2511" i="11"/>
  <c r="F6858" i="11"/>
  <c r="F6642" i="11"/>
  <c r="F936" i="11"/>
  <c r="F2637" i="11"/>
  <c r="F6714" i="11"/>
  <c r="F4059" i="11"/>
  <c r="F4266" i="11"/>
  <c r="F5976" i="11"/>
  <c r="F7011" i="11"/>
  <c r="F3618" i="11"/>
  <c r="F594" i="11"/>
  <c r="F2691" i="11"/>
  <c r="F1917" i="11"/>
  <c r="F4068" i="11"/>
  <c r="F1863" i="11"/>
  <c r="F2367" i="11"/>
  <c r="F1179" i="11"/>
  <c r="F1431" i="11"/>
  <c r="F2529" i="11"/>
  <c r="F4860" i="11"/>
  <c r="F4095" i="11"/>
  <c r="F6921" i="11"/>
  <c r="F6696" i="11"/>
  <c r="F6633" i="11"/>
  <c r="F6525" i="11"/>
  <c r="F6246" i="11"/>
  <c r="F2115" i="11"/>
  <c r="F5913" i="11"/>
  <c r="F5787" i="11"/>
  <c r="F5652" i="11"/>
  <c r="F5490" i="11"/>
  <c r="F5130" i="11"/>
  <c r="F5031" i="11"/>
  <c r="F4905" i="11"/>
  <c r="F4626" i="11"/>
  <c r="F1683" i="11"/>
  <c r="F6417" i="11"/>
  <c r="F4041" i="11"/>
  <c r="F3960" i="11"/>
  <c r="F3771" i="11"/>
  <c r="F3645" i="11"/>
  <c r="F3465" i="11"/>
  <c r="F3312" i="11"/>
  <c r="F3114" i="11"/>
  <c r="F2943" i="11"/>
  <c r="F2772" i="11"/>
  <c r="F2493" i="11"/>
  <c r="F2187" i="11"/>
  <c r="F2079" i="11"/>
  <c r="F1935" i="11"/>
  <c r="F405" i="11"/>
  <c r="F1611" i="11"/>
  <c r="F1476" i="11"/>
  <c r="F1143" i="11"/>
  <c r="F873" i="11"/>
  <c r="F693" i="11"/>
  <c r="F6597" i="11"/>
  <c r="F5589" i="11"/>
  <c r="F4986" i="11"/>
  <c r="F4518" i="11"/>
  <c r="F3753" i="11"/>
  <c r="F2727" i="11"/>
  <c r="F24" i="11"/>
  <c r="F711" i="11"/>
  <c r="F1538" i="11"/>
  <c r="F6839" i="11"/>
  <c r="F95" i="11"/>
  <c r="F239" i="11"/>
  <c r="F149" i="11"/>
  <c r="F59" i="11"/>
  <c r="F4" i="11"/>
  <c r="F158" i="11"/>
  <c r="F6794" i="11"/>
  <c r="F4814" i="11"/>
  <c r="F3455" i="11"/>
  <c r="F1925" i="11"/>
  <c r="F2834" i="11"/>
  <c r="F4481" i="11"/>
  <c r="F1079" i="11"/>
  <c r="F755" i="11"/>
  <c r="F4499" i="11"/>
  <c r="F2411" i="11"/>
  <c r="F5174" i="11"/>
  <c r="F4913" i="11"/>
  <c r="F5345" i="11"/>
  <c r="F6488" i="11"/>
  <c r="F818" i="11"/>
  <c r="F5750" i="11"/>
  <c r="F3743" i="11"/>
  <c r="F1700" i="11"/>
  <c r="F505" i="11"/>
  <c r="F295" i="11"/>
  <c r="F6562" i="11"/>
  <c r="F550" i="11"/>
  <c r="F514" i="11"/>
  <c r="F4879" i="11"/>
  <c r="F1450" i="11"/>
  <c r="F3088" i="11"/>
  <c r="F6535" i="11"/>
  <c r="F3052" i="11"/>
  <c r="F3655" i="11"/>
  <c r="F5482" i="11"/>
  <c r="F2098" i="11"/>
  <c r="F4438" i="11"/>
  <c r="F5581" i="11"/>
  <c r="F5851" i="11"/>
  <c r="F658" i="11"/>
  <c r="F568" i="11"/>
  <c r="F1819" i="11"/>
  <c r="F3151" i="11"/>
  <c r="F4402" i="11"/>
  <c r="F5716" i="11"/>
  <c r="F2620" i="11"/>
  <c r="F2440" i="11"/>
  <c r="F2602" i="11"/>
  <c r="F2017" i="11"/>
  <c r="F2350" i="11"/>
  <c r="F991" i="11"/>
  <c r="F2431" i="11"/>
  <c r="F3529" i="11"/>
  <c r="F3700" i="11"/>
  <c r="F6283" i="11"/>
  <c r="F6229" i="11"/>
  <c r="F5149" i="11"/>
  <c r="F4681" i="11"/>
  <c r="F6985" i="11"/>
  <c r="F442" i="11"/>
  <c r="F3322" i="11"/>
  <c r="F3826" i="11"/>
  <c r="F1693" i="11"/>
  <c r="F1981" i="11"/>
  <c r="F2998" i="11"/>
  <c r="F1900" i="11"/>
  <c r="F4258" i="11"/>
  <c r="F5869" i="11"/>
  <c r="F5392" i="11"/>
  <c r="F6022" i="11"/>
  <c r="F1459" i="11"/>
  <c r="F2404" i="11"/>
  <c r="F1873" i="11"/>
  <c r="F3160" i="11"/>
  <c r="F4375" i="11"/>
  <c r="F6652" i="11"/>
  <c r="F6553" i="11"/>
  <c r="F478" i="11"/>
  <c r="F6121" i="11"/>
  <c r="F5932" i="11"/>
  <c r="F5824" i="11"/>
  <c r="F5671" i="11"/>
  <c r="F5518" i="11"/>
  <c r="F5167" i="11"/>
  <c r="F5041" i="11"/>
  <c r="F4924" i="11"/>
  <c r="F4672" i="11"/>
  <c r="F4411" i="11"/>
  <c r="F4240" i="11"/>
  <c r="F4087" i="11"/>
  <c r="F3979" i="11"/>
  <c r="F3790" i="11"/>
  <c r="F3664" i="11"/>
  <c r="F3484" i="11"/>
  <c r="F3331" i="11"/>
  <c r="F3196" i="11"/>
  <c r="F3016" i="11"/>
  <c r="F2791" i="11"/>
  <c r="F2539" i="11"/>
  <c r="F2197" i="11"/>
  <c r="F2089" i="11"/>
  <c r="F1909" i="11"/>
  <c r="F1774" i="11"/>
  <c r="F1441" i="11"/>
  <c r="F1585" i="11"/>
  <c r="F1171" i="11"/>
  <c r="F901" i="11"/>
  <c r="F775" i="11"/>
  <c r="F6616" i="11"/>
  <c r="F5644" i="11"/>
  <c r="F5122" i="11"/>
  <c r="F4636" i="11"/>
  <c r="F3799" i="11"/>
  <c r="F3286" i="11"/>
  <c r="F1837" i="11"/>
  <c r="F802" i="11"/>
  <c r="F6399" i="11"/>
  <c r="F4509" i="11"/>
  <c r="F576" i="11"/>
  <c r="F312" i="11"/>
  <c r="F468" i="11"/>
  <c r="F105" i="11"/>
  <c r="F15" i="11"/>
  <c r="F267" i="11"/>
  <c r="F6264" i="11"/>
  <c r="F5256" i="11"/>
  <c r="F4203" i="11"/>
  <c r="F2331" i="11"/>
  <c r="F612" i="11"/>
  <c r="F2826" i="11"/>
  <c r="F3474" i="11"/>
  <c r="F2781" i="11"/>
  <c r="F2664" i="11"/>
  <c r="F6156" i="11"/>
  <c r="F5436" i="11"/>
  <c r="F4050" i="11"/>
  <c r="F2988" i="11"/>
  <c r="F5571" i="11"/>
  <c r="F2979" i="11"/>
  <c r="F4734" i="11"/>
  <c r="F4698" i="11"/>
  <c r="F2970" i="11"/>
  <c r="F1557" i="11"/>
  <c r="F4581" i="11"/>
  <c r="F3006" i="11"/>
  <c r="F4194" i="11"/>
  <c r="F4014" i="11"/>
  <c r="F3969" i="11"/>
  <c r="F6849" i="11"/>
  <c r="F6426" i="11"/>
  <c r="F2286" i="11"/>
  <c r="F1314" i="11"/>
  <c r="F1881" i="11"/>
  <c r="F5985" i="11"/>
  <c r="F5967" i="11"/>
  <c r="F4293" i="11"/>
  <c r="F6867" i="11"/>
  <c r="F3672" i="11"/>
  <c r="F6111" i="11"/>
  <c r="F639" i="11"/>
  <c r="F5607" i="11"/>
  <c r="F4158" i="11"/>
  <c r="F5832" i="11"/>
  <c r="F1989" i="11"/>
  <c r="F1665" i="11"/>
  <c r="F6948" i="11"/>
  <c r="F999" i="11"/>
  <c r="F4932" i="11"/>
  <c r="F6669" i="11"/>
  <c r="F5202" i="11"/>
  <c r="F963" i="11"/>
  <c r="F2007" i="11"/>
  <c r="F6975" i="11"/>
  <c r="F3863" i="11"/>
  <c r="F3692" i="11"/>
  <c r="F3512" i="11"/>
  <c r="F3359" i="11"/>
  <c r="F3278" i="11"/>
  <c r="F3062" i="11"/>
  <c r="F2810" i="11"/>
  <c r="F2576" i="11"/>
  <c r="F2279" i="11"/>
  <c r="F2135" i="11"/>
  <c r="F1964" i="11"/>
  <c r="F1892" i="11"/>
  <c r="F1649" i="11"/>
  <c r="F1658" i="11"/>
  <c r="F1262" i="11"/>
  <c r="F956" i="11"/>
  <c r="F812" i="11"/>
  <c r="F7022" i="11"/>
  <c r="F341" i="11"/>
  <c r="F5222" i="11"/>
  <c r="F4745" i="11"/>
  <c r="F4079" i="11"/>
  <c r="F3422" i="11"/>
  <c r="F2270" i="11"/>
  <c r="F929" i="11"/>
  <c r="F7061" i="11"/>
  <c r="F5419" i="11"/>
  <c r="F2719" i="11"/>
  <c r="F6787" i="11"/>
  <c r="F169" i="11"/>
  <c r="F115" i="11"/>
  <c r="F1828" i="11"/>
  <c r="F286" i="11"/>
  <c r="F6346" i="11"/>
  <c r="F5365" i="11"/>
  <c r="F4213" i="11"/>
  <c r="F2521" i="11"/>
  <c r="F1225" i="11"/>
  <c r="F5140" i="11"/>
  <c r="F2170" i="11"/>
  <c r="F2881" i="11"/>
  <c r="F2899" i="11"/>
  <c r="F6292" i="11"/>
  <c r="F1486" i="11"/>
  <c r="F2863" i="11"/>
  <c r="F1135" i="11"/>
  <c r="F4231" i="11"/>
  <c r="F1324" i="11"/>
  <c r="F6058" i="11"/>
  <c r="F4942" i="11"/>
  <c r="F4276" i="11"/>
  <c r="F124" i="11"/>
  <c r="F7003" i="11"/>
  <c r="F2926" i="11"/>
  <c r="F2890" i="11"/>
  <c r="F6931" i="11"/>
  <c r="F3250" i="11"/>
  <c r="F5338" i="11"/>
  <c r="F5797" i="11"/>
  <c r="F2512" i="11"/>
  <c r="F6859" i="11"/>
  <c r="F6643" i="11"/>
  <c r="F937" i="11"/>
  <c r="F2638" i="11"/>
  <c r="F6715" i="11"/>
  <c r="F4060" i="11"/>
  <c r="F4267" i="11"/>
  <c r="F5977" i="11"/>
  <c r="F7012" i="11"/>
  <c r="F3619" i="11"/>
  <c r="F595" i="11"/>
  <c r="F2692" i="11"/>
  <c r="F1918" i="11"/>
  <c r="F4069" i="11"/>
  <c r="F1864" i="11"/>
  <c r="F2368" i="11"/>
  <c r="F1180" i="11"/>
  <c r="F1432" i="11"/>
  <c r="F2530" i="11"/>
  <c r="F4861" i="11"/>
  <c r="F4096" i="11"/>
  <c r="F6922" i="11"/>
  <c r="F6697" i="11"/>
  <c r="F6634" i="11"/>
  <c r="F6526" i="11"/>
  <c r="F6247" i="11"/>
  <c r="F2116" i="11"/>
  <c r="F5914" i="11"/>
  <c r="F5788" i="11"/>
  <c r="F5653" i="11"/>
  <c r="F5491" i="11"/>
  <c r="F5131" i="11"/>
  <c r="F5032" i="11"/>
  <c r="F4906" i="11"/>
  <c r="F4627" i="11"/>
  <c r="F1684" i="11"/>
  <c r="F6418" i="11"/>
  <c r="F4042" i="11"/>
  <c r="F3961" i="11"/>
  <c r="F3772" i="11"/>
  <c r="F3646" i="11"/>
  <c r="F3466" i="11"/>
  <c r="F3313" i="11"/>
  <c r="F3115" i="11"/>
  <c r="F2944" i="11"/>
  <c r="F2773" i="11"/>
  <c r="F2494" i="11"/>
  <c r="F2188" i="11"/>
  <c r="F2080" i="11"/>
  <c r="F1936" i="11"/>
  <c r="F406" i="11"/>
  <c r="F1612" i="11"/>
  <c r="F1477" i="11"/>
  <c r="F1144" i="11"/>
  <c r="F874" i="11"/>
  <c r="F694" i="11"/>
  <c r="F6598" i="11"/>
  <c r="F5590" i="11"/>
  <c r="F4987" i="11"/>
  <c r="F4519" i="11"/>
  <c r="F3754" i="11"/>
  <c r="F2728" i="11"/>
  <c r="F25" i="11"/>
  <c r="F712" i="11"/>
  <c r="F6705" i="11"/>
  <c r="F376" i="11"/>
  <c r="F6219" i="11"/>
  <c r="F330" i="11"/>
  <c r="F522" i="11"/>
  <c r="F87" i="11"/>
  <c r="F414" i="11"/>
  <c r="F276" i="11"/>
  <c r="F6147" i="11"/>
  <c r="F540" i="11"/>
  <c r="F3906" i="11"/>
  <c r="F2322" i="11"/>
  <c r="F4329" i="11"/>
  <c r="F3475" i="11"/>
  <c r="F2782" i="11"/>
  <c r="F2665" i="11"/>
  <c r="F6157" i="11"/>
  <c r="F5437" i="11"/>
  <c r="F4051" i="11"/>
  <c r="F2989" i="11"/>
  <c r="F5572" i="11"/>
  <c r="F2980" i="11"/>
  <c r="F4735" i="11"/>
  <c r="F4699" i="11"/>
  <c r="F2971" i="11"/>
  <c r="F1558" i="11"/>
  <c r="F4582" i="11"/>
  <c r="F3007" i="11"/>
  <c r="F4195" i="11"/>
  <c r="F4015" i="11"/>
  <c r="F3970" i="11"/>
  <c r="F6850" i="11"/>
  <c r="F6427" i="11"/>
  <c r="F2287" i="11"/>
  <c r="F1315" i="11"/>
  <c r="F1882" i="11"/>
  <c r="F5986" i="11"/>
  <c r="F5968" i="11"/>
  <c r="F4294" i="11"/>
  <c r="F6868" i="11"/>
  <c r="F3673" i="11"/>
  <c r="F6112" i="11"/>
  <c r="F640" i="11"/>
  <c r="F5608" i="11"/>
  <c r="F4159" i="11"/>
  <c r="F5833" i="11"/>
  <c r="F1990" i="11"/>
  <c r="F1666" i="11"/>
  <c r="F6949" i="11"/>
  <c r="F1000" i="11"/>
  <c r="F4933" i="11"/>
  <c r="F6670" i="11"/>
  <c r="F5203" i="11"/>
  <c r="F964" i="11"/>
  <c r="F2008" i="11"/>
  <c r="F6976" i="11"/>
  <c r="F6760" i="11"/>
  <c r="F6625" i="11"/>
  <c r="F6517" i="11"/>
  <c r="F6238" i="11"/>
  <c r="F6040" i="11"/>
  <c r="F5905" i="11"/>
  <c r="F5311" i="11"/>
  <c r="F5635" i="11"/>
  <c r="F5473" i="11"/>
  <c r="F5113" i="11"/>
  <c r="F5050" i="11"/>
  <c r="F4888" i="11"/>
  <c r="F4600" i="11"/>
  <c r="F4492" i="11"/>
  <c r="F4222" i="11"/>
  <c r="F4033" i="11"/>
  <c r="F3952" i="11"/>
  <c r="F3736" i="11"/>
  <c r="F3637" i="11"/>
  <c r="F3403" i="11"/>
  <c r="F3295" i="11"/>
  <c r="F3106" i="11"/>
  <c r="F2935" i="11"/>
  <c r="F2764" i="11"/>
  <c r="F2386" i="11"/>
  <c r="F2179" i="11"/>
  <c r="F2071" i="11"/>
  <c r="F34" i="11"/>
  <c r="F1675" i="11"/>
  <c r="F1783" i="11"/>
  <c r="F1360" i="11"/>
  <c r="F1117" i="11"/>
  <c r="F865" i="11"/>
  <c r="F748" i="11"/>
  <c r="F6391" i="11"/>
  <c r="F5536" i="11"/>
  <c r="F532" i="11"/>
  <c r="F4474" i="11"/>
  <c r="F3601" i="11"/>
  <c r="F2035" i="11"/>
  <c r="F1747" i="11"/>
  <c r="F604" i="11"/>
  <c r="F1953" i="11"/>
  <c r="F6804" i="11"/>
  <c r="F738" i="11"/>
  <c r="F258" i="11"/>
  <c r="F177" i="11"/>
  <c r="F78" i="11"/>
  <c r="F1215" i="11"/>
  <c r="F249" i="11"/>
  <c r="F5742" i="11"/>
  <c r="F4842" i="11"/>
  <c r="F5400" i="11"/>
  <c r="F495" i="11"/>
  <c r="F2844" i="11"/>
  <c r="F3384" i="11"/>
  <c r="F4644" i="11"/>
  <c r="F2466" i="11"/>
  <c r="F6003" i="11"/>
  <c r="F6993" i="11"/>
  <c r="F4338" i="11"/>
  <c r="F2421" i="11"/>
  <c r="F6822" i="11"/>
  <c r="F684" i="11"/>
  <c r="F1089" i="11"/>
  <c r="F6129" i="11"/>
  <c r="F3915" i="11"/>
  <c r="F3132" i="11"/>
  <c r="F1008" i="11"/>
  <c r="F1152" i="11"/>
  <c r="F222" i="11"/>
  <c r="F1638" i="11"/>
  <c r="F3888" i="11"/>
  <c r="F3870" i="11"/>
  <c r="F5661" i="11"/>
  <c r="F6453" i="11"/>
  <c r="F981" i="11"/>
  <c r="F3897" i="11"/>
  <c r="F4302" i="11"/>
  <c r="F1800" i="11"/>
  <c r="F3582" i="11"/>
  <c r="F1971" i="11"/>
  <c r="F2205" i="11"/>
  <c r="F1791" i="11"/>
  <c r="F4005" i="11"/>
  <c r="F4959" i="11"/>
  <c r="F1233" i="11"/>
  <c r="F6048" i="11"/>
  <c r="F2673" i="11"/>
  <c r="F846" i="11"/>
  <c r="F3519" i="11"/>
  <c r="F4662" i="11"/>
  <c r="F1422" i="11"/>
  <c r="F1566" i="11"/>
  <c r="F5292" i="11"/>
  <c r="F6255" i="11"/>
  <c r="F1071" i="11"/>
  <c r="F4131" i="11"/>
  <c r="F6939" i="11"/>
  <c r="F6831" i="11"/>
  <c r="F6579" i="11"/>
  <c r="F6498" i="11"/>
  <c r="F6183" i="11"/>
  <c r="F6012" i="11"/>
  <c r="F5886" i="11"/>
  <c r="F4617" i="11"/>
  <c r="F5553" i="11"/>
  <c r="F5328" i="11"/>
  <c r="F5103" i="11"/>
  <c r="F5013" i="11"/>
  <c r="F4824" i="11"/>
  <c r="F4545" i="11"/>
  <c r="F150" i="11"/>
  <c r="F60" i="11"/>
  <c r="F5" i="11"/>
  <c r="F159" i="11"/>
  <c r="F6795" i="11"/>
  <c r="F4815" i="11"/>
  <c r="F3456" i="11"/>
  <c r="F1926" i="11"/>
  <c r="F2835" i="11"/>
  <c r="F4482" i="11"/>
  <c r="F1080" i="11"/>
  <c r="F756" i="11"/>
  <c r="F4500" i="11"/>
  <c r="F2412" i="11"/>
  <c r="F5175" i="11"/>
  <c r="F4914" i="11"/>
  <c r="F5346" i="11"/>
  <c r="F6489" i="11"/>
  <c r="F819" i="11"/>
  <c r="F5751" i="11"/>
  <c r="F3744" i="11"/>
  <c r="F1701" i="11"/>
  <c r="F2871" i="11"/>
  <c r="F1125" i="11"/>
  <c r="F675" i="11"/>
  <c r="F3573" i="11"/>
  <c r="F1719" i="11"/>
  <c r="F6318" i="11"/>
  <c r="F1197" i="11"/>
  <c r="F4590" i="11"/>
  <c r="F4554" i="11"/>
  <c r="F2952" i="11"/>
  <c r="F2646" i="11"/>
  <c r="F3852" i="11"/>
  <c r="F648" i="11"/>
  <c r="F2484" i="11"/>
  <c r="F6678" i="11"/>
  <c r="F2214" i="11"/>
  <c r="F720" i="11"/>
  <c r="F4716" i="11"/>
  <c r="F1548" i="11"/>
  <c r="F5076" i="11"/>
  <c r="F6354" i="11"/>
  <c r="F585" i="11"/>
  <c r="F373" i="11"/>
  <c r="F1575" i="11"/>
  <c r="F2556" i="11"/>
  <c r="F6363" i="11"/>
  <c r="F2259" i="11"/>
  <c r="F4464" i="11"/>
  <c r="F5760" i="11"/>
  <c r="F5805" i="11"/>
  <c r="F6885" i="11"/>
  <c r="F6732" i="11"/>
  <c r="F6408" i="11"/>
  <c r="F6462" i="11"/>
  <c r="F6174" i="11"/>
  <c r="F5994" i="11"/>
  <c r="F1602" i="11"/>
  <c r="F5769" i="11"/>
  <c r="F5544" i="11"/>
  <c r="F5265" i="11"/>
  <c r="F5094" i="11"/>
  <c r="F4995" i="11"/>
  <c r="F4806" i="11"/>
  <c r="F4536" i="11"/>
  <c r="F4356" i="11"/>
  <c r="F4122" i="11"/>
  <c r="F1593" i="11"/>
  <c r="F3924" i="11"/>
  <c r="F3708" i="11"/>
  <c r="F3537" i="11"/>
  <c r="F1512" i="11"/>
  <c r="F3240" i="11"/>
  <c r="F3069" i="11"/>
  <c r="F6084" i="11"/>
  <c r="F2610" i="11"/>
  <c r="F6372" i="11"/>
  <c r="F2142" i="11"/>
  <c r="F1998" i="11"/>
  <c r="F1737" i="11"/>
  <c r="F1503" i="11"/>
  <c r="F1395" i="11"/>
  <c r="F1269" i="11"/>
  <c r="F1035" i="11"/>
  <c r="F387" i="11"/>
  <c r="F621" i="11"/>
  <c r="F6192" i="11"/>
  <c r="F5355" i="11"/>
  <c r="F4752" i="11"/>
  <c r="F4140" i="11"/>
  <c r="F423" i="11"/>
  <c r="F2583" i="11"/>
  <c r="F1044" i="11"/>
  <c r="F7045" i="11"/>
  <c r="F302" i="11"/>
  <c r="F2717" i="11"/>
  <c r="F6785" i="11"/>
  <c r="F167" i="11"/>
  <c r="F113" i="11"/>
  <c r="F1826" i="11"/>
  <c r="F284" i="11"/>
  <c r="F6344" i="11"/>
  <c r="F5363" i="11"/>
  <c r="F4211" i="11"/>
  <c r="F2519" i="11"/>
  <c r="F1223" i="11"/>
  <c r="F5138" i="11"/>
  <c r="F2168" i="11"/>
  <c r="F2879" i="11"/>
  <c r="F2897" i="11"/>
  <c r="F6290" i="11"/>
  <c r="F1484" i="11"/>
  <c r="F2861" i="11"/>
  <c r="F1133" i="11"/>
  <c r="F4229" i="11"/>
  <c r="F1322" i="11"/>
  <c r="F6056" i="11"/>
  <c r="F4940" i="11"/>
  <c r="F4274" i="11"/>
  <c r="F122" i="11"/>
  <c r="F7001" i="11"/>
  <c r="F2924" i="11"/>
  <c r="F2888" i="11"/>
  <c r="F6929" i="11"/>
  <c r="F3248" i="11"/>
  <c r="F5336" i="11"/>
  <c r="F5795" i="11"/>
  <c r="F2510" i="11"/>
  <c r="F6857" i="11"/>
  <c r="F6641" i="11"/>
  <c r="F935" i="11"/>
  <c r="F2636" i="11"/>
  <c r="F6713" i="11"/>
  <c r="F4058" i="11"/>
  <c r="F4265" i="11"/>
  <c r="F5975" i="11"/>
  <c r="F7010" i="11"/>
  <c r="F3617" i="11"/>
  <c r="F593" i="11"/>
  <c r="F2690" i="11"/>
  <c r="F1916" i="11"/>
  <c r="F4067" i="11"/>
  <c r="F1862" i="11"/>
  <c r="F2366" i="11"/>
  <c r="F1178" i="11"/>
  <c r="F1430" i="11"/>
  <c r="F2528" i="11"/>
  <c r="F4859" i="11"/>
  <c r="F4094" i="11"/>
  <c r="F6920" i="11"/>
  <c r="F6695" i="11"/>
  <c r="F6632" i="11"/>
  <c r="F6524" i="11"/>
  <c r="F6245" i="11"/>
  <c r="F2114" i="11"/>
  <c r="F5912" i="11"/>
  <c r="F5786" i="11"/>
  <c r="F5651" i="11"/>
  <c r="F5489" i="11"/>
  <c r="F5129" i="11"/>
  <c r="F5030" i="11"/>
  <c r="F4904" i="11"/>
  <c r="F4625" i="11"/>
  <c r="F1682" i="11"/>
  <c r="F6416" i="11"/>
  <c r="F4040" i="11"/>
  <c r="F3959" i="11"/>
  <c r="F3770" i="11"/>
  <c r="F3644" i="11"/>
  <c r="F231" i="11"/>
  <c r="F141" i="11"/>
  <c r="F69" i="11"/>
  <c r="F186" i="11"/>
  <c r="F6777" i="11"/>
  <c r="F4788" i="11"/>
  <c r="F3123" i="11"/>
  <c r="F1710" i="11"/>
  <c r="F4320" i="11"/>
  <c r="F4185" i="11"/>
  <c r="F1305" i="11"/>
  <c r="F3177" i="11"/>
  <c r="F2241" i="11"/>
  <c r="F918" i="11"/>
  <c r="F1206" i="11"/>
  <c r="F2106" i="11"/>
  <c r="F5814" i="11"/>
  <c r="F2061" i="11"/>
  <c r="F3438" i="11"/>
  <c r="F5949" i="11"/>
  <c r="F1098" i="11"/>
  <c r="F2682" i="11"/>
  <c r="F1287" i="11"/>
  <c r="F4608" i="11"/>
  <c r="F3879" i="11"/>
  <c r="F6336" i="11"/>
  <c r="F5454" i="11"/>
  <c r="F459" i="11"/>
  <c r="F4833" i="11"/>
  <c r="F4104" i="11"/>
  <c r="F4392" i="11"/>
  <c r="F4284" i="11"/>
  <c r="F1296" i="11"/>
  <c r="F5562" i="11"/>
  <c r="F375" i="11"/>
  <c r="F2448" i="11"/>
  <c r="F3627" i="11"/>
  <c r="F1629" i="11"/>
  <c r="F1530" i="11"/>
  <c r="F2232" i="11"/>
  <c r="F4563" i="11"/>
  <c r="F4968" i="11"/>
  <c r="F2853" i="11"/>
  <c r="F2502" i="11"/>
  <c r="F5238" i="11"/>
  <c r="F4653" i="11"/>
  <c r="F6813" i="11"/>
  <c r="F4248" i="11"/>
  <c r="F666" i="11"/>
  <c r="F1944" i="11"/>
  <c r="F6903" i="11"/>
  <c r="F1017" i="11"/>
  <c r="F6894" i="11"/>
  <c r="F6687" i="11"/>
  <c r="F6480" i="11"/>
  <c r="F6381" i="11"/>
  <c r="F6165" i="11"/>
  <c r="F5958" i="11"/>
  <c r="F5877" i="11"/>
  <c r="F5688" i="11"/>
  <c r="F5526" i="11"/>
  <c r="F5211" i="11"/>
  <c r="F5058" i="11"/>
  <c r="F4977" i="11"/>
  <c r="F4725" i="11"/>
  <c r="F4527" i="11"/>
  <c r="F945" i="11"/>
  <c r="F3834" i="11"/>
  <c r="F3996" i="11"/>
  <c r="F3861" i="11"/>
  <c r="F3690" i="11"/>
  <c r="F3510" i="11"/>
  <c r="F3357" i="11"/>
  <c r="F3276" i="11"/>
  <c r="F3060" i="11"/>
  <c r="F2808" i="11"/>
  <c r="F2574" i="11"/>
  <c r="F2277" i="11"/>
  <c r="F2133" i="11"/>
  <c r="F1962" i="11"/>
  <c r="F1890" i="11"/>
  <c r="F1647" i="11"/>
  <c r="F1656" i="11"/>
  <c r="F1260" i="11"/>
  <c r="F954" i="11"/>
  <c r="F810" i="11"/>
  <c r="F7020" i="11"/>
  <c r="F339" i="11"/>
  <c r="F5220" i="11"/>
  <c r="F4743" i="11"/>
  <c r="F4077" i="11"/>
  <c r="F3420" i="11"/>
  <c r="F2268" i="11"/>
  <c r="F927" i="11"/>
  <c r="F6398" i="11"/>
  <c r="F4508" i="11"/>
  <c r="F575" i="11"/>
  <c r="F311" i="11"/>
  <c r="F467" i="11"/>
  <c r="F104" i="11"/>
  <c r="F14" i="11"/>
  <c r="F266" i="11"/>
  <c r="F6263" i="11"/>
  <c r="F5255" i="11"/>
  <c r="F4202" i="11"/>
  <c r="F2330" i="11"/>
  <c r="F611" i="11"/>
  <c r="F2825" i="11"/>
  <c r="F3473" i="11"/>
  <c r="F2780" i="11"/>
  <c r="F2663" i="11"/>
  <c r="F6155" i="11"/>
  <c r="F5435" i="11"/>
  <c r="F4049" i="11"/>
  <c r="F2987" i="11"/>
  <c r="F5570" i="11"/>
  <c r="F2978" i="11"/>
  <c r="F4733" i="11"/>
  <c r="F4697" i="11"/>
  <c r="F2969" i="11"/>
  <c r="F1556" i="11"/>
  <c r="F4580" i="11"/>
  <c r="F3005" i="11"/>
  <c r="F4193" i="11"/>
  <c r="F4013" i="11"/>
  <c r="F3968" i="11"/>
  <c r="F6848" i="11"/>
  <c r="F6425" i="11"/>
  <c r="F2285" i="11"/>
  <c r="F1313" i="11"/>
  <c r="F1880" i="11"/>
  <c r="F5984" i="11"/>
  <c r="F5966" i="11"/>
  <c r="F4292" i="11"/>
  <c r="F6866" i="11"/>
  <c r="F3671" i="11"/>
  <c r="F6110" i="11"/>
  <c r="F638" i="11"/>
  <c r="F5606" i="11"/>
  <c r="F4157" i="11"/>
  <c r="F5831" i="11"/>
  <c r="F1988" i="11"/>
  <c r="F1664" i="11"/>
  <c r="F6947" i="11"/>
  <c r="F998" i="11"/>
  <c r="F4931" i="11"/>
  <c r="F6668" i="11"/>
  <c r="F5201" i="11"/>
  <c r="F962" i="11"/>
  <c r="F2006" i="11"/>
  <c r="F6587" i="11"/>
  <c r="F6470" i="11"/>
  <c r="F320" i="11"/>
  <c r="F6065" i="11"/>
  <c r="F5894" i="11"/>
  <c r="F5777" i="11"/>
  <c r="F5624" i="11"/>
  <c r="F5426" i="11"/>
  <c r="F5066" i="11"/>
  <c r="F5021" i="11"/>
  <c r="F4850" i="11"/>
  <c r="F4571" i="11"/>
  <c r="F4454" i="11"/>
  <c r="F5498" i="11"/>
  <c r="F4022" i="11"/>
  <c r="F3941" i="11"/>
  <c r="F3725" i="11"/>
  <c r="F131" i="11"/>
  <c r="F3374" i="11"/>
  <c r="F3221" i="11"/>
  <c r="F3095" i="11"/>
  <c r="F2906" i="11"/>
  <c r="F2753" i="11"/>
  <c r="F2375" i="11"/>
  <c r="F2159" i="11"/>
  <c r="F2051" i="11"/>
  <c r="F1853" i="11"/>
  <c r="F1520" i="11"/>
  <c r="F1493" i="11"/>
  <c r="F6722" i="11"/>
  <c r="F1106" i="11"/>
  <c r="F854" i="11"/>
  <c r="F701" i="11"/>
  <c r="F6299" i="11"/>
  <c r="F5444" i="11"/>
  <c r="F4778" i="11"/>
  <c r="F4418" i="11"/>
  <c r="F3563" i="11"/>
  <c r="F2708" i="11"/>
  <c r="F1340" i="11"/>
  <c r="F7044" i="11"/>
  <c r="F301" i="11"/>
  <c r="F6199" i="11"/>
  <c r="F364" i="11"/>
  <c r="F238" i="11"/>
  <c r="F148" i="11"/>
  <c r="F58" i="11"/>
  <c r="F3" i="11"/>
  <c r="F157" i="11"/>
  <c r="F6793" i="11"/>
  <c r="F4813" i="11"/>
  <c r="F3454" i="11"/>
  <c r="F1924" i="11"/>
  <c r="F2833" i="11"/>
  <c r="F4480" i="11"/>
  <c r="F1078" i="11"/>
  <c r="F754" i="11"/>
  <c r="F4498" i="11"/>
  <c r="F2410" i="11"/>
  <c r="F5173" i="11"/>
  <c r="F4912" i="11"/>
  <c r="F5344" i="11"/>
  <c r="F6487" i="11"/>
  <c r="F817" i="11"/>
  <c r="F5749" i="11"/>
  <c r="F3742" i="11"/>
  <c r="F1699" i="11"/>
  <c r="F2869" i="11"/>
  <c r="F1123" i="11"/>
  <c r="F673" i="11"/>
  <c r="F3571" i="11"/>
  <c r="F1717" i="11"/>
  <c r="F6316" i="11"/>
  <c r="F1195" i="11"/>
  <c r="F4588" i="11"/>
  <c r="F4552" i="11"/>
  <c r="F2950" i="11"/>
  <c r="F2644" i="11"/>
  <c r="F3850" i="11"/>
  <c r="F646" i="11"/>
  <c r="F2482" i="11"/>
  <c r="F6676" i="11"/>
  <c r="F1789" i="11"/>
  <c r="F4003" i="11"/>
  <c r="F4957" i="11"/>
  <c r="F6100" i="11"/>
  <c r="F5371" i="11"/>
  <c r="F4894" i="11"/>
  <c r="F4867" i="11"/>
  <c r="F362" i="11"/>
  <c r="F790" i="11"/>
  <c r="F5083" i="11"/>
  <c r="F1726" i="11"/>
  <c r="F5299" i="11"/>
  <c r="F3202" i="11"/>
  <c r="F727" i="11"/>
  <c r="F5722" i="11"/>
  <c r="F6955" i="11"/>
  <c r="F6748" i="11"/>
  <c r="F6586" i="11"/>
  <c r="F6469" i="11"/>
  <c r="F319" i="11"/>
  <c r="F6064" i="11"/>
  <c r="F5893" i="11"/>
  <c r="F5776" i="11"/>
  <c r="F5623" i="11"/>
  <c r="F5425" i="11"/>
  <c r="F5065" i="11"/>
  <c r="F5020" i="11"/>
  <c r="F4849" i="11"/>
  <c r="F4570" i="11"/>
  <c r="F4453" i="11"/>
  <c r="F5497" i="11"/>
  <c r="F4021" i="11"/>
  <c r="F3940" i="11"/>
  <c r="F3724" i="11"/>
  <c r="F130" i="11"/>
  <c r="F3373" i="11"/>
  <c r="F3220" i="11"/>
  <c r="F3094" i="11"/>
  <c r="F2905" i="11"/>
  <c r="F2752" i="11"/>
  <c r="F2374" i="11"/>
  <c r="F2158" i="11"/>
  <c r="F2050" i="11"/>
  <c r="F1852" i="11"/>
  <c r="F1519" i="11"/>
  <c r="F1492" i="11"/>
  <c r="F1692" i="11"/>
  <c r="F1980" i="11"/>
  <c r="F2997" i="11"/>
  <c r="F1899" i="11"/>
  <c r="F4257" i="11"/>
  <c r="F5868" i="11"/>
  <c r="F5391" i="11"/>
  <c r="F6021" i="11"/>
  <c r="F1458" i="11"/>
  <c r="F2403" i="11"/>
  <c r="F1872" i="11"/>
  <c r="F3159" i="11"/>
  <c r="F4374" i="11"/>
  <c r="F6651" i="11"/>
  <c r="F6552" i="11"/>
  <c r="F477" i="11"/>
  <c r="F6120" i="11"/>
  <c r="F5931" i="11"/>
  <c r="F5823" i="11"/>
  <c r="F5670" i="11"/>
  <c r="F5517" i="11"/>
  <c r="F5166" i="11"/>
  <c r="F5040" i="11"/>
  <c r="F4923" i="11"/>
  <c r="F4671" i="11"/>
  <c r="F4410" i="11"/>
  <c r="F4239" i="11"/>
  <c r="F4086" i="11"/>
  <c r="F3978" i="11"/>
  <c r="F3789" i="11"/>
  <c r="F3663" i="11"/>
  <c r="F3483" i="11"/>
  <c r="F3330" i="11"/>
  <c r="F3195" i="11"/>
  <c r="F3015" i="11"/>
  <c r="F2790" i="11"/>
  <c r="F2538" i="11"/>
  <c r="F2196" i="11"/>
  <c r="F2088" i="11"/>
  <c r="F1908" i="11"/>
  <c r="F1773" i="11"/>
  <c r="F1440" i="11"/>
  <c r="F1584" i="11"/>
  <c r="F1170" i="11"/>
  <c r="F900" i="11"/>
  <c r="F774" i="11"/>
  <c r="F6615" i="11"/>
  <c r="F5643" i="11"/>
  <c r="F5121" i="11"/>
  <c r="F4635" i="11"/>
  <c r="F3798" i="11"/>
  <c r="F3285" i="11"/>
  <c r="F1836" i="11"/>
  <c r="F801" i="11"/>
  <c r="F1952" i="11"/>
  <c r="F6803" i="11"/>
  <c r="F737" i="11"/>
  <c r="F257" i="11"/>
  <c r="F176" i="11"/>
  <c r="F77" i="11"/>
  <c r="F1214" i="11"/>
  <c r="F248" i="11"/>
  <c r="F5741" i="11"/>
  <c r="F4841" i="11"/>
  <c r="F5399" i="11"/>
  <c r="F494" i="11"/>
  <c r="F2843" i="11"/>
  <c r="F3383" i="11"/>
  <c r="F4643" i="11"/>
  <c r="F2465" i="11"/>
  <c r="F6002" i="11"/>
  <c r="F6992" i="11"/>
  <c r="F4337" i="11"/>
  <c r="F2420" i="11"/>
  <c r="F6821" i="11"/>
  <c r="F683" i="11"/>
  <c r="F1088" i="11"/>
  <c r="F6128" i="11"/>
  <c r="F3914" i="11"/>
  <c r="F3131" i="11"/>
  <c r="F1007" i="11"/>
  <c r="F1151" i="11"/>
  <c r="F221" i="11"/>
  <c r="F1637" i="11"/>
  <c r="F3887" i="11"/>
  <c r="F3869" i="11"/>
  <c r="F5660" i="11"/>
  <c r="F6452" i="11"/>
  <c r="F980" i="11"/>
  <c r="F3896" i="11"/>
  <c r="F4301" i="11"/>
  <c r="F1799" i="11"/>
  <c r="F3581" i="11"/>
  <c r="F1970" i="11"/>
  <c r="F2204" i="11"/>
  <c r="F1790" i="11"/>
  <c r="F4004" i="11"/>
  <c r="F4958" i="11"/>
  <c r="F1232" i="11"/>
  <c r="F6047" i="11"/>
  <c r="F2672" i="11"/>
  <c r="F845" i="11"/>
  <c r="F3518" i="11"/>
  <c r="F4661" i="11"/>
  <c r="F1421" i="11"/>
  <c r="F1565" i="11"/>
  <c r="F5291" i="11"/>
  <c r="F6254" i="11"/>
  <c r="F1070" i="11"/>
  <c r="F4130" i="11"/>
  <c r="F6938" i="11"/>
  <c r="F6830" i="11"/>
  <c r="F6578" i="11"/>
  <c r="F6497" i="11"/>
  <c r="F6182" i="11"/>
  <c r="F6011" i="11"/>
  <c r="F5885" i="11"/>
  <c r="F4616" i="11"/>
  <c r="F5552" i="11"/>
  <c r="F5327" i="11"/>
  <c r="F5102" i="11"/>
  <c r="F5012" i="11"/>
  <c r="F4823" i="11"/>
  <c r="F4544" i="11"/>
  <c r="F4382" i="11"/>
  <c r="F4175" i="11"/>
  <c r="F2735" i="11"/>
  <c r="F3932" i="11"/>
  <c r="F3716" i="11"/>
  <c r="F3554" i="11"/>
  <c r="F6740" i="11"/>
  <c r="F3257" i="11"/>
  <c r="F3077" i="11"/>
  <c r="F2870" i="11"/>
  <c r="F1124" i="11"/>
  <c r="F674" i="11"/>
  <c r="F3572" i="11"/>
  <c r="F1718" i="11"/>
  <c r="F6317" i="11"/>
  <c r="F1196" i="11"/>
  <c r="F4589" i="11"/>
  <c r="F4553" i="11"/>
  <c r="F2951" i="11"/>
  <c r="F2645" i="11"/>
  <c r="F3851" i="11"/>
  <c r="F647" i="11"/>
  <c r="F2483" i="11"/>
  <c r="F6677" i="11"/>
  <c r="F2213" i="11"/>
  <c r="F719" i="11"/>
  <c r="F4715" i="11"/>
  <c r="F1547" i="11"/>
  <c r="F5075" i="11"/>
  <c r="F6353" i="11"/>
  <c r="F584" i="11"/>
  <c r="F369" i="11"/>
  <c r="F1574" i="11"/>
  <c r="F2555" i="11"/>
  <c r="F6362" i="11"/>
  <c r="F2258" i="11"/>
  <c r="F4463" i="11"/>
  <c r="F5759" i="11"/>
  <c r="F5804" i="11"/>
  <c r="F6884" i="11"/>
  <c r="F6731" i="11"/>
  <c r="F6407" i="11"/>
  <c r="F6461" i="11"/>
  <c r="F6173" i="11"/>
  <c r="F5993" i="11"/>
  <c r="F1601" i="11"/>
  <c r="F5768" i="11"/>
  <c r="F5543" i="11"/>
  <c r="F5264" i="11"/>
  <c r="F5093" i="11"/>
  <c r="F4994" i="11"/>
  <c r="F4805" i="11"/>
  <c r="F4535" i="11"/>
  <c r="F4355" i="11"/>
  <c r="F4121" i="11"/>
  <c r="F1592" i="11"/>
  <c r="F3923" i="11"/>
  <c r="F3707" i="11"/>
  <c r="F3536" i="11"/>
  <c r="F1511" i="11"/>
  <c r="F3239" i="11"/>
  <c r="F3068" i="11"/>
  <c r="F6083" i="11"/>
  <c r="F2609" i="11"/>
  <c r="F6371" i="11"/>
  <c r="F2141" i="11"/>
  <c r="F1997" i="11"/>
  <c r="F1736" i="11"/>
  <c r="F1502" i="11"/>
  <c r="F1394" i="11"/>
  <c r="F1268" i="11"/>
  <c r="F1034" i="11"/>
  <c r="F386" i="11"/>
  <c r="F620" i="11"/>
  <c r="F6191" i="11"/>
  <c r="F5354" i="11"/>
  <c r="F4751" i="11"/>
  <c r="F4139" i="11"/>
  <c r="F422" i="11"/>
  <c r="F2582" i="11"/>
  <c r="F1043" i="11"/>
  <c r="F6703" i="11"/>
  <c r="F368" i="11"/>
  <c r="F365" i="11"/>
  <c r="F2338" i="11"/>
  <c r="F556" i="11"/>
  <c r="F448" i="11"/>
  <c r="F49" i="11"/>
  <c r="F40" i="11"/>
  <c r="F4795" i="11"/>
  <c r="F6091" i="11"/>
  <c r="F4768" i="11"/>
  <c r="F2959" i="11"/>
  <c r="F1465" i="11"/>
  <c r="F1051" i="11"/>
  <c r="F3346" i="11"/>
  <c r="F5596" i="11"/>
  <c r="F1366" i="11"/>
  <c r="F3778" i="11"/>
  <c r="F3409" i="11"/>
  <c r="F3760" i="11"/>
  <c r="F484" i="11"/>
  <c r="F3445" i="11"/>
  <c r="F1348" i="11"/>
  <c r="F763" i="11"/>
  <c r="F2590" i="11"/>
  <c r="F3040" i="11"/>
  <c r="F6208" i="11"/>
  <c r="F1843" i="11"/>
  <c r="F5245" i="11"/>
  <c r="F880" i="11"/>
  <c r="F3184" i="11"/>
  <c r="F4363" i="11"/>
  <c r="F3589" i="11"/>
  <c r="F4444" i="11"/>
  <c r="F6442" i="11"/>
  <c r="F3229" i="11"/>
  <c r="F6541" i="11"/>
  <c r="F826" i="11"/>
  <c r="F970" i="11"/>
  <c r="F5380" i="11"/>
  <c r="F1330" i="11"/>
  <c r="F7101" i="11"/>
  <c r="F1627" i="11"/>
  <c r="F1528" i="11"/>
  <c r="F2230" i="11"/>
  <c r="F1546" i="11"/>
  <c r="F5074" i="11"/>
  <c r="F6352" i="11"/>
  <c r="F583" i="11"/>
  <c r="F361" i="11"/>
  <c r="F1573" i="11"/>
  <c r="F2554" i="11"/>
  <c r="F6361" i="11"/>
  <c r="F2257" i="11"/>
  <c r="F4462" i="11"/>
  <c r="F5758" i="11"/>
  <c r="F5803" i="11"/>
  <c r="F6883" i="11"/>
  <c r="F6730" i="11"/>
  <c r="F6406" i="11"/>
  <c r="F6460" i="11"/>
  <c r="F6172" i="11"/>
  <c r="F5992" i="11"/>
  <c r="F1600" i="11"/>
  <c r="F5767" i="11"/>
  <c r="F5542" i="11"/>
  <c r="F5263" i="11"/>
  <c r="F5092" i="11"/>
  <c r="F4993" i="11"/>
  <c r="F4804" i="11"/>
  <c r="F4534" i="11"/>
  <c r="F4354" i="11"/>
  <c r="F4120" i="11"/>
  <c r="F1591" i="11"/>
  <c r="F3922" i="11"/>
  <c r="F3706" i="11"/>
  <c r="F3535" i="11"/>
  <c r="F1510" i="11"/>
  <c r="F6759" i="11"/>
  <c r="F6624" i="11"/>
  <c r="F6516" i="11"/>
  <c r="F6237" i="11"/>
  <c r="F6039" i="11"/>
  <c r="F5904" i="11"/>
  <c r="F5310" i="11"/>
  <c r="F5634" i="11"/>
  <c r="F5472" i="11"/>
  <c r="F5112" i="11"/>
  <c r="F5049" i="11"/>
  <c r="F4887" i="11"/>
  <c r="F4599" i="11"/>
  <c r="F4491" i="11"/>
  <c r="F4221" i="11"/>
  <c r="F4032" i="11"/>
  <c r="F3951" i="11"/>
  <c r="F3735" i="11"/>
  <c r="F3636" i="11"/>
  <c r="F3402" i="11"/>
  <c r="F3294" i="11"/>
  <c r="F3105" i="11"/>
  <c r="F2934" i="11"/>
  <c r="F2763" i="11"/>
  <c r="F2385" i="11"/>
  <c r="F2178" i="11"/>
  <c r="F2070" i="11"/>
  <c r="F33" i="11"/>
  <c r="F1674" i="11"/>
  <c r="F1782" i="11"/>
  <c r="F1359" i="11"/>
  <c r="F1116" i="11"/>
  <c r="F864" i="11"/>
  <c r="F747" i="11"/>
  <c r="F6390" i="11"/>
  <c r="F5535" i="11"/>
  <c r="F531" i="11"/>
  <c r="F4473" i="11"/>
  <c r="F3600" i="11"/>
  <c r="F2034" i="11"/>
  <c r="F1746" i="11"/>
  <c r="F603" i="11"/>
  <c r="F4427" i="11"/>
  <c r="F1250" i="11"/>
  <c r="F3545" i="11"/>
  <c r="F230" i="11"/>
  <c r="F140" i="11"/>
  <c r="F68" i="11"/>
  <c r="F395" i="11"/>
  <c r="F185" i="11"/>
  <c r="F6776" i="11"/>
  <c r="F4787" i="11"/>
  <c r="F3122" i="11"/>
  <c r="F1709" i="11"/>
  <c r="F4319" i="11"/>
  <c r="F4184" i="11"/>
  <c r="F1304" i="11"/>
  <c r="F3176" i="11"/>
  <c r="F2240" i="11"/>
  <c r="F917" i="11"/>
  <c r="F1205" i="11"/>
  <c r="F2105" i="11"/>
  <c r="F5813" i="11"/>
  <c r="F2060" i="11"/>
  <c r="F3437" i="11"/>
  <c r="F5948" i="11"/>
  <c r="F1097" i="11"/>
  <c r="F2681" i="11"/>
  <c r="F1286" i="11"/>
  <c r="F4607" i="11"/>
  <c r="F3878" i="11"/>
  <c r="F6335" i="11"/>
  <c r="F5453" i="11"/>
  <c r="F458" i="11"/>
  <c r="F4832" i="11"/>
  <c r="F4103" i="11"/>
  <c r="F4391" i="11"/>
  <c r="F4283" i="11"/>
  <c r="F1295" i="11"/>
  <c r="F5561" i="11"/>
  <c r="F371" i="11"/>
  <c r="F2447" i="11"/>
  <c r="F3626" i="11"/>
  <c r="F1628" i="11"/>
  <c r="F1529" i="11"/>
  <c r="F2231" i="11"/>
  <c r="F4562" i="11"/>
  <c r="F4967" i="11"/>
  <c r="F2852" i="11"/>
  <c r="F2501" i="11"/>
  <c r="F5237" i="11"/>
  <c r="F4652" i="11"/>
  <c r="F6812" i="11"/>
  <c r="F4247" i="11"/>
  <c r="F665" i="11"/>
  <c r="F1943" i="11"/>
  <c r="F6902" i="11"/>
  <c r="F1016" i="11"/>
  <c r="F6893" i="11"/>
  <c r="F6686" i="11"/>
  <c r="F6479" i="11"/>
  <c r="F6380" i="11"/>
  <c r="F6164" i="11"/>
  <c r="F5957" i="11"/>
  <c r="F5876" i="11"/>
  <c r="F5687" i="11"/>
  <c r="F5525" i="11"/>
  <c r="F5210" i="11"/>
  <c r="F5057" i="11"/>
  <c r="F4976" i="11"/>
  <c r="F4724" i="11"/>
  <c r="F4526" i="11"/>
  <c r="F944" i="11"/>
  <c r="F3833" i="11"/>
  <c r="F3995" i="11"/>
  <c r="F3860" i="11"/>
  <c r="F3689" i="11"/>
  <c r="F3509" i="11"/>
  <c r="F3356" i="11"/>
  <c r="F3275" i="11"/>
  <c r="F3059" i="11"/>
  <c r="F2807" i="11"/>
  <c r="F2573" i="11"/>
  <c r="F2276" i="11"/>
  <c r="F2132" i="11"/>
  <c r="F1961" i="11"/>
  <c r="F1889" i="11"/>
  <c r="F1646" i="11"/>
  <c r="F1655" i="11"/>
  <c r="F1259" i="11"/>
  <c r="F953" i="11"/>
  <c r="F809" i="11"/>
  <c r="F7019" i="11"/>
  <c r="F338" i="11"/>
  <c r="F5219" i="11"/>
  <c r="F4742" i="11"/>
  <c r="F4076" i="11"/>
  <c r="F3419" i="11"/>
  <c r="F2267" i="11"/>
  <c r="F926" i="11"/>
  <c r="F1951" i="11"/>
  <c r="F6802" i="11"/>
  <c r="F2716" i="11"/>
  <c r="F5920" i="11"/>
  <c r="F193" i="11"/>
  <c r="F430" i="11"/>
  <c r="F502" i="11"/>
  <c r="F292" i="11"/>
  <c r="F6559" i="11"/>
  <c r="F547" i="11"/>
  <c r="F511" i="11"/>
  <c r="F4876" i="11"/>
  <c r="F1447" i="11"/>
  <c r="F3085" i="11"/>
  <c r="F6532" i="11"/>
  <c r="F3049" i="11"/>
  <c r="F3652" i="11"/>
  <c r="F5479" i="11"/>
  <c r="F2095" i="11"/>
  <c r="F4435" i="11"/>
  <c r="F5578" i="11"/>
  <c r="F5848" i="11"/>
  <c r="F655" i="11"/>
  <c r="F565" i="11"/>
  <c r="F1816" i="11"/>
  <c r="F3148" i="11"/>
  <c r="F4399" i="11"/>
  <c r="F5713" i="11"/>
  <c r="F2617" i="11"/>
  <c r="F2437" i="11"/>
  <c r="F2599" i="11"/>
  <c r="F2014" i="11"/>
  <c r="F2347" i="11"/>
  <c r="F988" i="11"/>
  <c r="F2428" i="11"/>
  <c r="F3526" i="11"/>
  <c r="F3697" i="11"/>
  <c r="F6280" i="11"/>
  <c r="F6226" i="11"/>
  <c r="F5146" i="11"/>
  <c r="F4678" i="11"/>
  <c r="F5704" i="11"/>
  <c r="F2698" i="11"/>
  <c r="F6964" i="11"/>
  <c r="F1276" i="11"/>
  <c r="F4561" i="11"/>
  <c r="F4966" i="11"/>
  <c r="F2851" i="11"/>
  <c r="F2500" i="11"/>
  <c r="F5236" i="11"/>
  <c r="F4651" i="11"/>
  <c r="F6811" i="11"/>
  <c r="F2295" i="11"/>
  <c r="F3609" i="11"/>
  <c r="F2475" i="11"/>
  <c r="F6309" i="11"/>
  <c r="F2304" i="11"/>
  <c r="F4167" i="11"/>
  <c r="F6030" i="11"/>
  <c r="F5274" i="11"/>
  <c r="F6075" i="11"/>
  <c r="F5229" i="11"/>
  <c r="F2916" i="11"/>
  <c r="F1764" i="11"/>
  <c r="F2223" i="11"/>
  <c r="F7055" i="11"/>
  <c r="F3267" i="11"/>
  <c r="F5616" i="11"/>
  <c r="F2745" i="11"/>
  <c r="F5319" i="11"/>
  <c r="F1062" i="11"/>
  <c r="F6606" i="11"/>
  <c r="F3393" i="11"/>
  <c r="F6435" i="11"/>
  <c r="F6138" i="11"/>
  <c r="F7029" i="11"/>
  <c r="F3843" i="11"/>
  <c r="F3366" i="11"/>
  <c r="F204" i="11"/>
  <c r="F1161" i="11"/>
  <c r="F4149" i="11"/>
  <c r="F5508" i="11"/>
  <c r="F5004" i="11"/>
  <c r="F6102" i="11"/>
  <c r="F5373" i="11"/>
  <c r="F4896" i="11"/>
  <c r="F4869" i="11"/>
  <c r="F374" i="11"/>
  <c r="F792" i="11"/>
  <c r="F5085" i="11"/>
  <c r="F1728" i="11"/>
  <c r="F5301" i="11"/>
  <c r="F3204" i="11"/>
  <c r="F729" i="11"/>
  <c r="F5724" i="11"/>
  <c r="F6957" i="11"/>
  <c r="F6750" i="11"/>
  <c r="F6588" i="11"/>
  <c r="F6471" i="11"/>
  <c r="F321" i="11"/>
  <c r="F6066" i="11"/>
  <c r="F5895" i="11"/>
  <c r="F5778" i="11"/>
  <c r="F5625" i="11"/>
  <c r="F5427" i="11"/>
  <c r="F5067" i="11"/>
  <c r="F5022" i="11"/>
  <c r="F4851" i="11"/>
  <c r="F4572" i="11"/>
  <c r="F4455" i="11"/>
  <c r="F5499" i="11"/>
  <c r="F4023" i="11"/>
  <c r="F3942" i="11"/>
  <c r="F3726" i="11"/>
  <c r="F132" i="11"/>
  <c r="F3375" i="11"/>
  <c r="F3222" i="11"/>
  <c r="F3096" i="11"/>
  <c r="F2907" i="11"/>
  <c r="F2754" i="11"/>
  <c r="F2376" i="11"/>
  <c r="F2160" i="11"/>
  <c r="F2052" i="11"/>
  <c r="F1854" i="11"/>
  <c r="F1521" i="11"/>
  <c r="F1494" i="11"/>
  <c r="F6723" i="11"/>
  <c r="F1107" i="11"/>
  <c r="F855" i="11"/>
  <c r="F702" i="11"/>
  <c r="F6300" i="11"/>
  <c r="F5445" i="11"/>
  <c r="F4779" i="11"/>
  <c r="F4419" i="11"/>
  <c r="F3564" i="11"/>
  <c r="F2709" i="11"/>
  <c r="F1341" i="11"/>
  <c r="F7066" i="11"/>
  <c r="F7087" i="11"/>
  <c r="F2312" i="11"/>
  <c r="F2339" i="11"/>
  <c r="F557" i="11"/>
  <c r="F449" i="11"/>
  <c r="F50" i="11"/>
  <c r="F41" i="11"/>
  <c r="F4796" i="11"/>
  <c r="F6092" i="11"/>
  <c r="F4769" i="11"/>
  <c r="F2960" i="11"/>
  <c r="F1466" i="11"/>
  <c r="F1052" i="11"/>
  <c r="F3347" i="11"/>
  <c r="F5597" i="11"/>
  <c r="F1367" i="11"/>
  <c r="F3779" i="11"/>
  <c r="F3410" i="11"/>
  <c r="F3761" i="11"/>
  <c r="F485" i="11"/>
  <c r="F3446" i="11"/>
  <c r="F1349" i="11"/>
  <c r="F764" i="11"/>
  <c r="F2591" i="11"/>
  <c r="F3041" i="11"/>
  <c r="F6209" i="11"/>
  <c r="F1844" i="11"/>
  <c r="F5246" i="11"/>
  <c r="F881" i="11"/>
  <c r="F3185" i="11"/>
  <c r="F4364" i="11"/>
  <c r="F3590" i="11"/>
  <c r="F4445" i="11"/>
  <c r="F6443" i="11"/>
  <c r="F3230" i="11"/>
  <c r="F6542" i="11"/>
  <c r="F827" i="11"/>
  <c r="F971" i="11"/>
  <c r="F5381" i="11"/>
  <c r="F1331" i="11"/>
  <c r="F5705" i="11"/>
  <c r="F2699" i="11"/>
  <c r="F6965" i="11"/>
  <c r="F1277" i="11"/>
  <c r="F3212" i="11"/>
  <c r="F347" i="11"/>
  <c r="F6506" i="11"/>
  <c r="F3986" i="11"/>
  <c r="F5732" i="11"/>
  <c r="F2456" i="11"/>
  <c r="F5840" i="11"/>
  <c r="F5156" i="11"/>
  <c r="F6767" i="11"/>
  <c r="F3023" i="11"/>
  <c r="F2564" i="11"/>
  <c r="F7037" i="11"/>
  <c r="F6911" i="11"/>
  <c r="F6659" i="11"/>
  <c r="F6569" i="11"/>
  <c r="F6326" i="11"/>
  <c r="F5282" i="11"/>
  <c r="F5939" i="11"/>
  <c r="F5858" i="11"/>
  <c r="F5678" i="11"/>
  <c r="F5462" i="11"/>
  <c r="F5192" i="11"/>
  <c r="F212" i="11"/>
  <c r="F4949" i="11"/>
  <c r="F4706" i="11"/>
  <c r="F3140" i="11"/>
  <c r="F4310" i="11"/>
  <c r="F4112" i="11"/>
  <c r="F2393" i="11"/>
  <c r="F3806" i="11"/>
  <c r="F3680" i="11"/>
  <c r="F3500" i="11"/>
  <c r="F3338" i="11"/>
  <c r="F3167" i="11"/>
  <c r="F3032" i="11"/>
  <c r="F2798" i="11"/>
  <c r="F2546" i="11"/>
  <c r="F2249" i="11"/>
  <c r="F2123" i="11"/>
  <c r="F3428" i="11"/>
  <c r="F1808" i="11"/>
  <c r="F1619" i="11"/>
  <c r="F1385" i="11"/>
  <c r="F1187" i="11"/>
  <c r="F908" i="11"/>
  <c r="F782" i="11"/>
  <c r="F6875" i="11"/>
  <c r="F5696" i="11"/>
  <c r="F5183" i="11"/>
  <c r="F4688" i="11"/>
  <c r="F3815" i="11"/>
  <c r="F3302" i="11"/>
  <c r="F2024" i="11"/>
  <c r="F890" i="11"/>
  <c r="F1537" i="11"/>
  <c r="F6838" i="11"/>
  <c r="F574" i="11"/>
  <c r="F6784" i="11"/>
  <c r="F166" i="11"/>
  <c r="F112" i="11"/>
  <c r="F1825" i="11"/>
  <c r="F283" i="11"/>
  <c r="F6343" i="11"/>
  <c r="F5362" i="11"/>
  <c r="F4210" i="11"/>
  <c r="F2518" i="11"/>
  <c r="F1222" i="11"/>
  <c r="F5137" i="11"/>
  <c r="F2167" i="11"/>
  <c r="F6289" i="11"/>
  <c r="F6055" i="11"/>
  <c r="F7000" i="11"/>
  <c r="F6928" i="11"/>
  <c r="F6856" i="11"/>
  <c r="F6640" i="11"/>
  <c r="F6712" i="11"/>
  <c r="F346" i="11"/>
  <c r="F6505" i="11"/>
  <c r="F5731" i="11"/>
  <c r="F5839" i="11"/>
  <c r="F6658" i="11"/>
  <c r="F6568" i="11"/>
  <c r="F6325" i="11"/>
  <c r="F5857" i="11"/>
  <c r="F5461" i="11"/>
  <c r="F6874" i="11"/>
  <c r="F5182" i="11"/>
  <c r="F273" i="11"/>
  <c r="F6072" i="11"/>
  <c r="F5316" i="11"/>
  <c r="F6603" i="11"/>
  <c r="F6135" i="11"/>
  <c r="F7026" i="11"/>
  <c r="F6945" i="11"/>
  <c r="F6666" i="11"/>
  <c r="F6513" i="11"/>
  <c r="F6234" i="11"/>
  <c r="F6387" i="11"/>
  <c r="F4383" i="11"/>
  <c r="F4176" i="11"/>
  <c r="F2736" i="11"/>
  <c r="F3933" i="11"/>
  <c r="F3717" i="11"/>
  <c r="F3555" i="11"/>
  <c r="F6741" i="11"/>
  <c r="F3258" i="11"/>
  <c r="F3078" i="11"/>
  <c r="F2817" i="11"/>
  <c r="F2628" i="11"/>
  <c r="F2358" i="11"/>
  <c r="F2151" i="11"/>
  <c r="F2043" i="11"/>
  <c r="F1377" i="11"/>
  <c r="F1755" i="11"/>
  <c r="F1404" i="11"/>
  <c r="F1413" i="11"/>
  <c r="F1026" i="11"/>
  <c r="F837" i="11"/>
  <c r="F630" i="11"/>
  <c r="F6273" i="11"/>
  <c r="F5409" i="11"/>
  <c r="F4761" i="11"/>
  <c r="F4347" i="11"/>
  <c r="F3492" i="11"/>
  <c r="F2655" i="11"/>
  <c r="F1242" i="11"/>
  <c r="F7059" i="11"/>
  <c r="F5417" i="11"/>
  <c r="F6200" i="11"/>
  <c r="F5921" i="11"/>
  <c r="F194" i="11"/>
  <c r="F431" i="11"/>
  <c r="F503" i="11"/>
  <c r="F293" i="11"/>
  <c r="F6560" i="11"/>
  <c r="F548" i="11"/>
  <c r="F512" i="11"/>
  <c r="F4877" i="11"/>
  <c r="F1448" i="11"/>
  <c r="F3086" i="11"/>
  <c r="F6533" i="11"/>
  <c r="F3050" i="11"/>
  <c r="F3653" i="11"/>
  <c r="F5480" i="11"/>
  <c r="F2096" i="11"/>
  <c r="F4436" i="11"/>
  <c r="F5579" i="11"/>
  <c r="F5849" i="11"/>
  <c r="F656" i="11"/>
  <c r="F566" i="11"/>
  <c r="F1817" i="11"/>
  <c r="F3149" i="11"/>
  <c r="F4400" i="11"/>
  <c r="F5714" i="11"/>
  <c r="F2618" i="11"/>
  <c r="F2438" i="11"/>
  <c r="F2600" i="11"/>
  <c r="F2015" i="11"/>
  <c r="F2348" i="11"/>
  <c r="F989" i="11"/>
  <c r="F2429" i="11"/>
  <c r="F3527" i="11"/>
  <c r="F3698" i="11"/>
  <c r="F6281" i="11"/>
  <c r="F6227" i="11"/>
  <c r="F5147" i="11"/>
  <c r="F4679" i="11"/>
  <c r="F6983" i="11"/>
  <c r="F440" i="11"/>
  <c r="F3320" i="11"/>
  <c r="F3824" i="11"/>
  <c r="F1691" i="11"/>
  <c r="F1979" i="11"/>
  <c r="F2996" i="11"/>
  <c r="F1898" i="11"/>
  <c r="F4256" i="11"/>
  <c r="F5867" i="11"/>
  <c r="F5390" i="11"/>
  <c r="F6020" i="11"/>
  <c r="F1457" i="11"/>
  <c r="F2402" i="11"/>
  <c r="F1871" i="11"/>
  <c r="F3158" i="11"/>
  <c r="F4373" i="11"/>
  <c r="F6650" i="11"/>
  <c r="F6551" i="11"/>
  <c r="F476" i="11"/>
  <c r="F6119" i="11"/>
  <c r="F5930" i="11"/>
  <c r="F5822" i="11"/>
  <c r="F5669" i="11"/>
  <c r="F5516" i="11"/>
  <c r="F5165" i="11"/>
  <c r="F5039" i="11"/>
  <c r="F4922" i="11"/>
  <c r="F4670" i="11"/>
  <c r="F4409" i="11"/>
  <c r="F4238" i="11"/>
  <c r="F4085" i="11"/>
  <c r="F3977" i="11"/>
  <c r="F3788" i="11"/>
  <c r="F3662" i="11"/>
  <c r="F3482" i="11"/>
  <c r="F3329" i="11"/>
  <c r="F3194" i="11"/>
  <c r="F3014" i="11"/>
  <c r="F2789" i="11"/>
  <c r="F2537" i="11"/>
  <c r="F2195" i="11"/>
  <c r="F2087" i="11"/>
  <c r="F1907" i="11"/>
  <c r="F1772" i="11"/>
  <c r="F1439" i="11"/>
  <c r="F1583" i="11"/>
  <c r="F1169" i="11"/>
  <c r="F899" i="11"/>
  <c r="F773" i="11"/>
  <c r="F6614" i="11"/>
  <c r="F5642" i="11"/>
  <c r="F5120" i="11"/>
  <c r="F4634" i="11"/>
  <c r="F3797" i="11"/>
  <c r="F3284" i="11"/>
  <c r="F1835" i="11"/>
  <c r="F800" i="11"/>
  <c r="F4426" i="11"/>
  <c r="F1249" i="11"/>
  <c r="F6217" i="11"/>
  <c r="F310" i="11"/>
  <c r="F466" i="11"/>
  <c r="F103" i="11"/>
  <c r="F13" i="11"/>
  <c r="F265" i="11"/>
  <c r="F6262" i="11"/>
  <c r="F5254" i="11"/>
  <c r="F4201" i="11"/>
  <c r="F2329" i="11"/>
  <c r="F610" i="11"/>
  <c r="F2824" i="11"/>
  <c r="F3472" i="11"/>
  <c r="F2779" i="11"/>
  <c r="F2662" i="11"/>
  <c r="F6154" i="11"/>
  <c r="F5434" i="11"/>
  <c r="F4048" i="11"/>
  <c r="F6847" i="11"/>
  <c r="F5983" i="11"/>
  <c r="F6865" i="11"/>
  <c r="F5974" i="11"/>
  <c r="F7009" i="11"/>
  <c r="F4372" i="11"/>
  <c r="F6649" i="11"/>
  <c r="F6118" i="11"/>
  <c r="F5929" i="11"/>
  <c r="F5739" i="11"/>
  <c r="F6000" i="11"/>
  <c r="F6126" i="11"/>
  <c r="F219" i="11"/>
  <c r="F6450" i="11"/>
  <c r="F5370" i="11"/>
  <c r="F5298" i="11"/>
  <c r="F5721" i="11"/>
  <c r="F6954" i="11"/>
  <c r="F6585" i="11"/>
  <c r="F318" i="11"/>
  <c r="F6063" i="11"/>
  <c r="F5775" i="11"/>
  <c r="F6720" i="11"/>
  <c r="F3464" i="11"/>
  <c r="F3311" i="11"/>
  <c r="F3113" i="11"/>
  <c r="F2942" i="11"/>
  <c r="F2771" i="11"/>
  <c r="F2492" i="11"/>
  <c r="F2186" i="11"/>
  <c r="F2078" i="11"/>
  <c r="F1934" i="11"/>
  <c r="F404" i="11"/>
  <c r="F1610" i="11"/>
  <c r="F1475" i="11"/>
  <c r="F1142" i="11"/>
  <c r="F872" i="11"/>
  <c r="F692" i="11"/>
  <c r="F6596" i="11"/>
  <c r="F5588" i="11"/>
  <c r="F4985" i="11"/>
  <c r="F4517" i="11"/>
  <c r="F3752" i="11"/>
  <c r="F2726" i="11"/>
  <c r="F23" i="11"/>
  <c r="F710" i="11"/>
  <c r="F7086" i="11"/>
  <c r="F367" i="11"/>
  <c r="F736" i="11"/>
  <c r="F328" i="11"/>
  <c r="F520" i="11"/>
  <c r="F85" i="11"/>
  <c r="F412" i="11"/>
  <c r="F274" i="11"/>
  <c r="F6145" i="11"/>
  <c r="F538" i="11"/>
  <c r="F3904" i="11"/>
  <c r="F2320" i="11"/>
  <c r="F4327" i="11"/>
  <c r="F2293" i="11"/>
  <c r="F3607" i="11"/>
  <c r="F2473" i="11"/>
  <c r="F6307" i="11"/>
  <c r="F2302" i="11"/>
  <c r="F4165" i="11"/>
  <c r="F6028" i="11"/>
  <c r="F5272" i="11"/>
  <c r="F6073" i="11"/>
  <c r="F5227" i="11"/>
  <c r="F2914" i="11"/>
  <c r="F5317" i="11"/>
  <c r="F6433" i="11"/>
  <c r="F6136" i="11"/>
  <c r="F6919" i="11"/>
  <c r="F6523" i="11"/>
  <c r="F5911" i="11"/>
  <c r="F5785" i="11"/>
  <c r="F6595" i="11"/>
  <c r="F6198" i="11"/>
  <c r="F357" i="11"/>
  <c r="F237" i="11"/>
  <c r="F6792" i="11"/>
  <c r="F5748" i="11"/>
  <c r="F5289" i="11"/>
  <c r="F6936" i="11"/>
  <c r="F6576" i="11"/>
  <c r="F6009" i="11"/>
  <c r="F6738" i="11"/>
  <c r="F6270" i="11"/>
  <c r="F6974" i="11"/>
  <c r="F6758" i="11"/>
  <c r="F6623" i="11"/>
  <c r="F6515" i="11"/>
  <c r="F6236" i="11"/>
  <c r="F6038" i="11"/>
  <c r="F5903" i="11"/>
  <c r="F5309" i="11"/>
  <c r="F5633" i="11"/>
  <c r="F5471" i="11"/>
  <c r="F5111" i="11"/>
  <c r="F5048" i="11"/>
  <c r="F4886" i="11"/>
  <c r="F4598" i="11"/>
  <c r="F4490" i="11"/>
  <c r="F4220" i="11"/>
  <c r="F4031" i="11"/>
  <c r="F3950" i="11"/>
  <c r="F3734" i="11"/>
  <c r="F3635" i="11"/>
  <c r="F3401" i="11"/>
  <c r="F3293" i="11"/>
  <c r="F3104" i="11"/>
  <c r="F2933" i="11"/>
  <c r="F2762" i="11"/>
  <c r="F2384" i="11"/>
  <c r="F2177" i="11"/>
  <c r="F2069" i="11"/>
  <c r="F32" i="11"/>
  <c r="F1673" i="11"/>
  <c r="F1781" i="11"/>
  <c r="F1358" i="11"/>
  <c r="F1115" i="11"/>
  <c r="F863" i="11"/>
  <c r="F746" i="11"/>
  <c r="F6389" i="11"/>
  <c r="F5534" i="11"/>
  <c r="F530" i="11"/>
  <c r="F4472" i="11"/>
  <c r="F3599" i="11"/>
  <c r="F2033" i="11"/>
  <c r="F1745" i="11"/>
  <c r="F602" i="11"/>
  <c r="F5416" i="11"/>
  <c r="F2311" i="11"/>
  <c r="F94" i="11"/>
  <c r="F256" i="11"/>
  <c r="F175" i="11"/>
  <c r="F76" i="11"/>
  <c r="F1213" i="11"/>
  <c r="F247" i="11"/>
  <c r="F5740" i="11"/>
  <c r="F4840" i="11"/>
  <c r="F5398" i="11"/>
  <c r="F493" i="11"/>
  <c r="F2842" i="11"/>
  <c r="F3382" i="11"/>
  <c r="F4642" i="11"/>
  <c r="F2464" i="11"/>
  <c r="F6001" i="11"/>
  <c r="F6991" i="11"/>
  <c r="F4336" i="11"/>
  <c r="F2419" i="11"/>
  <c r="F6820" i="11"/>
  <c r="F682" i="11"/>
  <c r="F1087" i="11"/>
  <c r="F6127" i="11"/>
  <c r="F3913" i="11"/>
  <c r="F3130" i="11"/>
  <c r="F1006" i="11"/>
  <c r="F1150" i="11"/>
  <c r="F220" i="11"/>
  <c r="F1636" i="11"/>
  <c r="F3886" i="11"/>
  <c r="F3868" i="11"/>
  <c r="F5659" i="11"/>
  <c r="F6451" i="11"/>
  <c r="F979" i="11"/>
  <c r="F3895" i="11"/>
  <c r="F4300" i="11"/>
  <c r="F1798" i="11"/>
  <c r="F3580" i="11"/>
  <c r="F1969" i="11"/>
  <c r="F2203" i="11"/>
  <c r="F4147" i="11"/>
  <c r="F5506" i="11"/>
  <c r="F5002" i="11"/>
  <c r="F5605" i="11"/>
  <c r="F4156" i="11"/>
  <c r="F5830" i="11"/>
  <c r="F1987" i="11"/>
  <c r="F1663" i="11"/>
  <c r="F6946" i="11"/>
  <c r="F997" i="11"/>
  <c r="F4930" i="11"/>
  <c r="F6667" i="11"/>
  <c r="F5200" i="11"/>
  <c r="F961" i="11"/>
  <c r="F2005" i="11"/>
  <c r="F6973" i="11"/>
  <c r="F6757" i="11"/>
  <c r="F6622" i="11"/>
  <c r="F6514" i="11"/>
  <c r="F6235" i="11"/>
  <c r="F6037" i="11"/>
  <c r="F5902" i="11"/>
  <c r="F5308" i="11"/>
  <c r="F5632" i="11"/>
  <c r="F5470" i="11"/>
  <c r="F5110" i="11"/>
  <c r="F5047" i="11"/>
  <c r="F4885" i="11"/>
  <c r="F4597" i="11"/>
  <c r="F4489" i="11"/>
  <c r="F4219" i="11"/>
  <c r="F4030" i="11"/>
  <c r="F3949" i="11"/>
  <c r="F3733" i="11"/>
  <c r="F3634" i="11"/>
  <c r="F3400" i="11"/>
  <c r="F3292" i="11"/>
  <c r="F3103" i="11"/>
  <c r="F2932" i="11"/>
  <c r="F2761" i="11"/>
  <c r="F2383" i="11"/>
  <c r="F6388" i="11"/>
  <c r="F300" i="11"/>
  <c r="F359" i="11"/>
  <c r="F228" i="11"/>
  <c r="F183" i="11"/>
  <c r="F6333" i="11"/>
  <c r="F5757" i="11"/>
  <c r="F6882" i="11"/>
  <c r="F6729" i="11"/>
  <c r="F6459" i="11"/>
  <c r="F5991" i="11"/>
  <c r="F5766" i="11"/>
  <c r="F6081" i="11"/>
  <c r="F6721" i="11"/>
  <c r="F1105" i="11"/>
  <c r="F853" i="11"/>
  <c r="F700" i="11"/>
  <c r="F6298" i="11"/>
  <c r="F5443" i="11"/>
  <c r="F4777" i="11"/>
  <c r="F4417" i="11"/>
  <c r="F3562" i="11"/>
  <c r="F2707" i="11"/>
  <c r="F1339" i="11"/>
  <c r="F6396" i="11"/>
  <c r="F4506" i="11"/>
  <c r="F358" i="11"/>
  <c r="F2337" i="11"/>
  <c r="F555" i="11"/>
  <c r="F447" i="11"/>
  <c r="F48" i="11"/>
  <c r="F39" i="11"/>
  <c r="F4794" i="11"/>
  <c r="F6090" i="11"/>
  <c r="F4767" i="11"/>
  <c r="F2958" i="11"/>
  <c r="F1464" i="11"/>
  <c r="F1050" i="11"/>
  <c r="F3345" i="11"/>
  <c r="F5595" i="11"/>
  <c r="F1365" i="11"/>
  <c r="F3777" i="11"/>
  <c r="F3408" i="11"/>
  <c r="F3759" i="11"/>
  <c r="F483" i="11"/>
  <c r="F3444" i="11"/>
  <c r="F1347" i="11"/>
  <c r="F762" i="11"/>
  <c r="F2589" i="11"/>
  <c r="F3039" i="11"/>
  <c r="F6207" i="11"/>
  <c r="F1842" i="11"/>
  <c r="F5244" i="11"/>
  <c r="F879" i="11"/>
  <c r="F3183" i="11"/>
  <c r="F4362" i="11"/>
  <c r="F3588" i="11"/>
  <c r="F4443" i="11"/>
  <c r="F6441" i="11"/>
  <c r="F3228" i="11"/>
  <c r="F6540" i="11"/>
  <c r="F825" i="11"/>
  <c r="F969" i="11"/>
  <c r="F5379" i="11"/>
  <c r="F1329" i="11"/>
  <c r="F7100" i="11"/>
  <c r="F1626" i="11"/>
  <c r="F1527" i="11"/>
  <c r="F2229" i="11"/>
  <c r="F4560" i="11"/>
  <c r="F4965" i="11"/>
  <c r="F2850" i="11"/>
  <c r="F2499" i="11"/>
  <c r="F5235" i="11"/>
  <c r="F4650" i="11"/>
  <c r="F6810" i="11"/>
  <c r="F4245" i="11"/>
  <c r="F663" i="11"/>
  <c r="F1941" i="11"/>
  <c r="F6900" i="11"/>
  <c r="F1014" i="11"/>
  <c r="F6891" i="11"/>
  <c r="F6684" i="11"/>
  <c r="F6477" i="11"/>
  <c r="F6378" i="11"/>
  <c r="F6162" i="11"/>
  <c r="F5955" i="11"/>
  <c r="F5874" i="11"/>
  <c r="F5685" i="11"/>
  <c r="F5523" i="11"/>
  <c r="F5208" i="11"/>
  <c r="F5055" i="11"/>
  <c r="F4974" i="11"/>
  <c r="F4722" i="11"/>
  <c r="F4524" i="11"/>
  <c r="F942" i="11"/>
  <c r="F3831" i="11"/>
  <c r="F3993" i="11"/>
  <c r="F3858" i="11"/>
  <c r="F3687" i="11"/>
  <c r="F3507" i="11"/>
  <c r="F3354" i="11"/>
  <c r="F3273" i="11"/>
  <c r="F3057" i="11"/>
  <c r="F7017" i="11"/>
  <c r="F336" i="11"/>
  <c r="F2816" i="11"/>
  <c r="F2627" i="11"/>
  <c r="F2357" i="11"/>
  <c r="F2150" i="11"/>
  <c r="F2042" i="11"/>
  <c r="F1376" i="11"/>
  <c r="F1754" i="11"/>
  <c r="F1403" i="11"/>
  <c r="F1412" i="11"/>
  <c r="F1025" i="11"/>
  <c r="F836" i="11"/>
  <c r="F629" i="11"/>
  <c r="F6272" i="11"/>
  <c r="F5408" i="11"/>
  <c r="F4760" i="11"/>
  <c r="F4346" i="11"/>
  <c r="F3491" i="11"/>
  <c r="F2654" i="11"/>
  <c r="F1241" i="11"/>
  <c r="F6397" i="11"/>
  <c r="F4507" i="11"/>
  <c r="F366" i="11"/>
  <c r="F3544" i="11"/>
  <c r="F229" i="11"/>
  <c r="F139" i="11"/>
  <c r="F67" i="11"/>
  <c r="F184" i="11"/>
  <c r="F6775" i="11"/>
  <c r="F4786" i="11"/>
  <c r="F3121" i="11"/>
  <c r="F1708" i="11"/>
  <c r="F4318" i="11"/>
  <c r="F4183" i="11"/>
  <c r="F1303" i="11"/>
  <c r="F3175" i="11"/>
  <c r="F2239" i="11"/>
  <c r="F916" i="11"/>
  <c r="F1204" i="11"/>
  <c r="F2104" i="11"/>
  <c r="F5812" i="11"/>
  <c r="F2059" i="11"/>
  <c r="F3436" i="11"/>
  <c r="F5947" i="11"/>
  <c r="F1096" i="11"/>
  <c r="F2680" i="11"/>
  <c r="F1285" i="11"/>
  <c r="F4606" i="11"/>
  <c r="F3877" i="11"/>
  <c r="F6334" i="11"/>
  <c r="F5452" i="11"/>
  <c r="F457" i="11"/>
  <c r="F4831" i="11"/>
  <c r="F4102" i="11"/>
  <c r="F4390" i="11"/>
  <c r="F4282" i="11"/>
  <c r="F1294" i="11"/>
  <c r="F5560" i="11"/>
  <c r="F363" i="11"/>
  <c r="F2446" i="11"/>
  <c r="F3625" i="11"/>
  <c r="F2212" i="11"/>
  <c r="F718" i="11"/>
  <c r="F4714" i="11"/>
  <c r="F1231" i="11"/>
  <c r="F6046" i="11"/>
  <c r="F2671" i="11"/>
  <c r="F844" i="11"/>
  <c r="F3517" i="11"/>
  <c r="F4660" i="11"/>
  <c r="F1420" i="11"/>
  <c r="F1564" i="11"/>
  <c r="F5290" i="11"/>
  <c r="F6253" i="11"/>
  <c r="F1069" i="11"/>
  <c r="F4129" i="11"/>
  <c r="F6937" i="11"/>
  <c r="F6829" i="11"/>
  <c r="F6577" i="11"/>
  <c r="F6496" i="11"/>
  <c r="F6181" i="11"/>
  <c r="F6010" i="11"/>
  <c r="F5884" i="11"/>
  <c r="F4615" i="11"/>
  <c r="F5551" i="11"/>
  <c r="F5326" i="11"/>
  <c r="F5101" i="11"/>
  <c r="F5011" i="11"/>
  <c r="F4822" i="11"/>
  <c r="F4543" i="11"/>
  <c r="F4381" i="11"/>
  <c r="F4174" i="11"/>
  <c r="F2734" i="11"/>
  <c r="F3931" i="11"/>
  <c r="F3715" i="11"/>
  <c r="F3553" i="11"/>
  <c r="F6739" i="11"/>
  <c r="F3256" i="11"/>
  <c r="F3076" i="11"/>
  <c r="F2815" i="11"/>
  <c r="F2626" i="11"/>
  <c r="F2356" i="11"/>
  <c r="F2149" i="11"/>
  <c r="F2041" i="11"/>
  <c r="F1375" i="11"/>
  <c r="F1753" i="11"/>
  <c r="F1402" i="11"/>
  <c r="F1411" i="11"/>
  <c r="F1024" i="11"/>
  <c r="F835" i="11"/>
  <c r="F628" i="11"/>
  <c r="F6271" i="11"/>
  <c r="F5407" i="11"/>
  <c r="F4759" i="11"/>
  <c r="F4345" i="11"/>
  <c r="F3490" i="11"/>
  <c r="F2653" i="11"/>
  <c r="F1240" i="11"/>
  <c r="F6702" i="11"/>
  <c r="F360" i="11"/>
  <c r="F2715" i="11"/>
  <c r="F5919" i="11"/>
  <c r="F192" i="11"/>
  <c r="F429" i="11"/>
  <c r="F501" i="11"/>
  <c r="F291" i="11"/>
  <c r="F6558" i="11"/>
  <c r="F546" i="11"/>
  <c r="F510" i="11"/>
  <c r="F4875" i="11"/>
  <c r="F1446" i="11"/>
  <c r="F3084" i="11"/>
  <c r="F6531" i="11"/>
  <c r="F3048" i="11"/>
  <c r="F3651" i="11"/>
  <c r="F5478" i="11"/>
  <c r="F2094" i="11"/>
  <c r="F4434" i="11"/>
  <c r="F5577" i="11"/>
  <c r="F5847" i="11"/>
  <c r="F654" i="11"/>
  <c r="F564" i="11"/>
  <c r="F6297" i="11"/>
  <c r="F1815" i="11"/>
  <c r="F3147" i="11"/>
  <c r="F4398" i="11"/>
  <c r="F5712" i="11"/>
  <c r="F2616" i="11"/>
  <c r="F2436" i="11"/>
  <c r="F2598" i="11"/>
  <c r="F2013" i="11"/>
  <c r="F2346" i="11"/>
  <c r="F987" i="11"/>
  <c r="F2427" i="11"/>
  <c r="F3525" i="11"/>
  <c r="F3696" i="11"/>
  <c r="F6279" i="11"/>
  <c r="F6225" i="11"/>
  <c r="F5145" i="11"/>
  <c r="F4677" i="11"/>
  <c r="F5703" i="11"/>
  <c r="F2697" i="11"/>
  <c r="F6963" i="11"/>
  <c r="F1275" i="11"/>
  <c r="F3210" i="11"/>
  <c r="F345" i="11"/>
  <c r="F6504" i="11"/>
  <c r="F3984" i="11"/>
  <c r="F5730" i="11"/>
  <c r="F2454" i="11"/>
  <c r="F5838" i="11"/>
  <c r="F5154" i="11"/>
  <c r="F6765" i="11"/>
  <c r="F3021" i="11"/>
  <c r="F2562" i="11"/>
  <c r="F7035" i="11"/>
  <c r="F6909" i="11"/>
  <c r="F6657" i="11"/>
  <c r="F6567" i="11"/>
  <c r="F6324" i="11"/>
  <c r="F5280" i="11"/>
  <c r="F5937" i="11"/>
  <c r="F5856" i="11"/>
  <c r="F5676" i="11"/>
  <c r="F5460" i="11"/>
  <c r="F5190" i="11"/>
  <c r="F210" i="11"/>
  <c r="F4947" i="11"/>
  <c r="F4704" i="11"/>
  <c r="F3138" i="11"/>
  <c r="F4308" i="11"/>
  <c r="F4110" i="11"/>
  <c r="F2391" i="11"/>
  <c r="F6873" i="11"/>
  <c r="F5694" i="11"/>
  <c r="F5181" i="11"/>
  <c r="F3238" i="11"/>
  <c r="F3067" i="11"/>
  <c r="F6082" i="11"/>
  <c r="F2608" i="11"/>
  <c r="F6370" i="11"/>
  <c r="F2140" i="11"/>
  <c r="F1996" i="11"/>
  <c r="F1735" i="11"/>
  <c r="F1501" i="11"/>
  <c r="F1393" i="11"/>
  <c r="F1267" i="11"/>
  <c r="F1033" i="11"/>
  <c r="F385" i="11"/>
  <c r="F619" i="11"/>
  <c r="F6190" i="11"/>
  <c r="F5353" i="11"/>
  <c r="F4750" i="11"/>
  <c r="F4138" i="11"/>
  <c r="F421" i="11"/>
  <c r="F2581" i="11"/>
  <c r="F1042" i="11"/>
  <c r="F1950" i="11"/>
  <c r="F6801" i="11"/>
  <c r="F573" i="11"/>
  <c r="F6783" i="11"/>
  <c r="F165" i="11"/>
  <c r="F111" i="11"/>
  <c r="F1824" i="11"/>
  <c r="F282" i="11"/>
  <c r="F6342" i="11"/>
  <c r="F5361" i="11"/>
  <c r="F4209" i="11"/>
  <c r="F2517" i="11"/>
  <c r="F1221" i="11"/>
  <c r="F5136" i="11"/>
  <c r="F2166" i="11"/>
  <c r="F2877" i="11"/>
  <c r="F2895" i="11"/>
  <c r="F6288" i="11"/>
  <c r="F1482" i="11"/>
  <c r="F2859" i="11"/>
  <c r="F1131" i="11"/>
  <c r="F4227" i="11"/>
  <c r="F1320" i="11"/>
  <c r="F6054" i="11"/>
  <c r="F4938" i="11"/>
  <c r="F4272" i="11"/>
  <c r="F120" i="11"/>
  <c r="F6999" i="11"/>
  <c r="F2922" i="11"/>
  <c r="F2886" i="11"/>
  <c r="F6927" i="11"/>
  <c r="F3246" i="11"/>
  <c r="F5334" i="11"/>
  <c r="F5793" i="11"/>
  <c r="F2508" i="11"/>
  <c r="F6855" i="11"/>
  <c r="F6639" i="11"/>
  <c r="F933" i="11"/>
  <c r="F2634" i="11"/>
  <c r="F6711" i="11"/>
  <c r="F4056" i="11"/>
  <c r="F6981" i="11"/>
  <c r="F438" i="11"/>
  <c r="F3318" i="11"/>
  <c r="F3822" i="11"/>
  <c r="F1689" i="11"/>
  <c r="F1977" i="11"/>
  <c r="F2994" i="11"/>
  <c r="F1896" i="11"/>
  <c r="F4254" i="11"/>
  <c r="F5865" i="11"/>
  <c r="F5388" i="11"/>
  <c r="F6018" i="11"/>
  <c r="F1455" i="11"/>
  <c r="F2400" i="11"/>
  <c r="F1869" i="11"/>
  <c r="F3156" i="11"/>
  <c r="F4371" i="11"/>
  <c r="F6648" i="11"/>
  <c r="F6549" i="11"/>
  <c r="F474" i="11"/>
  <c r="F6117" i="11"/>
  <c r="F5928" i="11"/>
  <c r="F5820" i="11"/>
  <c r="F5667" i="11"/>
  <c r="F5514" i="11"/>
  <c r="F5163" i="11"/>
  <c r="F5037" i="11"/>
  <c r="F4920" i="11"/>
  <c r="F4668" i="11"/>
  <c r="F4407" i="11"/>
  <c r="F4236" i="11"/>
  <c r="F4083" i="11"/>
  <c r="F3975" i="11"/>
  <c r="F3786" i="11"/>
  <c r="F3660" i="11"/>
  <c r="F3480" i="11"/>
  <c r="F3327" i="11"/>
  <c r="F3192" i="11"/>
  <c r="F3012" i="11"/>
  <c r="F4246" i="11"/>
  <c r="F664" i="11"/>
  <c r="F1942" i="11"/>
  <c r="F6901" i="11"/>
  <c r="F1015" i="11"/>
  <c r="F6892" i="11"/>
  <c r="F6685" i="11"/>
  <c r="F6478" i="11"/>
  <c r="F6379" i="11"/>
  <c r="F6163" i="11"/>
  <c r="F5956" i="11"/>
  <c r="F5875" i="11"/>
  <c r="F5686" i="11"/>
  <c r="F5524" i="11"/>
  <c r="F5209" i="11"/>
  <c r="F5056" i="11"/>
  <c r="F4975" i="11"/>
  <c r="F4723" i="11"/>
  <c r="F4525" i="11"/>
  <c r="F943" i="11"/>
  <c r="F3832" i="11"/>
  <c r="F3994" i="11"/>
  <c r="F3859" i="11"/>
  <c r="F3688" i="11"/>
  <c r="F3508" i="11"/>
  <c r="F3355" i="11"/>
  <c r="F3274" i="11"/>
  <c r="F3058" i="11"/>
  <c r="F2806" i="11"/>
  <c r="F2572" i="11"/>
  <c r="F2275" i="11"/>
  <c r="F2131" i="11"/>
  <c r="F1960" i="11"/>
  <c r="F1888" i="11"/>
  <c r="F1645" i="11"/>
  <c r="F1654" i="11"/>
  <c r="F1258" i="11"/>
  <c r="F952" i="11"/>
  <c r="F808" i="11"/>
  <c r="F7018" i="11"/>
  <c r="F337" i="11"/>
  <c r="F5218" i="11"/>
  <c r="F4741" i="11"/>
  <c r="F4075" i="11"/>
  <c r="F3418" i="11"/>
  <c r="F2266" i="11"/>
  <c r="F925" i="11"/>
  <c r="F1536" i="11"/>
  <c r="F6837" i="11"/>
  <c r="F6216" i="11"/>
  <c r="F309" i="11"/>
  <c r="F465" i="11"/>
  <c r="F102" i="11"/>
  <c r="F12" i="11"/>
  <c r="F264" i="11"/>
  <c r="F6261" i="11"/>
  <c r="F5253" i="11"/>
  <c r="F4200" i="11"/>
  <c r="F2328" i="11"/>
  <c r="F609" i="11"/>
  <c r="F2823" i="11"/>
  <c r="F3471" i="11"/>
  <c r="F2778" i="11"/>
  <c r="F2661" i="11"/>
  <c r="F6153" i="11"/>
  <c r="F5433" i="11"/>
  <c r="F4047" i="11"/>
  <c r="F2985" i="11"/>
  <c r="F5568" i="11"/>
  <c r="F2976" i="11"/>
  <c r="F4731" i="11"/>
  <c r="F4695" i="11"/>
  <c r="F2967" i="11"/>
  <c r="F1554" i="11"/>
  <c r="F4578" i="11"/>
  <c r="F3003" i="11"/>
  <c r="F4191" i="11"/>
  <c r="F4011" i="11"/>
  <c r="F3966" i="11"/>
  <c r="F6846" i="11"/>
  <c r="F6423" i="11"/>
  <c r="F2283" i="11"/>
  <c r="F1311" i="11"/>
  <c r="F1878" i="11"/>
  <c r="F5982" i="11"/>
  <c r="F5964" i="11"/>
  <c r="F4290" i="11"/>
  <c r="F6864" i="11"/>
  <c r="F4263" i="11"/>
  <c r="F5973" i="11"/>
  <c r="F7008" i="11"/>
  <c r="F3615" i="11"/>
  <c r="F591" i="11"/>
  <c r="F6522" i="11"/>
  <c r="F5910" i="11"/>
  <c r="F5784" i="11"/>
  <c r="F6594" i="11"/>
  <c r="F2176" i="11"/>
  <c r="F2068" i="11"/>
  <c r="F31" i="11"/>
  <c r="F1672" i="11"/>
  <c r="F1780" i="11"/>
  <c r="F1357" i="11"/>
  <c r="F1114" i="11"/>
  <c r="F862" i="11"/>
  <c r="F745" i="11"/>
  <c r="F5533" i="11"/>
  <c r="F529" i="11"/>
  <c r="F4471" i="11"/>
  <c r="F3598" i="11"/>
  <c r="F2032" i="11"/>
  <c r="F1744" i="11"/>
  <c r="F601" i="11"/>
  <c r="F3543" i="11"/>
  <c r="F138" i="11"/>
  <c r="F66" i="11"/>
  <c r="F393" i="11"/>
  <c r="F6774" i="11"/>
  <c r="F4785" i="11"/>
  <c r="F3120" i="11"/>
  <c r="F1707" i="11"/>
  <c r="F4317" i="11"/>
  <c r="F4182" i="11"/>
  <c r="F1302" i="11"/>
  <c r="F3174" i="11"/>
  <c r="F2238" i="11"/>
  <c r="F915" i="11"/>
  <c r="F1203" i="11"/>
  <c r="F2103" i="11"/>
  <c r="F5811" i="11"/>
  <c r="F2058" i="11"/>
  <c r="F3435" i="11"/>
  <c r="F5946" i="11"/>
  <c r="F1095" i="11"/>
  <c r="F2679" i="11"/>
  <c r="F1284" i="11"/>
  <c r="F4605" i="11"/>
  <c r="F3876" i="11"/>
  <c r="F5451" i="11"/>
  <c r="F456" i="11"/>
  <c r="F4830" i="11"/>
  <c r="F4101" i="11"/>
  <c r="F4389" i="11"/>
  <c r="F4281" i="11"/>
  <c r="F1293" i="11"/>
  <c r="F5559" i="11"/>
  <c r="F356" i="11"/>
  <c r="F2445" i="11"/>
  <c r="F3624" i="11"/>
  <c r="F2211" i="11"/>
  <c r="F717" i="11"/>
  <c r="F4713" i="11"/>
  <c r="F1545" i="11"/>
  <c r="F5073" i="11"/>
  <c r="F6351" i="11"/>
  <c r="F582" i="11"/>
  <c r="F354" i="11"/>
  <c r="F1572" i="11"/>
  <c r="F2553" i="11"/>
  <c r="F6360" i="11"/>
  <c r="F2256" i="11"/>
  <c r="F4461" i="11"/>
  <c r="F5802" i="11"/>
  <c r="F6405" i="11"/>
  <c r="F6171" i="11"/>
  <c r="F1599" i="11"/>
  <c r="F5541" i="11"/>
  <c r="F5262" i="11"/>
  <c r="F5091" i="11"/>
  <c r="F4992" i="11"/>
  <c r="F4803" i="11"/>
  <c r="F4533" i="11"/>
  <c r="F4353" i="11"/>
  <c r="F4119" i="11"/>
  <c r="F1590" i="11"/>
  <c r="F3921" i="11"/>
  <c r="F3705" i="11"/>
  <c r="F3534" i="11"/>
  <c r="F1509" i="11"/>
  <c r="F3237" i="11"/>
  <c r="F3066" i="11"/>
  <c r="F2607" i="11"/>
  <c r="F6369" i="11"/>
  <c r="F2139" i="11"/>
  <c r="F1995" i="11"/>
  <c r="F1734" i="11"/>
  <c r="F1500" i="11"/>
  <c r="F1392" i="11"/>
  <c r="F1266" i="11"/>
  <c r="F1032" i="11"/>
  <c r="F384" i="11"/>
  <c r="F618" i="11"/>
  <c r="F6189" i="11"/>
  <c r="F5352" i="11"/>
  <c r="F4749" i="11"/>
  <c r="F4137" i="11"/>
  <c r="F420" i="11"/>
  <c r="F2580" i="11"/>
  <c r="F1041" i="11"/>
  <c r="F2805" i="11"/>
  <c r="F2571" i="11"/>
  <c r="F2274" i="11"/>
  <c r="F2130" i="11"/>
  <c r="F1959" i="11"/>
  <c r="F1887" i="11"/>
  <c r="F1644" i="11"/>
  <c r="F1653" i="11"/>
  <c r="F1257" i="11"/>
  <c r="F951" i="11"/>
  <c r="F807" i="11"/>
  <c r="F5217" i="11"/>
  <c r="F4740" i="11"/>
  <c r="F4074" i="11"/>
  <c r="F3804" i="11"/>
  <c r="F3678" i="11"/>
  <c r="F3498" i="11"/>
  <c r="F3336" i="11"/>
  <c r="F3165" i="11"/>
  <c r="F3030" i="11"/>
  <c r="F2796" i="11"/>
  <c r="F2544" i="11"/>
  <c r="F2247" i="11"/>
  <c r="F2121" i="11"/>
  <c r="F3426" i="11"/>
  <c r="F1806" i="11"/>
  <c r="F1617" i="11"/>
  <c r="F1383" i="11"/>
  <c r="F1185" i="11"/>
  <c r="F906" i="11"/>
  <c r="F780" i="11"/>
  <c r="F4686" i="11"/>
  <c r="F3813" i="11"/>
  <c r="F2787" i="11"/>
  <c r="F2535" i="11"/>
  <c r="F2193" i="11"/>
  <c r="F2085" i="11"/>
  <c r="F1905" i="11"/>
  <c r="F1770" i="11"/>
  <c r="F1437" i="11"/>
  <c r="F1581" i="11"/>
  <c r="F1167" i="11"/>
  <c r="F897" i="11"/>
  <c r="F771" i="11"/>
  <c r="F6612" i="11"/>
  <c r="F5640" i="11"/>
  <c r="F5118" i="11"/>
  <c r="F4632" i="11"/>
  <c r="F3795" i="11"/>
  <c r="F3282" i="11"/>
  <c r="F2688" i="11"/>
  <c r="F1914" i="11"/>
  <c r="F4065" i="11"/>
  <c r="F1860" i="11"/>
  <c r="F2364" i="11"/>
  <c r="F1176" i="11"/>
  <c r="F1428" i="11"/>
  <c r="F2526" i="11"/>
  <c r="F4857" i="11"/>
  <c r="F4092" i="11"/>
  <c r="F6918" i="11"/>
  <c r="F6693" i="11"/>
  <c r="F6630" i="11"/>
  <c r="F6243" i="11"/>
  <c r="F2112" i="11"/>
  <c r="F5649" i="11"/>
  <c r="F5487" i="11"/>
  <c r="F5127" i="11"/>
  <c r="F5028" i="11"/>
  <c r="F4902" i="11"/>
  <c r="F4623" i="11"/>
  <c r="F1680" i="11"/>
  <c r="F6414" i="11"/>
  <c r="F4038" i="11"/>
  <c r="F3957" i="11"/>
  <c r="F3768" i="11"/>
  <c r="F3642" i="11"/>
  <c r="F3462" i="11"/>
  <c r="F3309" i="11"/>
  <c r="F3111" i="11"/>
  <c r="F2940" i="11"/>
  <c r="F2769" i="11"/>
  <c r="F2490" i="11"/>
  <c r="F2184" i="11"/>
  <c r="F2076" i="11"/>
  <c r="F1932" i="11"/>
  <c r="F402" i="11"/>
  <c r="F1608" i="11"/>
  <c r="F1473" i="11"/>
  <c r="F1140" i="11"/>
  <c r="F870" i="11"/>
  <c r="F690" i="11"/>
  <c r="F5586" i="11"/>
  <c r="F4983" i="11"/>
  <c r="F4515" i="11"/>
  <c r="F3750" i="11"/>
  <c r="F2724" i="11"/>
  <c r="F21" i="11"/>
  <c r="F2878" i="11"/>
  <c r="F2896" i="11"/>
  <c r="F1483" i="11"/>
  <c r="F2860" i="11"/>
  <c r="F1132" i="11"/>
  <c r="F4228" i="11"/>
  <c r="F1321" i="11"/>
  <c r="F4939" i="11"/>
  <c r="F4273" i="11"/>
  <c r="F121" i="11"/>
  <c r="F2923" i="11"/>
  <c r="F2887" i="11"/>
  <c r="F3247" i="11"/>
  <c r="F5335" i="11"/>
  <c r="F5794" i="11"/>
  <c r="F2509" i="11"/>
  <c r="F934" i="11"/>
  <c r="F2635" i="11"/>
  <c r="F4057" i="11"/>
  <c r="F6982" i="11"/>
  <c r="F439" i="11"/>
  <c r="F3319" i="11"/>
  <c r="F7105" i="11"/>
  <c r="F3211" i="11"/>
  <c r="F3985" i="11"/>
  <c r="F2455" i="11"/>
  <c r="F5155" i="11"/>
  <c r="F6766" i="11"/>
  <c r="F3022" i="11"/>
  <c r="F2563" i="11"/>
  <c r="F7036" i="11"/>
  <c r="F6910" i="11"/>
  <c r="F5281" i="11"/>
  <c r="F5938" i="11"/>
  <c r="F5677" i="11"/>
  <c r="F5191" i="11"/>
  <c r="F211" i="11"/>
  <c r="F4948" i="11"/>
  <c r="F4705" i="11"/>
  <c r="F3139" i="11"/>
  <c r="F4309" i="11"/>
  <c r="F4111" i="11"/>
  <c r="F2392" i="11"/>
  <c r="F3805" i="11"/>
  <c r="F3679" i="11"/>
  <c r="F3499" i="11"/>
  <c r="F3337" i="11"/>
  <c r="F3166" i="11"/>
  <c r="F3031" i="11"/>
  <c r="F2797" i="11"/>
  <c r="F2545" i="11"/>
  <c r="F2248" i="11"/>
  <c r="F2122" i="11"/>
  <c r="F3427" i="11"/>
  <c r="F1807" i="11"/>
  <c r="F1618" i="11"/>
  <c r="F1384" i="11"/>
  <c r="F1186" i="11"/>
  <c r="F907" i="11"/>
  <c r="F781" i="11"/>
  <c r="F5695" i="11"/>
  <c r="F4687" i="11"/>
  <c r="F3814" i="11"/>
  <c r="F3301" i="11"/>
  <c r="F2023" i="11"/>
  <c r="F889" i="11"/>
  <c r="F4425" i="11"/>
  <c r="F1248" i="11"/>
  <c r="F735" i="11"/>
  <c r="F327" i="11"/>
  <c r="F519" i="11"/>
  <c r="F84" i="11"/>
  <c r="F411" i="11"/>
  <c r="F6144" i="11"/>
  <c r="F537" i="11"/>
  <c r="F3903" i="11"/>
  <c r="F2319" i="11"/>
  <c r="F4326" i="11"/>
  <c r="F2292" i="11"/>
  <c r="F3606" i="11"/>
  <c r="F2472" i="11"/>
  <c r="F6306" i="11"/>
  <c r="F2301" i="11"/>
  <c r="F4164" i="11"/>
  <c r="F6027" i="11"/>
  <c r="F5271" i="11"/>
  <c r="F5226" i="11"/>
  <c r="F2913" i="11"/>
  <c r="F1761" i="11"/>
  <c r="F2220" i="11"/>
  <c r="F7052" i="11"/>
  <c r="F3264" i="11"/>
  <c r="F5613" i="11"/>
  <c r="F2742" i="11"/>
  <c r="F1059" i="11"/>
  <c r="F3390" i="11"/>
  <c r="F6432" i="11"/>
  <c r="F3840" i="11"/>
  <c r="F3363" i="11"/>
  <c r="F201" i="11"/>
  <c r="F1158" i="11"/>
  <c r="F3669" i="11"/>
  <c r="F6108" i="11"/>
  <c r="F636" i="11"/>
  <c r="F5604" i="11"/>
  <c r="F4155" i="11"/>
  <c r="F5829" i="11"/>
  <c r="F1986" i="11"/>
  <c r="F1662" i="11"/>
  <c r="F996" i="11"/>
  <c r="F4929" i="11"/>
  <c r="F5199" i="11"/>
  <c r="F960" i="11"/>
  <c r="F2004" i="11"/>
  <c r="F6972" i="11"/>
  <c r="F6756" i="11"/>
  <c r="F6621" i="11"/>
  <c r="F6036" i="11"/>
  <c r="F5901" i="11"/>
  <c r="F5307" i="11"/>
  <c r="F5631" i="11"/>
  <c r="F5469" i="11"/>
  <c r="F5109" i="11"/>
  <c r="F5046" i="11"/>
  <c r="F4884" i="11"/>
  <c r="F4596" i="11"/>
  <c r="F4488" i="11"/>
  <c r="F4218" i="11"/>
  <c r="F4029" i="11"/>
  <c r="F3948" i="11"/>
  <c r="F3732" i="11"/>
  <c r="F3633" i="11"/>
  <c r="F3399" i="11"/>
  <c r="F3291" i="11"/>
  <c r="F3102" i="11"/>
  <c r="F2931" i="11"/>
  <c r="F2760" i="11"/>
  <c r="F2382" i="11"/>
  <c r="F2175" i="11"/>
  <c r="F2067" i="11"/>
  <c r="F30" i="11"/>
  <c r="F1671" i="11"/>
  <c r="F1779" i="11"/>
  <c r="F1356" i="11"/>
  <c r="F1113" i="11"/>
  <c r="F861" i="11"/>
  <c r="F744" i="11"/>
  <c r="F5532" i="11"/>
  <c r="F528" i="11"/>
  <c r="F4470" i="11"/>
  <c r="F3597" i="11"/>
  <c r="F2031" i="11"/>
  <c r="F1743" i="11"/>
  <c r="F2986" i="11"/>
  <c r="F5569" i="11"/>
  <c r="F2977" i="11"/>
  <c r="F4732" i="11"/>
  <c r="F4696" i="11"/>
  <c r="F2968" i="11"/>
  <c r="F1555" i="11"/>
  <c r="F4579" i="11"/>
  <c r="F3004" i="11"/>
  <c r="F4192" i="11"/>
  <c r="F4012" i="11"/>
  <c r="F3967" i="11"/>
  <c r="F6424" i="11"/>
  <c r="F2284" i="11"/>
  <c r="F1312" i="11"/>
  <c r="F1879" i="11"/>
  <c r="F5965" i="11"/>
  <c r="F4291" i="11"/>
  <c r="F4264" i="11"/>
  <c r="F3823" i="11"/>
  <c r="F1690" i="11"/>
  <c r="F1978" i="11"/>
  <c r="F2995" i="11"/>
  <c r="F1897" i="11"/>
  <c r="F4255" i="11"/>
  <c r="F5866" i="11"/>
  <c r="F5389" i="11"/>
  <c r="F6019" i="11"/>
  <c r="F1456" i="11"/>
  <c r="F2401" i="11"/>
  <c r="F1870" i="11"/>
  <c r="F3157" i="11"/>
  <c r="F6550" i="11"/>
  <c r="F475" i="11"/>
  <c r="F5821" i="11"/>
  <c r="F5668" i="11"/>
  <c r="F5515" i="11"/>
  <c r="F5164" i="11"/>
  <c r="F5038" i="11"/>
  <c r="F4921" i="11"/>
  <c r="F4669" i="11"/>
  <c r="F4408" i="11"/>
  <c r="F4237" i="11"/>
  <c r="F4084" i="11"/>
  <c r="F3976" i="11"/>
  <c r="F3787" i="11"/>
  <c r="F3661" i="11"/>
  <c r="F3481" i="11"/>
  <c r="F3328" i="11"/>
  <c r="F3193" i="11"/>
  <c r="F3013" i="11"/>
  <c r="F2788" i="11"/>
  <c r="F2536" i="11"/>
  <c r="F2194" i="11"/>
  <c r="F2086" i="11"/>
  <c r="F1906" i="11"/>
  <c r="F1771" i="11"/>
  <c r="F1438" i="11"/>
  <c r="F1582" i="11"/>
  <c r="F1168" i="11"/>
  <c r="F898" i="11"/>
  <c r="F772" i="11"/>
  <c r="F6613" i="11"/>
  <c r="F5641" i="11"/>
  <c r="F5119" i="11"/>
  <c r="F4633" i="11"/>
  <c r="F3796" i="11"/>
  <c r="F3283" i="11"/>
  <c r="F1834" i="11"/>
  <c r="F799" i="11"/>
  <c r="F7085" i="11"/>
  <c r="F2310" i="11"/>
  <c r="F93" i="11"/>
  <c r="F255" i="11"/>
  <c r="F174" i="11"/>
  <c r="F75" i="11"/>
  <c r="F1212" i="11"/>
  <c r="F246" i="11"/>
  <c r="F4839" i="11"/>
  <c r="F5397" i="11"/>
  <c r="F492" i="11"/>
  <c r="F2841" i="11"/>
  <c r="F3381" i="11"/>
  <c r="F4641" i="11"/>
  <c r="F2463" i="11"/>
  <c r="F6990" i="11"/>
  <c r="F4335" i="11"/>
  <c r="F2418" i="11"/>
  <c r="F6819" i="11"/>
  <c r="F681" i="11"/>
  <c r="F1086" i="11"/>
  <c r="F3912" i="11"/>
  <c r="F3129" i="11"/>
  <c r="F1005" i="11"/>
  <c r="F1149" i="11"/>
  <c r="F1635" i="11"/>
  <c r="F3885" i="11"/>
  <c r="F3867" i="11"/>
  <c r="F5658" i="11"/>
  <c r="F978" i="11"/>
  <c r="F3894" i="11"/>
  <c r="F4299" i="11"/>
  <c r="F1797" i="11"/>
  <c r="F3579" i="11"/>
  <c r="F1968" i="11"/>
  <c r="F2202" i="11"/>
  <c r="F4146" i="11"/>
  <c r="F5505" i="11"/>
  <c r="F5001" i="11"/>
  <c r="F6099" i="11"/>
  <c r="F4893" i="11"/>
  <c r="F4866" i="11"/>
  <c r="F355" i="11"/>
  <c r="F789" i="11"/>
  <c r="F5082" i="11"/>
  <c r="F1725" i="11"/>
  <c r="F3201" i="11"/>
  <c r="F726" i="11"/>
  <c r="F6747" i="11"/>
  <c r="F6468" i="11"/>
  <c r="F5892" i="11"/>
  <c r="F5622" i="11"/>
  <c r="F5424" i="11"/>
  <c r="F5064" i="11"/>
  <c r="F5019" i="11"/>
  <c r="F4848" i="11"/>
  <c r="F4569" i="11"/>
  <c r="F4452" i="11"/>
  <c r="F5496" i="11"/>
  <c r="F4020" i="11"/>
  <c r="F3939" i="11"/>
  <c r="F3723" i="11"/>
  <c r="F129" i="11"/>
  <c r="F3372" i="11"/>
  <c r="F3219" i="11"/>
  <c r="F3093" i="11"/>
  <c r="F2904" i="11"/>
  <c r="F2751" i="11"/>
  <c r="F2373" i="11"/>
  <c r="F2157" i="11"/>
  <c r="F2049" i="11"/>
  <c r="F1851" i="11"/>
  <c r="F1518" i="11"/>
  <c r="F1491" i="11"/>
  <c r="F1104" i="11"/>
  <c r="F852" i="11"/>
  <c r="F699" i="11"/>
  <c r="F5442" i="11"/>
  <c r="F4776" i="11"/>
  <c r="F4416" i="11"/>
  <c r="F3561" i="11"/>
  <c r="F2706" i="11"/>
  <c r="F1338" i="11"/>
  <c r="F1762" i="11"/>
  <c r="F2221" i="11"/>
  <c r="F7053" i="11"/>
  <c r="F3265" i="11"/>
  <c r="F5614" i="11"/>
  <c r="F2743" i="11"/>
  <c r="F1060" i="11"/>
  <c r="F6604" i="11"/>
  <c r="F3391" i="11"/>
  <c r="F7027" i="11"/>
  <c r="F3841" i="11"/>
  <c r="F3364" i="11"/>
  <c r="F202" i="11"/>
  <c r="F1159" i="11"/>
  <c r="F3670" i="11"/>
  <c r="F6109" i="11"/>
  <c r="F637" i="11"/>
  <c r="F3616" i="11"/>
  <c r="F592" i="11"/>
  <c r="F2689" i="11"/>
  <c r="F1915" i="11"/>
  <c r="F4066" i="11"/>
  <c r="F1861" i="11"/>
  <c r="F2365" i="11"/>
  <c r="F1177" i="11"/>
  <c r="F1429" i="11"/>
  <c r="F2527" i="11"/>
  <c r="F4858" i="11"/>
  <c r="F4093" i="11"/>
  <c r="F6694" i="11"/>
  <c r="F6631" i="11"/>
  <c r="F6244" i="11"/>
  <c r="F2113" i="11"/>
  <c r="F5650" i="11"/>
  <c r="F5488" i="11"/>
  <c r="F5128" i="11"/>
  <c r="F5029" i="11"/>
  <c r="F4903" i="11"/>
  <c r="F4624" i="11"/>
  <c r="F1681" i="11"/>
  <c r="F6415" i="11"/>
  <c r="F4039" i="11"/>
  <c r="F3958" i="11"/>
  <c r="F3769" i="11"/>
  <c r="F3643" i="11"/>
  <c r="F3463" i="11"/>
  <c r="F3310" i="11"/>
  <c r="F3112" i="11"/>
  <c r="F2941" i="11"/>
  <c r="F2770" i="11"/>
  <c r="F2491" i="11"/>
  <c r="F2185" i="11"/>
  <c r="F2077" i="11"/>
  <c r="F1933" i="11"/>
  <c r="F403" i="11"/>
  <c r="F1609" i="11"/>
  <c r="F1474" i="11"/>
  <c r="F1141" i="11"/>
  <c r="F871" i="11"/>
  <c r="F691" i="11"/>
  <c r="F5587" i="11"/>
  <c r="F4984" i="11"/>
  <c r="F4516" i="11"/>
  <c r="F3751" i="11"/>
  <c r="F2725" i="11"/>
  <c r="F22" i="11"/>
  <c r="F709" i="11"/>
  <c r="F5415" i="11"/>
  <c r="F147" i="11"/>
  <c r="F57" i="11"/>
  <c r="F2" i="11"/>
  <c r="F156" i="11"/>
  <c r="F4812" i="11"/>
  <c r="F3453" i="11"/>
  <c r="F1923" i="11"/>
  <c r="F2832" i="11"/>
  <c r="F4479" i="11"/>
  <c r="F1077" i="11"/>
  <c r="F753" i="11"/>
  <c r="F4497" i="11"/>
  <c r="F2409" i="11"/>
  <c r="F5172" i="11"/>
  <c r="F4911" i="11"/>
  <c r="F5343" i="11"/>
  <c r="F6486" i="11"/>
  <c r="F816" i="11"/>
  <c r="F3741" i="11"/>
  <c r="F1698" i="11"/>
  <c r="F2868" i="11"/>
  <c r="F1122" i="11"/>
  <c r="F672" i="11"/>
  <c r="F3570" i="11"/>
  <c r="F1716" i="11"/>
  <c r="F6315" i="11"/>
  <c r="F1194" i="11"/>
  <c r="F4587" i="11"/>
  <c r="F4551" i="11"/>
  <c r="F2949" i="11"/>
  <c r="F2643" i="11"/>
  <c r="F3849" i="11"/>
  <c r="F645" i="11"/>
  <c r="F2481" i="11"/>
  <c r="F6675" i="11"/>
  <c r="F1788" i="11"/>
  <c r="F4002" i="11"/>
  <c r="F4956" i="11"/>
  <c r="F1230" i="11"/>
  <c r="F6045" i="11"/>
  <c r="F2670" i="11"/>
  <c r="F843" i="11"/>
  <c r="F3516" i="11"/>
  <c r="F4659" i="11"/>
  <c r="F1419" i="11"/>
  <c r="F1563" i="11"/>
  <c r="F6252" i="11"/>
  <c r="F1068" i="11"/>
  <c r="F4128" i="11"/>
  <c r="F6828" i="11"/>
  <c r="F6495" i="11"/>
  <c r="F6180" i="11"/>
  <c r="F5883" i="11"/>
  <c r="F4614" i="11"/>
  <c r="F5550" i="11"/>
  <c r="F5325" i="11"/>
  <c r="F5100" i="11"/>
  <c r="F5010" i="11"/>
  <c r="F4821" i="11"/>
  <c r="F4542" i="11"/>
  <c r="F4380" i="11"/>
  <c r="F4173" i="11"/>
  <c r="F2733" i="11"/>
  <c r="F3930" i="11"/>
  <c r="F3714" i="11"/>
  <c r="F3552" i="11"/>
  <c r="F3255" i="11"/>
  <c r="F3075" i="11"/>
  <c r="F2814" i="11"/>
  <c r="F2625" i="11"/>
  <c r="F2355" i="11"/>
  <c r="F2148" i="11"/>
  <c r="F2040" i="11"/>
  <c r="F1374" i="11"/>
  <c r="F1752" i="11"/>
  <c r="F1401" i="11"/>
  <c r="F1410" i="11"/>
  <c r="F1023" i="11"/>
  <c r="F834" i="11"/>
  <c r="F627" i="11"/>
  <c r="F5406" i="11"/>
  <c r="F4758" i="11"/>
  <c r="F4344" i="11"/>
  <c r="F3489" i="11"/>
  <c r="F2652" i="11"/>
  <c r="F1239" i="11"/>
  <c r="F708" i="11"/>
  <c r="F3417" i="11"/>
  <c r="F2265" i="11"/>
  <c r="F924" i="11"/>
  <c r="F3300" i="11"/>
  <c r="F2022" i="11"/>
  <c r="F888" i="11"/>
  <c r="F1833" i="11"/>
  <c r="F798" i="11"/>
</calcChain>
</file>

<file path=xl/sharedStrings.xml><?xml version="1.0" encoding="utf-8"?>
<sst xmlns="http://schemas.openxmlformats.org/spreadsheetml/2006/main" count="936" uniqueCount="850">
  <si>
    <t>district_code</t>
  </si>
  <si>
    <t>district_contributions</t>
  </si>
  <si>
    <t>GASB 68</t>
  </si>
  <si>
    <t>Summed Formulas</t>
  </si>
  <si>
    <t>Check</t>
  </si>
  <si>
    <t>Year</t>
  </si>
  <si>
    <t>Webutuck</t>
  </si>
  <si>
    <t>Vernon-Verona-Sherrill</t>
  </si>
  <si>
    <t>Ulster County</t>
  </si>
  <si>
    <t>UFSD of the Tarrytowns</t>
  </si>
  <si>
    <t>Tompkins-Cortland</t>
  </si>
  <si>
    <t>Tech Valley Regional Institute</t>
  </si>
  <si>
    <t>Suny Morrisville Ag and Tech (28400)</t>
  </si>
  <si>
    <t>Suny Maritime College (28570)</t>
  </si>
  <si>
    <t>Suny Health Sci Center Syracuse (28118)</t>
  </si>
  <si>
    <t>Suny Health Sci Center Brooklyn (28108)</t>
  </si>
  <si>
    <t>Suny Health Sci Center at Syracuse (28110)</t>
  </si>
  <si>
    <t>Suny Health Sci Center at Brooklyn (28100)</t>
  </si>
  <si>
    <t>Suny Farmingdale Ag and Tech (28390)</t>
  </si>
  <si>
    <t>Suny Empire State College (28280)</t>
  </si>
  <si>
    <t>Suny Delhi Ag and Tech (28380)</t>
  </si>
  <si>
    <t>Suny College-Ceramics-Alfred (28510)</t>
  </si>
  <si>
    <t>Suny College of Technology (28270)</t>
  </si>
  <si>
    <t>Suny College of Optometry (28580)</t>
  </si>
  <si>
    <t>Suny College of Environmental (28550)</t>
  </si>
  <si>
    <t>Suny College at Purchase (28260)</t>
  </si>
  <si>
    <t>Suny College at Potsdam (28250)</t>
  </si>
  <si>
    <t>Suny College at Plattsburgh (28240)</t>
  </si>
  <si>
    <t>Suny College at Oswego (28230)</t>
  </si>
  <si>
    <t>Suny College at Oneonta (28220)</t>
  </si>
  <si>
    <t>Suny College at Old Westbury (28200)</t>
  </si>
  <si>
    <t>Suny College at New Paltz (28210)</t>
  </si>
  <si>
    <t>Suny College at Geneseo (28190)</t>
  </si>
  <si>
    <t>Suny College at Fredonia (28180)</t>
  </si>
  <si>
    <t>Suny College at Cortland (28170)</t>
  </si>
  <si>
    <t>Suny College at Buffalo (28160)</t>
  </si>
  <si>
    <t>Suny College at Brockport (28150)</t>
  </si>
  <si>
    <t>Suny Cobleskill Ag and Tech (28370)</t>
  </si>
  <si>
    <t>Suny Central Admin-28650</t>
  </si>
  <si>
    <t>Suny Canton Ag and Tech (28360)</t>
  </si>
  <si>
    <t>Suny at Stony Brook (28058)</t>
  </si>
  <si>
    <t>Suny at Stony Brook (28050)</t>
  </si>
  <si>
    <t>Suny at Buffalo (28030)</t>
  </si>
  <si>
    <t>Suny at Binghamton (28020)</t>
  </si>
  <si>
    <t>Suny at Albany (28010)</t>
  </si>
  <si>
    <t>Suny Alfred Ag and Tech (28350)</t>
  </si>
  <si>
    <t>Sullivan County</t>
  </si>
  <si>
    <t>Suffolk County Vocational Board</t>
  </si>
  <si>
    <t>Suffolk County</t>
  </si>
  <si>
    <t>Suffolk 3 (Western Suffolk)</t>
  </si>
  <si>
    <t>Schenectady County</t>
  </si>
  <si>
    <t>Pulaski Academy</t>
  </si>
  <si>
    <t>Pioneer</t>
  </si>
  <si>
    <t>Owen D Young</t>
  </si>
  <si>
    <t>Orange County</t>
  </si>
  <si>
    <t>NYSTRS Teacher Board Members</t>
  </si>
  <si>
    <t>North Country</t>
  </si>
  <si>
    <t>Niagara County</t>
  </si>
  <si>
    <t>Nassau County Vocational Board</t>
  </si>
  <si>
    <t>Monroe</t>
  </si>
  <si>
    <t>Mohawk Valley</t>
  </si>
  <si>
    <t>Mohawk</t>
  </si>
  <si>
    <t>Lake Shore</t>
  </si>
  <si>
    <t>Ichabod Crane</t>
  </si>
  <si>
    <t>Hudson Valley</t>
  </si>
  <si>
    <t>Herkimer County</t>
  </si>
  <si>
    <t>Genesee Community</t>
  </si>
  <si>
    <t>Genesee</t>
  </si>
  <si>
    <t>Fulton-Montgomery</t>
  </si>
  <si>
    <t>Finger Lakes</t>
  </si>
  <si>
    <t>Fashion Institute of Technology</t>
  </si>
  <si>
    <t>Erie Community College Central Staff</t>
  </si>
  <si>
    <t>Education Department</t>
  </si>
  <si>
    <t>Cornwall</t>
  </si>
  <si>
    <t>Corning-Painted Post</t>
  </si>
  <si>
    <t>Columbia-Greene</t>
  </si>
  <si>
    <t>Citizenship and Science Academy of Rochester</t>
  </si>
  <si>
    <t>Cayuga</t>
  </si>
  <si>
    <t>Westchester 2</t>
  </si>
  <si>
    <t>Westchester</t>
  </si>
  <si>
    <t>Washington-Saratoga-Warren-Hamilton-Essex (WSWHE)</t>
  </si>
  <si>
    <t>Washington-Saratoga-Warren-Hamilton-Essex</t>
  </si>
  <si>
    <t>Ulster</t>
  </si>
  <si>
    <t>Tompkins-Seneca-Tioga</t>
  </si>
  <si>
    <t>Sullivan</t>
  </si>
  <si>
    <t>Suffolk 1</t>
  </si>
  <si>
    <t>Suffolk 2 (Western Suffolk)</t>
  </si>
  <si>
    <t>Eastern Suffolk 1</t>
  </si>
  <si>
    <t>Schuyler-Steuben-Chemung-Tioga-Allegany (Greater Southern Tier-GST)</t>
  </si>
  <si>
    <t>Schuyler-Steuben-Chemung-Tioga-Allegany</t>
  </si>
  <si>
    <t>St Lawrence-Lewis</t>
  </si>
  <si>
    <t>Rockland</t>
  </si>
  <si>
    <t>Rensselaer-Columbia-Greene (Questar III)</t>
  </si>
  <si>
    <t>Rensselaer-Columbia-Greene</t>
  </si>
  <si>
    <t>Putnam-Westchester (Putnam-Northern Westchester)</t>
  </si>
  <si>
    <t>Putnam-Westchester</t>
  </si>
  <si>
    <t>Oswego</t>
  </si>
  <si>
    <t>Orleans-Niagara</t>
  </si>
  <si>
    <t>Orange-Ulster</t>
  </si>
  <si>
    <t>Ontario-Seneca-Yates-Cayuga-Wyn</t>
  </si>
  <si>
    <t>Ontario-Seneca-Yates-Cayuga-Wayne</t>
  </si>
  <si>
    <t>Onondaga-Cortland-Madison (OCM)</t>
  </si>
  <si>
    <t>Onondaga-Cortland-Madison</t>
  </si>
  <si>
    <t>Oneida-Madison-Herkimer</t>
  </si>
  <si>
    <t>Nassau</t>
  </si>
  <si>
    <t>Monroe 2-Orleans</t>
  </si>
  <si>
    <t>Monroe 1</t>
  </si>
  <si>
    <t>Madison-Oneida</t>
  </si>
  <si>
    <t>Genesee-Livingston-Steuben-Wyoming (Genesee Valley)</t>
  </si>
  <si>
    <t>Genesee-Livingston-Steuben-Wyoming</t>
  </si>
  <si>
    <t>Genesee Valley</t>
  </si>
  <si>
    <t>Jefferson-Lewis-Hamilton-Herkimer-Oneida</t>
  </si>
  <si>
    <t>Herkimer-Fulton-Hamilton-Otsego</t>
  </si>
  <si>
    <t>Hamilton-Fulton-Montgomery</t>
  </si>
  <si>
    <t>Otsego-Delaware-Schoharie-Greene (Otsego Northern Catskills - ONC)</t>
  </si>
  <si>
    <t>Otsego-Delaware-Schoharie-Greene</t>
  </si>
  <si>
    <t>Franklin-Essex-Hamilton</t>
  </si>
  <si>
    <t>Erie 2-Chautauqua-Cattaraugus</t>
  </si>
  <si>
    <t>Erie 1</t>
  </si>
  <si>
    <t>Dutchess</t>
  </si>
  <si>
    <t>Delaware-Chenango-Madison-Otsego</t>
  </si>
  <si>
    <t>Clinton-Essex-Warren-Washington</t>
  </si>
  <si>
    <t>Clinton-Essex-Warren-Wash</t>
  </si>
  <si>
    <t>Cayuga-Onondaga</t>
  </si>
  <si>
    <t>Cattaraugus-Allegany-Erie-Wyoming</t>
  </si>
  <si>
    <t>Broome-Delaware-Tioga</t>
  </si>
  <si>
    <t>Albany-Schoharie-Schenectady-Saratoga (Capital Region)</t>
  </si>
  <si>
    <t>Albany-Schoharie-Schenectady-Saratoga</t>
  </si>
  <si>
    <t>Cuba-Rushford</t>
  </si>
  <si>
    <t>Yorktown</t>
  </si>
  <si>
    <t>York</t>
  </si>
  <si>
    <t>Yonkers</t>
  </si>
  <si>
    <t>Wyoming</t>
  </si>
  <si>
    <t>Wynantskill</t>
  </si>
  <si>
    <t>Wyandanch</t>
  </si>
  <si>
    <t>Worcester</t>
  </si>
  <si>
    <t>Hewlett-Woodmere</t>
  </si>
  <si>
    <t>Windham-Ashland-Jewett</t>
  </si>
  <si>
    <t>Wilson</t>
  </si>
  <si>
    <t>Willsboro</t>
  </si>
  <si>
    <t>Williamsville</t>
  </si>
  <si>
    <t>Williamson</t>
  </si>
  <si>
    <t>North Greenbush</t>
  </si>
  <si>
    <t>Whitney Point</t>
  </si>
  <si>
    <t>Whitesville</t>
  </si>
  <si>
    <t>Whitesboro</t>
  </si>
  <si>
    <t>Whitehall</t>
  </si>
  <si>
    <t>White Plains</t>
  </si>
  <si>
    <t>Wheelerville</t>
  </si>
  <si>
    <t>Wheatland-Chili</t>
  </si>
  <si>
    <t>Westmoreland</t>
  </si>
  <si>
    <t>Westhampton Beach</t>
  </si>
  <si>
    <t>Westfield</t>
  </si>
  <si>
    <t>Westchester 2 (Southern Westchester)</t>
  </si>
  <si>
    <t>Westbury</t>
  </si>
  <si>
    <t>Mount Markham</t>
  </si>
  <si>
    <t>West Valley</t>
  </si>
  <si>
    <t>West Seneca</t>
  </si>
  <si>
    <t>West Islip</t>
  </si>
  <si>
    <t>West Hempstead</t>
  </si>
  <si>
    <t>West Genesee</t>
  </si>
  <si>
    <t>West Canada Valley</t>
  </si>
  <si>
    <t>West Babylon</t>
  </si>
  <si>
    <t>Wellsville</t>
  </si>
  <si>
    <t>Wells</t>
  </si>
  <si>
    <t>Weedsport</t>
  </si>
  <si>
    <t>Webster</t>
  </si>
  <si>
    <t>Wayne</t>
  </si>
  <si>
    <t>Waverly</t>
  </si>
  <si>
    <t>Watkins Glen</t>
  </si>
  <si>
    <t>Watervliet</t>
  </si>
  <si>
    <t>Waterville</t>
  </si>
  <si>
    <t>Watertown</t>
  </si>
  <si>
    <t>Waterford-Halfmoon</t>
  </si>
  <si>
    <t>Washingtonville</t>
  </si>
  <si>
    <t>Warwick Valley</t>
  </si>
  <si>
    <t>Warsaw</t>
  </si>
  <si>
    <t>Warrensburg</t>
  </si>
  <si>
    <t>Wappingers</t>
  </si>
  <si>
    <t>Wantagh</t>
  </si>
  <si>
    <t>Walton</t>
  </si>
  <si>
    <t>Wallkill</t>
  </si>
  <si>
    <t>Wainscott</t>
  </si>
  <si>
    <t>Voorheesville</t>
  </si>
  <si>
    <t>Victor</t>
  </si>
  <si>
    <t>Vestal</t>
  </si>
  <si>
    <t>Valley Stream</t>
  </si>
  <si>
    <t>Valley Stream #30</t>
  </si>
  <si>
    <t>Valley Stream #24</t>
  </si>
  <si>
    <t>Valley Stream #13</t>
  </si>
  <si>
    <t>Valhalla</t>
  </si>
  <si>
    <t>Utica</t>
  </si>
  <si>
    <t>Uniondale</t>
  </si>
  <si>
    <t>Union Springs</t>
  </si>
  <si>
    <t>Otego-Unadilla</t>
  </si>
  <si>
    <t>Tuxedo</t>
  </si>
  <si>
    <t>Tupper Lake</t>
  </si>
  <si>
    <t>Tully</t>
  </si>
  <si>
    <t>Tuckahoe</t>
  </si>
  <si>
    <t>Trumansburg</t>
  </si>
  <si>
    <t>Troy</t>
  </si>
  <si>
    <t>Tri Valley</t>
  </si>
  <si>
    <t>Town of Webb</t>
  </si>
  <si>
    <t>Tonawanda</t>
  </si>
  <si>
    <t>Tioga</t>
  </si>
  <si>
    <t>Ticonderoga</t>
  </si>
  <si>
    <t>Taconic Hills</t>
  </si>
  <si>
    <t>Syracuse</t>
  </si>
  <si>
    <t>Syosset</t>
  </si>
  <si>
    <t>Sweet Home</t>
  </si>
  <si>
    <t>Susquehanna Valley</t>
  </si>
  <si>
    <t>Ramapo</t>
  </si>
  <si>
    <t>Three Village</t>
  </si>
  <si>
    <t>Stockbridge</t>
  </si>
  <si>
    <t>Stillwater</t>
  </si>
  <si>
    <t>Starpoint</t>
  </si>
  <si>
    <t>Stamford</t>
  </si>
  <si>
    <t>St Regis Falls</t>
  </si>
  <si>
    <t>Greenburgh-North Castle</t>
  </si>
  <si>
    <t>Brasher Falls</t>
  </si>
  <si>
    <t>Springs</t>
  </si>
  <si>
    <t>East Ramapo</t>
  </si>
  <si>
    <t>Spencerport</t>
  </si>
  <si>
    <t>Spencer-Van Etten</t>
  </si>
  <si>
    <t>Southwestern</t>
  </si>
  <si>
    <t>Southold</t>
  </si>
  <si>
    <t>Southern Cayuga</t>
  </si>
  <si>
    <t>Southampton</t>
  </si>
  <si>
    <t>South Orangetown</t>
  </si>
  <si>
    <t>South Lewis</t>
  </si>
  <si>
    <t>South Kortright</t>
  </si>
  <si>
    <t>South Huntington</t>
  </si>
  <si>
    <t>South Glens Falls</t>
  </si>
  <si>
    <t>South Colonie</t>
  </si>
  <si>
    <t>Somers</t>
  </si>
  <si>
    <t>Solvay</t>
  </si>
  <si>
    <t>Sodus</t>
  </si>
  <si>
    <t>Smithtown</t>
  </si>
  <si>
    <t>Cheektowaga-Sloan</t>
  </si>
  <si>
    <t>Skaneateles</t>
  </si>
  <si>
    <t>Silver Creek</t>
  </si>
  <si>
    <t>Sidney</t>
  </si>
  <si>
    <t>Shoreham-Wading River</t>
  </si>
  <si>
    <t>Sherman</t>
  </si>
  <si>
    <t>Sherburne-Earlville</t>
  </si>
  <si>
    <t>Shenendehowa At Clifton Park</t>
  </si>
  <si>
    <t>Shelter Island</t>
  </si>
  <si>
    <t>Sharon Springs</t>
  </si>
  <si>
    <t>Sewanhaka</t>
  </si>
  <si>
    <t>Seneca Falls</t>
  </si>
  <si>
    <t>Seaford</t>
  </si>
  <si>
    <t>North Shore</t>
  </si>
  <si>
    <t>Scotia-Glenville</t>
  </si>
  <si>
    <t>Scio</t>
  </si>
  <si>
    <t>Schuylerville</t>
  </si>
  <si>
    <t>Schroon Lake</t>
  </si>
  <si>
    <t>Schoharie</t>
  </si>
  <si>
    <t>Schodack</t>
  </si>
  <si>
    <t>Schenectady</t>
  </si>
  <si>
    <t>Schalmont</t>
  </si>
  <si>
    <t>Scarsdale</t>
  </si>
  <si>
    <t>Sayville</t>
  </si>
  <si>
    <t>Saugerties</t>
  </si>
  <si>
    <t>Saratoga Springs</t>
  </si>
  <si>
    <t>Saranac Lake</t>
  </si>
  <si>
    <t>Sandy Creek</t>
  </si>
  <si>
    <t>Salmon River</t>
  </si>
  <si>
    <t>Salem</t>
  </si>
  <si>
    <t>Salamanca</t>
  </si>
  <si>
    <t>Sagaponack</t>
  </si>
  <si>
    <t>Sag Harbor</t>
  </si>
  <si>
    <t>Sachem</t>
  </si>
  <si>
    <t>Florida</t>
  </si>
  <si>
    <t>Rye Neck</t>
  </si>
  <si>
    <t>Rye</t>
  </si>
  <si>
    <t>Rush-Henrietta</t>
  </si>
  <si>
    <t>Royalton-Hartland</t>
  </si>
  <si>
    <t>Roxbury</t>
  </si>
  <si>
    <t>Roscoe</t>
  </si>
  <si>
    <t>Roosevelt</t>
  </si>
  <si>
    <t>Rondout Valley</t>
  </si>
  <si>
    <t>Romulus</t>
  </si>
  <si>
    <t>Rome</t>
  </si>
  <si>
    <t>Rocky Point</t>
  </si>
  <si>
    <t>Rockville Centre</t>
  </si>
  <si>
    <t>Rochester</t>
  </si>
  <si>
    <t>Riverhead</t>
  </si>
  <si>
    <t>Ripley</t>
  </si>
  <si>
    <t>NYS School for the Blind</t>
  </si>
  <si>
    <t>Blind Brook-Rye</t>
  </si>
  <si>
    <t>Richfield Springs</t>
  </si>
  <si>
    <t>Rhinebeck</t>
  </si>
  <si>
    <t>Rensselaer</t>
  </si>
  <si>
    <t>Remsenburg-Speonk</t>
  </si>
  <si>
    <t>Remsen</t>
  </si>
  <si>
    <t>Manchester-Shortsville</t>
  </si>
  <si>
    <t>Red Hook</t>
  </si>
  <si>
    <t>Red Creek</t>
  </si>
  <si>
    <t>Ravena-Coeymans-Selkirk</t>
  </si>
  <si>
    <t>Raquette Lake</t>
  </si>
  <si>
    <t>Randolph</t>
  </si>
  <si>
    <t>Quogue</t>
  </si>
  <si>
    <t>Queensbury</t>
  </si>
  <si>
    <t>Putnam Valley</t>
  </si>
  <si>
    <t>Putnam</t>
  </si>
  <si>
    <t>Prattsburgh</t>
  </si>
  <si>
    <t>Poughkeepsie</t>
  </si>
  <si>
    <t>Potsdam</t>
  </si>
  <si>
    <t>Portville</t>
  </si>
  <si>
    <t>Port Washington</t>
  </si>
  <si>
    <t>Port Jervis</t>
  </si>
  <si>
    <t>Port Jefferson</t>
  </si>
  <si>
    <t>Port Chester-Rye</t>
  </si>
  <si>
    <t>Port Byron</t>
  </si>
  <si>
    <t>Poland</t>
  </si>
  <si>
    <t>Pocantico Hills</t>
  </si>
  <si>
    <t>Pleasantville</t>
  </si>
  <si>
    <t>Plattsburgh</t>
  </si>
  <si>
    <t>Plainview-Old Bethpage</t>
  </si>
  <si>
    <t>Plainedge</t>
  </si>
  <si>
    <t>Pittsford</t>
  </si>
  <si>
    <t>Piseco</t>
  </si>
  <si>
    <t>Pinevalley at South Dayton</t>
  </si>
  <si>
    <t>Pine Plains</t>
  </si>
  <si>
    <t>Pine Bush</t>
  </si>
  <si>
    <t>Phoenix</t>
  </si>
  <si>
    <t>Phelps-Clifton Springs</t>
  </si>
  <si>
    <t>Peru</t>
  </si>
  <si>
    <t>Perry</t>
  </si>
  <si>
    <t>Penn Yan</t>
  </si>
  <si>
    <t>Penfield</t>
  </si>
  <si>
    <t>Pelham</t>
  </si>
  <si>
    <t>Peekskill</t>
  </si>
  <si>
    <t>Pearl River</t>
  </si>
  <si>
    <t>Pawling</t>
  </si>
  <si>
    <t>Pavilion</t>
  </si>
  <si>
    <t>Patchogue-Medford</t>
  </si>
  <si>
    <t>Parishville-Hopkinton</t>
  </si>
  <si>
    <t>Panama</t>
  </si>
  <si>
    <t>Palmyra-Macedon</t>
  </si>
  <si>
    <t>Oyster Bay-East Norwich</t>
  </si>
  <si>
    <t>Oxford Academy</t>
  </si>
  <si>
    <t>Owego-Apalachin</t>
  </si>
  <si>
    <t>South Seneca</t>
  </si>
  <si>
    <t>Georgetown-South Otselic</t>
  </si>
  <si>
    <t>Ossining</t>
  </si>
  <si>
    <t>Oriskany</t>
  </si>
  <si>
    <t>Oysterponds</t>
  </si>
  <si>
    <t>Orchard Park</t>
  </si>
  <si>
    <t>Onteora</t>
  </si>
  <si>
    <t>Onondaga</t>
  </si>
  <si>
    <t>Oneonta</t>
  </si>
  <si>
    <t>Olean</t>
  </si>
  <si>
    <t>Ogdensburg</t>
  </si>
  <si>
    <t>Odessa-Montour</t>
  </si>
  <si>
    <t>Fire Island</t>
  </si>
  <si>
    <t>Oakfield-Alabama</t>
  </si>
  <si>
    <t>Nyack</t>
  </si>
  <si>
    <t>Dalton-Nunda (Keshequa)</t>
  </si>
  <si>
    <t>Norwood-Norfolk</t>
  </si>
  <si>
    <t>Norwich</t>
  </si>
  <si>
    <t>Northville</t>
  </si>
  <si>
    <t>Northport-East Northport</t>
  </si>
  <si>
    <t>Northern Adirondack</t>
  </si>
  <si>
    <t>Northeastern Clinton</t>
  </si>
  <si>
    <t>North Tonawanda</t>
  </si>
  <si>
    <t>North Syracuse</t>
  </si>
  <si>
    <t>North Salem</t>
  </si>
  <si>
    <t>North Merrick</t>
  </si>
  <si>
    <t>North Colonie</t>
  </si>
  <si>
    <t>North Collins</t>
  </si>
  <si>
    <t>North Bellmore</t>
  </si>
  <si>
    <t>North Babylon</t>
  </si>
  <si>
    <t>Niskayuna</t>
  </si>
  <si>
    <t>Niagara-Wheatfield</t>
  </si>
  <si>
    <t>Niagara Falls</t>
  </si>
  <si>
    <t>Newfield</t>
  </si>
  <si>
    <t>Newfane</t>
  </si>
  <si>
    <t>Newcomb</t>
  </si>
  <si>
    <t>Newburgh</t>
  </si>
  <si>
    <t>Newark Valley</t>
  </si>
  <si>
    <t>Newark</t>
  </si>
  <si>
    <t>New York Mills</t>
  </si>
  <si>
    <t>New Suffolk</t>
  </si>
  <si>
    <t>New Rochelle</t>
  </si>
  <si>
    <t>New Paltz</t>
  </si>
  <si>
    <t>New Lebanon</t>
  </si>
  <si>
    <t>New Hyde Park-Garden City Park</t>
  </si>
  <si>
    <t>New Hartford</t>
  </si>
  <si>
    <t>Clarkstown</t>
  </si>
  <si>
    <t>Naples</t>
  </si>
  <si>
    <t>Nanuet</t>
  </si>
  <si>
    <t>Mount Pleasant-Blythedale</t>
  </si>
  <si>
    <t>Mount Pleasant</t>
  </si>
  <si>
    <t>Mount Vernon</t>
  </si>
  <si>
    <t>Mount Sinai</t>
  </si>
  <si>
    <t>Mount Morris</t>
  </si>
  <si>
    <t>Bedford</t>
  </si>
  <si>
    <t>Morrisville-Eaton</t>
  </si>
  <si>
    <t>Morristown</t>
  </si>
  <si>
    <t>Morris</t>
  </si>
  <si>
    <t>Moriah</t>
  </si>
  <si>
    <t>Moravia</t>
  </si>
  <si>
    <t>Monticello</t>
  </si>
  <si>
    <t>Montauk</t>
  </si>
  <si>
    <t>Valley</t>
  </si>
  <si>
    <t>Monroe-Woodbury</t>
  </si>
  <si>
    <t>Minisink Valley</t>
  </si>
  <si>
    <t>Minerva</t>
  </si>
  <si>
    <t>Mineola</t>
  </si>
  <si>
    <t>Miller Place</t>
  </si>
  <si>
    <t>Millbrook</t>
  </si>
  <si>
    <t>Milford</t>
  </si>
  <si>
    <t>Middletown</t>
  </si>
  <si>
    <t>Middleburgh</t>
  </si>
  <si>
    <t>Longwood at Middle Island</t>
  </si>
  <si>
    <t>Middle Country</t>
  </si>
  <si>
    <t>Mexico</t>
  </si>
  <si>
    <t>Merrick</t>
  </si>
  <si>
    <t>Bellmore-Merrick</t>
  </si>
  <si>
    <t>Menands</t>
  </si>
  <si>
    <t>Medina</t>
  </si>
  <si>
    <t>Mechanicville</t>
  </si>
  <si>
    <t>McGraw</t>
  </si>
  <si>
    <t>Mayfield</t>
  </si>
  <si>
    <t>William Floyd</t>
  </si>
  <si>
    <t>Massena</t>
  </si>
  <si>
    <t>Massapequa</t>
  </si>
  <si>
    <t>Cheektowaga-Maryvale</t>
  </si>
  <si>
    <t>Marlboro</t>
  </si>
  <si>
    <t>Marion</t>
  </si>
  <si>
    <t>Margaretville</t>
  </si>
  <si>
    <t>Marcellus</t>
  </si>
  <si>
    <t>Marathon</t>
  </si>
  <si>
    <t>Fayetteville-Manlius</t>
  </si>
  <si>
    <t>Manhasset</t>
  </si>
  <si>
    <t>Mamaroneck</t>
  </si>
  <si>
    <t>Malverne</t>
  </si>
  <si>
    <t>Malone</t>
  </si>
  <si>
    <t>Maine-Endwell</t>
  </si>
  <si>
    <t>Mahopac</t>
  </si>
  <si>
    <t>Madrid-Waddington</t>
  </si>
  <si>
    <t>Madison</t>
  </si>
  <si>
    <t>Lyons</t>
  </si>
  <si>
    <t>Lyndonville</t>
  </si>
  <si>
    <t>Lyncourt</t>
  </si>
  <si>
    <t>Lynbrook</t>
  </si>
  <si>
    <t>Lyme</t>
  </si>
  <si>
    <t>Lowville</t>
  </si>
  <si>
    <t>Long Lake</t>
  </si>
  <si>
    <t>Long Beach</t>
  </si>
  <si>
    <t>Locust Valley</t>
  </si>
  <si>
    <t>Lockport</t>
  </si>
  <si>
    <t>Livonia</t>
  </si>
  <si>
    <t>Livingston Manor</t>
  </si>
  <si>
    <t>Liverpool</t>
  </si>
  <si>
    <t>Little Falls</t>
  </si>
  <si>
    <t>Lisbon</t>
  </si>
  <si>
    <t>Little Flower at Wading River</t>
  </si>
  <si>
    <t>Lindenhurst</t>
  </si>
  <si>
    <t>Liberty</t>
  </si>
  <si>
    <t>Lewiston-Porter</t>
  </si>
  <si>
    <t>Levittown</t>
  </si>
  <si>
    <t>Letchworth</t>
  </si>
  <si>
    <t>North Rose-Wolcott</t>
  </si>
  <si>
    <t>North Warren</t>
  </si>
  <si>
    <t>Le Roy</t>
  </si>
  <si>
    <t>Lawrence</t>
  </si>
  <si>
    <t>Laurens</t>
  </si>
  <si>
    <t>Lansingburgh</t>
  </si>
  <si>
    <t>Lansing</t>
  </si>
  <si>
    <t>Lancaster</t>
  </si>
  <si>
    <t>Lakeland</t>
  </si>
  <si>
    <t>Lake Pleasant</t>
  </si>
  <si>
    <t>Lake Placid</t>
  </si>
  <si>
    <t>Lake George</t>
  </si>
  <si>
    <t>Lackawanna</t>
  </si>
  <si>
    <t>La Fayette</t>
  </si>
  <si>
    <t>La Fargeville</t>
  </si>
  <si>
    <t>Kingston</t>
  </si>
  <si>
    <t>Kings Park</t>
  </si>
  <si>
    <t>Kenmore-Town of Tonawanda</t>
  </si>
  <si>
    <t>Kendall</t>
  </si>
  <si>
    <t>Au Sable Valley</t>
  </si>
  <si>
    <t>Keene</t>
  </si>
  <si>
    <t>Katonah-Lewisboro</t>
  </si>
  <si>
    <t>Jordan-Elbridge</t>
  </si>
  <si>
    <t>Johnstown</t>
  </si>
  <si>
    <t>Johnson City</t>
  </si>
  <si>
    <t>Johnsburg</t>
  </si>
  <si>
    <t>Jericho</t>
  </si>
  <si>
    <t>Brookhaven-Comsewogue</t>
  </si>
  <si>
    <t>Jefferson</t>
  </si>
  <si>
    <t>Jamestown</t>
  </si>
  <si>
    <t>Ithaca</t>
  </si>
  <si>
    <t>Islip</t>
  </si>
  <si>
    <t>Island Trees</t>
  </si>
  <si>
    <t>Island Park</t>
  </si>
  <si>
    <t>Irvington</t>
  </si>
  <si>
    <t>West Irondequoit</t>
  </si>
  <si>
    <t>Iroquois</t>
  </si>
  <si>
    <t>Inlet</t>
  </si>
  <si>
    <t>Indian River</t>
  </si>
  <si>
    <t>Indian Lake</t>
  </si>
  <si>
    <t>Hyde Park</t>
  </si>
  <si>
    <t>Huntington</t>
  </si>
  <si>
    <t>Hunter-Tannersville</t>
  </si>
  <si>
    <t>George Jr Republic</t>
  </si>
  <si>
    <t>Hudson Falls</t>
  </si>
  <si>
    <t>Hudson</t>
  </si>
  <si>
    <t>Sackets Harbor</t>
  </si>
  <si>
    <t>Horseheads</t>
  </si>
  <si>
    <t>Hornell</t>
  </si>
  <si>
    <t>Hoosick Falls</t>
  </si>
  <si>
    <t>Hoosic Valley</t>
  </si>
  <si>
    <t>Honeoye Falls-Lima</t>
  </si>
  <si>
    <t>Honeoye</t>
  </si>
  <si>
    <t>Homer</t>
  </si>
  <si>
    <t>Holley</t>
  </si>
  <si>
    <t>Holland Patent</t>
  </si>
  <si>
    <t>Holland</t>
  </si>
  <si>
    <t>Hinsdale</t>
  </si>
  <si>
    <t>Hilton</t>
  </si>
  <si>
    <t>Highland Falls-Fort Montgomery</t>
  </si>
  <si>
    <t>Highland</t>
  </si>
  <si>
    <t>Hicksville</t>
  </si>
  <si>
    <t>Heuvelton</t>
  </si>
  <si>
    <t>Herricks</t>
  </si>
  <si>
    <t>Hermon-Dekalb</t>
  </si>
  <si>
    <t>Herkimer</t>
  </si>
  <si>
    <t>Hendrick Hudson</t>
  </si>
  <si>
    <t>Hempstead</t>
  </si>
  <si>
    <t>Hawthorne-Cedar Knolls</t>
  </si>
  <si>
    <t>Haverstraw-Stony Point (North Rockland)</t>
  </si>
  <si>
    <t>Hauppauge</t>
  </si>
  <si>
    <t>Hastings-on-Hudson</t>
  </si>
  <si>
    <t>Hartford</t>
  </si>
  <si>
    <t>Harrisville</t>
  </si>
  <si>
    <t>Harrison</t>
  </si>
  <si>
    <t>Harpursville</t>
  </si>
  <si>
    <t>Harborfields</t>
  </si>
  <si>
    <t>Hannibal</t>
  </si>
  <si>
    <t>Hancock</t>
  </si>
  <si>
    <t>Hampton Bays</t>
  </si>
  <si>
    <t>Hammondsport</t>
  </si>
  <si>
    <t>Hammond</t>
  </si>
  <si>
    <t>Hamilton</t>
  </si>
  <si>
    <t>Hamburg</t>
  </si>
  <si>
    <t>Half Hollow Hills</t>
  </si>
  <si>
    <t>Haldane</t>
  </si>
  <si>
    <t>Hadley-Luzerne</t>
  </si>
  <si>
    <t>Guilderland</t>
  </si>
  <si>
    <t>Groton</t>
  </si>
  <si>
    <t>Springville-Griffith Institute</t>
  </si>
  <si>
    <t>Greenwood Lake</t>
  </si>
  <si>
    <t>Greenwich</t>
  </si>
  <si>
    <t>Greenville</t>
  </si>
  <si>
    <t>Greenport</t>
  </si>
  <si>
    <t>Greene</t>
  </si>
  <si>
    <t>Greenburgh</t>
  </si>
  <si>
    <t>Green Island</t>
  </si>
  <si>
    <t>Greece</t>
  </si>
  <si>
    <t>Great Neck</t>
  </si>
  <si>
    <t>Granville</t>
  </si>
  <si>
    <t>Greenburgh-Graham</t>
  </si>
  <si>
    <t>Gowanda</t>
  </si>
  <si>
    <t>Gouverneur</t>
  </si>
  <si>
    <t>Goshen</t>
  </si>
  <si>
    <t>Gorham-Middlesex (Marcus Whitman)</t>
  </si>
  <si>
    <t>Gloversville</t>
  </si>
  <si>
    <t>Glens Falls</t>
  </si>
  <si>
    <t>Glen Cove</t>
  </si>
  <si>
    <t>Gilboa-Conesville</t>
  </si>
  <si>
    <t>Germantown</t>
  </si>
  <si>
    <t>Geneva</t>
  </si>
  <si>
    <t>Geneseo</t>
  </si>
  <si>
    <t>General Brown</t>
  </si>
  <si>
    <t>Gates-Chili</t>
  </si>
  <si>
    <t>Garrison</t>
  </si>
  <si>
    <t>Garden City</t>
  </si>
  <si>
    <t>Gananda</t>
  </si>
  <si>
    <t>Galway</t>
  </si>
  <si>
    <t>Fulton</t>
  </si>
  <si>
    <t>Frontier</t>
  </si>
  <si>
    <t>Friendship</t>
  </si>
  <si>
    <t>Frewsburg</t>
  </si>
  <si>
    <t>Freeport</t>
  </si>
  <si>
    <t>Fredonia</t>
  </si>
  <si>
    <t>Franklinville</t>
  </si>
  <si>
    <t>Franklin Square</t>
  </si>
  <si>
    <t>Franklin</t>
  </si>
  <si>
    <t>Frankfort-Schuyler</t>
  </si>
  <si>
    <t>Fort Plain</t>
  </si>
  <si>
    <t>Fort Edward</t>
  </si>
  <si>
    <t>Fort Ann</t>
  </si>
  <si>
    <t>Forestville</t>
  </si>
  <si>
    <t>Fonda-Fultonville</t>
  </si>
  <si>
    <t>Floral Park-Bellerose</t>
  </si>
  <si>
    <t>Fishers Island</t>
  </si>
  <si>
    <t>Fillmore</t>
  </si>
  <si>
    <t>Farmingdale</t>
  </si>
  <si>
    <t>Fallsburg</t>
  </si>
  <si>
    <t>Falconer</t>
  </si>
  <si>
    <t>Fairport</t>
  </si>
  <si>
    <t>Fabius-Pompey</t>
  </si>
  <si>
    <t>Union-Endicott</t>
  </si>
  <si>
    <t>Elwood</t>
  </si>
  <si>
    <t>Elmsford</t>
  </si>
  <si>
    <t>Elmont</t>
  </si>
  <si>
    <t>Elmira Heights</t>
  </si>
  <si>
    <t>Elmira</t>
  </si>
  <si>
    <t>Ellicottville</t>
  </si>
  <si>
    <t>Ellenville</t>
  </si>
  <si>
    <t>Eldred</t>
  </si>
  <si>
    <t>Elba</t>
  </si>
  <si>
    <t>Edmeston</t>
  </si>
  <si>
    <t>Edinburg</t>
  </si>
  <si>
    <t>Edgemont at Greenburgh</t>
  </si>
  <si>
    <t>Eden</t>
  </si>
  <si>
    <t>Greenburgh Eleven</t>
  </si>
  <si>
    <t>Eastchester</t>
  </si>
  <si>
    <t>East Williston</t>
  </si>
  <si>
    <t>East Syracuse-Minoa</t>
  </si>
  <si>
    <t>East Rockaway</t>
  </si>
  <si>
    <t>East Rochester</t>
  </si>
  <si>
    <t>East Quogue</t>
  </si>
  <si>
    <t>East Moriches</t>
  </si>
  <si>
    <t>East Meadow</t>
  </si>
  <si>
    <t>East Islip</t>
  </si>
  <si>
    <t>East Irondequoit</t>
  </si>
  <si>
    <t>East Hampton</t>
  </si>
  <si>
    <t>East Greenbush</t>
  </si>
  <si>
    <t>East Aurora</t>
  </si>
  <si>
    <t>Dunkirk</t>
  </si>
  <si>
    <t>Dundee</t>
  </si>
  <si>
    <t>Duanesburg</t>
  </si>
  <si>
    <t>Dryden</t>
  </si>
  <si>
    <t>Downsville</t>
  </si>
  <si>
    <t>Dover</t>
  </si>
  <si>
    <t>Dobbs Ferry</t>
  </si>
  <si>
    <t>Jamesville-Dewitt</t>
  </si>
  <si>
    <t>Deposit</t>
  </si>
  <si>
    <t>Depew</t>
  </si>
  <si>
    <t>Delaware Academy Central School District at Delhi</t>
  </si>
  <si>
    <t>Deer Park</t>
  </si>
  <si>
    <t>De Ruyter</t>
  </si>
  <si>
    <t>Dansville</t>
  </si>
  <si>
    <t>Crown Point</t>
  </si>
  <si>
    <t>Croton-Harmon</t>
  </si>
  <si>
    <t>Coxsackie-Athens</t>
  </si>
  <si>
    <t>Mount Pleasant Cottage</t>
  </si>
  <si>
    <t>Cortland</t>
  </si>
  <si>
    <t>Corning</t>
  </si>
  <si>
    <t>Corinth</t>
  </si>
  <si>
    <t>Pembroke</t>
  </si>
  <si>
    <t>Copiague</t>
  </si>
  <si>
    <t>Copenhagen</t>
  </si>
  <si>
    <t>Cooperstown</t>
  </si>
  <si>
    <t>Connetquot</t>
  </si>
  <si>
    <t>Commack</t>
  </si>
  <si>
    <t>Colton-Pierrepont</t>
  </si>
  <si>
    <t>Cold Spring Harbor</t>
  </si>
  <si>
    <t>Cohoes</t>
  </si>
  <si>
    <t>Clymer</t>
  </si>
  <si>
    <t>Clyde-Savannah</t>
  </si>
  <si>
    <t>Clinton</t>
  </si>
  <si>
    <t>Clifton Fine</t>
  </si>
  <si>
    <t>Cleveland Hill at Cheektowaga</t>
  </si>
  <si>
    <t>Thousand Islands</t>
  </si>
  <si>
    <t>Clarence</t>
  </si>
  <si>
    <t>Cincinnatus</t>
  </si>
  <si>
    <t>Churchville-Chili</t>
  </si>
  <si>
    <t>Chittenango</t>
  </si>
  <si>
    <t>Randolph Academy</t>
  </si>
  <si>
    <t>Chester</t>
  </si>
  <si>
    <t>Westhill</t>
  </si>
  <si>
    <t>Chenango Valley</t>
  </si>
  <si>
    <t>Chenango Forks</t>
  </si>
  <si>
    <t>Cheektowaga</t>
  </si>
  <si>
    <t>Chazy</t>
  </si>
  <si>
    <t>Chatham</t>
  </si>
  <si>
    <t>Chateaugay</t>
  </si>
  <si>
    <t>Charlotte Valley</t>
  </si>
  <si>
    <t>Grand Island</t>
  </si>
  <si>
    <t>Chappaqua</t>
  </si>
  <si>
    <t>Central Square</t>
  </si>
  <si>
    <t>Central Islip</t>
  </si>
  <si>
    <t>Center Moriches</t>
  </si>
  <si>
    <t>Cazenovia</t>
  </si>
  <si>
    <t>Catskill</t>
  </si>
  <si>
    <t>Cato Meridian</t>
  </si>
  <si>
    <t>Cassadaga Valley</t>
  </si>
  <si>
    <t>Carthage</t>
  </si>
  <si>
    <t>Carmel</t>
  </si>
  <si>
    <t>Carle Place</t>
  </si>
  <si>
    <t>Spackenkill</t>
  </si>
  <si>
    <t>Canton</t>
  </si>
  <si>
    <t>Candor</t>
  </si>
  <si>
    <t>Canastota</t>
  </si>
  <si>
    <t>Canandaigua</t>
  </si>
  <si>
    <t>Canajoharie</t>
  </si>
  <si>
    <t>Camden</t>
  </si>
  <si>
    <t>Cambridge</t>
  </si>
  <si>
    <t>Caledonia-Mumford</t>
  </si>
  <si>
    <t>Cairo-Durham</t>
  </si>
  <si>
    <t>Byron-Bergen</t>
  </si>
  <si>
    <t>Byram Hills at Armonk</t>
  </si>
  <si>
    <t>Burnt Hills-Ballston Lake</t>
  </si>
  <si>
    <t>Buffalo</t>
  </si>
  <si>
    <t>Brushton-Moira</t>
  </si>
  <si>
    <t>Brookfield</t>
  </si>
  <si>
    <t>Bronxville</t>
  </si>
  <si>
    <t>Brocton</t>
  </si>
  <si>
    <t>Brockport</t>
  </si>
  <si>
    <t>Brittonkill</t>
  </si>
  <si>
    <t>Brighton</t>
  </si>
  <si>
    <t>Bridgehampton</t>
  </si>
  <si>
    <t>Briarcliff Manor</t>
  </si>
  <si>
    <t>Brewster</t>
  </si>
  <si>
    <t>Brentwood</t>
  </si>
  <si>
    <t>Bradford</t>
  </si>
  <si>
    <t>Adirondack</t>
  </si>
  <si>
    <t>Bolton</t>
  </si>
  <si>
    <t>Bloomfield</t>
  </si>
  <si>
    <t>Binghamton</t>
  </si>
  <si>
    <t>Kiryas Joel Village</t>
  </si>
  <si>
    <t>Gilbertsville-Mt Upton</t>
  </si>
  <si>
    <t>Bethpage</t>
  </si>
  <si>
    <t>Bethlehem</t>
  </si>
  <si>
    <t>Berne-Knox-Westerlo</t>
  </si>
  <si>
    <t>Berlin</t>
  </si>
  <si>
    <t>Berkshire</t>
  </si>
  <si>
    <t>Bemus Point</t>
  </si>
  <si>
    <t>Bellmore</t>
  </si>
  <si>
    <t>Belleville-Henderson</t>
  </si>
  <si>
    <t>Belfast</t>
  </si>
  <si>
    <t>Beekmantown</t>
  </si>
  <si>
    <t>Beaver River</t>
  </si>
  <si>
    <t>Beacon</t>
  </si>
  <si>
    <t>Bayport-Blue Point</t>
  </si>
  <si>
    <t>Bay Shore</t>
  </si>
  <si>
    <t>Bath</t>
  </si>
  <si>
    <t>Batavia</t>
  </si>
  <si>
    <t>Barker</t>
  </si>
  <si>
    <t>Ballston Spa</t>
  </si>
  <si>
    <t>Baldwinsville</t>
  </si>
  <si>
    <t>Baldwin</t>
  </si>
  <si>
    <t>Bainbridge-Guilford</t>
  </si>
  <si>
    <t>Babylon</t>
  </si>
  <si>
    <t>Avon</t>
  </si>
  <si>
    <t>Avoca</t>
  </si>
  <si>
    <t>Auburn</t>
  </si>
  <si>
    <t>Attica</t>
  </si>
  <si>
    <t>Arlington</t>
  </si>
  <si>
    <t>Arkport</t>
  </si>
  <si>
    <t>Argyle</t>
  </si>
  <si>
    <t>Ardsley</t>
  </si>
  <si>
    <t>Schenevus</t>
  </si>
  <si>
    <t>Andover</t>
  </si>
  <si>
    <t>Andes</t>
  </si>
  <si>
    <t>Amsterdam</t>
  </si>
  <si>
    <t>Amityville</t>
  </si>
  <si>
    <t>Amherst</t>
  </si>
  <si>
    <t>Amagansett</t>
  </si>
  <si>
    <t>Altmar Parish-Williamstown</t>
  </si>
  <si>
    <t>Windsor</t>
  </si>
  <si>
    <t>Alfred-Almond</t>
  </si>
  <si>
    <t>Alexandria</t>
  </si>
  <si>
    <t>Alexander</t>
  </si>
  <si>
    <t>Alden</t>
  </si>
  <si>
    <t>Albion</t>
  </si>
  <si>
    <t>Albany</t>
  </si>
  <si>
    <t>Akron</t>
  </si>
  <si>
    <t>Afton</t>
  </si>
  <si>
    <t>Addison</t>
  </si>
  <si>
    <t>South Jefferson</t>
  </si>
  <si>
    <t>Abbott</t>
  </si>
  <si>
    <t>Buffalo Creek Academy</t>
  </si>
  <si>
    <t>Boquet Valley</t>
  </si>
  <si>
    <t>Syracuse Academy of Science and Citizenship</t>
  </si>
  <si>
    <t>Reach Academy</t>
  </si>
  <si>
    <t>Persistence Preparatory Academy</t>
  </si>
  <si>
    <t>Exploration Elementary for Science and Technology</t>
  </si>
  <si>
    <t>Charter School of Inquiry</t>
  </si>
  <si>
    <t>Roslyn</t>
  </si>
  <si>
    <t>Finn Academy</t>
  </si>
  <si>
    <t>St Johnsville</t>
  </si>
  <si>
    <t>Oppenheim-Ephratah</t>
  </si>
  <si>
    <t>Canaseraga</t>
  </si>
  <si>
    <t>Ilion</t>
  </si>
  <si>
    <t>Central Valley</t>
  </si>
  <si>
    <t>Utica Academy of Science</t>
  </si>
  <si>
    <t>Young Women's College Prep</t>
  </si>
  <si>
    <t>West Buffalo</t>
  </si>
  <si>
    <t>Discovery</t>
  </si>
  <si>
    <t>Broome</t>
  </si>
  <si>
    <t>Oceanside</t>
  </si>
  <si>
    <t>New Roots Charter School</t>
  </si>
  <si>
    <t>Aloma D. Johnson Fruit Belt Community</t>
  </si>
  <si>
    <t>University Preparatory Charter School for Young Men (Uprep)</t>
  </si>
  <si>
    <t xml:space="preserve">Rochester Academy of Science Charter School </t>
  </si>
  <si>
    <t>Rochester Academy</t>
  </si>
  <si>
    <t>Niagara</t>
  </si>
  <si>
    <t>Elmwood Village Charter-Hertel</t>
  </si>
  <si>
    <t>Charter School of Educational Excellence</t>
  </si>
  <si>
    <t>NYS School for the Deaf</t>
  </si>
  <si>
    <t>Eastport-South Manor</t>
  </si>
  <si>
    <t>Canisteo-Greenwood</t>
  </si>
  <si>
    <t>Westminster Community</t>
  </si>
  <si>
    <t>Western New York Maritime</t>
  </si>
  <si>
    <t>Buffalo Academy of Science</t>
  </si>
  <si>
    <t>Syracuse Academy of Science</t>
  </si>
  <si>
    <t>Enterprise</t>
  </si>
  <si>
    <t>Global Concepts</t>
  </si>
  <si>
    <t>Tapestry</t>
  </si>
  <si>
    <t>South Buffalo</t>
  </si>
  <si>
    <t>King Center</t>
  </si>
  <si>
    <t xml:space="preserve">Genesee Community Charter School – Flour City </t>
  </si>
  <si>
    <t>Eugenio Maria De Hostas</t>
  </si>
  <si>
    <t>Applied Technologies</t>
  </si>
  <si>
    <t>Cattaraugus-Little Valley</t>
  </si>
  <si>
    <t>Sullivan West Central School District at Cali-Jeff</t>
  </si>
  <si>
    <t>Mattituck-Cutchogue</t>
  </si>
  <si>
    <t>Campbell-Savona</t>
  </si>
  <si>
    <t>Unadilla Valley</t>
  </si>
  <si>
    <t>Chautauqua Lake</t>
  </si>
  <si>
    <t>Averill Park</t>
  </si>
  <si>
    <t>Allegany-Limestone</t>
  </si>
  <si>
    <t>Waterloo</t>
  </si>
  <si>
    <t>Oneida</t>
  </si>
  <si>
    <t>Bolivar-Richburg</t>
  </si>
  <si>
    <t>Wayland-Cohocton</t>
  </si>
  <si>
    <t>Cobleskill-Richmondville</t>
  </si>
  <si>
    <t>Saranac</t>
  </si>
  <si>
    <t>South Country</t>
  </si>
  <si>
    <t>Jasper-Troupsburg</t>
  </si>
  <si>
    <t>Cherry Valley-Springfield</t>
  </si>
  <si>
    <t>Broadalbin-Perth</t>
  </si>
  <si>
    <t>Rotterdam-Mohonasen</t>
  </si>
  <si>
    <t>Edwards-Knox</t>
  </si>
  <si>
    <t>Sauquoit Valley</t>
  </si>
  <si>
    <t>Dolgeville</t>
  </si>
  <si>
    <t>LEAID</t>
  </si>
  <si>
    <t>District Name  ()=also known as</t>
  </si>
  <si>
    <t>School Dis Code</t>
  </si>
  <si>
    <t xml:space="preserve">List of School Dist. </t>
  </si>
  <si>
    <t>district_name</t>
  </si>
  <si>
    <t>count</t>
  </si>
  <si>
    <t>Riverhead Charter</t>
  </si>
  <si>
    <t>Glens Falls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</si>
</sst>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72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Times New Roman"/>
      <family val="1"/>
    </font>
    <font>
      <sz val="8.5"/>
      <color theme="1"/>
      <name val="Times New Roman"/>
      <family val="1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9.5"/>
      <color theme="1"/>
      <name val="Arial"/>
      <family val="2"/>
    </font>
    <font>
      <sz val="10"/>
      <color theme="1"/>
      <name val="Arial"/>
      <family val="2"/>
    </font>
    <font>
      <sz val="12"/>
      <color rgb="FF030303"/>
      <name val="Aptos Narrow"/>
      <scheme val="minor"/>
    </font>
    <font>
      <sz val="12"/>
      <color rgb="FF131313"/>
      <name val="Aptos Narrow"/>
      <scheme val="minor"/>
    </font>
    <font>
      <sz val="12"/>
      <color rgb="FF2B2B2B"/>
      <name val="Aptos Narrow"/>
      <scheme val="minor"/>
    </font>
    <font>
      <sz val="12"/>
      <color rgb="FF282828"/>
      <name val="Aptos Narrow"/>
      <scheme val="minor"/>
    </font>
    <font>
      <sz val="12"/>
      <color rgb="FF383838"/>
      <name val="Aptos Narrow"/>
      <scheme val="minor"/>
    </font>
    <font>
      <sz val="12"/>
      <color rgb="FF2A2A2A"/>
      <name val="Aptos Narrow"/>
      <scheme val="minor"/>
    </font>
    <font>
      <sz val="12"/>
      <color rgb="FF050505"/>
      <name val="Aptos Narrow"/>
      <scheme val="minor"/>
    </font>
    <font>
      <sz val="10"/>
      <name val="Arial Unicode MS"/>
      <family val="2"/>
    </font>
    <font>
      <b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/>
  </cellStyleXfs>
  <cellXfs count="95">
    <xf numFmtId="0" fontId="0" fillId="0" borderId="0" xfId="0"/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3"/>
    </xf>
    <xf numFmtId="10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 indent="4"/>
    </xf>
    <xf numFmtId="1" fontId="0" fillId="0" borderId="0" xfId="0" applyNumberFormat="1" applyAlignment="1"/>
    <xf numFmtId="10" fontId="4" fillId="0" borderId="0" xfId="0" applyNumberFormat="1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3"/>
    </xf>
    <xf numFmtId="172" fontId="0" fillId="0" borderId="0" xfId="1" applyNumberFormat="1" applyFont="1" applyAlignment="1"/>
    <xf numFmtId="0" fontId="5" fillId="0" borderId="0" xfId="0" applyFont="1"/>
    <xf numFmtId="1" fontId="5" fillId="0" borderId="0" xfId="0" applyNumberFormat="1" applyFont="1" applyAlignment="1"/>
    <xf numFmtId="172" fontId="5" fillId="0" borderId="0" xfId="1" applyNumberFormat="1" applyFont="1" applyAlignment="1"/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wrapText="1"/>
    </xf>
    <xf numFmtId="1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right" vertical="center" wrapText="1"/>
    </xf>
    <xf numFmtId="0" fontId="6" fillId="0" borderId="0" xfId="0" applyFont="1"/>
    <xf numFmtId="1" fontId="6" fillId="0" borderId="0" xfId="0" applyNumberFormat="1" applyFont="1" applyAlignment="1"/>
    <xf numFmtId="0" fontId="6" fillId="0" borderId="0" xfId="0" applyFont="1" applyAlignment="1">
      <alignment horizontal="right"/>
    </xf>
    <xf numFmtId="3" fontId="5" fillId="0" borderId="0" xfId="0" applyNumberFormat="1" applyFont="1"/>
    <xf numFmtId="3" fontId="6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left" vertical="center" wrapText="1" indent="4"/>
    </xf>
    <xf numFmtId="0" fontId="5" fillId="0" borderId="0" xfId="0" applyFont="1" applyAlignment="1">
      <alignment horizontal="left" vertical="center" wrapText="1" indent="4"/>
    </xf>
    <xf numFmtId="1" fontId="5" fillId="0" borderId="0" xfId="0" applyNumberFormat="1" applyFont="1"/>
    <xf numFmtId="172" fontId="5" fillId="0" borderId="0" xfId="1" applyNumberFormat="1" applyFont="1"/>
    <xf numFmtId="1" fontId="6" fillId="0" borderId="0" xfId="0" applyNumberFormat="1" applyFont="1"/>
    <xf numFmtId="10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 indent="3"/>
    </xf>
    <xf numFmtId="1" fontId="7" fillId="0" borderId="0" xfId="0" applyNumberFormat="1" applyFont="1" applyAlignment="1">
      <alignment vertical="center" wrapText="1"/>
    </xf>
    <xf numFmtId="3" fontId="7" fillId="0" borderId="0" xfId="0" applyNumberFormat="1" applyFont="1"/>
    <xf numFmtId="1" fontId="2" fillId="0" borderId="0" xfId="0" applyNumberFormat="1" applyFont="1" applyAlignmen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right" vertical="center" wrapText="1"/>
    </xf>
    <xf numFmtId="6" fontId="5" fillId="0" borderId="0" xfId="0" applyNumberFormat="1" applyFont="1" applyBorder="1" applyAlignment="1">
      <alignment horizontal="right" vertical="center" wrapText="1"/>
    </xf>
    <xf numFmtId="0" fontId="5" fillId="0" borderId="0" xfId="0" applyFont="1" applyBorder="1"/>
    <xf numFmtId="1" fontId="5" fillId="0" borderId="0" xfId="0" applyNumberFormat="1" applyFont="1" applyBorder="1" applyAlignment="1">
      <alignment horizontal="right" vertical="center" wrapText="1"/>
    </xf>
    <xf numFmtId="1" fontId="5" fillId="0" borderId="0" xfId="0" applyNumberFormat="1" applyFont="1" applyBorder="1"/>
    <xf numFmtId="172" fontId="5" fillId="0" borderId="0" xfId="1" applyNumberFormat="1" applyFont="1" applyBorder="1"/>
    <xf numFmtId="3" fontId="8" fillId="0" borderId="0" xfId="0" applyNumberFormat="1" applyFont="1"/>
    <xf numFmtId="1" fontId="6" fillId="0" borderId="0" xfId="0" applyNumberFormat="1" applyFont="1" applyBorder="1"/>
    <xf numFmtId="172" fontId="6" fillId="0" borderId="0" xfId="0" applyNumberFormat="1" applyFont="1"/>
    <xf numFmtId="0" fontId="5" fillId="0" borderId="0" xfId="0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172" fontId="6" fillId="0" borderId="0" xfId="0" applyNumberFormat="1" applyFont="1" applyBorder="1" applyAlignment="1">
      <alignment horizontal="right"/>
    </xf>
    <xf numFmtId="172" fontId="5" fillId="0" borderId="0" xfId="1" applyNumberFormat="1" applyFont="1" applyBorder="1" applyAlignment="1">
      <alignment horizontal="right" vertical="center" wrapText="1"/>
    </xf>
    <xf numFmtId="3" fontId="5" fillId="0" borderId="0" xfId="0" applyNumberFormat="1" applyFont="1" applyBorder="1"/>
    <xf numFmtId="3" fontId="6" fillId="0" borderId="0" xfId="0" applyNumberFormat="1" applyFont="1" applyBorder="1"/>
    <xf numFmtId="0" fontId="9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6" fontId="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3" fontId="11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3" fontId="13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3" fontId="14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6" fontId="15" fillId="0" borderId="0" xfId="0" applyNumberFormat="1" applyFont="1" applyAlignment="1">
      <alignment horizontal="right" vertical="center" wrapText="1"/>
    </xf>
    <xf numFmtId="3" fontId="15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1" fontId="13" fillId="0" borderId="0" xfId="0" applyNumberFormat="1" applyFont="1" applyAlignment="1">
      <alignment horizontal="right" vertical="center" wrapText="1"/>
    </xf>
    <xf numFmtId="1" fontId="14" fillId="0" borderId="0" xfId="0" applyNumberFormat="1" applyFont="1" applyAlignment="1">
      <alignment horizontal="right" vertical="center" wrapText="1"/>
    </xf>
    <xf numFmtId="1" fontId="12" fillId="0" borderId="0" xfId="0" applyNumberFormat="1" applyFont="1" applyAlignment="1">
      <alignment horizontal="right" vertical="center" wrapText="1"/>
    </xf>
    <xf numFmtId="1" fontId="15" fillId="0" borderId="0" xfId="0" applyNumberFormat="1" applyFont="1" applyAlignment="1">
      <alignment horizontal="right" vertical="center" wrapText="1"/>
    </xf>
    <xf numFmtId="1" fontId="5" fillId="0" borderId="0" xfId="1" applyNumberFormat="1" applyFont="1" applyBorder="1" applyAlignment="1">
      <alignment horizontal="right" vertical="center" wrapText="1"/>
    </xf>
    <xf numFmtId="0" fontId="16" fillId="0" borderId="0" xfId="2"/>
    <xf numFmtId="49" fontId="16" fillId="0" borderId="0" xfId="2" applyNumberFormat="1"/>
    <xf numFmtId="0" fontId="16" fillId="0" borderId="0" xfId="2" applyAlignment="1">
      <alignment horizontal="center"/>
    </xf>
    <xf numFmtId="49" fontId="17" fillId="2" borderId="1" xfId="2" applyNumberFormat="1" applyFont="1" applyFill="1" applyBorder="1" applyAlignment="1">
      <alignment horizontal="center"/>
    </xf>
    <xf numFmtId="49" fontId="17" fillId="2" borderId="2" xfId="2" applyNumberFormat="1" applyFont="1" applyFill="1" applyBorder="1" applyAlignment="1">
      <alignment horizontal="center"/>
    </xf>
    <xf numFmtId="49" fontId="17" fillId="2" borderId="3" xfId="2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Font="1"/>
    <xf numFmtId="49" fontId="17" fillId="2" borderId="1" xfId="2" applyNumberFormat="1" applyFont="1" applyFill="1" applyBorder="1" applyAlignment="1">
      <alignment horizontal="right"/>
    </xf>
    <xf numFmtId="0" fontId="16" fillId="0" borderId="0" xfId="2" applyNumberFormat="1" applyAlignment="1">
      <alignment horizontal="right"/>
    </xf>
    <xf numFmtId="0" fontId="16" fillId="0" borderId="0" xfId="2" applyAlignment="1">
      <alignment horizontal="right"/>
    </xf>
  </cellXfs>
  <cellStyles count="3">
    <cellStyle name="Comma" xfId="1" builtinId="3"/>
    <cellStyle name="Normal" xfId="0" builtinId="0"/>
    <cellStyle name="Normal 2" xfId="2" xr:uid="{AC894869-8FFE-3141-A30C-A03AB0319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82BB-533A-9141-890A-FF3BF87914CE}">
  <sheetPr>
    <tabColor rgb="FF002060"/>
  </sheetPr>
  <dimension ref="A1:F7106"/>
  <sheetViews>
    <sheetView tabSelected="1" workbookViewId="0">
      <selection activeCell="N6" sqref="N6"/>
    </sheetView>
  </sheetViews>
  <sheetFormatPr baseColWidth="10" defaultRowHeight="16" x14ac:dyDescent="0.2"/>
  <cols>
    <col min="2" max="2" width="16" style="22" bestFit="1" customWidth="1"/>
    <col min="3" max="3" width="26.83203125" style="34" customWidth="1"/>
    <col min="4" max="4" width="18.83203125" style="11" bestFit="1" customWidth="1"/>
  </cols>
  <sheetData>
    <row r="1" spans="1:6" x14ac:dyDescent="0.2">
      <c r="A1" s="89" t="s">
        <v>5</v>
      </c>
      <c r="B1" s="34" t="s">
        <v>0</v>
      </c>
      <c r="C1" s="34" t="s">
        <v>846</v>
      </c>
      <c r="D1" s="35" t="s">
        <v>1</v>
      </c>
      <c r="E1" s="34" t="s">
        <v>842</v>
      </c>
      <c r="F1" s="34" t="s">
        <v>847</v>
      </c>
    </row>
    <row r="2" spans="1:6" x14ac:dyDescent="0.2">
      <c r="A2">
        <v>2015</v>
      </c>
      <c r="B2" s="13">
        <v>8105</v>
      </c>
      <c r="C2" s="90" t="str">
        <f>VLOOKUP(B2,'All Districts'!$A$3:$B$874,2,FALSE)</f>
        <v>Cayuga</v>
      </c>
      <c r="D2" s="15">
        <v>733987</v>
      </c>
      <c r="E2">
        <f>VLOOKUP(C2,'All Districts'!$B$3:$C$874,2,FALSE)</f>
        <v>0</v>
      </c>
      <c r="F2" s="91">
        <f>COUNTIF($E$2:$E$7106,E2)</f>
        <v>352</v>
      </c>
    </row>
    <row r="3" spans="1:6" x14ac:dyDescent="0.2">
      <c r="A3">
        <v>2016</v>
      </c>
      <c r="B3" s="13">
        <v>8105</v>
      </c>
      <c r="C3" s="90" t="str">
        <f>VLOOKUP(B3,'All Districts'!$A$3:$B$874,2,FALSE)</f>
        <v>Cayuga</v>
      </c>
      <c r="D3" s="16">
        <v>515660</v>
      </c>
      <c r="E3">
        <f>VLOOKUP(C3,'All Districts'!$B$3:$C$874,2,FALSE)</f>
        <v>0</v>
      </c>
      <c r="F3" s="91">
        <f>COUNTIF($E$2:$E$7106,E3)</f>
        <v>352</v>
      </c>
    </row>
    <row r="4" spans="1:6" x14ac:dyDescent="0.2">
      <c r="A4">
        <v>2017</v>
      </c>
      <c r="B4" s="13">
        <v>8105</v>
      </c>
      <c r="C4" s="90" t="str">
        <f>VLOOKUP(B4,'All Districts'!$A$3:$B$874,2,FALSE)</f>
        <v>Cayuga</v>
      </c>
      <c r="D4" s="16">
        <v>420623</v>
      </c>
      <c r="E4">
        <f>VLOOKUP(C4,'All Districts'!$B$3:$C$874,2,FALSE)</f>
        <v>0</v>
      </c>
      <c r="F4" s="91">
        <f>COUNTIF($E$2:$E$7106,E4)</f>
        <v>352</v>
      </c>
    </row>
    <row r="5" spans="1:6" x14ac:dyDescent="0.2">
      <c r="A5" s="10">
        <v>2018</v>
      </c>
      <c r="B5" s="13">
        <v>8105</v>
      </c>
      <c r="C5" s="90" t="str">
        <f>VLOOKUP(B5,'All Districts'!$A$3:$B$874,2,FALSE)</f>
        <v>Cayuga</v>
      </c>
      <c r="D5" s="15">
        <v>346806</v>
      </c>
      <c r="E5">
        <f>VLOOKUP(C5,'All Districts'!$B$3:$C$874,2,FALSE)</f>
        <v>0</v>
      </c>
      <c r="F5" s="91">
        <f>COUNTIF($E$2:$E$7106,E5)</f>
        <v>352</v>
      </c>
    </row>
    <row r="6" spans="1:6" x14ac:dyDescent="0.2">
      <c r="A6">
        <v>2019</v>
      </c>
      <c r="B6" s="36">
        <v>8105</v>
      </c>
      <c r="C6" s="90" t="str">
        <f>VLOOKUP(B6,'All Districts'!$A$3:$B$874,2,FALSE)</f>
        <v>Cayuga</v>
      </c>
      <c r="D6" s="40">
        <v>419304</v>
      </c>
      <c r="E6">
        <f>VLOOKUP(C6,'All Districts'!$B$3:$C$874,2,FALSE)</f>
        <v>0</v>
      </c>
      <c r="F6" s="91">
        <f>COUNTIF($E$2:$E$7106,E6)</f>
        <v>352</v>
      </c>
    </row>
    <row r="7" spans="1:6" x14ac:dyDescent="0.2">
      <c r="A7">
        <v>2020</v>
      </c>
      <c r="B7" s="36">
        <v>8105</v>
      </c>
      <c r="C7" s="90" t="str">
        <f>VLOOKUP(B7,'All Districts'!$A$3:$B$874,2,FALSE)</f>
        <v>Cayuga</v>
      </c>
      <c r="D7" s="40">
        <v>353066</v>
      </c>
      <c r="E7">
        <f>VLOOKUP(C7,'All Districts'!$B$3:$C$874,2,FALSE)</f>
        <v>0</v>
      </c>
      <c r="F7" s="91">
        <f>COUNTIF($E$2:$E$7106,E7)</f>
        <v>352</v>
      </c>
    </row>
    <row r="8" spans="1:6" x14ac:dyDescent="0.2">
      <c r="A8" s="10">
        <v>2021</v>
      </c>
      <c r="B8" s="55">
        <v>8105</v>
      </c>
      <c r="C8" s="90" t="str">
        <f>VLOOKUP(B8,'All Districts'!$A$3:$B$874,2,FALSE)</f>
        <v>Cayuga</v>
      </c>
      <c r="D8" s="75">
        <v>335562</v>
      </c>
      <c r="E8">
        <f>VLOOKUP(C8,'All Districts'!$B$3:$C$874,2,FALSE)</f>
        <v>0</v>
      </c>
      <c r="F8" s="91">
        <f>COUNTIF($E$2:$E$7106,E8)</f>
        <v>352</v>
      </c>
    </row>
    <row r="9" spans="1:6" x14ac:dyDescent="0.2">
      <c r="A9">
        <v>2022</v>
      </c>
      <c r="B9" s="36">
        <v>8105</v>
      </c>
      <c r="C9" s="90" t="str">
        <f>VLOOKUP(B9,'All Districts'!$A$3:$B$874,2,FALSE)</f>
        <v>Cayuga</v>
      </c>
      <c r="D9" s="82">
        <v>344281</v>
      </c>
      <c r="E9">
        <f>VLOOKUP(C9,'All Districts'!$B$3:$C$874,2,FALSE)</f>
        <v>0</v>
      </c>
      <c r="F9" s="91">
        <f>COUNTIF($E$2:$E$7106,E9)</f>
        <v>352</v>
      </c>
    </row>
    <row r="10" spans="1:6" x14ac:dyDescent="0.2">
      <c r="A10">
        <v>2023</v>
      </c>
      <c r="B10" s="36">
        <v>8105</v>
      </c>
      <c r="C10" s="90" t="str">
        <f>VLOOKUP(B10,'All Districts'!$A$3:$B$874,2,FALSE)</f>
        <v>Cayuga</v>
      </c>
      <c r="D10" s="40">
        <v>365973</v>
      </c>
      <c r="E10">
        <f>VLOOKUP(C10,'All Districts'!$B$3:$C$874,2,FALSE)</f>
        <v>0</v>
      </c>
      <c r="F10" s="91">
        <f>COUNTIF($E$2:$E$7106,E10)</f>
        <v>352</v>
      </c>
    </row>
    <row r="11" spans="1:6" x14ac:dyDescent="0.2">
      <c r="A11">
        <v>2023</v>
      </c>
      <c r="B11" s="36">
        <v>8442</v>
      </c>
      <c r="C11" s="90" t="str">
        <f>VLOOKUP(B11,'All Districts'!$A$3:$B$874,2,FALSE)</f>
        <v>Citizenship and Science Academy of Rochester</v>
      </c>
      <c r="D11" s="40">
        <v>99264</v>
      </c>
      <c r="E11">
        <f>VLOOKUP(C11,'All Districts'!$B$3:$C$874,2,FALSE)</f>
        <v>0</v>
      </c>
      <c r="F11" s="91">
        <f>COUNTIF($E$2:$E$7106,E11)</f>
        <v>352</v>
      </c>
    </row>
    <row r="12" spans="1:6" x14ac:dyDescent="0.2">
      <c r="A12">
        <v>2015</v>
      </c>
      <c r="B12" s="13">
        <v>8113</v>
      </c>
      <c r="C12" s="90" t="str">
        <f>VLOOKUP(B12,'All Districts'!$A$3:$B$874,2,FALSE)</f>
        <v>Columbia-Greene</v>
      </c>
      <c r="D12" s="15">
        <v>271897</v>
      </c>
      <c r="E12">
        <f>VLOOKUP(C12,'All Districts'!$B$3:$C$874,2,FALSE)</f>
        <v>0</v>
      </c>
      <c r="F12" s="91">
        <f>COUNTIF($E$2:$E$7106,E12)</f>
        <v>352</v>
      </c>
    </row>
    <row r="13" spans="1:6" x14ac:dyDescent="0.2">
      <c r="A13">
        <v>2016</v>
      </c>
      <c r="B13" s="13">
        <v>8113</v>
      </c>
      <c r="C13" s="90" t="str">
        <f>VLOOKUP(B13,'All Districts'!$A$3:$B$874,2,FALSE)</f>
        <v>Columbia-Greene</v>
      </c>
      <c r="D13" s="16">
        <v>215714</v>
      </c>
      <c r="E13">
        <f>VLOOKUP(C13,'All Districts'!$B$3:$C$874,2,FALSE)</f>
        <v>0</v>
      </c>
      <c r="F13" s="91">
        <f>COUNTIF($E$2:$E$7106,E13)</f>
        <v>352</v>
      </c>
    </row>
    <row r="14" spans="1:6" x14ac:dyDescent="0.2">
      <c r="A14">
        <v>2017</v>
      </c>
      <c r="B14" s="13">
        <v>8113</v>
      </c>
      <c r="C14" s="90" t="str">
        <f>VLOOKUP(B14,'All Districts'!$A$3:$B$874,2,FALSE)</f>
        <v>Columbia-Greene</v>
      </c>
      <c r="D14" s="16">
        <v>199776</v>
      </c>
      <c r="E14">
        <f>VLOOKUP(C14,'All Districts'!$B$3:$C$874,2,FALSE)</f>
        <v>0</v>
      </c>
      <c r="F14" s="91">
        <f>COUNTIF($E$2:$E$7106,E14)</f>
        <v>352</v>
      </c>
    </row>
    <row r="15" spans="1:6" x14ac:dyDescent="0.2">
      <c r="A15" s="10">
        <v>2018</v>
      </c>
      <c r="B15" s="13">
        <v>8113</v>
      </c>
      <c r="C15" s="90" t="str">
        <f>VLOOKUP(B15,'All Districts'!$A$3:$B$874,2,FALSE)</f>
        <v>Columbia-Greene</v>
      </c>
      <c r="D15" s="15">
        <v>174200</v>
      </c>
      <c r="E15">
        <f>VLOOKUP(C15,'All Districts'!$B$3:$C$874,2,FALSE)</f>
        <v>0</v>
      </c>
      <c r="F15" s="91">
        <f>COUNTIF($E$2:$E$7106,E15)</f>
        <v>352</v>
      </c>
    </row>
    <row r="16" spans="1:6" x14ac:dyDescent="0.2">
      <c r="A16">
        <v>2019</v>
      </c>
      <c r="B16" s="36">
        <v>8113</v>
      </c>
      <c r="C16" s="90" t="str">
        <f>VLOOKUP(B16,'All Districts'!$A$3:$B$874,2,FALSE)</f>
        <v>Columbia-Greene</v>
      </c>
      <c r="D16" s="40">
        <v>193138</v>
      </c>
      <c r="E16">
        <f>VLOOKUP(C16,'All Districts'!$B$3:$C$874,2,FALSE)</f>
        <v>0</v>
      </c>
      <c r="F16" s="91">
        <f>COUNTIF($E$2:$E$7106,E16)</f>
        <v>352</v>
      </c>
    </row>
    <row r="17" spans="1:6" x14ac:dyDescent="0.2">
      <c r="A17">
        <v>2020</v>
      </c>
      <c r="B17" s="36">
        <v>8113</v>
      </c>
      <c r="C17" s="90" t="str">
        <f>VLOOKUP(B17,'All Districts'!$A$3:$B$874,2,FALSE)</f>
        <v>Columbia-Greene</v>
      </c>
      <c r="D17" s="40">
        <v>156771</v>
      </c>
      <c r="E17">
        <f>VLOOKUP(C17,'All Districts'!$B$3:$C$874,2,FALSE)</f>
        <v>0</v>
      </c>
      <c r="F17" s="91">
        <f>COUNTIF($E$2:$E$7106,E17)</f>
        <v>352</v>
      </c>
    </row>
    <row r="18" spans="1:6" x14ac:dyDescent="0.2">
      <c r="A18" s="10">
        <v>2021</v>
      </c>
      <c r="B18" s="52">
        <v>8113</v>
      </c>
      <c r="C18" s="90" t="str">
        <f>VLOOKUP(B18,'All Districts'!$A$3:$B$874,2,FALSE)</f>
        <v>Columbia-Greene</v>
      </c>
      <c r="D18" s="75">
        <v>161606</v>
      </c>
      <c r="E18">
        <f>VLOOKUP(C18,'All Districts'!$B$3:$C$874,2,FALSE)</f>
        <v>0</v>
      </c>
      <c r="F18" s="91">
        <f>COUNTIF($E$2:$E$7106,E18)</f>
        <v>352</v>
      </c>
    </row>
    <row r="19" spans="1:6" x14ac:dyDescent="0.2">
      <c r="A19">
        <v>2022</v>
      </c>
      <c r="B19" s="36">
        <v>8113</v>
      </c>
      <c r="C19" s="90" t="str">
        <f>VLOOKUP(B19,'All Districts'!$A$3:$B$874,2,FALSE)</f>
        <v>Columbia-Greene</v>
      </c>
      <c r="D19" s="82">
        <v>175660</v>
      </c>
      <c r="E19">
        <f>VLOOKUP(C19,'All Districts'!$B$3:$C$874,2,FALSE)</f>
        <v>0</v>
      </c>
      <c r="F19" s="91">
        <f>COUNTIF($E$2:$E$7106,E19)</f>
        <v>352</v>
      </c>
    </row>
    <row r="20" spans="1:6" x14ac:dyDescent="0.2">
      <c r="A20">
        <v>2023</v>
      </c>
      <c r="B20" s="36">
        <v>8113</v>
      </c>
      <c r="C20" s="90" t="str">
        <f>VLOOKUP(B20,'All Districts'!$A$3:$B$874,2,FALSE)</f>
        <v>Columbia-Greene</v>
      </c>
      <c r="D20" s="40">
        <v>203717</v>
      </c>
      <c r="E20">
        <f>VLOOKUP(C20,'All Districts'!$B$3:$C$874,2,FALSE)</f>
        <v>0</v>
      </c>
      <c r="F20" s="91">
        <f>COUNTIF($E$2:$E$7106,E20)</f>
        <v>352</v>
      </c>
    </row>
    <row r="21" spans="1:6" x14ac:dyDescent="0.2">
      <c r="A21">
        <v>2015</v>
      </c>
      <c r="B21" s="13">
        <v>1050</v>
      </c>
      <c r="C21" s="90" t="str">
        <f>VLOOKUP(B21,'All Districts'!$A$3:$B$874,2,FALSE)</f>
        <v>Corning-Painted Post</v>
      </c>
      <c r="D21" s="14">
        <v>6193738</v>
      </c>
      <c r="E21">
        <f>VLOOKUP(C21,'All Districts'!$B$3:$C$874,2,FALSE)</f>
        <v>0</v>
      </c>
      <c r="F21" s="91">
        <f>COUNTIF($E$2:$E$7106,E21)</f>
        <v>352</v>
      </c>
    </row>
    <row r="22" spans="1:6" x14ac:dyDescent="0.2">
      <c r="A22">
        <v>2016</v>
      </c>
      <c r="B22" s="13">
        <v>1050</v>
      </c>
      <c r="C22" s="90" t="str">
        <f>VLOOKUP(B22,'All Districts'!$A$3:$B$874,2,FALSE)</f>
        <v>Corning-Painted Post</v>
      </c>
      <c r="D22" s="16">
        <v>4816761</v>
      </c>
      <c r="E22">
        <f>VLOOKUP(C22,'All Districts'!$B$3:$C$874,2,FALSE)</f>
        <v>0</v>
      </c>
      <c r="F22" s="91">
        <f>COUNTIF($E$2:$E$7106,E22)</f>
        <v>352</v>
      </c>
    </row>
    <row r="23" spans="1:6" x14ac:dyDescent="0.2">
      <c r="A23">
        <v>2017</v>
      </c>
      <c r="B23" s="13">
        <v>1050</v>
      </c>
      <c r="C23" s="90" t="str">
        <f>VLOOKUP(B23,'All Districts'!$A$3:$B$874,2,FALSE)</f>
        <v>Corning-Painted Post</v>
      </c>
      <c r="D23" s="16">
        <v>4344034</v>
      </c>
      <c r="E23">
        <f>VLOOKUP(C23,'All Districts'!$B$3:$C$874,2,FALSE)</f>
        <v>0</v>
      </c>
      <c r="F23" s="91">
        <f>COUNTIF($E$2:$E$7106,E23)</f>
        <v>352</v>
      </c>
    </row>
    <row r="24" spans="1:6" x14ac:dyDescent="0.2">
      <c r="A24" s="10">
        <v>2018</v>
      </c>
      <c r="B24" s="13">
        <v>1050</v>
      </c>
      <c r="C24" s="90" t="str">
        <f>VLOOKUP(B24,'All Districts'!$A$3:$B$874,2,FALSE)</f>
        <v>Corning-Painted Post</v>
      </c>
      <c r="D24" s="15">
        <v>3666178</v>
      </c>
      <c r="E24">
        <f>VLOOKUP(C24,'All Districts'!$B$3:$C$874,2,FALSE)</f>
        <v>0</v>
      </c>
      <c r="F24" s="91">
        <f>COUNTIF($E$2:$E$7106,E24)</f>
        <v>352</v>
      </c>
    </row>
    <row r="25" spans="1:6" x14ac:dyDescent="0.2">
      <c r="A25">
        <v>2019</v>
      </c>
      <c r="B25" s="36">
        <v>1050</v>
      </c>
      <c r="C25" s="90" t="str">
        <f>VLOOKUP(B25,'All Districts'!$A$3:$B$874,2,FALSE)</f>
        <v>Corning-Painted Post</v>
      </c>
      <c r="D25" s="40">
        <v>4162158</v>
      </c>
      <c r="E25">
        <f>VLOOKUP(C25,'All Districts'!$B$3:$C$874,2,FALSE)</f>
        <v>0</v>
      </c>
      <c r="F25" s="91">
        <f>COUNTIF($E$2:$E$7106,E25)</f>
        <v>352</v>
      </c>
    </row>
    <row r="26" spans="1:6" x14ac:dyDescent="0.2">
      <c r="A26">
        <v>2020</v>
      </c>
      <c r="B26" s="36">
        <v>1050</v>
      </c>
      <c r="C26" s="90" t="str">
        <f>VLOOKUP(B26,'All Districts'!$A$3:$B$874,2,FALSE)</f>
        <v>Corning-Painted Post</v>
      </c>
      <c r="D26" s="40">
        <v>3547095</v>
      </c>
      <c r="E26">
        <f>VLOOKUP(C26,'All Districts'!$B$3:$C$874,2,FALSE)</f>
        <v>0</v>
      </c>
      <c r="F26" s="91">
        <f>COUNTIF($E$2:$E$7106,E26)</f>
        <v>352</v>
      </c>
    </row>
    <row r="27" spans="1:6" x14ac:dyDescent="0.2">
      <c r="A27" s="10">
        <v>2021</v>
      </c>
      <c r="B27" s="52">
        <v>1050</v>
      </c>
      <c r="C27" s="90" t="str">
        <f>VLOOKUP(B27,'All Districts'!$A$3:$B$874,2,FALSE)</f>
        <v>Corning-Painted Post</v>
      </c>
      <c r="D27" s="76">
        <v>3873302</v>
      </c>
      <c r="E27">
        <f>VLOOKUP(C27,'All Districts'!$B$3:$C$874,2,FALSE)</f>
        <v>0</v>
      </c>
      <c r="F27" s="91">
        <f>COUNTIF($E$2:$E$7106,E27)</f>
        <v>352</v>
      </c>
    </row>
    <row r="28" spans="1:6" x14ac:dyDescent="0.2">
      <c r="A28">
        <v>2022</v>
      </c>
      <c r="B28" s="36">
        <v>1050</v>
      </c>
      <c r="C28" s="90" t="str">
        <f>VLOOKUP(B28,'All Districts'!$A$3:$B$874,2,FALSE)</f>
        <v>Corning-Painted Post</v>
      </c>
      <c r="D28" s="82">
        <v>4051696</v>
      </c>
      <c r="E28">
        <f>VLOOKUP(C28,'All Districts'!$B$3:$C$874,2,FALSE)</f>
        <v>0</v>
      </c>
      <c r="F28" s="91">
        <f>COUNTIF($E$2:$E$7106,E28)</f>
        <v>352</v>
      </c>
    </row>
    <row r="29" spans="1:6" x14ac:dyDescent="0.2">
      <c r="A29">
        <v>2023</v>
      </c>
      <c r="B29" s="36">
        <v>1050</v>
      </c>
      <c r="C29" s="90" t="str">
        <f>VLOOKUP(B29,'All Districts'!$A$3:$B$874,2,FALSE)</f>
        <v>Corning-Painted Post</v>
      </c>
      <c r="D29" s="40">
        <v>4376803</v>
      </c>
      <c r="E29">
        <f>VLOOKUP(C29,'All Districts'!$B$3:$C$874,2,FALSE)</f>
        <v>0</v>
      </c>
      <c r="F29" s="91">
        <f>COUNTIF($E$2:$E$7106,E29)</f>
        <v>352</v>
      </c>
    </row>
    <row r="30" spans="1:6" x14ac:dyDescent="0.2">
      <c r="A30">
        <v>2015</v>
      </c>
      <c r="B30" s="13">
        <v>2084</v>
      </c>
      <c r="C30" s="90" t="str">
        <f>VLOOKUP(B30,'All Districts'!$A$3:$B$874,2,FALSE)</f>
        <v>Cornwall</v>
      </c>
      <c r="D30" s="14">
        <v>4646816</v>
      </c>
      <c r="E30">
        <f>VLOOKUP(C30,'All Districts'!$B$3:$C$874,2,FALSE)</f>
        <v>0</v>
      </c>
      <c r="F30" s="91">
        <f>COUNTIF($E$2:$E$7106,E30)</f>
        <v>352</v>
      </c>
    </row>
    <row r="31" spans="1:6" x14ac:dyDescent="0.2">
      <c r="A31">
        <v>2016</v>
      </c>
      <c r="B31" s="13">
        <v>2084</v>
      </c>
      <c r="C31" s="90" t="str">
        <f>VLOOKUP(B31,'All Districts'!$A$3:$B$874,2,FALSE)</f>
        <v>Cornwall</v>
      </c>
      <c r="D31" s="16">
        <v>3619369</v>
      </c>
      <c r="E31">
        <f>VLOOKUP(C31,'All Districts'!$B$3:$C$874,2,FALSE)</f>
        <v>0</v>
      </c>
      <c r="F31" s="91">
        <f>COUNTIF($E$2:$E$7106,E31)</f>
        <v>352</v>
      </c>
    </row>
    <row r="32" spans="1:6" x14ac:dyDescent="0.2">
      <c r="A32">
        <v>2017</v>
      </c>
      <c r="B32" s="13">
        <v>2084</v>
      </c>
      <c r="C32" s="90" t="str">
        <f>VLOOKUP(B32,'All Districts'!$A$3:$B$874,2,FALSE)</f>
        <v>Cornwall</v>
      </c>
      <c r="D32" s="16">
        <v>3315376</v>
      </c>
      <c r="E32">
        <f>VLOOKUP(C32,'All Districts'!$B$3:$C$874,2,FALSE)</f>
        <v>0</v>
      </c>
      <c r="F32" s="91">
        <f>COUNTIF($E$2:$E$7106,E32)</f>
        <v>352</v>
      </c>
    </row>
    <row r="33" spans="1:6" x14ac:dyDescent="0.2">
      <c r="A33" s="10">
        <v>2018</v>
      </c>
      <c r="B33" s="13">
        <v>2084</v>
      </c>
      <c r="C33" s="90" t="str">
        <f>VLOOKUP(B33,'All Districts'!$A$3:$B$874,2,FALSE)</f>
        <v>Cornwall</v>
      </c>
      <c r="D33" s="15">
        <v>2821548</v>
      </c>
      <c r="E33">
        <f>VLOOKUP(C33,'All Districts'!$B$3:$C$874,2,FALSE)</f>
        <v>0</v>
      </c>
      <c r="F33" s="91">
        <f>COUNTIF($E$2:$E$7106,E33)</f>
        <v>352</v>
      </c>
    </row>
    <row r="34" spans="1:6" x14ac:dyDescent="0.2">
      <c r="A34">
        <v>2019</v>
      </c>
      <c r="B34" s="36">
        <v>2084</v>
      </c>
      <c r="C34" s="90" t="str">
        <f>VLOOKUP(B34,'All Districts'!$A$3:$B$874,2,FALSE)</f>
        <v>Cornwall</v>
      </c>
      <c r="D34" s="40">
        <v>3076412</v>
      </c>
      <c r="E34">
        <f>VLOOKUP(C34,'All Districts'!$B$3:$C$874,2,FALSE)</f>
        <v>0</v>
      </c>
      <c r="F34" s="91">
        <f>COUNTIF($E$2:$E$7106,E34)</f>
        <v>352</v>
      </c>
    </row>
    <row r="35" spans="1:6" x14ac:dyDescent="0.2">
      <c r="A35">
        <v>2020</v>
      </c>
      <c r="B35" s="36">
        <v>2084</v>
      </c>
      <c r="C35" s="90" t="str">
        <f>VLOOKUP(B35,'All Districts'!$A$3:$B$874,2,FALSE)</f>
        <v>Cornwall</v>
      </c>
      <c r="D35" s="40">
        <v>2667281</v>
      </c>
      <c r="E35">
        <f>VLOOKUP(C35,'All Districts'!$B$3:$C$874,2,FALSE)</f>
        <v>0</v>
      </c>
      <c r="F35" s="91">
        <f>COUNTIF($E$2:$E$7106,E35)</f>
        <v>352</v>
      </c>
    </row>
    <row r="36" spans="1:6" x14ac:dyDescent="0.2">
      <c r="A36" s="10">
        <v>2021</v>
      </c>
      <c r="B36" s="52">
        <v>2084</v>
      </c>
      <c r="C36" s="90" t="str">
        <f>VLOOKUP(B36,'All Districts'!$A$3:$B$874,2,FALSE)</f>
        <v>Cornwall</v>
      </c>
      <c r="D36" s="75">
        <v>2909280</v>
      </c>
      <c r="E36">
        <f>VLOOKUP(C36,'All Districts'!$B$3:$C$874,2,FALSE)</f>
        <v>0</v>
      </c>
      <c r="F36" s="91">
        <f>COUNTIF($E$2:$E$7106,E36)</f>
        <v>352</v>
      </c>
    </row>
    <row r="37" spans="1:6" x14ac:dyDescent="0.2">
      <c r="A37">
        <v>2022</v>
      </c>
      <c r="B37" s="36">
        <v>2084</v>
      </c>
      <c r="C37" s="90" t="str">
        <f>VLOOKUP(B37,'All Districts'!$A$3:$B$874,2,FALSE)</f>
        <v>Cornwall</v>
      </c>
      <c r="D37" s="82">
        <v>3121999</v>
      </c>
      <c r="E37">
        <f>VLOOKUP(C37,'All Districts'!$B$3:$C$874,2,FALSE)</f>
        <v>0</v>
      </c>
      <c r="F37" s="91">
        <f>COUNTIF($E$2:$E$7106,E37)</f>
        <v>352</v>
      </c>
    </row>
    <row r="38" spans="1:6" x14ac:dyDescent="0.2">
      <c r="A38">
        <v>2023</v>
      </c>
      <c r="B38" s="36">
        <v>2084</v>
      </c>
      <c r="C38" s="90" t="str">
        <f>VLOOKUP(B38,'All Districts'!$A$3:$B$874,2,FALSE)</f>
        <v>Cornwall</v>
      </c>
      <c r="D38" s="40">
        <v>3498209</v>
      </c>
      <c r="E38">
        <f>VLOOKUP(C38,'All Districts'!$B$3:$C$874,2,FALSE)</f>
        <v>0</v>
      </c>
      <c r="F38" s="91">
        <f>COUNTIF($E$2:$E$7106,E38)</f>
        <v>352</v>
      </c>
    </row>
    <row r="39" spans="1:6" x14ac:dyDescent="0.2">
      <c r="A39">
        <v>2015</v>
      </c>
      <c r="B39" s="13">
        <v>8000</v>
      </c>
      <c r="C39" s="90" t="str">
        <f>VLOOKUP(B39,'All Districts'!$A$3:$B$874,2,FALSE)</f>
        <v>Education Department</v>
      </c>
      <c r="D39" s="15">
        <v>2795300</v>
      </c>
      <c r="E39">
        <f>VLOOKUP(C39,'All Districts'!$B$3:$C$874,2,FALSE)</f>
        <v>0</v>
      </c>
      <c r="F39" s="91">
        <f>COUNTIF($E$2:$E$7106,E39)</f>
        <v>352</v>
      </c>
    </row>
    <row r="40" spans="1:6" x14ac:dyDescent="0.2">
      <c r="A40">
        <v>2016</v>
      </c>
      <c r="B40" s="13">
        <v>8000</v>
      </c>
      <c r="C40" s="90" t="str">
        <f>VLOOKUP(B40,'All Districts'!$A$3:$B$874,2,FALSE)</f>
        <v>Education Department</v>
      </c>
      <c r="D40" s="16">
        <v>2101275</v>
      </c>
      <c r="E40">
        <f>VLOOKUP(C40,'All Districts'!$B$3:$C$874,2,FALSE)</f>
        <v>0</v>
      </c>
      <c r="F40" s="91">
        <f>COUNTIF($E$2:$E$7106,E40)</f>
        <v>352</v>
      </c>
    </row>
    <row r="41" spans="1:6" x14ac:dyDescent="0.2">
      <c r="A41">
        <v>2017</v>
      </c>
      <c r="B41" s="13">
        <v>8000</v>
      </c>
      <c r="C41" s="90" t="str">
        <f>VLOOKUP(B41,'All Districts'!$A$3:$B$874,2,FALSE)</f>
        <v>Education Department</v>
      </c>
      <c r="D41" s="16">
        <v>1878608</v>
      </c>
      <c r="E41">
        <f>VLOOKUP(C41,'All Districts'!$B$3:$C$874,2,FALSE)</f>
        <v>0</v>
      </c>
      <c r="F41" s="91">
        <f>COUNTIF($E$2:$E$7106,E41)</f>
        <v>352</v>
      </c>
    </row>
    <row r="42" spans="1:6" x14ac:dyDescent="0.2">
      <c r="A42" s="10">
        <v>2018</v>
      </c>
      <c r="B42" s="13">
        <v>8000</v>
      </c>
      <c r="C42" s="90" t="str">
        <f>VLOOKUP(B42,'All Districts'!$A$3:$B$874,2,FALSE)</f>
        <v>Education Department</v>
      </c>
      <c r="D42" s="15">
        <v>1553805</v>
      </c>
      <c r="E42">
        <f>VLOOKUP(C42,'All Districts'!$B$3:$C$874,2,FALSE)</f>
        <v>0</v>
      </c>
      <c r="F42" s="91">
        <f>COUNTIF($E$2:$E$7106,E42)</f>
        <v>352</v>
      </c>
    </row>
    <row r="43" spans="1:6" x14ac:dyDescent="0.2">
      <c r="A43">
        <v>2019</v>
      </c>
      <c r="B43" s="36">
        <v>8000</v>
      </c>
      <c r="C43" s="90" t="str">
        <f>VLOOKUP(B43,'All Districts'!$A$3:$B$874,2,FALSE)</f>
        <v>Education Department</v>
      </c>
      <c r="D43" s="40">
        <v>1710243</v>
      </c>
      <c r="E43">
        <f>VLOOKUP(C43,'All Districts'!$B$3:$C$874,2,FALSE)</f>
        <v>0</v>
      </c>
      <c r="F43" s="91">
        <f>COUNTIF($E$2:$E$7106,E43)</f>
        <v>352</v>
      </c>
    </row>
    <row r="44" spans="1:6" x14ac:dyDescent="0.2">
      <c r="A44">
        <v>2020</v>
      </c>
      <c r="B44" s="36">
        <v>8000</v>
      </c>
      <c r="C44" s="90" t="str">
        <f>VLOOKUP(B44,'All Districts'!$A$3:$B$874,2,FALSE)</f>
        <v>Education Department</v>
      </c>
      <c r="D44" s="40">
        <v>1416656</v>
      </c>
      <c r="E44">
        <f>VLOOKUP(C44,'All Districts'!$B$3:$C$874,2,FALSE)</f>
        <v>0</v>
      </c>
      <c r="F44" s="91">
        <f>COUNTIF($E$2:$E$7106,E44)</f>
        <v>352</v>
      </c>
    </row>
    <row r="45" spans="1:6" x14ac:dyDescent="0.2">
      <c r="A45" s="10">
        <v>2021</v>
      </c>
      <c r="B45" s="55">
        <v>8000</v>
      </c>
      <c r="C45" s="90" t="str">
        <f>VLOOKUP(B45,'All Districts'!$A$3:$B$874,2,FALSE)</f>
        <v>Education Department</v>
      </c>
      <c r="D45" s="76">
        <v>1520472</v>
      </c>
      <c r="E45">
        <f>VLOOKUP(C45,'All Districts'!$B$3:$C$874,2,FALSE)</f>
        <v>0</v>
      </c>
      <c r="F45" s="91">
        <f>COUNTIF($E$2:$E$7106,E45)</f>
        <v>352</v>
      </c>
    </row>
    <row r="46" spans="1:6" x14ac:dyDescent="0.2">
      <c r="A46">
        <v>2022</v>
      </c>
      <c r="B46" s="36">
        <v>8000</v>
      </c>
      <c r="C46" s="90" t="str">
        <f>VLOOKUP(B46,'All Districts'!$A$3:$B$874,2,FALSE)</f>
        <v>Education Department</v>
      </c>
      <c r="D46" s="82">
        <v>1802729</v>
      </c>
      <c r="E46">
        <f>VLOOKUP(C46,'All Districts'!$B$3:$C$874,2,FALSE)</f>
        <v>0</v>
      </c>
      <c r="F46" s="91">
        <f>COUNTIF($E$2:$E$7106,E46)</f>
        <v>352</v>
      </c>
    </row>
    <row r="47" spans="1:6" x14ac:dyDescent="0.2">
      <c r="A47">
        <v>2023</v>
      </c>
      <c r="B47" s="36">
        <v>8000</v>
      </c>
      <c r="C47" s="90" t="str">
        <f>VLOOKUP(B47,'All Districts'!$A$3:$B$874,2,FALSE)</f>
        <v>Education Department</v>
      </c>
      <c r="D47" s="40">
        <v>1919289</v>
      </c>
      <c r="E47">
        <f>VLOOKUP(C47,'All Districts'!$B$3:$C$874,2,FALSE)</f>
        <v>0</v>
      </c>
      <c r="F47" s="91">
        <f>COUNTIF($E$2:$E$7106,E47)</f>
        <v>352</v>
      </c>
    </row>
    <row r="48" spans="1:6" x14ac:dyDescent="0.2">
      <c r="A48">
        <v>2015</v>
      </c>
      <c r="B48" s="13">
        <v>8124</v>
      </c>
      <c r="C48" s="90" t="str">
        <f>VLOOKUP(B48,'All Districts'!$A$3:$B$874,2,FALSE)</f>
        <v>Erie Community College Central Staff</v>
      </c>
      <c r="D48" s="15">
        <v>2503096</v>
      </c>
      <c r="E48">
        <f>VLOOKUP(C48,'All Districts'!$B$3:$C$874,2,FALSE)</f>
        <v>0</v>
      </c>
      <c r="F48" s="91">
        <f>COUNTIF($E$2:$E$7106,E48)</f>
        <v>352</v>
      </c>
    </row>
    <row r="49" spans="1:6" x14ac:dyDescent="0.2">
      <c r="A49">
        <v>2016</v>
      </c>
      <c r="B49" s="13">
        <v>8124</v>
      </c>
      <c r="C49" s="90" t="str">
        <f>VLOOKUP(B49,'All Districts'!$A$3:$B$874,2,FALSE)</f>
        <v>Erie Community College Central Staff</v>
      </c>
      <c r="D49" s="16">
        <v>1997293</v>
      </c>
      <c r="E49">
        <f>VLOOKUP(C49,'All Districts'!$B$3:$C$874,2,FALSE)</f>
        <v>0</v>
      </c>
      <c r="F49" s="91">
        <f>COUNTIF($E$2:$E$7106,E49)</f>
        <v>352</v>
      </c>
    </row>
    <row r="50" spans="1:6" x14ac:dyDescent="0.2">
      <c r="A50">
        <v>2017</v>
      </c>
      <c r="B50" s="13">
        <v>8124</v>
      </c>
      <c r="C50" s="90" t="str">
        <f>VLOOKUP(B50,'All Districts'!$A$3:$B$874,2,FALSE)</f>
        <v>Erie Community College Central Staff</v>
      </c>
      <c r="D50" s="16">
        <v>1740733</v>
      </c>
      <c r="E50">
        <f>VLOOKUP(C50,'All Districts'!$B$3:$C$874,2,FALSE)</f>
        <v>0</v>
      </c>
      <c r="F50" s="91">
        <f>COUNTIF($E$2:$E$7106,E50)</f>
        <v>352</v>
      </c>
    </row>
    <row r="51" spans="1:6" x14ac:dyDescent="0.2">
      <c r="A51" s="10">
        <v>2018</v>
      </c>
      <c r="B51" s="13">
        <v>8124</v>
      </c>
      <c r="C51" s="90" t="str">
        <f>VLOOKUP(B51,'All Districts'!$A$3:$B$874,2,FALSE)</f>
        <v>Erie Community College Central Staff</v>
      </c>
      <c r="D51" s="15">
        <v>1500019</v>
      </c>
      <c r="E51">
        <f>VLOOKUP(C51,'All Districts'!$B$3:$C$874,2,FALSE)</f>
        <v>0</v>
      </c>
      <c r="F51" s="91">
        <f>COUNTIF($E$2:$E$7106,E51)</f>
        <v>352</v>
      </c>
    </row>
    <row r="52" spans="1:6" x14ac:dyDescent="0.2">
      <c r="A52">
        <v>2019</v>
      </c>
      <c r="B52" s="36">
        <v>8124</v>
      </c>
      <c r="C52" s="90" t="str">
        <f>VLOOKUP(B52,'All Districts'!$A$3:$B$874,2,FALSE)</f>
        <v>Erie Community College Central Staff</v>
      </c>
      <c r="D52" s="40">
        <v>1770836</v>
      </c>
      <c r="E52">
        <f>VLOOKUP(C52,'All Districts'!$B$3:$C$874,2,FALSE)</f>
        <v>0</v>
      </c>
      <c r="F52" s="91">
        <f>COUNTIF($E$2:$E$7106,E52)</f>
        <v>352</v>
      </c>
    </row>
    <row r="53" spans="1:6" x14ac:dyDescent="0.2">
      <c r="A53">
        <v>2020</v>
      </c>
      <c r="B53" s="36">
        <v>8124</v>
      </c>
      <c r="C53" s="90" t="str">
        <f>VLOOKUP(B53,'All Districts'!$A$3:$B$874,2,FALSE)</f>
        <v>Erie Community College Central Staff</v>
      </c>
      <c r="D53" s="40">
        <v>1510652</v>
      </c>
      <c r="E53">
        <f>VLOOKUP(C53,'All Districts'!$B$3:$C$874,2,FALSE)</f>
        <v>0</v>
      </c>
      <c r="F53" s="91">
        <f>COUNTIF($E$2:$E$7106,E53)</f>
        <v>352</v>
      </c>
    </row>
    <row r="54" spans="1:6" x14ac:dyDescent="0.2">
      <c r="A54" s="10">
        <v>2021</v>
      </c>
      <c r="B54" s="52">
        <v>8124</v>
      </c>
      <c r="C54" s="90" t="str">
        <f>VLOOKUP(B54,'All Districts'!$A$3:$B$874,2,FALSE)</f>
        <v>Erie Community College Central Staff</v>
      </c>
      <c r="D54" s="76">
        <v>1638519</v>
      </c>
      <c r="E54">
        <f>VLOOKUP(C54,'All Districts'!$B$3:$C$874,2,FALSE)</f>
        <v>0</v>
      </c>
      <c r="F54" s="91">
        <f>COUNTIF($E$2:$E$7106,E54)</f>
        <v>352</v>
      </c>
    </row>
    <row r="55" spans="1:6" x14ac:dyDescent="0.2">
      <c r="A55">
        <v>2022</v>
      </c>
      <c r="B55" s="36">
        <v>8124</v>
      </c>
      <c r="C55" s="90" t="str">
        <f>VLOOKUP(B55,'All Districts'!$A$3:$B$874,2,FALSE)</f>
        <v>Erie Community College Central Staff</v>
      </c>
      <c r="D55" s="82">
        <v>1620139</v>
      </c>
      <c r="E55">
        <f>VLOOKUP(C55,'All Districts'!$B$3:$C$874,2,FALSE)</f>
        <v>0</v>
      </c>
      <c r="F55" s="91">
        <f>COUNTIF($E$2:$E$7106,E55)</f>
        <v>352</v>
      </c>
    </row>
    <row r="56" spans="1:6" x14ac:dyDescent="0.2">
      <c r="A56">
        <v>2023</v>
      </c>
      <c r="B56" s="36">
        <v>8124</v>
      </c>
      <c r="C56" s="90" t="str">
        <f>VLOOKUP(B56,'All Districts'!$A$3:$B$874,2,FALSE)</f>
        <v>Erie Community College Central Staff</v>
      </c>
      <c r="D56" s="40">
        <v>1525270</v>
      </c>
      <c r="E56">
        <f>VLOOKUP(C56,'All Districts'!$B$3:$C$874,2,FALSE)</f>
        <v>0</v>
      </c>
      <c r="F56" s="91">
        <f>COUNTIF($E$2:$E$7106,E56)</f>
        <v>352</v>
      </c>
    </row>
    <row r="57" spans="1:6" x14ac:dyDescent="0.2">
      <c r="A57">
        <v>2015</v>
      </c>
      <c r="B57" s="13">
        <v>8130</v>
      </c>
      <c r="C57" s="90" t="str">
        <f>VLOOKUP(B57,'All Districts'!$A$3:$B$874,2,FALSE)</f>
        <v>Fashion Institute of Technology</v>
      </c>
      <c r="D57" s="15">
        <v>3657959</v>
      </c>
      <c r="E57">
        <f>VLOOKUP(C57,'All Districts'!$B$3:$C$874,2,FALSE)</f>
        <v>0</v>
      </c>
      <c r="F57" s="91">
        <f>COUNTIF($E$2:$E$7106,E57)</f>
        <v>352</v>
      </c>
    </row>
    <row r="58" spans="1:6" x14ac:dyDescent="0.2">
      <c r="A58">
        <v>2016</v>
      </c>
      <c r="B58" s="13">
        <v>8130</v>
      </c>
      <c r="C58" s="90" t="str">
        <f>VLOOKUP(B58,'All Districts'!$A$3:$B$874,2,FALSE)</f>
        <v>Fashion Institute of Technology</v>
      </c>
      <c r="D58" s="16">
        <v>2698858</v>
      </c>
      <c r="E58">
        <f>VLOOKUP(C58,'All Districts'!$B$3:$C$874,2,FALSE)</f>
        <v>0</v>
      </c>
      <c r="F58" s="91">
        <f>COUNTIF($E$2:$E$7106,E58)</f>
        <v>352</v>
      </c>
    </row>
    <row r="59" spans="1:6" x14ac:dyDescent="0.2">
      <c r="A59">
        <v>2017</v>
      </c>
      <c r="B59" s="13">
        <v>8130</v>
      </c>
      <c r="C59" s="90" t="str">
        <f>VLOOKUP(B59,'All Districts'!$A$3:$B$874,2,FALSE)</f>
        <v>Fashion Institute of Technology</v>
      </c>
      <c r="D59" s="16">
        <v>2861501</v>
      </c>
      <c r="E59">
        <f>VLOOKUP(C59,'All Districts'!$B$3:$C$874,2,FALSE)</f>
        <v>0</v>
      </c>
      <c r="F59" s="91">
        <f>COUNTIF($E$2:$E$7106,E59)</f>
        <v>352</v>
      </c>
    </row>
    <row r="60" spans="1:6" x14ac:dyDescent="0.2">
      <c r="A60" s="10">
        <v>2018</v>
      </c>
      <c r="B60" s="13">
        <v>8130</v>
      </c>
      <c r="C60" s="90" t="str">
        <f>VLOOKUP(B60,'All Districts'!$A$3:$B$874,2,FALSE)</f>
        <v>Fashion Institute of Technology</v>
      </c>
      <c r="D60" s="15">
        <v>2116694</v>
      </c>
      <c r="E60">
        <f>VLOOKUP(C60,'All Districts'!$B$3:$C$874,2,FALSE)</f>
        <v>0</v>
      </c>
      <c r="F60" s="91">
        <f>COUNTIF($E$2:$E$7106,E60)</f>
        <v>352</v>
      </c>
    </row>
    <row r="61" spans="1:6" x14ac:dyDescent="0.2">
      <c r="A61">
        <v>2019</v>
      </c>
      <c r="B61" s="36">
        <v>8130</v>
      </c>
      <c r="C61" s="90" t="str">
        <f>VLOOKUP(B61,'All Districts'!$A$3:$B$874,2,FALSE)</f>
        <v>Fashion Institute of Technology</v>
      </c>
      <c r="D61" s="40">
        <v>2256095</v>
      </c>
      <c r="E61">
        <f>VLOOKUP(C61,'All Districts'!$B$3:$C$874,2,FALSE)</f>
        <v>0</v>
      </c>
      <c r="F61" s="91">
        <f>COUNTIF($E$2:$E$7106,E61)</f>
        <v>352</v>
      </c>
    </row>
    <row r="62" spans="1:6" x14ac:dyDescent="0.2">
      <c r="A62">
        <v>2020</v>
      </c>
      <c r="B62" s="36">
        <v>8130</v>
      </c>
      <c r="C62" s="90" t="str">
        <f>VLOOKUP(B62,'All Districts'!$A$3:$B$874,2,FALSE)</f>
        <v>Fashion Institute of Technology</v>
      </c>
      <c r="D62" s="40">
        <v>1857859</v>
      </c>
      <c r="E62">
        <f>VLOOKUP(C62,'All Districts'!$B$3:$C$874,2,FALSE)</f>
        <v>0</v>
      </c>
      <c r="F62" s="91">
        <f>COUNTIF($E$2:$E$7106,E62)</f>
        <v>352</v>
      </c>
    </row>
    <row r="63" spans="1:6" x14ac:dyDescent="0.2">
      <c r="A63" s="10">
        <v>2021</v>
      </c>
      <c r="B63" s="52">
        <v>8130</v>
      </c>
      <c r="C63" s="90" t="str">
        <f>VLOOKUP(B63,'All Districts'!$A$3:$B$874,2,FALSE)</f>
        <v>Fashion Institute of Technology</v>
      </c>
      <c r="D63" s="76">
        <v>1896974</v>
      </c>
      <c r="E63">
        <f>VLOOKUP(C63,'All Districts'!$B$3:$C$874,2,FALSE)</f>
        <v>0</v>
      </c>
      <c r="F63" s="91">
        <f>COUNTIF($E$2:$E$7106,E63)</f>
        <v>352</v>
      </c>
    </row>
    <row r="64" spans="1:6" x14ac:dyDescent="0.2">
      <c r="A64">
        <v>2022</v>
      </c>
      <c r="B64" s="36">
        <v>8130</v>
      </c>
      <c r="C64" s="90" t="str">
        <f>VLOOKUP(B64,'All Districts'!$A$3:$B$874,2,FALSE)</f>
        <v>Fashion Institute of Technology</v>
      </c>
      <c r="D64" s="82">
        <v>1819204</v>
      </c>
      <c r="E64">
        <f>VLOOKUP(C64,'All Districts'!$B$3:$C$874,2,FALSE)</f>
        <v>0</v>
      </c>
      <c r="F64" s="91">
        <f>COUNTIF($E$2:$E$7106,E64)</f>
        <v>352</v>
      </c>
    </row>
    <row r="65" spans="1:6" x14ac:dyDescent="0.2">
      <c r="A65">
        <v>2023</v>
      </c>
      <c r="B65" s="36">
        <v>8130</v>
      </c>
      <c r="C65" s="90" t="str">
        <f>VLOOKUP(B65,'All Districts'!$A$3:$B$874,2,FALSE)</f>
        <v>Fashion Institute of Technology</v>
      </c>
      <c r="D65" s="40">
        <v>2430823</v>
      </c>
      <c r="E65">
        <f>VLOOKUP(C65,'All Districts'!$B$3:$C$874,2,FALSE)</f>
        <v>0</v>
      </c>
      <c r="F65" s="91">
        <f>COUNTIF($E$2:$E$7106,E65)</f>
        <v>352</v>
      </c>
    </row>
    <row r="66" spans="1:6" x14ac:dyDescent="0.2">
      <c r="A66">
        <v>2015</v>
      </c>
      <c r="B66" s="13">
        <v>8129</v>
      </c>
      <c r="C66" s="90" t="str">
        <f>VLOOKUP(B66,'All Districts'!$A$3:$B$874,2,FALSE)</f>
        <v>Finger Lakes</v>
      </c>
      <c r="D66" s="15">
        <v>853288</v>
      </c>
      <c r="E66">
        <f>VLOOKUP(C66,'All Districts'!$B$3:$C$874,2,FALSE)</f>
        <v>0</v>
      </c>
      <c r="F66" s="91">
        <f>COUNTIF($E$2:$E$7106,E66)</f>
        <v>352</v>
      </c>
    </row>
    <row r="67" spans="1:6" x14ac:dyDescent="0.2">
      <c r="A67">
        <v>2016</v>
      </c>
      <c r="B67" s="13">
        <v>8129</v>
      </c>
      <c r="C67" s="90" t="str">
        <f>VLOOKUP(B67,'All Districts'!$A$3:$B$874,2,FALSE)</f>
        <v>Finger Lakes</v>
      </c>
      <c r="D67" s="16">
        <v>621321</v>
      </c>
      <c r="E67">
        <f>VLOOKUP(C67,'All Districts'!$B$3:$C$874,2,FALSE)</f>
        <v>0</v>
      </c>
      <c r="F67" s="91">
        <f>COUNTIF($E$2:$E$7106,E67)</f>
        <v>352</v>
      </c>
    </row>
    <row r="68" spans="1:6" x14ac:dyDescent="0.2">
      <c r="A68">
        <v>2017</v>
      </c>
      <c r="B68" s="13">
        <v>8129</v>
      </c>
      <c r="C68" s="90" t="str">
        <f>VLOOKUP(B68,'All Districts'!$A$3:$B$874,2,FALSE)</f>
        <v>Finger Lakes</v>
      </c>
      <c r="D68" s="16">
        <v>541953</v>
      </c>
      <c r="E68">
        <f>VLOOKUP(C68,'All Districts'!$B$3:$C$874,2,FALSE)</f>
        <v>0</v>
      </c>
      <c r="F68" s="91">
        <f>COUNTIF($E$2:$E$7106,E68)</f>
        <v>352</v>
      </c>
    </row>
    <row r="69" spans="1:6" x14ac:dyDescent="0.2">
      <c r="A69" s="10">
        <v>2018</v>
      </c>
      <c r="B69" s="13">
        <v>8129</v>
      </c>
      <c r="C69" s="90" t="str">
        <f>VLOOKUP(B69,'All Districts'!$A$3:$B$874,2,FALSE)</f>
        <v>Finger Lakes</v>
      </c>
      <c r="D69" s="15">
        <v>457313</v>
      </c>
      <c r="E69">
        <f>VLOOKUP(C69,'All Districts'!$B$3:$C$874,2,FALSE)</f>
        <v>0</v>
      </c>
      <c r="F69" s="91">
        <f>COUNTIF($E$2:$E$7106,E69)</f>
        <v>352</v>
      </c>
    </row>
    <row r="70" spans="1:6" x14ac:dyDescent="0.2">
      <c r="A70">
        <v>2019</v>
      </c>
      <c r="B70" s="36">
        <v>8129</v>
      </c>
      <c r="C70" s="90" t="str">
        <f>VLOOKUP(B70,'All Districts'!$A$3:$B$874,2,FALSE)</f>
        <v>Finger Lakes</v>
      </c>
      <c r="D70" s="40">
        <v>511833</v>
      </c>
      <c r="E70">
        <f>VLOOKUP(C70,'All Districts'!$B$3:$C$874,2,FALSE)</f>
        <v>0</v>
      </c>
      <c r="F70" s="91">
        <f>COUNTIF($E$2:$E$7106,E70)</f>
        <v>352</v>
      </c>
    </row>
    <row r="71" spans="1:6" x14ac:dyDescent="0.2">
      <c r="A71">
        <v>2020</v>
      </c>
      <c r="B71" s="36">
        <v>8129</v>
      </c>
      <c r="C71" s="90" t="str">
        <f>VLOOKUP(B71,'All Districts'!$A$3:$B$874,2,FALSE)</f>
        <v>Finger Lakes</v>
      </c>
      <c r="D71" s="40">
        <v>455650</v>
      </c>
      <c r="E71">
        <f>VLOOKUP(C71,'All Districts'!$B$3:$C$874,2,FALSE)</f>
        <v>0</v>
      </c>
      <c r="F71" s="91">
        <f>COUNTIF($E$2:$E$7106,E71)</f>
        <v>352</v>
      </c>
    </row>
    <row r="72" spans="1:6" x14ac:dyDescent="0.2">
      <c r="A72" s="10">
        <v>2021</v>
      </c>
      <c r="B72" s="52">
        <v>8129</v>
      </c>
      <c r="C72" s="90" t="str">
        <f>VLOOKUP(B72,'All Districts'!$A$3:$B$874,2,FALSE)</f>
        <v>Finger Lakes</v>
      </c>
      <c r="D72" s="76">
        <v>438152</v>
      </c>
      <c r="E72">
        <f>VLOOKUP(C72,'All Districts'!$B$3:$C$874,2,FALSE)</f>
        <v>0</v>
      </c>
      <c r="F72" s="91">
        <f>COUNTIF($E$2:$E$7106,E72)</f>
        <v>352</v>
      </c>
    </row>
    <row r="73" spans="1:6" x14ac:dyDescent="0.2">
      <c r="A73">
        <v>2022</v>
      </c>
      <c r="B73" s="36">
        <v>8129</v>
      </c>
      <c r="C73" s="90" t="str">
        <f>VLOOKUP(B73,'All Districts'!$A$3:$B$874,2,FALSE)</f>
        <v>Finger Lakes</v>
      </c>
      <c r="D73" s="82">
        <v>468354</v>
      </c>
      <c r="E73">
        <f>VLOOKUP(C73,'All Districts'!$B$3:$C$874,2,FALSE)</f>
        <v>0</v>
      </c>
      <c r="F73" s="91">
        <f>COUNTIF($E$2:$E$7106,E73)</f>
        <v>352</v>
      </c>
    </row>
    <row r="74" spans="1:6" x14ac:dyDescent="0.2">
      <c r="A74">
        <v>2023</v>
      </c>
      <c r="B74" s="36">
        <v>8129</v>
      </c>
      <c r="C74" s="90" t="str">
        <f>VLOOKUP(B74,'All Districts'!$A$3:$B$874,2,FALSE)</f>
        <v>Finger Lakes</v>
      </c>
      <c r="D74" s="40">
        <v>540495</v>
      </c>
      <c r="E74">
        <f>VLOOKUP(C74,'All Districts'!$B$3:$C$874,2,FALSE)</f>
        <v>0</v>
      </c>
      <c r="F74" s="91">
        <f>COUNTIF($E$2:$E$7106,E74)</f>
        <v>352</v>
      </c>
    </row>
    <row r="75" spans="1:6" x14ac:dyDescent="0.2">
      <c r="A75">
        <v>2015</v>
      </c>
      <c r="B75" s="13">
        <v>8131</v>
      </c>
      <c r="C75" s="90" t="str">
        <f>VLOOKUP(B75,'All Districts'!$A$3:$B$874,2,FALSE)</f>
        <v>Fulton-Montgomery</v>
      </c>
      <c r="D75" s="15">
        <v>482161</v>
      </c>
      <c r="E75">
        <f>VLOOKUP(C75,'All Districts'!$B$3:$C$874,2,FALSE)</f>
        <v>0</v>
      </c>
      <c r="F75" s="91">
        <f>COUNTIF($E$2:$E$7106,E75)</f>
        <v>352</v>
      </c>
    </row>
    <row r="76" spans="1:6" x14ac:dyDescent="0.2">
      <c r="A76">
        <v>2016</v>
      </c>
      <c r="B76" s="13">
        <v>8131</v>
      </c>
      <c r="C76" s="90" t="str">
        <f>VLOOKUP(B76,'All Districts'!$A$3:$B$874,2,FALSE)</f>
        <v>Fulton-Montgomery</v>
      </c>
      <c r="D76" s="16">
        <v>385861</v>
      </c>
      <c r="E76">
        <f>VLOOKUP(C76,'All Districts'!$B$3:$C$874,2,FALSE)</f>
        <v>0</v>
      </c>
      <c r="F76" s="91">
        <f>COUNTIF($E$2:$E$7106,E76)</f>
        <v>352</v>
      </c>
    </row>
    <row r="77" spans="1:6" x14ac:dyDescent="0.2">
      <c r="A77">
        <v>2017</v>
      </c>
      <c r="B77" s="13">
        <v>8131</v>
      </c>
      <c r="C77" s="90" t="str">
        <f>VLOOKUP(B77,'All Districts'!$A$3:$B$874,2,FALSE)</f>
        <v>Fulton-Montgomery</v>
      </c>
      <c r="D77" s="16">
        <v>350224</v>
      </c>
      <c r="E77">
        <f>VLOOKUP(C77,'All Districts'!$B$3:$C$874,2,FALSE)</f>
        <v>0</v>
      </c>
      <c r="F77" s="91">
        <f>COUNTIF($E$2:$E$7106,E77)</f>
        <v>352</v>
      </c>
    </row>
    <row r="78" spans="1:6" x14ac:dyDescent="0.2">
      <c r="A78" s="10">
        <v>2018</v>
      </c>
      <c r="B78" s="13">
        <v>8131</v>
      </c>
      <c r="C78" s="90" t="str">
        <f>VLOOKUP(B78,'All Districts'!$A$3:$B$874,2,FALSE)</f>
        <v>Fulton-Montgomery</v>
      </c>
      <c r="D78" s="15">
        <v>305112</v>
      </c>
      <c r="E78">
        <f>VLOOKUP(C78,'All Districts'!$B$3:$C$874,2,FALSE)</f>
        <v>0</v>
      </c>
      <c r="F78" s="91">
        <f>COUNTIF($E$2:$E$7106,E78)</f>
        <v>352</v>
      </c>
    </row>
    <row r="79" spans="1:6" x14ac:dyDescent="0.2">
      <c r="A79">
        <v>2019</v>
      </c>
      <c r="B79" s="36">
        <v>8131</v>
      </c>
      <c r="C79" s="90" t="str">
        <f>VLOOKUP(B79,'All Districts'!$A$3:$B$874,2,FALSE)</f>
        <v>Fulton-Montgomery</v>
      </c>
      <c r="D79" s="40">
        <v>335293</v>
      </c>
      <c r="E79">
        <f>VLOOKUP(C79,'All Districts'!$B$3:$C$874,2,FALSE)</f>
        <v>0</v>
      </c>
      <c r="F79" s="91">
        <f>COUNTIF($E$2:$E$7106,E79)</f>
        <v>352</v>
      </c>
    </row>
    <row r="80" spans="1:6" x14ac:dyDescent="0.2">
      <c r="A80">
        <v>2020</v>
      </c>
      <c r="B80" s="36">
        <v>8131</v>
      </c>
      <c r="C80" s="90" t="str">
        <f>VLOOKUP(B80,'All Districts'!$A$3:$B$874,2,FALSE)</f>
        <v>Fulton-Montgomery</v>
      </c>
      <c r="D80" s="40">
        <v>256299</v>
      </c>
      <c r="E80">
        <f>VLOOKUP(C80,'All Districts'!$B$3:$C$874,2,FALSE)</f>
        <v>0</v>
      </c>
      <c r="F80" s="91">
        <f>COUNTIF($E$2:$E$7106,E80)</f>
        <v>352</v>
      </c>
    </row>
    <row r="81" spans="1:6" x14ac:dyDescent="0.2">
      <c r="A81" s="10">
        <v>2021</v>
      </c>
      <c r="B81" s="52">
        <v>8131</v>
      </c>
      <c r="C81" s="90" t="str">
        <f>VLOOKUP(B81,'All Districts'!$A$3:$B$874,2,FALSE)</f>
        <v>Fulton-Montgomery</v>
      </c>
      <c r="D81" s="75">
        <v>248840</v>
      </c>
      <c r="E81">
        <f>VLOOKUP(C81,'All Districts'!$B$3:$C$874,2,FALSE)</f>
        <v>0</v>
      </c>
      <c r="F81" s="91">
        <f>COUNTIF($E$2:$E$7106,E81)</f>
        <v>352</v>
      </c>
    </row>
    <row r="82" spans="1:6" x14ac:dyDescent="0.2">
      <c r="A82">
        <v>2022</v>
      </c>
      <c r="B82" s="36">
        <v>8131</v>
      </c>
      <c r="C82" s="90" t="str">
        <f>VLOOKUP(B82,'All Districts'!$A$3:$B$874,2,FALSE)</f>
        <v>Fulton-Montgomery</v>
      </c>
      <c r="D82" s="82">
        <v>258334</v>
      </c>
      <c r="E82">
        <f>VLOOKUP(C82,'All Districts'!$B$3:$C$874,2,FALSE)</f>
        <v>0</v>
      </c>
      <c r="F82" s="91">
        <f>COUNTIF($E$2:$E$7106,E82)</f>
        <v>352</v>
      </c>
    </row>
    <row r="83" spans="1:6" x14ac:dyDescent="0.2">
      <c r="A83">
        <v>2023</v>
      </c>
      <c r="B83" s="36">
        <v>8131</v>
      </c>
      <c r="C83" s="90" t="str">
        <f>VLOOKUP(B83,'All Districts'!$A$3:$B$874,2,FALSE)</f>
        <v>Fulton-Montgomery</v>
      </c>
      <c r="D83" s="40">
        <v>269674</v>
      </c>
      <c r="E83">
        <f>VLOOKUP(C83,'All Districts'!$B$3:$C$874,2,FALSE)</f>
        <v>0</v>
      </c>
      <c r="F83" s="91">
        <f>COUNTIF($E$2:$E$7106,E83)</f>
        <v>352</v>
      </c>
    </row>
    <row r="84" spans="1:6" x14ac:dyDescent="0.2">
      <c r="A84">
        <v>2015</v>
      </c>
      <c r="B84" s="13">
        <v>8133</v>
      </c>
      <c r="C84" s="90" t="str">
        <f>VLOOKUP(B84,'All Districts'!$A$3:$B$874,2,FALSE)</f>
        <v>Genesee</v>
      </c>
      <c r="D84" s="15">
        <v>730847</v>
      </c>
      <c r="E84">
        <f>VLOOKUP(C84,'All Districts'!$B$3:$C$874,2,FALSE)</f>
        <v>0</v>
      </c>
      <c r="F84" s="91">
        <f>COUNTIF($E$2:$E$7106,E84)</f>
        <v>352</v>
      </c>
    </row>
    <row r="85" spans="1:6" x14ac:dyDescent="0.2">
      <c r="A85">
        <v>2016</v>
      </c>
      <c r="B85" s="13">
        <v>8133</v>
      </c>
      <c r="C85" s="90" t="str">
        <f>VLOOKUP(B85,'All Districts'!$A$3:$B$874,2,FALSE)</f>
        <v>Genesee</v>
      </c>
      <c r="D85" s="16">
        <v>560413</v>
      </c>
      <c r="E85">
        <f>VLOOKUP(C85,'All Districts'!$B$3:$C$874,2,FALSE)</f>
        <v>0</v>
      </c>
      <c r="F85" s="91">
        <f>COUNTIF($E$2:$E$7106,E85)</f>
        <v>352</v>
      </c>
    </row>
    <row r="86" spans="1:6" x14ac:dyDescent="0.2">
      <c r="A86">
        <v>2017</v>
      </c>
      <c r="B86" s="13">
        <v>8133</v>
      </c>
      <c r="C86" s="90" t="str">
        <f>VLOOKUP(B86,'All Districts'!$A$3:$B$874,2,FALSE)</f>
        <v>Genesee</v>
      </c>
      <c r="D86" s="16">
        <v>521001</v>
      </c>
      <c r="E86">
        <f>VLOOKUP(C86,'All Districts'!$B$3:$C$874,2,FALSE)</f>
        <v>0</v>
      </c>
      <c r="F86" s="91">
        <f>COUNTIF($E$2:$E$7106,E86)</f>
        <v>352</v>
      </c>
    </row>
    <row r="87" spans="1:6" x14ac:dyDescent="0.2">
      <c r="A87" s="10">
        <v>2018</v>
      </c>
      <c r="B87" s="13">
        <v>8133</v>
      </c>
      <c r="C87" s="90" t="str">
        <f>VLOOKUP(B87,'All Districts'!$A$3:$B$874,2,FALSE)</f>
        <v>Genesee</v>
      </c>
      <c r="D87" s="15">
        <v>411633</v>
      </c>
      <c r="E87">
        <f>VLOOKUP(C87,'All Districts'!$B$3:$C$874,2,FALSE)</f>
        <v>0</v>
      </c>
      <c r="F87" s="91">
        <f>COUNTIF($E$2:$E$7106,E87)</f>
        <v>352</v>
      </c>
    </row>
    <row r="88" spans="1:6" x14ac:dyDescent="0.2">
      <c r="A88">
        <v>2019</v>
      </c>
      <c r="B88" s="36">
        <v>8133</v>
      </c>
      <c r="C88" s="90" t="str">
        <f>VLOOKUP(B88,'All Districts'!$A$3:$B$874,2,FALSE)</f>
        <v>Genesee</v>
      </c>
      <c r="D88" s="40">
        <v>456130</v>
      </c>
      <c r="E88">
        <f>VLOOKUP(C88,'All Districts'!$B$3:$C$874,2,FALSE)</f>
        <v>0</v>
      </c>
      <c r="F88" s="91">
        <f>COUNTIF($E$2:$E$7106,E88)</f>
        <v>352</v>
      </c>
    </row>
    <row r="89" spans="1:6" x14ac:dyDescent="0.2">
      <c r="A89">
        <v>2020</v>
      </c>
      <c r="B89" s="36">
        <v>8133</v>
      </c>
      <c r="C89" s="90" t="str">
        <f>VLOOKUP(B89,'All Districts'!$A$3:$B$874,2,FALSE)</f>
        <v>Genesee</v>
      </c>
      <c r="D89" s="40">
        <v>375281</v>
      </c>
      <c r="E89">
        <f>VLOOKUP(C89,'All Districts'!$B$3:$C$874,2,FALSE)</f>
        <v>0</v>
      </c>
      <c r="F89" s="91">
        <f>COUNTIF($E$2:$E$7106,E89)</f>
        <v>352</v>
      </c>
    </row>
    <row r="90" spans="1:6" x14ac:dyDescent="0.2">
      <c r="A90" s="10">
        <v>2021</v>
      </c>
      <c r="B90" s="52">
        <v>8133</v>
      </c>
      <c r="C90" s="90" t="str">
        <f>VLOOKUP(B90,'All Districts'!$A$3:$B$874,2,FALSE)</f>
        <v>Genesee</v>
      </c>
      <c r="D90" s="76">
        <v>350559</v>
      </c>
      <c r="E90">
        <f>VLOOKUP(C90,'All Districts'!$B$3:$C$874,2,FALSE)</f>
        <v>0</v>
      </c>
      <c r="F90" s="91">
        <f>COUNTIF($E$2:$E$7106,E90)</f>
        <v>352</v>
      </c>
    </row>
    <row r="91" spans="1:6" x14ac:dyDescent="0.2">
      <c r="A91">
        <v>2022</v>
      </c>
      <c r="B91" s="36">
        <v>8133</v>
      </c>
      <c r="C91" s="90" t="str">
        <f>VLOOKUP(B91,'All Districts'!$A$3:$B$874,2,FALSE)</f>
        <v>Genesee</v>
      </c>
      <c r="D91" s="82">
        <v>361376</v>
      </c>
      <c r="E91">
        <f>VLOOKUP(C91,'All Districts'!$B$3:$C$874,2,FALSE)</f>
        <v>0</v>
      </c>
      <c r="F91" s="91">
        <f>COUNTIF($E$2:$E$7106,E91)</f>
        <v>352</v>
      </c>
    </row>
    <row r="92" spans="1:6" x14ac:dyDescent="0.2">
      <c r="A92">
        <v>2023</v>
      </c>
      <c r="B92" s="36">
        <v>8133</v>
      </c>
      <c r="C92" s="90" t="str">
        <f>VLOOKUP(B92,'All Districts'!$A$3:$B$874,2,FALSE)</f>
        <v>Genesee</v>
      </c>
      <c r="D92" s="40">
        <v>393763</v>
      </c>
      <c r="E92">
        <f>VLOOKUP(C92,'All Districts'!$B$3:$C$874,2,FALSE)</f>
        <v>0</v>
      </c>
      <c r="F92" s="91">
        <f>COUNTIF($E$2:$E$7106,E92)</f>
        <v>352</v>
      </c>
    </row>
    <row r="93" spans="1:6" x14ac:dyDescent="0.2">
      <c r="A93">
        <v>2015</v>
      </c>
      <c r="B93" s="13">
        <v>8406</v>
      </c>
      <c r="C93" s="90" t="str">
        <f>VLOOKUP(B93,'All Districts'!$A$3:$B$874,2,FALSE)</f>
        <v>Genesee Community</v>
      </c>
      <c r="D93" s="15">
        <v>237965</v>
      </c>
      <c r="E93">
        <f>VLOOKUP(C93,'All Districts'!$B$3:$C$874,2,FALSE)</f>
        <v>0</v>
      </c>
      <c r="F93" s="91">
        <f>COUNTIF($E$2:$E$7106,E93)</f>
        <v>352</v>
      </c>
    </row>
    <row r="94" spans="1:6" x14ac:dyDescent="0.2">
      <c r="A94">
        <v>2016</v>
      </c>
      <c r="B94" s="13">
        <v>8406</v>
      </c>
      <c r="C94" s="90" t="str">
        <f>VLOOKUP(B94,'All Districts'!$A$3:$B$874,2,FALSE)</f>
        <v>Genesee Community</v>
      </c>
      <c r="D94" s="16">
        <v>207374</v>
      </c>
      <c r="E94">
        <f>VLOOKUP(C94,'All Districts'!$B$3:$C$874,2,FALSE)</f>
        <v>0</v>
      </c>
      <c r="F94" s="91">
        <f>COUNTIF($E$2:$E$7106,E94)</f>
        <v>352</v>
      </c>
    </row>
    <row r="95" spans="1:6" x14ac:dyDescent="0.2">
      <c r="A95">
        <v>2017</v>
      </c>
      <c r="B95" s="13">
        <v>8406</v>
      </c>
      <c r="C95" s="90" t="str">
        <f>VLOOKUP(B95,'All Districts'!$A$3:$B$874,2,FALSE)</f>
        <v>Genesee Community</v>
      </c>
      <c r="D95" s="16">
        <v>183544</v>
      </c>
      <c r="E95">
        <f>VLOOKUP(C95,'All Districts'!$B$3:$C$874,2,FALSE)</f>
        <v>0</v>
      </c>
      <c r="F95" s="91">
        <f>COUNTIF($E$2:$E$7106,E95)</f>
        <v>352</v>
      </c>
    </row>
    <row r="96" spans="1:6" x14ac:dyDescent="0.2">
      <c r="A96" s="10">
        <v>2018</v>
      </c>
      <c r="B96" s="13">
        <v>8406</v>
      </c>
      <c r="C96" s="90" t="str">
        <f>VLOOKUP(B96,'All Districts'!$A$3:$B$874,2,FALSE)</f>
        <v>Genesee Community</v>
      </c>
      <c r="D96" s="15">
        <v>166187</v>
      </c>
      <c r="E96">
        <f>VLOOKUP(C96,'All Districts'!$B$3:$C$874,2,FALSE)</f>
        <v>0</v>
      </c>
      <c r="F96" s="91">
        <f>COUNTIF($E$2:$E$7106,E96)</f>
        <v>352</v>
      </c>
    </row>
    <row r="97" spans="1:6" x14ac:dyDescent="0.2">
      <c r="A97">
        <v>2019</v>
      </c>
      <c r="B97" s="36">
        <v>8406</v>
      </c>
      <c r="C97" s="90" t="str">
        <f>VLOOKUP(B97,'All Districts'!$A$3:$B$874,2,FALSE)</f>
        <v>Genesee Community</v>
      </c>
      <c r="D97" s="40">
        <v>176655</v>
      </c>
      <c r="E97">
        <f>VLOOKUP(C97,'All Districts'!$B$3:$C$874,2,FALSE)</f>
        <v>0</v>
      </c>
      <c r="F97" s="91">
        <f>COUNTIF($E$2:$E$7106,E97)</f>
        <v>352</v>
      </c>
    </row>
    <row r="98" spans="1:6" x14ac:dyDescent="0.2">
      <c r="A98">
        <v>2020</v>
      </c>
      <c r="B98" s="36">
        <v>8406</v>
      </c>
      <c r="C98" s="90" t="str">
        <f>VLOOKUP(B98,'All Districts'!$A$3:$B$874,2,FALSE)</f>
        <v>Genesee Community</v>
      </c>
      <c r="D98" s="40">
        <v>149171</v>
      </c>
      <c r="E98">
        <f>VLOOKUP(C98,'All Districts'!$B$3:$C$874,2,FALSE)</f>
        <v>0</v>
      </c>
      <c r="F98" s="91">
        <f>COUNTIF($E$2:$E$7106,E98)</f>
        <v>352</v>
      </c>
    </row>
    <row r="99" spans="1:6" x14ac:dyDescent="0.2">
      <c r="A99" s="10">
        <v>2021</v>
      </c>
      <c r="B99" s="55">
        <v>8406</v>
      </c>
      <c r="C99" s="90" t="str">
        <f>VLOOKUP(B99,'All Districts'!$A$3:$B$874,2,FALSE)</f>
        <v>Genesee Community</v>
      </c>
      <c r="D99" s="75">
        <v>150201</v>
      </c>
      <c r="E99">
        <f>VLOOKUP(C99,'All Districts'!$B$3:$C$874,2,FALSE)</f>
        <v>0</v>
      </c>
      <c r="F99" s="91">
        <f>COUNTIF($E$2:$E$7106,E99)</f>
        <v>352</v>
      </c>
    </row>
    <row r="100" spans="1:6" x14ac:dyDescent="0.2">
      <c r="A100">
        <v>2022</v>
      </c>
      <c r="B100" s="36">
        <v>8406</v>
      </c>
      <c r="C100" s="90" t="str">
        <f>VLOOKUP(B100,'All Districts'!$A$3:$B$874,2,FALSE)</f>
        <v>Genesee Community</v>
      </c>
      <c r="D100" s="82">
        <v>178463</v>
      </c>
      <c r="E100">
        <f>VLOOKUP(C100,'All Districts'!$B$3:$C$874,2,FALSE)</f>
        <v>0</v>
      </c>
      <c r="F100" s="91">
        <f>COUNTIF($E$2:$E$7106,E100)</f>
        <v>352</v>
      </c>
    </row>
    <row r="101" spans="1:6" x14ac:dyDescent="0.2">
      <c r="A101">
        <v>2023</v>
      </c>
      <c r="B101" s="36">
        <v>8406</v>
      </c>
      <c r="C101" s="90" t="str">
        <f>VLOOKUP(B101,'All Districts'!$A$3:$B$874,2,FALSE)</f>
        <v>Genesee Community</v>
      </c>
      <c r="D101" s="40">
        <v>151919</v>
      </c>
      <c r="E101">
        <f>VLOOKUP(C101,'All Districts'!$B$3:$C$874,2,FALSE)</f>
        <v>0</v>
      </c>
      <c r="F101" s="91">
        <f>COUNTIF($E$2:$E$7106,E101)</f>
        <v>352</v>
      </c>
    </row>
    <row r="102" spans="1:6" x14ac:dyDescent="0.2">
      <c r="A102">
        <v>2015</v>
      </c>
      <c r="B102" s="13">
        <v>8134</v>
      </c>
      <c r="C102" s="90" t="str">
        <f>VLOOKUP(B102,'All Districts'!$A$3:$B$874,2,FALSE)</f>
        <v>Herkimer County</v>
      </c>
      <c r="D102" s="15">
        <v>343641</v>
      </c>
      <c r="E102">
        <f>VLOOKUP(C102,'All Districts'!$B$3:$C$874,2,FALSE)</f>
        <v>0</v>
      </c>
      <c r="F102" s="91">
        <f>COUNTIF($E$2:$E$7106,E102)</f>
        <v>352</v>
      </c>
    </row>
    <row r="103" spans="1:6" x14ac:dyDescent="0.2">
      <c r="A103">
        <v>2016</v>
      </c>
      <c r="B103" s="13">
        <v>8134</v>
      </c>
      <c r="C103" s="90" t="str">
        <f>VLOOKUP(B103,'All Districts'!$A$3:$B$874,2,FALSE)</f>
        <v>Herkimer County</v>
      </c>
      <c r="D103" s="16">
        <v>258546</v>
      </c>
      <c r="E103">
        <f>VLOOKUP(C103,'All Districts'!$B$3:$C$874,2,FALSE)</f>
        <v>0</v>
      </c>
      <c r="F103" s="91">
        <f>COUNTIF($E$2:$E$7106,E103)</f>
        <v>352</v>
      </c>
    </row>
    <row r="104" spans="1:6" x14ac:dyDescent="0.2">
      <c r="A104">
        <v>2017</v>
      </c>
      <c r="B104" s="13">
        <v>8134</v>
      </c>
      <c r="C104" s="90" t="str">
        <f>VLOOKUP(B104,'All Districts'!$A$3:$B$874,2,FALSE)</f>
        <v>Herkimer County</v>
      </c>
      <c r="D104" s="16">
        <v>215357</v>
      </c>
      <c r="E104">
        <f>VLOOKUP(C104,'All Districts'!$B$3:$C$874,2,FALSE)</f>
        <v>0</v>
      </c>
      <c r="F104" s="91">
        <f>COUNTIF($E$2:$E$7106,E104)</f>
        <v>352</v>
      </c>
    </row>
    <row r="105" spans="1:6" x14ac:dyDescent="0.2">
      <c r="A105" s="10">
        <v>2018</v>
      </c>
      <c r="B105" s="13">
        <v>8134</v>
      </c>
      <c r="C105" s="90" t="str">
        <f>VLOOKUP(B105,'All Districts'!$A$3:$B$874,2,FALSE)</f>
        <v>Herkimer County</v>
      </c>
      <c r="D105" s="15">
        <v>181267</v>
      </c>
      <c r="E105">
        <f>VLOOKUP(C105,'All Districts'!$B$3:$C$874,2,FALSE)</f>
        <v>0</v>
      </c>
      <c r="F105" s="91">
        <f>COUNTIF($E$2:$E$7106,E105)</f>
        <v>352</v>
      </c>
    </row>
    <row r="106" spans="1:6" x14ac:dyDescent="0.2">
      <c r="A106">
        <v>2019</v>
      </c>
      <c r="B106" s="36">
        <v>8134</v>
      </c>
      <c r="C106" s="90" t="str">
        <f>VLOOKUP(B106,'All Districts'!$A$3:$B$874,2,FALSE)</f>
        <v>Herkimer County</v>
      </c>
      <c r="D106" s="40">
        <v>180679</v>
      </c>
      <c r="E106">
        <f>VLOOKUP(C106,'All Districts'!$B$3:$C$874,2,FALSE)</f>
        <v>0</v>
      </c>
      <c r="F106" s="91">
        <f>COUNTIF($E$2:$E$7106,E106)</f>
        <v>352</v>
      </c>
    </row>
    <row r="107" spans="1:6" x14ac:dyDescent="0.2">
      <c r="A107">
        <v>2020</v>
      </c>
      <c r="B107" s="36">
        <v>8134</v>
      </c>
      <c r="C107" s="90" t="str">
        <f>VLOOKUP(B107,'All Districts'!$A$3:$B$874,2,FALSE)</f>
        <v>Herkimer County</v>
      </c>
      <c r="D107" s="40">
        <v>130566</v>
      </c>
      <c r="E107">
        <f>VLOOKUP(C107,'All Districts'!$B$3:$C$874,2,FALSE)</f>
        <v>0</v>
      </c>
      <c r="F107" s="91">
        <f>COUNTIF($E$2:$E$7106,E107)</f>
        <v>352</v>
      </c>
    </row>
    <row r="108" spans="1:6" x14ac:dyDescent="0.2">
      <c r="A108" s="10">
        <v>2021</v>
      </c>
      <c r="B108" s="52">
        <v>8134</v>
      </c>
      <c r="C108" s="90" t="str">
        <f>VLOOKUP(B108,'All Districts'!$A$3:$B$874,2,FALSE)</f>
        <v>Herkimer County</v>
      </c>
      <c r="D108" s="76">
        <v>140695</v>
      </c>
      <c r="E108">
        <f>VLOOKUP(C108,'All Districts'!$B$3:$C$874,2,FALSE)</f>
        <v>0</v>
      </c>
      <c r="F108" s="91">
        <f>COUNTIF($E$2:$E$7106,E108)</f>
        <v>352</v>
      </c>
    </row>
    <row r="109" spans="1:6" x14ac:dyDescent="0.2">
      <c r="A109">
        <v>2022</v>
      </c>
      <c r="B109" s="36">
        <v>8134</v>
      </c>
      <c r="C109" s="90" t="str">
        <f>VLOOKUP(B109,'All Districts'!$A$3:$B$874,2,FALSE)</f>
        <v>Herkimer County</v>
      </c>
      <c r="D109" s="82">
        <v>150593</v>
      </c>
      <c r="E109">
        <f>VLOOKUP(C109,'All Districts'!$B$3:$C$874,2,FALSE)</f>
        <v>0</v>
      </c>
      <c r="F109" s="91">
        <f>COUNTIF($E$2:$E$7106,E109)</f>
        <v>352</v>
      </c>
    </row>
    <row r="110" spans="1:6" x14ac:dyDescent="0.2">
      <c r="A110">
        <v>2023</v>
      </c>
      <c r="B110" s="36">
        <v>8134</v>
      </c>
      <c r="C110" s="90" t="str">
        <f>VLOOKUP(B110,'All Districts'!$A$3:$B$874,2,FALSE)</f>
        <v>Herkimer County</v>
      </c>
      <c r="D110" s="40">
        <v>149279</v>
      </c>
      <c r="E110">
        <f>VLOOKUP(C110,'All Districts'!$B$3:$C$874,2,FALSE)</f>
        <v>0</v>
      </c>
      <c r="F110" s="91">
        <f>COUNTIF($E$2:$E$7106,E110)</f>
        <v>352</v>
      </c>
    </row>
    <row r="111" spans="1:6" x14ac:dyDescent="0.2">
      <c r="A111">
        <v>2015</v>
      </c>
      <c r="B111" s="13">
        <v>8135</v>
      </c>
      <c r="C111" s="90" t="str">
        <f>VLOOKUP(B111,'All Districts'!$A$3:$B$874,2,FALSE)</f>
        <v>Hudson Valley</v>
      </c>
      <c r="D111" s="15">
        <v>1801587</v>
      </c>
      <c r="E111">
        <f>VLOOKUP(C111,'All Districts'!$B$3:$C$874,2,FALSE)</f>
        <v>0</v>
      </c>
      <c r="F111" s="91">
        <f>COUNTIF($E$2:$E$7106,E111)</f>
        <v>352</v>
      </c>
    </row>
    <row r="112" spans="1:6" x14ac:dyDescent="0.2">
      <c r="A112">
        <v>2016</v>
      </c>
      <c r="B112" s="13">
        <v>8135</v>
      </c>
      <c r="C112" s="90" t="str">
        <f>VLOOKUP(B112,'All Districts'!$A$3:$B$874,2,FALSE)</f>
        <v>Hudson Valley</v>
      </c>
      <c r="D112" s="16">
        <v>1376147</v>
      </c>
      <c r="E112">
        <f>VLOOKUP(C112,'All Districts'!$B$3:$C$874,2,FALSE)</f>
        <v>0</v>
      </c>
      <c r="F112" s="91">
        <f>COUNTIF($E$2:$E$7106,E112)</f>
        <v>352</v>
      </c>
    </row>
    <row r="113" spans="1:6" x14ac:dyDescent="0.2">
      <c r="A113">
        <v>2017</v>
      </c>
      <c r="B113" s="13">
        <v>8135</v>
      </c>
      <c r="C113" s="90" t="str">
        <f>VLOOKUP(B113,'All Districts'!$A$3:$B$874,2,FALSE)</f>
        <v>Hudson Valley</v>
      </c>
      <c r="D113" s="16">
        <v>1231488</v>
      </c>
      <c r="E113">
        <f>VLOOKUP(C113,'All Districts'!$B$3:$C$874,2,FALSE)</f>
        <v>0</v>
      </c>
      <c r="F113" s="91">
        <f>COUNTIF($E$2:$E$7106,E113)</f>
        <v>352</v>
      </c>
    </row>
    <row r="114" spans="1:6" x14ac:dyDescent="0.2">
      <c r="A114" s="10">
        <v>2018</v>
      </c>
      <c r="B114" s="13">
        <v>8135</v>
      </c>
      <c r="C114" s="90" t="str">
        <f>VLOOKUP(B114,'All Districts'!$A$3:$B$874,2,FALSE)</f>
        <v>Hudson Valley</v>
      </c>
      <c r="D114" s="15">
        <v>1003080</v>
      </c>
      <c r="E114">
        <f>VLOOKUP(C114,'All Districts'!$B$3:$C$874,2,FALSE)</f>
        <v>0</v>
      </c>
      <c r="F114" s="91">
        <f>COUNTIF($E$2:$E$7106,E114)</f>
        <v>352</v>
      </c>
    </row>
    <row r="115" spans="1:6" x14ac:dyDescent="0.2">
      <c r="A115">
        <v>2019</v>
      </c>
      <c r="B115" s="36">
        <v>8135</v>
      </c>
      <c r="C115" s="90" t="str">
        <f>VLOOKUP(B115,'All Districts'!$A$3:$B$874,2,FALSE)</f>
        <v>Hudson Valley</v>
      </c>
      <c r="D115" s="40">
        <v>1061880</v>
      </c>
      <c r="E115">
        <f>VLOOKUP(C115,'All Districts'!$B$3:$C$874,2,FALSE)</f>
        <v>0</v>
      </c>
      <c r="F115" s="91">
        <f>COUNTIF($E$2:$E$7106,E115)</f>
        <v>352</v>
      </c>
    </row>
    <row r="116" spans="1:6" x14ac:dyDescent="0.2">
      <c r="A116">
        <v>2020</v>
      </c>
      <c r="B116" s="36">
        <v>8135</v>
      </c>
      <c r="C116" s="90" t="str">
        <f>VLOOKUP(B116,'All Districts'!$A$3:$B$874,2,FALSE)</f>
        <v>Hudson Valley</v>
      </c>
      <c r="D116" s="40">
        <v>943356</v>
      </c>
      <c r="E116">
        <f>VLOOKUP(C116,'All Districts'!$B$3:$C$874,2,FALSE)</f>
        <v>0</v>
      </c>
      <c r="F116" s="91">
        <f>COUNTIF($E$2:$E$7106,E116)</f>
        <v>352</v>
      </c>
    </row>
    <row r="117" spans="1:6" x14ac:dyDescent="0.2">
      <c r="A117" s="10">
        <v>2021</v>
      </c>
      <c r="B117" s="52">
        <v>8135</v>
      </c>
      <c r="C117" s="90" t="str">
        <f>VLOOKUP(B117,'All Districts'!$A$3:$B$874,2,FALSE)</f>
        <v>Hudson Valley</v>
      </c>
      <c r="D117" s="76">
        <v>973018</v>
      </c>
      <c r="E117">
        <f>VLOOKUP(C117,'All Districts'!$B$3:$C$874,2,FALSE)</f>
        <v>0</v>
      </c>
      <c r="F117" s="91">
        <f>COUNTIF($E$2:$E$7106,E117)</f>
        <v>352</v>
      </c>
    </row>
    <row r="118" spans="1:6" x14ac:dyDescent="0.2">
      <c r="A118">
        <v>2022</v>
      </c>
      <c r="B118" s="36">
        <v>8135</v>
      </c>
      <c r="C118" s="90" t="str">
        <f>VLOOKUP(B118,'All Districts'!$A$3:$B$874,2,FALSE)</f>
        <v>Hudson Valley</v>
      </c>
      <c r="D118" s="82">
        <v>991335</v>
      </c>
      <c r="E118">
        <f>VLOOKUP(C118,'All Districts'!$B$3:$C$874,2,FALSE)</f>
        <v>0</v>
      </c>
      <c r="F118" s="91">
        <f>COUNTIF($E$2:$E$7106,E118)</f>
        <v>352</v>
      </c>
    </row>
    <row r="119" spans="1:6" x14ac:dyDescent="0.2">
      <c r="A119">
        <v>2023</v>
      </c>
      <c r="B119" s="36">
        <v>8135</v>
      </c>
      <c r="C119" s="90" t="str">
        <f>VLOOKUP(B119,'All Districts'!$A$3:$B$874,2,FALSE)</f>
        <v>Hudson Valley</v>
      </c>
      <c r="D119" s="40">
        <v>1144246</v>
      </c>
      <c r="E119">
        <f>VLOOKUP(C119,'All Districts'!$B$3:$C$874,2,FALSE)</f>
        <v>0</v>
      </c>
      <c r="F119" s="91">
        <f>COUNTIF($E$2:$E$7106,E119)</f>
        <v>352</v>
      </c>
    </row>
    <row r="120" spans="1:6" x14ac:dyDescent="0.2">
      <c r="A120">
        <v>2015</v>
      </c>
      <c r="B120" s="13">
        <v>4907</v>
      </c>
      <c r="C120" s="90" t="str">
        <f>VLOOKUP(B120,'All Districts'!$A$3:$B$874,2,FALSE)</f>
        <v>Ichabod Crane</v>
      </c>
      <c r="D120" s="14">
        <v>2423906</v>
      </c>
      <c r="E120">
        <f>VLOOKUP(C120,'All Districts'!$B$3:$C$874,2,FALSE)</f>
        <v>0</v>
      </c>
      <c r="F120" s="91">
        <f>COUNTIF($E$2:$E$7106,E120)</f>
        <v>352</v>
      </c>
    </row>
    <row r="121" spans="1:6" x14ac:dyDescent="0.2">
      <c r="A121">
        <v>2016</v>
      </c>
      <c r="B121" s="13">
        <v>4907</v>
      </c>
      <c r="C121" s="90" t="str">
        <f>VLOOKUP(B121,'All Districts'!$A$3:$B$874,2,FALSE)</f>
        <v>Ichabod Crane</v>
      </c>
      <c r="D121" s="16">
        <v>1882574</v>
      </c>
      <c r="E121">
        <f>VLOOKUP(C121,'All Districts'!$B$3:$C$874,2,FALSE)</f>
        <v>0</v>
      </c>
      <c r="F121" s="91">
        <f>COUNTIF($E$2:$E$7106,E121)</f>
        <v>352</v>
      </c>
    </row>
    <row r="122" spans="1:6" x14ac:dyDescent="0.2">
      <c r="A122">
        <v>2017</v>
      </c>
      <c r="B122" s="13">
        <v>4907</v>
      </c>
      <c r="C122" s="90" t="str">
        <f>VLOOKUP(B122,'All Districts'!$A$3:$B$874,2,FALSE)</f>
        <v>Ichabod Crane</v>
      </c>
      <c r="D122" s="16">
        <v>1716351</v>
      </c>
      <c r="E122">
        <f>VLOOKUP(C122,'All Districts'!$B$3:$C$874,2,FALSE)</f>
        <v>0</v>
      </c>
      <c r="F122" s="91">
        <f>COUNTIF($E$2:$E$7106,E122)</f>
        <v>352</v>
      </c>
    </row>
    <row r="123" spans="1:6" x14ac:dyDescent="0.2">
      <c r="A123" s="10">
        <v>2018</v>
      </c>
      <c r="B123" s="13">
        <v>4907</v>
      </c>
      <c r="C123" s="90" t="str">
        <f>VLOOKUP(B123,'All Districts'!$A$3:$B$874,2,FALSE)</f>
        <v>Ichabod Crane</v>
      </c>
      <c r="D123" s="15">
        <v>1513657</v>
      </c>
      <c r="E123">
        <f>VLOOKUP(C123,'All Districts'!$B$3:$C$874,2,FALSE)</f>
        <v>0</v>
      </c>
      <c r="F123" s="91">
        <f>COUNTIF($E$2:$E$7106,E123)</f>
        <v>352</v>
      </c>
    </row>
    <row r="124" spans="1:6" x14ac:dyDescent="0.2">
      <c r="A124">
        <v>2019</v>
      </c>
      <c r="B124" s="36">
        <v>4907</v>
      </c>
      <c r="C124" s="90" t="str">
        <f>VLOOKUP(B124,'All Districts'!$A$3:$B$874,2,FALSE)</f>
        <v>Ichabod Crane</v>
      </c>
      <c r="D124" s="40">
        <v>1662559</v>
      </c>
      <c r="E124">
        <f>VLOOKUP(C124,'All Districts'!$B$3:$C$874,2,FALSE)</f>
        <v>0</v>
      </c>
      <c r="F124" s="91">
        <f>COUNTIF($E$2:$E$7106,E124)</f>
        <v>352</v>
      </c>
    </row>
    <row r="125" spans="1:6" x14ac:dyDescent="0.2">
      <c r="A125">
        <v>2020</v>
      </c>
      <c r="B125" s="36">
        <v>4907</v>
      </c>
      <c r="C125" s="90" t="str">
        <f>VLOOKUP(B125,'All Districts'!$A$3:$B$874,2,FALSE)</f>
        <v>Ichabod Crane</v>
      </c>
      <c r="D125" s="40">
        <v>1377131</v>
      </c>
      <c r="E125">
        <f>VLOOKUP(C125,'All Districts'!$B$3:$C$874,2,FALSE)</f>
        <v>0</v>
      </c>
      <c r="F125" s="91">
        <f>COUNTIF($E$2:$E$7106,E125)</f>
        <v>352</v>
      </c>
    </row>
    <row r="126" spans="1:6" x14ac:dyDescent="0.2">
      <c r="A126" s="10">
        <v>2021</v>
      </c>
      <c r="B126" s="52">
        <v>4907</v>
      </c>
      <c r="C126" s="90" t="str">
        <f>VLOOKUP(B126,'All Districts'!$A$3:$B$874,2,FALSE)</f>
        <v>Ichabod Crane</v>
      </c>
      <c r="D126" s="76">
        <v>1546136</v>
      </c>
      <c r="E126">
        <f>VLOOKUP(C126,'All Districts'!$B$3:$C$874,2,FALSE)</f>
        <v>0</v>
      </c>
      <c r="F126" s="91">
        <f>COUNTIF($E$2:$E$7106,E126)</f>
        <v>352</v>
      </c>
    </row>
    <row r="127" spans="1:6" x14ac:dyDescent="0.2">
      <c r="A127">
        <v>2022</v>
      </c>
      <c r="B127" s="36">
        <v>4907</v>
      </c>
      <c r="C127" s="90" t="str">
        <f>VLOOKUP(B127,'All Districts'!$A$3:$B$874,2,FALSE)</f>
        <v>Ichabod Crane</v>
      </c>
      <c r="D127" s="82">
        <v>1662360</v>
      </c>
      <c r="E127">
        <f>VLOOKUP(C127,'All Districts'!$B$3:$C$874,2,FALSE)</f>
        <v>0</v>
      </c>
      <c r="F127" s="91">
        <f>COUNTIF($E$2:$E$7106,E127)</f>
        <v>352</v>
      </c>
    </row>
    <row r="128" spans="1:6" x14ac:dyDescent="0.2">
      <c r="A128">
        <v>2023</v>
      </c>
      <c r="B128" s="36">
        <v>4907</v>
      </c>
      <c r="C128" s="90" t="str">
        <f>VLOOKUP(B128,'All Districts'!$A$3:$B$874,2,FALSE)</f>
        <v>Ichabod Crane</v>
      </c>
      <c r="D128" s="40">
        <v>1825132</v>
      </c>
      <c r="E128">
        <f>VLOOKUP(C128,'All Districts'!$B$3:$C$874,2,FALSE)</f>
        <v>0</v>
      </c>
      <c r="F128" s="91">
        <f>COUNTIF($E$2:$E$7106,E128)</f>
        <v>352</v>
      </c>
    </row>
    <row r="129" spans="1:6" x14ac:dyDescent="0.2">
      <c r="A129">
        <v>2015</v>
      </c>
      <c r="B129" s="13">
        <v>2288</v>
      </c>
      <c r="C129" s="90" t="str">
        <f>VLOOKUP(B129,'All Districts'!$A$3:$B$874,2,FALSE)</f>
        <v>Lake Shore</v>
      </c>
      <c r="D129" s="14">
        <v>3394975</v>
      </c>
      <c r="E129">
        <f>VLOOKUP(C129,'All Districts'!$B$3:$C$874,2,FALSE)</f>
        <v>0</v>
      </c>
      <c r="F129" s="91">
        <f>COUNTIF($E$2:$E$7106,E129)</f>
        <v>352</v>
      </c>
    </row>
    <row r="130" spans="1:6" x14ac:dyDescent="0.2">
      <c r="A130">
        <v>2016</v>
      </c>
      <c r="B130" s="13">
        <v>2288</v>
      </c>
      <c r="C130" s="90" t="str">
        <f>VLOOKUP(B130,'All Districts'!$A$3:$B$874,2,FALSE)</f>
        <v>Lake Shore</v>
      </c>
      <c r="D130" s="16">
        <v>2574928</v>
      </c>
      <c r="E130">
        <f>VLOOKUP(C130,'All Districts'!$B$3:$C$874,2,FALSE)</f>
        <v>0</v>
      </c>
      <c r="F130" s="91">
        <f>COUNTIF($E$2:$E$7106,E130)</f>
        <v>352</v>
      </c>
    </row>
    <row r="131" spans="1:6" x14ac:dyDescent="0.2">
      <c r="A131">
        <v>2017</v>
      </c>
      <c r="B131" s="13">
        <v>2288</v>
      </c>
      <c r="C131" s="90" t="str">
        <f>VLOOKUP(B131,'All Districts'!$A$3:$B$874,2,FALSE)</f>
        <v>Lake Shore</v>
      </c>
      <c r="D131" s="16">
        <v>2325198</v>
      </c>
      <c r="E131">
        <f>VLOOKUP(C131,'All Districts'!$B$3:$C$874,2,FALSE)</f>
        <v>0</v>
      </c>
      <c r="F131" s="91">
        <f>COUNTIF($E$2:$E$7106,E131)</f>
        <v>352</v>
      </c>
    </row>
    <row r="132" spans="1:6" x14ac:dyDescent="0.2">
      <c r="A132" s="10">
        <v>2018</v>
      </c>
      <c r="B132" s="13">
        <v>2288</v>
      </c>
      <c r="C132" s="90" t="str">
        <f>VLOOKUP(B132,'All Districts'!$A$3:$B$874,2,FALSE)</f>
        <v>Lake Shore</v>
      </c>
      <c r="D132" s="15">
        <v>1972976</v>
      </c>
      <c r="E132">
        <f>VLOOKUP(C132,'All Districts'!$B$3:$C$874,2,FALSE)</f>
        <v>0</v>
      </c>
      <c r="F132" s="91">
        <f>COUNTIF($E$2:$E$7106,E132)</f>
        <v>352</v>
      </c>
    </row>
    <row r="133" spans="1:6" x14ac:dyDescent="0.2">
      <c r="A133">
        <v>2019</v>
      </c>
      <c r="B133" s="36">
        <v>2288</v>
      </c>
      <c r="C133" s="90" t="str">
        <f>VLOOKUP(B133,'All Districts'!$A$3:$B$874,2,FALSE)</f>
        <v>Lake Shore</v>
      </c>
      <c r="D133" s="40">
        <v>2171727</v>
      </c>
      <c r="E133">
        <f>VLOOKUP(C133,'All Districts'!$B$3:$C$874,2,FALSE)</f>
        <v>0</v>
      </c>
      <c r="F133" s="91">
        <f>COUNTIF($E$2:$E$7106,E133)</f>
        <v>352</v>
      </c>
    </row>
    <row r="134" spans="1:6" x14ac:dyDescent="0.2">
      <c r="A134">
        <v>2020</v>
      </c>
      <c r="B134" s="36">
        <v>2288</v>
      </c>
      <c r="C134" s="90" t="str">
        <f>VLOOKUP(B134,'All Districts'!$A$3:$B$874,2,FALSE)</f>
        <v>Lake Shore</v>
      </c>
      <c r="D134" s="40">
        <v>1828183</v>
      </c>
      <c r="E134">
        <f>VLOOKUP(C134,'All Districts'!$B$3:$C$874,2,FALSE)</f>
        <v>0</v>
      </c>
      <c r="F134" s="91">
        <f>COUNTIF($E$2:$E$7106,E134)</f>
        <v>352</v>
      </c>
    </row>
    <row r="135" spans="1:6" x14ac:dyDescent="0.2">
      <c r="A135" s="10">
        <v>2021</v>
      </c>
      <c r="B135" s="52">
        <v>2288</v>
      </c>
      <c r="C135" s="90" t="str">
        <f>VLOOKUP(B135,'All Districts'!$A$3:$B$874,2,FALSE)</f>
        <v>Lake Shore</v>
      </c>
      <c r="D135" s="76">
        <v>1918672</v>
      </c>
      <c r="E135">
        <f>VLOOKUP(C135,'All Districts'!$B$3:$C$874,2,FALSE)</f>
        <v>0</v>
      </c>
      <c r="F135" s="91">
        <f>COUNTIF($E$2:$E$7106,E135)</f>
        <v>352</v>
      </c>
    </row>
    <row r="136" spans="1:6" x14ac:dyDescent="0.2">
      <c r="A136">
        <v>2022</v>
      </c>
      <c r="B136" s="36">
        <v>2288</v>
      </c>
      <c r="C136" s="90" t="str">
        <f>VLOOKUP(B136,'All Districts'!$A$3:$B$874,2,FALSE)</f>
        <v>Lake Shore</v>
      </c>
      <c r="D136" s="82">
        <v>2038219</v>
      </c>
      <c r="E136">
        <f>VLOOKUP(C136,'All Districts'!$B$3:$C$874,2,FALSE)</f>
        <v>0</v>
      </c>
      <c r="F136" s="91">
        <f>COUNTIF($E$2:$E$7106,E136)</f>
        <v>352</v>
      </c>
    </row>
    <row r="137" spans="1:6" x14ac:dyDescent="0.2">
      <c r="A137">
        <v>2023</v>
      </c>
      <c r="B137" s="36">
        <v>2288</v>
      </c>
      <c r="C137" s="90" t="str">
        <f>VLOOKUP(B137,'All Districts'!$A$3:$B$874,2,FALSE)</f>
        <v>Lake Shore</v>
      </c>
      <c r="D137" s="40">
        <v>2202659</v>
      </c>
      <c r="E137">
        <f>VLOOKUP(C137,'All Districts'!$B$3:$C$874,2,FALSE)</f>
        <v>0</v>
      </c>
      <c r="F137" s="91">
        <f>COUNTIF($E$2:$E$7106,E137)</f>
        <v>352</v>
      </c>
    </row>
    <row r="138" spans="1:6" x14ac:dyDescent="0.2">
      <c r="A138">
        <v>2015</v>
      </c>
      <c r="B138" s="13">
        <v>8145</v>
      </c>
      <c r="C138" s="90" t="str">
        <f>VLOOKUP(B138,'All Districts'!$A$3:$B$874,2,FALSE)</f>
        <v>Mohawk Valley</v>
      </c>
      <c r="D138" s="15">
        <v>725191</v>
      </c>
      <c r="E138">
        <f>VLOOKUP(C138,'All Districts'!$B$3:$C$874,2,FALSE)</f>
        <v>0</v>
      </c>
      <c r="F138" s="91">
        <f>COUNTIF($E$2:$E$7106,E138)</f>
        <v>352</v>
      </c>
    </row>
    <row r="139" spans="1:6" x14ac:dyDescent="0.2">
      <c r="A139">
        <v>2016</v>
      </c>
      <c r="B139" s="13">
        <v>8145</v>
      </c>
      <c r="C139" s="90" t="str">
        <f>VLOOKUP(B139,'All Districts'!$A$3:$B$874,2,FALSE)</f>
        <v>Mohawk Valley</v>
      </c>
      <c r="D139" s="16">
        <v>533845</v>
      </c>
      <c r="E139">
        <f>VLOOKUP(C139,'All Districts'!$B$3:$C$874,2,FALSE)</f>
        <v>0</v>
      </c>
      <c r="F139" s="91">
        <f>COUNTIF($E$2:$E$7106,E139)</f>
        <v>352</v>
      </c>
    </row>
    <row r="140" spans="1:6" x14ac:dyDescent="0.2">
      <c r="A140">
        <v>2017</v>
      </c>
      <c r="B140" s="13">
        <v>8145</v>
      </c>
      <c r="C140" s="90" t="str">
        <f>VLOOKUP(B140,'All Districts'!$A$3:$B$874,2,FALSE)</f>
        <v>Mohawk Valley</v>
      </c>
      <c r="D140" s="16">
        <v>455515</v>
      </c>
      <c r="E140">
        <f>VLOOKUP(C140,'All Districts'!$B$3:$C$874,2,FALSE)</f>
        <v>0</v>
      </c>
      <c r="F140" s="91">
        <f>COUNTIF($E$2:$E$7106,E140)</f>
        <v>352</v>
      </c>
    </row>
    <row r="141" spans="1:6" x14ac:dyDescent="0.2">
      <c r="A141" s="10">
        <v>2018</v>
      </c>
      <c r="B141" s="13">
        <v>8145</v>
      </c>
      <c r="C141" s="90" t="str">
        <f>VLOOKUP(B141,'All Districts'!$A$3:$B$874,2,FALSE)</f>
        <v>Mohawk Valley</v>
      </c>
      <c r="D141" s="15">
        <v>390927</v>
      </c>
      <c r="E141">
        <f>VLOOKUP(C141,'All Districts'!$B$3:$C$874,2,FALSE)</f>
        <v>0</v>
      </c>
      <c r="F141" s="91">
        <f>COUNTIF($E$2:$E$7106,E141)</f>
        <v>352</v>
      </c>
    </row>
    <row r="142" spans="1:6" x14ac:dyDescent="0.2">
      <c r="A142">
        <v>2019</v>
      </c>
      <c r="B142" s="36">
        <v>8145</v>
      </c>
      <c r="C142" s="90" t="str">
        <f>VLOOKUP(B142,'All Districts'!$A$3:$B$874,2,FALSE)</f>
        <v>Mohawk Valley</v>
      </c>
      <c r="D142" s="40">
        <v>491124</v>
      </c>
      <c r="E142">
        <f>VLOOKUP(C142,'All Districts'!$B$3:$C$874,2,FALSE)</f>
        <v>0</v>
      </c>
      <c r="F142" s="91">
        <f>COUNTIF($E$2:$E$7106,E142)</f>
        <v>352</v>
      </c>
    </row>
    <row r="143" spans="1:6" x14ac:dyDescent="0.2">
      <c r="A143">
        <v>2020</v>
      </c>
      <c r="B143" s="36">
        <v>8145</v>
      </c>
      <c r="C143" s="90" t="str">
        <f>VLOOKUP(B143,'All Districts'!$A$3:$B$874,2,FALSE)</f>
        <v>Mohawk Valley</v>
      </c>
      <c r="D143" s="40">
        <v>377576</v>
      </c>
      <c r="E143">
        <f>VLOOKUP(C143,'All Districts'!$B$3:$C$874,2,FALSE)</f>
        <v>0</v>
      </c>
      <c r="F143" s="91">
        <f>COUNTIF($E$2:$E$7106,E143)</f>
        <v>352</v>
      </c>
    </row>
    <row r="144" spans="1:6" x14ac:dyDescent="0.2">
      <c r="A144" s="10">
        <v>2021</v>
      </c>
      <c r="B144" s="55">
        <v>8145</v>
      </c>
      <c r="C144" s="90" t="str">
        <f>VLOOKUP(B144,'All Districts'!$A$3:$B$874,2,FALSE)</f>
        <v>Mohawk Valley</v>
      </c>
      <c r="D144" s="76">
        <v>326392</v>
      </c>
      <c r="E144">
        <f>VLOOKUP(C144,'All Districts'!$B$3:$C$874,2,FALSE)</f>
        <v>0</v>
      </c>
      <c r="F144" s="91">
        <f>COUNTIF($E$2:$E$7106,E144)</f>
        <v>352</v>
      </c>
    </row>
    <row r="145" spans="1:6" x14ac:dyDescent="0.2">
      <c r="A145">
        <v>2022</v>
      </c>
      <c r="B145" s="36">
        <v>8145</v>
      </c>
      <c r="C145" s="90" t="str">
        <f>VLOOKUP(B145,'All Districts'!$A$3:$B$874,2,FALSE)</f>
        <v>Mohawk Valley</v>
      </c>
      <c r="D145" s="82">
        <v>361238</v>
      </c>
      <c r="E145">
        <f>VLOOKUP(C145,'All Districts'!$B$3:$C$874,2,FALSE)</f>
        <v>0</v>
      </c>
      <c r="F145" s="91">
        <f>COUNTIF($E$2:$E$7106,E145)</f>
        <v>352</v>
      </c>
    </row>
    <row r="146" spans="1:6" x14ac:dyDescent="0.2">
      <c r="A146">
        <v>2023</v>
      </c>
      <c r="B146" s="36">
        <v>8145</v>
      </c>
      <c r="C146" s="90" t="str">
        <f>VLOOKUP(B146,'All Districts'!$A$3:$B$874,2,FALSE)</f>
        <v>Mohawk Valley</v>
      </c>
      <c r="D146" s="40">
        <v>394569</v>
      </c>
      <c r="E146">
        <f>VLOOKUP(C146,'All Districts'!$B$3:$C$874,2,FALSE)</f>
        <v>0</v>
      </c>
      <c r="F146" s="91">
        <f>COUNTIF($E$2:$E$7106,E146)</f>
        <v>352</v>
      </c>
    </row>
    <row r="147" spans="1:6" x14ac:dyDescent="0.2">
      <c r="A147">
        <v>2015</v>
      </c>
      <c r="B147" s="13">
        <v>8146</v>
      </c>
      <c r="C147" s="90" t="str">
        <f>VLOOKUP(B147,'All Districts'!$A$3:$B$874,2,FALSE)</f>
        <v>Monroe</v>
      </c>
      <c r="D147" s="15">
        <v>1864463</v>
      </c>
      <c r="E147">
        <f>VLOOKUP(C147,'All Districts'!$B$3:$C$874,2,FALSE)</f>
        <v>0</v>
      </c>
      <c r="F147" s="91">
        <f>COUNTIF($E$2:$E$7106,E147)</f>
        <v>352</v>
      </c>
    </row>
    <row r="148" spans="1:6" x14ac:dyDescent="0.2">
      <c r="A148">
        <v>2016</v>
      </c>
      <c r="B148" s="13">
        <v>8146</v>
      </c>
      <c r="C148" s="90" t="str">
        <f>VLOOKUP(B148,'All Districts'!$A$3:$B$874,2,FALSE)</f>
        <v>Monroe</v>
      </c>
      <c r="D148" s="16">
        <v>1478309</v>
      </c>
      <c r="E148">
        <f>VLOOKUP(C148,'All Districts'!$B$3:$C$874,2,FALSE)</f>
        <v>0</v>
      </c>
      <c r="F148" s="91">
        <f>COUNTIF($E$2:$E$7106,E148)</f>
        <v>352</v>
      </c>
    </row>
    <row r="149" spans="1:6" x14ac:dyDescent="0.2">
      <c r="A149">
        <v>2017</v>
      </c>
      <c r="B149" s="13">
        <v>8146</v>
      </c>
      <c r="C149" s="90" t="str">
        <f>VLOOKUP(B149,'All Districts'!$A$3:$B$874,2,FALSE)</f>
        <v>Monroe</v>
      </c>
      <c r="D149" s="16">
        <v>1276492</v>
      </c>
      <c r="E149">
        <f>VLOOKUP(C149,'All Districts'!$B$3:$C$874,2,FALSE)</f>
        <v>0</v>
      </c>
      <c r="F149" s="91">
        <f>COUNTIF($E$2:$E$7106,E149)</f>
        <v>352</v>
      </c>
    </row>
    <row r="150" spans="1:6" x14ac:dyDescent="0.2">
      <c r="A150" s="10">
        <v>2018</v>
      </c>
      <c r="B150" s="13">
        <v>8146</v>
      </c>
      <c r="C150" s="90" t="str">
        <f>VLOOKUP(B150,'All Districts'!$A$3:$B$874,2,FALSE)</f>
        <v>Monroe</v>
      </c>
      <c r="D150" s="15">
        <v>1050873</v>
      </c>
      <c r="E150">
        <f>VLOOKUP(C150,'All Districts'!$B$3:$C$874,2,FALSE)</f>
        <v>0</v>
      </c>
      <c r="F150" s="91">
        <f>COUNTIF($E$2:$E$7106,E150)</f>
        <v>352</v>
      </c>
    </row>
    <row r="151" spans="1:6" x14ac:dyDescent="0.2">
      <c r="A151">
        <v>2019</v>
      </c>
      <c r="B151" s="36">
        <v>8146</v>
      </c>
      <c r="C151" s="90" t="str">
        <f>VLOOKUP(B151,'All Districts'!$A$3:$B$874,2,FALSE)</f>
        <v>Monroe</v>
      </c>
      <c r="D151" s="40">
        <v>1112835</v>
      </c>
      <c r="E151">
        <f>VLOOKUP(C151,'All Districts'!$B$3:$C$874,2,FALSE)</f>
        <v>0</v>
      </c>
      <c r="F151" s="91">
        <f>COUNTIF($E$2:$E$7106,E151)</f>
        <v>352</v>
      </c>
    </row>
    <row r="152" spans="1:6" x14ac:dyDescent="0.2">
      <c r="A152">
        <v>2020</v>
      </c>
      <c r="B152" s="36">
        <v>8146</v>
      </c>
      <c r="C152" s="90" t="str">
        <f>VLOOKUP(B152,'All Districts'!$A$3:$B$874,2,FALSE)</f>
        <v>Monroe</v>
      </c>
      <c r="D152" s="40">
        <v>916819</v>
      </c>
      <c r="E152">
        <f>VLOOKUP(C152,'All Districts'!$B$3:$C$874,2,FALSE)</f>
        <v>0</v>
      </c>
      <c r="F152" s="91">
        <f>COUNTIF($E$2:$E$7106,E152)</f>
        <v>352</v>
      </c>
    </row>
    <row r="153" spans="1:6" x14ac:dyDescent="0.2">
      <c r="A153" s="10">
        <v>2021</v>
      </c>
      <c r="B153" s="52">
        <v>8146</v>
      </c>
      <c r="C153" s="90" t="str">
        <f>VLOOKUP(B153,'All Districts'!$A$3:$B$874,2,FALSE)</f>
        <v>Monroe</v>
      </c>
      <c r="D153" s="76">
        <v>877006</v>
      </c>
      <c r="E153">
        <f>VLOOKUP(C153,'All Districts'!$B$3:$C$874,2,FALSE)</f>
        <v>0</v>
      </c>
      <c r="F153" s="91">
        <f>COUNTIF($E$2:$E$7106,E153)</f>
        <v>352</v>
      </c>
    </row>
    <row r="154" spans="1:6" x14ac:dyDescent="0.2">
      <c r="A154">
        <v>2022</v>
      </c>
      <c r="B154" s="36">
        <v>8146</v>
      </c>
      <c r="C154" s="90" t="str">
        <f>VLOOKUP(B154,'All Districts'!$A$3:$B$874,2,FALSE)</f>
        <v>Monroe</v>
      </c>
      <c r="D154" s="82">
        <v>960283</v>
      </c>
      <c r="E154">
        <f>VLOOKUP(C154,'All Districts'!$B$3:$C$874,2,FALSE)</f>
        <v>0</v>
      </c>
      <c r="F154" s="91">
        <f>COUNTIF($E$2:$E$7106,E154)</f>
        <v>352</v>
      </c>
    </row>
    <row r="155" spans="1:6" x14ac:dyDescent="0.2">
      <c r="A155">
        <v>2023</v>
      </c>
      <c r="B155" s="36">
        <v>8146</v>
      </c>
      <c r="C155" s="90" t="str">
        <f>VLOOKUP(B155,'All Districts'!$A$3:$B$874,2,FALSE)</f>
        <v>Monroe</v>
      </c>
      <c r="D155" s="40">
        <v>960807</v>
      </c>
      <c r="E155">
        <f>VLOOKUP(C155,'All Districts'!$B$3:$C$874,2,FALSE)</f>
        <v>0</v>
      </c>
      <c r="F155" s="91">
        <f>COUNTIF($E$2:$E$7106,E155)</f>
        <v>352</v>
      </c>
    </row>
    <row r="156" spans="1:6" x14ac:dyDescent="0.2">
      <c r="A156">
        <v>2015</v>
      </c>
      <c r="B156" s="13">
        <v>6507</v>
      </c>
      <c r="C156" s="90" t="str">
        <f>VLOOKUP(B156,'All Districts'!$A$3:$B$874,2,FALSE)</f>
        <v>Nassau County Vocational Board</v>
      </c>
      <c r="D156" s="15">
        <v>154429</v>
      </c>
      <c r="E156">
        <f>VLOOKUP(C156,'All Districts'!$B$3:$C$874,2,FALSE)</f>
        <v>0</v>
      </c>
      <c r="F156" s="91">
        <f>COUNTIF($E$2:$E$7106,E156)</f>
        <v>352</v>
      </c>
    </row>
    <row r="157" spans="1:6" x14ac:dyDescent="0.2">
      <c r="A157">
        <v>2016</v>
      </c>
      <c r="B157" s="13">
        <v>6507</v>
      </c>
      <c r="C157" s="90" t="str">
        <f>VLOOKUP(B157,'All Districts'!$A$3:$B$874,2,FALSE)</f>
        <v>Nassau County Vocational Board</v>
      </c>
      <c r="D157" s="16">
        <v>119063</v>
      </c>
      <c r="E157">
        <f>VLOOKUP(C157,'All Districts'!$B$3:$C$874,2,FALSE)</f>
        <v>0</v>
      </c>
      <c r="F157" s="91">
        <f>COUNTIF($E$2:$E$7106,E157)</f>
        <v>352</v>
      </c>
    </row>
    <row r="158" spans="1:6" x14ac:dyDescent="0.2">
      <c r="A158">
        <v>2017</v>
      </c>
      <c r="B158" s="13">
        <v>6507</v>
      </c>
      <c r="C158" s="90" t="str">
        <f>VLOOKUP(B158,'All Districts'!$A$3:$B$874,2,FALSE)</f>
        <v>Nassau County Vocational Board</v>
      </c>
      <c r="D158" s="16">
        <v>115018</v>
      </c>
      <c r="E158">
        <f>VLOOKUP(C158,'All Districts'!$B$3:$C$874,2,FALSE)</f>
        <v>0</v>
      </c>
      <c r="F158" s="91">
        <f>COUNTIF($E$2:$E$7106,E158)</f>
        <v>352</v>
      </c>
    </row>
    <row r="159" spans="1:6" x14ac:dyDescent="0.2">
      <c r="A159" s="10">
        <v>2018</v>
      </c>
      <c r="B159" s="13">
        <v>6507</v>
      </c>
      <c r="C159" s="90" t="str">
        <f>VLOOKUP(B159,'All Districts'!$A$3:$B$874,2,FALSE)</f>
        <v>Nassau County Vocational Board</v>
      </c>
      <c r="D159" s="15">
        <v>87089</v>
      </c>
      <c r="E159">
        <f>VLOOKUP(C159,'All Districts'!$B$3:$C$874,2,FALSE)</f>
        <v>0</v>
      </c>
      <c r="F159" s="91">
        <f>COUNTIF($E$2:$E$7106,E159)</f>
        <v>352</v>
      </c>
    </row>
    <row r="160" spans="1:6" x14ac:dyDescent="0.2">
      <c r="A160">
        <v>2019</v>
      </c>
      <c r="B160" s="36">
        <v>6507</v>
      </c>
      <c r="C160" s="90" t="str">
        <f>VLOOKUP(B160,'All Districts'!$A$3:$B$874,2,FALSE)</f>
        <v>Nassau County Vocational Board</v>
      </c>
      <c r="D160" s="40">
        <v>96330</v>
      </c>
      <c r="E160">
        <f>VLOOKUP(C160,'All Districts'!$B$3:$C$874,2,FALSE)</f>
        <v>0</v>
      </c>
      <c r="F160" s="91">
        <f>COUNTIF($E$2:$E$7106,E160)</f>
        <v>352</v>
      </c>
    </row>
    <row r="161" spans="1:6" x14ac:dyDescent="0.2">
      <c r="A161">
        <v>2020</v>
      </c>
      <c r="B161" s="36">
        <v>6507</v>
      </c>
      <c r="C161" s="90" t="str">
        <f>VLOOKUP(B161,'All Districts'!$A$3:$B$874,2,FALSE)</f>
        <v>Nassau County Vocational Board</v>
      </c>
      <c r="D161" s="40">
        <v>79232</v>
      </c>
      <c r="E161">
        <f>VLOOKUP(C161,'All Districts'!$B$3:$C$874,2,FALSE)</f>
        <v>0</v>
      </c>
      <c r="F161" s="91">
        <f>COUNTIF($E$2:$E$7106,E161)</f>
        <v>352</v>
      </c>
    </row>
    <row r="162" spans="1:6" x14ac:dyDescent="0.2">
      <c r="A162" s="10">
        <v>2021</v>
      </c>
      <c r="B162" s="55">
        <v>6507</v>
      </c>
      <c r="C162" s="90" t="str">
        <f>VLOOKUP(B162,'All Districts'!$A$3:$B$874,2,FALSE)</f>
        <v>Nassau County Vocational Board</v>
      </c>
      <c r="D162" s="76">
        <v>77265</v>
      </c>
      <c r="E162">
        <f>VLOOKUP(C162,'All Districts'!$B$3:$C$874,2,FALSE)</f>
        <v>0</v>
      </c>
      <c r="F162" s="91">
        <f>COUNTIF($E$2:$E$7106,E162)</f>
        <v>352</v>
      </c>
    </row>
    <row r="163" spans="1:6" x14ac:dyDescent="0.2">
      <c r="A163">
        <v>2022</v>
      </c>
      <c r="B163" s="36">
        <v>6507</v>
      </c>
      <c r="C163" s="90" t="str">
        <f>VLOOKUP(B163,'All Districts'!$A$3:$B$874,2,FALSE)</f>
        <v>Nassau County Vocational Board</v>
      </c>
      <c r="D163" s="82">
        <v>86667</v>
      </c>
      <c r="E163">
        <f>VLOOKUP(C163,'All Districts'!$B$3:$C$874,2,FALSE)</f>
        <v>0</v>
      </c>
      <c r="F163" s="91">
        <f>COUNTIF($E$2:$E$7106,E163)</f>
        <v>352</v>
      </c>
    </row>
    <row r="164" spans="1:6" x14ac:dyDescent="0.2">
      <c r="A164">
        <v>2023</v>
      </c>
      <c r="B164" s="36">
        <v>6507</v>
      </c>
      <c r="C164" s="90" t="str">
        <f>VLOOKUP(B164,'All Districts'!$A$3:$B$874,2,FALSE)</f>
        <v>Nassau County Vocational Board</v>
      </c>
      <c r="D164" s="40">
        <v>90528</v>
      </c>
      <c r="E164">
        <f>VLOOKUP(C164,'All Districts'!$B$3:$C$874,2,FALSE)</f>
        <v>0</v>
      </c>
      <c r="F164" s="91">
        <f>COUNTIF($E$2:$E$7106,E164)</f>
        <v>352</v>
      </c>
    </row>
    <row r="165" spans="1:6" x14ac:dyDescent="0.2">
      <c r="A165">
        <v>2015</v>
      </c>
      <c r="B165" s="13">
        <v>8153</v>
      </c>
      <c r="C165" s="90" t="str">
        <f>VLOOKUP(B165,'All Districts'!$A$3:$B$874,2,FALSE)</f>
        <v>Niagara County</v>
      </c>
      <c r="D165" s="15">
        <v>811647</v>
      </c>
      <c r="E165">
        <f>VLOOKUP(C165,'All Districts'!$B$3:$C$874,2,FALSE)</f>
        <v>0</v>
      </c>
      <c r="F165" s="91">
        <f>COUNTIF($E$2:$E$7106,E165)</f>
        <v>352</v>
      </c>
    </row>
    <row r="166" spans="1:6" x14ac:dyDescent="0.2">
      <c r="A166">
        <v>2016</v>
      </c>
      <c r="B166" s="13">
        <v>8153</v>
      </c>
      <c r="C166" s="90" t="str">
        <f>VLOOKUP(B166,'All Districts'!$A$3:$B$874,2,FALSE)</f>
        <v>Niagara County</v>
      </c>
      <c r="D166" s="16">
        <v>455247</v>
      </c>
      <c r="E166">
        <f>VLOOKUP(C166,'All Districts'!$B$3:$C$874,2,FALSE)</f>
        <v>0</v>
      </c>
      <c r="F166" s="91">
        <f>COUNTIF($E$2:$E$7106,E166)</f>
        <v>352</v>
      </c>
    </row>
    <row r="167" spans="1:6" x14ac:dyDescent="0.2">
      <c r="A167">
        <v>2017</v>
      </c>
      <c r="B167" s="13">
        <v>8153</v>
      </c>
      <c r="C167" s="90" t="str">
        <f>VLOOKUP(B167,'All Districts'!$A$3:$B$874,2,FALSE)</f>
        <v>Niagara County</v>
      </c>
      <c r="D167" s="16">
        <v>388402</v>
      </c>
      <c r="E167">
        <f>VLOOKUP(C167,'All Districts'!$B$3:$C$874,2,FALSE)</f>
        <v>0</v>
      </c>
      <c r="F167" s="91">
        <f>COUNTIF($E$2:$E$7106,E167)</f>
        <v>352</v>
      </c>
    </row>
    <row r="168" spans="1:6" x14ac:dyDescent="0.2">
      <c r="A168" s="10">
        <v>2018</v>
      </c>
      <c r="B168" s="13">
        <v>8153</v>
      </c>
      <c r="C168" s="90" t="str">
        <f>VLOOKUP(B168,'All Districts'!$A$3:$B$874,2,FALSE)</f>
        <v>Niagara County</v>
      </c>
      <c r="D168" s="15">
        <v>316888</v>
      </c>
      <c r="E168">
        <f>VLOOKUP(C168,'All Districts'!$B$3:$C$874,2,FALSE)</f>
        <v>0</v>
      </c>
      <c r="F168" s="91">
        <f>COUNTIF($E$2:$E$7106,E168)</f>
        <v>352</v>
      </c>
    </row>
    <row r="169" spans="1:6" x14ac:dyDescent="0.2">
      <c r="A169">
        <v>2019</v>
      </c>
      <c r="B169" s="36">
        <v>8153</v>
      </c>
      <c r="C169" s="90" t="str">
        <f>VLOOKUP(B169,'All Districts'!$A$3:$B$874,2,FALSE)</f>
        <v>Niagara County</v>
      </c>
      <c r="D169" s="40">
        <v>395887</v>
      </c>
      <c r="E169">
        <f>VLOOKUP(C169,'All Districts'!$B$3:$C$874,2,FALSE)</f>
        <v>0</v>
      </c>
      <c r="F169" s="91">
        <f>COUNTIF($E$2:$E$7106,E169)</f>
        <v>352</v>
      </c>
    </row>
    <row r="170" spans="1:6" x14ac:dyDescent="0.2">
      <c r="A170">
        <v>2020</v>
      </c>
      <c r="B170" s="36">
        <v>8153</v>
      </c>
      <c r="C170" s="90" t="str">
        <f>VLOOKUP(B170,'All Districts'!$A$3:$B$874,2,FALSE)</f>
        <v>Niagara County</v>
      </c>
      <c r="D170" s="40">
        <v>332636</v>
      </c>
      <c r="E170">
        <f>VLOOKUP(C170,'All Districts'!$B$3:$C$874,2,FALSE)</f>
        <v>0</v>
      </c>
      <c r="F170" s="91">
        <f>COUNTIF($E$2:$E$7106,E170)</f>
        <v>352</v>
      </c>
    </row>
    <row r="171" spans="1:6" x14ac:dyDescent="0.2">
      <c r="A171" s="10">
        <v>2021</v>
      </c>
      <c r="B171" s="52">
        <v>8153</v>
      </c>
      <c r="C171" s="90" t="str">
        <f>VLOOKUP(B171,'All Districts'!$A$3:$B$874,2,FALSE)</f>
        <v>Niagara County</v>
      </c>
      <c r="D171" s="76">
        <v>333306</v>
      </c>
      <c r="E171">
        <f>VLOOKUP(C171,'All Districts'!$B$3:$C$874,2,FALSE)</f>
        <v>0</v>
      </c>
      <c r="F171" s="91">
        <f>COUNTIF($E$2:$E$7106,E171)</f>
        <v>352</v>
      </c>
    </row>
    <row r="172" spans="1:6" x14ac:dyDescent="0.2">
      <c r="A172">
        <v>2022</v>
      </c>
      <c r="B172" s="36">
        <v>8153</v>
      </c>
      <c r="C172" s="90" t="str">
        <f>VLOOKUP(B172,'All Districts'!$A$3:$B$874,2,FALSE)</f>
        <v>Niagara County</v>
      </c>
      <c r="D172" s="82">
        <v>332148</v>
      </c>
      <c r="E172">
        <f>VLOOKUP(C172,'All Districts'!$B$3:$C$874,2,FALSE)</f>
        <v>0</v>
      </c>
      <c r="F172" s="91">
        <f>COUNTIF($E$2:$E$7106,E172)</f>
        <v>352</v>
      </c>
    </row>
    <row r="173" spans="1:6" x14ac:dyDescent="0.2">
      <c r="A173">
        <v>2023</v>
      </c>
      <c r="B173" s="36">
        <v>8153</v>
      </c>
      <c r="C173" s="90" t="str">
        <f>VLOOKUP(B173,'All Districts'!$A$3:$B$874,2,FALSE)</f>
        <v>Niagara County</v>
      </c>
      <c r="D173" s="40">
        <v>352235</v>
      </c>
      <c r="E173">
        <f>VLOOKUP(C173,'All Districts'!$B$3:$C$874,2,FALSE)</f>
        <v>0</v>
      </c>
      <c r="F173" s="91">
        <f>COUNTIF($E$2:$E$7106,E173)</f>
        <v>352</v>
      </c>
    </row>
    <row r="174" spans="1:6" x14ac:dyDescent="0.2">
      <c r="A174">
        <v>2015</v>
      </c>
      <c r="B174" s="13">
        <v>8149</v>
      </c>
      <c r="C174" s="90" t="str">
        <f>VLOOKUP(B174,'All Districts'!$A$3:$B$874,2,FALSE)</f>
        <v>North Country</v>
      </c>
      <c r="D174" s="15">
        <v>278052</v>
      </c>
      <c r="E174">
        <f>VLOOKUP(C174,'All Districts'!$B$3:$C$874,2,FALSE)</f>
        <v>0</v>
      </c>
      <c r="F174" s="91">
        <f>COUNTIF($E$2:$E$7106,E174)</f>
        <v>352</v>
      </c>
    </row>
    <row r="175" spans="1:6" x14ac:dyDescent="0.2">
      <c r="A175">
        <v>2016</v>
      </c>
      <c r="B175" s="13">
        <v>8149</v>
      </c>
      <c r="C175" s="90" t="str">
        <f>VLOOKUP(B175,'All Districts'!$A$3:$B$874,2,FALSE)</f>
        <v>North Country</v>
      </c>
      <c r="D175" s="16">
        <v>194051</v>
      </c>
      <c r="E175">
        <f>VLOOKUP(C175,'All Districts'!$B$3:$C$874,2,FALSE)</f>
        <v>0</v>
      </c>
      <c r="F175" s="91">
        <f>COUNTIF($E$2:$E$7106,E175)</f>
        <v>352</v>
      </c>
    </row>
    <row r="176" spans="1:6" x14ac:dyDescent="0.2">
      <c r="A176">
        <v>2017</v>
      </c>
      <c r="B176" s="13">
        <v>8149</v>
      </c>
      <c r="C176" s="90" t="str">
        <f>VLOOKUP(B176,'All Districts'!$A$3:$B$874,2,FALSE)</f>
        <v>North Country</v>
      </c>
      <c r="D176" s="16">
        <v>155024</v>
      </c>
      <c r="E176">
        <f>VLOOKUP(C176,'All Districts'!$B$3:$C$874,2,FALSE)</f>
        <v>0</v>
      </c>
      <c r="F176" s="91">
        <f>COUNTIF($E$2:$E$7106,E176)</f>
        <v>352</v>
      </c>
    </row>
    <row r="177" spans="1:6" x14ac:dyDescent="0.2">
      <c r="A177" s="10">
        <v>2018</v>
      </c>
      <c r="B177" s="13">
        <v>8149</v>
      </c>
      <c r="C177" s="90" t="str">
        <f>VLOOKUP(B177,'All Districts'!$A$3:$B$874,2,FALSE)</f>
        <v>North Country</v>
      </c>
      <c r="D177" s="15">
        <v>152752</v>
      </c>
      <c r="E177">
        <f>VLOOKUP(C177,'All Districts'!$B$3:$C$874,2,FALSE)</f>
        <v>0</v>
      </c>
      <c r="F177" s="91">
        <f>COUNTIF($E$2:$E$7106,E177)</f>
        <v>352</v>
      </c>
    </row>
    <row r="178" spans="1:6" x14ac:dyDescent="0.2">
      <c r="A178">
        <v>2019</v>
      </c>
      <c r="B178" s="36">
        <v>8149</v>
      </c>
      <c r="C178" s="90" t="str">
        <f>VLOOKUP(B178,'All Districts'!$A$3:$B$874,2,FALSE)</f>
        <v>North Country</v>
      </c>
      <c r="D178" s="40">
        <v>161678</v>
      </c>
      <c r="E178">
        <f>VLOOKUP(C178,'All Districts'!$B$3:$C$874,2,FALSE)</f>
        <v>0</v>
      </c>
      <c r="F178" s="91">
        <f>COUNTIF($E$2:$E$7106,E178)</f>
        <v>352</v>
      </c>
    </row>
    <row r="179" spans="1:6" x14ac:dyDescent="0.2">
      <c r="A179">
        <v>2020</v>
      </c>
      <c r="B179" s="36">
        <v>8149</v>
      </c>
      <c r="C179" s="90" t="str">
        <f>VLOOKUP(B179,'All Districts'!$A$3:$B$874,2,FALSE)</f>
        <v>North Country</v>
      </c>
      <c r="D179" s="40">
        <v>160166</v>
      </c>
      <c r="E179">
        <f>VLOOKUP(C179,'All Districts'!$B$3:$C$874,2,FALSE)</f>
        <v>0</v>
      </c>
      <c r="F179" s="91">
        <f>COUNTIF($E$2:$E$7106,E179)</f>
        <v>352</v>
      </c>
    </row>
    <row r="180" spans="1:6" x14ac:dyDescent="0.2">
      <c r="A180" s="10">
        <v>2021</v>
      </c>
      <c r="B180" s="52">
        <v>8149</v>
      </c>
      <c r="C180" s="90" t="str">
        <f>VLOOKUP(B180,'All Districts'!$A$3:$B$874,2,FALSE)</f>
        <v>North Country</v>
      </c>
      <c r="D180" s="76">
        <v>169534</v>
      </c>
      <c r="E180">
        <f>VLOOKUP(C180,'All Districts'!$B$3:$C$874,2,FALSE)</f>
        <v>0</v>
      </c>
      <c r="F180" s="91">
        <f>COUNTIF($E$2:$E$7106,E180)</f>
        <v>352</v>
      </c>
    </row>
    <row r="181" spans="1:6" x14ac:dyDescent="0.2">
      <c r="A181">
        <v>2022</v>
      </c>
      <c r="B181" s="36">
        <v>8149</v>
      </c>
      <c r="C181" s="90" t="str">
        <f>VLOOKUP(B181,'All Districts'!$A$3:$B$874,2,FALSE)</f>
        <v>North Country</v>
      </c>
      <c r="D181" s="82">
        <v>180787</v>
      </c>
      <c r="E181">
        <f>VLOOKUP(C181,'All Districts'!$B$3:$C$874,2,FALSE)</f>
        <v>0</v>
      </c>
      <c r="F181" s="91">
        <f>COUNTIF($E$2:$E$7106,E181)</f>
        <v>352</v>
      </c>
    </row>
    <row r="182" spans="1:6" x14ac:dyDescent="0.2">
      <c r="A182">
        <v>2023</v>
      </c>
      <c r="B182" s="36">
        <v>8149</v>
      </c>
      <c r="C182" s="90" t="str">
        <f>VLOOKUP(B182,'All Districts'!$A$3:$B$874,2,FALSE)</f>
        <v>North Country</v>
      </c>
      <c r="D182" s="40">
        <v>193900</v>
      </c>
      <c r="E182">
        <f>VLOOKUP(C182,'All Districts'!$B$3:$C$874,2,FALSE)</f>
        <v>0</v>
      </c>
      <c r="F182" s="91">
        <f>COUNTIF($E$2:$E$7106,E182)</f>
        <v>352</v>
      </c>
    </row>
    <row r="183" spans="1:6" x14ac:dyDescent="0.2">
      <c r="A183">
        <v>2015</v>
      </c>
      <c r="B183" s="13">
        <v>6109</v>
      </c>
      <c r="C183" s="90" t="str">
        <f>VLOOKUP(B183,'All Districts'!$A$3:$B$874,2,FALSE)</f>
        <v>Westchester 2 (Southern Westchester)</v>
      </c>
      <c r="D183" s="15">
        <v>5045829</v>
      </c>
      <c r="E183">
        <f>VLOOKUP(C183,'All Districts'!$B$3:$C$874,2,FALSE)</f>
        <v>0</v>
      </c>
      <c r="F183" s="91">
        <f>COUNTIF($E$2:$E$7106,E183)</f>
        <v>352</v>
      </c>
    </row>
    <row r="184" spans="1:6" x14ac:dyDescent="0.2">
      <c r="A184">
        <v>2016</v>
      </c>
      <c r="B184" s="13">
        <v>6109</v>
      </c>
      <c r="C184" s="90" t="str">
        <f>VLOOKUP(B184,'All Districts'!$A$3:$B$874,2,FALSE)</f>
        <v>Westchester 2 (Southern Westchester)</v>
      </c>
      <c r="D184" s="16">
        <v>3788554</v>
      </c>
      <c r="E184">
        <f>VLOOKUP(C184,'All Districts'!$B$3:$C$874,2,FALSE)</f>
        <v>0</v>
      </c>
      <c r="F184" s="91">
        <f>COUNTIF($E$2:$E$7106,E184)</f>
        <v>352</v>
      </c>
    </row>
    <row r="185" spans="1:6" x14ac:dyDescent="0.2">
      <c r="A185">
        <v>2017</v>
      </c>
      <c r="B185" s="13">
        <v>6109</v>
      </c>
      <c r="C185" s="90" t="str">
        <f>VLOOKUP(B185,'All Districts'!$A$3:$B$874,2,FALSE)</f>
        <v>Westchester 2 (Southern Westchester)</v>
      </c>
      <c r="D185" s="16">
        <v>3208736</v>
      </c>
      <c r="E185">
        <f>VLOOKUP(C185,'All Districts'!$B$3:$C$874,2,FALSE)</f>
        <v>0</v>
      </c>
      <c r="F185" s="91">
        <f>COUNTIF($E$2:$E$7106,E185)</f>
        <v>352</v>
      </c>
    </row>
    <row r="186" spans="1:6" x14ac:dyDescent="0.2">
      <c r="A186" s="10">
        <v>2018</v>
      </c>
      <c r="B186" s="13">
        <v>6109</v>
      </c>
      <c r="C186" s="90" t="str">
        <f>VLOOKUP(B186,'All Districts'!$A$3:$B$874,2,FALSE)</f>
        <v>Westchester 2 (Southern Westchester)</v>
      </c>
      <c r="D186" s="15">
        <v>2785038</v>
      </c>
      <c r="E186">
        <f>VLOOKUP(C186,'All Districts'!$B$3:$C$874,2,FALSE)</f>
        <v>0</v>
      </c>
      <c r="F186" s="91">
        <f>COUNTIF($E$2:$E$7106,E186)</f>
        <v>352</v>
      </c>
    </row>
    <row r="187" spans="1:6" x14ac:dyDescent="0.2">
      <c r="A187">
        <v>2019</v>
      </c>
      <c r="B187" s="36">
        <v>6109</v>
      </c>
      <c r="C187" s="90" t="str">
        <f>VLOOKUP(B187,'All Districts'!$A$3:$B$874,2,FALSE)</f>
        <v>Westchester 2 (Southern Westchester)</v>
      </c>
      <c r="D187" s="40">
        <v>3116186</v>
      </c>
      <c r="E187">
        <f>VLOOKUP(C187,'All Districts'!$B$3:$C$874,2,FALSE)</f>
        <v>0</v>
      </c>
      <c r="F187" s="91">
        <f>COUNTIF($E$2:$E$7106,E187)</f>
        <v>352</v>
      </c>
    </row>
    <row r="188" spans="1:6" x14ac:dyDescent="0.2">
      <c r="A188">
        <v>2020</v>
      </c>
      <c r="B188" s="36">
        <v>6109</v>
      </c>
      <c r="C188" s="90" t="str">
        <f>VLOOKUP(B188,'All Districts'!$A$3:$B$874,2,FALSE)</f>
        <v>Westchester 2 (Southern Westchester)</v>
      </c>
      <c r="D188" s="40">
        <v>2478848</v>
      </c>
      <c r="E188">
        <f>VLOOKUP(C188,'All Districts'!$B$3:$C$874,2,FALSE)</f>
        <v>0</v>
      </c>
      <c r="F188" s="91">
        <f>COUNTIF($E$2:$E$7106,E188)</f>
        <v>352</v>
      </c>
    </row>
    <row r="189" spans="1:6" x14ac:dyDescent="0.2">
      <c r="A189" s="10">
        <v>2021</v>
      </c>
      <c r="B189" s="52">
        <v>6109</v>
      </c>
      <c r="C189" s="90" t="str">
        <f>VLOOKUP(B189,'All Districts'!$A$3:$B$874,2,FALSE)</f>
        <v>Westchester 2 (Southern Westchester)</v>
      </c>
      <c r="D189" s="75">
        <v>2584516</v>
      </c>
      <c r="E189">
        <f>VLOOKUP(C189,'All Districts'!$B$3:$C$874,2,FALSE)</f>
        <v>0</v>
      </c>
      <c r="F189" s="91">
        <f>COUNTIF($E$2:$E$7106,E189)</f>
        <v>352</v>
      </c>
    </row>
    <row r="190" spans="1:6" x14ac:dyDescent="0.2">
      <c r="A190">
        <v>2022</v>
      </c>
      <c r="B190" s="36">
        <v>6109</v>
      </c>
      <c r="C190" s="90" t="str">
        <f>VLOOKUP(B190,'All Districts'!$A$3:$B$874,2,FALSE)</f>
        <v>Westchester 2 (Southern Westchester)</v>
      </c>
      <c r="D190" s="82">
        <v>2612751</v>
      </c>
      <c r="E190">
        <f>VLOOKUP(C190,'All Districts'!$B$3:$C$874,2,FALSE)</f>
        <v>0</v>
      </c>
      <c r="F190" s="91">
        <f>COUNTIF($E$2:$E$7106,E190)</f>
        <v>352</v>
      </c>
    </row>
    <row r="191" spans="1:6" x14ac:dyDescent="0.2">
      <c r="A191">
        <v>2023</v>
      </c>
      <c r="B191" s="36">
        <v>6109</v>
      </c>
      <c r="C191" s="90" t="str">
        <f>VLOOKUP(B191,'All Districts'!$A$3:$B$874,2,FALSE)</f>
        <v>Westchester 2 (Southern Westchester)</v>
      </c>
      <c r="D191" s="40">
        <v>2744803</v>
      </c>
      <c r="E191">
        <f>VLOOKUP(C191,'All Districts'!$B$3:$C$874,2,FALSE)</f>
        <v>0</v>
      </c>
      <c r="F191" s="91">
        <f>COUNTIF($E$2:$E$7106,E191)</f>
        <v>352</v>
      </c>
    </row>
    <row r="192" spans="1:6" x14ac:dyDescent="0.2">
      <c r="A192">
        <v>2015</v>
      </c>
      <c r="B192" s="13">
        <v>8155</v>
      </c>
      <c r="C192" s="90" t="str">
        <f>VLOOKUP(B192,'All Districts'!$A$3:$B$874,2,FALSE)</f>
        <v>Orange County</v>
      </c>
      <c r="D192" s="15">
        <v>936359</v>
      </c>
      <c r="E192">
        <f>VLOOKUP(C192,'All Districts'!$B$3:$C$874,2,FALSE)</f>
        <v>0</v>
      </c>
      <c r="F192" s="91">
        <f>COUNTIF($E$2:$E$7106,E192)</f>
        <v>352</v>
      </c>
    </row>
    <row r="193" spans="1:6" x14ac:dyDescent="0.2">
      <c r="A193">
        <v>2016</v>
      </c>
      <c r="B193" s="13">
        <v>8155</v>
      </c>
      <c r="C193" s="90" t="str">
        <f>VLOOKUP(B193,'All Districts'!$A$3:$B$874,2,FALSE)</f>
        <v>Orange County</v>
      </c>
      <c r="D193" s="16">
        <v>789695</v>
      </c>
      <c r="E193">
        <f>VLOOKUP(C193,'All Districts'!$B$3:$C$874,2,FALSE)</f>
        <v>0</v>
      </c>
      <c r="F193" s="91">
        <f>COUNTIF($E$2:$E$7106,E193)</f>
        <v>352</v>
      </c>
    </row>
    <row r="194" spans="1:6" x14ac:dyDescent="0.2">
      <c r="A194">
        <v>2017</v>
      </c>
      <c r="B194" s="13">
        <v>8155</v>
      </c>
      <c r="C194" s="90" t="str">
        <f>VLOOKUP(B194,'All Districts'!$A$3:$B$874,2,FALSE)</f>
        <v>Orange County</v>
      </c>
      <c r="D194" s="16">
        <v>710705</v>
      </c>
      <c r="E194">
        <f>VLOOKUP(C194,'All Districts'!$B$3:$C$874,2,FALSE)</f>
        <v>0</v>
      </c>
      <c r="F194" s="91">
        <f>COUNTIF($E$2:$E$7106,E194)</f>
        <v>352</v>
      </c>
    </row>
    <row r="195" spans="1:6" x14ac:dyDescent="0.2">
      <c r="A195" s="10">
        <v>2018</v>
      </c>
      <c r="B195" s="13">
        <v>8155</v>
      </c>
      <c r="C195" s="90" t="str">
        <f>VLOOKUP(B195,'All Districts'!$A$3:$B$874,2,FALSE)</f>
        <v>Orange County</v>
      </c>
      <c r="D195" s="15">
        <v>595284</v>
      </c>
      <c r="E195">
        <f>VLOOKUP(C195,'All Districts'!$B$3:$C$874,2,FALSE)</f>
        <v>0</v>
      </c>
      <c r="F195" s="91">
        <f>COUNTIF($E$2:$E$7106,E195)</f>
        <v>352</v>
      </c>
    </row>
    <row r="196" spans="1:6" x14ac:dyDescent="0.2">
      <c r="A196">
        <v>2019</v>
      </c>
      <c r="B196" s="36">
        <v>8155</v>
      </c>
      <c r="C196" s="90" t="str">
        <f>VLOOKUP(B196,'All Districts'!$A$3:$B$874,2,FALSE)</f>
        <v>Orange County</v>
      </c>
      <c r="D196" s="40">
        <v>636570</v>
      </c>
      <c r="E196">
        <f>VLOOKUP(C196,'All Districts'!$B$3:$C$874,2,FALSE)</f>
        <v>0</v>
      </c>
      <c r="F196" s="91">
        <f>COUNTIF($E$2:$E$7106,E196)</f>
        <v>352</v>
      </c>
    </row>
    <row r="197" spans="1:6" x14ac:dyDescent="0.2">
      <c r="A197">
        <v>2020</v>
      </c>
      <c r="B197" s="36">
        <v>8155</v>
      </c>
      <c r="C197" s="90" t="str">
        <f>VLOOKUP(B197,'All Districts'!$A$3:$B$874,2,FALSE)</f>
        <v>Orange County</v>
      </c>
      <c r="D197" s="40">
        <v>537857</v>
      </c>
      <c r="E197">
        <f>VLOOKUP(C197,'All Districts'!$B$3:$C$874,2,FALSE)</f>
        <v>0</v>
      </c>
      <c r="F197" s="91">
        <f>COUNTIF($E$2:$E$7106,E197)</f>
        <v>352</v>
      </c>
    </row>
    <row r="198" spans="1:6" x14ac:dyDescent="0.2">
      <c r="A198" s="10">
        <v>2021</v>
      </c>
      <c r="B198" s="52">
        <v>8155</v>
      </c>
      <c r="C198" s="90" t="str">
        <f>VLOOKUP(B198,'All Districts'!$A$3:$B$874,2,FALSE)</f>
        <v>Orange County</v>
      </c>
      <c r="D198" s="76">
        <v>577028</v>
      </c>
      <c r="E198">
        <f>VLOOKUP(C198,'All Districts'!$B$3:$C$874,2,FALSE)</f>
        <v>0</v>
      </c>
      <c r="F198" s="91">
        <f>COUNTIF($E$2:$E$7106,E198)</f>
        <v>352</v>
      </c>
    </row>
    <row r="199" spans="1:6" x14ac:dyDescent="0.2">
      <c r="A199">
        <v>2022</v>
      </c>
      <c r="B199" s="36">
        <v>8155</v>
      </c>
      <c r="C199" s="90" t="str">
        <f>VLOOKUP(B199,'All Districts'!$A$3:$B$874,2,FALSE)</f>
        <v>Orange County</v>
      </c>
      <c r="D199" s="82">
        <v>577074</v>
      </c>
      <c r="E199">
        <f>VLOOKUP(C199,'All Districts'!$B$3:$C$874,2,FALSE)</f>
        <v>0</v>
      </c>
      <c r="F199" s="91">
        <f>COUNTIF($E$2:$E$7106,E199)</f>
        <v>352</v>
      </c>
    </row>
    <row r="200" spans="1:6" x14ac:dyDescent="0.2">
      <c r="A200">
        <v>2023</v>
      </c>
      <c r="B200" s="36">
        <v>8155</v>
      </c>
      <c r="C200" s="90" t="str">
        <f>VLOOKUP(B200,'All Districts'!$A$3:$B$874,2,FALSE)</f>
        <v>Orange County</v>
      </c>
      <c r="D200" s="40">
        <v>715303</v>
      </c>
      <c r="E200">
        <f>VLOOKUP(C200,'All Districts'!$B$3:$C$874,2,FALSE)</f>
        <v>0</v>
      </c>
      <c r="F200" s="91">
        <f>COUNTIF($E$2:$E$7106,E200)</f>
        <v>352</v>
      </c>
    </row>
    <row r="201" spans="1:6" x14ac:dyDescent="0.2">
      <c r="A201">
        <v>2015</v>
      </c>
      <c r="B201" s="13">
        <v>4028</v>
      </c>
      <c r="C201" s="90" t="str">
        <f>VLOOKUP(B201,'All Districts'!$A$3:$B$874,2,FALSE)</f>
        <v>Owen D Young</v>
      </c>
      <c r="D201" s="14">
        <v>209471</v>
      </c>
      <c r="E201">
        <f>VLOOKUP(C201,'All Districts'!$B$3:$C$874,2,FALSE)</f>
        <v>0</v>
      </c>
      <c r="F201" s="91">
        <f>COUNTIF($E$2:$E$7106,E201)</f>
        <v>352</v>
      </c>
    </row>
    <row r="202" spans="1:6" x14ac:dyDescent="0.2">
      <c r="A202">
        <v>2016</v>
      </c>
      <c r="B202" s="13">
        <v>4028</v>
      </c>
      <c r="C202" s="90" t="str">
        <f>VLOOKUP(B202,'All Districts'!$A$3:$B$874,2,FALSE)</f>
        <v>Owen D Young</v>
      </c>
      <c r="D202" s="16">
        <v>157919</v>
      </c>
      <c r="E202">
        <f>VLOOKUP(C202,'All Districts'!$B$3:$C$874,2,FALSE)</f>
        <v>0</v>
      </c>
      <c r="F202" s="91">
        <f>COUNTIF($E$2:$E$7106,E202)</f>
        <v>352</v>
      </c>
    </row>
    <row r="203" spans="1:6" x14ac:dyDescent="0.2">
      <c r="A203">
        <v>2017</v>
      </c>
      <c r="B203" s="13">
        <v>4028</v>
      </c>
      <c r="C203" s="90" t="str">
        <f>VLOOKUP(B203,'All Districts'!$A$3:$B$874,2,FALSE)</f>
        <v>Owen D Young</v>
      </c>
      <c r="D203" s="16">
        <v>147885</v>
      </c>
      <c r="E203">
        <f>VLOOKUP(C203,'All Districts'!$B$3:$C$874,2,FALSE)</f>
        <v>0</v>
      </c>
      <c r="F203" s="91">
        <f>COUNTIF($E$2:$E$7106,E203)</f>
        <v>352</v>
      </c>
    </row>
    <row r="204" spans="1:6" x14ac:dyDescent="0.2">
      <c r="A204" s="10">
        <v>2018</v>
      </c>
      <c r="B204" s="13">
        <v>4028</v>
      </c>
      <c r="C204" s="90" t="str">
        <f>VLOOKUP(B204,'All Districts'!$A$3:$B$874,2,FALSE)</f>
        <v>Owen D Young</v>
      </c>
      <c r="D204" s="15">
        <v>125143</v>
      </c>
      <c r="E204">
        <f>VLOOKUP(C204,'All Districts'!$B$3:$C$874,2,FALSE)</f>
        <v>0</v>
      </c>
      <c r="F204" s="91">
        <f>COUNTIF($E$2:$E$7106,E204)</f>
        <v>352</v>
      </c>
    </row>
    <row r="205" spans="1:6" x14ac:dyDescent="0.2">
      <c r="A205">
        <v>2019</v>
      </c>
      <c r="B205" s="36">
        <v>4028</v>
      </c>
      <c r="C205" s="90" t="str">
        <f>VLOOKUP(B205,'All Districts'!$A$3:$B$874,2,FALSE)</f>
        <v>Owen D Young</v>
      </c>
      <c r="D205" s="40">
        <v>136370</v>
      </c>
      <c r="E205">
        <f>VLOOKUP(C205,'All Districts'!$B$3:$C$874,2,FALSE)</f>
        <v>0</v>
      </c>
      <c r="F205" s="91">
        <f>COUNTIF($E$2:$E$7106,E205)</f>
        <v>352</v>
      </c>
    </row>
    <row r="206" spans="1:6" x14ac:dyDescent="0.2">
      <c r="A206">
        <v>2020</v>
      </c>
      <c r="B206" s="36">
        <v>4028</v>
      </c>
      <c r="C206" s="90" t="str">
        <f>VLOOKUP(B206,'All Districts'!$A$3:$B$874,2,FALSE)</f>
        <v>Owen D Young</v>
      </c>
      <c r="D206" s="40">
        <v>121007</v>
      </c>
      <c r="E206">
        <f>VLOOKUP(C206,'All Districts'!$B$3:$C$874,2,FALSE)</f>
        <v>0</v>
      </c>
      <c r="F206" s="91">
        <f>COUNTIF($E$2:$E$7106,E206)</f>
        <v>352</v>
      </c>
    </row>
    <row r="207" spans="1:6" x14ac:dyDescent="0.2">
      <c r="A207" s="10">
        <v>2021</v>
      </c>
      <c r="B207" s="52">
        <v>4028</v>
      </c>
      <c r="C207" s="90" t="str">
        <f>VLOOKUP(B207,'All Districts'!$A$3:$B$874,2,FALSE)</f>
        <v>Owen D Young</v>
      </c>
      <c r="D207" s="76">
        <v>135804</v>
      </c>
      <c r="E207">
        <f>VLOOKUP(C207,'All Districts'!$B$3:$C$874,2,FALSE)</f>
        <v>0</v>
      </c>
      <c r="F207" s="91">
        <f>COUNTIF($E$2:$E$7106,E207)</f>
        <v>352</v>
      </c>
    </row>
    <row r="208" spans="1:6" x14ac:dyDescent="0.2">
      <c r="A208">
        <v>2022</v>
      </c>
      <c r="B208" s="36">
        <v>4028</v>
      </c>
      <c r="C208" s="90" t="str">
        <f>VLOOKUP(B208,'All Districts'!$A$3:$B$874,2,FALSE)</f>
        <v>Owen D Young</v>
      </c>
      <c r="D208" s="82">
        <v>161452</v>
      </c>
      <c r="E208">
        <f>VLOOKUP(C208,'All Districts'!$B$3:$C$874,2,FALSE)</f>
        <v>0</v>
      </c>
      <c r="F208" s="91">
        <f>COUNTIF($E$2:$E$7106,E208)</f>
        <v>352</v>
      </c>
    </row>
    <row r="209" spans="1:6" x14ac:dyDescent="0.2">
      <c r="A209">
        <v>2023</v>
      </c>
      <c r="B209" s="36">
        <v>4028</v>
      </c>
      <c r="C209" s="90" t="str">
        <f>VLOOKUP(B209,'All Districts'!$A$3:$B$874,2,FALSE)</f>
        <v>Owen D Young</v>
      </c>
      <c r="D209" s="40">
        <v>167376</v>
      </c>
      <c r="E209">
        <f>VLOOKUP(C209,'All Districts'!$B$3:$C$874,2,FALSE)</f>
        <v>0</v>
      </c>
      <c r="F209" s="91">
        <f>COUNTIF($E$2:$E$7106,E209)</f>
        <v>352</v>
      </c>
    </row>
    <row r="210" spans="1:6" x14ac:dyDescent="0.2">
      <c r="A210">
        <v>2015</v>
      </c>
      <c r="B210" s="13">
        <v>2467</v>
      </c>
      <c r="C210" s="90" t="str">
        <f>VLOOKUP(B210,'All Districts'!$A$3:$B$874,2,FALSE)</f>
        <v>Pioneer</v>
      </c>
      <c r="D210" s="14">
        <v>3182178</v>
      </c>
      <c r="E210">
        <f>VLOOKUP(C210,'All Districts'!$B$3:$C$874,2,FALSE)</f>
        <v>0</v>
      </c>
      <c r="F210" s="91">
        <f>COUNTIF($E$2:$E$7106,E210)</f>
        <v>352</v>
      </c>
    </row>
    <row r="211" spans="1:6" x14ac:dyDescent="0.2">
      <c r="A211">
        <v>2016</v>
      </c>
      <c r="B211" s="13">
        <v>2467</v>
      </c>
      <c r="C211" s="90" t="str">
        <f>VLOOKUP(B211,'All Districts'!$A$3:$B$874,2,FALSE)</f>
        <v>Pioneer</v>
      </c>
      <c r="D211" s="16">
        <v>2492196</v>
      </c>
      <c r="E211">
        <f>VLOOKUP(C211,'All Districts'!$B$3:$C$874,2,FALSE)</f>
        <v>0</v>
      </c>
      <c r="F211" s="91">
        <f>COUNTIF($E$2:$E$7106,E211)</f>
        <v>352</v>
      </c>
    </row>
    <row r="212" spans="1:6" x14ac:dyDescent="0.2">
      <c r="A212">
        <v>2017</v>
      </c>
      <c r="B212" s="13">
        <v>2467</v>
      </c>
      <c r="C212" s="90" t="str">
        <f>VLOOKUP(B212,'All Districts'!$A$3:$B$874,2,FALSE)</f>
        <v>Pioneer</v>
      </c>
      <c r="D212" s="16">
        <v>2279870</v>
      </c>
      <c r="E212">
        <f>VLOOKUP(C212,'All Districts'!$B$3:$C$874,2,FALSE)</f>
        <v>0</v>
      </c>
      <c r="F212" s="91">
        <f>COUNTIF($E$2:$E$7106,E212)</f>
        <v>352</v>
      </c>
    </row>
    <row r="213" spans="1:6" x14ac:dyDescent="0.2">
      <c r="A213" s="10">
        <v>2018</v>
      </c>
      <c r="B213" s="13">
        <v>2467</v>
      </c>
      <c r="C213" s="90" t="str">
        <f>VLOOKUP(B213,'All Districts'!$A$3:$B$874,2,FALSE)</f>
        <v>Pioneer</v>
      </c>
      <c r="D213" s="15">
        <v>1931842</v>
      </c>
      <c r="E213">
        <f>VLOOKUP(C213,'All Districts'!$B$3:$C$874,2,FALSE)</f>
        <v>0</v>
      </c>
      <c r="F213" s="91">
        <f>COUNTIF($E$2:$E$7106,E213)</f>
        <v>352</v>
      </c>
    </row>
    <row r="214" spans="1:6" x14ac:dyDescent="0.2">
      <c r="A214">
        <v>2019</v>
      </c>
      <c r="B214" s="36">
        <v>2467</v>
      </c>
      <c r="C214" s="90" t="str">
        <f>VLOOKUP(B214,'All Districts'!$A$3:$B$874,2,FALSE)</f>
        <v>Pioneer</v>
      </c>
      <c r="D214" s="40">
        <v>2122508</v>
      </c>
      <c r="E214">
        <f>VLOOKUP(C214,'All Districts'!$B$3:$C$874,2,FALSE)</f>
        <v>0</v>
      </c>
      <c r="F214" s="91">
        <f>COUNTIF($E$2:$E$7106,E214)</f>
        <v>352</v>
      </c>
    </row>
    <row r="215" spans="1:6" x14ac:dyDescent="0.2">
      <c r="A215">
        <v>2020</v>
      </c>
      <c r="B215" s="36">
        <v>2467</v>
      </c>
      <c r="C215" s="90" t="str">
        <f>VLOOKUP(B215,'All Districts'!$A$3:$B$874,2,FALSE)</f>
        <v>Pioneer</v>
      </c>
      <c r="D215" s="40">
        <v>1771668</v>
      </c>
      <c r="E215">
        <f>VLOOKUP(C215,'All Districts'!$B$3:$C$874,2,FALSE)</f>
        <v>0</v>
      </c>
      <c r="F215" s="91">
        <f>COUNTIF($E$2:$E$7106,E215)</f>
        <v>352</v>
      </c>
    </row>
    <row r="216" spans="1:6" x14ac:dyDescent="0.2">
      <c r="A216" s="10">
        <v>2021</v>
      </c>
      <c r="B216" s="55">
        <v>2467</v>
      </c>
      <c r="C216" s="90" t="str">
        <f>VLOOKUP(B216,'All Districts'!$A$3:$B$874,2,FALSE)</f>
        <v>Pioneer</v>
      </c>
      <c r="D216" s="76">
        <v>1923598</v>
      </c>
      <c r="E216">
        <f>VLOOKUP(C216,'All Districts'!$B$3:$C$874,2,FALSE)</f>
        <v>0</v>
      </c>
      <c r="F216" s="91">
        <f>COUNTIF($E$2:$E$7106,E216)</f>
        <v>352</v>
      </c>
    </row>
    <row r="217" spans="1:6" x14ac:dyDescent="0.2">
      <c r="A217">
        <v>2022</v>
      </c>
      <c r="B217" s="36">
        <v>2467</v>
      </c>
      <c r="C217" s="90" t="str">
        <f>VLOOKUP(B217,'All Districts'!$A$3:$B$874,2,FALSE)</f>
        <v>Pioneer</v>
      </c>
      <c r="D217" s="82">
        <v>1993167</v>
      </c>
      <c r="E217">
        <f>VLOOKUP(C217,'All Districts'!$B$3:$C$874,2,FALSE)</f>
        <v>0</v>
      </c>
      <c r="F217" s="91">
        <f>COUNTIF($E$2:$E$7106,E217)</f>
        <v>352</v>
      </c>
    </row>
    <row r="218" spans="1:6" x14ac:dyDescent="0.2">
      <c r="A218">
        <v>2023</v>
      </c>
      <c r="B218" s="36">
        <v>2467</v>
      </c>
      <c r="C218" s="90" t="str">
        <f>VLOOKUP(B218,'All Districts'!$A$3:$B$874,2,FALSE)</f>
        <v>Pioneer</v>
      </c>
      <c r="D218" s="40">
        <v>2237649</v>
      </c>
      <c r="E218">
        <f>VLOOKUP(C218,'All Districts'!$B$3:$C$874,2,FALSE)</f>
        <v>0</v>
      </c>
      <c r="F218" s="91">
        <f>COUNTIF($E$2:$E$7106,E218)</f>
        <v>352</v>
      </c>
    </row>
    <row r="219" spans="1:6" x14ac:dyDescent="0.2">
      <c r="A219">
        <v>2015</v>
      </c>
      <c r="B219" s="13">
        <v>4703</v>
      </c>
      <c r="C219" s="90" t="str">
        <f>VLOOKUP(B219,'All Districts'!$A$3:$B$874,2,FALSE)</f>
        <v>Pulaski Academy</v>
      </c>
      <c r="D219" s="14">
        <v>1366747</v>
      </c>
      <c r="E219">
        <f>VLOOKUP(C219,'All Districts'!$B$3:$C$874,2,FALSE)</f>
        <v>0</v>
      </c>
      <c r="F219" s="91">
        <f>COUNTIF($E$2:$E$7106,E219)</f>
        <v>352</v>
      </c>
    </row>
    <row r="220" spans="1:6" x14ac:dyDescent="0.2">
      <c r="A220">
        <v>2016</v>
      </c>
      <c r="B220" s="13">
        <v>4703</v>
      </c>
      <c r="C220" s="90" t="str">
        <f>VLOOKUP(B220,'All Districts'!$A$3:$B$874,2,FALSE)</f>
        <v>Pulaski Academy</v>
      </c>
      <c r="D220" s="16">
        <v>1031141</v>
      </c>
      <c r="E220">
        <f>VLOOKUP(C220,'All Districts'!$B$3:$C$874,2,FALSE)</f>
        <v>0</v>
      </c>
      <c r="F220" s="91">
        <f>COUNTIF($E$2:$E$7106,E220)</f>
        <v>352</v>
      </c>
    </row>
    <row r="221" spans="1:6" x14ac:dyDescent="0.2">
      <c r="A221">
        <v>2017</v>
      </c>
      <c r="B221" s="13">
        <v>4703</v>
      </c>
      <c r="C221" s="90" t="str">
        <f>VLOOKUP(B221,'All Districts'!$A$3:$B$874,2,FALSE)</f>
        <v>Pulaski Academy</v>
      </c>
      <c r="D221" s="16">
        <v>900586</v>
      </c>
      <c r="E221">
        <f>VLOOKUP(C221,'All Districts'!$B$3:$C$874,2,FALSE)</f>
        <v>0</v>
      </c>
      <c r="F221" s="91">
        <f>COUNTIF($E$2:$E$7106,E221)</f>
        <v>352</v>
      </c>
    </row>
    <row r="222" spans="1:6" x14ac:dyDescent="0.2">
      <c r="A222" s="10">
        <v>2018</v>
      </c>
      <c r="B222" s="13">
        <v>4703</v>
      </c>
      <c r="C222" s="90" t="str">
        <f>VLOOKUP(B222,'All Districts'!$A$3:$B$874,2,FALSE)</f>
        <v>Pulaski Academy</v>
      </c>
      <c r="D222" s="15">
        <v>725995</v>
      </c>
      <c r="E222">
        <f>VLOOKUP(C222,'All Districts'!$B$3:$C$874,2,FALSE)</f>
        <v>0</v>
      </c>
      <c r="F222" s="91">
        <f>COUNTIF($E$2:$E$7106,E222)</f>
        <v>352</v>
      </c>
    </row>
    <row r="223" spans="1:6" x14ac:dyDescent="0.2">
      <c r="A223">
        <v>2019</v>
      </c>
      <c r="B223" s="36">
        <v>4703</v>
      </c>
      <c r="C223" s="90" t="str">
        <f>VLOOKUP(B223,'All Districts'!$A$3:$B$874,2,FALSE)</f>
        <v>Pulaski Academy</v>
      </c>
      <c r="D223" s="40">
        <v>796751</v>
      </c>
      <c r="E223">
        <f>VLOOKUP(C223,'All Districts'!$B$3:$C$874,2,FALSE)</f>
        <v>0</v>
      </c>
      <c r="F223" s="91">
        <f>COUNTIF($E$2:$E$7106,E223)</f>
        <v>352</v>
      </c>
    </row>
    <row r="224" spans="1:6" x14ac:dyDescent="0.2">
      <c r="A224">
        <v>2020</v>
      </c>
      <c r="B224" s="36">
        <v>4703</v>
      </c>
      <c r="C224" s="90" t="str">
        <f>VLOOKUP(B224,'All Districts'!$A$3:$B$874,2,FALSE)</f>
        <v>Pulaski Academy</v>
      </c>
      <c r="D224" s="40">
        <v>693221</v>
      </c>
      <c r="E224">
        <f>VLOOKUP(C224,'All Districts'!$B$3:$C$874,2,FALSE)</f>
        <v>0</v>
      </c>
      <c r="F224" s="91">
        <f>COUNTIF($E$2:$E$7106,E224)</f>
        <v>352</v>
      </c>
    </row>
    <row r="225" spans="1:6" x14ac:dyDescent="0.2">
      <c r="A225" s="10">
        <v>2021</v>
      </c>
      <c r="B225" s="52">
        <v>4703</v>
      </c>
      <c r="C225" s="90" t="str">
        <f>VLOOKUP(B225,'All Districts'!$A$3:$B$874,2,FALSE)</f>
        <v>Pulaski Academy</v>
      </c>
      <c r="D225" s="76">
        <v>742825</v>
      </c>
      <c r="E225">
        <f>VLOOKUP(C225,'All Districts'!$B$3:$C$874,2,FALSE)</f>
        <v>0</v>
      </c>
      <c r="F225" s="91">
        <f>COUNTIF($E$2:$E$7106,E225)</f>
        <v>352</v>
      </c>
    </row>
    <row r="226" spans="1:6" x14ac:dyDescent="0.2">
      <c r="A226">
        <v>2022</v>
      </c>
      <c r="B226" s="36">
        <v>4703</v>
      </c>
      <c r="C226" s="90" t="str">
        <f>VLOOKUP(B226,'All Districts'!$A$3:$B$874,2,FALSE)</f>
        <v>Pulaski Academy</v>
      </c>
      <c r="D226" s="82">
        <v>821824</v>
      </c>
      <c r="E226">
        <f>VLOOKUP(C226,'All Districts'!$B$3:$C$874,2,FALSE)</f>
        <v>0</v>
      </c>
      <c r="F226" s="91">
        <f>COUNTIF($E$2:$E$7106,E226)</f>
        <v>352</v>
      </c>
    </row>
    <row r="227" spans="1:6" x14ac:dyDescent="0.2">
      <c r="A227">
        <v>2023</v>
      </c>
      <c r="B227" s="36">
        <v>4703</v>
      </c>
      <c r="C227" s="90" t="str">
        <f>VLOOKUP(B227,'All Districts'!$A$3:$B$874,2,FALSE)</f>
        <v>Pulaski Academy</v>
      </c>
      <c r="D227" s="40">
        <v>879129</v>
      </c>
      <c r="E227">
        <f>VLOOKUP(C227,'All Districts'!$B$3:$C$874,2,FALSE)</f>
        <v>0</v>
      </c>
      <c r="F227" s="91">
        <f>COUNTIF($E$2:$E$7106,E227)</f>
        <v>352</v>
      </c>
    </row>
    <row r="228" spans="1:6" x14ac:dyDescent="0.2">
      <c r="A228">
        <v>2015</v>
      </c>
      <c r="B228" s="13">
        <v>8162</v>
      </c>
      <c r="C228" s="90" t="str">
        <f>VLOOKUP(B228,'All Districts'!$A$3:$B$874,2,FALSE)</f>
        <v>Schenectady County</v>
      </c>
      <c r="D228" s="15">
        <v>345707</v>
      </c>
      <c r="E228">
        <f>VLOOKUP(C228,'All Districts'!$B$3:$C$874,2,FALSE)</f>
        <v>0</v>
      </c>
      <c r="F228" s="91">
        <f>COUNTIF($E$2:$E$7106,E228)</f>
        <v>352</v>
      </c>
    </row>
    <row r="229" spans="1:6" x14ac:dyDescent="0.2">
      <c r="A229">
        <v>2016</v>
      </c>
      <c r="B229" s="13">
        <v>8162</v>
      </c>
      <c r="C229" s="90" t="str">
        <f>VLOOKUP(B229,'All Districts'!$A$3:$B$874,2,FALSE)</f>
        <v>Schenectady County</v>
      </c>
      <c r="D229" s="16">
        <v>274478</v>
      </c>
      <c r="E229">
        <f>VLOOKUP(C229,'All Districts'!$B$3:$C$874,2,FALSE)</f>
        <v>0</v>
      </c>
      <c r="F229" s="91">
        <f>COUNTIF($E$2:$E$7106,E229)</f>
        <v>352</v>
      </c>
    </row>
    <row r="230" spans="1:6" x14ac:dyDescent="0.2">
      <c r="A230">
        <v>2017</v>
      </c>
      <c r="B230" s="13">
        <v>8162</v>
      </c>
      <c r="C230" s="90" t="str">
        <f>VLOOKUP(B230,'All Districts'!$A$3:$B$874,2,FALSE)</f>
        <v>Schenectady County</v>
      </c>
      <c r="D230" s="16">
        <v>214891</v>
      </c>
      <c r="E230">
        <f>VLOOKUP(C230,'All Districts'!$B$3:$C$874,2,FALSE)</f>
        <v>0</v>
      </c>
      <c r="F230" s="91">
        <f>COUNTIF($E$2:$E$7106,E230)</f>
        <v>352</v>
      </c>
    </row>
    <row r="231" spans="1:6" x14ac:dyDescent="0.2">
      <c r="A231" s="10">
        <v>2018</v>
      </c>
      <c r="B231" s="13">
        <v>8162</v>
      </c>
      <c r="C231" s="90" t="str">
        <f>VLOOKUP(B231,'All Districts'!$A$3:$B$874,2,FALSE)</f>
        <v>Schenectady County</v>
      </c>
      <c r="D231" s="15">
        <v>196375</v>
      </c>
      <c r="E231">
        <f>VLOOKUP(C231,'All Districts'!$B$3:$C$874,2,FALSE)</f>
        <v>0</v>
      </c>
      <c r="F231" s="91">
        <f>COUNTIF($E$2:$E$7106,E231)</f>
        <v>352</v>
      </c>
    </row>
    <row r="232" spans="1:6" x14ac:dyDescent="0.2">
      <c r="A232">
        <v>2019</v>
      </c>
      <c r="B232" s="36">
        <v>8162</v>
      </c>
      <c r="C232" s="90" t="str">
        <f>VLOOKUP(B232,'All Districts'!$A$3:$B$874,2,FALSE)</f>
        <v>Schenectady County</v>
      </c>
      <c r="D232" s="40">
        <v>207362</v>
      </c>
      <c r="E232">
        <f>VLOOKUP(C232,'All Districts'!$B$3:$C$874,2,FALSE)</f>
        <v>0</v>
      </c>
      <c r="F232" s="91">
        <f>COUNTIF($E$2:$E$7106,E232)</f>
        <v>352</v>
      </c>
    </row>
    <row r="233" spans="1:6" x14ac:dyDescent="0.2">
      <c r="A233">
        <v>2020</v>
      </c>
      <c r="B233" s="36">
        <v>8162</v>
      </c>
      <c r="C233" s="90" t="str">
        <f>VLOOKUP(B233,'All Districts'!$A$3:$B$874,2,FALSE)</f>
        <v>Schenectady County</v>
      </c>
      <c r="D233" s="40">
        <v>179521</v>
      </c>
      <c r="E233">
        <f>VLOOKUP(C233,'All Districts'!$B$3:$C$874,2,FALSE)</f>
        <v>0</v>
      </c>
      <c r="F233" s="91">
        <f>COUNTIF($E$2:$E$7106,E233)</f>
        <v>352</v>
      </c>
    </row>
    <row r="234" spans="1:6" x14ac:dyDescent="0.2">
      <c r="A234" s="10">
        <v>2021</v>
      </c>
      <c r="B234" s="52">
        <v>8162</v>
      </c>
      <c r="C234" s="90" t="str">
        <f>VLOOKUP(B234,'All Districts'!$A$3:$B$874,2,FALSE)</f>
        <v>Schenectady County</v>
      </c>
      <c r="D234" s="75">
        <v>173455</v>
      </c>
      <c r="E234">
        <f>VLOOKUP(C234,'All Districts'!$B$3:$C$874,2,FALSE)</f>
        <v>0</v>
      </c>
      <c r="F234" s="91">
        <f>COUNTIF($E$2:$E$7106,E234)</f>
        <v>352</v>
      </c>
    </row>
    <row r="235" spans="1:6" x14ac:dyDescent="0.2">
      <c r="A235">
        <v>2022</v>
      </c>
      <c r="B235" s="36">
        <v>8162</v>
      </c>
      <c r="C235" s="90" t="str">
        <f>VLOOKUP(B235,'All Districts'!$A$3:$B$874,2,FALSE)</f>
        <v>Schenectady County</v>
      </c>
      <c r="D235" s="82">
        <v>181751</v>
      </c>
      <c r="E235">
        <f>VLOOKUP(C235,'All Districts'!$B$3:$C$874,2,FALSE)</f>
        <v>0</v>
      </c>
      <c r="F235" s="91">
        <f>COUNTIF($E$2:$E$7106,E235)</f>
        <v>352</v>
      </c>
    </row>
    <row r="236" spans="1:6" x14ac:dyDescent="0.2">
      <c r="A236">
        <v>2023</v>
      </c>
      <c r="B236" s="36">
        <v>8162</v>
      </c>
      <c r="C236" s="90" t="str">
        <f>VLOOKUP(B236,'All Districts'!$A$3:$B$874,2,FALSE)</f>
        <v>Schenectady County</v>
      </c>
      <c r="D236" s="40">
        <v>175749</v>
      </c>
      <c r="E236">
        <f>VLOOKUP(C236,'All Districts'!$B$3:$C$874,2,FALSE)</f>
        <v>0</v>
      </c>
      <c r="F236" s="91">
        <f>COUNTIF($E$2:$E$7106,E236)</f>
        <v>352</v>
      </c>
    </row>
    <row r="237" spans="1:6" x14ac:dyDescent="0.2">
      <c r="A237">
        <v>2015</v>
      </c>
      <c r="B237" s="13">
        <v>8166</v>
      </c>
      <c r="C237" s="90" t="str">
        <f>VLOOKUP(B237,'All Districts'!$A$3:$B$874,2,FALSE)</f>
        <v>Suffolk County</v>
      </c>
      <c r="D237" s="15">
        <v>4629253</v>
      </c>
      <c r="E237">
        <f>VLOOKUP(C237,'All Districts'!$B$3:$C$874,2,FALSE)</f>
        <v>0</v>
      </c>
      <c r="F237" s="91">
        <f>COUNTIF($E$2:$E$7106,E237)</f>
        <v>352</v>
      </c>
    </row>
    <row r="238" spans="1:6" x14ac:dyDescent="0.2">
      <c r="A238">
        <v>2016</v>
      </c>
      <c r="B238" s="13">
        <v>8166</v>
      </c>
      <c r="C238" s="90" t="str">
        <f>VLOOKUP(B238,'All Districts'!$A$3:$B$874,2,FALSE)</f>
        <v>Suffolk County</v>
      </c>
      <c r="D238" s="16">
        <v>3589176</v>
      </c>
      <c r="E238">
        <f>VLOOKUP(C238,'All Districts'!$B$3:$C$874,2,FALSE)</f>
        <v>0</v>
      </c>
      <c r="F238" s="91">
        <f>COUNTIF($E$2:$E$7106,E238)</f>
        <v>352</v>
      </c>
    </row>
    <row r="239" spans="1:6" x14ac:dyDescent="0.2">
      <c r="A239">
        <v>2017</v>
      </c>
      <c r="B239" s="13">
        <v>8166</v>
      </c>
      <c r="C239" s="90" t="str">
        <f>VLOOKUP(B239,'All Districts'!$A$3:$B$874,2,FALSE)</f>
        <v>Suffolk County</v>
      </c>
      <c r="D239" s="16">
        <v>3236284</v>
      </c>
      <c r="E239">
        <f>VLOOKUP(C239,'All Districts'!$B$3:$C$874,2,FALSE)</f>
        <v>0</v>
      </c>
      <c r="F239" s="91">
        <f>COUNTIF($E$2:$E$7106,E239)</f>
        <v>352</v>
      </c>
    </row>
    <row r="240" spans="1:6" x14ac:dyDescent="0.2">
      <c r="A240" s="10">
        <v>2018</v>
      </c>
      <c r="B240" s="13">
        <v>8166</v>
      </c>
      <c r="C240" s="90" t="str">
        <f>VLOOKUP(B240,'All Districts'!$A$3:$B$874,2,FALSE)</f>
        <v>Suffolk County</v>
      </c>
      <c r="D240" s="15">
        <v>2807325</v>
      </c>
      <c r="E240">
        <f>VLOOKUP(C240,'All Districts'!$B$3:$C$874,2,FALSE)</f>
        <v>0</v>
      </c>
      <c r="F240" s="91">
        <f>COUNTIF($E$2:$E$7106,E240)</f>
        <v>352</v>
      </c>
    </row>
    <row r="241" spans="1:6" x14ac:dyDescent="0.2">
      <c r="A241">
        <v>2019</v>
      </c>
      <c r="B241" s="36">
        <v>8166</v>
      </c>
      <c r="C241" s="90" t="str">
        <f>VLOOKUP(B241,'All Districts'!$A$3:$B$874,2,FALSE)</f>
        <v>Suffolk County</v>
      </c>
      <c r="D241" s="40">
        <v>3074857</v>
      </c>
      <c r="E241">
        <f>VLOOKUP(C241,'All Districts'!$B$3:$C$874,2,FALSE)</f>
        <v>0</v>
      </c>
      <c r="F241" s="91">
        <f>COUNTIF($E$2:$E$7106,E241)</f>
        <v>352</v>
      </c>
    </row>
    <row r="242" spans="1:6" x14ac:dyDescent="0.2">
      <c r="A242">
        <v>2020</v>
      </c>
      <c r="B242" s="36">
        <v>8166</v>
      </c>
      <c r="C242" s="90" t="str">
        <f>VLOOKUP(B242,'All Districts'!$A$3:$B$874,2,FALSE)</f>
        <v>Suffolk County</v>
      </c>
      <c r="D242" s="40">
        <v>2595616</v>
      </c>
      <c r="E242">
        <f>VLOOKUP(C242,'All Districts'!$B$3:$C$874,2,FALSE)</f>
        <v>0</v>
      </c>
      <c r="F242" s="91">
        <f>COUNTIF($E$2:$E$7106,E242)</f>
        <v>352</v>
      </c>
    </row>
    <row r="243" spans="1:6" x14ac:dyDescent="0.2">
      <c r="A243" s="10">
        <v>2021</v>
      </c>
      <c r="B243" s="52">
        <v>8166</v>
      </c>
      <c r="C243" s="90" t="str">
        <f>VLOOKUP(B243,'All Districts'!$A$3:$B$874,2,FALSE)</f>
        <v>Suffolk County</v>
      </c>
      <c r="D243" s="75">
        <v>2560269</v>
      </c>
      <c r="E243">
        <f>VLOOKUP(C243,'All Districts'!$B$3:$C$874,2,FALSE)</f>
        <v>0</v>
      </c>
      <c r="F243" s="91">
        <f>COUNTIF($E$2:$E$7106,E243)</f>
        <v>352</v>
      </c>
    </row>
    <row r="244" spans="1:6" x14ac:dyDescent="0.2">
      <c r="A244">
        <v>2022</v>
      </c>
      <c r="B244" s="36">
        <v>8166</v>
      </c>
      <c r="C244" s="90" t="str">
        <f>VLOOKUP(B244,'All Districts'!$A$3:$B$874,2,FALSE)</f>
        <v>Suffolk County</v>
      </c>
      <c r="D244" s="82">
        <v>2799832</v>
      </c>
      <c r="E244">
        <f>VLOOKUP(C244,'All Districts'!$B$3:$C$874,2,FALSE)</f>
        <v>0</v>
      </c>
      <c r="F244" s="91">
        <f>COUNTIF($E$2:$E$7106,E244)</f>
        <v>352</v>
      </c>
    </row>
    <row r="245" spans="1:6" x14ac:dyDescent="0.2">
      <c r="A245">
        <v>2023</v>
      </c>
      <c r="B245" s="36">
        <v>8166</v>
      </c>
      <c r="C245" s="90" t="str">
        <f>VLOOKUP(B245,'All Districts'!$A$3:$B$874,2,FALSE)</f>
        <v>Suffolk County</v>
      </c>
      <c r="D245" s="40">
        <v>2970416</v>
      </c>
      <c r="E245">
        <f>VLOOKUP(C245,'All Districts'!$B$3:$C$874,2,FALSE)</f>
        <v>0</v>
      </c>
      <c r="F245" s="91">
        <f>COUNTIF($E$2:$E$7106,E245)</f>
        <v>352</v>
      </c>
    </row>
    <row r="246" spans="1:6" x14ac:dyDescent="0.2">
      <c r="A246">
        <v>2015</v>
      </c>
      <c r="B246" s="13">
        <v>6511</v>
      </c>
      <c r="C246" s="90" t="str">
        <f>VLOOKUP(B246,'All Districts'!$A$3:$B$874,2,FALSE)</f>
        <v>Suffolk County Vocational Board</v>
      </c>
      <c r="D246" s="15">
        <v>90368</v>
      </c>
      <c r="E246">
        <f>VLOOKUP(C246,'All Districts'!$B$3:$C$874,2,FALSE)</f>
        <v>0</v>
      </c>
      <c r="F246" s="91">
        <f>COUNTIF($E$2:$E$7106,E246)</f>
        <v>352</v>
      </c>
    </row>
    <row r="247" spans="1:6" x14ac:dyDescent="0.2">
      <c r="A247">
        <v>2016</v>
      </c>
      <c r="B247" s="13">
        <v>6511</v>
      </c>
      <c r="C247" s="90" t="str">
        <f>VLOOKUP(B247,'All Districts'!$A$3:$B$874,2,FALSE)</f>
        <v>Suffolk County Vocational Board</v>
      </c>
      <c r="D247" s="16">
        <v>64610</v>
      </c>
      <c r="E247">
        <f>VLOOKUP(C247,'All Districts'!$B$3:$C$874,2,FALSE)</f>
        <v>0</v>
      </c>
      <c r="F247" s="91">
        <f>COUNTIF($E$2:$E$7106,E247)</f>
        <v>352</v>
      </c>
    </row>
    <row r="248" spans="1:6" x14ac:dyDescent="0.2">
      <c r="A248">
        <v>2017</v>
      </c>
      <c r="B248" s="13">
        <v>6511</v>
      </c>
      <c r="C248" s="90" t="str">
        <f>VLOOKUP(B248,'All Districts'!$A$3:$B$874,2,FALSE)</f>
        <v>Suffolk County Vocational Board</v>
      </c>
      <c r="D248" s="16">
        <v>56655</v>
      </c>
      <c r="E248">
        <f>VLOOKUP(C248,'All Districts'!$B$3:$C$874,2,FALSE)</f>
        <v>0</v>
      </c>
      <c r="F248" s="91">
        <f>COUNTIF($E$2:$E$7106,E248)</f>
        <v>352</v>
      </c>
    </row>
    <row r="249" spans="1:6" x14ac:dyDescent="0.2">
      <c r="A249" s="10">
        <v>2018</v>
      </c>
      <c r="B249" s="13">
        <v>6511</v>
      </c>
      <c r="C249" s="90" t="str">
        <f>VLOOKUP(B249,'All Districts'!$A$3:$B$874,2,FALSE)</f>
        <v>Suffolk County Vocational Board</v>
      </c>
      <c r="D249" s="15">
        <v>43189</v>
      </c>
      <c r="E249">
        <f>VLOOKUP(C249,'All Districts'!$B$3:$C$874,2,FALSE)</f>
        <v>0</v>
      </c>
      <c r="F249" s="91">
        <f>COUNTIF($E$2:$E$7106,E249)</f>
        <v>352</v>
      </c>
    </row>
    <row r="250" spans="1:6" x14ac:dyDescent="0.2">
      <c r="A250">
        <v>2019</v>
      </c>
      <c r="B250" s="36">
        <v>6511</v>
      </c>
      <c r="C250" s="90" t="str">
        <f>VLOOKUP(B250,'All Districts'!$A$3:$B$874,2,FALSE)</f>
        <v>Suffolk County Vocational Board</v>
      </c>
      <c r="D250" s="40">
        <v>49649</v>
      </c>
      <c r="E250">
        <f>VLOOKUP(C250,'All Districts'!$B$3:$C$874,2,FALSE)</f>
        <v>0</v>
      </c>
      <c r="F250" s="91">
        <f>COUNTIF($E$2:$E$7106,E250)</f>
        <v>352</v>
      </c>
    </row>
    <row r="251" spans="1:6" x14ac:dyDescent="0.2">
      <c r="A251">
        <v>2020</v>
      </c>
      <c r="B251" s="36">
        <v>6511</v>
      </c>
      <c r="C251" s="90" t="str">
        <f>VLOOKUP(B251,'All Districts'!$A$3:$B$874,2,FALSE)</f>
        <v>Suffolk County Vocational Board</v>
      </c>
      <c r="D251" s="40">
        <v>38473</v>
      </c>
      <c r="E251">
        <f>VLOOKUP(C251,'All Districts'!$B$3:$C$874,2,FALSE)</f>
        <v>0</v>
      </c>
      <c r="F251" s="91">
        <f>COUNTIF($E$2:$E$7106,E251)</f>
        <v>352</v>
      </c>
    </row>
    <row r="252" spans="1:6" x14ac:dyDescent="0.2">
      <c r="A252" s="10">
        <v>2021</v>
      </c>
      <c r="B252" s="52">
        <v>6511</v>
      </c>
      <c r="C252" s="90" t="str">
        <f>VLOOKUP(B252,'All Districts'!$A$3:$B$874,2,FALSE)</f>
        <v>Suffolk County Vocational Board</v>
      </c>
      <c r="D252" s="76">
        <v>45925</v>
      </c>
      <c r="E252">
        <f>VLOOKUP(C252,'All Districts'!$B$3:$C$874,2,FALSE)</f>
        <v>0</v>
      </c>
      <c r="F252" s="91">
        <f>COUNTIF($E$2:$E$7106,E252)</f>
        <v>352</v>
      </c>
    </row>
    <row r="253" spans="1:6" x14ac:dyDescent="0.2">
      <c r="A253">
        <v>2022</v>
      </c>
      <c r="B253" s="36">
        <v>6511</v>
      </c>
      <c r="C253" s="90" t="str">
        <f>VLOOKUP(B253,'All Districts'!$A$3:$B$874,2,FALSE)</f>
        <v>Suffolk County Vocational Board</v>
      </c>
      <c r="D253" s="82">
        <v>43359</v>
      </c>
      <c r="E253">
        <f>VLOOKUP(C253,'All Districts'!$B$3:$C$874,2,FALSE)</f>
        <v>0</v>
      </c>
      <c r="F253" s="91">
        <f>COUNTIF($E$2:$E$7106,E253)</f>
        <v>352</v>
      </c>
    </row>
    <row r="254" spans="1:6" x14ac:dyDescent="0.2">
      <c r="A254">
        <v>2023</v>
      </c>
      <c r="B254" s="36">
        <v>6511</v>
      </c>
      <c r="C254" s="90" t="str">
        <f>VLOOKUP(B254,'All Districts'!$A$3:$B$874,2,FALSE)</f>
        <v>Suffolk County Vocational Board</v>
      </c>
      <c r="D254" s="40">
        <v>46752</v>
      </c>
      <c r="E254">
        <f>VLOOKUP(C254,'All Districts'!$B$3:$C$874,2,FALSE)</f>
        <v>0</v>
      </c>
      <c r="F254" s="91">
        <f>COUNTIF($E$2:$E$7106,E254)</f>
        <v>352</v>
      </c>
    </row>
    <row r="255" spans="1:6" x14ac:dyDescent="0.2">
      <c r="A255">
        <v>2015</v>
      </c>
      <c r="B255" s="13">
        <v>8167</v>
      </c>
      <c r="C255" s="90" t="str">
        <f>VLOOKUP(B255,'All Districts'!$A$3:$B$874,2,FALSE)</f>
        <v>Sullivan County</v>
      </c>
      <c r="D255" s="15">
        <v>212658</v>
      </c>
      <c r="E255">
        <f>VLOOKUP(C255,'All Districts'!$B$3:$C$874,2,FALSE)</f>
        <v>0</v>
      </c>
      <c r="F255" s="91">
        <f>COUNTIF($E$2:$E$7106,E255)</f>
        <v>352</v>
      </c>
    </row>
    <row r="256" spans="1:6" x14ac:dyDescent="0.2">
      <c r="A256">
        <v>2016</v>
      </c>
      <c r="B256" s="13">
        <v>8167</v>
      </c>
      <c r="C256" s="90" t="str">
        <f>VLOOKUP(B256,'All Districts'!$A$3:$B$874,2,FALSE)</f>
        <v>Sullivan County</v>
      </c>
      <c r="D256" s="16">
        <v>172504</v>
      </c>
      <c r="E256">
        <f>VLOOKUP(C256,'All Districts'!$B$3:$C$874,2,FALSE)</f>
        <v>0</v>
      </c>
      <c r="F256" s="91">
        <f>COUNTIF($E$2:$E$7106,E256)</f>
        <v>352</v>
      </c>
    </row>
    <row r="257" spans="1:6" x14ac:dyDescent="0.2">
      <c r="A257">
        <v>2017</v>
      </c>
      <c r="B257" s="13">
        <v>8167</v>
      </c>
      <c r="C257" s="90" t="str">
        <f>VLOOKUP(B257,'All Districts'!$A$3:$B$874,2,FALSE)</f>
        <v>Sullivan County</v>
      </c>
      <c r="D257" s="16">
        <v>137528</v>
      </c>
      <c r="E257">
        <f>VLOOKUP(C257,'All Districts'!$B$3:$C$874,2,FALSE)</f>
        <v>0</v>
      </c>
      <c r="F257" s="91">
        <f>COUNTIF($E$2:$E$7106,E257)</f>
        <v>352</v>
      </c>
    </row>
    <row r="258" spans="1:6" x14ac:dyDescent="0.2">
      <c r="A258" s="10">
        <v>2018</v>
      </c>
      <c r="B258" s="13">
        <v>8167</v>
      </c>
      <c r="C258" s="90" t="str">
        <f>VLOOKUP(B258,'All Districts'!$A$3:$B$874,2,FALSE)</f>
        <v>Sullivan County</v>
      </c>
      <c r="D258" s="15">
        <v>115204</v>
      </c>
      <c r="E258">
        <f>VLOOKUP(C258,'All Districts'!$B$3:$C$874,2,FALSE)</f>
        <v>0</v>
      </c>
      <c r="F258" s="91">
        <f>COUNTIF($E$2:$E$7106,E258)</f>
        <v>352</v>
      </c>
    </row>
    <row r="259" spans="1:6" x14ac:dyDescent="0.2">
      <c r="A259">
        <v>2019</v>
      </c>
      <c r="B259" s="36">
        <v>8167</v>
      </c>
      <c r="C259" s="90" t="str">
        <f>VLOOKUP(B259,'All Districts'!$A$3:$B$874,2,FALSE)</f>
        <v>Sullivan County</v>
      </c>
      <c r="D259" s="40">
        <v>127724</v>
      </c>
      <c r="E259">
        <f>VLOOKUP(C259,'All Districts'!$B$3:$C$874,2,FALSE)</f>
        <v>0</v>
      </c>
      <c r="F259" s="91">
        <f>COUNTIF($E$2:$E$7106,E259)</f>
        <v>352</v>
      </c>
    </row>
    <row r="260" spans="1:6" x14ac:dyDescent="0.2">
      <c r="A260">
        <v>2020</v>
      </c>
      <c r="B260" s="36">
        <v>8167</v>
      </c>
      <c r="C260" s="90" t="str">
        <f>VLOOKUP(B260,'All Districts'!$A$3:$B$874,2,FALSE)</f>
        <v>Sullivan County</v>
      </c>
      <c r="D260" s="40">
        <v>95803</v>
      </c>
      <c r="E260">
        <f>VLOOKUP(C260,'All Districts'!$B$3:$C$874,2,FALSE)</f>
        <v>0</v>
      </c>
      <c r="F260" s="91">
        <f>COUNTIF($E$2:$E$7106,E260)</f>
        <v>352</v>
      </c>
    </row>
    <row r="261" spans="1:6" x14ac:dyDescent="0.2">
      <c r="A261" s="10">
        <v>2021</v>
      </c>
      <c r="B261" s="52">
        <v>8167</v>
      </c>
      <c r="C261" s="90" t="str">
        <f>VLOOKUP(B261,'All Districts'!$A$3:$B$874,2,FALSE)</f>
        <v>Sullivan County</v>
      </c>
      <c r="D261" s="75">
        <v>105177</v>
      </c>
      <c r="E261">
        <f>VLOOKUP(C261,'All Districts'!$B$3:$C$874,2,FALSE)</f>
        <v>0</v>
      </c>
      <c r="F261" s="91">
        <f>COUNTIF($E$2:$E$7106,E261)</f>
        <v>352</v>
      </c>
    </row>
    <row r="262" spans="1:6" x14ac:dyDescent="0.2">
      <c r="A262">
        <v>2022</v>
      </c>
      <c r="B262" s="36">
        <v>8167</v>
      </c>
      <c r="C262" s="90" t="str">
        <f>VLOOKUP(B262,'All Districts'!$A$3:$B$874,2,FALSE)</f>
        <v>Sullivan County</v>
      </c>
      <c r="D262" s="82">
        <v>105924</v>
      </c>
      <c r="E262">
        <f>VLOOKUP(C262,'All Districts'!$B$3:$C$874,2,FALSE)</f>
        <v>0</v>
      </c>
      <c r="F262" s="91">
        <f>COUNTIF($E$2:$E$7106,E262)</f>
        <v>352</v>
      </c>
    </row>
    <row r="263" spans="1:6" x14ac:dyDescent="0.2">
      <c r="A263">
        <v>2023</v>
      </c>
      <c r="B263" s="36">
        <v>8167</v>
      </c>
      <c r="C263" s="90" t="str">
        <f>VLOOKUP(B263,'All Districts'!$A$3:$B$874,2,FALSE)</f>
        <v>Sullivan County</v>
      </c>
      <c r="D263" s="40">
        <v>123303</v>
      </c>
      <c r="E263">
        <f>VLOOKUP(C263,'All Districts'!$B$3:$C$874,2,FALSE)</f>
        <v>0</v>
      </c>
      <c r="F263" s="91">
        <f>COUNTIF($E$2:$E$7106,E263)</f>
        <v>352</v>
      </c>
    </row>
    <row r="264" spans="1:6" x14ac:dyDescent="0.2">
      <c r="A264">
        <v>2015</v>
      </c>
      <c r="B264" s="13">
        <v>7500</v>
      </c>
      <c r="C264" s="90" t="str">
        <f>VLOOKUP(B264,'All Districts'!$A$3:$B$874,2,FALSE)</f>
        <v>Suny at Stony Brook (28058)</v>
      </c>
      <c r="D264" s="15">
        <v>215062</v>
      </c>
      <c r="E264">
        <f>VLOOKUP(C264,'All Districts'!$B$3:$C$874,2,FALSE)</f>
        <v>0</v>
      </c>
      <c r="F264" s="91">
        <f>COUNTIF($E$2:$E$7106,E264)</f>
        <v>352</v>
      </c>
    </row>
    <row r="265" spans="1:6" x14ac:dyDescent="0.2">
      <c r="A265">
        <v>2016</v>
      </c>
      <c r="B265" s="13">
        <v>7500</v>
      </c>
      <c r="C265" s="90" t="str">
        <f>VLOOKUP(B265,'All Districts'!$A$3:$B$874,2,FALSE)</f>
        <v>Suny at Stony Brook (28058)</v>
      </c>
      <c r="D265" s="16">
        <v>166195</v>
      </c>
      <c r="E265">
        <f>VLOOKUP(C265,'All Districts'!$B$3:$C$874,2,FALSE)</f>
        <v>0</v>
      </c>
      <c r="F265" s="91">
        <f>COUNTIF($E$2:$E$7106,E265)</f>
        <v>352</v>
      </c>
    </row>
    <row r="266" spans="1:6" x14ac:dyDescent="0.2">
      <c r="A266">
        <v>2017</v>
      </c>
      <c r="B266" s="13">
        <v>7500</v>
      </c>
      <c r="C266" s="90" t="str">
        <f>VLOOKUP(B266,'All Districts'!$A$3:$B$874,2,FALSE)</f>
        <v>Suny at Stony Brook (28058)</v>
      </c>
      <c r="D266" s="16">
        <v>133103</v>
      </c>
      <c r="E266">
        <f>VLOOKUP(C266,'All Districts'!$B$3:$C$874,2,FALSE)</f>
        <v>0</v>
      </c>
      <c r="F266" s="91">
        <f>COUNTIF($E$2:$E$7106,E266)</f>
        <v>352</v>
      </c>
    </row>
    <row r="267" spans="1:6" x14ac:dyDescent="0.2">
      <c r="A267" s="10">
        <v>2018</v>
      </c>
      <c r="B267" s="13">
        <v>7500</v>
      </c>
      <c r="C267" s="90" t="str">
        <f>VLOOKUP(B267,'All Districts'!$A$3:$B$874,2,FALSE)</f>
        <v>Suny at Stony Brook (28058)</v>
      </c>
      <c r="D267" s="15">
        <v>108645</v>
      </c>
      <c r="E267">
        <f>VLOOKUP(C267,'All Districts'!$B$3:$C$874,2,FALSE)</f>
        <v>0</v>
      </c>
      <c r="F267" s="91">
        <f>COUNTIF($E$2:$E$7106,E267)</f>
        <v>352</v>
      </c>
    </row>
    <row r="268" spans="1:6" x14ac:dyDescent="0.2">
      <c r="A268">
        <v>2019</v>
      </c>
      <c r="B268" s="36">
        <v>7500</v>
      </c>
      <c r="C268" s="90" t="str">
        <f>VLOOKUP(B268,'All Districts'!$A$3:$B$874,2,FALSE)</f>
        <v>Suny at Stony Brook (28058)</v>
      </c>
      <c r="D268" s="40">
        <v>119827</v>
      </c>
      <c r="E268">
        <f>VLOOKUP(C268,'All Districts'!$B$3:$C$874,2,FALSE)</f>
        <v>0</v>
      </c>
      <c r="F268" s="91">
        <f>COUNTIF($E$2:$E$7106,E268)</f>
        <v>352</v>
      </c>
    </row>
    <row r="269" spans="1:6" x14ac:dyDescent="0.2">
      <c r="A269">
        <v>2020</v>
      </c>
      <c r="B269" s="36">
        <v>7500</v>
      </c>
      <c r="C269" s="90" t="str">
        <f>VLOOKUP(B269,'All Districts'!$A$3:$B$874,2,FALSE)</f>
        <v>Suny at Stony Brook (28058)</v>
      </c>
      <c r="D269" s="40">
        <v>83120</v>
      </c>
      <c r="E269">
        <f>VLOOKUP(C269,'All Districts'!$B$3:$C$874,2,FALSE)</f>
        <v>0</v>
      </c>
      <c r="F269" s="91">
        <f>COUNTIF($E$2:$E$7106,E269)</f>
        <v>352</v>
      </c>
    </row>
    <row r="270" spans="1:6" x14ac:dyDescent="0.2">
      <c r="A270" s="10">
        <v>2021</v>
      </c>
      <c r="B270" s="52">
        <v>7500</v>
      </c>
      <c r="C270" s="90" t="str">
        <f>VLOOKUP(B270,'All Districts'!$A$3:$B$874,2,FALSE)</f>
        <v>Suny at Stony Brook (28058)</v>
      </c>
      <c r="D270" s="75">
        <v>79114</v>
      </c>
      <c r="E270">
        <f>VLOOKUP(C270,'All Districts'!$B$3:$C$874,2,FALSE)</f>
        <v>0</v>
      </c>
      <c r="F270" s="91">
        <f>COUNTIF($E$2:$E$7106,E270)</f>
        <v>352</v>
      </c>
    </row>
    <row r="271" spans="1:6" x14ac:dyDescent="0.2">
      <c r="A271">
        <v>2022</v>
      </c>
      <c r="B271" s="36">
        <v>7500</v>
      </c>
      <c r="C271" s="90" t="str">
        <f>VLOOKUP(B271,'All Districts'!$A$3:$B$874,2,FALSE)</f>
        <v>Suny at Stony Brook (28058)</v>
      </c>
      <c r="D271" s="82">
        <v>84606</v>
      </c>
      <c r="E271">
        <f>VLOOKUP(C271,'All Districts'!$B$3:$C$874,2,FALSE)</f>
        <v>0</v>
      </c>
      <c r="F271" s="91">
        <f>COUNTIF($E$2:$E$7106,E271)</f>
        <v>352</v>
      </c>
    </row>
    <row r="272" spans="1:6" x14ac:dyDescent="0.2">
      <c r="A272">
        <v>2023</v>
      </c>
      <c r="B272" s="36">
        <v>7500</v>
      </c>
      <c r="C272" s="90" t="str">
        <f>VLOOKUP(B272,'All Districts'!$A$3:$B$874,2,FALSE)</f>
        <v>Suny at Stony Brook (28058)</v>
      </c>
      <c r="D272" s="40">
        <v>88997</v>
      </c>
      <c r="E272">
        <f>VLOOKUP(C272,'All Districts'!$B$3:$C$874,2,FALSE)</f>
        <v>0</v>
      </c>
      <c r="F272" s="91">
        <f>COUNTIF($E$2:$E$7106,E272)</f>
        <v>352</v>
      </c>
    </row>
    <row r="273" spans="1:6" x14ac:dyDescent="0.2">
      <c r="A273">
        <v>2015</v>
      </c>
      <c r="B273" s="13">
        <v>7000</v>
      </c>
      <c r="C273" s="90" t="str">
        <f>VLOOKUP(B273,'All Districts'!$A$3:$B$874,2,FALSE)</f>
        <v>Suny Central Admin-28650</v>
      </c>
      <c r="D273" s="15">
        <v>19568001</v>
      </c>
      <c r="E273">
        <f>VLOOKUP(C273,'All Districts'!$B$3:$C$874,2,FALSE)</f>
        <v>0</v>
      </c>
      <c r="F273" s="91">
        <f>COUNTIF($E$2:$E$7106,E273)</f>
        <v>352</v>
      </c>
    </row>
    <row r="274" spans="1:6" x14ac:dyDescent="0.2">
      <c r="A274">
        <v>2016</v>
      </c>
      <c r="B274" s="13">
        <v>7000</v>
      </c>
      <c r="C274" s="90" t="str">
        <f>VLOOKUP(B274,'All Districts'!$A$3:$B$874,2,FALSE)</f>
        <v>Suny Central Admin-28650</v>
      </c>
      <c r="D274" s="16">
        <v>16707024</v>
      </c>
      <c r="E274">
        <f>VLOOKUP(C274,'All Districts'!$B$3:$C$874,2,FALSE)</f>
        <v>0</v>
      </c>
      <c r="F274" s="91">
        <f>COUNTIF($E$2:$E$7106,E274)</f>
        <v>352</v>
      </c>
    </row>
    <row r="275" spans="1:6" x14ac:dyDescent="0.2">
      <c r="A275">
        <v>2017</v>
      </c>
      <c r="B275" s="13">
        <v>7000</v>
      </c>
      <c r="C275" s="90" t="str">
        <f>VLOOKUP(B275,'All Districts'!$A$3:$B$874,2,FALSE)</f>
        <v>Suny Central Admin-28650</v>
      </c>
      <c r="D275" s="16">
        <v>15021122</v>
      </c>
      <c r="E275">
        <f>VLOOKUP(C275,'All Districts'!$B$3:$C$874,2,FALSE)</f>
        <v>0</v>
      </c>
      <c r="F275" s="91">
        <f>COUNTIF($E$2:$E$7106,E275)</f>
        <v>352</v>
      </c>
    </row>
    <row r="276" spans="1:6" x14ac:dyDescent="0.2">
      <c r="A276" s="10">
        <v>2018</v>
      </c>
      <c r="B276" s="13">
        <v>7000</v>
      </c>
      <c r="C276" s="90" t="str">
        <f>VLOOKUP(B276,'All Districts'!$A$3:$B$874,2,FALSE)</f>
        <v>Suny Central Admin-28650</v>
      </c>
      <c r="D276" s="15">
        <v>12949289</v>
      </c>
      <c r="E276">
        <f>VLOOKUP(C276,'All Districts'!$B$3:$C$874,2,FALSE)</f>
        <v>0</v>
      </c>
      <c r="F276" s="91">
        <f>COUNTIF($E$2:$E$7106,E276)</f>
        <v>352</v>
      </c>
    </row>
    <row r="277" spans="1:6" x14ac:dyDescent="0.2">
      <c r="A277">
        <v>2019</v>
      </c>
      <c r="B277" s="36">
        <v>7000</v>
      </c>
      <c r="C277" s="90" t="str">
        <f>VLOOKUP(B277,'All Districts'!$A$3:$B$874,2,FALSE)</f>
        <v>Suny Central Admin-28650</v>
      </c>
      <c r="D277" s="40">
        <v>15408208</v>
      </c>
      <c r="E277">
        <f>VLOOKUP(C277,'All Districts'!$B$3:$C$874,2,FALSE)</f>
        <v>0</v>
      </c>
      <c r="F277" s="91">
        <f>COUNTIF($E$2:$E$7106,E277)</f>
        <v>352</v>
      </c>
    </row>
    <row r="278" spans="1:6" x14ac:dyDescent="0.2">
      <c r="A278">
        <v>2020</v>
      </c>
      <c r="B278" s="36">
        <v>7000</v>
      </c>
      <c r="C278" s="90" t="str">
        <f>VLOOKUP(B278,'All Districts'!$A$3:$B$874,2,FALSE)</f>
        <v>Suny Central Admin-28650</v>
      </c>
      <c r="D278" s="40">
        <v>13451233</v>
      </c>
      <c r="E278">
        <f>VLOOKUP(C278,'All Districts'!$B$3:$C$874,2,FALSE)</f>
        <v>0</v>
      </c>
      <c r="F278" s="91">
        <f>COUNTIF($E$2:$E$7106,E278)</f>
        <v>352</v>
      </c>
    </row>
    <row r="279" spans="1:6" x14ac:dyDescent="0.2">
      <c r="A279" s="10">
        <v>2021</v>
      </c>
      <c r="B279" s="52">
        <v>7000</v>
      </c>
      <c r="C279" s="90" t="str">
        <f>VLOOKUP(B279,'All Districts'!$A$3:$B$874,2,FALSE)</f>
        <v>Suny Central Admin-28650</v>
      </c>
      <c r="D279" s="76">
        <v>14334821</v>
      </c>
      <c r="E279">
        <f>VLOOKUP(C279,'All Districts'!$B$3:$C$874,2,FALSE)</f>
        <v>0</v>
      </c>
      <c r="F279" s="91">
        <f>COUNTIF($E$2:$E$7106,E279)</f>
        <v>352</v>
      </c>
    </row>
    <row r="280" spans="1:6" x14ac:dyDescent="0.2">
      <c r="A280">
        <v>2022</v>
      </c>
      <c r="B280" s="36">
        <v>7000</v>
      </c>
      <c r="C280" s="90" t="str">
        <f>VLOOKUP(B280,'All Districts'!$A$3:$B$874,2,FALSE)</f>
        <v>Suny Central Admin-28650</v>
      </c>
      <c r="D280" s="82">
        <v>15792315</v>
      </c>
      <c r="E280">
        <f>VLOOKUP(C280,'All Districts'!$B$3:$C$874,2,FALSE)</f>
        <v>0</v>
      </c>
      <c r="F280" s="91">
        <f>COUNTIF($E$2:$E$7106,E280)</f>
        <v>352</v>
      </c>
    </row>
    <row r="281" spans="1:6" x14ac:dyDescent="0.2">
      <c r="A281">
        <v>2023</v>
      </c>
      <c r="B281" s="36">
        <v>7000</v>
      </c>
      <c r="C281" s="90" t="str">
        <f>VLOOKUP(B281,'All Districts'!$A$3:$B$874,2,FALSE)</f>
        <v>Suny Central Admin-28650</v>
      </c>
      <c r="D281" s="40">
        <v>17475289</v>
      </c>
      <c r="E281">
        <f>VLOOKUP(C281,'All Districts'!$B$3:$C$874,2,FALSE)</f>
        <v>0</v>
      </c>
      <c r="F281" s="91">
        <f>COUNTIF($E$2:$E$7106,E281)</f>
        <v>352</v>
      </c>
    </row>
    <row r="282" spans="1:6" x14ac:dyDescent="0.2">
      <c r="A282">
        <v>2015</v>
      </c>
      <c r="B282" s="13">
        <v>7501</v>
      </c>
      <c r="C282" s="90" t="str">
        <f>VLOOKUP(B282,'All Districts'!$A$3:$B$874,2,FALSE)</f>
        <v>Suny Health Sci Center Brooklyn (28108)</v>
      </c>
      <c r="D282" s="15">
        <v>452486</v>
      </c>
      <c r="E282">
        <f>VLOOKUP(C282,'All Districts'!$B$3:$C$874,2,FALSE)</f>
        <v>0</v>
      </c>
      <c r="F282" s="91">
        <f>COUNTIF($E$2:$E$7106,E282)</f>
        <v>352</v>
      </c>
    </row>
    <row r="283" spans="1:6" x14ac:dyDescent="0.2">
      <c r="A283">
        <v>2016</v>
      </c>
      <c r="B283" s="13">
        <v>7501</v>
      </c>
      <c r="C283" s="90" t="str">
        <f>VLOOKUP(B283,'All Districts'!$A$3:$B$874,2,FALSE)</f>
        <v>Suny Health Sci Center Brooklyn (28108)</v>
      </c>
      <c r="D283" s="16">
        <v>339893</v>
      </c>
      <c r="E283">
        <f>VLOOKUP(C283,'All Districts'!$B$3:$C$874,2,FALSE)</f>
        <v>0</v>
      </c>
      <c r="F283" s="91">
        <f>COUNTIF($E$2:$E$7106,E283)</f>
        <v>352</v>
      </c>
    </row>
    <row r="284" spans="1:6" x14ac:dyDescent="0.2">
      <c r="A284">
        <v>2017</v>
      </c>
      <c r="B284" s="13">
        <v>7501</v>
      </c>
      <c r="C284" s="90" t="str">
        <f>VLOOKUP(B284,'All Districts'!$A$3:$B$874,2,FALSE)</f>
        <v>Suny Health Sci Center Brooklyn (28108)</v>
      </c>
      <c r="D284" s="16">
        <v>283075</v>
      </c>
      <c r="E284">
        <f>VLOOKUP(C284,'All Districts'!$B$3:$C$874,2,FALSE)</f>
        <v>0</v>
      </c>
      <c r="F284" s="91">
        <f>COUNTIF($E$2:$E$7106,E284)</f>
        <v>352</v>
      </c>
    </row>
    <row r="285" spans="1:6" x14ac:dyDescent="0.2">
      <c r="A285" s="10">
        <v>2018</v>
      </c>
      <c r="B285" s="13">
        <v>7501</v>
      </c>
      <c r="C285" s="90" t="str">
        <f>VLOOKUP(B285,'All Districts'!$A$3:$B$874,2,FALSE)</f>
        <v>Suny Health Sci Center Brooklyn (28108)</v>
      </c>
      <c r="D285" s="15">
        <v>224223</v>
      </c>
      <c r="E285">
        <f>VLOOKUP(C285,'All Districts'!$B$3:$C$874,2,FALSE)</f>
        <v>0</v>
      </c>
      <c r="F285" s="91">
        <f>COUNTIF($E$2:$E$7106,E285)</f>
        <v>352</v>
      </c>
    </row>
    <row r="286" spans="1:6" x14ac:dyDescent="0.2">
      <c r="A286">
        <v>2019</v>
      </c>
      <c r="B286" s="36">
        <v>7501</v>
      </c>
      <c r="C286" s="90" t="str">
        <f>VLOOKUP(B286,'All Districts'!$A$3:$B$874,2,FALSE)</f>
        <v>Suny Health Sci Center Brooklyn (28108)</v>
      </c>
      <c r="D286" s="40">
        <v>253930</v>
      </c>
      <c r="E286">
        <f>VLOOKUP(C286,'All Districts'!$B$3:$C$874,2,FALSE)</f>
        <v>0</v>
      </c>
      <c r="F286" s="91">
        <f>COUNTIF($E$2:$E$7106,E286)</f>
        <v>352</v>
      </c>
    </row>
    <row r="287" spans="1:6" x14ac:dyDescent="0.2">
      <c r="A287">
        <v>2020</v>
      </c>
      <c r="B287" s="36">
        <v>7501</v>
      </c>
      <c r="C287" s="90" t="str">
        <f>VLOOKUP(B287,'All Districts'!$A$3:$B$874,2,FALSE)</f>
        <v>Suny Health Sci Center Brooklyn (28108)</v>
      </c>
      <c r="D287" s="40">
        <v>208275</v>
      </c>
      <c r="E287">
        <f>VLOOKUP(C287,'All Districts'!$B$3:$C$874,2,FALSE)</f>
        <v>0</v>
      </c>
      <c r="F287" s="91">
        <f>COUNTIF($E$2:$E$7106,E287)</f>
        <v>352</v>
      </c>
    </row>
    <row r="288" spans="1:6" x14ac:dyDescent="0.2">
      <c r="A288" s="10">
        <v>2021</v>
      </c>
      <c r="B288" s="52">
        <v>7501</v>
      </c>
      <c r="C288" s="90" t="str">
        <f>VLOOKUP(B288,'All Districts'!$A$3:$B$874,2,FALSE)</f>
        <v>Suny Health Sci Center Brooklyn (28108)</v>
      </c>
      <c r="D288" s="75">
        <v>213268</v>
      </c>
      <c r="E288">
        <f>VLOOKUP(C288,'All Districts'!$B$3:$C$874,2,FALSE)</f>
        <v>0</v>
      </c>
      <c r="F288" s="91">
        <f>COUNTIF($E$2:$E$7106,E288)</f>
        <v>352</v>
      </c>
    </row>
    <row r="289" spans="1:6" x14ac:dyDescent="0.2">
      <c r="A289">
        <v>2022</v>
      </c>
      <c r="B289" s="36">
        <v>7501</v>
      </c>
      <c r="C289" s="90" t="str">
        <f>VLOOKUP(B289,'All Districts'!$A$3:$B$874,2,FALSE)</f>
        <v>Suny Health Sci Center Brooklyn (28108)</v>
      </c>
      <c r="D289" s="82">
        <v>213949</v>
      </c>
      <c r="E289">
        <f>VLOOKUP(C289,'All Districts'!$B$3:$C$874,2,FALSE)</f>
        <v>0</v>
      </c>
      <c r="F289" s="91">
        <f>COUNTIF($E$2:$E$7106,E289)</f>
        <v>352</v>
      </c>
    </row>
    <row r="290" spans="1:6" x14ac:dyDescent="0.2">
      <c r="A290">
        <v>2023</v>
      </c>
      <c r="B290" s="36">
        <v>7501</v>
      </c>
      <c r="C290" s="90" t="str">
        <f>VLOOKUP(B290,'All Districts'!$A$3:$B$874,2,FALSE)</f>
        <v>Suny Health Sci Center Brooklyn (28108)</v>
      </c>
      <c r="D290" s="40">
        <v>207353</v>
      </c>
      <c r="E290">
        <f>VLOOKUP(C290,'All Districts'!$B$3:$C$874,2,FALSE)</f>
        <v>0</v>
      </c>
      <c r="F290" s="91">
        <f>COUNTIF($E$2:$E$7106,E290)</f>
        <v>352</v>
      </c>
    </row>
    <row r="291" spans="1:6" x14ac:dyDescent="0.2">
      <c r="A291">
        <v>2015</v>
      </c>
      <c r="B291" s="13">
        <v>7502</v>
      </c>
      <c r="C291" s="90" t="str">
        <f>VLOOKUP(B291,'All Districts'!$A$3:$B$874,2,FALSE)</f>
        <v>Suny Health Sci Center Syracuse (28118)</v>
      </c>
      <c r="D291" s="15">
        <v>35904</v>
      </c>
      <c r="E291">
        <f>VLOOKUP(C291,'All Districts'!$B$3:$C$874,2,FALSE)</f>
        <v>0</v>
      </c>
      <c r="F291" s="91">
        <f>COUNTIF($E$2:$E$7106,E291)</f>
        <v>352</v>
      </c>
    </row>
    <row r="292" spans="1:6" x14ac:dyDescent="0.2">
      <c r="A292">
        <v>2016</v>
      </c>
      <c r="B292" s="13">
        <v>7502</v>
      </c>
      <c r="C292" s="90" t="str">
        <f>VLOOKUP(B292,'All Districts'!$A$3:$B$874,2,FALSE)</f>
        <v>Suny Health Sci Center Syracuse (28118)</v>
      </c>
      <c r="D292" s="16">
        <v>45607</v>
      </c>
      <c r="E292">
        <f>VLOOKUP(C292,'All Districts'!$B$3:$C$874,2,FALSE)</f>
        <v>0</v>
      </c>
      <c r="F292" s="91">
        <f>COUNTIF($E$2:$E$7106,E292)</f>
        <v>352</v>
      </c>
    </row>
    <row r="293" spans="1:6" x14ac:dyDescent="0.2">
      <c r="A293">
        <v>2017</v>
      </c>
      <c r="B293" s="13">
        <v>7502</v>
      </c>
      <c r="C293" s="90" t="str">
        <f>VLOOKUP(B293,'All Districts'!$A$3:$B$874,2,FALSE)</f>
        <v>Suny Health Sci Center Syracuse (28118)</v>
      </c>
      <c r="D293" s="16">
        <v>41828</v>
      </c>
      <c r="E293">
        <f>VLOOKUP(C293,'All Districts'!$B$3:$C$874,2,FALSE)</f>
        <v>0</v>
      </c>
      <c r="F293" s="91">
        <f>COUNTIF($E$2:$E$7106,E293)</f>
        <v>352</v>
      </c>
    </row>
    <row r="294" spans="1:6" x14ac:dyDescent="0.2">
      <c r="A294" s="10">
        <v>2018</v>
      </c>
      <c r="B294" s="13">
        <v>7502</v>
      </c>
      <c r="C294" s="90" t="str">
        <f>VLOOKUP(B294,'All Districts'!$A$3:$B$874,2,FALSE)</f>
        <v>Suny Health Sci Center Syracuse (28118)</v>
      </c>
      <c r="D294" s="15">
        <v>38774</v>
      </c>
      <c r="E294">
        <f>VLOOKUP(C294,'All Districts'!$B$3:$C$874,2,FALSE)</f>
        <v>0</v>
      </c>
      <c r="F294" s="91">
        <f>COUNTIF($E$2:$E$7106,E294)</f>
        <v>352</v>
      </c>
    </row>
    <row r="295" spans="1:6" x14ac:dyDescent="0.2">
      <c r="A295">
        <v>2019</v>
      </c>
      <c r="B295" s="36">
        <v>7502</v>
      </c>
      <c r="C295" s="90" t="str">
        <f>VLOOKUP(B295,'All Districts'!$A$3:$B$874,2,FALSE)</f>
        <v>Suny Health Sci Center Syracuse (28118)</v>
      </c>
      <c r="D295" s="40">
        <v>53569</v>
      </c>
      <c r="E295">
        <f>VLOOKUP(C295,'All Districts'!$B$3:$C$874,2,FALSE)</f>
        <v>0</v>
      </c>
      <c r="F295" s="91">
        <f>COUNTIF($E$2:$E$7106,E295)</f>
        <v>352</v>
      </c>
    </row>
    <row r="296" spans="1:6" x14ac:dyDescent="0.2">
      <c r="A296">
        <v>2020</v>
      </c>
      <c r="B296" s="36">
        <v>7502</v>
      </c>
      <c r="C296" s="90" t="str">
        <f>VLOOKUP(B296,'All Districts'!$A$3:$B$874,2,FALSE)</f>
        <v>Suny Health Sci Center Syracuse (28118)</v>
      </c>
      <c r="D296" s="40">
        <v>41378</v>
      </c>
      <c r="E296">
        <f>VLOOKUP(C296,'All Districts'!$B$3:$C$874,2,FALSE)</f>
        <v>0</v>
      </c>
      <c r="F296" s="91">
        <f>COUNTIF($E$2:$E$7106,E296)</f>
        <v>352</v>
      </c>
    </row>
    <row r="297" spans="1:6" x14ac:dyDescent="0.2">
      <c r="A297" s="10">
        <v>2021</v>
      </c>
      <c r="B297" s="52">
        <v>7502</v>
      </c>
      <c r="C297" s="90" t="str">
        <f>VLOOKUP(B297,'All Districts'!$A$3:$B$874,2,FALSE)</f>
        <v>Suny Health Sci Center Syracuse (28118)</v>
      </c>
      <c r="D297" s="76">
        <v>41776</v>
      </c>
      <c r="E297">
        <f>VLOOKUP(C297,'All Districts'!$B$3:$C$874,2,FALSE)</f>
        <v>0</v>
      </c>
      <c r="F297" s="91">
        <f>COUNTIF($E$2:$E$7106,E297)</f>
        <v>352</v>
      </c>
    </row>
    <row r="298" spans="1:6" x14ac:dyDescent="0.2">
      <c r="A298">
        <v>2022</v>
      </c>
      <c r="B298" s="36">
        <v>7502</v>
      </c>
      <c r="C298" s="90" t="str">
        <f>VLOOKUP(B298,'All Districts'!$A$3:$B$874,2,FALSE)</f>
        <v>Suny Health Sci Center Syracuse (28118)</v>
      </c>
      <c r="D298" s="82">
        <v>50741</v>
      </c>
      <c r="E298">
        <f>VLOOKUP(C298,'All Districts'!$B$3:$C$874,2,FALSE)</f>
        <v>0</v>
      </c>
      <c r="F298" s="91">
        <f>COUNTIF($E$2:$E$7106,E298)</f>
        <v>352</v>
      </c>
    </row>
    <row r="299" spans="1:6" x14ac:dyDescent="0.2">
      <c r="A299">
        <v>2023</v>
      </c>
      <c r="B299" s="36">
        <v>7502</v>
      </c>
      <c r="C299" s="90" t="str">
        <f>VLOOKUP(B299,'All Districts'!$A$3:$B$874,2,FALSE)</f>
        <v>Suny Health Sci Center Syracuse (28118)</v>
      </c>
      <c r="D299" s="40">
        <v>55175</v>
      </c>
      <c r="E299">
        <f>VLOOKUP(C299,'All Districts'!$B$3:$C$874,2,FALSE)</f>
        <v>0</v>
      </c>
      <c r="F299" s="91">
        <f>COUNTIF($E$2:$E$7106,E299)</f>
        <v>352</v>
      </c>
    </row>
    <row r="300" spans="1:6" x14ac:dyDescent="0.2">
      <c r="A300">
        <v>2015</v>
      </c>
      <c r="B300" s="13">
        <v>8424</v>
      </c>
      <c r="C300" s="90" t="str">
        <f>VLOOKUP(B300,'All Districts'!$A$3:$B$874,2,FALSE)</f>
        <v>Tech Valley Regional Institute</v>
      </c>
      <c r="D300" s="16">
        <v>164054</v>
      </c>
      <c r="E300">
        <f>VLOOKUP(C300,'All Districts'!$B$3:$C$874,2,FALSE)</f>
        <v>0</v>
      </c>
      <c r="F300" s="91">
        <f>COUNTIF($E$2:$E$7106,E300)</f>
        <v>352</v>
      </c>
    </row>
    <row r="301" spans="1:6" x14ac:dyDescent="0.2">
      <c r="A301">
        <v>2016</v>
      </c>
      <c r="B301" s="13">
        <v>8424</v>
      </c>
      <c r="C301" s="90" t="str">
        <f>VLOOKUP(B301,'All Districts'!$A$3:$B$874,2,FALSE)</f>
        <v>Tech Valley Regional Institute</v>
      </c>
      <c r="D301" s="16">
        <v>138010</v>
      </c>
      <c r="E301">
        <f>VLOOKUP(C301,'All Districts'!$B$3:$C$874,2,FALSE)</f>
        <v>0</v>
      </c>
      <c r="F301" s="91">
        <f>COUNTIF($E$2:$E$7106,E301)</f>
        <v>352</v>
      </c>
    </row>
    <row r="302" spans="1:6" x14ac:dyDescent="0.2">
      <c r="A302">
        <v>2017</v>
      </c>
      <c r="B302" s="13">
        <v>8424</v>
      </c>
      <c r="C302" s="90" t="str">
        <f>VLOOKUP(B302,'All Districts'!$A$3:$B$874,2,FALSE)</f>
        <v>Tech Valley Regional Institute</v>
      </c>
      <c r="D302" s="16">
        <v>135019</v>
      </c>
      <c r="E302">
        <f>VLOOKUP(C302,'All Districts'!$B$3:$C$874,2,FALSE)</f>
        <v>0</v>
      </c>
      <c r="F302" s="91">
        <f>COUNTIF($E$2:$E$7106,E302)</f>
        <v>352</v>
      </c>
    </row>
    <row r="303" spans="1:6" x14ac:dyDescent="0.2">
      <c r="A303" s="10">
        <v>2018</v>
      </c>
      <c r="B303" s="13">
        <v>8424</v>
      </c>
      <c r="C303" s="90" t="str">
        <f>VLOOKUP(B303,'All Districts'!$A$3:$B$874,2,FALSE)</f>
        <v>Tech Valley Regional Institute</v>
      </c>
      <c r="D303" s="15">
        <v>120127</v>
      </c>
      <c r="E303">
        <f>VLOOKUP(C303,'All Districts'!$B$3:$C$874,2,FALSE)</f>
        <v>0</v>
      </c>
      <c r="F303" s="91">
        <f>COUNTIF($E$2:$E$7106,E303)</f>
        <v>352</v>
      </c>
    </row>
    <row r="304" spans="1:6" x14ac:dyDescent="0.2">
      <c r="A304">
        <v>2019</v>
      </c>
      <c r="B304" s="36">
        <v>8424</v>
      </c>
      <c r="C304" s="90" t="str">
        <f>VLOOKUP(B304,'All Districts'!$A$3:$B$874,2,FALSE)</f>
        <v>Tech Valley Regional Institute</v>
      </c>
      <c r="D304" s="40">
        <v>136376</v>
      </c>
      <c r="E304">
        <f>VLOOKUP(C304,'All Districts'!$B$3:$C$874,2,FALSE)</f>
        <v>0</v>
      </c>
      <c r="F304" s="91">
        <f>COUNTIF($E$2:$E$7106,E304)</f>
        <v>352</v>
      </c>
    </row>
    <row r="305" spans="1:6" x14ac:dyDescent="0.2">
      <c r="A305">
        <v>2020</v>
      </c>
      <c r="B305" s="36">
        <v>8424</v>
      </c>
      <c r="C305" s="90" t="str">
        <f>VLOOKUP(B305,'All Districts'!$A$3:$B$874,2,FALSE)</f>
        <v>Tech Valley Regional Institute</v>
      </c>
      <c r="D305" s="40">
        <v>115887</v>
      </c>
      <c r="E305">
        <f>VLOOKUP(C305,'All Districts'!$B$3:$C$874,2,FALSE)</f>
        <v>0</v>
      </c>
      <c r="F305" s="91">
        <f>COUNTIF($E$2:$E$7106,E305)</f>
        <v>352</v>
      </c>
    </row>
    <row r="306" spans="1:6" x14ac:dyDescent="0.2">
      <c r="A306" s="10">
        <v>2021</v>
      </c>
      <c r="B306" s="55">
        <v>8424</v>
      </c>
      <c r="C306" s="90" t="str">
        <f>VLOOKUP(B306,'All Districts'!$A$3:$B$874,2,FALSE)</f>
        <v>Tech Valley Regional Institute</v>
      </c>
      <c r="D306" s="76">
        <v>123689</v>
      </c>
      <c r="E306">
        <f>VLOOKUP(C306,'All Districts'!$B$3:$C$874,2,FALSE)</f>
        <v>0</v>
      </c>
      <c r="F306" s="91">
        <f>COUNTIF($E$2:$E$7106,E306)</f>
        <v>352</v>
      </c>
    </row>
    <row r="307" spans="1:6" x14ac:dyDescent="0.2">
      <c r="A307">
        <v>2022</v>
      </c>
      <c r="B307" s="36">
        <v>8424</v>
      </c>
      <c r="C307" s="90" t="str">
        <f>VLOOKUP(B307,'All Districts'!$A$3:$B$874,2,FALSE)</f>
        <v>Tech Valley Regional Institute</v>
      </c>
      <c r="D307" s="82">
        <v>137246</v>
      </c>
      <c r="E307">
        <f>VLOOKUP(C307,'All Districts'!$B$3:$C$874,2,FALSE)</f>
        <v>0</v>
      </c>
      <c r="F307" s="91">
        <f>COUNTIF($E$2:$E$7106,E307)</f>
        <v>352</v>
      </c>
    </row>
    <row r="308" spans="1:6" x14ac:dyDescent="0.2">
      <c r="A308">
        <v>2023</v>
      </c>
      <c r="B308" s="36">
        <v>8424</v>
      </c>
      <c r="C308" s="90" t="str">
        <f>VLOOKUP(B308,'All Districts'!$A$3:$B$874,2,FALSE)</f>
        <v>Tech Valley Regional Institute</v>
      </c>
      <c r="D308" s="40">
        <v>152026</v>
      </c>
      <c r="E308">
        <f>VLOOKUP(C308,'All Districts'!$B$3:$C$874,2,FALSE)</f>
        <v>0</v>
      </c>
      <c r="F308" s="91">
        <f>COUNTIF($E$2:$E$7106,E308)</f>
        <v>352</v>
      </c>
    </row>
    <row r="309" spans="1:6" x14ac:dyDescent="0.2">
      <c r="A309">
        <v>2015</v>
      </c>
      <c r="B309" s="13">
        <v>8169</v>
      </c>
      <c r="C309" s="90" t="str">
        <f>VLOOKUP(B309,'All Districts'!$A$3:$B$874,2,FALSE)</f>
        <v>Tompkins-Cortland</v>
      </c>
      <c r="D309" s="15">
        <v>357966</v>
      </c>
      <c r="E309">
        <f>VLOOKUP(C309,'All Districts'!$B$3:$C$874,2,FALSE)</f>
        <v>0</v>
      </c>
      <c r="F309" s="91">
        <f>COUNTIF($E$2:$E$7106,E309)</f>
        <v>352</v>
      </c>
    </row>
    <row r="310" spans="1:6" x14ac:dyDescent="0.2">
      <c r="A310">
        <v>2016</v>
      </c>
      <c r="B310" s="13">
        <v>8169</v>
      </c>
      <c r="C310" s="90" t="str">
        <f>VLOOKUP(B310,'All Districts'!$A$3:$B$874,2,FALSE)</f>
        <v>Tompkins-Cortland</v>
      </c>
      <c r="D310" s="16">
        <v>277120</v>
      </c>
      <c r="E310">
        <f>VLOOKUP(C310,'All Districts'!$B$3:$C$874,2,FALSE)</f>
        <v>0</v>
      </c>
      <c r="F310" s="91">
        <f>COUNTIF($E$2:$E$7106,E310)</f>
        <v>352</v>
      </c>
    </row>
    <row r="311" spans="1:6" x14ac:dyDescent="0.2">
      <c r="A311">
        <v>2017</v>
      </c>
      <c r="B311" s="13">
        <v>8169</v>
      </c>
      <c r="C311" s="90" t="str">
        <f>VLOOKUP(B311,'All Districts'!$A$3:$B$874,2,FALSE)</f>
        <v>Tompkins-Cortland</v>
      </c>
      <c r="D311" s="16">
        <v>256302</v>
      </c>
      <c r="E311">
        <f>VLOOKUP(C311,'All Districts'!$B$3:$C$874,2,FALSE)</f>
        <v>0</v>
      </c>
      <c r="F311" s="91">
        <f>COUNTIF($E$2:$E$7106,E311)</f>
        <v>352</v>
      </c>
    </row>
    <row r="312" spans="1:6" x14ac:dyDescent="0.2">
      <c r="A312" s="10">
        <v>2018</v>
      </c>
      <c r="B312" s="13">
        <v>8169</v>
      </c>
      <c r="C312" s="90" t="str">
        <f>VLOOKUP(B312,'All Districts'!$A$3:$B$874,2,FALSE)</f>
        <v>Tompkins-Cortland</v>
      </c>
      <c r="D312" s="15">
        <v>198282</v>
      </c>
      <c r="E312">
        <f>VLOOKUP(C312,'All Districts'!$B$3:$C$874,2,FALSE)</f>
        <v>0</v>
      </c>
      <c r="F312" s="91">
        <f>COUNTIF($E$2:$E$7106,E312)</f>
        <v>352</v>
      </c>
    </row>
    <row r="313" spans="1:6" x14ac:dyDescent="0.2">
      <c r="A313">
        <v>2019</v>
      </c>
      <c r="B313" s="36">
        <v>8169</v>
      </c>
      <c r="C313" s="90" t="str">
        <f>VLOOKUP(B313,'All Districts'!$A$3:$B$874,2,FALSE)</f>
        <v>Tompkins-Cortland</v>
      </c>
      <c r="D313" s="40">
        <v>215675</v>
      </c>
      <c r="E313">
        <f>VLOOKUP(C313,'All Districts'!$B$3:$C$874,2,FALSE)</f>
        <v>0</v>
      </c>
      <c r="F313" s="91">
        <f>COUNTIF($E$2:$E$7106,E313)</f>
        <v>352</v>
      </c>
    </row>
    <row r="314" spans="1:6" x14ac:dyDescent="0.2">
      <c r="A314">
        <v>2020</v>
      </c>
      <c r="B314" s="36">
        <v>8169</v>
      </c>
      <c r="C314" s="90" t="str">
        <f>VLOOKUP(B314,'All Districts'!$A$3:$B$874,2,FALSE)</f>
        <v>Tompkins-Cortland</v>
      </c>
      <c r="D314" s="40">
        <v>155123</v>
      </c>
      <c r="E314">
        <f>VLOOKUP(C314,'All Districts'!$B$3:$C$874,2,FALSE)</f>
        <v>0</v>
      </c>
      <c r="F314" s="91">
        <f>COUNTIF($E$2:$E$7106,E314)</f>
        <v>352</v>
      </c>
    </row>
    <row r="315" spans="1:6" x14ac:dyDescent="0.2">
      <c r="A315" s="10">
        <v>2021</v>
      </c>
      <c r="B315" s="55">
        <v>8169</v>
      </c>
      <c r="C315" s="90" t="str">
        <f>VLOOKUP(B315,'All Districts'!$A$3:$B$874,2,FALSE)</f>
        <v>Tompkins-Cortland</v>
      </c>
      <c r="D315" s="75">
        <v>141629</v>
      </c>
      <c r="E315">
        <f>VLOOKUP(C315,'All Districts'!$B$3:$C$874,2,FALSE)</f>
        <v>0</v>
      </c>
      <c r="F315" s="91">
        <f>COUNTIF($E$2:$E$7106,E315)</f>
        <v>352</v>
      </c>
    </row>
    <row r="316" spans="1:6" x14ac:dyDescent="0.2">
      <c r="A316">
        <v>2022</v>
      </c>
      <c r="B316" s="36">
        <v>8169</v>
      </c>
      <c r="C316" s="90" t="str">
        <f>VLOOKUP(B316,'All Districts'!$A$3:$B$874,2,FALSE)</f>
        <v>Tompkins-Cortland</v>
      </c>
      <c r="D316" s="82">
        <v>134838</v>
      </c>
      <c r="E316">
        <f>VLOOKUP(C316,'All Districts'!$B$3:$C$874,2,FALSE)</f>
        <v>0</v>
      </c>
      <c r="F316" s="91">
        <f>COUNTIF($E$2:$E$7106,E316)</f>
        <v>352</v>
      </c>
    </row>
    <row r="317" spans="1:6" x14ac:dyDescent="0.2">
      <c r="A317">
        <v>2023</v>
      </c>
      <c r="B317" s="36">
        <v>8169</v>
      </c>
      <c r="C317" s="90" t="str">
        <f>VLOOKUP(B317,'All Districts'!$A$3:$B$874,2,FALSE)</f>
        <v>Tompkins-Cortland</v>
      </c>
      <c r="D317" s="40">
        <v>160195</v>
      </c>
      <c r="E317">
        <f>VLOOKUP(C317,'All Districts'!$B$3:$C$874,2,FALSE)</f>
        <v>0</v>
      </c>
      <c r="F317" s="91">
        <f>COUNTIF($E$2:$E$7106,E317)</f>
        <v>352</v>
      </c>
    </row>
    <row r="318" spans="1:6" x14ac:dyDescent="0.2">
      <c r="A318">
        <v>2015</v>
      </c>
      <c r="B318" s="13">
        <v>2590</v>
      </c>
      <c r="C318" s="90" t="str">
        <f>VLOOKUP(B318,'All Districts'!$A$3:$B$874,2,FALSE)</f>
        <v>UFSD of the Tarrytowns</v>
      </c>
      <c r="D318" s="14">
        <v>5348692</v>
      </c>
      <c r="E318">
        <f>VLOOKUP(C318,'All Districts'!$B$3:$C$874,2,FALSE)</f>
        <v>0</v>
      </c>
      <c r="F318" s="91">
        <f>COUNTIF($E$2:$E$7106,E318)</f>
        <v>352</v>
      </c>
    </row>
    <row r="319" spans="1:6" x14ac:dyDescent="0.2">
      <c r="A319">
        <v>2016</v>
      </c>
      <c r="B319" s="13">
        <v>2590</v>
      </c>
      <c r="C319" s="90" t="str">
        <f>VLOOKUP(B319,'All Districts'!$A$3:$B$874,2,FALSE)</f>
        <v>UFSD of the Tarrytowns</v>
      </c>
      <c r="D319" s="16">
        <v>4226512</v>
      </c>
      <c r="E319">
        <f>VLOOKUP(C319,'All Districts'!$B$3:$C$874,2,FALSE)</f>
        <v>0</v>
      </c>
      <c r="F319" s="91">
        <f>COUNTIF($E$2:$E$7106,E319)</f>
        <v>352</v>
      </c>
    </row>
    <row r="320" spans="1:6" x14ac:dyDescent="0.2">
      <c r="A320">
        <v>2017</v>
      </c>
      <c r="B320" s="13">
        <v>2590</v>
      </c>
      <c r="C320" s="90" t="str">
        <f>VLOOKUP(B320,'All Districts'!$A$3:$B$874,2,FALSE)</f>
        <v>UFSD of the Tarrytowns</v>
      </c>
      <c r="D320" s="16">
        <v>3890442</v>
      </c>
      <c r="E320">
        <f>VLOOKUP(C320,'All Districts'!$B$3:$C$874,2,FALSE)</f>
        <v>0</v>
      </c>
      <c r="F320" s="91">
        <f>COUNTIF($E$2:$E$7106,E320)</f>
        <v>352</v>
      </c>
    </row>
    <row r="321" spans="1:6" x14ac:dyDescent="0.2">
      <c r="A321" s="10">
        <v>2018</v>
      </c>
      <c r="B321" s="13">
        <v>2590</v>
      </c>
      <c r="C321" s="90" t="str">
        <f>VLOOKUP(B321,'All Districts'!$A$3:$B$874,2,FALSE)</f>
        <v>UFSD of the Tarrytowns</v>
      </c>
      <c r="D321" s="15">
        <v>3334857</v>
      </c>
      <c r="E321">
        <f>VLOOKUP(C321,'All Districts'!$B$3:$C$874,2,FALSE)</f>
        <v>0</v>
      </c>
      <c r="F321" s="91">
        <f>COUNTIF($E$2:$E$7106,E321)</f>
        <v>352</v>
      </c>
    </row>
    <row r="322" spans="1:6" x14ac:dyDescent="0.2">
      <c r="A322">
        <v>2019</v>
      </c>
      <c r="B322" s="36">
        <v>2590</v>
      </c>
      <c r="C322" s="90" t="str">
        <f>VLOOKUP(B322,'All Districts'!$A$3:$B$874,2,FALSE)</f>
        <v>UFSD of the Tarrytowns</v>
      </c>
      <c r="D322" s="40">
        <v>3731084</v>
      </c>
      <c r="E322">
        <f>VLOOKUP(C322,'All Districts'!$B$3:$C$874,2,FALSE)</f>
        <v>0</v>
      </c>
      <c r="F322" s="91">
        <f>COUNTIF($E$2:$E$7106,E322)</f>
        <v>352</v>
      </c>
    </row>
    <row r="323" spans="1:6" x14ac:dyDescent="0.2">
      <c r="A323">
        <v>2020</v>
      </c>
      <c r="B323" s="36">
        <v>2590</v>
      </c>
      <c r="C323" s="90" t="str">
        <f>VLOOKUP(B323,'All Districts'!$A$3:$B$874,2,FALSE)</f>
        <v>UFSD of the Tarrytowns</v>
      </c>
      <c r="D323" s="40">
        <v>3205591</v>
      </c>
      <c r="E323">
        <f>VLOOKUP(C323,'All Districts'!$B$3:$C$874,2,FALSE)</f>
        <v>0</v>
      </c>
      <c r="F323" s="91">
        <f>COUNTIF($E$2:$E$7106,E323)</f>
        <v>352</v>
      </c>
    </row>
    <row r="324" spans="1:6" x14ac:dyDescent="0.2">
      <c r="A324" s="10">
        <v>2021</v>
      </c>
      <c r="B324" s="55">
        <v>2590</v>
      </c>
      <c r="C324" s="90" t="str">
        <f>VLOOKUP(B324,'All Districts'!$A$3:$B$874,2,FALSE)</f>
        <v>UFSD of the Tarrytowns</v>
      </c>
      <c r="D324" s="76">
        <v>3471266</v>
      </c>
      <c r="E324">
        <f>VLOOKUP(C324,'All Districts'!$B$3:$C$874,2,FALSE)</f>
        <v>0</v>
      </c>
      <c r="F324" s="91">
        <f>COUNTIF($E$2:$E$7106,E324)</f>
        <v>352</v>
      </c>
    </row>
    <row r="325" spans="1:6" x14ac:dyDescent="0.2">
      <c r="A325">
        <v>2022</v>
      </c>
      <c r="B325" s="36">
        <v>2590</v>
      </c>
      <c r="C325" s="90" t="str">
        <f>VLOOKUP(B325,'All Districts'!$A$3:$B$874,2,FALSE)</f>
        <v>UFSD of the Tarrytowns</v>
      </c>
      <c r="D325" s="82">
        <v>3665010</v>
      </c>
      <c r="E325">
        <f>VLOOKUP(C325,'All Districts'!$B$3:$C$874,2,FALSE)</f>
        <v>0</v>
      </c>
      <c r="F325" s="91">
        <f>COUNTIF($E$2:$E$7106,E325)</f>
        <v>352</v>
      </c>
    </row>
    <row r="326" spans="1:6" x14ac:dyDescent="0.2">
      <c r="A326">
        <v>2023</v>
      </c>
      <c r="B326" s="36">
        <v>2590</v>
      </c>
      <c r="C326" s="90" t="str">
        <f>VLOOKUP(B326,'All Districts'!$A$3:$B$874,2,FALSE)</f>
        <v>UFSD of the Tarrytowns</v>
      </c>
      <c r="D326" s="40">
        <v>4008905</v>
      </c>
      <c r="E326">
        <f>VLOOKUP(C326,'All Districts'!$B$3:$C$874,2,FALSE)</f>
        <v>0</v>
      </c>
      <c r="F326" s="91">
        <f>COUNTIF($E$2:$E$7106,E326)</f>
        <v>352</v>
      </c>
    </row>
    <row r="327" spans="1:6" x14ac:dyDescent="0.2">
      <c r="A327">
        <v>2015</v>
      </c>
      <c r="B327" s="13">
        <v>8168</v>
      </c>
      <c r="C327" s="90" t="str">
        <f>VLOOKUP(B327,'All Districts'!$A$3:$B$874,2,FALSE)</f>
        <v>Ulster County</v>
      </c>
      <c r="D327" s="15">
        <v>319118</v>
      </c>
      <c r="E327">
        <f>VLOOKUP(C327,'All Districts'!$B$3:$C$874,2,FALSE)</f>
        <v>0</v>
      </c>
      <c r="F327" s="91">
        <f>COUNTIF($E$2:$E$7106,E327)</f>
        <v>352</v>
      </c>
    </row>
    <row r="328" spans="1:6" x14ac:dyDescent="0.2">
      <c r="A328">
        <v>2016</v>
      </c>
      <c r="B328" s="13">
        <v>8168</v>
      </c>
      <c r="C328" s="90" t="str">
        <f>VLOOKUP(B328,'All Districts'!$A$3:$B$874,2,FALSE)</f>
        <v>Ulster County</v>
      </c>
      <c r="D328" s="16">
        <v>264582</v>
      </c>
      <c r="E328">
        <f>VLOOKUP(C328,'All Districts'!$B$3:$C$874,2,FALSE)</f>
        <v>0</v>
      </c>
      <c r="F328" s="91">
        <f>COUNTIF($E$2:$E$7106,E328)</f>
        <v>352</v>
      </c>
    </row>
    <row r="329" spans="1:6" x14ac:dyDescent="0.2">
      <c r="A329">
        <v>2017</v>
      </c>
      <c r="B329" s="13">
        <v>8168</v>
      </c>
      <c r="C329" s="90" t="str">
        <f>VLOOKUP(B329,'All Districts'!$A$3:$B$874,2,FALSE)</f>
        <v>Ulster County</v>
      </c>
      <c r="D329" s="16">
        <v>246779</v>
      </c>
      <c r="E329">
        <f>VLOOKUP(C329,'All Districts'!$B$3:$C$874,2,FALSE)</f>
        <v>0</v>
      </c>
      <c r="F329" s="91">
        <f>COUNTIF($E$2:$E$7106,E329)</f>
        <v>352</v>
      </c>
    </row>
    <row r="330" spans="1:6" x14ac:dyDescent="0.2">
      <c r="A330" s="10">
        <v>2018</v>
      </c>
      <c r="B330" s="13">
        <v>8168</v>
      </c>
      <c r="C330" s="90" t="str">
        <f>VLOOKUP(B330,'All Districts'!$A$3:$B$874,2,FALSE)</f>
        <v>Ulster County</v>
      </c>
      <c r="D330" s="15">
        <v>205493</v>
      </c>
      <c r="E330">
        <f>VLOOKUP(C330,'All Districts'!$B$3:$C$874,2,FALSE)</f>
        <v>0</v>
      </c>
      <c r="F330" s="91">
        <f>COUNTIF($E$2:$E$7106,E330)</f>
        <v>352</v>
      </c>
    </row>
    <row r="331" spans="1:6" x14ac:dyDescent="0.2">
      <c r="A331">
        <v>2019</v>
      </c>
      <c r="B331" s="36">
        <v>8168</v>
      </c>
      <c r="C331" s="90" t="str">
        <f>VLOOKUP(B331,'All Districts'!$A$3:$B$874,2,FALSE)</f>
        <v>Ulster County</v>
      </c>
      <c r="D331" s="40">
        <v>203402</v>
      </c>
      <c r="E331">
        <f>VLOOKUP(C331,'All Districts'!$B$3:$C$874,2,FALSE)</f>
        <v>0</v>
      </c>
      <c r="F331" s="91">
        <f>COUNTIF($E$2:$E$7106,E331)</f>
        <v>352</v>
      </c>
    </row>
    <row r="332" spans="1:6" x14ac:dyDescent="0.2">
      <c r="A332">
        <v>2020</v>
      </c>
      <c r="B332" s="36">
        <v>8168</v>
      </c>
      <c r="C332" s="90" t="str">
        <f>VLOOKUP(B332,'All Districts'!$A$3:$B$874,2,FALSE)</f>
        <v>Ulster County</v>
      </c>
      <c r="D332" s="40">
        <v>176030</v>
      </c>
      <c r="E332">
        <f>VLOOKUP(C332,'All Districts'!$B$3:$C$874,2,FALSE)</f>
        <v>0</v>
      </c>
      <c r="F332" s="91">
        <f>COUNTIF($E$2:$E$7106,E332)</f>
        <v>352</v>
      </c>
    </row>
    <row r="333" spans="1:6" x14ac:dyDescent="0.2">
      <c r="A333" s="10">
        <v>2021</v>
      </c>
      <c r="B333" s="52">
        <v>8168</v>
      </c>
      <c r="C333" s="90" t="str">
        <f>VLOOKUP(B333,'All Districts'!$A$3:$B$874,2,FALSE)</f>
        <v>Ulster County</v>
      </c>
      <c r="D333" s="76">
        <v>179122</v>
      </c>
      <c r="E333">
        <f>VLOOKUP(C333,'All Districts'!$B$3:$C$874,2,FALSE)</f>
        <v>0</v>
      </c>
      <c r="F333" s="91">
        <f>COUNTIF($E$2:$E$7106,E333)</f>
        <v>352</v>
      </c>
    </row>
    <row r="334" spans="1:6" x14ac:dyDescent="0.2">
      <c r="A334">
        <v>2022</v>
      </c>
      <c r="B334" s="36">
        <v>8168</v>
      </c>
      <c r="C334" s="90" t="str">
        <f>VLOOKUP(B334,'All Districts'!$A$3:$B$874,2,FALSE)</f>
        <v>Ulster County</v>
      </c>
      <c r="D334" s="82">
        <v>191389</v>
      </c>
      <c r="E334">
        <f>VLOOKUP(C334,'All Districts'!$B$3:$C$874,2,FALSE)</f>
        <v>0</v>
      </c>
      <c r="F334" s="91">
        <f>COUNTIF($E$2:$E$7106,E334)</f>
        <v>352</v>
      </c>
    </row>
    <row r="335" spans="1:6" x14ac:dyDescent="0.2">
      <c r="A335">
        <v>2023</v>
      </c>
      <c r="B335" s="36">
        <v>8168</v>
      </c>
      <c r="C335" s="90" t="str">
        <f>VLOOKUP(B335,'All Districts'!$A$3:$B$874,2,FALSE)</f>
        <v>Ulster County</v>
      </c>
      <c r="D335" s="40">
        <v>210396</v>
      </c>
      <c r="E335">
        <f>VLOOKUP(C335,'All Districts'!$B$3:$C$874,2,FALSE)</f>
        <v>0</v>
      </c>
      <c r="F335" s="91">
        <f>COUNTIF($E$2:$E$7106,E335)</f>
        <v>352</v>
      </c>
    </row>
    <row r="336" spans="1:6" x14ac:dyDescent="0.2">
      <c r="A336">
        <v>2015</v>
      </c>
      <c r="B336" s="13">
        <v>1265</v>
      </c>
      <c r="C336" s="90" t="str">
        <f>VLOOKUP(B336,'All Districts'!$A$3:$B$874,2,FALSE)</f>
        <v>Vernon-Verona-Sherrill</v>
      </c>
      <c r="D336" s="14">
        <v>2160071</v>
      </c>
      <c r="E336">
        <f>VLOOKUP(C336,'All Districts'!$B$3:$C$874,2,FALSE)</f>
        <v>0</v>
      </c>
      <c r="F336" s="91">
        <f>COUNTIF($E$2:$E$7106,E336)</f>
        <v>352</v>
      </c>
    </row>
    <row r="337" spans="1:6" x14ac:dyDescent="0.2">
      <c r="A337">
        <v>2016</v>
      </c>
      <c r="B337" s="13">
        <v>1265</v>
      </c>
      <c r="C337" s="90" t="str">
        <f>VLOOKUP(B337,'All Districts'!$A$3:$B$874,2,FALSE)</f>
        <v>Vernon-Verona-Sherrill</v>
      </c>
      <c r="D337" s="16">
        <v>1676504</v>
      </c>
      <c r="E337">
        <f>VLOOKUP(C337,'All Districts'!$B$3:$C$874,2,FALSE)</f>
        <v>0</v>
      </c>
      <c r="F337" s="91">
        <f>COUNTIF($E$2:$E$7106,E337)</f>
        <v>352</v>
      </c>
    </row>
    <row r="338" spans="1:6" x14ac:dyDescent="0.2">
      <c r="A338">
        <v>2017</v>
      </c>
      <c r="B338" s="13">
        <v>1265</v>
      </c>
      <c r="C338" s="90" t="str">
        <f>VLOOKUP(B338,'All Districts'!$A$3:$B$874,2,FALSE)</f>
        <v>Vernon-Verona-Sherrill</v>
      </c>
      <c r="D338" s="16">
        <v>1553503</v>
      </c>
      <c r="E338">
        <f>VLOOKUP(C338,'All Districts'!$B$3:$C$874,2,FALSE)</f>
        <v>0</v>
      </c>
      <c r="F338" s="91">
        <f>COUNTIF($E$2:$E$7106,E338)</f>
        <v>352</v>
      </c>
    </row>
    <row r="339" spans="1:6" x14ac:dyDescent="0.2">
      <c r="A339" s="10">
        <v>2018</v>
      </c>
      <c r="B339" s="13">
        <v>1265</v>
      </c>
      <c r="C339" s="90" t="str">
        <f>VLOOKUP(B339,'All Districts'!$A$3:$B$874,2,FALSE)</f>
        <v>Vernon-Verona-Sherrill</v>
      </c>
      <c r="D339" s="15">
        <v>1348856</v>
      </c>
      <c r="E339">
        <f>VLOOKUP(C339,'All Districts'!$B$3:$C$874,2,FALSE)</f>
        <v>0</v>
      </c>
      <c r="F339" s="91">
        <f>COUNTIF($E$2:$E$7106,E339)</f>
        <v>352</v>
      </c>
    </row>
    <row r="340" spans="1:6" x14ac:dyDescent="0.2">
      <c r="A340">
        <v>2019</v>
      </c>
      <c r="B340" s="36">
        <v>1265</v>
      </c>
      <c r="C340" s="90" t="str">
        <f>VLOOKUP(B340,'All Districts'!$A$3:$B$874,2,FALSE)</f>
        <v>Vernon-Verona-Sherrill</v>
      </c>
      <c r="D340" s="40">
        <v>1495160</v>
      </c>
      <c r="E340">
        <f>VLOOKUP(C340,'All Districts'!$B$3:$C$874,2,FALSE)</f>
        <v>0</v>
      </c>
      <c r="F340" s="91">
        <f>COUNTIF($E$2:$E$7106,E340)</f>
        <v>352</v>
      </c>
    </row>
    <row r="341" spans="1:6" x14ac:dyDescent="0.2">
      <c r="A341">
        <v>2020</v>
      </c>
      <c r="B341" s="36">
        <v>1265</v>
      </c>
      <c r="C341" s="90" t="str">
        <f>VLOOKUP(B341,'All Districts'!$A$3:$B$874,2,FALSE)</f>
        <v>Vernon-Verona-Sherrill</v>
      </c>
      <c r="D341" s="40">
        <v>1309710</v>
      </c>
      <c r="E341">
        <f>VLOOKUP(C341,'All Districts'!$B$3:$C$874,2,FALSE)</f>
        <v>0</v>
      </c>
      <c r="F341" s="91">
        <f>COUNTIF($E$2:$E$7106,E341)</f>
        <v>352</v>
      </c>
    </row>
    <row r="342" spans="1:6" x14ac:dyDescent="0.2">
      <c r="A342" s="10">
        <v>2021</v>
      </c>
      <c r="B342" s="52">
        <v>1265</v>
      </c>
      <c r="C342" s="90" t="str">
        <f>VLOOKUP(B342,'All Districts'!$A$3:$B$874,2,FALSE)</f>
        <v>Vernon-Verona-Sherrill</v>
      </c>
      <c r="D342" s="76">
        <v>1415174</v>
      </c>
      <c r="E342">
        <f>VLOOKUP(C342,'All Districts'!$B$3:$C$874,2,FALSE)</f>
        <v>0</v>
      </c>
      <c r="F342" s="91">
        <f>COUNTIF($E$2:$E$7106,E342)</f>
        <v>352</v>
      </c>
    </row>
    <row r="343" spans="1:6" x14ac:dyDescent="0.2">
      <c r="A343">
        <v>2022</v>
      </c>
      <c r="B343" s="36">
        <v>1265</v>
      </c>
      <c r="C343" s="90" t="str">
        <f>VLOOKUP(B343,'All Districts'!$A$3:$B$874,2,FALSE)</f>
        <v>Vernon-Verona-Sherrill</v>
      </c>
      <c r="D343" s="82">
        <v>1539918</v>
      </c>
      <c r="E343">
        <f>VLOOKUP(C343,'All Districts'!$B$3:$C$874,2,FALSE)</f>
        <v>0</v>
      </c>
      <c r="F343" s="91">
        <f>COUNTIF($E$2:$E$7106,E343)</f>
        <v>352</v>
      </c>
    </row>
    <row r="344" spans="1:6" x14ac:dyDescent="0.2">
      <c r="A344">
        <v>2023</v>
      </c>
      <c r="B344" s="36">
        <v>1265</v>
      </c>
      <c r="C344" s="90" t="str">
        <f>VLOOKUP(B344,'All Districts'!$A$3:$B$874,2,FALSE)</f>
        <v>Vernon-Verona-Sherrill</v>
      </c>
      <c r="D344" s="40">
        <v>1705503</v>
      </c>
      <c r="E344">
        <f>VLOOKUP(C344,'All Districts'!$B$3:$C$874,2,FALSE)</f>
        <v>0</v>
      </c>
      <c r="F344" s="91">
        <f>COUNTIF($E$2:$E$7106,E344)</f>
        <v>352</v>
      </c>
    </row>
    <row r="345" spans="1:6" x14ac:dyDescent="0.2">
      <c r="A345">
        <v>2015</v>
      </c>
      <c r="B345" s="13">
        <v>3629</v>
      </c>
      <c r="C345" s="90" t="str">
        <f>VLOOKUP(B345,'All Districts'!$A$3:$B$874,2,FALSE)</f>
        <v>Webutuck</v>
      </c>
      <c r="D345" s="14">
        <v>1209619</v>
      </c>
      <c r="E345">
        <f>VLOOKUP(C345,'All Districts'!$B$3:$C$874,2,FALSE)</f>
        <v>0</v>
      </c>
      <c r="F345" s="91">
        <f>COUNTIF($E$2:$E$7106,E345)</f>
        <v>352</v>
      </c>
    </row>
    <row r="346" spans="1:6" x14ac:dyDescent="0.2">
      <c r="A346">
        <v>2016</v>
      </c>
      <c r="B346" s="13">
        <v>3629</v>
      </c>
      <c r="C346" s="90" t="str">
        <f>VLOOKUP(B346,'All Districts'!$A$3:$B$874,2,FALSE)</f>
        <v>Webutuck</v>
      </c>
      <c r="D346" s="16">
        <v>968881</v>
      </c>
      <c r="E346">
        <f>VLOOKUP(C346,'All Districts'!$B$3:$C$874,2,FALSE)</f>
        <v>0</v>
      </c>
      <c r="F346" s="91">
        <f>COUNTIF($E$2:$E$7106,E346)</f>
        <v>352</v>
      </c>
    </row>
    <row r="347" spans="1:6" x14ac:dyDescent="0.2">
      <c r="A347">
        <v>2017</v>
      </c>
      <c r="B347" s="13">
        <v>3629</v>
      </c>
      <c r="C347" s="90" t="str">
        <f>VLOOKUP(B347,'All Districts'!$A$3:$B$874,2,FALSE)</f>
        <v>Webutuck</v>
      </c>
      <c r="D347" s="16">
        <v>888139</v>
      </c>
      <c r="E347">
        <f>VLOOKUP(C347,'All Districts'!$B$3:$C$874,2,FALSE)</f>
        <v>0</v>
      </c>
      <c r="F347" s="91">
        <f>COUNTIF($E$2:$E$7106,E347)</f>
        <v>352</v>
      </c>
    </row>
    <row r="348" spans="1:6" x14ac:dyDescent="0.2">
      <c r="A348" s="10">
        <v>2018</v>
      </c>
      <c r="B348" s="13">
        <v>3629</v>
      </c>
      <c r="C348" s="90" t="str">
        <f>VLOOKUP(B348,'All Districts'!$A$3:$B$874,2,FALSE)</f>
        <v>Webutuck</v>
      </c>
      <c r="D348" s="15">
        <v>726163</v>
      </c>
      <c r="E348">
        <f>VLOOKUP(C348,'All Districts'!$B$3:$C$874,2,FALSE)</f>
        <v>0</v>
      </c>
      <c r="F348" s="91">
        <f>COUNTIF($E$2:$E$7106,E348)</f>
        <v>352</v>
      </c>
    </row>
    <row r="349" spans="1:6" x14ac:dyDescent="0.2">
      <c r="A349">
        <v>2019</v>
      </c>
      <c r="B349" s="36">
        <v>3629</v>
      </c>
      <c r="C349" s="90" t="str">
        <f>VLOOKUP(B349,'All Districts'!$A$3:$B$874,2,FALSE)</f>
        <v>Webutuck</v>
      </c>
      <c r="D349" s="40">
        <v>801124</v>
      </c>
      <c r="E349">
        <f>VLOOKUP(C349,'All Districts'!$B$3:$C$874,2,FALSE)</f>
        <v>0</v>
      </c>
      <c r="F349" s="91">
        <f>COUNTIF($E$2:$E$7106,E349)</f>
        <v>352</v>
      </c>
    </row>
    <row r="350" spans="1:6" x14ac:dyDescent="0.2">
      <c r="A350">
        <v>2020</v>
      </c>
      <c r="B350" s="36">
        <v>3629</v>
      </c>
      <c r="C350" s="90" t="str">
        <f>VLOOKUP(B350,'All Districts'!$A$3:$B$874,2,FALSE)</f>
        <v>Webutuck</v>
      </c>
      <c r="D350" s="40">
        <v>654616</v>
      </c>
      <c r="E350">
        <f>VLOOKUP(C350,'All Districts'!$B$3:$C$874,2,FALSE)</f>
        <v>0</v>
      </c>
      <c r="F350" s="91">
        <f>COUNTIF($E$2:$E$7106,E350)</f>
        <v>352</v>
      </c>
    </row>
    <row r="351" spans="1:6" x14ac:dyDescent="0.2">
      <c r="A351" s="10">
        <v>2021</v>
      </c>
      <c r="B351" s="52">
        <v>3629</v>
      </c>
      <c r="C351" s="90" t="str">
        <f>VLOOKUP(B351,'All Districts'!$A$3:$B$874,2,FALSE)</f>
        <v>Webutuck</v>
      </c>
      <c r="D351" s="76">
        <v>728037</v>
      </c>
      <c r="E351">
        <f>VLOOKUP(C351,'All Districts'!$B$3:$C$874,2,FALSE)</f>
        <v>0</v>
      </c>
      <c r="F351" s="91">
        <f>COUNTIF($E$2:$E$7106,E351)</f>
        <v>352</v>
      </c>
    </row>
    <row r="352" spans="1:6" x14ac:dyDescent="0.2">
      <c r="A352">
        <v>2022</v>
      </c>
      <c r="B352" s="36">
        <v>3629</v>
      </c>
      <c r="C352" s="90" t="str">
        <f>VLOOKUP(B352,'All Districts'!$A$3:$B$874,2,FALSE)</f>
        <v>Webutuck</v>
      </c>
      <c r="D352" s="82">
        <v>778834</v>
      </c>
      <c r="E352">
        <f>VLOOKUP(C352,'All Districts'!$B$3:$C$874,2,FALSE)</f>
        <v>0</v>
      </c>
      <c r="F352" s="91">
        <f>COUNTIF($E$2:$E$7106,E352)</f>
        <v>352</v>
      </c>
    </row>
    <row r="353" spans="1:6" x14ac:dyDescent="0.2">
      <c r="A353">
        <v>2023</v>
      </c>
      <c r="B353" s="36">
        <v>3629</v>
      </c>
      <c r="C353" s="90" t="str">
        <f>VLOOKUP(B353,'All Districts'!$A$3:$B$874,2,FALSE)</f>
        <v>Webutuck</v>
      </c>
      <c r="D353" s="40">
        <v>849060</v>
      </c>
      <c r="E353">
        <f>VLOOKUP(C353,'All Districts'!$B$3:$C$874,2,FALSE)</f>
        <v>0</v>
      </c>
      <c r="F353" s="91">
        <f>COUNTIF($E$2:$E$7106,E353)</f>
        <v>352</v>
      </c>
    </row>
    <row r="354" spans="1:6" x14ac:dyDescent="0.2">
      <c r="A354">
        <v>2015</v>
      </c>
      <c r="B354" s="13">
        <v>3470</v>
      </c>
      <c r="C354" s="90" t="e">
        <f>VLOOKUP(B354,'All Districts'!$A$3:$B$874,2,FALSE)</f>
        <v>#N/A</v>
      </c>
      <c r="D354" s="14">
        <v>369982</v>
      </c>
      <c r="E354" t="e">
        <f>VLOOKUP(C354,'All Districts'!$B$3:$C$874,2,FALSE)</f>
        <v>#N/A</v>
      </c>
      <c r="F354" s="91">
        <f>COUNTIF($E$2:$E$7106,E354)</f>
        <v>30</v>
      </c>
    </row>
    <row r="355" spans="1:6" x14ac:dyDescent="0.2">
      <c r="A355">
        <v>2015</v>
      </c>
      <c r="B355" s="13">
        <v>3472</v>
      </c>
      <c r="C355" s="90" t="e">
        <f>VLOOKUP(B355,'All Districts'!$A$3:$B$874,2,FALSE)</f>
        <v>#N/A</v>
      </c>
      <c r="D355" s="14">
        <v>329327</v>
      </c>
      <c r="E355" t="e">
        <f>VLOOKUP(C355,'All Districts'!$B$3:$C$874,2,FALSE)</f>
        <v>#N/A</v>
      </c>
      <c r="F355" s="91">
        <f>COUNTIF($E$2:$E$7106,E355)</f>
        <v>30</v>
      </c>
    </row>
    <row r="356" spans="1:6" x14ac:dyDescent="0.2">
      <c r="A356">
        <v>2015</v>
      </c>
      <c r="B356" s="13">
        <v>4036</v>
      </c>
      <c r="C356" s="90" t="e">
        <f>VLOOKUP(B356,'All Districts'!$A$3:$B$874,2,FALSE)</f>
        <v>#N/A</v>
      </c>
      <c r="D356" s="14">
        <v>1055101</v>
      </c>
      <c r="E356" t="e">
        <f>VLOOKUP(C356,'All Districts'!$B$3:$C$874,2,FALSE)</f>
        <v>#N/A</v>
      </c>
      <c r="F356" s="91">
        <f>COUNTIF($E$2:$E$7106,E356)</f>
        <v>30</v>
      </c>
    </row>
    <row r="357" spans="1:6" x14ac:dyDescent="0.2">
      <c r="A357">
        <v>2015</v>
      </c>
      <c r="B357" s="13">
        <v>8405</v>
      </c>
      <c r="C357" s="90" t="e">
        <f>VLOOKUP(B357,'All Districts'!$A$3:$B$874,2,FALSE)</f>
        <v>#N/A</v>
      </c>
      <c r="D357" s="15">
        <v>2790</v>
      </c>
      <c r="E357" t="e">
        <f>VLOOKUP(C357,'All Districts'!$B$3:$C$874,2,FALSE)</f>
        <v>#N/A</v>
      </c>
      <c r="F357" s="91">
        <f>COUNTIF($E$2:$E$7106,E357)</f>
        <v>30</v>
      </c>
    </row>
    <row r="358" spans="1:6" x14ac:dyDescent="0.2">
      <c r="A358">
        <v>2015</v>
      </c>
      <c r="B358" s="13">
        <v>8413</v>
      </c>
      <c r="C358" s="90" t="e">
        <f>VLOOKUP(B358,'All Districts'!$A$3:$B$874,2,FALSE)</f>
        <v>#N/A</v>
      </c>
      <c r="D358" s="16">
        <v>166938</v>
      </c>
      <c r="E358" t="e">
        <f>VLOOKUP(C358,'All Districts'!$B$3:$C$874,2,FALSE)</f>
        <v>#N/A</v>
      </c>
      <c r="F358" s="91">
        <f>COUNTIF($E$2:$E$7106,E358)</f>
        <v>30</v>
      </c>
    </row>
    <row r="359" spans="1:6" x14ac:dyDescent="0.2">
      <c r="A359">
        <v>2015</v>
      </c>
      <c r="B359" s="13">
        <v>8414</v>
      </c>
      <c r="C359" s="90" t="e">
        <f>VLOOKUP(B359,'All Districts'!$A$3:$B$874,2,FALSE)</f>
        <v>#N/A</v>
      </c>
      <c r="D359" s="16">
        <v>35498</v>
      </c>
      <c r="E359" t="e">
        <f>VLOOKUP(C359,'All Districts'!$B$3:$C$874,2,FALSE)</f>
        <v>#N/A</v>
      </c>
      <c r="F359" s="91">
        <f>COUNTIF($E$2:$E$7106,E359)</f>
        <v>30</v>
      </c>
    </row>
    <row r="360" spans="1:6" x14ac:dyDescent="0.2">
      <c r="A360">
        <v>2015</v>
      </c>
      <c r="B360" s="13">
        <v>8422</v>
      </c>
      <c r="C360" s="90" t="e">
        <f>VLOOKUP(B360,'All Districts'!$A$3:$B$874,2,FALSE)</f>
        <v>#N/A</v>
      </c>
      <c r="D360" s="16">
        <v>323274</v>
      </c>
      <c r="E360" t="e">
        <f>VLOOKUP(C360,'All Districts'!$B$3:$C$874,2,FALSE)</f>
        <v>#N/A</v>
      </c>
      <c r="F360" s="91">
        <f>COUNTIF($E$2:$E$7106,E360)</f>
        <v>30</v>
      </c>
    </row>
    <row r="361" spans="1:6" x14ac:dyDescent="0.2">
      <c r="A361">
        <v>2016</v>
      </c>
      <c r="B361" s="13">
        <v>3470</v>
      </c>
      <c r="C361" s="90" t="e">
        <f>VLOOKUP(B361,'All Districts'!$A$3:$B$874,2,FALSE)</f>
        <v>#N/A</v>
      </c>
      <c r="D361" s="16">
        <v>296777</v>
      </c>
      <c r="E361" t="e">
        <f>VLOOKUP(C361,'All Districts'!$B$3:$C$874,2,FALSE)</f>
        <v>#N/A</v>
      </c>
      <c r="F361" s="91">
        <f>COUNTIF($E$2:$E$7106,E361)</f>
        <v>30</v>
      </c>
    </row>
    <row r="362" spans="1:6" x14ac:dyDescent="0.2">
      <c r="A362">
        <v>2016</v>
      </c>
      <c r="B362" s="13">
        <v>3472</v>
      </c>
      <c r="C362" s="90" t="e">
        <f>VLOOKUP(B362,'All Districts'!$A$3:$B$874,2,FALSE)</f>
        <v>#N/A</v>
      </c>
      <c r="D362" s="16">
        <v>259821</v>
      </c>
      <c r="E362" t="e">
        <f>VLOOKUP(C362,'All Districts'!$B$3:$C$874,2,FALSE)</f>
        <v>#N/A</v>
      </c>
      <c r="F362" s="91">
        <f>COUNTIF($E$2:$E$7106,E362)</f>
        <v>30</v>
      </c>
    </row>
    <row r="363" spans="1:6" x14ac:dyDescent="0.2">
      <c r="A363">
        <v>2016</v>
      </c>
      <c r="B363" s="13">
        <v>4036</v>
      </c>
      <c r="C363" s="90" t="e">
        <f>VLOOKUP(B363,'All Districts'!$A$3:$B$874,2,FALSE)</f>
        <v>#N/A</v>
      </c>
      <c r="D363" s="16">
        <v>759043</v>
      </c>
      <c r="E363" t="e">
        <f>VLOOKUP(C363,'All Districts'!$B$3:$C$874,2,FALSE)</f>
        <v>#N/A</v>
      </c>
      <c r="F363" s="91">
        <f>COUNTIF($E$2:$E$7106,E363)</f>
        <v>30</v>
      </c>
    </row>
    <row r="364" spans="1:6" x14ac:dyDescent="0.2">
      <c r="A364">
        <v>2016</v>
      </c>
      <c r="B364" s="13">
        <v>8405</v>
      </c>
      <c r="C364" s="90" t="e">
        <f>VLOOKUP(B364,'All Districts'!$A$3:$B$874,2,FALSE)</f>
        <v>#N/A</v>
      </c>
      <c r="D364" s="16">
        <v>0</v>
      </c>
      <c r="E364" t="e">
        <f>VLOOKUP(C364,'All Districts'!$B$3:$C$874,2,FALSE)</f>
        <v>#N/A</v>
      </c>
      <c r="F364" s="91">
        <f>COUNTIF($E$2:$E$7106,E364)</f>
        <v>30</v>
      </c>
    </row>
    <row r="365" spans="1:6" x14ac:dyDescent="0.2">
      <c r="A365">
        <v>2016</v>
      </c>
      <c r="B365" s="13">
        <v>8413</v>
      </c>
      <c r="C365" s="90" t="e">
        <f>VLOOKUP(B365,'All Districts'!$A$3:$B$874,2,FALSE)</f>
        <v>#N/A</v>
      </c>
      <c r="D365" s="16">
        <v>92657</v>
      </c>
      <c r="E365" t="e">
        <f>VLOOKUP(C365,'All Districts'!$B$3:$C$874,2,FALSE)</f>
        <v>#N/A</v>
      </c>
      <c r="F365" s="91">
        <f>COUNTIF($E$2:$E$7106,E365)</f>
        <v>30</v>
      </c>
    </row>
    <row r="366" spans="1:6" x14ac:dyDescent="0.2">
      <c r="A366">
        <v>2016</v>
      </c>
      <c r="B366" s="13">
        <v>8414</v>
      </c>
      <c r="C366" s="90" t="e">
        <f>VLOOKUP(B366,'All Districts'!$A$3:$B$874,2,FALSE)</f>
        <v>#N/A</v>
      </c>
      <c r="D366" s="16">
        <v>0</v>
      </c>
      <c r="E366" t="e">
        <f>VLOOKUP(C366,'All Districts'!$B$3:$C$874,2,FALSE)</f>
        <v>#N/A</v>
      </c>
      <c r="F366" s="91">
        <f>COUNTIF($E$2:$E$7106,E366)</f>
        <v>30</v>
      </c>
    </row>
    <row r="367" spans="1:6" x14ac:dyDescent="0.2">
      <c r="A367">
        <v>2016</v>
      </c>
      <c r="B367" s="13">
        <v>8417</v>
      </c>
      <c r="C367" s="90" t="e">
        <f>VLOOKUP(B367,'All Districts'!$A$3:$B$874,2,FALSE)</f>
        <v>#N/A</v>
      </c>
      <c r="D367" s="16">
        <v>0</v>
      </c>
      <c r="E367" t="e">
        <f>VLOOKUP(C367,'All Districts'!$B$3:$C$874,2,FALSE)</f>
        <v>#N/A</v>
      </c>
      <c r="F367" s="91">
        <f>COUNTIF($E$2:$E$7106,E367)</f>
        <v>30</v>
      </c>
    </row>
    <row r="368" spans="1:6" x14ac:dyDescent="0.2">
      <c r="A368">
        <v>2016</v>
      </c>
      <c r="B368" s="13">
        <v>8422</v>
      </c>
      <c r="C368" s="90" t="e">
        <f>VLOOKUP(B368,'All Districts'!$A$3:$B$874,2,FALSE)</f>
        <v>#N/A</v>
      </c>
      <c r="D368" s="16">
        <v>266186</v>
      </c>
      <c r="E368" t="e">
        <f>VLOOKUP(C368,'All Districts'!$B$3:$C$874,2,FALSE)</f>
        <v>#N/A</v>
      </c>
      <c r="F368" s="91">
        <f>COUNTIF($E$2:$E$7106,E368)</f>
        <v>30</v>
      </c>
    </row>
    <row r="369" spans="1:6" x14ac:dyDescent="0.2">
      <c r="A369">
        <v>2017</v>
      </c>
      <c r="B369" s="13">
        <v>3470</v>
      </c>
      <c r="C369" s="90" t="e">
        <f>VLOOKUP(B369,'All Districts'!$A$3:$B$874,2,FALSE)</f>
        <v>#N/A</v>
      </c>
      <c r="D369" s="16">
        <v>277981</v>
      </c>
      <c r="E369" t="e">
        <f>VLOOKUP(C369,'All Districts'!$B$3:$C$874,2,FALSE)</f>
        <v>#N/A</v>
      </c>
      <c r="F369" s="91">
        <f>COUNTIF($E$2:$E$7106,E369)</f>
        <v>30</v>
      </c>
    </row>
    <row r="370" spans="1:6" x14ac:dyDescent="0.2">
      <c r="A370">
        <v>2017</v>
      </c>
      <c r="B370" s="13">
        <v>3472</v>
      </c>
      <c r="C370" s="90" t="e">
        <f>VLOOKUP(B370,'All Districts'!$A$3:$B$874,2,FALSE)</f>
        <v>#N/A</v>
      </c>
      <c r="D370" s="16">
        <v>227740</v>
      </c>
      <c r="E370" t="e">
        <f>VLOOKUP(C370,'All Districts'!$B$3:$C$874,2,FALSE)</f>
        <v>#N/A</v>
      </c>
      <c r="F370" s="91">
        <f>COUNTIF($E$2:$E$7106,E370)</f>
        <v>30</v>
      </c>
    </row>
    <row r="371" spans="1:6" x14ac:dyDescent="0.2">
      <c r="A371">
        <v>2017</v>
      </c>
      <c r="B371" s="13">
        <v>4036</v>
      </c>
      <c r="C371" s="90" t="e">
        <f>VLOOKUP(B371,'All Districts'!$A$3:$B$874,2,FALSE)</f>
        <v>#N/A</v>
      </c>
      <c r="D371" s="16">
        <v>670136</v>
      </c>
      <c r="E371" t="e">
        <f>VLOOKUP(C371,'All Districts'!$B$3:$C$874,2,FALSE)</f>
        <v>#N/A</v>
      </c>
      <c r="F371" s="91">
        <f>COUNTIF($E$2:$E$7106,E371)</f>
        <v>30</v>
      </c>
    </row>
    <row r="372" spans="1:6" x14ac:dyDescent="0.2">
      <c r="A372">
        <v>2017</v>
      </c>
      <c r="B372" s="13">
        <v>8422</v>
      </c>
      <c r="C372" s="90" t="e">
        <f>VLOOKUP(B372,'All Districts'!$A$3:$B$874,2,FALSE)</f>
        <v>#N/A</v>
      </c>
      <c r="D372" s="16">
        <v>262913</v>
      </c>
      <c r="E372" t="e">
        <f>VLOOKUP(C372,'All Districts'!$B$3:$C$874,2,FALSE)</f>
        <v>#N/A</v>
      </c>
      <c r="F372" s="91">
        <f>COUNTIF($E$2:$E$7106,E372)</f>
        <v>30</v>
      </c>
    </row>
    <row r="373" spans="1:6" x14ac:dyDescent="0.2">
      <c r="A373" s="10">
        <v>2018</v>
      </c>
      <c r="B373" s="13">
        <v>3470</v>
      </c>
      <c r="C373" s="90" t="e">
        <f>VLOOKUP(B373,'All Districts'!$A$3:$B$874,2,FALSE)</f>
        <v>#N/A</v>
      </c>
      <c r="D373" s="15">
        <v>249937</v>
      </c>
      <c r="E373" t="e">
        <f>VLOOKUP(C373,'All Districts'!$B$3:$C$874,2,FALSE)</f>
        <v>#N/A</v>
      </c>
      <c r="F373" s="91">
        <f>COUNTIF($E$2:$E$7106,E373)</f>
        <v>30</v>
      </c>
    </row>
    <row r="374" spans="1:6" x14ac:dyDescent="0.2">
      <c r="A374" s="10">
        <v>2018</v>
      </c>
      <c r="B374" s="13">
        <v>3472</v>
      </c>
      <c r="C374" s="90" t="e">
        <f>VLOOKUP(B374,'All Districts'!$A$3:$B$874,2,FALSE)</f>
        <v>#N/A</v>
      </c>
      <c r="D374" s="15">
        <v>199096</v>
      </c>
      <c r="E374" t="e">
        <f>VLOOKUP(C374,'All Districts'!$B$3:$C$874,2,FALSE)</f>
        <v>#N/A</v>
      </c>
      <c r="F374" s="91">
        <f>COUNTIF($E$2:$E$7106,E374)</f>
        <v>30</v>
      </c>
    </row>
    <row r="375" spans="1:6" x14ac:dyDescent="0.2">
      <c r="A375" s="10">
        <v>2018</v>
      </c>
      <c r="B375" s="13">
        <v>4036</v>
      </c>
      <c r="C375" s="90" t="e">
        <f>VLOOKUP(B375,'All Districts'!$A$3:$B$874,2,FALSE)</f>
        <v>#N/A</v>
      </c>
      <c r="D375" s="15">
        <v>542000</v>
      </c>
      <c r="E375" t="e">
        <f>VLOOKUP(C375,'All Districts'!$B$3:$C$874,2,FALSE)</f>
        <v>#N/A</v>
      </c>
      <c r="F375" s="91">
        <f>COUNTIF($E$2:$E$7106,E375)</f>
        <v>30</v>
      </c>
    </row>
    <row r="376" spans="1:6" x14ac:dyDescent="0.2">
      <c r="A376" s="10">
        <v>2018</v>
      </c>
      <c r="B376" s="13">
        <v>8422</v>
      </c>
      <c r="C376" s="90" t="e">
        <f>VLOOKUP(B376,'All Districts'!$A$3:$B$874,2,FALSE)</f>
        <v>#N/A</v>
      </c>
      <c r="D376" s="15">
        <v>25105</v>
      </c>
      <c r="E376" t="e">
        <f>VLOOKUP(C376,'All Districts'!$B$3:$C$874,2,FALSE)</f>
        <v>#N/A</v>
      </c>
      <c r="F376" s="91">
        <f>COUNTIF($E$2:$E$7106,E376)</f>
        <v>30</v>
      </c>
    </row>
    <row r="377" spans="1:6" x14ac:dyDescent="0.2">
      <c r="A377">
        <v>2019</v>
      </c>
      <c r="B377" s="36">
        <v>3470</v>
      </c>
      <c r="C377" s="90" t="e">
        <f>VLOOKUP(B377,'All Districts'!$A$3:$B$874,2,FALSE)</f>
        <v>#N/A</v>
      </c>
      <c r="D377" s="40">
        <v>284815</v>
      </c>
      <c r="E377" t="e">
        <f>VLOOKUP(C377,'All Districts'!$B$3:$C$874,2,FALSE)</f>
        <v>#N/A</v>
      </c>
      <c r="F377" s="91">
        <f>COUNTIF($E$2:$E$7106,E377)</f>
        <v>30</v>
      </c>
    </row>
    <row r="378" spans="1:6" x14ac:dyDescent="0.2">
      <c r="A378">
        <v>2019</v>
      </c>
      <c r="B378" s="36">
        <v>3472</v>
      </c>
      <c r="C378" s="90" t="e">
        <f>VLOOKUP(B378,'All Districts'!$A$3:$B$874,2,FALSE)</f>
        <v>#N/A</v>
      </c>
      <c r="D378" s="40">
        <v>203549</v>
      </c>
      <c r="E378" t="e">
        <f>VLOOKUP(C378,'All Districts'!$B$3:$C$874,2,FALSE)</f>
        <v>#N/A</v>
      </c>
      <c r="F378" s="91">
        <f>COUNTIF($E$2:$E$7106,E378)</f>
        <v>30</v>
      </c>
    </row>
    <row r="379" spans="1:6" x14ac:dyDescent="0.2">
      <c r="A379">
        <v>2019</v>
      </c>
      <c r="B379" s="36">
        <v>4036</v>
      </c>
      <c r="C379" s="90" t="e">
        <f>VLOOKUP(B379,'All Districts'!$A$3:$B$874,2,FALSE)</f>
        <v>#N/A</v>
      </c>
      <c r="D379" s="40">
        <v>577676</v>
      </c>
      <c r="E379" t="e">
        <f>VLOOKUP(C379,'All Districts'!$B$3:$C$874,2,FALSE)</f>
        <v>#N/A</v>
      </c>
      <c r="F379" s="91">
        <f>COUNTIF($E$2:$E$7106,E379)</f>
        <v>30</v>
      </c>
    </row>
    <row r="380" spans="1:6" x14ac:dyDescent="0.2">
      <c r="A380">
        <v>2020</v>
      </c>
      <c r="B380" s="36">
        <v>4036</v>
      </c>
      <c r="C380" s="90" t="e">
        <f>VLOOKUP(B380,'All Districts'!$A$3:$B$874,2,FALSE)</f>
        <v>#N/A</v>
      </c>
      <c r="D380" s="40">
        <v>483171</v>
      </c>
      <c r="E380" t="e">
        <f>VLOOKUP(C380,'All Districts'!$B$3:$C$874,2,FALSE)</f>
        <v>#N/A</v>
      </c>
      <c r="F380" s="91">
        <f>COUNTIF($E$2:$E$7106,E380)</f>
        <v>30</v>
      </c>
    </row>
    <row r="381" spans="1:6" x14ac:dyDescent="0.2">
      <c r="A381" s="10">
        <v>2021</v>
      </c>
      <c r="B381" s="52">
        <v>4036</v>
      </c>
      <c r="C381" s="90" t="e">
        <f>VLOOKUP(B381,'All Districts'!$A$3:$B$874,2,FALSE)</f>
        <v>#N/A</v>
      </c>
      <c r="D381" s="76">
        <v>518218</v>
      </c>
      <c r="E381" t="e">
        <f>VLOOKUP(C381,'All Districts'!$B$3:$C$874,2,FALSE)</f>
        <v>#N/A</v>
      </c>
      <c r="F381" s="91">
        <f>COUNTIF($E$2:$E$7106,E381)</f>
        <v>30</v>
      </c>
    </row>
    <row r="382" spans="1:6" x14ac:dyDescent="0.2">
      <c r="A382">
        <v>2022</v>
      </c>
      <c r="B382" s="36">
        <v>4036</v>
      </c>
      <c r="C382" s="90" t="e">
        <f>VLOOKUP(B382,'All Districts'!$A$3:$B$874,2,FALSE)</f>
        <v>#N/A</v>
      </c>
      <c r="D382" s="82">
        <v>558587</v>
      </c>
      <c r="E382" t="e">
        <f>VLOOKUP(C382,'All Districts'!$B$3:$C$874,2,FALSE)</f>
        <v>#N/A</v>
      </c>
      <c r="F382" s="91">
        <f>COUNTIF($E$2:$E$7106,E382)</f>
        <v>30</v>
      </c>
    </row>
    <row r="383" spans="1:6" x14ac:dyDescent="0.2">
      <c r="A383">
        <v>2023</v>
      </c>
      <c r="B383" s="36">
        <v>4036</v>
      </c>
      <c r="C383" s="90" t="e">
        <f>VLOOKUP(B383,'All Districts'!$A$3:$B$874,2,FALSE)</f>
        <v>#N/A</v>
      </c>
      <c r="D383" s="40">
        <v>614621</v>
      </c>
      <c r="E383" t="e">
        <f>VLOOKUP(C383,'All Districts'!$B$3:$C$874,2,FALSE)</f>
        <v>#N/A</v>
      </c>
      <c r="F383" s="91">
        <f>COUNTIF($E$2:$E$7106,E383)</f>
        <v>30</v>
      </c>
    </row>
    <row r="384" spans="1:6" x14ac:dyDescent="0.2">
      <c r="A384">
        <v>2015</v>
      </c>
      <c r="B384" s="13">
        <v>2016</v>
      </c>
      <c r="C384" s="90" t="str">
        <f>VLOOKUP(B384,'All Districts'!$A$3:$B$874,2,FALSE)</f>
        <v>Adirondack</v>
      </c>
      <c r="D384" s="14">
        <v>1515358</v>
      </c>
      <c r="E384">
        <f>VLOOKUP(C384,'All Districts'!$B$3:$C$874,2,FALSE)</f>
        <v>3605040</v>
      </c>
      <c r="F384" s="91">
        <f>COUNTIF($E$2:$E$7106,E384)</f>
        <v>18</v>
      </c>
    </row>
    <row r="385" spans="1:6" x14ac:dyDescent="0.2">
      <c r="A385">
        <v>2016</v>
      </c>
      <c r="B385" s="13">
        <v>2016</v>
      </c>
      <c r="C385" s="90" t="str">
        <f>VLOOKUP(B385,'All Districts'!$A$3:$B$874,2,FALSE)</f>
        <v>Adirondack</v>
      </c>
      <c r="D385" s="16">
        <v>1161662</v>
      </c>
      <c r="E385">
        <f>VLOOKUP(C385,'All Districts'!$B$3:$C$874,2,FALSE)</f>
        <v>3605040</v>
      </c>
      <c r="F385" s="91">
        <f>COUNTIF($E$2:$E$7106,E385)</f>
        <v>18</v>
      </c>
    </row>
    <row r="386" spans="1:6" x14ac:dyDescent="0.2">
      <c r="A386">
        <v>2017</v>
      </c>
      <c r="B386" s="13">
        <v>2016</v>
      </c>
      <c r="C386" s="90" t="str">
        <f>VLOOKUP(B386,'All Districts'!$A$3:$B$874,2,FALSE)</f>
        <v>Adirondack</v>
      </c>
      <c r="D386" s="16">
        <v>1020351</v>
      </c>
      <c r="E386">
        <f>VLOOKUP(C386,'All Districts'!$B$3:$C$874,2,FALSE)</f>
        <v>3605040</v>
      </c>
      <c r="F386" s="91">
        <f>COUNTIF($E$2:$E$7106,E386)</f>
        <v>18</v>
      </c>
    </row>
    <row r="387" spans="1:6" x14ac:dyDescent="0.2">
      <c r="A387" s="10">
        <v>2018</v>
      </c>
      <c r="B387" s="13">
        <v>2016</v>
      </c>
      <c r="C387" s="90" t="str">
        <f>VLOOKUP(B387,'All Districts'!$A$3:$B$874,2,FALSE)</f>
        <v>Adirondack</v>
      </c>
      <c r="D387" s="15">
        <v>819866</v>
      </c>
      <c r="E387">
        <f>VLOOKUP(C387,'All Districts'!$B$3:$C$874,2,FALSE)</f>
        <v>3605040</v>
      </c>
      <c r="F387" s="91">
        <f>COUNTIF($E$2:$E$7106,E387)</f>
        <v>18</v>
      </c>
    </row>
    <row r="388" spans="1:6" x14ac:dyDescent="0.2">
      <c r="A388">
        <v>2019</v>
      </c>
      <c r="B388" s="36">
        <v>2016</v>
      </c>
      <c r="C388" s="90" t="str">
        <f>VLOOKUP(B388,'All Districts'!$A$3:$B$874,2,FALSE)</f>
        <v>Adirondack</v>
      </c>
      <c r="D388" s="40">
        <v>934812</v>
      </c>
      <c r="E388">
        <f>VLOOKUP(C388,'All Districts'!$B$3:$C$874,2,FALSE)</f>
        <v>3605040</v>
      </c>
      <c r="F388" s="91">
        <f>COUNTIF($E$2:$E$7106,E388)</f>
        <v>18</v>
      </c>
    </row>
    <row r="389" spans="1:6" x14ac:dyDescent="0.2">
      <c r="A389">
        <v>2020</v>
      </c>
      <c r="B389" s="36">
        <v>2016</v>
      </c>
      <c r="C389" s="90" t="str">
        <f>VLOOKUP(B389,'All Districts'!$A$3:$B$874,2,FALSE)</f>
        <v>Adirondack</v>
      </c>
      <c r="D389" s="40">
        <v>768453</v>
      </c>
      <c r="E389">
        <f>VLOOKUP(C389,'All Districts'!$B$3:$C$874,2,FALSE)</f>
        <v>3605040</v>
      </c>
      <c r="F389" s="91">
        <f>COUNTIF($E$2:$E$7106,E389)</f>
        <v>18</v>
      </c>
    </row>
    <row r="390" spans="1:6" x14ac:dyDescent="0.2">
      <c r="A390" s="10">
        <v>2021</v>
      </c>
      <c r="B390" s="52">
        <v>2016</v>
      </c>
      <c r="C390" s="90" t="str">
        <f>VLOOKUP(B390,'All Districts'!$A$3:$B$874,2,FALSE)</f>
        <v>Adirondack</v>
      </c>
      <c r="D390" s="75">
        <v>798123</v>
      </c>
      <c r="E390">
        <f>VLOOKUP(C390,'All Districts'!$B$3:$C$874,2,FALSE)</f>
        <v>3605040</v>
      </c>
      <c r="F390" s="91">
        <f>COUNTIF($E$2:$E$7106,E390)</f>
        <v>18</v>
      </c>
    </row>
    <row r="391" spans="1:6" x14ac:dyDescent="0.2">
      <c r="A391">
        <v>2022</v>
      </c>
      <c r="B391" s="36">
        <v>2016</v>
      </c>
      <c r="C391" s="90" t="str">
        <f>VLOOKUP(B391,'All Districts'!$A$3:$B$874,2,FALSE)</f>
        <v>Adirondack</v>
      </c>
      <c r="D391" s="82">
        <v>880113</v>
      </c>
      <c r="E391">
        <f>VLOOKUP(C391,'All Districts'!$B$3:$C$874,2,FALSE)</f>
        <v>3605040</v>
      </c>
      <c r="F391" s="91">
        <f>COUNTIF($E$2:$E$7106,E391)</f>
        <v>18</v>
      </c>
    </row>
    <row r="392" spans="1:6" x14ac:dyDescent="0.2">
      <c r="A392">
        <v>2023</v>
      </c>
      <c r="B392" s="36">
        <v>2016</v>
      </c>
      <c r="C392" s="90" t="str">
        <f>VLOOKUP(B392,'All Districts'!$A$3:$B$874,2,FALSE)</f>
        <v>Adirondack</v>
      </c>
      <c r="D392" s="40">
        <v>953871</v>
      </c>
      <c r="E392">
        <f>VLOOKUP(C392,'All Districts'!$B$3:$C$874,2,FALSE)</f>
        <v>3605040</v>
      </c>
      <c r="F392" s="91">
        <f>COUNTIF($E$2:$E$7106,E392)</f>
        <v>18</v>
      </c>
    </row>
    <row r="393" spans="1:6" x14ac:dyDescent="0.2">
      <c r="A393">
        <v>2015</v>
      </c>
      <c r="B393" s="13">
        <v>8102</v>
      </c>
      <c r="C393" s="90" t="str">
        <f>VLOOKUP(B393,'All Districts'!$A$3:$B$874,2,FALSE)</f>
        <v>Adirondack</v>
      </c>
      <c r="D393" s="15">
        <v>541599</v>
      </c>
      <c r="E393">
        <f>VLOOKUP(C393,'All Districts'!$B$3:$C$874,2,FALSE)</f>
        <v>3605040</v>
      </c>
      <c r="F393" s="91">
        <f>COUNTIF($E$2:$E$7106,E393)</f>
        <v>18</v>
      </c>
    </row>
    <row r="394" spans="1:6" x14ac:dyDescent="0.2">
      <c r="A394">
        <v>2016</v>
      </c>
      <c r="B394" s="13">
        <v>8102</v>
      </c>
      <c r="C394" s="90" t="str">
        <f>VLOOKUP(B394,'All Districts'!$A$3:$B$874,2,FALSE)</f>
        <v>Adirondack</v>
      </c>
      <c r="D394" s="16">
        <v>424339</v>
      </c>
      <c r="E394">
        <f>VLOOKUP(C394,'All Districts'!$B$3:$C$874,2,FALSE)</f>
        <v>3605040</v>
      </c>
      <c r="F394" s="91">
        <f>COUNTIF($E$2:$E$7106,E394)</f>
        <v>18</v>
      </c>
    </row>
    <row r="395" spans="1:6" x14ac:dyDescent="0.2">
      <c r="A395">
        <v>2017</v>
      </c>
      <c r="B395" s="13">
        <v>8102</v>
      </c>
      <c r="C395" s="90" t="str">
        <f>VLOOKUP(B395,'All Districts'!$A$3:$B$874,2,FALSE)</f>
        <v>Adirondack</v>
      </c>
      <c r="D395" s="16">
        <v>412040</v>
      </c>
      <c r="E395">
        <f>VLOOKUP(C395,'All Districts'!$B$3:$C$874,2,FALSE)</f>
        <v>3605040</v>
      </c>
      <c r="F395" s="91">
        <f>COUNTIF($E$2:$E$7106,E395)</f>
        <v>18</v>
      </c>
    </row>
    <row r="396" spans="1:6" x14ac:dyDescent="0.2">
      <c r="A396" s="10">
        <v>2018</v>
      </c>
      <c r="B396" s="13">
        <v>8102</v>
      </c>
      <c r="C396" s="90" t="str">
        <f>VLOOKUP(B396,'All Districts'!$A$3:$B$874,2,FALSE)</f>
        <v>Adirondack</v>
      </c>
      <c r="D396" s="15">
        <v>338326</v>
      </c>
      <c r="E396">
        <f>VLOOKUP(C396,'All Districts'!$B$3:$C$874,2,FALSE)</f>
        <v>3605040</v>
      </c>
      <c r="F396" s="91">
        <f>COUNTIF($E$2:$E$7106,E396)</f>
        <v>18</v>
      </c>
    </row>
    <row r="397" spans="1:6" x14ac:dyDescent="0.2">
      <c r="A397">
        <v>2019</v>
      </c>
      <c r="B397" s="36">
        <v>8102</v>
      </c>
      <c r="C397" s="90" t="str">
        <f>VLOOKUP(B397,'All Districts'!$A$3:$B$874,2,FALSE)</f>
        <v>Adirondack</v>
      </c>
      <c r="D397" s="40">
        <v>376287</v>
      </c>
      <c r="E397">
        <f>VLOOKUP(C397,'All Districts'!$B$3:$C$874,2,FALSE)</f>
        <v>3605040</v>
      </c>
      <c r="F397" s="91">
        <f>COUNTIF($E$2:$E$7106,E397)</f>
        <v>18</v>
      </c>
    </row>
    <row r="398" spans="1:6" x14ac:dyDescent="0.2">
      <c r="A398">
        <v>2020</v>
      </c>
      <c r="B398" s="36">
        <v>8102</v>
      </c>
      <c r="C398" s="90" t="str">
        <f>VLOOKUP(B398,'All Districts'!$A$3:$B$874,2,FALSE)</f>
        <v>Adirondack</v>
      </c>
      <c r="D398" s="40">
        <v>321296</v>
      </c>
      <c r="E398">
        <f>VLOOKUP(C398,'All Districts'!$B$3:$C$874,2,FALSE)</f>
        <v>3605040</v>
      </c>
      <c r="F398" s="91">
        <f>COUNTIF($E$2:$E$7106,E398)</f>
        <v>18</v>
      </c>
    </row>
    <row r="399" spans="1:6" x14ac:dyDescent="0.2">
      <c r="A399" s="10">
        <v>2021</v>
      </c>
      <c r="B399" s="55">
        <v>8102</v>
      </c>
      <c r="C399" s="90" t="str">
        <f>VLOOKUP(B399,'All Districts'!$A$3:$B$874,2,FALSE)</f>
        <v>Adirondack</v>
      </c>
      <c r="D399" s="80">
        <v>332543</v>
      </c>
      <c r="E399">
        <f>VLOOKUP(C399,'All Districts'!$B$3:$C$874,2,FALSE)</f>
        <v>3605040</v>
      </c>
      <c r="F399" s="91">
        <f>COUNTIF($E$2:$E$7106,E399)</f>
        <v>18</v>
      </c>
    </row>
    <row r="400" spans="1:6" x14ac:dyDescent="0.2">
      <c r="A400">
        <v>2022</v>
      </c>
      <c r="B400" s="36">
        <v>8102</v>
      </c>
      <c r="C400" s="90" t="str">
        <f>VLOOKUP(B400,'All Districts'!$A$3:$B$874,2,FALSE)</f>
        <v>Adirondack</v>
      </c>
      <c r="D400" s="82">
        <v>319791</v>
      </c>
      <c r="E400">
        <f>VLOOKUP(C400,'All Districts'!$B$3:$C$874,2,FALSE)</f>
        <v>3605040</v>
      </c>
      <c r="F400" s="91">
        <f>COUNTIF($E$2:$E$7106,E400)</f>
        <v>18</v>
      </c>
    </row>
    <row r="401" spans="1:6" x14ac:dyDescent="0.2">
      <c r="A401">
        <v>2023</v>
      </c>
      <c r="B401" s="36">
        <v>8102</v>
      </c>
      <c r="C401" s="90" t="str">
        <f>VLOOKUP(B401,'All Districts'!$A$3:$B$874,2,FALSE)</f>
        <v>Adirondack</v>
      </c>
      <c r="D401" s="40">
        <v>357614</v>
      </c>
      <c r="E401">
        <f>VLOOKUP(C401,'All Districts'!$B$3:$C$874,2,FALSE)</f>
        <v>3605040</v>
      </c>
      <c r="F401" s="91">
        <f>COUNTIF($E$2:$E$7106,E401)</f>
        <v>18</v>
      </c>
    </row>
    <row r="402" spans="1:6" x14ac:dyDescent="0.2">
      <c r="A402">
        <v>2015</v>
      </c>
      <c r="B402" s="13">
        <v>2077</v>
      </c>
      <c r="C402" s="90" t="str">
        <f>VLOOKUP(B402,'All Districts'!$A$3:$B$874,2,FALSE)</f>
        <v>Clinton</v>
      </c>
      <c r="D402" s="14">
        <v>1393730</v>
      </c>
      <c r="E402">
        <f>VLOOKUP(C402,'All Districts'!$B$3:$C$874,2,FALSE)</f>
        <v>3607770</v>
      </c>
      <c r="F402" s="91">
        <f>COUNTIF($E$2:$E$7106,E402)</f>
        <v>18</v>
      </c>
    </row>
    <row r="403" spans="1:6" x14ac:dyDescent="0.2">
      <c r="A403">
        <v>2016</v>
      </c>
      <c r="B403" s="13">
        <v>2077</v>
      </c>
      <c r="C403" s="90" t="str">
        <f>VLOOKUP(B403,'All Districts'!$A$3:$B$874,2,FALSE)</f>
        <v>Clinton</v>
      </c>
      <c r="D403" s="16">
        <v>1082555</v>
      </c>
      <c r="E403">
        <f>VLOOKUP(C403,'All Districts'!$B$3:$C$874,2,FALSE)</f>
        <v>3607770</v>
      </c>
      <c r="F403" s="91">
        <f>COUNTIF($E$2:$E$7106,E403)</f>
        <v>18</v>
      </c>
    </row>
    <row r="404" spans="1:6" x14ac:dyDescent="0.2">
      <c r="A404">
        <v>2017</v>
      </c>
      <c r="B404" s="13">
        <v>2077</v>
      </c>
      <c r="C404" s="90" t="str">
        <f>VLOOKUP(B404,'All Districts'!$A$3:$B$874,2,FALSE)</f>
        <v>Clinton</v>
      </c>
      <c r="D404" s="16">
        <v>1016180</v>
      </c>
      <c r="E404">
        <f>VLOOKUP(C404,'All Districts'!$B$3:$C$874,2,FALSE)</f>
        <v>3607770</v>
      </c>
      <c r="F404" s="91">
        <f>COUNTIF($E$2:$E$7106,E404)</f>
        <v>18</v>
      </c>
    </row>
    <row r="405" spans="1:6" x14ac:dyDescent="0.2">
      <c r="A405" s="10">
        <v>2018</v>
      </c>
      <c r="B405" s="13">
        <v>2077</v>
      </c>
      <c r="C405" s="90" t="str">
        <f>VLOOKUP(B405,'All Districts'!$A$3:$B$874,2,FALSE)</f>
        <v>Clinton</v>
      </c>
      <c r="D405" s="15">
        <v>877391</v>
      </c>
      <c r="E405">
        <f>VLOOKUP(C405,'All Districts'!$B$3:$C$874,2,FALSE)</f>
        <v>3607770</v>
      </c>
      <c r="F405" s="91">
        <f>COUNTIF($E$2:$E$7106,E405)</f>
        <v>18</v>
      </c>
    </row>
    <row r="406" spans="1:6" x14ac:dyDescent="0.2">
      <c r="A406">
        <v>2019</v>
      </c>
      <c r="B406" s="36">
        <v>2077</v>
      </c>
      <c r="C406" s="90" t="str">
        <f>VLOOKUP(B406,'All Districts'!$A$3:$B$874,2,FALSE)</f>
        <v>Clinton</v>
      </c>
      <c r="D406" s="40">
        <v>983804</v>
      </c>
      <c r="E406">
        <f>VLOOKUP(C406,'All Districts'!$B$3:$C$874,2,FALSE)</f>
        <v>3607770</v>
      </c>
      <c r="F406" s="91">
        <f>COUNTIF($E$2:$E$7106,E406)</f>
        <v>18</v>
      </c>
    </row>
    <row r="407" spans="1:6" x14ac:dyDescent="0.2">
      <c r="A407">
        <v>2020</v>
      </c>
      <c r="B407" s="36">
        <v>2077</v>
      </c>
      <c r="C407" s="90" t="str">
        <f>VLOOKUP(B407,'All Districts'!$A$3:$B$874,2,FALSE)</f>
        <v>Clinton</v>
      </c>
      <c r="D407" s="40">
        <v>840286</v>
      </c>
      <c r="E407">
        <f>VLOOKUP(C407,'All Districts'!$B$3:$C$874,2,FALSE)</f>
        <v>3607770</v>
      </c>
      <c r="F407" s="91">
        <f>COUNTIF($E$2:$E$7106,E407)</f>
        <v>18</v>
      </c>
    </row>
    <row r="408" spans="1:6" x14ac:dyDescent="0.2">
      <c r="A408" s="10">
        <v>2021</v>
      </c>
      <c r="B408" s="52">
        <v>2077</v>
      </c>
      <c r="C408" s="90" t="str">
        <f>VLOOKUP(B408,'All Districts'!$A$3:$B$874,2,FALSE)</f>
        <v>Clinton</v>
      </c>
      <c r="D408" s="75">
        <v>934072</v>
      </c>
      <c r="E408">
        <f>VLOOKUP(C408,'All Districts'!$B$3:$C$874,2,FALSE)</f>
        <v>3607770</v>
      </c>
      <c r="F408" s="91">
        <f>COUNTIF($E$2:$E$7106,E408)</f>
        <v>18</v>
      </c>
    </row>
    <row r="409" spans="1:6" x14ac:dyDescent="0.2">
      <c r="A409">
        <v>2022</v>
      </c>
      <c r="B409" s="36">
        <v>2077</v>
      </c>
      <c r="C409" s="90" t="str">
        <f>VLOOKUP(B409,'All Districts'!$A$3:$B$874,2,FALSE)</f>
        <v>Clinton</v>
      </c>
      <c r="D409" s="82">
        <v>1006911</v>
      </c>
      <c r="E409">
        <f>VLOOKUP(C409,'All Districts'!$B$3:$C$874,2,FALSE)</f>
        <v>3607770</v>
      </c>
      <c r="F409" s="91">
        <f>COUNTIF($E$2:$E$7106,E409)</f>
        <v>18</v>
      </c>
    </row>
    <row r="410" spans="1:6" x14ac:dyDescent="0.2">
      <c r="A410">
        <v>2023</v>
      </c>
      <c r="B410" s="36">
        <v>2077</v>
      </c>
      <c r="C410" s="90" t="str">
        <f>VLOOKUP(B410,'All Districts'!$A$3:$B$874,2,FALSE)</f>
        <v>Clinton</v>
      </c>
      <c r="D410" s="40">
        <v>1089483</v>
      </c>
      <c r="E410">
        <f>VLOOKUP(C410,'All Districts'!$B$3:$C$874,2,FALSE)</f>
        <v>3607770</v>
      </c>
      <c r="F410" s="91">
        <f>COUNTIF($E$2:$E$7106,E410)</f>
        <v>18</v>
      </c>
    </row>
    <row r="411" spans="1:6" x14ac:dyDescent="0.2">
      <c r="A411">
        <v>2015</v>
      </c>
      <c r="B411" s="13">
        <v>8112</v>
      </c>
      <c r="C411" s="90" t="str">
        <f>VLOOKUP(B411,'All Districts'!$A$3:$B$874,2,FALSE)</f>
        <v>Clinton</v>
      </c>
      <c r="D411" s="15">
        <v>282552</v>
      </c>
      <c r="E411">
        <f>VLOOKUP(C411,'All Districts'!$B$3:$C$874,2,FALSE)</f>
        <v>3607770</v>
      </c>
      <c r="F411" s="91">
        <f>COUNTIF($E$2:$E$7106,E411)</f>
        <v>18</v>
      </c>
    </row>
    <row r="412" spans="1:6" x14ac:dyDescent="0.2">
      <c r="A412">
        <v>2016</v>
      </c>
      <c r="B412" s="13">
        <v>8112</v>
      </c>
      <c r="C412" s="90" t="str">
        <f>VLOOKUP(B412,'All Districts'!$A$3:$B$874,2,FALSE)</f>
        <v>Clinton</v>
      </c>
      <c r="D412" s="16">
        <v>201614</v>
      </c>
      <c r="E412">
        <f>VLOOKUP(C412,'All Districts'!$B$3:$C$874,2,FALSE)</f>
        <v>3607770</v>
      </c>
      <c r="F412" s="91">
        <f>COUNTIF($E$2:$E$7106,E412)</f>
        <v>18</v>
      </c>
    </row>
    <row r="413" spans="1:6" x14ac:dyDescent="0.2">
      <c r="A413">
        <v>2017</v>
      </c>
      <c r="B413" s="13">
        <v>8112</v>
      </c>
      <c r="C413" s="90" t="str">
        <f>VLOOKUP(B413,'All Districts'!$A$3:$B$874,2,FALSE)</f>
        <v>Clinton</v>
      </c>
      <c r="D413" s="16">
        <v>173627</v>
      </c>
      <c r="E413">
        <f>VLOOKUP(C413,'All Districts'!$B$3:$C$874,2,FALSE)</f>
        <v>3607770</v>
      </c>
      <c r="F413" s="91">
        <f>COUNTIF($E$2:$E$7106,E413)</f>
        <v>18</v>
      </c>
    </row>
    <row r="414" spans="1:6" x14ac:dyDescent="0.2">
      <c r="A414" s="10">
        <v>2018</v>
      </c>
      <c r="B414" s="13">
        <v>8112</v>
      </c>
      <c r="C414" s="90" t="str">
        <f>VLOOKUP(B414,'All Districts'!$A$3:$B$874,2,FALSE)</f>
        <v>Clinton</v>
      </c>
      <c r="D414" s="15">
        <v>133679</v>
      </c>
      <c r="E414">
        <f>VLOOKUP(C414,'All Districts'!$B$3:$C$874,2,FALSE)</f>
        <v>3607770</v>
      </c>
      <c r="F414" s="91">
        <f>COUNTIF($E$2:$E$7106,E414)</f>
        <v>18</v>
      </c>
    </row>
    <row r="415" spans="1:6" x14ac:dyDescent="0.2">
      <c r="A415">
        <v>2019</v>
      </c>
      <c r="B415" s="36">
        <v>8112</v>
      </c>
      <c r="C415" s="90" t="str">
        <f>VLOOKUP(B415,'All Districts'!$A$3:$B$874,2,FALSE)</f>
        <v>Clinton</v>
      </c>
      <c r="D415" s="40">
        <v>141632</v>
      </c>
      <c r="E415">
        <f>VLOOKUP(C415,'All Districts'!$B$3:$C$874,2,FALSE)</f>
        <v>3607770</v>
      </c>
      <c r="F415" s="91">
        <f>COUNTIF($E$2:$E$7106,E415)</f>
        <v>18</v>
      </c>
    </row>
    <row r="416" spans="1:6" x14ac:dyDescent="0.2">
      <c r="A416">
        <v>2020</v>
      </c>
      <c r="B416" s="36">
        <v>8112</v>
      </c>
      <c r="C416" s="90" t="str">
        <f>VLOOKUP(B416,'All Districts'!$A$3:$B$874,2,FALSE)</f>
        <v>Clinton</v>
      </c>
      <c r="D416" s="40">
        <v>105102</v>
      </c>
      <c r="E416">
        <f>VLOOKUP(C416,'All Districts'!$B$3:$C$874,2,FALSE)</f>
        <v>3607770</v>
      </c>
      <c r="F416" s="91">
        <f>COUNTIF($E$2:$E$7106,E416)</f>
        <v>18</v>
      </c>
    </row>
    <row r="417" spans="1:6" x14ac:dyDescent="0.2">
      <c r="A417" s="10">
        <v>2021</v>
      </c>
      <c r="B417" s="52">
        <v>8112</v>
      </c>
      <c r="C417" s="90" t="str">
        <f>VLOOKUP(B417,'All Districts'!$A$3:$B$874,2,FALSE)</f>
        <v>Clinton</v>
      </c>
      <c r="D417" s="76">
        <v>92664</v>
      </c>
      <c r="E417">
        <f>VLOOKUP(C417,'All Districts'!$B$3:$C$874,2,FALSE)</f>
        <v>3607770</v>
      </c>
      <c r="F417" s="91">
        <f>COUNTIF($E$2:$E$7106,E417)</f>
        <v>18</v>
      </c>
    </row>
    <row r="418" spans="1:6" x14ac:dyDescent="0.2">
      <c r="A418">
        <v>2022</v>
      </c>
      <c r="B418" s="36">
        <v>8112</v>
      </c>
      <c r="C418" s="90" t="str">
        <f>VLOOKUP(B418,'All Districts'!$A$3:$B$874,2,FALSE)</f>
        <v>Clinton</v>
      </c>
      <c r="D418" s="82">
        <v>95648</v>
      </c>
      <c r="E418">
        <f>VLOOKUP(C418,'All Districts'!$B$3:$C$874,2,FALSE)</f>
        <v>3607770</v>
      </c>
      <c r="F418" s="91">
        <f>COUNTIF($E$2:$E$7106,E418)</f>
        <v>18</v>
      </c>
    </row>
    <row r="419" spans="1:6" x14ac:dyDescent="0.2">
      <c r="A419">
        <v>2023</v>
      </c>
      <c r="B419" s="36">
        <v>8112</v>
      </c>
      <c r="C419" s="90" t="str">
        <f>VLOOKUP(B419,'All Districts'!$A$3:$B$874,2,FALSE)</f>
        <v>Clinton</v>
      </c>
      <c r="D419" s="40">
        <v>81356</v>
      </c>
      <c r="E419">
        <f>VLOOKUP(C419,'All Districts'!$B$3:$C$874,2,FALSE)</f>
        <v>3607770</v>
      </c>
      <c r="F419" s="91">
        <f>COUNTIF($E$2:$E$7106,E419)</f>
        <v>18</v>
      </c>
    </row>
    <row r="420" spans="1:6" x14ac:dyDescent="0.2">
      <c r="A420">
        <v>2015</v>
      </c>
      <c r="B420" s="13">
        <v>1110</v>
      </c>
      <c r="C420" s="90" t="str">
        <f>VLOOKUP(B420,'All Districts'!$A$3:$B$874,2,FALSE)</f>
        <v>Jamestown</v>
      </c>
      <c r="D420" s="14">
        <v>5570229</v>
      </c>
      <c r="E420">
        <f>VLOOKUP(C420,'All Districts'!$B$3:$C$874,2,FALSE)</f>
        <v>3615630</v>
      </c>
      <c r="F420" s="91">
        <f>COUNTIF($E$2:$E$7106,E420)</f>
        <v>18</v>
      </c>
    </row>
    <row r="421" spans="1:6" x14ac:dyDescent="0.2">
      <c r="A421">
        <v>2016</v>
      </c>
      <c r="B421" s="13">
        <v>1110</v>
      </c>
      <c r="C421" s="90" t="str">
        <f>VLOOKUP(B421,'All Districts'!$A$3:$B$874,2,FALSE)</f>
        <v>Jamestown</v>
      </c>
      <c r="D421" s="16">
        <v>4073739</v>
      </c>
      <c r="E421">
        <f>VLOOKUP(C421,'All Districts'!$B$3:$C$874,2,FALSE)</f>
        <v>3615630</v>
      </c>
      <c r="F421" s="91">
        <f>COUNTIF($E$2:$E$7106,E421)</f>
        <v>18</v>
      </c>
    </row>
    <row r="422" spans="1:6" x14ac:dyDescent="0.2">
      <c r="A422">
        <v>2017</v>
      </c>
      <c r="B422" s="13">
        <v>1110</v>
      </c>
      <c r="C422" s="90" t="str">
        <f>VLOOKUP(B422,'All Districts'!$A$3:$B$874,2,FALSE)</f>
        <v>Jamestown</v>
      </c>
      <c r="D422" s="16">
        <v>3702919</v>
      </c>
      <c r="E422">
        <f>VLOOKUP(C422,'All Districts'!$B$3:$C$874,2,FALSE)</f>
        <v>3615630</v>
      </c>
      <c r="F422" s="91">
        <f>COUNTIF($E$2:$E$7106,E422)</f>
        <v>18</v>
      </c>
    </row>
    <row r="423" spans="1:6" x14ac:dyDescent="0.2">
      <c r="A423" s="10">
        <v>2018</v>
      </c>
      <c r="B423" s="13">
        <v>1110</v>
      </c>
      <c r="C423" s="90" t="str">
        <f>VLOOKUP(B423,'All Districts'!$A$3:$B$874,2,FALSE)</f>
        <v>Jamestown</v>
      </c>
      <c r="D423" s="15">
        <v>3198086</v>
      </c>
      <c r="E423">
        <f>VLOOKUP(C423,'All Districts'!$B$3:$C$874,2,FALSE)</f>
        <v>3615630</v>
      </c>
      <c r="F423" s="91">
        <f>COUNTIF($E$2:$E$7106,E423)</f>
        <v>18</v>
      </c>
    </row>
    <row r="424" spans="1:6" x14ac:dyDescent="0.2">
      <c r="A424">
        <v>2019</v>
      </c>
      <c r="B424" s="36">
        <v>1110</v>
      </c>
      <c r="C424" s="90" t="str">
        <f>VLOOKUP(B424,'All Districts'!$A$3:$B$874,2,FALSE)</f>
        <v>Jamestown</v>
      </c>
      <c r="D424" s="40">
        <v>3560079</v>
      </c>
      <c r="E424">
        <f>VLOOKUP(C424,'All Districts'!$B$3:$C$874,2,FALSE)</f>
        <v>3615630</v>
      </c>
      <c r="F424" s="91">
        <f>COUNTIF($E$2:$E$7106,E424)</f>
        <v>18</v>
      </c>
    </row>
    <row r="425" spans="1:6" x14ac:dyDescent="0.2">
      <c r="A425">
        <v>2020</v>
      </c>
      <c r="B425" s="36">
        <v>1110</v>
      </c>
      <c r="C425" s="90" t="str">
        <f>VLOOKUP(B425,'All Districts'!$A$3:$B$874,2,FALSE)</f>
        <v>Jamestown</v>
      </c>
      <c r="D425" s="40">
        <v>3006631</v>
      </c>
      <c r="E425">
        <f>VLOOKUP(C425,'All Districts'!$B$3:$C$874,2,FALSE)</f>
        <v>3615630</v>
      </c>
      <c r="F425" s="91">
        <f>COUNTIF($E$2:$E$7106,E425)</f>
        <v>18</v>
      </c>
    </row>
    <row r="426" spans="1:6" x14ac:dyDescent="0.2">
      <c r="A426" s="10">
        <v>2021</v>
      </c>
      <c r="B426" s="52">
        <v>1110</v>
      </c>
      <c r="C426" s="90" t="str">
        <f>VLOOKUP(B426,'All Districts'!$A$3:$B$874,2,FALSE)</f>
        <v>Jamestown</v>
      </c>
      <c r="D426" s="75">
        <v>3166918</v>
      </c>
      <c r="E426">
        <f>VLOOKUP(C426,'All Districts'!$B$3:$C$874,2,FALSE)</f>
        <v>3615630</v>
      </c>
      <c r="F426" s="91">
        <f>COUNTIF($E$2:$E$7106,E426)</f>
        <v>18</v>
      </c>
    </row>
    <row r="427" spans="1:6" x14ac:dyDescent="0.2">
      <c r="A427">
        <v>2022</v>
      </c>
      <c r="B427" s="36">
        <v>1110</v>
      </c>
      <c r="C427" s="90" t="str">
        <f>VLOOKUP(B427,'All Districts'!$A$3:$B$874,2,FALSE)</f>
        <v>Jamestown</v>
      </c>
      <c r="D427" s="82">
        <v>3422089</v>
      </c>
      <c r="E427">
        <f>VLOOKUP(C427,'All Districts'!$B$3:$C$874,2,FALSE)</f>
        <v>3615630</v>
      </c>
      <c r="F427" s="91">
        <f>COUNTIF($E$2:$E$7106,E427)</f>
        <v>18</v>
      </c>
    </row>
    <row r="428" spans="1:6" x14ac:dyDescent="0.2">
      <c r="A428">
        <v>2023</v>
      </c>
      <c r="B428" s="36">
        <v>1110</v>
      </c>
      <c r="C428" s="90" t="str">
        <f>VLOOKUP(B428,'All Districts'!$A$3:$B$874,2,FALSE)</f>
        <v>Jamestown</v>
      </c>
      <c r="D428" s="40">
        <v>3710460</v>
      </c>
      <c r="E428">
        <f>VLOOKUP(C428,'All Districts'!$B$3:$C$874,2,FALSE)</f>
        <v>3615630</v>
      </c>
      <c r="F428" s="91">
        <f>COUNTIF($E$2:$E$7106,E428)</f>
        <v>18</v>
      </c>
    </row>
    <row r="429" spans="1:6" x14ac:dyDescent="0.2">
      <c r="A429">
        <v>2015</v>
      </c>
      <c r="B429" s="13">
        <v>8140</v>
      </c>
      <c r="C429" s="90" t="str">
        <f>VLOOKUP(B429,'All Districts'!$A$3:$B$874,2,FALSE)</f>
        <v>Jamestown</v>
      </c>
      <c r="D429" s="15">
        <v>416563</v>
      </c>
      <c r="E429">
        <f>VLOOKUP(C429,'All Districts'!$B$3:$C$874,2,FALSE)</f>
        <v>3615630</v>
      </c>
      <c r="F429" s="91">
        <f>COUNTIF($E$2:$E$7106,E429)</f>
        <v>18</v>
      </c>
    </row>
    <row r="430" spans="1:6" x14ac:dyDescent="0.2">
      <c r="A430">
        <v>2016</v>
      </c>
      <c r="B430" s="13">
        <v>8140</v>
      </c>
      <c r="C430" s="90" t="str">
        <f>VLOOKUP(B430,'All Districts'!$A$3:$B$874,2,FALSE)</f>
        <v>Jamestown</v>
      </c>
      <c r="D430" s="16">
        <v>319734</v>
      </c>
      <c r="E430">
        <f>VLOOKUP(C430,'All Districts'!$B$3:$C$874,2,FALSE)</f>
        <v>3615630</v>
      </c>
      <c r="F430" s="91">
        <f>COUNTIF($E$2:$E$7106,E430)</f>
        <v>18</v>
      </c>
    </row>
    <row r="431" spans="1:6" x14ac:dyDescent="0.2">
      <c r="A431">
        <v>2017</v>
      </c>
      <c r="B431" s="13">
        <v>8140</v>
      </c>
      <c r="C431" s="90" t="str">
        <f>VLOOKUP(B431,'All Districts'!$A$3:$B$874,2,FALSE)</f>
        <v>Jamestown</v>
      </c>
      <c r="D431" s="16">
        <v>260115</v>
      </c>
      <c r="E431">
        <f>VLOOKUP(C431,'All Districts'!$B$3:$C$874,2,FALSE)</f>
        <v>3615630</v>
      </c>
      <c r="F431" s="91">
        <f>COUNTIF($E$2:$E$7106,E431)</f>
        <v>18</v>
      </c>
    </row>
    <row r="432" spans="1:6" x14ac:dyDescent="0.2">
      <c r="A432" s="10">
        <v>2018</v>
      </c>
      <c r="B432" s="13">
        <v>8140</v>
      </c>
      <c r="C432" s="90" t="str">
        <f>VLOOKUP(B432,'All Districts'!$A$3:$B$874,2,FALSE)</f>
        <v>Jamestown</v>
      </c>
      <c r="D432" s="15">
        <v>235801</v>
      </c>
      <c r="E432">
        <f>VLOOKUP(C432,'All Districts'!$B$3:$C$874,2,FALSE)</f>
        <v>3615630</v>
      </c>
      <c r="F432" s="91">
        <f>COUNTIF($E$2:$E$7106,E432)</f>
        <v>18</v>
      </c>
    </row>
    <row r="433" spans="1:6" x14ac:dyDescent="0.2">
      <c r="A433">
        <v>2019</v>
      </c>
      <c r="B433" s="36">
        <v>8140</v>
      </c>
      <c r="C433" s="90" t="str">
        <f>VLOOKUP(B433,'All Districts'!$A$3:$B$874,2,FALSE)</f>
        <v>Jamestown</v>
      </c>
      <c r="D433" s="40">
        <v>258548</v>
      </c>
      <c r="E433">
        <f>VLOOKUP(C433,'All Districts'!$B$3:$C$874,2,FALSE)</f>
        <v>3615630</v>
      </c>
      <c r="F433" s="91">
        <f>COUNTIF($E$2:$E$7106,E433)</f>
        <v>18</v>
      </c>
    </row>
    <row r="434" spans="1:6" x14ac:dyDescent="0.2">
      <c r="A434">
        <v>2020</v>
      </c>
      <c r="B434" s="36">
        <v>8140</v>
      </c>
      <c r="C434" s="90" t="str">
        <f>VLOOKUP(B434,'All Districts'!$A$3:$B$874,2,FALSE)</f>
        <v>Jamestown</v>
      </c>
      <c r="D434" s="40">
        <v>224916</v>
      </c>
      <c r="E434">
        <f>VLOOKUP(C434,'All Districts'!$B$3:$C$874,2,FALSE)</f>
        <v>3615630</v>
      </c>
      <c r="F434" s="91">
        <f>COUNTIF($E$2:$E$7106,E434)</f>
        <v>18</v>
      </c>
    </row>
    <row r="435" spans="1:6" x14ac:dyDescent="0.2">
      <c r="A435" s="10">
        <v>2021</v>
      </c>
      <c r="B435" s="52">
        <v>8140</v>
      </c>
      <c r="C435" s="90" t="str">
        <f>VLOOKUP(B435,'All Districts'!$A$3:$B$874,2,FALSE)</f>
        <v>Jamestown</v>
      </c>
      <c r="D435" s="75">
        <v>217919</v>
      </c>
      <c r="E435">
        <f>VLOOKUP(C435,'All Districts'!$B$3:$C$874,2,FALSE)</f>
        <v>3615630</v>
      </c>
      <c r="F435" s="91">
        <f>COUNTIF($E$2:$E$7106,E435)</f>
        <v>18</v>
      </c>
    </row>
    <row r="436" spans="1:6" x14ac:dyDescent="0.2">
      <c r="A436">
        <v>2022</v>
      </c>
      <c r="B436" s="36">
        <v>8140</v>
      </c>
      <c r="C436" s="90" t="str">
        <f>VLOOKUP(B436,'All Districts'!$A$3:$B$874,2,FALSE)</f>
        <v>Jamestown</v>
      </c>
      <c r="D436" s="82">
        <v>261654</v>
      </c>
      <c r="E436">
        <f>VLOOKUP(C436,'All Districts'!$B$3:$C$874,2,FALSE)</f>
        <v>3615630</v>
      </c>
      <c r="F436" s="91">
        <f>COUNTIF($E$2:$E$7106,E436)</f>
        <v>18</v>
      </c>
    </row>
    <row r="437" spans="1:6" x14ac:dyDescent="0.2">
      <c r="A437">
        <v>2023</v>
      </c>
      <c r="B437" s="36">
        <v>8140</v>
      </c>
      <c r="C437" s="90" t="str">
        <f>VLOOKUP(B437,'All Districts'!$A$3:$B$874,2,FALSE)</f>
        <v>Jamestown</v>
      </c>
      <c r="D437" s="40">
        <v>283395</v>
      </c>
      <c r="E437">
        <f>VLOOKUP(C437,'All Districts'!$B$3:$C$874,2,FALSE)</f>
        <v>3615630</v>
      </c>
      <c r="F437" s="91">
        <f>COUNTIF($E$2:$E$7106,E437)</f>
        <v>18</v>
      </c>
    </row>
    <row r="438" spans="1:6" x14ac:dyDescent="0.2">
      <c r="A438">
        <v>2015</v>
      </c>
      <c r="B438" s="13">
        <v>3989</v>
      </c>
      <c r="C438" s="90" t="str">
        <f>VLOOKUP(B438,'All Districts'!$A$3:$B$874,2,FALSE)</f>
        <v>Jefferson</v>
      </c>
      <c r="D438" s="14">
        <v>356879</v>
      </c>
      <c r="E438">
        <f>VLOOKUP(C438,'All Districts'!$B$3:$C$874,2,FALSE)</f>
        <v>3615720</v>
      </c>
      <c r="F438" s="91">
        <f>COUNTIF($E$2:$E$7106,E438)</f>
        <v>18</v>
      </c>
    </row>
    <row r="439" spans="1:6" x14ac:dyDescent="0.2">
      <c r="A439">
        <v>2016</v>
      </c>
      <c r="B439" s="13">
        <v>3989</v>
      </c>
      <c r="C439" s="90" t="str">
        <f>VLOOKUP(B439,'All Districts'!$A$3:$B$874,2,FALSE)</f>
        <v>Jefferson</v>
      </c>
      <c r="D439" s="16">
        <v>281213</v>
      </c>
      <c r="E439">
        <f>VLOOKUP(C439,'All Districts'!$B$3:$C$874,2,FALSE)</f>
        <v>3615720</v>
      </c>
      <c r="F439" s="91">
        <f>COUNTIF($E$2:$E$7106,E439)</f>
        <v>18</v>
      </c>
    </row>
    <row r="440" spans="1:6" x14ac:dyDescent="0.2">
      <c r="A440">
        <v>2017</v>
      </c>
      <c r="B440" s="13">
        <v>3989</v>
      </c>
      <c r="C440" s="90" t="str">
        <f>VLOOKUP(B440,'All Districts'!$A$3:$B$874,2,FALSE)</f>
        <v>Jefferson</v>
      </c>
      <c r="D440" s="16">
        <v>239882</v>
      </c>
      <c r="E440">
        <f>VLOOKUP(C440,'All Districts'!$B$3:$C$874,2,FALSE)</f>
        <v>3615720</v>
      </c>
      <c r="F440" s="91">
        <f>COUNTIF($E$2:$E$7106,E440)</f>
        <v>18</v>
      </c>
    </row>
    <row r="441" spans="1:6" x14ac:dyDescent="0.2">
      <c r="A441" s="10">
        <v>2018</v>
      </c>
      <c r="B441" s="13">
        <v>3989</v>
      </c>
      <c r="C441" s="90" t="str">
        <f>VLOOKUP(B441,'All Districts'!$A$3:$B$874,2,FALSE)</f>
        <v>Jefferson</v>
      </c>
      <c r="D441" s="15">
        <v>207073</v>
      </c>
      <c r="E441">
        <f>VLOOKUP(C441,'All Districts'!$B$3:$C$874,2,FALSE)</f>
        <v>3615720</v>
      </c>
      <c r="F441" s="91">
        <f>COUNTIF($E$2:$E$7106,E441)</f>
        <v>18</v>
      </c>
    </row>
    <row r="442" spans="1:6" x14ac:dyDescent="0.2">
      <c r="A442">
        <v>2019</v>
      </c>
      <c r="B442" s="36">
        <v>3989</v>
      </c>
      <c r="C442" s="90" t="str">
        <f>VLOOKUP(B442,'All Districts'!$A$3:$B$874,2,FALSE)</f>
        <v>Jefferson</v>
      </c>
      <c r="D442" s="40">
        <v>230191</v>
      </c>
      <c r="E442">
        <f>VLOOKUP(C442,'All Districts'!$B$3:$C$874,2,FALSE)</f>
        <v>3615720</v>
      </c>
      <c r="F442" s="91">
        <f>COUNTIF($E$2:$E$7106,E442)</f>
        <v>18</v>
      </c>
    </row>
    <row r="443" spans="1:6" x14ac:dyDescent="0.2">
      <c r="A443">
        <v>2020</v>
      </c>
      <c r="B443" s="36">
        <v>3989</v>
      </c>
      <c r="C443" s="90" t="str">
        <f>VLOOKUP(B443,'All Districts'!$A$3:$B$874,2,FALSE)</f>
        <v>Jefferson</v>
      </c>
      <c r="D443" s="40">
        <v>184872</v>
      </c>
      <c r="E443">
        <f>VLOOKUP(C443,'All Districts'!$B$3:$C$874,2,FALSE)</f>
        <v>3615720</v>
      </c>
      <c r="F443" s="91">
        <f>COUNTIF($E$2:$E$7106,E443)</f>
        <v>18</v>
      </c>
    </row>
    <row r="444" spans="1:6" x14ac:dyDescent="0.2">
      <c r="A444" s="10">
        <v>2021</v>
      </c>
      <c r="B444" s="52">
        <v>3989</v>
      </c>
      <c r="C444" s="90" t="str">
        <f>VLOOKUP(B444,'All Districts'!$A$3:$B$874,2,FALSE)</f>
        <v>Jefferson</v>
      </c>
      <c r="D444" s="76">
        <v>172947</v>
      </c>
      <c r="E444">
        <f>VLOOKUP(C444,'All Districts'!$B$3:$C$874,2,FALSE)</f>
        <v>3615720</v>
      </c>
      <c r="F444" s="91">
        <f>COUNTIF($E$2:$E$7106,E444)</f>
        <v>18</v>
      </c>
    </row>
    <row r="445" spans="1:6" x14ac:dyDescent="0.2">
      <c r="A445">
        <v>2022</v>
      </c>
      <c r="B445" s="36">
        <v>3989</v>
      </c>
      <c r="C445" s="90" t="str">
        <f>VLOOKUP(B445,'All Districts'!$A$3:$B$874,2,FALSE)</f>
        <v>Jefferson</v>
      </c>
      <c r="D445" s="82">
        <v>174703</v>
      </c>
      <c r="E445">
        <f>VLOOKUP(C445,'All Districts'!$B$3:$C$874,2,FALSE)</f>
        <v>3615720</v>
      </c>
      <c r="F445" s="91">
        <f>COUNTIF($E$2:$E$7106,E445)</f>
        <v>18</v>
      </c>
    </row>
    <row r="446" spans="1:6" x14ac:dyDescent="0.2">
      <c r="A446">
        <v>2023</v>
      </c>
      <c r="B446" s="36">
        <v>3989</v>
      </c>
      <c r="C446" s="90" t="str">
        <f>VLOOKUP(B446,'All Districts'!$A$3:$B$874,2,FALSE)</f>
        <v>Jefferson</v>
      </c>
      <c r="D446" s="40">
        <v>166701</v>
      </c>
      <c r="E446">
        <f>VLOOKUP(C446,'All Districts'!$B$3:$C$874,2,FALSE)</f>
        <v>3615720</v>
      </c>
      <c r="F446" s="91">
        <f>COUNTIF($E$2:$E$7106,E446)</f>
        <v>18</v>
      </c>
    </row>
    <row r="447" spans="1:6" x14ac:dyDescent="0.2">
      <c r="A447">
        <v>2015</v>
      </c>
      <c r="B447" s="13">
        <v>8142</v>
      </c>
      <c r="C447" s="90" t="str">
        <f>VLOOKUP(B447,'All Districts'!$A$3:$B$874,2,FALSE)</f>
        <v>Jefferson</v>
      </c>
      <c r="D447" s="15">
        <v>809595</v>
      </c>
      <c r="E447">
        <f>VLOOKUP(C447,'All Districts'!$B$3:$C$874,2,FALSE)</f>
        <v>3615720</v>
      </c>
      <c r="F447" s="91">
        <f>COUNTIF($E$2:$E$7106,E447)</f>
        <v>18</v>
      </c>
    </row>
    <row r="448" spans="1:6" x14ac:dyDescent="0.2">
      <c r="A448">
        <v>2016</v>
      </c>
      <c r="B448" s="13">
        <v>8142</v>
      </c>
      <c r="C448" s="90" t="str">
        <f>VLOOKUP(B448,'All Districts'!$A$3:$B$874,2,FALSE)</f>
        <v>Jefferson</v>
      </c>
      <c r="D448" s="16">
        <v>654380</v>
      </c>
      <c r="E448">
        <f>VLOOKUP(C448,'All Districts'!$B$3:$C$874,2,FALSE)</f>
        <v>3615720</v>
      </c>
      <c r="F448" s="91">
        <f>COUNTIF($E$2:$E$7106,E448)</f>
        <v>18</v>
      </c>
    </row>
    <row r="449" spans="1:6" x14ac:dyDescent="0.2">
      <c r="A449">
        <v>2017</v>
      </c>
      <c r="B449" s="13">
        <v>8142</v>
      </c>
      <c r="C449" s="90" t="str">
        <f>VLOOKUP(B449,'All Districts'!$A$3:$B$874,2,FALSE)</f>
        <v>Jefferson</v>
      </c>
      <c r="D449" s="16">
        <v>546698</v>
      </c>
      <c r="E449">
        <f>VLOOKUP(C449,'All Districts'!$B$3:$C$874,2,FALSE)</f>
        <v>3615720</v>
      </c>
      <c r="F449" s="91">
        <f>COUNTIF($E$2:$E$7106,E449)</f>
        <v>18</v>
      </c>
    </row>
    <row r="450" spans="1:6" x14ac:dyDescent="0.2">
      <c r="A450" s="10">
        <v>2018</v>
      </c>
      <c r="B450" s="13">
        <v>8142</v>
      </c>
      <c r="C450" s="90" t="str">
        <f>VLOOKUP(B450,'All Districts'!$A$3:$B$874,2,FALSE)</f>
        <v>Jefferson</v>
      </c>
      <c r="D450" s="15">
        <v>481618</v>
      </c>
      <c r="E450">
        <f>VLOOKUP(C450,'All Districts'!$B$3:$C$874,2,FALSE)</f>
        <v>3615720</v>
      </c>
      <c r="F450" s="91">
        <f>COUNTIF($E$2:$E$7106,E450)</f>
        <v>18</v>
      </c>
    </row>
    <row r="451" spans="1:6" x14ac:dyDescent="0.2">
      <c r="A451">
        <v>2019</v>
      </c>
      <c r="B451" s="36">
        <v>8142</v>
      </c>
      <c r="C451" s="90" t="str">
        <f>VLOOKUP(B451,'All Districts'!$A$3:$B$874,2,FALSE)</f>
        <v>Jefferson</v>
      </c>
      <c r="D451" s="40">
        <v>486121</v>
      </c>
      <c r="E451">
        <f>VLOOKUP(C451,'All Districts'!$B$3:$C$874,2,FALSE)</f>
        <v>3615720</v>
      </c>
      <c r="F451" s="91">
        <f>COUNTIF($E$2:$E$7106,E451)</f>
        <v>18</v>
      </c>
    </row>
    <row r="452" spans="1:6" x14ac:dyDescent="0.2">
      <c r="A452">
        <v>2020</v>
      </c>
      <c r="B452" s="36">
        <v>8142</v>
      </c>
      <c r="C452" s="90" t="str">
        <f>VLOOKUP(B452,'All Districts'!$A$3:$B$874,2,FALSE)</f>
        <v>Jefferson</v>
      </c>
      <c r="D452" s="40">
        <v>390106</v>
      </c>
      <c r="E452">
        <f>VLOOKUP(C452,'All Districts'!$B$3:$C$874,2,FALSE)</f>
        <v>3615720</v>
      </c>
      <c r="F452" s="91">
        <f>COUNTIF($E$2:$E$7106,E452)</f>
        <v>18</v>
      </c>
    </row>
    <row r="453" spans="1:6" x14ac:dyDescent="0.2">
      <c r="A453" s="10">
        <v>2021</v>
      </c>
      <c r="B453" s="52">
        <v>8142</v>
      </c>
      <c r="C453" s="90" t="str">
        <f>VLOOKUP(B453,'All Districts'!$A$3:$B$874,2,FALSE)</f>
        <v>Jefferson</v>
      </c>
      <c r="D453" s="76">
        <v>379912</v>
      </c>
      <c r="E453">
        <f>VLOOKUP(C453,'All Districts'!$B$3:$C$874,2,FALSE)</f>
        <v>3615720</v>
      </c>
      <c r="F453" s="91">
        <f>COUNTIF($E$2:$E$7106,E453)</f>
        <v>18</v>
      </c>
    </row>
    <row r="454" spans="1:6" x14ac:dyDescent="0.2">
      <c r="A454">
        <v>2022</v>
      </c>
      <c r="B454" s="36">
        <v>8142</v>
      </c>
      <c r="C454" s="90" t="str">
        <f>VLOOKUP(B454,'All Districts'!$A$3:$B$874,2,FALSE)</f>
        <v>Jefferson</v>
      </c>
      <c r="D454" s="82">
        <v>391553</v>
      </c>
      <c r="E454">
        <f>VLOOKUP(C454,'All Districts'!$B$3:$C$874,2,FALSE)</f>
        <v>3615720</v>
      </c>
      <c r="F454" s="91">
        <f>COUNTIF($E$2:$E$7106,E454)</f>
        <v>18</v>
      </c>
    </row>
    <row r="455" spans="1:6" x14ac:dyDescent="0.2">
      <c r="A455">
        <v>2023</v>
      </c>
      <c r="B455" s="36">
        <v>8142</v>
      </c>
      <c r="C455" s="90" t="str">
        <f>VLOOKUP(B455,'All Districts'!$A$3:$B$874,2,FALSE)</f>
        <v>Jefferson</v>
      </c>
      <c r="D455" s="40">
        <v>359944</v>
      </c>
      <c r="E455">
        <f>VLOOKUP(C455,'All Districts'!$B$3:$C$874,2,FALSE)</f>
        <v>3615720</v>
      </c>
      <c r="F455" s="91">
        <f>COUNTIF($E$2:$E$7106,E455)</f>
        <v>18</v>
      </c>
    </row>
    <row r="456" spans="1:6" x14ac:dyDescent="0.2">
      <c r="A456">
        <v>2015</v>
      </c>
      <c r="B456" s="13">
        <v>4533</v>
      </c>
      <c r="C456" s="90" t="str">
        <f>VLOOKUP(B456,'All Districts'!$A$3:$B$874,2,FALSE)</f>
        <v>Onondaga</v>
      </c>
      <c r="D456" s="14">
        <v>1128053</v>
      </c>
      <c r="E456">
        <f>VLOOKUP(C456,'All Districts'!$B$3:$C$874,2,FALSE)</f>
        <v>3621810</v>
      </c>
      <c r="F456" s="91">
        <f>COUNTIF($E$2:$E$7106,E456)</f>
        <v>18</v>
      </c>
    </row>
    <row r="457" spans="1:6" x14ac:dyDescent="0.2">
      <c r="A457">
        <v>2016</v>
      </c>
      <c r="B457" s="13">
        <v>4533</v>
      </c>
      <c r="C457" s="90" t="str">
        <f>VLOOKUP(B457,'All Districts'!$A$3:$B$874,2,FALSE)</f>
        <v>Onondaga</v>
      </c>
      <c r="D457" s="16">
        <v>844094</v>
      </c>
      <c r="E457">
        <f>VLOOKUP(C457,'All Districts'!$B$3:$C$874,2,FALSE)</f>
        <v>3621810</v>
      </c>
      <c r="F457" s="91">
        <f>COUNTIF($E$2:$E$7106,E457)</f>
        <v>18</v>
      </c>
    </row>
    <row r="458" spans="1:6" x14ac:dyDescent="0.2">
      <c r="A458">
        <v>2017</v>
      </c>
      <c r="B458" s="13">
        <v>4533</v>
      </c>
      <c r="C458" s="90" t="str">
        <f>VLOOKUP(B458,'All Districts'!$A$3:$B$874,2,FALSE)</f>
        <v>Onondaga</v>
      </c>
      <c r="D458" s="16">
        <v>759754</v>
      </c>
      <c r="E458">
        <f>VLOOKUP(C458,'All Districts'!$B$3:$C$874,2,FALSE)</f>
        <v>3621810</v>
      </c>
      <c r="F458" s="91">
        <f>COUNTIF($E$2:$E$7106,E458)</f>
        <v>18</v>
      </c>
    </row>
    <row r="459" spans="1:6" x14ac:dyDescent="0.2">
      <c r="A459" s="10">
        <v>2018</v>
      </c>
      <c r="B459" s="13">
        <v>4533</v>
      </c>
      <c r="C459" s="90" t="str">
        <f>VLOOKUP(B459,'All Districts'!$A$3:$B$874,2,FALSE)</f>
        <v>Onondaga</v>
      </c>
      <c r="D459" s="15">
        <v>671396</v>
      </c>
      <c r="E459">
        <f>VLOOKUP(C459,'All Districts'!$B$3:$C$874,2,FALSE)</f>
        <v>3621810</v>
      </c>
      <c r="F459" s="91">
        <f>COUNTIF($E$2:$E$7106,E459)</f>
        <v>18</v>
      </c>
    </row>
    <row r="460" spans="1:6" x14ac:dyDescent="0.2">
      <c r="A460">
        <v>2019</v>
      </c>
      <c r="B460" s="36">
        <v>4533</v>
      </c>
      <c r="C460" s="90" t="str">
        <f>VLOOKUP(B460,'All Districts'!$A$3:$B$874,2,FALSE)</f>
        <v>Onondaga</v>
      </c>
      <c r="D460" s="40">
        <v>760159</v>
      </c>
      <c r="E460">
        <f>VLOOKUP(C460,'All Districts'!$B$3:$C$874,2,FALSE)</f>
        <v>3621810</v>
      </c>
      <c r="F460" s="91">
        <f>COUNTIF($E$2:$E$7106,E460)</f>
        <v>18</v>
      </c>
    </row>
    <row r="461" spans="1:6" x14ac:dyDescent="0.2">
      <c r="A461">
        <v>2020</v>
      </c>
      <c r="B461" s="36">
        <v>4533</v>
      </c>
      <c r="C461" s="90" t="str">
        <f>VLOOKUP(B461,'All Districts'!$A$3:$B$874,2,FALSE)</f>
        <v>Onondaga</v>
      </c>
      <c r="D461" s="40">
        <v>636225</v>
      </c>
      <c r="E461">
        <f>VLOOKUP(C461,'All Districts'!$B$3:$C$874,2,FALSE)</f>
        <v>3621810</v>
      </c>
      <c r="F461" s="91">
        <f>COUNTIF($E$2:$E$7106,E461)</f>
        <v>18</v>
      </c>
    </row>
    <row r="462" spans="1:6" x14ac:dyDescent="0.2">
      <c r="A462" s="10">
        <v>2021</v>
      </c>
      <c r="B462" s="52">
        <v>4533</v>
      </c>
      <c r="C462" s="90" t="str">
        <f>VLOOKUP(B462,'All Districts'!$A$3:$B$874,2,FALSE)</f>
        <v>Onondaga</v>
      </c>
      <c r="D462" s="76">
        <v>706392</v>
      </c>
      <c r="E462">
        <f>VLOOKUP(C462,'All Districts'!$B$3:$C$874,2,FALSE)</f>
        <v>3621810</v>
      </c>
      <c r="F462" s="91">
        <f>COUNTIF($E$2:$E$7106,E462)</f>
        <v>18</v>
      </c>
    </row>
    <row r="463" spans="1:6" x14ac:dyDescent="0.2">
      <c r="A463">
        <v>2022</v>
      </c>
      <c r="B463" s="36">
        <v>4533</v>
      </c>
      <c r="C463" s="90" t="str">
        <f>VLOOKUP(B463,'All Districts'!$A$3:$B$874,2,FALSE)</f>
        <v>Onondaga</v>
      </c>
      <c r="D463" s="82">
        <v>778837</v>
      </c>
      <c r="E463">
        <f>VLOOKUP(C463,'All Districts'!$B$3:$C$874,2,FALSE)</f>
        <v>3621810</v>
      </c>
      <c r="F463" s="91">
        <f>COUNTIF($E$2:$E$7106,E463)</f>
        <v>18</v>
      </c>
    </row>
    <row r="464" spans="1:6" x14ac:dyDescent="0.2">
      <c r="A464">
        <v>2023</v>
      </c>
      <c r="B464" s="36">
        <v>4533</v>
      </c>
      <c r="C464" s="90" t="str">
        <f>VLOOKUP(B464,'All Districts'!$A$3:$B$874,2,FALSE)</f>
        <v>Onondaga</v>
      </c>
      <c r="D464" s="40">
        <v>825136</v>
      </c>
      <c r="E464">
        <f>VLOOKUP(C464,'All Districts'!$B$3:$C$874,2,FALSE)</f>
        <v>3621810</v>
      </c>
      <c r="F464" s="91">
        <f>COUNTIF($E$2:$E$7106,E464)</f>
        <v>18</v>
      </c>
    </row>
    <row r="465" spans="1:6" x14ac:dyDescent="0.2">
      <c r="A465">
        <v>2015</v>
      </c>
      <c r="B465" s="13">
        <v>8151</v>
      </c>
      <c r="C465" s="90" t="str">
        <f>VLOOKUP(B465,'All Districts'!$A$3:$B$874,2,FALSE)</f>
        <v>Onondaga</v>
      </c>
      <c r="D465" s="15">
        <v>1720950</v>
      </c>
      <c r="E465">
        <f>VLOOKUP(C465,'All Districts'!$B$3:$C$874,2,FALSE)</f>
        <v>3621810</v>
      </c>
      <c r="F465" s="91">
        <f>COUNTIF($E$2:$E$7106,E465)</f>
        <v>18</v>
      </c>
    </row>
    <row r="466" spans="1:6" x14ac:dyDescent="0.2">
      <c r="A466">
        <v>2016</v>
      </c>
      <c r="B466" s="13">
        <v>8151</v>
      </c>
      <c r="C466" s="90" t="str">
        <f>VLOOKUP(B466,'All Districts'!$A$3:$B$874,2,FALSE)</f>
        <v>Onondaga</v>
      </c>
      <c r="D466" s="16">
        <v>1371487</v>
      </c>
      <c r="E466">
        <f>VLOOKUP(C466,'All Districts'!$B$3:$C$874,2,FALSE)</f>
        <v>3621810</v>
      </c>
      <c r="F466" s="91">
        <f>COUNTIF($E$2:$E$7106,E466)</f>
        <v>18</v>
      </c>
    </row>
    <row r="467" spans="1:6" x14ac:dyDescent="0.2">
      <c r="A467">
        <v>2017</v>
      </c>
      <c r="B467" s="13">
        <v>8151</v>
      </c>
      <c r="C467" s="90" t="str">
        <f>VLOOKUP(B467,'All Districts'!$A$3:$B$874,2,FALSE)</f>
        <v>Onondaga</v>
      </c>
      <c r="D467" s="16">
        <v>1234354</v>
      </c>
      <c r="E467">
        <f>VLOOKUP(C467,'All Districts'!$B$3:$C$874,2,FALSE)</f>
        <v>3621810</v>
      </c>
      <c r="F467" s="91">
        <f>COUNTIF($E$2:$E$7106,E467)</f>
        <v>18</v>
      </c>
    </row>
    <row r="468" spans="1:6" x14ac:dyDescent="0.2">
      <c r="A468" s="10">
        <v>2018</v>
      </c>
      <c r="B468" s="13">
        <v>8151</v>
      </c>
      <c r="C468" s="90" t="str">
        <f>VLOOKUP(B468,'All Districts'!$A$3:$B$874,2,FALSE)</f>
        <v>Onondaga</v>
      </c>
      <c r="D468" s="15">
        <v>1005268</v>
      </c>
      <c r="E468">
        <f>VLOOKUP(C468,'All Districts'!$B$3:$C$874,2,FALSE)</f>
        <v>3621810</v>
      </c>
      <c r="F468" s="91">
        <f>COUNTIF($E$2:$E$7106,E468)</f>
        <v>18</v>
      </c>
    </row>
    <row r="469" spans="1:6" x14ac:dyDescent="0.2">
      <c r="A469">
        <v>2019</v>
      </c>
      <c r="B469" s="36">
        <v>8151</v>
      </c>
      <c r="C469" s="90" t="str">
        <f>VLOOKUP(B469,'All Districts'!$A$3:$B$874,2,FALSE)</f>
        <v>Onondaga</v>
      </c>
      <c r="D469" s="40">
        <v>966994</v>
      </c>
      <c r="E469">
        <f>VLOOKUP(C469,'All Districts'!$B$3:$C$874,2,FALSE)</f>
        <v>3621810</v>
      </c>
      <c r="F469" s="91">
        <f>COUNTIF($E$2:$E$7106,E469)</f>
        <v>18</v>
      </c>
    </row>
    <row r="470" spans="1:6" x14ac:dyDescent="0.2">
      <c r="A470">
        <v>2020</v>
      </c>
      <c r="B470" s="36">
        <v>8151</v>
      </c>
      <c r="C470" s="90" t="str">
        <f>VLOOKUP(B470,'All Districts'!$A$3:$B$874,2,FALSE)</f>
        <v>Onondaga</v>
      </c>
      <c r="D470" s="40">
        <v>863377</v>
      </c>
      <c r="E470">
        <f>VLOOKUP(C470,'All Districts'!$B$3:$C$874,2,FALSE)</f>
        <v>3621810</v>
      </c>
      <c r="F470" s="91">
        <f>COUNTIF($E$2:$E$7106,E470)</f>
        <v>18</v>
      </c>
    </row>
    <row r="471" spans="1:6" x14ac:dyDescent="0.2">
      <c r="A471" s="10">
        <v>2021</v>
      </c>
      <c r="B471" s="52">
        <v>8151</v>
      </c>
      <c r="C471" s="90" t="str">
        <f>VLOOKUP(B471,'All Districts'!$A$3:$B$874,2,FALSE)</f>
        <v>Onondaga</v>
      </c>
      <c r="D471" s="75">
        <v>894878</v>
      </c>
      <c r="E471">
        <f>VLOOKUP(C471,'All Districts'!$B$3:$C$874,2,FALSE)</f>
        <v>3621810</v>
      </c>
      <c r="F471" s="91">
        <f>COUNTIF($E$2:$E$7106,E471)</f>
        <v>18</v>
      </c>
    </row>
    <row r="472" spans="1:6" x14ac:dyDescent="0.2">
      <c r="A472">
        <v>2022</v>
      </c>
      <c r="B472" s="36">
        <v>8151</v>
      </c>
      <c r="C472" s="90" t="str">
        <f>VLOOKUP(B472,'All Districts'!$A$3:$B$874,2,FALSE)</f>
        <v>Onondaga</v>
      </c>
      <c r="D472" s="82">
        <v>903759</v>
      </c>
      <c r="E472">
        <f>VLOOKUP(C472,'All Districts'!$B$3:$C$874,2,FALSE)</f>
        <v>3621810</v>
      </c>
      <c r="F472" s="91">
        <f>COUNTIF($E$2:$E$7106,E472)</f>
        <v>18</v>
      </c>
    </row>
    <row r="473" spans="1:6" x14ac:dyDescent="0.2">
      <c r="A473">
        <v>2023</v>
      </c>
      <c r="B473" s="36">
        <v>8151</v>
      </c>
      <c r="C473" s="90" t="str">
        <f>VLOOKUP(B473,'All Districts'!$A$3:$B$874,2,FALSE)</f>
        <v>Onondaga</v>
      </c>
      <c r="D473" s="40">
        <v>906207</v>
      </c>
      <c r="E473">
        <f>VLOOKUP(C473,'All Districts'!$B$3:$C$874,2,FALSE)</f>
        <v>3621810</v>
      </c>
      <c r="F473" s="91">
        <f>COUNTIF($E$2:$E$7106,E473)</f>
        <v>18</v>
      </c>
    </row>
    <row r="474" spans="1:6" x14ac:dyDescent="0.2">
      <c r="A474">
        <v>2015</v>
      </c>
      <c r="B474" s="13">
        <v>2600</v>
      </c>
      <c r="C474" s="90" t="str">
        <f>VLOOKUP(B474,'All Districts'!$A$3:$B$874,2,FALSE)</f>
        <v>Tuckahoe</v>
      </c>
      <c r="D474" s="14">
        <v>1926512</v>
      </c>
      <c r="E474">
        <f>VLOOKUP(C474,'All Districts'!$B$3:$C$874,2,FALSE)</f>
        <v>3629040</v>
      </c>
      <c r="F474" s="91">
        <f>COUNTIF($E$2:$E$7106,E474)</f>
        <v>18</v>
      </c>
    </row>
    <row r="475" spans="1:6" x14ac:dyDescent="0.2">
      <c r="A475">
        <v>2016</v>
      </c>
      <c r="B475" s="13">
        <v>2600</v>
      </c>
      <c r="C475" s="90" t="str">
        <f>VLOOKUP(B475,'All Districts'!$A$3:$B$874,2,FALSE)</f>
        <v>Tuckahoe</v>
      </c>
      <c r="D475" s="16">
        <v>1507856</v>
      </c>
      <c r="E475">
        <f>VLOOKUP(C475,'All Districts'!$B$3:$C$874,2,FALSE)</f>
        <v>3629040</v>
      </c>
      <c r="F475" s="91">
        <f>COUNTIF($E$2:$E$7106,E475)</f>
        <v>18</v>
      </c>
    </row>
    <row r="476" spans="1:6" x14ac:dyDescent="0.2">
      <c r="A476">
        <v>2017</v>
      </c>
      <c r="B476" s="13">
        <v>2600</v>
      </c>
      <c r="C476" s="90" t="str">
        <f>VLOOKUP(B476,'All Districts'!$A$3:$B$874,2,FALSE)</f>
        <v>Tuckahoe</v>
      </c>
      <c r="D476" s="16">
        <v>1419892</v>
      </c>
      <c r="E476">
        <f>VLOOKUP(C476,'All Districts'!$B$3:$C$874,2,FALSE)</f>
        <v>3629040</v>
      </c>
      <c r="F476" s="91">
        <f>COUNTIF($E$2:$E$7106,E476)</f>
        <v>18</v>
      </c>
    </row>
    <row r="477" spans="1:6" x14ac:dyDescent="0.2">
      <c r="A477" s="10">
        <v>2018</v>
      </c>
      <c r="B477" s="13">
        <v>2600</v>
      </c>
      <c r="C477" s="90" t="str">
        <f>VLOOKUP(B477,'All Districts'!$A$3:$B$874,2,FALSE)</f>
        <v>Tuckahoe</v>
      </c>
      <c r="D477" s="15">
        <v>1293389</v>
      </c>
      <c r="E477">
        <f>VLOOKUP(C477,'All Districts'!$B$3:$C$874,2,FALSE)</f>
        <v>3629040</v>
      </c>
      <c r="F477" s="91">
        <f>COUNTIF($E$2:$E$7106,E477)</f>
        <v>18</v>
      </c>
    </row>
    <row r="478" spans="1:6" x14ac:dyDescent="0.2">
      <c r="A478">
        <v>2019</v>
      </c>
      <c r="B478" s="36">
        <v>2600</v>
      </c>
      <c r="C478" s="90" t="str">
        <f>VLOOKUP(B478,'All Districts'!$A$3:$B$874,2,FALSE)</f>
        <v>Tuckahoe</v>
      </c>
      <c r="D478" s="40">
        <v>1473057</v>
      </c>
      <c r="E478">
        <f>VLOOKUP(C478,'All Districts'!$B$3:$C$874,2,FALSE)</f>
        <v>3629040</v>
      </c>
      <c r="F478" s="91">
        <f>COUNTIF($E$2:$E$7106,E478)</f>
        <v>18</v>
      </c>
    </row>
    <row r="479" spans="1:6" x14ac:dyDescent="0.2">
      <c r="A479">
        <v>2020</v>
      </c>
      <c r="B479" s="36">
        <v>2600</v>
      </c>
      <c r="C479" s="90" t="str">
        <f>VLOOKUP(B479,'All Districts'!$A$3:$B$874,2,FALSE)</f>
        <v>Tuckahoe</v>
      </c>
      <c r="D479" s="40">
        <v>1228849</v>
      </c>
      <c r="E479">
        <f>VLOOKUP(C479,'All Districts'!$B$3:$C$874,2,FALSE)</f>
        <v>3629040</v>
      </c>
      <c r="F479" s="91">
        <f>COUNTIF($E$2:$E$7106,E479)</f>
        <v>18</v>
      </c>
    </row>
    <row r="480" spans="1:6" x14ac:dyDescent="0.2">
      <c r="A480" s="10">
        <v>2021</v>
      </c>
      <c r="B480" s="55">
        <v>2600</v>
      </c>
      <c r="C480" s="90" t="str">
        <f>VLOOKUP(B480,'All Districts'!$A$3:$B$874,2,FALSE)</f>
        <v>Tuckahoe</v>
      </c>
      <c r="D480" s="75">
        <v>1366005</v>
      </c>
      <c r="E480">
        <f>VLOOKUP(C480,'All Districts'!$B$3:$C$874,2,FALSE)</f>
        <v>3629040</v>
      </c>
      <c r="F480" s="91">
        <f>COUNTIF($E$2:$E$7106,E480)</f>
        <v>18</v>
      </c>
    </row>
    <row r="481" spans="1:6" x14ac:dyDescent="0.2">
      <c r="A481">
        <v>2022</v>
      </c>
      <c r="B481" s="36">
        <v>2600</v>
      </c>
      <c r="C481" s="90" t="str">
        <f>VLOOKUP(B481,'All Districts'!$A$3:$B$874,2,FALSE)</f>
        <v>Tuckahoe</v>
      </c>
      <c r="D481" s="82">
        <v>1405345</v>
      </c>
      <c r="E481">
        <f>VLOOKUP(C481,'All Districts'!$B$3:$C$874,2,FALSE)</f>
        <v>3629040</v>
      </c>
      <c r="F481" s="91">
        <f>COUNTIF($E$2:$E$7106,E481)</f>
        <v>18</v>
      </c>
    </row>
    <row r="482" spans="1:6" x14ac:dyDescent="0.2">
      <c r="A482">
        <v>2023</v>
      </c>
      <c r="B482" s="36">
        <v>2600</v>
      </c>
      <c r="C482" s="90" t="str">
        <f>VLOOKUP(B482,'All Districts'!$A$3:$B$874,2,FALSE)</f>
        <v>Tuckahoe</v>
      </c>
      <c r="D482" s="40">
        <v>1531115</v>
      </c>
      <c r="E482">
        <f>VLOOKUP(C482,'All Districts'!$B$3:$C$874,2,FALSE)</f>
        <v>3629040</v>
      </c>
      <c r="F482" s="91">
        <f>COUNTIF($E$2:$E$7106,E482)</f>
        <v>18</v>
      </c>
    </row>
    <row r="483" spans="1:6" x14ac:dyDescent="0.2">
      <c r="A483">
        <v>2015</v>
      </c>
      <c r="B483" s="13">
        <v>5367</v>
      </c>
      <c r="C483" s="90" t="str">
        <f>VLOOKUP(B483,'All Districts'!$A$3:$B$874,2,FALSE)</f>
        <v>Tuckahoe</v>
      </c>
      <c r="D483" s="14">
        <v>971207</v>
      </c>
      <c r="E483">
        <f>VLOOKUP(C483,'All Districts'!$B$3:$C$874,2,FALSE)</f>
        <v>3629040</v>
      </c>
      <c r="F483" s="91">
        <f>COUNTIF($E$2:$E$7106,E483)</f>
        <v>18</v>
      </c>
    </row>
    <row r="484" spans="1:6" x14ac:dyDescent="0.2">
      <c r="A484">
        <v>2016</v>
      </c>
      <c r="B484" s="13">
        <v>5367</v>
      </c>
      <c r="C484" s="90" t="str">
        <f>VLOOKUP(B484,'All Districts'!$A$3:$B$874,2,FALSE)</f>
        <v>Tuckahoe</v>
      </c>
      <c r="D484" s="16">
        <v>725515</v>
      </c>
      <c r="E484">
        <f>VLOOKUP(C484,'All Districts'!$B$3:$C$874,2,FALSE)</f>
        <v>3629040</v>
      </c>
      <c r="F484" s="91">
        <f>COUNTIF($E$2:$E$7106,E484)</f>
        <v>18</v>
      </c>
    </row>
    <row r="485" spans="1:6" x14ac:dyDescent="0.2">
      <c r="A485">
        <v>2017</v>
      </c>
      <c r="B485" s="13">
        <v>5367</v>
      </c>
      <c r="C485" s="90" t="str">
        <f>VLOOKUP(B485,'All Districts'!$A$3:$B$874,2,FALSE)</f>
        <v>Tuckahoe</v>
      </c>
      <c r="D485" s="16">
        <v>626819</v>
      </c>
      <c r="E485">
        <f>VLOOKUP(C485,'All Districts'!$B$3:$C$874,2,FALSE)</f>
        <v>3629040</v>
      </c>
      <c r="F485" s="91">
        <f>COUNTIF($E$2:$E$7106,E485)</f>
        <v>18</v>
      </c>
    </row>
    <row r="486" spans="1:6" x14ac:dyDescent="0.2">
      <c r="A486" s="10">
        <v>2018</v>
      </c>
      <c r="B486" s="13">
        <v>5367</v>
      </c>
      <c r="C486" s="90" t="str">
        <f>VLOOKUP(B486,'All Districts'!$A$3:$B$874,2,FALSE)</f>
        <v>Tuckahoe</v>
      </c>
      <c r="D486" s="15">
        <v>552940</v>
      </c>
      <c r="E486">
        <f>VLOOKUP(C486,'All Districts'!$B$3:$C$874,2,FALSE)</f>
        <v>3629040</v>
      </c>
      <c r="F486" s="91">
        <f>COUNTIF($E$2:$E$7106,E486)</f>
        <v>18</v>
      </c>
    </row>
    <row r="487" spans="1:6" x14ac:dyDescent="0.2">
      <c r="A487">
        <v>2019</v>
      </c>
      <c r="B487" s="36">
        <v>5367</v>
      </c>
      <c r="C487" s="90" t="str">
        <f>VLOOKUP(B487,'All Districts'!$A$3:$B$874,2,FALSE)</f>
        <v>Tuckahoe</v>
      </c>
      <c r="D487" s="40">
        <v>617680</v>
      </c>
      <c r="E487">
        <f>VLOOKUP(C487,'All Districts'!$B$3:$C$874,2,FALSE)</f>
        <v>3629040</v>
      </c>
      <c r="F487" s="91">
        <f>COUNTIF($E$2:$E$7106,E487)</f>
        <v>18</v>
      </c>
    </row>
    <row r="488" spans="1:6" x14ac:dyDescent="0.2">
      <c r="A488">
        <v>2020</v>
      </c>
      <c r="B488" s="36">
        <v>5367</v>
      </c>
      <c r="C488" s="90" t="str">
        <f>VLOOKUP(B488,'All Districts'!$A$3:$B$874,2,FALSE)</f>
        <v>Tuckahoe</v>
      </c>
      <c r="D488" s="40">
        <v>517390</v>
      </c>
      <c r="E488">
        <f>VLOOKUP(C488,'All Districts'!$B$3:$C$874,2,FALSE)</f>
        <v>3629040</v>
      </c>
      <c r="F488" s="91">
        <f>COUNTIF($E$2:$E$7106,E488)</f>
        <v>18</v>
      </c>
    </row>
    <row r="489" spans="1:6" x14ac:dyDescent="0.2">
      <c r="A489" s="10">
        <v>2021</v>
      </c>
      <c r="B489" s="52">
        <v>5367</v>
      </c>
      <c r="C489" s="90" t="str">
        <f>VLOOKUP(B489,'All Districts'!$A$3:$B$874,2,FALSE)</f>
        <v>Tuckahoe</v>
      </c>
      <c r="D489" s="76">
        <v>590804</v>
      </c>
      <c r="E489">
        <f>VLOOKUP(C489,'All Districts'!$B$3:$C$874,2,FALSE)</f>
        <v>3629040</v>
      </c>
      <c r="F489" s="91">
        <f>COUNTIF($E$2:$E$7106,E489)</f>
        <v>18</v>
      </c>
    </row>
    <row r="490" spans="1:6" x14ac:dyDescent="0.2">
      <c r="A490">
        <v>2022</v>
      </c>
      <c r="B490" s="36">
        <v>5367</v>
      </c>
      <c r="C490" s="90" t="str">
        <f>VLOOKUP(B490,'All Districts'!$A$3:$B$874,2,FALSE)</f>
        <v>Tuckahoe</v>
      </c>
      <c r="D490" s="82">
        <v>618538</v>
      </c>
      <c r="E490">
        <f>VLOOKUP(C490,'All Districts'!$B$3:$C$874,2,FALSE)</f>
        <v>3629040</v>
      </c>
      <c r="F490" s="91">
        <f>COUNTIF($E$2:$E$7106,E490)</f>
        <v>18</v>
      </c>
    </row>
    <row r="491" spans="1:6" x14ac:dyDescent="0.2">
      <c r="A491">
        <v>2023</v>
      </c>
      <c r="B491" s="36">
        <v>5367</v>
      </c>
      <c r="C491" s="90" t="str">
        <f>VLOOKUP(B491,'All Districts'!$A$3:$B$874,2,FALSE)</f>
        <v>Tuckahoe</v>
      </c>
      <c r="D491" s="40">
        <v>694819</v>
      </c>
      <c r="E491">
        <f>VLOOKUP(C491,'All Districts'!$B$3:$C$874,2,FALSE)</f>
        <v>3629040</v>
      </c>
      <c r="F491" s="91">
        <f>COUNTIF($E$2:$E$7106,E491)</f>
        <v>18</v>
      </c>
    </row>
    <row r="492" spans="1:6" x14ac:dyDescent="0.2">
      <c r="A492">
        <v>2015</v>
      </c>
      <c r="B492" s="13">
        <v>6026</v>
      </c>
      <c r="C492" s="90" t="str">
        <f>VLOOKUP(B492,'All Districts'!$A$3:$B$874,2,FALSE)</f>
        <v>Dutchess</v>
      </c>
      <c r="D492" s="15">
        <v>3039021</v>
      </c>
      <c r="E492">
        <f>VLOOKUP(C492,'All Districts'!$B$3:$C$874,2,FALSE)</f>
        <v>3680280</v>
      </c>
      <c r="F492" s="91">
        <f>COUNTIF($E$2:$E$7106,E492)</f>
        <v>18</v>
      </c>
    </row>
    <row r="493" spans="1:6" x14ac:dyDescent="0.2">
      <c r="A493">
        <v>2016</v>
      </c>
      <c r="B493" s="13">
        <v>6026</v>
      </c>
      <c r="C493" s="90" t="str">
        <f>VLOOKUP(B493,'All Districts'!$A$3:$B$874,2,FALSE)</f>
        <v>Dutchess</v>
      </c>
      <c r="D493" s="16">
        <v>2281416</v>
      </c>
      <c r="E493">
        <f>VLOOKUP(C493,'All Districts'!$B$3:$C$874,2,FALSE)</f>
        <v>3680280</v>
      </c>
      <c r="F493" s="91">
        <f>COUNTIF($E$2:$E$7106,E493)</f>
        <v>18</v>
      </c>
    </row>
    <row r="494" spans="1:6" x14ac:dyDescent="0.2">
      <c r="A494">
        <v>2017</v>
      </c>
      <c r="B494" s="13">
        <v>6026</v>
      </c>
      <c r="C494" s="90" t="str">
        <f>VLOOKUP(B494,'All Districts'!$A$3:$B$874,2,FALSE)</f>
        <v>Dutchess</v>
      </c>
      <c r="D494" s="16">
        <v>2123609</v>
      </c>
      <c r="E494">
        <f>VLOOKUP(C494,'All Districts'!$B$3:$C$874,2,FALSE)</f>
        <v>3680280</v>
      </c>
      <c r="F494" s="91">
        <f>COUNTIF($E$2:$E$7106,E494)</f>
        <v>18</v>
      </c>
    </row>
    <row r="495" spans="1:6" x14ac:dyDescent="0.2">
      <c r="A495" s="10">
        <v>2018</v>
      </c>
      <c r="B495" s="13">
        <v>6026</v>
      </c>
      <c r="C495" s="90" t="str">
        <f>VLOOKUP(B495,'All Districts'!$A$3:$B$874,2,FALSE)</f>
        <v>Dutchess</v>
      </c>
      <c r="D495" s="15">
        <v>1810516</v>
      </c>
      <c r="E495">
        <f>VLOOKUP(C495,'All Districts'!$B$3:$C$874,2,FALSE)</f>
        <v>3680280</v>
      </c>
      <c r="F495" s="91">
        <f>COUNTIF($E$2:$E$7106,E495)</f>
        <v>18</v>
      </c>
    </row>
    <row r="496" spans="1:6" x14ac:dyDescent="0.2">
      <c r="A496">
        <v>2019</v>
      </c>
      <c r="B496" s="36">
        <v>6026</v>
      </c>
      <c r="C496" s="90" t="str">
        <f>VLOOKUP(B496,'All Districts'!$A$3:$B$874,2,FALSE)</f>
        <v>Dutchess</v>
      </c>
      <c r="D496" s="40">
        <v>2045989</v>
      </c>
      <c r="E496">
        <f>VLOOKUP(C496,'All Districts'!$B$3:$C$874,2,FALSE)</f>
        <v>3680280</v>
      </c>
      <c r="F496" s="91">
        <f>COUNTIF($E$2:$E$7106,E496)</f>
        <v>18</v>
      </c>
    </row>
    <row r="497" spans="1:6" x14ac:dyDescent="0.2">
      <c r="A497">
        <v>2020</v>
      </c>
      <c r="B497" s="36">
        <v>6026</v>
      </c>
      <c r="C497" s="90" t="str">
        <f>VLOOKUP(B497,'All Districts'!$A$3:$B$874,2,FALSE)</f>
        <v>Dutchess</v>
      </c>
      <c r="D497" s="40">
        <v>1703501</v>
      </c>
      <c r="E497">
        <f>VLOOKUP(C497,'All Districts'!$B$3:$C$874,2,FALSE)</f>
        <v>3680280</v>
      </c>
      <c r="F497" s="91">
        <f>COUNTIF($E$2:$E$7106,E497)</f>
        <v>18</v>
      </c>
    </row>
    <row r="498" spans="1:6" x14ac:dyDescent="0.2">
      <c r="A498" s="10">
        <v>2021</v>
      </c>
      <c r="B498" s="52">
        <v>6026</v>
      </c>
      <c r="C498" s="90" t="str">
        <f>VLOOKUP(B498,'All Districts'!$A$3:$B$874,2,FALSE)</f>
        <v>Dutchess</v>
      </c>
      <c r="D498" s="76">
        <v>1748621</v>
      </c>
      <c r="E498">
        <f>VLOOKUP(C498,'All Districts'!$B$3:$C$874,2,FALSE)</f>
        <v>3680280</v>
      </c>
      <c r="F498" s="91">
        <f>COUNTIF($E$2:$E$7106,E498)</f>
        <v>18</v>
      </c>
    </row>
    <row r="499" spans="1:6" x14ac:dyDescent="0.2">
      <c r="A499">
        <v>2022</v>
      </c>
      <c r="B499" s="36">
        <v>6026</v>
      </c>
      <c r="C499" s="90" t="str">
        <f>VLOOKUP(B499,'All Districts'!$A$3:$B$874,2,FALSE)</f>
        <v>Dutchess</v>
      </c>
      <c r="D499" s="82">
        <v>1684932</v>
      </c>
      <c r="E499">
        <f>VLOOKUP(C499,'All Districts'!$B$3:$C$874,2,FALSE)</f>
        <v>3680280</v>
      </c>
      <c r="F499" s="91">
        <f>COUNTIF($E$2:$E$7106,E499)</f>
        <v>18</v>
      </c>
    </row>
    <row r="500" spans="1:6" x14ac:dyDescent="0.2">
      <c r="A500">
        <v>2023</v>
      </c>
      <c r="B500" s="36">
        <v>6026</v>
      </c>
      <c r="C500" s="90" t="str">
        <f>VLOOKUP(B500,'All Districts'!$A$3:$B$874,2,FALSE)</f>
        <v>Dutchess</v>
      </c>
      <c r="D500" s="40">
        <v>1868878</v>
      </c>
      <c r="E500">
        <f>VLOOKUP(C500,'All Districts'!$B$3:$C$874,2,FALSE)</f>
        <v>3680280</v>
      </c>
      <c r="F500" s="91">
        <f>COUNTIF($E$2:$E$7106,E500)</f>
        <v>18</v>
      </c>
    </row>
    <row r="501" spans="1:6" x14ac:dyDescent="0.2">
      <c r="A501">
        <v>2015</v>
      </c>
      <c r="B501" s="13">
        <v>8120</v>
      </c>
      <c r="C501" s="90" t="str">
        <f>VLOOKUP(B501,'All Districts'!$A$3:$B$874,2,FALSE)</f>
        <v>Dutchess</v>
      </c>
      <c r="D501" s="15">
        <v>843293</v>
      </c>
      <c r="E501">
        <f>VLOOKUP(C501,'All Districts'!$B$3:$C$874,2,FALSE)</f>
        <v>3680280</v>
      </c>
      <c r="F501" s="91">
        <f>COUNTIF($E$2:$E$7106,E501)</f>
        <v>18</v>
      </c>
    </row>
    <row r="502" spans="1:6" x14ac:dyDescent="0.2">
      <c r="A502">
        <v>2016</v>
      </c>
      <c r="B502" s="13">
        <v>8120</v>
      </c>
      <c r="C502" s="90" t="str">
        <f>VLOOKUP(B502,'All Districts'!$A$3:$B$874,2,FALSE)</f>
        <v>Dutchess</v>
      </c>
      <c r="D502" s="16">
        <v>739182</v>
      </c>
      <c r="E502">
        <f>VLOOKUP(C502,'All Districts'!$B$3:$C$874,2,FALSE)</f>
        <v>3680280</v>
      </c>
      <c r="F502" s="91">
        <f>COUNTIF($E$2:$E$7106,E502)</f>
        <v>18</v>
      </c>
    </row>
    <row r="503" spans="1:6" x14ac:dyDescent="0.2">
      <c r="A503">
        <v>2017</v>
      </c>
      <c r="B503" s="13">
        <v>8120</v>
      </c>
      <c r="C503" s="90" t="str">
        <f>VLOOKUP(B503,'All Districts'!$A$3:$B$874,2,FALSE)</f>
        <v>Dutchess</v>
      </c>
      <c r="D503" s="16">
        <v>675864</v>
      </c>
      <c r="E503">
        <f>VLOOKUP(C503,'All Districts'!$B$3:$C$874,2,FALSE)</f>
        <v>3680280</v>
      </c>
      <c r="F503" s="91">
        <f>COUNTIF($E$2:$E$7106,E503)</f>
        <v>18</v>
      </c>
    </row>
    <row r="504" spans="1:6" x14ac:dyDescent="0.2">
      <c r="A504" s="10">
        <v>2018</v>
      </c>
      <c r="B504" s="13">
        <v>8120</v>
      </c>
      <c r="C504" s="90" t="str">
        <f>VLOOKUP(B504,'All Districts'!$A$3:$B$874,2,FALSE)</f>
        <v>Dutchess</v>
      </c>
      <c r="D504" s="15">
        <v>624862</v>
      </c>
      <c r="E504">
        <f>VLOOKUP(C504,'All Districts'!$B$3:$C$874,2,FALSE)</f>
        <v>3680280</v>
      </c>
      <c r="F504" s="91">
        <f>COUNTIF($E$2:$E$7106,E504)</f>
        <v>18</v>
      </c>
    </row>
    <row r="505" spans="1:6" x14ac:dyDescent="0.2">
      <c r="A505">
        <v>2019</v>
      </c>
      <c r="B505" s="36">
        <v>8120</v>
      </c>
      <c r="C505" s="90" t="str">
        <f>VLOOKUP(B505,'All Districts'!$A$3:$B$874,2,FALSE)</f>
        <v>Dutchess</v>
      </c>
      <c r="D505" s="40">
        <v>733706</v>
      </c>
      <c r="E505">
        <f>VLOOKUP(C505,'All Districts'!$B$3:$C$874,2,FALSE)</f>
        <v>3680280</v>
      </c>
      <c r="F505" s="91">
        <f>COUNTIF($E$2:$E$7106,E505)</f>
        <v>18</v>
      </c>
    </row>
    <row r="506" spans="1:6" x14ac:dyDescent="0.2">
      <c r="A506">
        <v>2020</v>
      </c>
      <c r="B506" s="36">
        <v>8120</v>
      </c>
      <c r="C506" s="90" t="str">
        <f>VLOOKUP(B506,'All Districts'!$A$3:$B$874,2,FALSE)</f>
        <v>Dutchess</v>
      </c>
      <c r="D506" s="40">
        <v>640128</v>
      </c>
      <c r="E506">
        <f>VLOOKUP(C506,'All Districts'!$B$3:$C$874,2,FALSE)</f>
        <v>3680280</v>
      </c>
      <c r="F506" s="91">
        <f>COUNTIF($E$2:$E$7106,E506)</f>
        <v>18</v>
      </c>
    </row>
    <row r="507" spans="1:6" x14ac:dyDescent="0.2">
      <c r="A507" s="10">
        <v>2021</v>
      </c>
      <c r="B507" s="52">
        <v>8120</v>
      </c>
      <c r="C507" s="90" t="str">
        <f>VLOOKUP(B507,'All Districts'!$A$3:$B$874,2,FALSE)</f>
        <v>Dutchess</v>
      </c>
      <c r="D507" s="76">
        <v>632635</v>
      </c>
      <c r="E507">
        <f>VLOOKUP(C507,'All Districts'!$B$3:$C$874,2,FALSE)</f>
        <v>3680280</v>
      </c>
      <c r="F507" s="91">
        <f>COUNTIF($E$2:$E$7106,E507)</f>
        <v>18</v>
      </c>
    </row>
    <row r="508" spans="1:6" x14ac:dyDescent="0.2">
      <c r="A508">
        <v>2022</v>
      </c>
      <c r="B508" s="36">
        <v>8120</v>
      </c>
      <c r="C508" s="90" t="str">
        <f>VLOOKUP(B508,'All Districts'!$A$3:$B$874,2,FALSE)</f>
        <v>Dutchess</v>
      </c>
      <c r="D508" s="82">
        <v>682865</v>
      </c>
      <c r="E508">
        <f>VLOOKUP(C508,'All Districts'!$B$3:$C$874,2,FALSE)</f>
        <v>3680280</v>
      </c>
      <c r="F508" s="91">
        <f>COUNTIF($E$2:$E$7106,E508)</f>
        <v>18</v>
      </c>
    </row>
    <row r="509" spans="1:6" x14ac:dyDescent="0.2">
      <c r="A509">
        <v>2023</v>
      </c>
      <c r="B509" s="36">
        <v>8120</v>
      </c>
      <c r="C509" s="90" t="str">
        <f>VLOOKUP(B509,'All Districts'!$A$3:$B$874,2,FALSE)</f>
        <v>Dutchess</v>
      </c>
      <c r="D509" s="40">
        <v>746371</v>
      </c>
      <c r="E509">
        <f>VLOOKUP(C509,'All Districts'!$B$3:$C$874,2,FALSE)</f>
        <v>3680280</v>
      </c>
      <c r="F509" s="91">
        <f>COUNTIF($E$2:$E$7106,E509)</f>
        <v>18</v>
      </c>
    </row>
    <row r="510" spans="1:6" x14ac:dyDescent="0.2">
      <c r="A510">
        <v>2015</v>
      </c>
      <c r="B510" s="13">
        <v>6056</v>
      </c>
      <c r="C510" s="90" t="str">
        <f>VLOOKUP(B510,'All Districts'!$A$3:$B$874,2,FALSE)</f>
        <v>Nassau</v>
      </c>
      <c r="D510" s="15">
        <v>14754792</v>
      </c>
      <c r="E510">
        <f>VLOOKUP(C510,'All Districts'!$B$3:$C$874,2,FALSE)</f>
        <v>3680540</v>
      </c>
      <c r="F510" s="91">
        <f>COUNTIF($E$2:$E$7106,E510)</f>
        <v>18</v>
      </c>
    </row>
    <row r="511" spans="1:6" x14ac:dyDescent="0.2">
      <c r="A511">
        <v>2016</v>
      </c>
      <c r="B511" s="13">
        <v>6056</v>
      </c>
      <c r="C511" s="90" t="str">
        <f>VLOOKUP(B511,'All Districts'!$A$3:$B$874,2,FALSE)</f>
        <v>Nassau</v>
      </c>
      <c r="D511" s="16">
        <v>11168940</v>
      </c>
      <c r="E511">
        <f>VLOOKUP(C511,'All Districts'!$B$3:$C$874,2,FALSE)</f>
        <v>3680540</v>
      </c>
      <c r="F511" s="91">
        <f>COUNTIF($E$2:$E$7106,E511)</f>
        <v>18</v>
      </c>
    </row>
    <row r="512" spans="1:6" x14ac:dyDescent="0.2">
      <c r="A512">
        <v>2017</v>
      </c>
      <c r="B512" s="13">
        <v>6056</v>
      </c>
      <c r="C512" s="90" t="str">
        <f>VLOOKUP(B512,'All Districts'!$A$3:$B$874,2,FALSE)</f>
        <v>Nassau</v>
      </c>
      <c r="D512" s="16">
        <v>10345165</v>
      </c>
      <c r="E512">
        <f>VLOOKUP(C512,'All Districts'!$B$3:$C$874,2,FALSE)</f>
        <v>3680540</v>
      </c>
      <c r="F512" s="91">
        <f>COUNTIF($E$2:$E$7106,E512)</f>
        <v>18</v>
      </c>
    </row>
    <row r="513" spans="1:6" x14ac:dyDescent="0.2">
      <c r="A513" s="10">
        <v>2018</v>
      </c>
      <c r="B513" s="13">
        <v>6056</v>
      </c>
      <c r="C513" s="90" t="str">
        <f>VLOOKUP(B513,'All Districts'!$A$3:$B$874,2,FALSE)</f>
        <v>Nassau</v>
      </c>
      <c r="D513" s="15">
        <v>8853376</v>
      </c>
      <c r="E513">
        <f>VLOOKUP(C513,'All Districts'!$B$3:$C$874,2,FALSE)</f>
        <v>3680540</v>
      </c>
      <c r="F513" s="91">
        <f>COUNTIF($E$2:$E$7106,E513)</f>
        <v>18</v>
      </c>
    </row>
    <row r="514" spans="1:6" x14ac:dyDescent="0.2">
      <c r="A514">
        <v>2019</v>
      </c>
      <c r="B514" s="36">
        <v>6056</v>
      </c>
      <c r="C514" s="90" t="str">
        <f>VLOOKUP(B514,'All Districts'!$A$3:$B$874,2,FALSE)</f>
        <v>Nassau</v>
      </c>
      <c r="D514" s="40">
        <v>10175594</v>
      </c>
      <c r="E514">
        <f>VLOOKUP(C514,'All Districts'!$B$3:$C$874,2,FALSE)</f>
        <v>3680540</v>
      </c>
      <c r="F514" s="91">
        <f>COUNTIF($E$2:$E$7106,E514)</f>
        <v>18</v>
      </c>
    </row>
    <row r="515" spans="1:6" x14ac:dyDescent="0.2">
      <c r="A515">
        <v>2020</v>
      </c>
      <c r="B515" s="36">
        <v>6056</v>
      </c>
      <c r="C515" s="90" t="str">
        <f>VLOOKUP(B515,'All Districts'!$A$3:$B$874,2,FALSE)</f>
        <v>Nassau</v>
      </c>
      <c r="D515" s="40">
        <v>8571616</v>
      </c>
      <c r="E515">
        <f>VLOOKUP(C515,'All Districts'!$B$3:$C$874,2,FALSE)</f>
        <v>3680540</v>
      </c>
      <c r="F515" s="91">
        <f>COUNTIF($E$2:$E$7106,E515)</f>
        <v>18</v>
      </c>
    </row>
    <row r="516" spans="1:6" x14ac:dyDescent="0.2">
      <c r="A516" s="10">
        <v>2021</v>
      </c>
      <c r="B516" s="52">
        <v>6056</v>
      </c>
      <c r="C516" s="90" t="str">
        <f>VLOOKUP(B516,'All Districts'!$A$3:$B$874,2,FALSE)</f>
        <v>Nassau</v>
      </c>
      <c r="D516" s="76">
        <v>9205551</v>
      </c>
      <c r="E516">
        <f>VLOOKUP(C516,'All Districts'!$B$3:$C$874,2,FALSE)</f>
        <v>3680540</v>
      </c>
      <c r="F516" s="91">
        <f>COUNTIF($E$2:$E$7106,E516)</f>
        <v>18</v>
      </c>
    </row>
    <row r="517" spans="1:6" x14ac:dyDescent="0.2">
      <c r="A517">
        <v>2022</v>
      </c>
      <c r="B517" s="36">
        <v>6056</v>
      </c>
      <c r="C517" s="90" t="str">
        <f>VLOOKUP(B517,'All Districts'!$A$3:$B$874,2,FALSE)</f>
        <v>Nassau</v>
      </c>
      <c r="D517" s="82">
        <v>10018568</v>
      </c>
      <c r="E517">
        <f>VLOOKUP(C517,'All Districts'!$B$3:$C$874,2,FALSE)</f>
        <v>3680540</v>
      </c>
      <c r="F517" s="91">
        <f>COUNTIF($E$2:$E$7106,E517)</f>
        <v>18</v>
      </c>
    </row>
    <row r="518" spans="1:6" x14ac:dyDescent="0.2">
      <c r="A518">
        <v>2023</v>
      </c>
      <c r="B518" s="36">
        <v>6056</v>
      </c>
      <c r="C518" s="90" t="str">
        <f>VLOOKUP(B518,'All Districts'!$A$3:$B$874,2,FALSE)</f>
        <v>Nassau</v>
      </c>
      <c r="D518" s="40">
        <v>11220467</v>
      </c>
      <c r="E518">
        <f>VLOOKUP(C518,'All Districts'!$B$3:$C$874,2,FALSE)</f>
        <v>3680540</v>
      </c>
      <c r="F518" s="91">
        <f>COUNTIF($E$2:$E$7106,E518)</f>
        <v>18</v>
      </c>
    </row>
    <row r="519" spans="1:6" x14ac:dyDescent="0.2">
      <c r="A519">
        <v>2015</v>
      </c>
      <c r="B519" s="13">
        <v>8150</v>
      </c>
      <c r="C519" s="90" t="str">
        <f>VLOOKUP(B519,'All Districts'!$A$3:$B$874,2,FALSE)</f>
        <v>Nassau</v>
      </c>
      <c r="D519" s="15">
        <v>3800003</v>
      </c>
      <c r="E519">
        <f>VLOOKUP(C519,'All Districts'!$B$3:$C$874,2,FALSE)</f>
        <v>3680540</v>
      </c>
      <c r="F519" s="91">
        <f>COUNTIF($E$2:$E$7106,E519)</f>
        <v>18</v>
      </c>
    </row>
    <row r="520" spans="1:6" x14ac:dyDescent="0.2">
      <c r="A520">
        <v>2016</v>
      </c>
      <c r="B520" s="13">
        <v>8150</v>
      </c>
      <c r="C520" s="90" t="str">
        <f>VLOOKUP(B520,'All Districts'!$A$3:$B$874,2,FALSE)</f>
        <v>Nassau</v>
      </c>
      <c r="D520" s="16">
        <v>2745157</v>
      </c>
      <c r="E520">
        <f>VLOOKUP(C520,'All Districts'!$B$3:$C$874,2,FALSE)</f>
        <v>3680540</v>
      </c>
      <c r="F520" s="91">
        <f>COUNTIF($E$2:$E$7106,E520)</f>
        <v>18</v>
      </c>
    </row>
    <row r="521" spans="1:6" x14ac:dyDescent="0.2">
      <c r="A521">
        <v>2017</v>
      </c>
      <c r="B521" s="13">
        <v>8150</v>
      </c>
      <c r="C521" s="90" t="str">
        <f>VLOOKUP(B521,'All Districts'!$A$3:$B$874,2,FALSE)</f>
        <v>Nassau</v>
      </c>
      <c r="D521" s="16">
        <v>2410768</v>
      </c>
      <c r="E521">
        <f>VLOOKUP(C521,'All Districts'!$B$3:$C$874,2,FALSE)</f>
        <v>3680540</v>
      </c>
      <c r="F521" s="91">
        <f>COUNTIF($E$2:$E$7106,E521)</f>
        <v>18</v>
      </c>
    </row>
    <row r="522" spans="1:6" x14ac:dyDescent="0.2">
      <c r="A522" s="10">
        <v>2018</v>
      </c>
      <c r="B522" s="13">
        <v>8150</v>
      </c>
      <c r="C522" s="90" t="str">
        <f>VLOOKUP(B522,'All Districts'!$A$3:$B$874,2,FALSE)</f>
        <v>Nassau</v>
      </c>
      <c r="D522" s="15">
        <v>2160596</v>
      </c>
      <c r="E522">
        <f>VLOOKUP(C522,'All Districts'!$B$3:$C$874,2,FALSE)</f>
        <v>3680540</v>
      </c>
      <c r="F522" s="91">
        <f>COUNTIF($E$2:$E$7106,E522)</f>
        <v>18</v>
      </c>
    </row>
    <row r="523" spans="1:6" x14ac:dyDescent="0.2">
      <c r="A523">
        <v>2019</v>
      </c>
      <c r="B523" s="36">
        <v>8150</v>
      </c>
      <c r="C523" s="90" t="str">
        <f>VLOOKUP(B523,'All Districts'!$A$3:$B$874,2,FALSE)</f>
        <v>Nassau</v>
      </c>
      <c r="D523" s="40">
        <v>2334502</v>
      </c>
      <c r="E523">
        <f>VLOOKUP(C523,'All Districts'!$B$3:$C$874,2,FALSE)</f>
        <v>3680540</v>
      </c>
      <c r="F523" s="91">
        <f>COUNTIF($E$2:$E$7106,E523)</f>
        <v>18</v>
      </c>
    </row>
    <row r="524" spans="1:6" x14ac:dyDescent="0.2">
      <c r="A524">
        <v>2020</v>
      </c>
      <c r="B524" s="36">
        <v>8150</v>
      </c>
      <c r="C524" s="90" t="str">
        <f>VLOOKUP(B524,'All Districts'!$A$3:$B$874,2,FALSE)</f>
        <v>Nassau</v>
      </c>
      <c r="D524" s="40">
        <v>2139278</v>
      </c>
      <c r="E524">
        <f>VLOOKUP(C524,'All Districts'!$B$3:$C$874,2,FALSE)</f>
        <v>3680540</v>
      </c>
      <c r="F524" s="91">
        <f>COUNTIF($E$2:$E$7106,E524)</f>
        <v>18</v>
      </c>
    </row>
    <row r="525" spans="1:6" x14ac:dyDescent="0.2">
      <c r="A525" s="10">
        <v>2021</v>
      </c>
      <c r="B525" s="55">
        <v>8150</v>
      </c>
      <c r="C525" s="90" t="str">
        <f>VLOOKUP(B525,'All Districts'!$A$3:$B$874,2,FALSE)</f>
        <v>Nassau</v>
      </c>
      <c r="D525" s="75">
        <v>2009078</v>
      </c>
      <c r="E525">
        <f>VLOOKUP(C525,'All Districts'!$B$3:$C$874,2,FALSE)</f>
        <v>3680540</v>
      </c>
      <c r="F525" s="91">
        <f>COUNTIF($E$2:$E$7106,E525)</f>
        <v>18</v>
      </c>
    </row>
    <row r="526" spans="1:6" x14ac:dyDescent="0.2">
      <c r="A526">
        <v>2022</v>
      </c>
      <c r="B526" s="36">
        <v>8150</v>
      </c>
      <c r="C526" s="90" t="str">
        <f>VLOOKUP(B526,'All Districts'!$A$3:$B$874,2,FALSE)</f>
        <v>Nassau</v>
      </c>
      <c r="D526" s="82">
        <v>2151077</v>
      </c>
      <c r="E526">
        <f>VLOOKUP(C526,'All Districts'!$B$3:$C$874,2,FALSE)</f>
        <v>3680540</v>
      </c>
      <c r="F526" s="91">
        <f>COUNTIF($E$2:$E$7106,E526)</f>
        <v>18</v>
      </c>
    </row>
    <row r="527" spans="1:6" x14ac:dyDescent="0.2">
      <c r="A527">
        <v>2023</v>
      </c>
      <c r="B527" s="36">
        <v>8150</v>
      </c>
      <c r="C527" s="90" t="str">
        <f>VLOOKUP(B527,'All Districts'!$A$3:$B$874,2,FALSE)</f>
        <v>Nassau</v>
      </c>
      <c r="D527" s="40">
        <v>2206685</v>
      </c>
      <c r="E527">
        <f>VLOOKUP(C527,'All Districts'!$B$3:$C$874,2,FALSE)</f>
        <v>3680540</v>
      </c>
      <c r="F527" s="91">
        <f>COUNTIF($E$2:$E$7106,E527)</f>
        <v>18</v>
      </c>
    </row>
    <row r="528" spans="1:6" x14ac:dyDescent="0.2">
      <c r="A528">
        <v>2015</v>
      </c>
      <c r="B528" s="13">
        <v>1205</v>
      </c>
      <c r="C528" s="90" t="str">
        <f>VLOOKUP(B528,'All Districts'!$A$3:$B$874,2,FALSE)</f>
        <v>Oswego</v>
      </c>
      <c r="D528" s="14">
        <v>5211761</v>
      </c>
      <c r="E528">
        <f>VLOOKUP(C528,'All Districts'!$B$3:$C$874,2,FALSE)</f>
        <v>3680660</v>
      </c>
      <c r="F528" s="91">
        <f>COUNTIF($E$2:$E$7106,E528)</f>
        <v>18</v>
      </c>
    </row>
    <row r="529" spans="1:6" x14ac:dyDescent="0.2">
      <c r="A529">
        <v>2016</v>
      </c>
      <c r="B529" s="13">
        <v>1205</v>
      </c>
      <c r="C529" s="90" t="str">
        <f>VLOOKUP(B529,'All Districts'!$A$3:$B$874,2,FALSE)</f>
        <v>Oswego</v>
      </c>
      <c r="D529" s="16">
        <v>3840374</v>
      </c>
      <c r="E529">
        <f>VLOOKUP(C529,'All Districts'!$B$3:$C$874,2,FALSE)</f>
        <v>3680660</v>
      </c>
      <c r="F529" s="91">
        <f>COUNTIF($E$2:$E$7106,E529)</f>
        <v>18</v>
      </c>
    </row>
    <row r="530" spans="1:6" x14ac:dyDescent="0.2">
      <c r="A530">
        <v>2017</v>
      </c>
      <c r="B530" s="13">
        <v>1205</v>
      </c>
      <c r="C530" s="90" t="str">
        <f>VLOOKUP(B530,'All Districts'!$A$3:$B$874,2,FALSE)</f>
        <v>Oswego</v>
      </c>
      <c r="D530" s="16">
        <v>3114240</v>
      </c>
      <c r="E530">
        <f>VLOOKUP(C530,'All Districts'!$B$3:$C$874,2,FALSE)</f>
        <v>3680660</v>
      </c>
      <c r="F530" s="91">
        <f>COUNTIF($E$2:$E$7106,E530)</f>
        <v>18</v>
      </c>
    </row>
    <row r="531" spans="1:6" x14ac:dyDescent="0.2">
      <c r="A531" s="10">
        <v>2018</v>
      </c>
      <c r="B531" s="13">
        <v>1205</v>
      </c>
      <c r="C531" s="90" t="str">
        <f>VLOOKUP(B531,'All Districts'!$A$3:$B$874,2,FALSE)</f>
        <v>Oswego</v>
      </c>
      <c r="D531" s="15">
        <v>2748088</v>
      </c>
      <c r="E531">
        <f>VLOOKUP(C531,'All Districts'!$B$3:$C$874,2,FALSE)</f>
        <v>3680660</v>
      </c>
      <c r="F531" s="91">
        <f>COUNTIF($E$2:$E$7106,E531)</f>
        <v>18</v>
      </c>
    </row>
    <row r="532" spans="1:6" x14ac:dyDescent="0.2">
      <c r="A532">
        <v>2019</v>
      </c>
      <c r="B532" s="36">
        <v>1205</v>
      </c>
      <c r="C532" s="90" t="str">
        <f>VLOOKUP(B532,'All Districts'!$A$3:$B$874,2,FALSE)</f>
        <v>Oswego</v>
      </c>
      <c r="D532" s="40">
        <v>3169373</v>
      </c>
      <c r="E532">
        <f>VLOOKUP(C532,'All Districts'!$B$3:$C$874,2,FALSE)</f>
        <v>3680660</v>
      </c>
      <c r="F532" s="91">
        <f>COUNTIF($E$2:$E$7106,E532)</f>
        <v>18</v>
      </c>
    </row>
    <row r="533" spans="1:6" x14ac:dyDescent="0.2">
      <c r="A533">
        <v>2020</v>
      </c>
      <c r="B533" s="36">
        <v>1205</v>
      </c>
      <c r="C533" s="90" t="str">
        <f>VLOOKUP(B533,'All Districts'!$A$3:$B$874,2,FALSE)</f>
        <v>Oswego</v>
      </c>
      <c r="D533" s="40">
        <v>2747132</v>
      </c>
      <c r="E533">
        <f>VLOOKUP(C533,'All Districts'!$B$3:$C$874,2,FALSE)</f>
        <v>3680660</v>
      </c>
      <c r="F533" s="91">
        <f>COUNTIF($E$2:$E$7106,E533)</f>
        <v>18</v>
      </c>
    </row>
    <row r="534" spans="1:6" x14ac:dyDescent="0.2">
      <c r="A534" s="10">
        <v>2021</v>
      </c>
      <c r="B534" s="52">
        <v>1205</v>
      </c>
      <c r="C534" s="90" t="str">
        <f>VLOOKUP(B534,'All Districts'!$A$3:$B$874,2,FALSE)</f>
        <v>Oswego</v>
      </c>
      <c r="D534" s="75">
        <v>3034394</v>
      </c>
      <c r="E534">
        <f>VLOOKUP(C534,'All Districts'!$B$3:$C$874,2,FALSE)</f>
        <v>3680660</v>
      </c>
      <c r="F534" s="91">
        <f>COUNTIF($E$2:$E$7106,E534)</f>
        <v>18</v>
      </c>
    </row>
    <row r="535" spans="1:6" x14ac:dyDescent="0.2">
      <c r="A535">
        <v>2022</v>
      </c>
      <c r="B535" s="36">
        <v>1205</v>
      </c>
      <c r="C535" s="90" t="str">
        <f>VLOOKUP(B535,'All Districts'!$A$3:$B$874,2,FALSE)</f>
        <v>Oswego</v>
      </c>
      <c r="D535" s="82">
        <v>3523079</v>
      </c>
      <c r="E535">
        <f>VLOOKUP(C535,'All Districts'!$B$3:$C$874,2,FALSE)</f>
        <v>3680660</v>
      </c>
      <c r="F535" s="91">
        <f>COUNTIF($E$2:$E$7106,E535)</f>
        <v>18</v>
      </c>
    </row>
    <row r="536" spans="1:6" x14ac:dyDescent="0.2">
      <c r="A536">
        <v>2023</v>
      </c>
      <c r="B536" s="36">
        <v>1205</v>
      </c>
      <c r="C536" s="90" t="str">
        <f>VLOOKUP(B536,'All Districts'!$A$3:$B$874,2,FALSE)</f>
        <v>Oswego</v>
      </c>
      <c r="D536" s="40">
        <v>3839602</v>
      </c>
      <c r="E536">
        <f>VLOOKUP(C536,'All Districts'!$B$3:$C$874,2,FALSE)</f>
        <v>3680660</v>
      </c>
      <c r="F536" s="91">
        <f>COUNTIF($E$2:$E$7106,E536)</f>
        <v>18</v>
      </c>
    </row>
    <row r="537" spans="1:6" x14ac:dyDescent="0.2">
      <c r="A537">
        <v>2015</v>
      </c>
      <c r="B537" s="13">
        <v>6068</v>
      </c>
      <c r="C537" s="90" t="str">
        <f>VLOOKUP(B537,'All Districts'!$A$3:$B$874,2,FALSE)</f>
        <v>Oswego</v>
      </c>
      <c r="D537" s="15">
        <v>2114525</v>
      </c>
      <c r="E537">
        <f>VLOOKUP(C537,'All Districts'!$B$3:$C$874,2,FALSE)</f>
        <v>3680660</v>
      </c>
      <c r="F537" s="91">
        <f>COUNTIF($E$2:$E$7106,E537)</f>
        <v>18</v>
      </c>
    </row>
    <row r="538" spans="1:6" x14ac:dyDescent="0.2">
      <c r="A538">
        <v>2016</v>
      </c>
      <c r="B538" s="13">
        <v>6068</v>
      </c>
      <c r="C538" s="90" t="str">
        <f>VLOOKUP(B538,'All Districts'!$A$3:$B$874,2,FALSE)</f>
        <v>Oswego</v>
      </c>
      <c r="D538" s="16">
        <v>1673935</v>
      </c>
      <c r="E538">
        <f>VLOOKUP(C538,'All Districts'!$B$3:$C$874,2,FALSE)</f>
        <v>3680660</v>
      </c>
      <c r="F538" s="91">
        <f>COUNTIF($E$2:$E$7106,E538)</f>
        <v>18</v>
      </c>
    </row>
    <row r="539" spans="1:6" x14ac:dyDescent="0.2">
      <c r="A539">
        <v>2017</v>
      </c>
      <c r="B539" s="13">
        <v>6068</v>
      </c>
      <c r="C539" s="90" t="str">
        <f>VLOOKUP(B539,'All Districts'!$A$3:$B$874,2,FALSE)</f>
        <v>Oswego</v>
      </c>
      <c r="D539" s="16">
        <v>1546587</v>
      </c>
      <c r="E539">
        <f>VLOOKUP(C539,'All Districts'!$B$3:$C$874,2,FALSE)</f>
        <v>3680660</v>
      </c>
      <c r="F539" s="91">
        <f>COUNTIF($E$2:$E$7106,E539)</f>
        <v>18</v>
      </c>
    </row>
    <row r="540" spans="1:6" x14ac:dyDescent="0.2">
      <c r="A540" s="10">
        <v>2018</v>
      </c>
      <c r="B540" s="13">
        <v>6068</v>
      </c>
      <c r="C540" s="90" t="str">
        <f>VLOOKUP(B540,'All Districts'!$A$3:$B$874,2,FALSE)</f>
        <v>Oswego</v>
      </c>
      <c r="D540" s="15">
        <v>1509886</v>
      </c>
      <c r="E540">
        <f>VLOOKUP(C540,'All Districts'!$B$3:$C$874,2,FALSE)</f>
        <v>3680660</v>
      </c>
      <c r="F540" s="91">
        <f>COUNTIF($E$2:$E$7106,E540)</f>
        <v>18</v>
      </c>
    </row>
    <row r="541" spans="1:6" x14ac:dyDescent="0.2">
      <c r="A541">
        <v>2019</v>
      </c>
      <c r="B541" s="36">
        <v>6068</v>
      </c>
      <c r="C541" s="90" t="str">
        <f>VLOOKUP(B541,'All Districts'!$A$3:$B$874,2,FALSE)</f>
        <v>Oswego</v>
      </c>
      <c r="D541" s="40">
        <v>1807995</v>
      </c>
      <c r="E541">
        <f>VLOOKUP(C541,'All Districts'!$B$3:$C$874,2,FALSE)</f>
        <v>3680660</v>
      </c>
      <c r="F541" s="91">
        <f>COUNTIF($E$2:$E$7106,E541)</f>
        <v>18</v>
      </c>
    </row>
    <row r="542" spans="1:6" x14ac:dyDescent="0.2">
      <c r="A542">
        <v>2020</v>
      </c>
      <c r="B542" s="36">
        <v>6068</v>
      </c>
      <c r="C542" s="90" t="str">
        <f>VLOOKUP(B542,'All Districts'!$A$3:$B$874,2,FALSE)</f>
        <v>Oswego</v>
      </c>
      <c r="D542" s="40">
        <v>1591299</v>
      </c>
      <c r="E542">
        <f>VLOOKUP(C542,'All Districts'!$B$3:$C$874,2,FALSE)</f>
        <v>3680660</v>
      </c>
      <c r="F542" s="91">
        <f>COUNTIF($E$2:$E$7106,E542)</f>
        <v>18</v>
      </c>
    </row>
    <row r="543" spans="1:6" x14ac:dyDescent="0.2">
      <c r="A543" s="10">
        <v>2021</v>
      </c>
      <c r="B543" s="52">
        <v>6068</v>
      </c>
      <c r="C543" s="90" t="str">
        <f>VLOOKUP(B543,'All Districts'!$A$3:$B$874,2,FALSE)</f>
        <v>Oswego</v>
      </c>
      <c r="D543" s="76">
        <v>1686735</v>
      </c>
      <c r="E543">
        <f>VLOOKUP(C543,'All Districts'!$B$3:$C$874,2,FALSE)</f>
        <v>3680660</v>
      </c>
      <c r="F543" s="91">
        <f>COUNTIF($E$2:$E$7106,E543)</f>
        <v>18</v>
      </c>
    </row>
    <row r="544" spans="1:6" x14ac:dyDescent="0.2">
      <c r="A544">
        <v>2022</v>
      </c>
      <c r="B544" s="36">
        <v>6068</v>
      </c>
      <c r="C544" s="90" t="str">
        <f>VLOOKUP(B544,'All Districts'!$A$3:$B$874,2,FALSE)</f>
        <v>Oswego</v>
      </c>
      <c r="D544" s="82">
        <v>1803635</v>
      </c>
      <c r="E544">
        <f>VLOOKUP(C544,'All Districts'!$B$3:$C$874,2,FALSE)</f>
        <v>3680660</v>
      </c>
      <c r="F544" s="91">
        <f>COUNTIF($E$2:$E$7106,E544)</f>
        <v>18</v>
      </c>
    </row>
    <row r="545" spans="1:6" x14ac:dyDescent="0.2">
      <c r="A545">
        <v>2023</v>
      </c>
      <c r="B545" s="36">
        <v>6068</v>
      </c>
      <c r="C545" s="90" t="str">
        <f>VLOOKUP(B545,'All Districts'!$A$3:$B$874,2,FALSE)</f>
        <v>Oswego</v>
      </c>
      <c r="D545" s="40">
        <v>2009478</v>
      </c>
      <c r="E545">
        <f>VLOOKUP(C545,'All Districts'!$B$3:$C$874,2,FALSE)</f>
        <v>3680660</v>
      </c>
      <c r="F545" s="91">
        <f>COUNTIF($E$2:$E$7106,E545)</f>
        <v>18</v>
      </c>
    </row>
    <row r="546" spans="1:6" x14ac:dyDescent="0.2">
      <c r="A546">
        <v>2015</v>
      </c>
      <c r="B546" s="13">
        <v>6078</v>
      </c>
      <c r="C546" s="90" t="str">
        <f>VLOOKUP(B546,'All Districts'!$A$3:$B$874,2,FALSE)</f>
        <v>Rockland</v>
      </c>
      <c r="D546" s="15">
        <v>6714948</v>
      </c>
      <c r="E546">
        <f>VLOOKUP(C546,'All Districts'!$B$3:$C$874,2,FALSE)</f>
        <v>3680720</v>
      </c>
      <c r="F546" s="91">
        <f>COUNTIF($E$2:$E$7106,E546)</f>
        <v>18</v>
      </c>
    </row>
    <row r="547" spans="1:6" x14ac:dyDescent="0.2">
      <c r="A547">
        <v>2016</v>
      </c>
      <c r="B547" s="13">
        <v>6078</v>
      </c>
      <c r="C547" s="90" t="str">
        <f>VLOOKUP(B547,'All Districts'!$A$3:$B$874,2,FALSE)</f>
        <v>Rockland</v>
      </c>
      <c r="D547" s="16">
        <v>5293989</v>
      </c>
      <c r="E547">
        <f>VLOOKUP(C547,'All Districts'!$B$3:$C$874,2,FALSE)</f>
        <v>3680720</v>
      </c>
      <c r="F547" s="91">
        <f>COUNTIF($E$2:$E$7106,E547)</f>
        <v>18</v>
      </c>
    </row>
    <row r="548" spans="1:6" x14ac:dyDescent="0.2">
      <c r="A548">
        <v>2017</v>
      </c>
      <c r="B548" s="13">
        <v>6078</v>
      </c>
      <c r="C548" s="90" t="str">
        <f>VLOOKUP(B548,'All Districts'!$A$3:$B$874,2,FALSE)</f>
        <v>Rockland</v>
      </c>
      <c r="D548" s="16">
        <v>4887608</v>
      </c>
      <c r="E548">
        <f>VLOOKUP(C548,'All Districts'!$B$3:$C$874,2,FALSE)</f>
        <v>3680720</v>
      </c>
      <c r="F548" s="91">
        <f>COUNTIF($E$2:$E$7106,E548)</f>
        <v>18</v>
      </c>
    </row>
    <row r="549" spans="1:6" x14ac:dyDescent="0.2">
      <c r="A549" s="10">
        <v>2018</v>
      </c>
      <c r="B549" s="13">
        <v>6078</v>
      </c>
      <c r="C549" s="90" t="str">
        <f>VLOOKUP(B549,'All Districts'!$A$3:$B$874,2,FALSE)</f>
        <v>Rockland</v>
      </c>
      <c r="D549" s="15">
        <v>4269329</v>
      </c>
      <c r="E549">
        <f>VLOOKUP(C549,'All Districts'!$B$3:$C$874,2,FALSE)</f>
        <v>3680720</v>
      </c>
      <c r="F549" s="91">
        <f>COUNTIF($E$2:$E$7106,E549)</f>
        <v>18</v>
      </c>
    </row>
    <row r="550" spans="1:6" x14ac:dyDescent="0.2">
      <c r="A550">
        <v>2019</v>
      </c>
      <c r="B550" s="36">
        <v>6078</v>
      </c>
      <c r="C550" s="90" t="str">
        <f>VLOOKUP(B550,'All Districts'!$A$3:$B$874,2,FALSE)</f>
        <v>Rockland</v>
      </c>
      <c r="D550" s="40">
        <v>4887540</v>
      </c>
      <c r="E550">
        <f>VLOOKUP(C550,'All Districts'!$B$3:$C$874,2,FALSE)</f>
        <v>3680720</v>
      </c>
      <c r="F550" s="91">
        <f>COUNTIF($E$2:$E$7106,E550)</f>
        <v>18</v>
      </c>
    </row>
    <row r="551" spans="1:6" x14ac:dyDescent="0.2">
      <c r="A551">
        <v>2020</v>
      </c>
      <c r="B551" s="36">
        <v>6078</v>
      </c>
      <c r="C551" s="90" t="str">
        <f>VLOOKUP(B551,'All Districts'!$A$3:$B$874,2,FALSE)</f>
        <v>Rockland</v>
      </c>
      <c r="D551" s="40">
        <v>4017795</v>
      </c>
      <c r="E551">
        <f>VLOOKUP(C551,'All Districts'!$B$3:$C$874,2,FALSE)</f>
        <v>3680720</v>
      </c>
      <c r="F551" s="91">
        <f>COUNTIF($E$2:$E$7106,E551)</f>
        <v>18</v>
      </c>
    </row>
    <row r="552" spans="1:6" x14ac:dyDescent="0.2">
      <c r="A552" s="10">
        <v>2021</v>
      </c>
      <c r="B552" s="55">
        <v>6078</v>
      </c>
      <c r="C552" s="90" t="str">
        <f>VLOOKUP(B552,'All Districts'!$A$3:$B$874,2,FALSE)</f>
        <v>Rockland</v>
      </c>
      <c r="D552" s="76">
        <v>4364228</v>
      </c>
      <c r="E552">
        <f>VLOOKUP(C552,'All Districts'!$B$3:$C$874,2,FALSE)</f>
        <v>3680720</v>
      </c>
      <c r="F552" s="91">
        <f>COUNTIF($E$2:$E$7106,E552)</f>
        <v>18</v>
      </c>
    </row>
    <row r="553" spans="1:6" x14ac:dyDescent="0.2">
      <c r="A553">
        <v>2022</v>
      </c>
      <c r="B553" s="36">
        <v>6078</v>
      </c>
      <c r="C553" s="90" t="str">
        <f>VLOOKUP(B553,'All Districts'!$A$3:$B$874,2,FALSE)</f>
        <v>Rockland</v>
      </c>
      <c r="D553" s="82">
        <v>4444349</v>
      </c>
      <c r="E553">
        <f>VLOOKUP(C553,'All Districts'!$B$3:$C$874,2,FALSE)</f>
        <v>3680720</v>
      </c>
      <c r="F553" s="91">
        <f>COUNTIF($E$2:$E$7106,E553)</f>
        <v>18</v>
      </c>
    </row>
    <row r="554" spans="1:6" x14ac:dyDescent="0.2">
      <c r="A554">
        <v>2023</v>
      </c>
      <c r="B554" s="36">
        <v>6078</v>
      </c>
      <c r="C554" s="90" t="str">
        <f>VLOOKUP(B554,'All Districts'!$A$3:$B$874,2,FALSE)</f>
        <v>Rockland</v>
      </c>
      <c r="D554" s="40">
        <v>4718688</v>
      </c>
      <c r="E554">
        <f>VLOOKUP(C554,'All Districts'!$B$3:$C$874,2,FALSE)</f>
        <v>3680720</v>
      </c>
      <c r="F554" s="91">
        <f>COUNTIF($E$2:$E$7106,E554)</f>
        <v>18</v>
      </c>
    </row>
    <row r="555" spans="1:6" x14ac:dyDescent="0.2">
      <c r="A555">
        <v>2015</v>
      </c>
      <c r="B555" s="13">
        <v>8160</v>
      </c>
      <c r="C555" s="90" t="str">
        <f>VLOOKUP(B555,'All Districts'!$A$3:$B$874,2,FALSE)</f>
        <v>Rockland</v>
      </c>
      <c r="D555" s="15">
        <v>975048</v>
      </c>
      <c r="E555">
        <f>VLOOKUP(C555,'All Districts'!$B$3:$C$874,2,FALSE)</f>
        <v>3680720</v>
      </c>
      <c r="F555" s="91">
        <f>COUNTIF($E$2:$E$7106,E555)</f>
        <v>18</v>
      </c>
    </row>
    <row r="556" spans="1:6" x14ac:dyDescent="0.2">
      <c r="A556">
        <v>2016</v>
      </c>
      <c r="B556" s="13">
        <v>8160</v>
      </c>
      <c r="C556" s="90" t="str">
        <f>VLOOKUP(B556,'All Districts'!$A$3:$B$874,2,FALSE)</f>
        <v>Rockland</v>
      </c>
      <c r="D556" s="16">
        <v>656552</v>
      </c>
      <c r="E556">
        <f>VLOOKUP(C556,'All Districts'!$B$3:$C$874,2,FALSE)</f>
        <v>3680720</v>
      </c>
      <c r="F556" s="91">
        <f>COUNTIF($E$2:$E$7106,E556)</f>
        <v>18</v>
      </c>
    </row>
    <row r="557" spans="1:6" x14ac:dyDescent="0.2">
      <c r="A557">
        <v>2017</v>
      </c>
      <c r="B557" s="13">
        <v>8160</v>
      </c>
      <c r="C557" s="90" t="str">
        <f>VLOOKUP(B557,'All Districts'!$A$3:$B$874,2,FALSE)</f>
        <v>Rockland</v>
      </c>
      <c r="D557" s="16">
        <v>774588</v>
      </c>
      <c r="E557">
        <f>VLOOKUP(C557,'All Districts'!$B$3:$C$874,2,FALSE)</f>
        <v>3680720</v>
      </c>
      <c r="F557" s="91">
        <f>COUNTIF($E$2:$E$7106,E557)</f>
        <v>18</v>
      </c>
    </row>
    <row r="558" spans="1:6" x14ac:dyDescent="0.2">
      <c r="A558" s="10">
        <v>2018</v>
      </c>
      <c r="B558" s="13">
        <v>8160</v>
      </c>
      <c r="C558" s="90" t="str">
        <f>VLOOKUP(B558,'All Districts'!$A$3:$B$874,2,FALSE)</f>
        <v>Rockland</v>
      </c>
      <c r="D558" s="15">
        <v>672512</v>
      </c>
      <c r="E558">
        <f>VLOOKUP(C558,'All Districts'!$B$3:$C$874,2,FALSE)</f>
        <v>3680720</v>
      </c>
      <c r="F558" s="91">
        <f>COUNTIF($E$2:$E$7106,E558)</f>
        <v>18</v>
      </c>
    </row>
    <row r="559" spans="1:6" x14ac:dyDescent="0.2">
      <c r="A559">
        <v>2019</v>
      </c>
      <c r="B559" s="36">
        <v>8160</v>
      </c>
      <c r="C559" s="90" t="str">
        <f>VLOOKUP(B559,'All Districts'!$A$3:$B$874,2,FALSE)</f>
        <v>Rockland</v>
      </c>
      <c r="D559" s="40">
        <v>737265</v>
      </c>
      <c r="E559">
        <f>VLOOKUP(C559,'All Districts'!$B$3:$C$874,2,FALSE)</f>
        <v>3680720</v>
      </c>
      <c r="F559" s="91">
        <f>COUNTIF($E$2:$E$7106,E559)</f>
        <v>18</v>
      </c>
    </row>
    <row r="560" spans="1:6" x14ac:dyDescent="0.2">
      <c r="A560">
        <v>2020</v>
      </c>
      <c r="B560" s="36">
        <v>8160</v>
      </c>
      <c r="C560" s="90" t="str">
        <f>VLOOKUP(B560,'All Districts'!$A$3:$B$874,2,FALSE)</f>
        <v>Rockland</v>
      </c>
      <c r="D560" s="40">
        <v>606281</v>
      </c>
      <c r="E560">
        <f>VLOOKUP(C560,'All Districts'!$B$3:$C$874,2,FALSE)</f>
        <v>3680720</v>
      </c>
      <c r="F560" s="91">
        <f>COUNTIF($E$2:$E$7106,E560)</f>
        <v>18</v>
      </c>
    </row>
    <row r="561" spans="1:6" x14ac:dyDescent="0.2">
      <c r="A561" s="10">
        <v>2021</v>
      </c>
      <c r="B561" s="52">
        <v>8160</v>
      </c>
      <c r="C561" s="90" t="str">
        <f>VLOOKUP(B561,'All Districts'!$A$3:$B$874,2,FALSE)</f>
        <v>Rockland</v>
      </c>
      <c r="D561" s="76">
        <v>634704</v>
      </c>
      <c r="E561">
        <f>VLOOKUP(C561,'All Districts'!$B$3:$C$874,2,FALSE)</f>
        <v>3680720</v>
      </c>
      <c r="F561" s="91">
        <f>COUNTIF($E$2:$E$7106,E561)</f>
        <v>18</v>
      </c>
    </row>
    <row r="562" spans="1:6" x14ac:dyDescent="0.2">
      <c r="A562">
        <v>2022</v>
      </c>
      <c r="B562" s="36">
        <v>8160</v>
      </c>
      <c r="C562" s="90" t="str">
        <f>VLOOKUP(B562,'All Districts'!$A$3:$B$874,2,FALSE)</f>
        <v>Rockland</v>
      </c>
      <c r="D562" s="82">
        <v>687982</v>
      </c>
      <c r="E562">
        <f>VLOOKUP(C562,'All Districts'!$B$3:$C$874,2,FALSE)</f>
        <v>3680720</v>
      </c>
      <c r="F562" s="91">
        <f>COUNTIF($E$2:$E$7106,E562)</f>
        <v>18</v>
      </c>
    </row>
    <row r="563" spans="1:6" x14ac:dyDescent="0.2">
      <c r="A563">
        <v>2023</v>
      </c>
      <c r="B563" s="36">
        <v>8160</v>
      </c>
      <c r="C563" s="90" t="str">
        <f>VLOOKUP(B563,'All Districts'!$A$3:$B$874,2,FALSE)</f>
        <v>Rockland</v>
      </c>
      <c r="D563" s="40">
        <v>796771</v>
      </c>
      <c r="E563">
        <f>VLOOKUP(C563,'All Districts'!$B$3:$C$874,2,FALSE)</f>
        <v>3680720</v>
      </c>
      <c r="F563" s="91">
        <f>COUNTIF($E$2:$E$7106,E563)</f>
        <v>18</v>
      </c>
    </row>
    <row r="564" spans="1:6" x14ac:dyDescent="0.2">
      <c r="A564">
        <v>2015</v>
      </c>
      <c r="B564" s="13">
        <v>5276</v>
      </c>
      <c r="C564" s="90" t="str">
        <f>VLOOKUP(B564,'All Districts'!$A$3:$B$874,2,FALSE)</f>
        <v>Addison</v>
      </c>
      <c r="D564" s="14">
        <v>1413004</v>
      </c>
      <c r="E564">
        <f>VLOOKUP(C564,'All Districts'!$B$3:$C$874,2,FALSE)</f>
        <v>3602370</v>
      </c>
      <c r="F564" s="91">
        <f>COUNTIF($E$2:$E$7106,E564)</f>
        <v>9</v>
      </c>
    </row>
    <row r="565" spans="1:6" x14ac:dyDescent="0.2">
      <c r="A565">
        <v>2016</v>
      </c>
      <c r="B565" s="13">
        <v>5276</v>
      </c>
      <c r="C565" s="90" t="str">
        <f>VLOOKUP(B565,'All Districts'!$A$3:$B$874,2,FALSE)</f>
        <v>Addison</v>
      </c>
      <c r="D565" s="16">
        <v>1115000</v>
      </c>
      <c r="E565">
        <f>VLOOKUP(C565,'All Districts'!$B$3:$C$874,2,FALSE)</f>
        <v>3602370</v>
      </c>
      <c r="F565" s="91">
        <f>COUNTIF($E$2:$E$7106,E565)</f>
        <v>9</v>
      </c>
    </row>
    <row r="566" spans="1:6" x14ac:dyDescent="0.2">
      <c r="A566">
        <v>2017</v>
      </c>
      <c r="B566" s="13">
        <v>5276</v>
      </c>
      <c r="C566" s="90" t="str">
        <f>VLOOKUP(B566,'All Districts'!$A$3:$B$874,2,FALSE)</f>
        <v>Addison</v>
      </c>
      <c r="D566" s="16">
        <v>1029191</v>
      </c>
      <c r="E566">
        <f>VLOOKUP(C566,'All Districts'!$B$3:$C$874,2,FALSE)</f>
        <v>3602370</v>
      </c>
      <c r="F566" s="91">
        <f>COUNTIF($E$2:$E$7106,E566)</f>
        <v>9</v>
      </c>
    </row>
    <row r="567" spans="1:6" x14ac:dyDescent="0.2">
      <c r="A567" s="10">
        <v>2018</v>
      </c>
      <c r="B567" s="13">
        <v>5276</v>
      </c>
      <c r="C567" s="90" t="str">
        <f>VLOOKUP(B567,'All Districts'!$A$3:$B$874,2,FALSE)</f>
        <v>Addison</v>
      </c>
      <c r="D567" s="15">
        <v>877805</v>
      </c>
      <c r="E567">
        <f>VLOOKUP(C567,'All Districts'!$B$3:$C$874,2,FALSE)</f>
        <v>3602370</v>
      </c>
      <c r="F567" s="91">
        <f>COUNTIF($E$2:$E$7106,E567)</f>
        <v>9</v>
      </c>
    </row>
    <row r="568" spans="1:6" x14ac:dyDescent="0.2">
      <c r="A568">
        <v>2019</v>
      </c>
      <c r="B568" s="36">
        <v>5276</v>
      </c>
      <c r="C568" s="90" t="str">
        <f>VLOOKUP(B568,'All Districts'!$A$3:$B$874,2,FALSE)</f>
        <v>Addison</v>
      </c>
      <c r="D568" s="40">
        <v>962788</v>
      </c>
      <c r="E568">
        <f>VLOOKUP(C568,'All Districts'!$B$3:$C$874,2,FALSE)</f>
        <v>3602370</v>
      </c>
      <c r="F568" s="91">
        <f>COUNTIF($E$2:$E$7106,E568)</f>
        <v>9</v>
      </c>
    </row>
    <row r="569" spans="1:6" x14ac:dyDescent="0.2">
      <c r="A569">
        <v>2020</v>
      </c>
      <c r="B569" s="36">
        <v>5276</v>
      </c>
      <c r="C569" s="90" t="str">
        <f>VLOOKUP(B569,'All Districts'!$A$3:$B$874,2,FALSE)</f>
        <v>Addison</v>
      </c>
      <c r="D569" s="40">
        <v>855486</v>
      </c>
      <c r="E569">
        <f>VLOOKUP(C569,'All Districts'!$B$3:$C$874,2,FALSE)</f>
        <v>3602370</v>
      </c>
      <c r="F569" s="91">
        <f>COUNTIF($E$2:$E$7106,E569)</f>
        <v>9</v>
      </c>
    </row>
    <row r="570" spans="1:6" x14ac:dyDescent="0.2">
      <c r="A570" s="10">
        <v>2021</v>
      </c>
      <c r="B570" s="52">
        <v>5276</v>
      </c>
      <c r="C570" s="90" t="str">
        <f>VLOOKUP(B570,'All Districts'!$A$3:$B$874,2,FALSE)</f>
        <v>Addison</v>
      </c>
      <c r="D570" s="76">
        <v>918485</v>
      </c>
      <c r="E570">
        <f>VLOOKUP(C570,'All Districts'!$B$3:$C$874,2,FALSE)</f>
        <v>3602370</v>
      </c>
      <c r="F570" s="91">
        <f>COUNTIF($E$2:$E$7106,E570)</f>
        <v>9</v>
      </c>
    </row>
    <row r="571" spans="1:6" x14ac:dyDescent="0.2">
      <c r="A571">
        <v>2022</v>
      </c>
      <c r="B571" s="36">
        <v>5276</v>
      </c>
      <c r="C571" s="90" t="str">
        <f>VLOOKUP(B571,'All Districts'!$A$3:$B$874,2,FALSE)</f>
        <v>Addison</v>
      </c>
      <c r="D571" s="82">
        <v>959125</v>
      </c>
      <c r="E571">
        <f>VLOOKUP(C571,'All Districts'!$B$3:$C$874,2,FALSE)</f>
        <v>3602370</v>
      </c>
      <c r="F571" s="91">
        <f>COUNTIF($E$2:$E$7106,E571)</f>
        <v>9</v>
      </c>
    </row>
    <row r="572" spans="1:6" x14ac:dyDescent="0.2">
      <c r="A572">
        <v>2023</v>
      </c>
      <c r="B572" s="36">
        <v>5276</v>
      </c>
      <c r="C572" s="90" t="str">
        <f>VLOOKUP(B572,'All Districts'!$A$3:$B$874,2,FALSE)</f>
        <v>Addison</v>
      </c>
      <c r="D572" s="40">
        <v>1029014</v>
      </c>
      <c r="E572">
        <f>VLOOKUP(C572,'All Districts'!$B$3:$C$874,2,FALSE)</f>
        <v>3602370</v>
      </c>
      <c r="F572" s="91">
        <f>COUNTIF($E$2:$E$7106,E572)</f>
        <v>9</v>
      </c>
    </row>
    <row r="573" spans="1:6" x14ac:dyDescent="0.2">
      <c r="A573">
        <v>2015</v>
      </c>
      <c r="B573" s="13">
        <v>8410</v>
      </c>
      <c r="C573" s="90" t="str">
        <f>VLOOKUP(B573,'All Districts'!$A$3:$B$874,2,FALSE)</f>
        <v>Riverhead Charter</v>
      </c>
      <c r="D573" s="16">
        <v>343641</v>
      </c>
      <c r="E573">
        <f>VLOOKUP(C573,'All Districts'!$B$3:$C$874,2,FALSE)</f>
        <v>3600060</v>
      </c>
      <c r="F573" s="91">
        <f>COUNTIF($E$2:$E$7106,E573)</f>
        <v>9</v>
      </c>
    </row>
    <row r="574" spans="1:6" x14ac:dyDescent="0.2">
      <c r="A574">
        <v>2016</v>
      </c>
      <c r="B574" s="13">
        <v>8410</v>
      </c>
      <c r="C574" s="90" t="str">
        <f>VLOOKUP(B574,'All Districts'!$A$3:$B$874,2,FALSE)</f>
        <v>Riverhead Charter</v>
      </c>
      <c r="D574" s="16">
        <v>289207</v>
      </c>
      <c r="E574">
        <f>VLOOKUP(C574,'All Districts'!$B$3:$C$874,2,FALSE)</f>
        <v>3600060</v>
      </c>
      <c r="F574" s="91">
        <f>COUNTIF($E$2:$E$7106,E574)</f>
        <v>9</v>
      </c>
    </row>
    <row r="575" spans="1:6" x14ac:dyDescent="0.2">
      <c r="A575">
        <v>2017</v>
      </c>
      <c r="B575" s="13">
        <v>8410</v>
      </c>
      <c r="C575" s="90" t="str">
        <f>VLOOKUP(B575,'All Districts'!$A$3:$B$874,2,FALSE)</f>
        <v>Riverhead Charter</v>
      </c>
      <c r="D575" s="16">
        <v>240622</v>
      </c>
      <c r="E575">
        <f>VLOOKUP(C575,'All Districts'!$B$3:$C$874,2,FALSE)</f>
        <v>3600060</v>
      </c>
      <c r="F575" s="91">
        <f>COUNTIF($E$2:$E$7106,E575)</f>
        <v>9</v>
      </c>
    </row>
    <row r="576" spans="1:6" x14ac:dyDescent="0.2">
      <c r="A576" s="10">
        <v>2018</v>
      </c>
      <c r="B576" s="13">
        <v>8410</v>
      </c>
      <c r="C576" s="90" t="str">
        <f>VLOOKUP(B576,'All Districts'!$A$3:$B$874,2,FALSE)</f>
        <v>Riverhead Charter</v>
      </c>
      <c r="D576" s="15">
        <v>294655</v>
      </c>
      <c r="E576">
        <f>VLOOKUP(C576,'All Districts'!$B$3:$C$874,2,FALSE)</f>
        <v>3600060</v>
      </c>
      <c r="F576" s="91">
        <f>COUNTIF($E$2:$E$7106,E576)</f>
        <v>9</v>
      </c>
    </row>
    <row r="577" spans="1:6" x14ac:dyDescent="0.2">
      <c r="A577">
        <v>2019</v>
      </c>
      <c r="B577" s="36">
        <v>8410</v>
      </c>
      <c r="C577" s="90" t="str">
        <f>VLOOKUP(B577,'All Districts'!$A$3:$B$874,2,FALSE)</f>
        <v>Riverhead Charter</v>
      </c>
      <c r="D577" s="40">
        <v>372735</v>
      </c>
      <c r="E577">
        <f>VLOOKUP(C577,'All Districts'!$B$3:$C$874,2,FALSE)</f>
        <v>3600060</v>
      </c>
      <c r="F577" s="91">
        <f>COUNTIF($E$2:$E$7106,E577)</f>
        <v>9</v>
      </c>
    </row>
    <row r="578" spans="1:6" x14ac:dyDescent="0.2">
      <c r="A578">
        <v>2020</v>
      </c>
      <c r="B578" s="36">
        <v>8410</v>
      </c>
      <c r="C578" s="90" t="str">
        <f>VLOOKUP(B578,'All Districts'!$A$3:$B$874,2,FALSE)</f>
        <v>Riverhead Charter</v>
      </c>
      <c r="D578" s="40">
        <v>342452</v>
      </c>
      <c r="E578">
        <f>VLOOKUP(C578,'All Districts'!$B$3:$C$874,2,FALSE)</f>
        <v>3600060</v>
      </c>
      <c r="F578" s="91">
        <f>COUNTIF($E$2:$E$7106,E578)</f>
        <v>9</v>
      </c>
    </row>
    <row r="579" spans="1:6" x14ac:dyDescent="0.2">
      <c r="A579" s="10">
        <v>2021</v>
      </c>
      <c r="B579" s="55">
        <v>8410</v>
      </c>
      <c r="C579" s="90" t="str">
        <f>VLOOKUP(B579,'All Districts'!$A$3:$B$874,2,FALSE)</f>
        <v>Riverhead Charter</v>
      </c>
      <c r="D579" s="75">
        <v>383375</v>
      </c>
      <c r="E579">
        <f>VLOOKUP(C579,'All Districts'!$B$3:$C$874,2,FALSE)</f>
        <v>3600060</v>
      </c>
      <c r="F579" s="91">
        <f>COUNTIF($E$2:$E$7106,E579)</f>
        <v>9</v>
      </c>
    </row>
    <row r="580" spans="1:6" x14ac:dyDescent="0.2">
      <c r="A580">
        <v>2022</v>
      </c>
      <c r="B580" s="36">
        <v>8410</v>
      </c>
      <c r="C580" s="90" t="str">
        <f>VLOOKUP(B580,'All Districts'!$A$3:$B$874,2,FALSE)</f>
        <v>Riverhead Charter</v>
      </c>
      <c r="D580" s="82">
        <v>488938</v>
      </c>
      <c r="E580">
        <f>VLOOKUP(C580,'All Districts'!$B$3:$C$874,2,FALSE)</f>
        <v>3600060</v>
      </c>
      <c r="F580" s="91">
        <f>COUNTIF($E$2:$E$7106,E580)</f>
        <v>9</v>
      </c>
    </row>
    <row r="581" spans="1:6" x14ac:dyDescent="0.2">
      <c r="A581">
        <v>2023</v>
      </c>
      <c r="B581" s="36">
        <v>8410</v>
      </c>
      <c r="C581" s="90" t="str">
        <f>VLOOKUP(B581,'All Districts'!$A$3:$B$874,2,FALSE)</f>
        <v>Riverhead Charter</v>
      </c>
      <c r="D581" s="40">
        <v>581861</v>
      </c>
      <c r="E581">
        <f>VLOOKUP(C581,'All Districts'!$B$3:$C$874,2,FALSE)</f>
        <v>3600060</v>
      </c>
      <c r="F581" s="91">
        <f>COUNTIF($E$2:$E$7106,E581)</f>
        <v>9</v>
      </c>
    </row>
    <row r="582" spans="1:6" x14ac:dyDescent="0.2">
      <c r="A582">
        <v>2015</v>
      </c>
      <c r="B582" s="13">
        <v>3559</v>
      </c>
      <c r="C582" s="90" t="str">
        <f>VLOOKUP(B582,'All Districts'!$A$3:$B$874,2,FALSE)</f>
        <v>Afton</v>
      </c>
      <c r="D582" s="14">
        <v>792316</v>
      </c>
      <c r="E582">
        <f>VLOOKUP(C582,'All Districts'!$B$3:$C$874,2,FALSE)</f>
        <v>3602400</v>
      </c>
      <c r="F582" s="91">
        <f>COUNTIF($E$2:$E$7106,E582)</f>
        <v>9</v>
      </c>
    </row>
    <row r="583" spans="1:6" x14ac:dyDescent="0.2">
      <c r="A583">
        <v>2016</v>
      </c>
      <c r="B583" s="13">
        <v>3559</v>
      </c>
      <c r="C583" s="90" t="str">
        <f>VLOOKUP(B583,'All Districts'!$A$3:$B$874,2,FALSE)</f>
        <v>Afton</v>
      </c>
      <c r="D583" s="16">
        <v>615672</v>
      </c>
      <c r="E583">
        <f>VLOOKUP(C583,'All Districts'!$B$3:$C$874,2,FALSE)</f>
        <v>3602400</v>
      </c>
      <c r="F583" s="91">
        <f>COUNTIF($E$2:$E$7106,E583)</f>
        <v>9</v>
      </c>
    </row>
    <row r="584" spans="1:6" x14ac:dyDescent="0.2">
      <c r="A584">
        <v>2017</v>
      </c>
      <c r="B584" s="13">
        <v>3559</v>
      </c>
      <c r="C584" s="90" t="str">
        <f>VLOOKUP(B584,'All Districts'!$A$3:$B$874,2,FALSE)</f>
        <v>Afton</v>
      </c>
      <c r="D584" s="16">
        <v>534016</v>
      </c>
      <c r="E584">
        <f>VLOOKUP(C584,'All Districts'!$B$3:$C$874,2,FALSE)</f>
        <v>3602400</v>
      </c>
      <c r="F584" s="91">
        <f>COUNTIF($E$2:$E$7106,E584)</f>
        <v>9</v>
      </c>
    </row>
    <row r="585" spans="1:6" x14ac:dyDescent="0.2">
      <c r="A585" s="10">
        <v>2018</v>
      </c>
      <c r="B585" s="13">
        <v>3559</v>
      </c>
      <c r="C585" s="90" t="str">
        <f>VLOOKUP(B585,'All Districts'!$A$3:$B$874,2,FALSE)</f>
        <v>Afton</v>
      </c>
      <c r="D585" s="15">
        <v>426791</v>
      </c>
      <c r="E585">
        <f>VLOOKUP(C585,'All Districts'!$B$3:$C$874,2,FALSE)</f>
        <v>3602400</v>
      </c>
      <c r="F585" s="91">
        <f>COUNTIF($E$2:$E$7106,E585)</f>
        <v>9</v>
      </c>
    </row>
    <row r="586" spans="1:6" x14ac:dyDescent="0.2">
      <c r="A586">
        <v>2019</v>
      </c>
      <c r="B586" s="36">
        <v>3559</v>
      </c>
      <c r="C586" s="90" t="str">
        <f>VLOOKUP(B586,'All Districts'!$A$3:$B$874,2,FALSE)</f>
        <v>Afton</v>
      </c>
      <c r="D586" s="40">
        <v>467960</v>
      </c>
      <c r="E586">
        <f>VLOOKUP(C586,'All Districts'!$B$3:$C$874,2,FALSE)</f>
        <v>3602400</v>
      </c>
      <c r="F586" s="91">
        <f>COUNTIF($E$2:$E$7106,E586)</f>
        <v>9</v>
      </c>
    </row>
    <row r="587" spans="1:6" x14ac:dyDescent="0.2">
      <c r="A587">
        <v>2020</v>
      </c>
      <c r="B587" s="36">
        <v>3559</v>
      </c>
      <c r="C587" s="90" t="str">
        <f>VLOOKUP(B587,'All Districts'!$A$3:$B$874,2,FALSE)</f>
        <v>Afton</v>
      </c>
      <c r="D587" s="40">
        <v>399149</v>
      </c>
      <c r="E587">
        <f>VLOOKUP(C587,'All Districts'!$B$3:$C$874,2,FALSE)</f>
        <v>3602400</v>
      </c>
      <c r="F587" s="91">
        <f>COUNTIF($E$2:$E$7106,E587)</f>
        <v>9</v>
      </c>
    </row>
    <row r="588" spans="1:6" x14ac:dyDescent="0.2">
      <c r="A588" s="10">
        <v>2021</v>
      </c>
      <c r="B588" s="55">
        <v>3559</v>
      </c>
      <c r="C588" s="90" t="str">
        <f>VLOOKUP(B588,'All Districts'!$A$3:$B$874,2,FALSE)</f>
        <v>Afton</v>
      </c>
      <c r="D588" s="76">
        <v>419616</v>
      </c>
      <c r="E588">
        <f>VLOOKUP(C588,'All Districts'!$B$3:$C$874,2,FALSE)</f>
        <v>3602400</v>
      </c>
      <c r="F588" s="91">
        <f>COUNTIF($E$2:$E$7106,E588)</f>
        <v>9</v>
      </c>
    </row>
    <row r="589" spans="1:6" x14ac:dyDescent="0.2">
      <c r="A589">
        <v>2022</v>
      </c>
      <c r="B589" s="36">
        <v>3559</v>
      </c>
      <c r="C589" s="90" t="str">
        <f>VLOOKUP(B589,'All Districts'!$A$3:$B$874,2,FALSE)</f>
        <v>Afton</v>
      </c>
      <c r="D589" s="82">
        <v>450258</v>
      </c>
      <c r="E589">
        <f>VLOOKUP(C589,'All Districts'!$B$3:$C$874,2,FALSE)</f>
        <v>3602400</v>
      </c>
      <c r="F589" s="91">
        <f>COUNTIF($E$2:$E$7106,E589)</f>
        <v>9</v>
      </c>
    </row>
    <row r="590" spans="1:6" x14ac:dyDescent="0.2">
      <c r="A590">
        <v>2023</v>
      </c>
      <c r="B590" s="36">
        <v>3559</v>
      </c>
      <c r="C590" s="90" t="str">
        <f>VLOOKUP(B590,'All Districts'!$A$3:$B$874,2,FALSE)</f>
        <v>Afton</v>
      </c>
      <c r="D590" s="40">
        <v>519341</v>
      </c>
      <c r="E590">
        <f>VLOOKUP(C590,'All Districts'!$B$3:$C$874,2,FALSE)</f>
        <v>3602400</v>
      </c>
      <c r="F590" s="91">
        <f>COUNTIF($E$2:$E$7106,E590)</f>
        <v>9</v>
      </c>
    </row>
    <row r="591" spans="1:6" x14ac:dyDescent="0.2">
      <c r="A591">
        <v>2015</v>
      </c>
      <c r="B591" s="13">
        <v>3658</v>
      </c>
      <c r="C591" s="90" t="str">
        <f>VLOOKUP(B591,'All Districts'!$A$3:$B$874,2,FALSE)</f>
        <v>Akron</v>
      </c>
      <c r="D591" s="14">
        <v>1600761</v>
      </c>
      <c r="E591">
        <f>VLOOKUP(C591,'All Districts'!$B$3:$C$874,2,FALSE)</f>
        <v>3602430</v>
      </c>
      <c r="F591" s="91">
        <f>COUNTIF($E$2:$E$7106,E591)</f>
        <v>9</v>
      </c>
    </row>
    <row r="592" spans="1:6" x14ac:dyDescent="0.2">
      <c r="A592">
        <v>2016</v>
      </c>
      <c r="B592" s="13">
        <v>3658</v>
      </c>
      <c r="C592" s="90" t="str">
        <f>VLOOKUP(B592,'All Districts'!$A$3:$B$874,2,FALSE)</f>
        <v>Akron</v>
      </c>
      <c r="D592" s="16">
        <v>1262765</v>
      </c>
      <c r="E592">
        <f>VLOOKUP(C592,'All Districts'!$B$3:$C$874,2,FALSE)</f>
        <v>3602430</v>
      </c>
      <c r="F592" s="91">
        <f>COUNTIF($E$2:$E$7106,E592)</f>
        <v>9</v>
      </c>
    </row>
    <row r="593" spans="1:6" x14ac:dyDescent="0.2">
      <c r="A593">
        <v>2017</v>
      </c>
      <c r="B593" s="13">
        <v>3658</v>
      </c>
      <c r="C593" s="90" t="str">
        <f>VLOOKUP(B593,'All Districts'!$A$3:$B$874,2,FALSE)</f>
        <v>Akron</v>
      </c>
      <c r="D593" s="16">
        <v>1138681</v>
      </c>
      <c r="E593">
        <f>VLOOKUP(C593,'All Districts'!$B$3:$C$874,2,FALSE)</f>
        <v>3602430</v>
      </c>
      <c r="F593" s="91">
        <f>COUNTIF($E$2:$E$7106,E593)</f>
        <v>9</v>
      </c>
    </row>
    <row r="594" spans="1:6" x14ac:dyDescent="0.2">
      <c r="A594" s="10">
        <v>2018</v>
      </c>
      <c r="B594" s="13">
        <v>3658</v>
      </c>
      <c r="C594" s="90" t="str">
        <f>VLOOKUP(B594,'All Districts'!$A$3:$B$874,2,FALSE)</f>
        <v>Akron</v>
      </c>
      <c r="D594" s="15">
        <v>998246</v>
      </c>
      <c r="E594">
        <f>VLOOKUP(C594,'All Districts'!$B$3:$C$874,2,FALSE)</f>
        <v>3602430</v>
      </c>
      <c r="F594" s="91">
        <f>COUNTIF($E$2:$E$7106,E594)</f>
        <v>9</v>
      </c>
    </row>
    <row r="595" spans="1:6" x14ac:dyDescent="0.2">
      <c r="A595">
        <v>2019</v>
      </c>
      <c r="B595" s="36">
        <v>3658</v>
      </c>
      <c r="C595" s="90" t="str">
        <f>VLOOKUP(B595,'All Districts'!$A$3:$B$874,2,FALSE)</f>
        <v>Akron</v>
      </c>
      <c r="D595" s="40">
        <v>1071492</v>
      </c>
      <c r="E595">
        <f>VLOOKUP(C595,'All Districts'!$B$3:$C$874,2,FALSE)</f>
        <v>3602430</v>
      </c>
      <c r="F595" s="91">
        <f>COUNTIF($E$2:$E$7106,E595)</f>
        <v>9</v>
      </c>
    </row>
    <row r="596" spans="1:6" x14ac:dyDescent="0.2">
      <c r="A596">
        <v>2020</v>
      </c>
      <c r="B596" s="36">
        <v>3658</v>
      </c>
      <c r="C596" s="90" t="str">
        <f>VLOOKUP(B596,'All Districts'!$A$3:$B$874,2,FALSE)</f>
        <v>Akron</v>
      </c>
      <c r="D596" s="40">
        <v>947874</v>
      </c>
      <c r="E596">
        <f>VLOOKUP(C596,'All Districts'!$B$3:$C$874,2,FALSE)</f>
        <v>3602430</v>
      </c>
      <c r="F596" s="91">
        <f>COUNTIF($E$2:$E$7106,E596)</f>
        <v>9</v>
      </c>
    </row>
    <row r="597" spans="1:6" x14ac:dyDescent="0.2">
      <c r="A597" s="10">
        <v>2021</v>
      </c>
      <c r="B597" s="52">
        <v>3658</v>
      </c>
      <c r="C597" s="90" t="str">
        <f>VLOOKUP(B597,'All Districts'!$A$3:$B$874,2,FALSE)</f>
        <v>Akron</v>
      </c>
      <c r="D597" s="76">
        <v>1015914</v>
      </c>
      <c r="E597">
        <f>VLOOKUP(C597,'All Districts'!$B$3:$C$874,2,FALSE)</f>
        <v>3602430</v>
      </c>
      <c r="F597" s="91">
        <f>COUNTIF($E$2:$E$7106,E597)</f>
        <v>9</v>
      </c>
    </row>
    <row r="598" spans="1:6" x14ac:dyDescent="0.2">
      <c r="A598">
        <v>2022</v>
      </c>
      <c r="B598" s="36">
        <v>3658</v>
      </c>
      <c r="C598" s="90" t="str">
        <f>VLOOKUP(B598,'All Districts'!$A$3:$B$874,2,FALSE)</f>
        <v>Akron</v>
      </c>
      <c r="D598" s="82">
        <v>1120183</v>
      </c>
      <c r="E598">
        <f>VLOOKUP(C598,'All Districts'!$B$3:$C$874,2,FALSE)</f>
        <v>3602430</v>
      </c>
      <c r="F598" s="91">
        <f>COUNTIF($E$2:$E$7106,E598)</f>
        <v>9</v>
      </c>
    </row>
    <row r="599" spans="1:6" x14ac:dyDescent="0.2">
      <c r="A599">
        <v>2023</v>
      </c>
      <c r="B599" s="36">
        <v>3658</v>
      </c>
      <c r="C599" s="90" t="str">
        <f>VLOOKUP(B599,'All Districts'!$A$3:$B$874,2,FALSE)</f>
        <v>Akron</v>
      </c>
      <c r="D599" s="40">
        <v>1224719</v>
      </c>
      <c r="E599">
        <f>VLOOKUP(C599,'All Districts'!$B$3:$C$874,2,FALSE)</f>
        <v>3602430</v>
      </c>
      <c r="F599" s="91">
        <f>COUNTIF($E$2:$E$7106,E599)</f>
        <v>9</v>
      </c>
    </row>
    <row r="600" spans="1:6" x14ac:dyDescent="0.2">
      <c r="A600">
        <v>2015</v>
      </c>
      <c r="B600" s="13">
        <v>1005</v>
      </c>
      <c r="C600" s="90" t="str">
        <f>VLOOKUP(B600,'All Districts'!$A$3:$B$874,2,FALSE)</f>
        <v>Albany</v>
      </c>
      <c r="D600" s="14">
        <v>12755224</v>
      </c>
      <c r="E600">
        <f>VLOOKUP(C600,'All Districts'!$B$3:$C$874,2,FALSE)</f>
        <v>3602460</v>
      </c>
      <c r="F600" s="91">
        <f>COUNTIF($E$2:$E$7106,E600)</f>
        <v>9</v>
      </c>
    </row>
    <row r="601" spans="1:6" x14ac:dyDescent="0.2">
      <c r="A601">
        <v>2016</v>
      </c>
      <c r="B601" s="13">
        <v>1005</v>
      </c>
      <c r="C601" s="90" t="str">
        <f>VLOOKUP(B601,'All Districts'!$A$3:$B$874,2,FALSE)</f>
        <v>Albany</v>
      </c>
      <c r="D601" s="16">
        <v>10546992</v>
      </c>
      <c r="E601">
        <f>VLOOKUP(C601,'All Districts'!$B$3:$C$874,2,FALSE)</f>
        <v>3602460</v>
      </c>
      <c r="F601" s="91">
        <f>COUNTIF($E$2:$E$7106,E601)</f>
        <v>9</v>
      </c>
    </row>
    <row r="602" spans="1:6" x14ac:dyDescent="0.2">
      <c r="A602">
        <v>2017</v>
      </c>
      <c r="B602" s="13">
        <v>1005</v>
      </c>
      <c r="C602" s="90" t="str">
        <f>VLOOKUP(B602,'All Districts'!$A$3:$B$874,2,FALSE)</f>
        <v>Albany</v>
      </c>
      <c r="D602" s="16">
        <v>9839703</v>
      </c>
      <c r="E602">
        <f>VLOOKUP(C602,'All Districts'!$B$3:$C$874,2,FALSE)</f>
        <v>3602460</v>
      </c>
      <c r="F602" s="91">
        <f>COUNTIF($E$2:$E$7106,E602)</f>
        <v>9</v>
      </c>
    </row>
    <row r="603" spans="1:6" x14ac:dyDescent="0.2">
      <c r="A603" s="10">
        <v>2018</v>
      </c>
      <c r="B603" s="13">
        <v>1005</v>
      </c>
      <c r="C603" s="90" t="str">
        <f>VLOOKUP(B603,'All Districts'!$A$3:$B$874,2,FALSE)</f>
        <v>Albany</v>
      </c>
      <c r="D603" s="15">
        <v>8692217</v>
      </c>
      <c r="E603">
        <f>VLOOKUP(C603,'All Districts'!$B$3:$C$874,2,FALSE)</f>
        <v>3602460</v>
      </c>
      <c r="F603" s="91">
        <f>COUNTIF($E$2:$E$7106,E603)</f>
        <v>9</v>
      </c>
    </row>
    <row r="604" spans="1:6" x14ac:dyDescent="0.2">
      <c r="A604">
        <v>2019</v>
      </c>
      <c r="B604" s="36">
        <v>1005</v>
      </c>
      <c r="C604" s="90" t="str">
        <f>VLOOKUP(B604,'All Districts'!$A$3:$B$874,2,FALSE)</f>
        <v>Albany</v>
      </c>
      <c r="D604" s="40">
        <v>9893500</v>
      </c>
      <c r="E604">
        <f>VLOOKUP(C604,'All Districts'!$B$3:$C$874,2,FALSE)</f>
        <v>3602460</v>
      </c>
      <c r="F604" s="91">
        <f>COUNTIF($E$2:$E$7106,E604)</f>
        <v>9</v>
      </c>
    </row>
    <row r="605" spans="1:6" x14ac:dyDescent="0.2">
      <c r="A605">
        <v>2020</v>
      </c>
      <c r="B605" s="36">
        <v>1005</v>
      </c>
      <c r="C605" s="90" t="str">
        <f>VLOOKUP(B605,'All Districts'!$A$3:$B$874,2,FALSE)</f>
        <v>Albany</v>
      </c>
      <c r="D605" s="40">
        <v>8349598</v>
      </c>
      <c r="E605">
        <f>VLOOKUP(C605,'All Districts'!$B$3:$C$874,2,FALSE)</f>
        <v>3602460</v>
      </c>
      <c r="F605" s="91">
        <f>COUNTIF($E$2:$E$7106,E605)</f>
        <v>9</v>
      </c>
    </row>
    <row r="606" spans="1:6" x14ac:dyDescent="0.2">
      <c r="A606" s="10">
        <v>2021</v>
      </c>
      <c r="B606" s="52">
        <v>1005</v>
      </c>
      <c r="C606" s="90" t="str">
        <f>VLOOKUP(B606,'All Districts'!$A$3:$B$874,2,FALSE)</f>
        <v>Albany</v>
      </c>
      <c r="D606" s="75">
        <v>8019213</v>
      </c>
      <c r="E606">
        <f>VLOOKUP(C606,'All Districts'!$B$3:$C$874,2,FALSE)</f>
        <v>3602460</v>
      </c>
      <c r="F606" s="91">
        <f>COUNTIF($E$2:$E$7106,E606)</f>
        <v>9</v>
      </c>
    </row>
    <row r="607" spans="1:6" x14ac:dyDescent="0.2">
      <c r="A607">
        <v>2022</v>
      </c>
      <c r="B607" s="36">
        <v>1005</v>
      </c>
      <c r="C607" s="90" t="str">
        <f>VLOOKUP(B607,'All Districts'!$A$3:$B$874,2,FALSE)</f>
        <v>Albany</v>
      </c>
      <c r="D607" s="82">
        <v>9227330</v>
      </c>
      <c r="E607">
        <f>VLOOKUP(C607,'All Districts'!$B$3:$C$874,2,FALSE)</f>
        <v>3602460</v>
      </c>
      <c r="F607" s="91">
        <f>COUNTIF($E$2:$E$7106,E607)</f>
        <v>9</v>
      </c>
    </row>
    <row r="608" spans="1:6" x14ac:dyDescent="0.2">
      <c r="A608">
        <v>2023</v>
      </c>
      <c r="B608" s="36">
        <v>1005</v>
      </c>
      <c r="C608" s="90" t="str">
        <f>VLOOKUP(B608,'All Districts'!$A$3:$B$874,2,FALSE)</f>
        <v>Albany</v>
      </c>
      <c r="D608" s="40">
        <v>9811542</v>
      </c>
      <c r="E608">
        <f>VLOOKUP(C608,'All Districts'!$B$3:$C$874,2,FALSE)</f>
        <v>3602460</v>
      </c>
      <c r="F608" s="91">
        <f>COUNTIF($E$2:$E$7106,E608)</f>
        <v>9</v>
      </c>
    </row>
    <row r="609" spans="1:6" x14ac:dyDescent="0.2">
      <c r="A609">
        <v>2015</v>
      </c>
      <c r="B609" s="13">
        <v>6001</v>
      </c>
      <c r="C609" s="90" t="str">
        <f>VLOOKUP(B609,'All Districts'!$A$3:$B$874,2,FALSE)</f>
        <v>Albany-Schoharie-Schenectady-Saratoga (Capital Region)</v>
      </c>
      <c r="D609" s="15">
        <v>4547037</v>
      </c>
      <c r="E609">
        <f>VLOOKUP(C609,'All Districts'!$B$3:$C$874,2,FALSE)</f>
        <v>3680100</v>
      </c>
      <c r="F609" s="91">
        <f>COUNTIF($E$2:$E$7106,E609)</f>
        <v>9</v>
      </c>
    </row>
    <row r="610" spans="1:6" x14ac:dyDescent="0.2">
      <c r="A610">
        <v>2016</v>
      </c>
      <c r="B610" s="13">
        <v>6001</v>
      </c>
      <c r="C610" s="90" t="str">
        <f>VLOOKUP(B610,'All Districts'!$A$3:$B$874,2,FALSE)</f>
        <v>Albany-Schoharie-Schenectady-Saratoga (Capital Region)</v>
      </c>
      <c r="D610" s="16">
        <v>3374882</v>
      </c>
      <c r="E610">
        <f>VLOOKUP(C610,'All Districts'!$B$3:$C$874,2,FALSE)</f>
        <v>3680100</v>
      </c>
      <c r="F610" s="91">
        <f>COUNTIF($E$2:$E$7106,E610)</f>
        <v>9</v>
      </c>
    </row>
    <row r="611" spans="1:6" x14ac:dyDescent="0.2">
      <c r="A611">
        <v>2017</v>
      </c>
      <c r="B611" s="13">
        <v>6001</v>
      </c>
      <c r="C611" s="90" t="str">
        <f>VLOOKUP(B611,'All Districts'!$A$3:$B$874,2,FALSE)</f>
        <v>Albany-Schoharie-Schenectady-Saratoga (Capital Region)</v>
      </c>
      <c r="D611" s="16">
        <v>2932028</v>
      </c>
      <c r="E611">
        <f>VLOOKUP(C611,'All Districts'!$B$3:$C$874,2,FALSE)</f>
        <v>3680100</v>
      </c>
      <c r="F611" s="91">
        <f>COUNTIF($E$2:$E$7106,E611)</f>
        <v>9</v>
      </c>
    </row>
    <row r="612" spans="1:6" x14ac:dyDescent="0.2">
      <c r="A612" s="10">
        <v>2018</v>
      </c>
      <c r="B612" s="13">
        <v>6001</v>
      </c>
      <c r="C612" s="90" t="str">
        <f>VLOOKUP(B612,'All Districts'!$A$3:$B$874,2,FALSE)</f>
        <v>Albany-Schoharie-Schenectady-Saratoga (Capital Region)</v>
      </c>
      <c r="D612" s="15">
        <v>2548175</v>
      </c>
      <c r="E612">
        <f>VLOOKUP(C612,'All Districts'!$B$3:$C$874,2,FALSE)</f>
        <v>3680100</v>
      </c>
      <c r="F612" s="91">
        <f>COUNTIF($E$2:$E$7106,E612)</f>
        <v>9</v>
      </c>
    </row>
    <row r="613" spans="1:6" x14ac:dyDescent="0.2">
      <c r="A613">
        <v>2019</v>
      </c>
      <c r="B613" s="36">
        <v>6001</v>
      </c>
      <c r="C613" s="90" t="str">
        <f>VLOOKUP(B613,'All Districts'!$A$3:$B$874,2,FALSE)</f>
        <v>Albany-Schoharie-Schenectady-Saratoga (Capital Region)</v>
      </c>
      <c r="D613" s="40">
        <v>2779262</v>
      </c>
      <c r="E613">
        <f>VLOOKUP(C613,'All Districts'!$B$3:$C$874,2,FALSE)</f>
        <v>3680100</v>
      </c>
      <c r="F613" s="91">
        <f>COUNTIF($E$2:$E$7106,E613)</f>
        <v>9</v>
      </c>
    </row>
    <row r="614" spans="1:6" x14ac:dyDescent="0.2">
      <c r="A614">
        <v>2020</v>
      </c>
      <c r="B614" s="36">
        <v>6001</v>
      </c>
      <c r="C614" s="90" t="str">
        <f>VLOOKUP(B614,'All Districts'!$A$3:$B$874,2,FALSE)</f>
        <v>Albany-Schoharie-Schenectady-Saratoga (Capital Region)</v>
      </c>
      <c r="D614" s="40">
        <v>2274084</v>
      </c>
      <c r="E614">
        <f>VLOOKUP(C614,'All Districts'!$B$3:$C$874,2,FALSE)</f>
        <v>3680100</v>
      </c>
      <c r="F614" s="91">
        <f>COUNTIF($E$2:$E$7106,E614)</f>
        <v>9</v>
      </c>
    </row>
    <row r="615" spans="1:6" x14ac:dyDescent="0.2">
      <c r="A615" s="10">
        <v>2021</v>
      </c>
      <c r="B615" s="55">
        <v>6001</v>
      </c>
      <c r="C615" s="90" t="str">
        <f>VLOOKUP(B615,'All Districts'!$A$3:$B$874,2,FALSE)</f>
        <v>Albany-Schoharie-Schenectady-Saratoga (Capital Region)</v>
      </c>
      <c r="D615" s="79">
        <v>2238111</v>
      </c>
      <c r="E615">
        <f>VLOOKUP(C615,'All Districts'!$B$3:$C$874,2,FALSE)</f>
        <v>3680100</v>
      </c>
      <c r="F615" s="91">
        <f>COUNTIF($E$2:$E$7106,E615)</f>
        <v>9</v>
      </c>
    </row>
    <row r="616" spans="1:6" x14ac:dyDescent="0.2">
      <c r="A616">
        <v>2022</v>
      </c>
      <c r="B616" s="36">
        <v>6001</v>
      </c>
      <c r="C616" s="90" t="str">
        <f>VLOOKUP(B616,'All Districts'!$A$3:$B$874,2,FALSE)</f>
        <v>Albany-Schoharie-Schenectady-Saratoga (Capital Region)</v>
      </c>
      <c r="D616" s="82">
        <v>2301959</v>
      </c>
      <c r="E616">
        <f>VLOOKUP(C616,'All Districts'!$B$3:$C$874,2,FALSE)</f>
        <v>3680100</v>
      </c>
      <c r="F616" s="91">
        <f>COUNTIF($E$2:$E$7106,E616)</f>
        <v>9</v>
      </c>
    </row>
    <row r="617" spans="1:6" x14ac:dyDescent="0.2">
      <c r="A617">
        <v>2023</v>
      </c>
      <c r="B617" s="36">
        <v>6001</v>
      </c>
      <c r="C617" s="90" t="str">
        <f>VLOOKUP(B617,'All Districts'!$A$3:$B$874,2,FALSE)</f>
        <v>Albany-Schoharie-Schenectady-Saratoga (Capital Region)</v>
      </c>
      <c r="D617" s="40">
        <v>2468773</v>
      </c>
      <c r="E617">
        <f>VLOOKUP(C617,'All Districts'!$B$3:$C$874,2,FALSE)</f>
        <v>3680100</v>
      </c>
      <c r="F617" s="91">
        <f>COUNTIF($E$2:$E$7106,E617)</f>
        <v>9</v>
      </c>
    </row>
    <row r="618" spans="1:6" x14ac:dyDescent="0.2">
      <c r="A618">
        <v>2015</v>
      </c>
      <c r="B618" s="13">
        <v>2005</v>
      </c>
      <c r="C618" s="90" t="str">
        <f>VLOOKUP(B618,'All Districts'!$A$3:$B$874,2,FALSE)</f>
        <v>Albion</v>
      </c>
      <c r="D618" s="14">
        <v>2218059</v>
      </c>
      <c r="E618">
        <f>VLOOKUP(C618,'All Districts'!$B$3:$C$874,2,FALSE)</f>
        <v>3602520</v>
      </c>
      <c r="F618" s="91">
        <f>COUNTIF($E$2:$E$7106,E618)</f>
        <v>9</v>
      </c>
    </row>
    <row r="619" spans="1:6" x14ac:dyDescent="0.2">
      <c r="A619">
        <v>2016</v>
      </c>
      <c r="B619" s="13">
        <v>2005</v>
      </c>
      <c r="C619" s="90" t="str">
        <f>VLOOKUP(B619,'All Districts'!$A$3:$B$874,2,FALSE)</f>
        <v>Albion</v>
      </c>
      <c r="D619" s="16">
        <v>1729412</v>
      </c>
      <c r="E619">
        <f>VLOOKUP(C619,'All Districts'!$B$3:$C$874,2,FALSE)</f>
        <v>3602520</v>
      </c>
      <c r="F619" s="91">
        <f>COUNTIF($E$2:$E$7106,E619)</f>
        <v>9</v>
      </c>
    </row>
    <row r="620" spans="1:6" x14ac:dyDescent="0.2">
      <c r="A620">
        <v>2017</v>
      </c>
      <c r="B620" s="13">
        <v>2005</v>
      </c>
      <c r="C620" s="90" t="str">
        <f>VLOOKUP(B620,'All Districts'!$A$3:$B$874,2,FALSE)</f>
        <v>Albion</v>
      </c>
      <c r="D620" s="16">
        <v>1540535</v>
      </c>
      <c r="E620">
        <f>VLOOKUP(C620,'All Districts'!$B$3:$C$874,2,FALSE)</f>
        <v>3602520</v>
      </c>
      <c r="F620" s="91">
        <f>COUNTIF($E$2:$E$7106,E620)</f>
        <v>9</v>
      </c>
    </row>
    <row r="621" spans="1:6" x14ac:dyDescent="0.2">
      <c r="A621" s="10">
        <v>2018</v>
      </c>
      <c r="B621" s="13">
        <v>2005</v>
      </c>
      <c r="C621" s="90" t="str">
        <f>VLOOKUP(B621,'All Districts'!$A$3:$B$874,2,FALSE)</f>
        <v>Albion</v>
      </c>
      <c r="D621" s="15">
        <v>1270027</v>
      </c>
      <c r="E621">
        <f>VLOOKUP(C621,'All Districts'!$B$3:$C$874,2,FALSE)</f>
        <v>3602520</v>
      </c>
      <c r="F621" s="91">
        <f>COUNTIF($E$2:$E$7106,E621)</f>
        <v>9</v>
      </c>
    </row>
    <row r="622" spans="1:6" x14ac:dyDescent="0.2">
      <c r="A622">
        <v>2019</v>
      </c>
      <c r="B622" s="36">
        <v>2005</v>
      </c>
      <c r="C622" s="90" t="str">
        <f>VLOOKUP(B622,'All Districts'!$A$3:$B$874,2,FALSE)</f>
        <v>Albion</v>
      </c>
      <c r="D622" s="40">
        <v>1388843</v>
      </c>
      <c r="E622">
        <f>VLOOKUP(C622,'All Districts'!$B$3:$C$874,2,FALSE)</f>
        <v>3602520</v>
      </c>
      <c r="F622" s="91">
        <f>COUNTIF($E$2:$E$7106,E622)</f>
        <v>9</v>
      </c>
    </row>
    <row r="623" spans="1:6" x14ac:dyDescent="0.2">
      <c r="A623">
        <v>2020</v>
      </c>
      <c r="B623" s="36">
        <v>2005</v>
      </c>
      <c r="C623" s="90" t="str">
        <f>VLOOKUP(B623,'All Districts'!$A$3:$B$874,2,FALSE)</f>
        <v>Albion</v>
      </c>
      <c r="D623" s="40">
        <v>1171093</v>
      </c>
      <c r="E623">
        <f>VLOOKUP(C623,'All Districts'!$B$3:$C$874,2,FALSE)</f>
        <v>3602520</v>
      </c>
      <c r="F623" s="91">
        <f>COUNTIF($E$2:$E$7106,E623)</f>
        <v>9</v>
      </c>
    </row>
    <row r="624" spans="1:6" x14ac:dyDescent="0.2">
      <c r="A624" s="10">
        <v>2021</v>
      </c>
      <c r="B624" s="52">
        <v>2005</v>
      </c>
      <c r="C624" s="90" t="str">
        <f>VLOOKUP(B624,'All Districts'!$A$3:$B$874,2,FALSE)</f>
        <v>Albion</v>
      </c>
      <c r="D624" s="75">
        <v>1282225</v>
      </c>
      <c r="E624">
        <f>VLOOKUP(C624,'All Districts'!$B$3:$C$874,2,FALSE)</f>
        <v>3602520</v>
      </c>
      <c r="F624" s="91">
        <f>COUNTIF($E$2:$E$7106,E624)</f>
        <v>9</v>
      </c>
    </row>
    <row r="625" spans="1:6" x14ac:dyDescent="0.2">
      <c r="A625">
        <v>2022</v>
      </c>
      <c r="B625" s="36">
        <v>2005</v>
      </c>
      <c r="C625" s="90" t="str">
        <f>VLOOKUP(B625,'All Districts'!$A$3:$B$874,2,FALSE)</f>
        <v>Albion</v>
      </c>
      <c r="D625" s="82">
        <v>1383586</v>
      </c>
      <c r="E625">
        <f>VLOOKUP(C625,'All Districts'!$B$3:$C$874,2,FALSE)</f>
        <v>3602520</v>
      </c>
      <c r="F625" s="91">
        <f>COUNTIF($E$2:$E$7106,E625)</f>
        <v>9</v>
      </c>
    </row>
    <row r="626" spans="1:6" x14ac:dyDescent="0.2">
      <c r="A626">
        <v>2023</v>
      </c>
      <c r="B626" s="36">
        <v>2005</v>
      </c>
      <c r="C626" s="90" t="str">
        <f>VLOOKUP(B626,'All Districts'!$A$3:$B$874,2,FALSE)</f>
        <v>Albion</v>
      </c>
      <c r="D626" s="40">
        <v>1475475</v>
      </c>
      <c r="E626">
        <f>VLOOKUP(C626,'All Districts'!$B$3:$C$874,2,FALSE)</f>
        <v>3602520</v>
      </c>
      <c r="F626" s="91">
        <f>COUNTIF($E$2:$E$7106,E626)</f>
        <v>9</v>
      </c>
    </row>
    <row r="627" spans="1:6" x14ac:dyDescent="0.2">
      <c r="A627">
        <v>2015</v>
      </c>
      <c r="B627" s="13">
        <v>2006</v>
      </c>
      <c r="C627" s="90" t="str">
        <f>VLOOKUP(B627,'All Districts'!$A$3:$B$874,2,FALSE)</f>
        <v>Alden</v>
      </c>
      <c r="D627" s="14">
        <v>1962540</v>
      </c>
      <c r="E627">
        <f>VLOOKUP(C627,'All Districts'!$B$3:$C$874,2,FALSE)</f>
        <v>3602550</v>
      </c>
      <c r="F627" s="91">
        <f>COUNTIF($E$2:$E$7106,E627)</f>
        <v>9</v>
      </c>
    </row>
    <row r="628" spans="1:6" x14ac:dyDescent="0.2">
      <c r="A628">
        <v>2016</v>
      </c>
      <c r="B628" s="13">
        <v>2006</v>
      </c>
      <c r="C628" s="90" t="str">
        <f>VLOOKUP(B628,'All Districts'!$A$3:$B$874,2,FALSE)</f>
        <v>Alden</v>
      </c>
      <c r="D628" s="16">
        <v>1503711</v>
      </c>
      <c r="E628">
        <f>VLOOKUP(C628,'All Districts'!$B$3:$C$874,2,FALSE)</f>
        <v>3602550</v>
      </c>
      <c r="F628" s="91">
        <f>COUNTIF($E$2:$E$7106,E628)</f>
        <v>9</v>
      </c>
    </row>
    <row r="629" spans="1:6" x14ac:dyDescent="0.2">
      <c r="A629">
        <v>2017</v>
      </c>
      <c r="B629" s="13">
        <v>2006</v>
      </c>
      <c r="C629" s="90" t="str">
        <f>VLOOKUP(B629,'All Districts'!$A$3:$B$874,2,FALSE)</f>
        <v>Alden</v>
      </c>
      <c r="D629" s="16">
        <v>1386383</v>
      </c>
      <c r="E629">
        <f>VLOOKUP(C629,'All Districts'!$B$3:$C$874,2,FALSE)</f>
        <v>3602550</v>
      </c>
      <c r="F629" s="91">
        <f>COUNTIF($E$2:$E$7106,E629)</f>
        <v>9</v>
      </c>
    </row>
    <row r="630" spans="1:6" x14ac:dyDescent="0.2">
      <c r="A630" s="10">
        <v>2018</v>
      </c>
      <c r="B630" s="13">
        <v>2006</v>
      </c>
      <c r="C630" s="90" t="str">
        <f>VLOOKUP(B630,'All Districts'!$A$3:$B$874,2,FALSE)</f>
        <v>Alden</v>
      </c>
      <c r="D630" s="15">
        <v>1199175</v>
      </c>
      <c r="E630">
        <f>VLOOKUP(C630,'All Districts'!$B$3:$C$874,2,FALSE)</f>
        <v>3602550</v>
      </c>
      <c r="F630" s="91">
        <f>COUNTIF($E$2:$E$7106,E630)</f>
        <v>9</v>
      </c>
    </row>
    <row r="631" spans="1:6" x14ac:dyDescent="0.2">
      <c r="A631">
        <v>2019</v>
      </c>
      <c r="B631" s="36">
        <v>2006</v>
      </c>
      <c r="C631" s="90" t="str">
        <f>VLOOKUP(B631,'All Districts'!$A$3:$B$874,2,FALSE)</f>
        <v>Alden</v>
      </c>
      <c r="D631" s="40">
        <v>1304991</v>
      </c>
      <c r="E631">
        <f>VLOOKUP(C631,'All Districts'!$B$3:$C$874,2,FALSE)</f>
        <v>3602550</v>
      </c>
      <c r="F631" s="91">
        <f>COUNTIF($E$2:$E$7106,E631)</f>
        <v>9</v>
      </c>
    </row>
    <row r="632" spans="1:6" x14ac:dyDescent="0.2">
      <c r="A632">
        <v>2020</v>
      </c>
      <c r="B632" s="36">
        <v>2006</v>
      </c>
      <c r="C632" s="90" t="str">
        <f>VLOOKUP(B632,'All Districts'!$A$3:$B$874,2,FALSE)</f>
        <v>Alden</v>
      </c>
      <c r="D632" s="40">
        <v>1109512</v>
      </c>
      <c r="E632">
        <f>VLOOKUP(C632,'All Districts'!$B$3:$C$874,2,FALSE)</f>
        <v>3602550</v>
      </c>
      <c r="F632" s="91">
        <f>COUNTIF($E$2:$E$7106,E632)</f>
        <v>9</v>
      </c>
    </row>
    <row r="633" spans="1:6" x14ac:dyDescent="0.2">
      <c r="A633" s="10">
        <v>2021</v>
      </c>
      <c r="B633" s="52">
        <v>2006</v>
      </c>
      <c r="C633" s="90" t="str">
        <f>VLOOKUP(B633,'All Districts'!$A$3:$B$874,2,FALSE)</f>
        <v>Alden</v>
      </c>
      <c r="D633" s="76">
        <v>1167623</v>
      </c>
      <c r="E633">
        <f>VLOOKUP(C633,'All Districts'!$B$3:$C$874,2,FALSE)</f>
        <v>3602550</v>
      </c>
      <c r="F633" s="91">
        <f>COUNTIF($E$2:$E$7106,E633)</f>
        <v>9</v>
      </c>
    </row>
    <row r="634" spans="1:6" x14ac:dyDescent="0.2">
      <c r="A634">
        <v>2022</v>
      </c>
      <c r="B634" s="36">
        <v>2006</v>
      </c>
      <c r="C634" s="90" t="str">
        <f>VLOOKUP(B634,'All Districts'!$A$3:$B$874,2,FALSE)</f>
        <v>Alden</v>
      </c>
      <c r="D634" s="82">
        <v>1262656</v>
      </c>
      <c r="E634">
        <f>VLOOKUP(C634,'All Districts'!$B$3:$C$874,2,FALSE)</f>
        <v>3602550</v>
      </c>
      <c r="F634" s="91">
        <f>COUNTIF($E$2:$E$7106,E634)</f>
        <v>9</v>
      </c>
    </row>
    <row r="635" spans="1:6" x14ac:dyDescent="0.2">
      <c r="A635">
        <v>2023</v>
      </c>
      <c r="B635" s="36">
        <v>2006</v>
      </c>
      <c r="C635" s="90" t="str">
        <f>VLOOKUP(B635,'All Districts'!$A$3:$B$874,2,FALSE)</f>
        <v>Alden</v>
      </c>
      <c r="D635" s="40">
        <v>1328779</v>
      </c>
      <c r="E635">
        <f>VLOOKUP(C635,'All Districts'!$B$3:$C$874,2,FALSE)</f>
        <v>3602550</v>
      </c>
      <c r="F635" s="91">
        <f>COUNTIF($E$2:$E$7106,E635)</f>
        <v>9</v>
      </c>
    </row>
    <row r="636" spans="1:6" x14ac:dyDescent="0.2">
      <c r="A636">
        <v>2015</v>
      </c>
      <c r="B636" s="13">
        <v>3932</v>
      </c>
      <c r="C636" s="90" t="str">
        <f>VLOOKUP(B636,'All Districts'!$A$3:$B$874,2,FALSE)</f>
        <v>Alexander</v>
      </c>
      <c r="D636" s="14">
        <v>980485</v>
      </c>
      <c r="E636">
        <f>VLOOKUP(C636,'All Districts'!$B$3:$C$874,2,FALSE)</f>
        <v>3602580</v>
      </c>
      <c r="F636" s="91">
        <f>COUNTIF($E$2:$E$7106,E636)</f>
        <v>9</v>
      </c>
    </row>
    <row r="637" spans="1:6" x14ac:dyDescent="0.2">
      <c r="A637">
        <v>2016</v>
      </c>
      <c r="B637" s="13">
        <v>3932</v>
      </c>
      <c r="C637" s="90" t="str">
        <f>VLOOKUP(B637,'All Districts'!$A$3:$B$874,2,FALSE)</f>
        <v>Alexander</v>
      </c>
      <c r="D637" s="16">
        <v>758422</v>
      </c>
      <c r="E637">
        <f>VLOOKUP(C637,'All Districts'!$B$3:$C$874,2,FALSE)</f>
        <v>3602580</v>
      </c>
      <c r="F637" s="91">
        <f>COUNTIF($E$2:$E$7106,E637)</f>
        <v>9</v>
      </c>
    </row>
    <row r="638" spans="1:6" x14ac:dyDescent="0.2">
      <c r="A638">
        <v>2017</v>
      </c>
      <c r="B638" s="13">
        <v>3932</v>
      </c>
      <c r="C638" s="90" t="str">
        <f>VLOOKUP(B638,'All Districts'!$A$3:$B$874,2,FALSE)</f>
        <v>Alexander</v>
      </c>
      <c r="D638" s="16">
        <v>682283</v>
      </c>
      <c r="E638">
        <f>VLOOKUP(C638,'All Districts'!$B$3:$C$874,2,FALSE)</f>
        <v>3602580</v>
      </c>
      <c r="F638" s="91">
        <f>COUNTIF($E$2:$E$7106,E638)</f>
        <v>9</v>
      </c>
    </row>
    <row r="639" spans="1:6" x14ac:dyDescent="0.2">
      <c r="A639" s="10">
        <v>2018</v>
      </c>
      <c r="B639" s="13">
        <v>3932</v>
      </c>
      <c r="C639" s="90" t="str">
        <f>VLOOKUP(B639,'All Districts'!$A$3:$B$874,2,FALSE)</f>
        <v>Alexander</v>
      </c>
      <c r="D639" s="15">
        <v>603142</v>
      </c>
      <c r="E639">
        <f>VLOOKUP(C639,'All Districts'!$B$3:$C$874,2,FALSE)</f>
        <v>3602580</v>
      </c>
      <c r="F639" s="91">
        <f>COUNTIF($E$2:$E$7106,E639)</f>
        <v>9</v>
      </c>
    </row>
    <row r="640" spans="1:6" x14ac:dyDescent="0.2">
      <c r="A640">
        <v>2019</v>
      </c>
      <c r="B640" s="36">
        <v>3932</v>
      </c>
      <c r="C640" s="90" t="str">
        <f>VLOOKUP(B640,'All Districts'!$A$3:$B$874,2,FALSE)</f>
        <v>Alexander</v>
      </c>
      <c r="D640" s="40">
        <v>674708</v>
      </c>
      <c r="E640">
        <f>VLOOKUP(C640,'All Districts'!$B$3:$C$874,2,FALSE)</f>
        <v>3602580</v>
      </c>
      <c r="F640" s="91">
        <f>COUNTIF($E$2:$E$7106,E640)</f>
        <v>9</v>
      </c>
    </row>
    <row r="641" spans="1:6" x14ac:dyDescent="0.2">
      <c r="A641">
        <v>2020</v>
      </c>
      <c r="B641" s="36">
        <v>3932</v>
      </c>
      <c r="C641" s="90" t="str">
        <f>VLOOKUP(B641,'All Districts'!$A$3:$B$874,2,FALSE)</f>
        <v>Alexander</v>
      </c>
      <c r="D641" s="40">
        <v>575922</v>
      </c>
      <c r="E641">
        <f>VLOOKUP(C641,'All Districts'!$B$3:$C$874,2,FALSE)</f>
        <v>3602580</v>
      </c>
      <c r="F641" s="91">
        <f>COUNTIF($E$2:$E$7106,E641)</f>
        <v>9</v>
      </c>
    </row>
    <row r="642" spans="1:6" x14ac:dyDescent="0.2">
      <c r="A642" s="10">
        <v>2021</v>
      </c>
      <c r="B642" s="55">
        <v>3932</v>
      </c>
      <c r="C642" s="90" t="str">
        <f>VLOOKUP(B642,'All Districts'!$A$3:$B$874,2,FALSE)</f>
        <v>Alexander</v>
      </c>
      <c r="D642" s="75">
        <v>604407</v>
      </c>
      <c r="E642">
        <f>VLOOKUP(C642,'All Districts'!$B$3:$C$874,2,FALSE)</f>
        <v>3602580</v>
      </c>
      <c r="F642" s="91">
        <f>COUNTIF($E$2:$E$7106,E642)</f>
        <v>9</v>
      </c>
    </row>
    <row r="643" spans="1:6" x14ac:dyDescent="0.2">
      <c r="A643">
        <v>2022</v>
      </c>
      <c r="B643" s="36">
        <v>3932</v>
      </c>
      <c r="C643" s="90" t="str">
        <f>VLOOKUP(B643,'All Districts'!$A$3:$B$874,2,FALSE)</f>
        <v>Alexander</v>
      </c>
      <c r="D643" s="82">
        <v>666493</v>
      </c>
      <c r="E643">
        <f>VLOOKUP(C643,'All Districts'!$B$3:$C$874,2,FALSE)</f>
        <v>3602580</v>
      </c>
      <c r="F643" s="91">
        <f>COUNTIF($E$2:$E$7106,E643)</f>
        <v>9</v>
      </c>
    </row>
    <row r="644" spans="1:6" x14ac:dyDescent="0.2">
      <c r="A644">
        <v>2023</v>
      </c>
      <c r="B644" s="36">
        <v>3932</v>
      </c>
      <c r="C644" s="90" t="str">
        <f>VLOOKUP(B644,'All Districts'!$A$3:$B$874,2,FALSE)</f>
        <v>Alexander</v>
      </c>
      <c r="D644" s="40">
        <v>734489</v>
      </c>
      <c r="E644">
        <f>VLOOKUP(C644,'All Districts'!$B$3:$C$874,2,FALSE)</f>
        <v>3602580</v>
      </c>
      <c r="F644" s="91">
        <f>COUNTIF($E$2:$E$7106,E644)</f>
        <v>9</v>
      </c>
    </row>
    <row r="645" spans="1:6" x14ac:dyDescent="0.2">
      <c r="A645">
        <v>2015</v>
      </c>
      <c r="B645" s="13">
        <v>4101</v>
      </c>
      <c r="C645" s="90" t="str">
        <f>VLOOKUP(B645,'All Districts'!$A$3:$B$874,2,FALSE)</f>
        <v>Alexandria</v>
      </c>
      <c r="D645" s="14">
        <v>614769</v>
      </c>
      <c r="E645">
        <f>VLOOKUP(C645,'All Districts'!$B$3:$C$874,2,FALSE)</f>
        <v>3602670</v>
      </c>
      <c r="F645" s="91">
        <f>COUNTIF($E$2:$E$7106,E645)</f>
        <v>9</v>
      </c>
    </row>
    <row r="646" spans="1:6" x14ac:dyDescent="0.2">
      <c r="A646">
        <v>2016</v>
      </c>
      <c r="B646" s="13">
        <v>4101</v>
      </c>
      <c r="C646" s="90" t="str">
        <f>VLOOKUP(B646,'All Districts'!$A$3:$B$874,2,FALSE)</f>
        <v>Alexandria</v>
      </c>
      <c r="D646" s="16">
        <v>477745</v>
      </c>
      <c r="E646">
        <f>VLOOKUP(C646,'All Districts'!$B$3:$C$874,2,FALSE)</f>
        <v>3602670</v>
      </c>
      <c r="F646" s="91">
        <f>COUNTIF($E$2:$E$7106,E646)</f>
        <v>9</v>
      </c>
    </row>
    <row r="647" spans="1:6" x14ac:dyDescent="0.2">
      <c r="A647">
        <v>2017</v>
      </c>
      <c r="B647" s="13">
        <v>4101</v>
      </c>
      <c r="C647" s="90" t="str">
        <f>VLOOKUP(B647,'All Districts'!$A$3:$B$874,2,FALSE)</f>
        <v>Alexandria</v>
      </c>
      <c r="D647" s="16">
        <v>403360</v>
      </c>
      <c r="E647">
        <f>VLOOKUP(C647,'All Districts'!$B$3:$C$874,2,FALSE)</f>
        <v>3602670</v>
      </c>
      <c r="F647" s="91">
        <f>COUNTIF($E$2:$E$7106,E647)</f>
        <v>9</v>
      </c>
    </row>
    <row r="648" spans="1:6" x14ac:dyDescent="0.2">
      <c r="A648" s="10">
        <v>2018</v>
      </c>
      <c r="B648" s="13">
        <v>4101</v>
      </c>
      <c r="C648" s="90" t="str">
        <f>VLOOKUP(B648,'All Districts'!$A$3:$B$874,2,FALSE)</f>
        <v>Alexandria</v>
      </c>
      <c r="D648" s="15">
        <v>389773</v>
      </c>
      <c r="E648">
        <f>VLOOKUP(C648,'All Districts'!$B$3:$C$874,2,FALSE)</f>
        <v>3602670</v>
      </c>
      <c r="F648" s="91">
        <f>COUNTIF($E$2:$E$7106,E648)</f>
        <v>9</v>
      </c>
    </row>
    <row r="649" spans="1:6" x14ac:dyDescent="0.2">
      <c r="A649">
        <v>2019</v>
      </c>
      <c r="B649" s="36">
        <v>4101</v>
      </c>
      <c r="C649" s="90" t="str">
        <f>VLOOKUP(B649,'All Districts'!$A$3:$B$874,2,FALSE)</f>
        <v>Alexandria</v>
      </c>
      <c r="D649" s="40">
        <v>410626</v>
      </c>
      <c r="E649">
        <f>VLOOKUP(C649,'All Districts'!$B$3:$C$874,2,FALSE)</f>
        <v>3602670</v>
      </c>
      <c r="F649" s="91">
        <f>COUNTIF($E$2:$E$7106,E649)</f>
        <v>9</v>
      </c>
    </row>
    <row r="650" spans="1:6" x14ac:dyDescent="0.2">
      <c r="A650">
        <v>2020</v>
      </c>
      <c r="B650" s="36">
        <v>4101</v>
      </c>
      <c r="C650" s="90" t="str">
        <f>VLOOKUP(B650,'All Districts'!$A$3:$B$874,2,FALSE)</f>
        <v>Alexandria</v>
      </c>
      <c r="D650" s="40">
        <v>348527</v>
      </c>
      <c r="E650">
        <f>VLOOKUP(C650,'All Districts'!$B$3:$C$874,2,FALSE)</f>
        <v>3602670</v>
      </c>
      <c r="F650" s="91">
        <f>COUNTIF($E$2:$E$7106,E650)</f>
        <v>9</v>
      </c>
    </row>
    <row r="651" spans="1:6" x14ac:dyDescent="0.2">
      <c r="A651" s="10">
        <v>2021</v>
      </c>
      <c r="B651" s="52">
        <v>4101</v>
      </c>
      <c r="C651" s="90" t="str">
        <f>VLOOKUP(B651,'All Districts'!$A$3:$B$874,2,FALSE)</f>
        <v>Alexandria</v>
      </c>
      <c r="D651" s="76">
        <v>359547</v>
      </c>
      <c r="E651">
        <f>VLOOKUP(C651,'All Districts'!$B$3:$C$874,2,FALSE)</f>
        <v>3602670</v>
      </c>
      <c r="F651" s="91">
        <f>COUNTIF($E$2:$E$7106,E651)</f>
        <v>9</v>
      </c>
    </row>
    <row r="652" spans="1:6" x14ac:dyDescent="0.2">
      <c r="A652">
        <v>2022</v>
      </c>
      <c r="B652" s="36">
        <v>4101</v>
      </c>
      <c r="C652" s="90" t="str">
        <f>VLOOKUP(B652,'All Districts'!$A$3:$B$874,2,FALSE)</f>
        <v>Alexandria</v>
      </c>
      <c r="D652" s="82">
        <v>404369</v>
      </c>
      <c r="E652">
        <f>VLOOKUP(C652,'All Districts'!$B$3:$C$874,2,FALSE)</f>
        <v>3602670</v>
      </c>
      <c r="F652" s="91">
        <f>COUNTIF($E$2:$E$7106,E652)</f>
        <v>9</v>
      </c>
    </row>
    <row r="653" spans="1:6" x14ac:dyDescent="0.2">
      <c r="A653">
        <v>2023</v>
      </c>
      <c r="B653" s="36">
        <v>4101</v>
      </c>
      <c r="C653" s="90" t="str">
        <f>VLOOKUP(B653,'All Districts'!$A$3:$B$874,2,FALSE)</f>
        <v>Alexandria</v>
      </c>
      <c r="D653" s="40">
        <v>440724</v>
      </c>
      <c r="E653">
        <f>VLOOKUP(C653,'All Districts'!$B$3:$C$874,2,FALSE)</f>
        <v>3602670</v>
      </c>
      <c r="F653" s="91">
        <f>COUNTIF($E$2:$E$7106,E653)</f>
        <v>9</v>
      </c>
    </row>
    <row r="654" spans="1:6" x14ac:dyDescent="0.2">
      <c r="A654">
        <v>2015</v>
      </c>
      <c r="B654" s="13">
        <v>5308</v>
      </c>
      <c r="C654" s="90" t="str">
        <f>VLOOKUP(B654,'All Districts'!$A$3:$B$874,2,FALSE)</f>
        <v>Alfred-Almond</v>
      </c>
      <c r="D654" s="14">
        <v>750705</v>
      </c>
      <c r="E654">
        <f>VLOOKUP(C654,'All Districts'!$B$3:$C$874,2,FALSE)</f>
        <v>3602700</v>
      </c>
      <c r="F654" s="91">
        <f>COUNTIF($E$2:$E$7106,E654)</f>
        <v>9</v>
      </c>
    </row>
    <row r="655" spans="1:6" x14ac:dyDescent="0.2">
      <c r="A655">
        <v>2016</v>
      </c>
      <c r="B655" s="13">
        <v>5308</v>
      </c>
      <c r="C655" s="90" t="str">
        <f>VLOOKUP(B655,'All Districts'!$A$3:$B$874,2,FALSE)</f>
        <v>Alfred-Almond</v>
      </c>
      <c r="D655" s="16">
        <v>563381</v>
      </c>
      <c r="E655">
        <f>VLOOKUP(C655,'All Districts'!$B$3:$C$874,2,FALSE)</f>
        <v>3602700</v>
      </c>
      <c r="F655" s="91">
        <f>COUNTIF($E$2:$E$7106,E655)</f>
        <v>9</v>
      </c>
    </row>
    <row r="656" spans="1:6" x14ac:dyDescent="0.2">
      <c r="A656">
        <v>2017</v>
      </c>
      <c r="B656" s="13">
        <v>5308</v>
      </c>
      <c r="C656" s="90" t="str">
        <f>VLOOKUP(B656,'All Districts'!$A$3:$B$874,2,FALSE)</f>
        <v>Alfred-Almond</v>
      </c>
      <c r="D656" s="16">
        <v>503374</v>
      </c>
      <c r="E656">
        <f>VLOOKUP(C656,'All Districts'!$B$3:$C$874,2,FALSE)</f>
        <v>3602700</v>
      </c>
      <c r="F656" s="91">
        <f>COUNTIF($E$2:$E$7106,E656)</f>
        <v>9</v>
      </c>
    </row>
    <row r="657" spans="1:6" x14ac:dyDescent="0.2">
      <c r="A657" s="10">
        <v>2018</v>
      </c>
      <c r="B657" s="13">
        <v>5308</v>
      </c>
      <c r="C657" s="90" t="str">
        <f>VLOOKUP(B657,'All Districts'!$A$3:$B$874,2,FALSE)</f>
        <v>Alfred-Almond</v>
      </c>
      <c r="D657" s="15">
        <v>432777</v>
      </c>
      <c r="E657">
        <f>VLOOKUP(C657,'All Districts'!$B$3:$C$874,2,FALSE)</f>
        <v>3602700</v>
      </c>
      <c r="F657" s="91">
        <f>COUNTIF($E$2:$E$7106,E657)</f>
        <v>9</v>
      </c>
    </row>
    <row r="658" spans="1:6" x14ac:dyDescent="0.2">
      <c r="A658">
        <v>2019</v>
      </c>
      <c r="B658" s="36">
        <v>5308</v>
      </c>
      <c r="C658" s="90" t="str">
        <f>VLOOKUP(B658,'All Districts'!$A$3:$B$874,2,FALSE)</f>
        <v>Alfred-Almond</v>
      </c>
      <c r="D658" s="40">
        <v>485530</v>
      </c>
      <c r="E658">
        <f>VLOOKUP(C658,'All Districts'!$B$3:$C$874,2,FALSE)</f>
        <v>3602700</v>
      </c>
      <c r="F658" s="91">
        <f>COUNTIF($E$2:$E$7106,E658)</f>
        <v>9</v>
      </c>
    </row>
    <row r="659" spans="1:6" x14ac:dyDescent="0.2">
      <c r="A659">
        <v>2020</v>
      </c>
      <c r="B659" s="36">
        <v>5308</v>
      </c>
      <c r="C659" s="90" t="str">
        <f>VLOOKUP(B659,'All Districts'!$A$3:$B$874,2,FALSE)</f>
        <v>Alfred-Almond</v>
      </c>
      <c r="D659" s="40">
        <v>418883</v>
      </c>
      <c r="E659">
        <f>VLOOKUP(C659,'All Districts'!$B$3:$C$874,2,FALSE)</f>
        <v>3602700</v>
      </c>
      <c r="F659" s="91">
        <f>COUNTIF($E$2:$E$7106,E659)</f>
        <v>9</v>
      </c>
    </row>
    <row r="660" spans="1:6" x14ac:dyDescent="0.2">
      <c r="A660" s="10">
        <v>2021</v>
      </c>
      <c r="B660" s="52">
        <v>5308</v>
      </c>
      <c r="C660" s="90" t="str">
        <f>VLOOKUP(B660,'All Districts'!$A$3:$B$874,2,FALSE)</f>
        <v>Alfred-Almond</v>
      </c>
      <c r="D660" s="76">
        <v>442420</v>
      </c>
      <c r="E660">
        <f>VLOOKUP(C660,'All Districts'!$B$3:$C$874,2,FALSE)</f>
        <v>3602700</v>
      </c>
      <c r="F660" s="91">
        <f>COUNTIF($E$2:$E$7106,E660)</f>
        <v>9</v>
      </c>
    </row>
    <row r="661" spans="1:6" x14ac:dyDescent="0.2">
      <c r="A661">
        <v>2022</v>
      </c>
      <c r="B661" s="36">
        <v>5308</v>
      </c>
      <c r="C661" s="90" t="str">
        <f>VLOOKUP(B661,'All Districts'!$A$3:$B$874,2,FALSE)</f>
        <v>Alfred-Almond</v>
      </c>
      <c r="D661" s="82">
        <v>464557</v>
      </c>
      <c r="E661">
        <f>VLOOKUP(C661,'All Districts'!$B$3:$C$874,2,FALSE)</f>
        <v>3602700</v>
      </c>
      <c r="F661" s="91">
        <f>COUNTIF($E$2:$E$7106,E661)</f>
        <v>9</v>
      </c>
    </row>
    <row r="662" spans="1:6" x14ac:dyDescent="0.2">
      <c r="A662">
        <v>2023</v>
      </c>
      <c r="B662" s="36">
        <v>5308</v>
      </c>
      <c r="C662" s="90" t="str">
        <f>VLOOKUP(B662,'All Districts'!$A$3:$B$874,2,FALSE)</f>
        <v>Alfred-Almond</v>
      </c>
      <c r="D662" s="40">
        <v>505114</v>
      </c>
      <c r="E662">
        <f>VLOOKUP(C662,'All Districts'!$B$3:$C$874,2,FALSE)</f>
        <v>3602700</v>
      </c>
      <c r="F662" s="91">
        <f>COUNTIF($E$2:$E$7106,E662)</f>
        <v>9</v>
      </c>
    </row>
    <row r="663" spans="1:6" x14ac:dyDescent="0.2">
      <c r="A663">
        <v>2015</v>
      </c>
      <c r="B663" s="13">
        <v>3226</v>
      </c>
      <c r="C663" s="90" t="str">
        <f>VLOOKUP(B663,'All Districts'!$A$3:$B$874,2,FALSE)</f>
        <v>Allegany-Limestone</v>
      </c>
      <c r="D663" s="14">
        <v>1263980</v>
      </c>
      <c r="E663">
        <f>VLOOKUP(C663,'All Districts'!$B$3:$C$874,2,FALSE)</f>
        <v>3600015</v>
      </c>
      <c r="F663" s="91">
        <f>COUNTIF($E$2:$E$7106,E663)</f>
        <v>9</v>
      </c>
    </row>
    <row r="664" spans="1:6" x14ac:dyDescent="0.2">
      <c r="A664">
        <v>2016</v>
      </c>
      <c r="B664" s="13">
        <v>3226</v>
      </c>
      <c r="C664" s="90" t="str">
        <f>VLOOKUP(B664,'All Districts'!$A$3:$B$874,2,FALSE)</f>
        <v>Allegany-Limestone</v>
      </c>
      <c r="D664" s="16">
        <v>973437</v>
      </c>
      <c r="E664">
        <f>VLOOKUP(C664,'All Districts'!$B$3:$C$874,2,FALSE)</f>
        <v>3600015</v>
      </c>
      <c r="F664" s="91">
        <f>COUNTIF($E$2:$E$7106,E664)</f>
        <v>9</v>
      </c>
    </row>
    <row r="665" spans="1:6" x14ac:dyDescent="0.2">
      <c r="A665">
        <v>2017</v>
      </c>
      <c r="B665" s="13">
        <v>3226</v>
      </c>
      <c r="C665" s="90" t="str">
        <f>VLOOKUP(B665,'All Districts'!$A$3:$B$874,2,FALSE)</f>
        <v>Allegany-Limestone</v>
      </c>
      <c r="D665" s="16">
        <v>823023</v>
      </c>
      <c r="E665">
        <f>VLOOKUP(C665,'All Districts'!$B$3:$C$874,2,FALSE)</f>
        <v>3600015</v>
      </c>
      <c r="F665" s="91">
        <f>COUNTIF($E$2:$E$7106,E665)</f>
        <v>9</v>
      </c>
    </row>
    <row r="666" spans="1:6" x14ac:dyDescent="0.2">
      <c r="A666" s="10">
        <v>2018</v>
      </c>
      <c r="B666" s="13">
        <v>3226</v>
      </c>
      <c r="C666" s="90" t="str">
        <f>VLOOKUP(B666,'All Districts'!$A$3:$B$874,2,FALSE)</f>
        <v>Allegany-Limestone</v>
      </c>
      <c r="D666" s="15">
        <v>714479</v>
      </c>
      <c r="E666">
        <f>VLOOKUP(C666,'All Districts'!$B$3:$C$874,2,FALSE)</f>
        <v>3600015</v>
      </c>
      <c r="F666" s="91">
        <f>COUNTIF($E$2:$E$7106,E666)</f>
        <v>9</v>
      </c>
    </row>
    <row r="667" spans="1:6" x14ac:dyDescent="0.2">
      <c r="A667">
        <v>2019</v>
      </c>
      <c r="B667" s="36">
        <v>3226</v>
      </c>
      <c r="C667" s="90" t="str">
        <f>VLOOKUP(B667,'All Districts'!$A$3:$B$874,2,FALSE)</f>
        <v>Allegany-Limestone</v>
      </c>
      <c r="D667" s="40">
        <v>782409</v>
      </c>
      <c r="E667">
        <f>VLOOKUP(C667,'All Districts'!$B$3:$C$874,2,FALSE)</f>
        <v>3600015</v>
      </c>
      <c r="F667" s="91">
        <f>COUNTIF($E$2:$E$7106,E667)</f>
        <v>9</v>
      </c>
    </row>
    <row r="668" spans="1:6" x14ac:dyDescent="0.2">
      <c r="A668">
        <v>2020</v>
      </c>
      <c r="B668" s="36">
        <v>3226</v>
      </c>
      <c r="C668" s="90" t="str">
        <f>VLOOKUP(B668,'All Districts'!$A$3:$B$874,2,FALSE)</f>
        <v>Allegany-Limestone</v>
      </c>
      <c r="D668" s="40">
        <v>662220</v>
      </c>
      <c r="E668">
        <f>VLOOKUP(C668,'All Districts'!$B$3:$C$874,2,FALSE)</f>
        <v>3600015</v>
      </c>
      <c r="F668" s="91">
        <f>COUNTIF($E$2:$E$7106,E668)</f>
        <v>9</v>
      </c>
    </row>
    <row r="669" spans="1:6" x14ac:dyDescent="0.2">
      <c r="A669" s="10">
        <v>2021</v>
      </c>
      <c r="B669" s="55">
        <v>3226</v>
      </c>
      <c r="C669" s="90" t="str">
        <f>VLOOKUP(B669,'All Districts'!$A$3:$B$874,2,FALSE)</f>
        <v>Allegany-Limestone</v>
      </c>
      <c r="D669" s="75">
        <v>734660</v>
      </c>
      <c r="E669">
        <f>VLOOKUP(C669,'All Districts'!$B$3:$C$874,2,FALSE)</f>
        <v>3600015</v>
      </c>
      <c r="F669" s="91">
        <f>COUNTIF($E$2:$E$7106,E669)</f>
        <v>9</v>
      </c>
    </row>
    <row r="670" spans="1:6" x14ac:dyDescent="0.2">
      <c r="A670">
        <v>2022</v>
      </c>
      <c r="B670" s="36">
        <v>3226</v>
      </c>
      <c r="C670" s="90" t="str">
        <f>VLOOKUP(B670,'All Districts'!$A$3:$B$874,2,FALSE)</f>
        <v>Allegany-Limestone</v>
      </c>
      <c r="D670" s="82">
        <v>741431</v>
      </c>
      <c r="E670">
        <f>VLOOKUP(C670,'All Districts'!$B$3:$C$874,2,FALSE)</f>
        <v>3600015</v>
      </c>
      <c r="F670" s="91">
        <f>COUNTIF($E$2:$E$7106,E670)</f>
        <v>9</v>
      </c>
    </row>
    <row r="671" spans="1:6" x14ac:dyDescent="0.2">
      <c r="A671">
        <v>2023</v>
      </c>
      <c r="B671" s="36">
        <v>3226</v>
      </c>
      <c r="C671" s="90" t="str">
        <f>VLOOKUP(B671,'All Districts'!$A$3:$B$874,2,FALSE)</f>
        <v>Allegany-Limestone</v>
      </c>
      <c r="D671" s="40">
        <v>813470</v>
      </c>
      <c r="E671">
        <f>VLOOKUP(C671,'All Districts'!$B$3:$C$874,2,FALSE)</f>
        <v>3600015</v>
      </c>
      <c r="F671" s="91">
        <f>COUNTIF($E$2:$E$7106,E671)</f>
        <v>9</v>
      </c>
    </row>
    <row r="672" spans="1:6" x14ac:dyDescent="0.2">
      <c r="A672">
        <v>2015</v>
      </c>
      <c r="B672" s="13">
        <v>4701</v>
      </c>
      <c r="C672" s="90" t="str">
        <f>VLOOKUP(B672,'All Districts'!$A$3:$B$874,2,FALSE)</f>
        <v>Altmar Parish-Williamstown</v>
      </c>
      <c r="D672" s="14">
        <v>1609865</v>
      </c>
      <c r="E672">
        <f>VLOOKUP(C672,'All Districts'!$B$3:$C$874,2,FALSE)</f>
        <v>3602820</v>
      </c>
      <c r="F672" s="91">
        <f>COUNTIF($E$2:$E$7106,E672)</f>
        <v>9</v>
      </c>
    </row>
    <row r="673" spans="1:6" x14ac:dyDescent="0.2">
      <c r="A673">
        <v>2016</v>
      </c>
      <c r="B673" s="13">
        <v>4701</v>
      </c>
      <c r="C673" s="90" t="str">
        <f>VLOOKUP(B673,'All Districts'!$A$3:$B$874,2,FALSE)</f>
        <v>Altmar Parish-Williamstown</v>
      </c>
      <c r="D673" s="16">
        <v>1159250</v>
      </c>
      <c r="E673">
        <f>VLOOKUP(C673,'All Districts'!$B$3:$C$874,2,FALSE)</f>
        <v>3602820</v>
      </c>
      <c r="F673" s="91">
        <f>COUNTIF($E$2:$E$7106,E673)</f>
        <v>9</v>
      </c>
    </row>
    <row r="674" spans="1:6" x14ac:dyDescent="0.2">
      <c r="A674">
        <v>2017</v>
      </c>
      <c r="B674" s="13">
        <v>4701</v>
      </c>
      <c r="C674" s="90" t="str">
        <f>VLOOKUP(B674,'All Districts'!$A$3:$B$874,2,FALSE)</f>
        <v>Altmar Parish-Williamstown</v>
      </c>
      <c r="D674" s="16">
        <v>1041506</v>
      </c>
      <c r="E674">
        <f>VLOOKUP(C674,'All Districts'!$B$3:$C$874,2,FALSE)</f>
        <v>3602820</v>
      </c>
      <c r="F674" s="91">
        <f>COUNTIF($E$2:$E$7106,E674)</f>
        <v>9</v>
      </c>
    </row>
    <row r="675" spans="1:6" x14ac:dyDescent="0.2">
      <c r="A675" s="10">
        <v>2018</v>
      </c>
      <c r="B675" s="13">
        <v>4701</v>
      </c>
      <c r="C675" s="90" t="str">
        <f>VLOOKUP(B675,'All Districts'!$A$3:$B$874,2,FALSE)</f>
        <v>Altmar Parish-Williamstown</v>
      </c>
      <c r="D675" s="15">
        <v>924716</v>
      </c>
      <c r="E675">
        <f>VLOOKUP(C675,'All Districts'!$B$3:$C$874,2,FALSE)</f>
        <v>3602820</v>
      </c>
      <c r="F675" s="91">
        <f>COUNTIF($E$2:$E$7106,E675)</f>
        <v>9</v>
      </c>
    </row>
    <row r="676" spans="1:6" x14ac:dyDescent="0.2">
      <c r="A676">
        <v>2019</v>
      </c>
      <c r="B676" s="36">
        <v>4701</v>
      </c>
      <c r="C676" s="90" t="str">
        <f>VLOOKUP(B676,'All Districts'!$A$3:$B$874,2,FALSE)</f>
        <v>Altmar Parish-Williamstown</v>
      </c>
      <c r="D676" s="40">
        <v>972233</v>
      </c>
      <c r="E676">
        <f>VLOOKUP(C676,'All Districts'!$B$3:$C$874,2,FALSE)</f>
        <v>3602820</v>
      </c>
      <c r="F676" s="91">
        <f>COUNTIF($E$2:$E$7106,E676)</f>
        <v>9</v>
      </c>
    </row>
    <row r="677" spans="1:6" x14ac:dyDescent="0.2">
      <c r="A677">
        <v>2020</v>
      </c>
      <c r="B677" s="36">
        <v>4701</v>
      </c>
      <c r="C677" s="90" t="str">
        <f>VLOOKUP(B677,'All Districts'!$A$3:$B$874,2,FALSE)</f>
        <v>Altmar Parish-Williamstown</v>
      </c>
      <c r="D677" s="40">
        <v>824905</v>
      </c>
      <c r="E677">
        <f>VLOOKUP(C677,'All Districts'!$B$3:$C$874,2,FALSE)</f>
        <v>3602820</v>
      </c>
      <c r="F677" s="91">
        <f>COUNTIF($E$2:$E$7106,E677)</f>
        <v>9</v>
      </c>
    </row>
    <row r="678" spans="1:6" x14ac:dyDescent="0.2">
      <c r="A678" s="10">
        <v>2021</v>
      </c>
      <c r="B678" s="52">
        <v>4701</v>
      </c>
      <c r="C678" s="90" t="str">
        <f>VLOOKUP(B678,'All Districts'!$A$3:$B$874,2,FALSE)</f>
        <v>Altmar Parish-Williamstown</v>
      </c>
      <c r="D678" s="76">
        <v>908445</v>
      </c>
      <c r="E678">
        <f>VLOOKUP(C678,'All Districts'!$B$3:$C$874,2,FALSE)</f>
        <v>3602820</v>
      </c>
      <c r="F678" s="91">
        <f>COUNTIF($E$2:$E$7106,E678)</f>
        <v>9</v>
      </c>
    </row>
    <row r="679" spans="1:6" x14ac:dyDescent="0.2">
      <c r="A679">
        <v>2022</v>
      </c>
      <c r="B679" s="36">
        <v>4701</v>
      </c>
      <c r="C679" s="90" t="str">
        <f>VLOOKUP(B679,'All Districts'!$A$3:$B$874,2,FALSE)</f>
        <v>Altmar Parish-Williamstown</v>
      </c>
      <c r="D679" s="82">
        <v>1009713</v>
      </c>
      <c r="E679">
        <f>VLOOKUP(C679,'All Districts'!$B$3:$C$874,2,FALSE)</f>
        <v>3602820</v>
      </c>
      <c r="F679" s="91">
        <f>COUNTIF($E$2:$E$7106,E679)</f>
        <v>9</v>
      </c>
    </row>
    <row r="680" spans="1:6" x14ac:dyDescent="0.2">
      <c r="A680">
        <v>2023</v>
      </c>
      <c r="B680" s="36">
        <v>4701</v>
      </c>
      <c r="C680" s="90" t="str">
        <f>VLOOKUP(B680,'All Districts'!$A$3:$B$874,2,FALSE)</f>
        <v>Altmar Parish-Williamstown</v>
      </c>
      <c r="D680" s="40">
        <v>1163434</v>
      </c>
      <c r="E680">
        <f>VLOOKUP(C680,'All Districts'!$B$3:$C$874,2,FALSE)</f>
        <v>3602820</v>
      </c>
      <c r="F680" s="91">
        <f>COUNTIF($E$2:$E$7106,E680)</f>
        <v>9</v>
      </c>
    </row>
    <row r="681" spans="1:6" x14ac:dyDescent="0.2">
      <c r="A681">
        <v>2015</v>
      </c>
      <c r="B681" s="13">
        <v>5353</v>
      </c>
      <c r="C681" s="90" t="str">
        <f>VLOOKUP(B681,'All Districts'!$A$3:$B$874,2,FALSE)</f>
        <v>Amagansett</v>
      </c>
      <c r="D681" s="14">
        <v>484700</v>
      </c>
      <c r="E681">
        <f>VLOOKUP(C681,'All Districts'!$B$3:$C$874,2,FALSE)</f>
        <v>3602880</v>
      </c>
      <c r="F681" s="91">
        <f>COUNTIF($E$2:$E$7106,E681)</f>
        <v>9</v>
      </c>
    </row>
    <row r="682" spans="1:6" x14ac:dyDescent="0.2">
      <c r="A682">
        <v>2016</v>
      </c>
      <c r="B682" s="13">
        <v>5353</v>
      </c>
      <c r="C682" s="90" t="str">
        <f>VLOOKUP(B682,'All Districts'!$A$3:$B$874,2,FALSE)</f>
        <v>Amagansett</v>
      </c>
      <c r="D682" s="16">
        <v>375291</v>
      </c>
      <c r="E682">
        <f>VLOOKUP(C682,'All Districts'!$B$3:$C$874,2,FALSE)</f>
        <v>3602880</v>
      </c>
      <c r="F682" s="91">
        <f>COUNTIF($E$2:$E$7106,E682)</f>
        <v>9</v>
      </c>
    </row>
    <row r="683" spans="1:6" x14ac:dyDescent="0.2">
      <c r="A683">
        <v>2017</v>
      </c>
      <c r="B683" s="13">
        <v>5353</v>
      </c>
      <c r="C683" s="90" t="str">
        <f>VLOOKUP(B683,'All Districts'!$A$3:$B$874,2,FALSE)</f>
        <v>Amagansett</v>
      </c>
      <c r="D683" s="16">
        <v>341295</v>
      </c>
      <c r="E683">
        <f>VLOOKUP(C683,'All Districts'!$B$3:$C$874,2,FALSE)</f>
        <v>3602880</v>
      </c>
      <c r="F683" s="91">
        <f>COUNTIF($E$2:$E$7106,E683)</f>
        <v>9</v>
      </c>
    </row>
    <row r="684" spans="1:6" x14ac:dyDescent="0.2">
      <c r="A684" s="10">
        <v>2018</v>
      </c>
      <c r="B684" s="13">
        <v>5353</v>
      </c>
      <c r="C684" s="90" t="str">
        <f>VLOOKUP(B684,'All Districts'!$A$3:$B$874,2,FALSE)</f>
        <v>Amagansett</v>
      </c>
      <c r="D684" s="15">
        <v>285327</v>
      </c>
      <c r="E684">
        <f>VLOOKUP(C684,'All Districts'!$B$3:$C$874,2,FALSE)</f>
        <v>3602880</v>
      </c>
      <c r="F684" s="91">
        <f>COUNTIF($E$2:$E$7106,E684)</f>
        <v>9</v>
      </c>
    </row>
    <row r="685" spans="1:6" x14ac:dyDescent="0.2">
      <c r="A685">
        <v>2019</v>
      </c>
      <c r="B685" s="36">
        <v>5353</v>
      </c>
      <c r="C685" s="90" t="str">
        <f>VLOOKUP(B685,'All Districts'!$A$3:$B$874,2,FALSE)</f>
        <v>Amagansett</v>
      </c>
      <c r="D685" s="40">
        <v>316833</v>
      </c>
      <c r="E685">
        <f>VLOOKUP(C685,'All Districts'!$B$3:$C$874,2,FALSE)</f>
        <v>3602880</v>
      </c>
      <c r="F685" s="91">
        <f>COUNTIF($E$2:$E$7106,E685)</f>
        <v>9</v>
      </c>
    </row>
    <row r="686" spans="1:6" x14ac:dyDescent="0.2">
      <c r="A686">
        <v>2020</v>
      </c>
      <c r="B686" s="36">
        <v>5353</v>
      </c>
      <c r="C686" s="90" t="str">
        <f>VLOOKUP(B686,'All Districts'!$A$3:$B$874,2,FALSE)</f>
        <v>Amagansett</v>
      </c>
      <c r="D686" s="40">
        <v>281604</v>
      </c>
      <c r="E686">
        <f>VLOOKUP(C686,'All Districts'!$B$3:$C$874,2,FALSE)</f>
        <v>3602880</v>
      </c>
      <c r="F686" s="91">
        <f>COUNTIF($E$2:$E$7106,E686)</f>
        <v>9</v>
      </c>
    </row>
    <row r="687" spans="1:6" x14ac:dyDescent="0.2">
      <c r="A687" s="10">
        <v>2021</v>
      </c>
      <c r="B687" s="52">
        <v>5353</v>
      </c>
      <c r="C687" s="90" t="str">
        <f>VLOOKUP(B687,'All Districts'!$A$3:$B$874,2,FALSE)</f>
        <v>Amagansett</v>
      </c>
      <c r="D687" s="76">
        <v>322050</v>
      </c>
      <c r="E687">
        <f>VLOOKUP(C687,'All Districts'!$B$3:$C$874,2,FALSE)</f>
        <v>3602880</v>
      </c>
      <c r="F687" s="91">
        <f>COUNTIF($E$2:$E$7106,E687)</f>
        <v>9</v>
      </c>
    </row>
    <row r="688" spans="1:6" x14ac:dyDescent="0.2">
      <c r="A688">
        <v>2022</v>
      </c>
      <c r="B688" s="36">
        <v>5353</v>
      </c>
      <c r="C688" s="90" t="str">
        <f>VLOOKUP(B688,'All Districts'!$A$3:$B$874,2,FALSE)</f>
        <v>Amagansett</v>
      </c>
      <c r="D688" s="82">
        <v>344732</v>
      </c>
      <c r="E688">
        <f>VLOOKUP(C688,'All Districts'!$B$3:$C$874,2,FALSE)</f>
        <v>3602880</v>
      </c>
      <c r="F688" s="91">
        <f>COUNTIF($E$2:$E$7106,E688)</f>
        <v>9</v>
      </c>
    </row>
    <row r="689" spans="1:6" x14ac:dyDescent="0.2">
      <c r="A689">
        <v>2023</v>
      </c>
      <c r="B689" s="36">
        <v>5353</v>
      </c>
      <c r="C689" s="90" t="str">
        <f>VLOOKUP(B689,'All Districts'!$A$3:$B$874,2,FALSE)</f>
        <v>Amagansett</v>
      </c>
      <c r="D689" s="40">
        <v>393660</v>
      </c>
      <c r="E689">
        <f>VLOOKUP(C689,'All Districts'!$B$3:$C$874,2,FALSE)</f>
        <v>3602880</v>
      </c>
      <c r="F689" s="91">
        <f>COUNTIF($E$2:$E$7106,E689)</f>
        <v>9</v>
      </c>
    </row>
    <row r="690" spans="1:6" x14ac:dyDescent="0.2">
      <c r="A690">
        <v>2015</v>
      </c>
      <c r="B690" s="13">
        <v>2009</v>
      </c>
      <c r="C690" s="90" t="str">
        <f>VLOOKUP(B690,'All Districts'!$A$3:$B$874,2,FALSE)</f>
        <v>Amherst</v>
      </c>
      <c r="D690" s="14">
        <v>3772377</v>
      </c>
      <c r="E690">
        <f>VLOOKUP(C690,'All Districts'!$B$3:$C$874,2,FALSE)</f>
        <v>3602920</v>
      </c>
      <c r="F690" s="91">
        <f>COUNTIF($E$2:$E$7106,E690)</f>
        <v>9</v>
      </c>
    </row>
    <row r="691" spans="1:6" x14ac:dyDescent="0.2">
      <c r="A691">
        <v>2016</v>
      </c>
      <c r="B691" s="13">
        <v>2009</v>
      </c>
      <c r="C691" s="90" t="str">
        <f>VLOOKUP(B691,'All Districts'!$A$3:$B$874,2,FALSE)</f>
        <v>Amherst</v>
      </c>
      <c r="D691" s="16">
        <v>2984186</v>
      </c>
      <c r="E691">
        <f>VLOOKUP(C691,'All Districts'!$B$3:$C$874,2,FALSE)</f>
        <v>3602920</v>
      </c>
      <c r="F691" s="91">
        <f>COUNTIF($E$2:$E$7106,E691)</f>
        <v>9</v>
      </c>
    </row>
    <row r="692" spans="1:6" x14ac:dyDescent="0.2">
      <c r="A692">
        <v>2017</v>
      </c>
      <c r="B692" s="13">
        <v>2009</v>
      </c>
      <c r="C692" s="90" t="str">
        <f>VLOOKUP(B692,'All Districts'!$A$3:$B$874,2,FALSE)</f>
        <v>Amherst</v>
      </c>
      <c r="D692" s="16">
        <v>2676602</v>
      </c>
      <c r="E692">
        <f>VLOOKUP(C692,'All Districts'!$B$3:$C$874,2,FALSE)</f>
        <v>3602920</v>
      </c>
      <c r="F692" s="91">
        <f>COUNTIF($E$2:$E$7106,E692)</f>
        <v>9</v>
      </c>
    </row>
    <row r="693" spans="1:6" x14ac:dyDescent="0.2">
      <c r="A693" s="10">
        <v>2018</v>
      </c>
      <c r="B693" s="13">
        <v>2009</v>
      </c>
      <c r="C693" s="90" t="str">
        <f>VLOOKUP(B693,'All Districts'!$A$3:$B$874,2,FALSE)</f>
        <v>Amherst</v>
      </c>
      <c r="D693" s="15">
        <v>2285042</v>
      </c>
      <c r="E693">
        <f>VLOOKUP(C693,'All Districts'!$B$3:$C$874,2,FALSE)</f>
        <v>3602920</v>
      </c>
      <c r="F693" s="91">
        <f>COUNTIF($E$2:$E$7106,E693)</f>
        <v>9</v>
      </c>
    </row>
    <row r="694" spans="1:6" x14ac:dyDescent="0.2">
      <c r="A694">
        <v>2019</v>
      </c>
      <c r="B694" s="36">
        <v>2009</v>
      </c>
      <c r="C694" s="90" t="str">
        <f>VLOOKUP(B694,'All Districts'!$A$3:$B$874,2,FALSE)</f>
        <v>Amherst</v>
      </c>
      <c r="D694" s="40">
        <v>2509415</v>
      </c>
      <c r="E694">
        <f>VLOOKUP(C694,'All Districts'!$B$3:$C$874,2,FALSE)</f>
        <v>3602920</v>
      </c>
      <c r="F694" s="91">
        <f>COUNTIF($E$2:$E$7106,E694)</f>
        <v>9</v>
      </c>
    </row>
    <row r="695" spans="1:6" x14ac:dyDescent="0.2">
      <c r="A695">
        <v>2020</v>
      </c>
      <c r="B695" s="36">
        <v>2009</v>
      </c>
      <c r="C695" s="90" t="str">
        <f>VLOOKUP(B695,'All Districts'!$A$3:$B$874,2,FALSE)</f>
        <v>Amherst</v>
      </c>
      <c r="D695" s="40">
        <v>2142583</v>
      </c>
      <c r="E695">
        <f>VLOOKUP(C695,'All Districts'!$B$3:$C$874,2,FALSE)</f>
        <v>3602920</v>
      </c>
      <c r="F695" s="91">
        <f>COUNTIF($E$2:$E$7106,E695)</f>
        <v>9</v>
      </c>
    </row>
    <row r="696" spans="1:6" x14ac:dyDescent="0.2">
      <c r="A696" s="10">
        <v>2021</v>
      </c>
      <c r="B696" s="55">
        <v>2009</v>
      </c>
      <c r="C696" s="90" t="str">
        <f>VLOOKUP(B696,'All Districts'!$A$3:$B$874,2,FALSE)</f>
        <v>Amherst</v>
      </c>
      <c r="D696" s="75">
        <v>2362387</v>
      </c>
      <c r="E696">
        <f>VLOOKUP(C696,'All Districts'!$B$3:$C$874,2,FALSE)</f>
        <v>3602920</v>
      </c>
      <c r="F696" s="91">
        <f>COUNTIF($E$2:$E$7106,E696)</f>
        <v>9</v>
      </c>
    </row>
    <row r="697" spans="1:6" x14ac:dyDescent="0.2">
      <c r="A697">
        <v>2022</v>
      </c>
      <c r="B697" s="36">
        <v>2009</v>
      </c>
      <c r="C697" s="90" t="str">
        <f>VLOOKUP(B697,'All Districts'!$A$3:$B$874,2,FALSE)</f>
        <v>Amherst</v>
      </c>
      <c r="D697" s="82">
        <v>2599147</v>
      </c>
      <c r="E697">
        <f>VLOOKUP(C697,'All Districts'!$B$3:$C$874,2,FALSE)</f>
        <v>3602920</v>
      </c>
      <c r="F697" s="91">
        <f>COUNTIF($E$2:$E$7106,E697)</f>
        <v>9</v>
      </c>
    </row>
    <row r="698" spans="1:6" x14ac:dyDescent="0.2">
      <c r="A698">
        <v>2023</v>
      </c>
      <c r="B698" s="36">
        <v>2009</v>
      </c>
      <c r="C698" s="90" t="str">
        <f>VLOOKUP(B698,'All Districts'!$A$3:$B$874,2,FALSE)</f>
        <v>Amherst</v>
      </c>
      <c r="D698" s="40">
        <v>2870164</v>
      </c>
      <c r="E698">
        <f>VLOOKUP(C698,'All Districts'!$B$3:$C$874,2,FALSE)</f>
        <v>3602920</v>
      </c>
      <c r="F698" s="91">
        <f>COUNTIF($E$2:$E$7106,E698)</f>
        <v>9</v>
      </c>
    </row>
    <row r="699" spans="1:6" x14ac:dyDescent="0.2">
      <c r="A699">
        <v>2015</v>
      </c>
      <c r="B699" s="13">
        <v>2007</v>
      </c>
      <c r="C699" s="90" t="str">
        <f>VLOOKUP(B699,'All Districts'!$A$3:$B$874,2,FALSE)</f>
        <v>Amityville</v>
      </c>
      <c r="D699" s="14">
        <v>5173670</v>
      </c>
      <c r="E699">
        <f>VLOOKUP(C699,'All Districts'!$B$3:$C$874,2,FALSE)</f>
        <v>3602940</v>
      </c>
      <c r="F699" s="91">
        <f>COUNTIF($E$2:$E$7106,E699)</f>
        <v>9</v>
      </c>
    </row>
    <row r="700" spans="1:6" x14ac:dyDescent="0.2">
      <c r="A700">
        <v>2016</v>
      </c>
      <c r="B700" s="13">
        <v>2007</v>
      </c>
      <c r="C700" s="90" t="str">
        <f>VLOOKUP(B700,'All Districts'!$A$3:$B$874,2,FALSE)</f>
        <v>Amityville</v>
      </c>
      <c r="D700" s="16">
        <v>4305079</v>
      </c>
      <c r="E700">
        <f>VLOOKUP(C700,'All Districts'!$B$3:$C$874,2,FALSE)</f>
        <v>3602940</v>
      </c>
      <c r="F700" s="91">
        <f>COUNTIF($E$2:$E$7106,E700)</f>
        <v>9</v>
      </c>
    </row>
    <row r="701" spans="1:6" x14ac:dyDescent="0.2">
      <c r="A701">
        <v>2017</v>
      </c>
      <c r="B701" s="13">
        <v>2007</v>
      </c>
      <c r="C701" s="90" t="str">
        <f>VLOOKUP(B701,'All Districts'!$A$3:$B$874,2,FALSE)</f>
        <v>Amityville</v>
      </c>
      <c r="D701" s="16">
        <v>3787495</v>
      </c>
      <c r="E701">
        <f>VLOOKUP(C701,'All Districts'!$B$3:$C$874,2,FALSE)</f>
        <v>3602940</v>
      </c>
      <c r="F701" s="91">
        <f>COUNTIF($E$2:$E$7106,E701)</f>
        <v>9</v>
      </c>
    </row>
    <row r="702" spans="1:6" x14ac:dyDescent="0.2">
      <c r="A702" s="10">
        <v>2018</v>
      </c>
      <c r="B702" s="13">
        <v>2007</v>
      </c>
      <c r="C702" s="90" t="str">
        <f>VLOOKUP(B702,'All Districts'!$A$3:$B$874,2,FALSE)</f>
        <v>Amityville</v>
      </c>
      <c r="D702" s="15">
        <v>3147784</v>
      </c>
      <c r="E702">
        <f>VLOOKUP(C702,'All Districts'!$B$3:$C$874,2,FALSE)</f>
        <v>3602940</v>
      </c>
      <c r="F702" s="91">
        <f>COUNTIF($E$2:$E$7106,E702)</f>
        <v>9</v>
      </c>
    </row>
    <row r="703" spans="1:6" x14ac:dyDescent="0.2">
      <c r="A703">
        <v>2019</v>
      </c>
      <c r="B703" s="36">
        <v>2007</v>
      </c>
      <c r="C703" s="90" t="str">
        <f>VLOOKUP(B703,'All Districts'!$A$3:$B$874,2,FALSE)</f>
        <v>Amityville</v>
      </c>
      <c r="D703" s="40">
        <v>3517034</v>
      </c>
      <c r="E703">
        <f>VLOOKUP(C703,'All Districts'!$B$3:$C$874,2,FALSE)</f>
        <v>3602940</v>
      </c>
      <c r="F703" s="91">
        <f>COUNTIF($E$2:$E$7106,E703)</f>
        <v>9</v>
      </c>
    </row>
    <row r="704" spans="1:6" x14ac:dyDescent="0.2">
      <c r="A704">
        <v>2020</v>
      </c>
      <c r="B704" s="36">
        <v>2007</v>
      </c>
      <c r="C704" s="90" t="str">
        <f>VLOOKUP(B704,'All Districts'!$A$3:$B$874,2,FALSE)</f>
        <v>Amityville</v>
      </c>
      <c r="D704" s="40">
        <v>2971649</v>
      </c>
      <c r="E704">
        <f>VLOOKUP(C704,'All Districts'!$B$3:$C$874,2,FALSE)</f>
        <v>3602940</v>
      </c>
      <c r="F704" s="91">
        <f>COUNTIF($E$2:$E$7106,E704)</f>
        <v>9</v>
      </c>
    </row>
    <row r="705" spans="1:6" x14ac:dyDescent="0.2">
      <c r="A705" s="10">
        <v>2021</v>
      </c>
      <c r="B705" s="52">
        <v>2007</v>
      </c>
      <c r="C705" s="90" t="str">
        <f>VLOOKUP(B705,'All Districts'!$A$3:$B$874,2,FALSE)</f>
        <v>Amityville</v>
      </c>
      <c r="D705" s="75">
        <v>3215923</v>
      </c>
      <c r="E705">
        <f>VLOOKUP(C705,'All Districts'!$B$3:$C$874,2,FALSE)</f>
        <v>3602940</v>
      </c>
      <c r="F705" s="91">
        <f>COUNTIF($E$2:$E$7106,E705)</f>
        <v>9</v>
      </c>
    </row>
    <row r="706" spans="1:6" x14ac:dyDescent="0.2">
      <c r="A706">
        <v>2022</v>
      </c>
      <c r="B706" s="36">
        <v>2007</v>
      </c>
      <c r="C706" s="90" t="str">
        <f>VLOOKUP(B706,'All Districts'!$A$3:$B$874,2,FALSE)</f>
        <v>Amityville</v>
      </c>
      <c r="D706" s="82">
        <v>3472741</v>
      </c>
      <c r="E706">
        <f>VLOOKUP(C706,'All Districts'!$B$3:$C$874,2,FALSE)</f>
        <v>3602940</v>
      </c>
      <c r="F706" s="91">
        <f>COUNTIF($E$2:$E$7106,E706)</f>
        <v>9</v>
      </c>
    </row>
    <row r="707" spans="1:6" x14ac:dyDescent="0.2">
      <c r="A707">
        <v>2023</v>
      </c>
      <c r="B707" s="36">
        <v>2007</v>
      </c>
      <c r="C707" s="90" t="str">
        <f>VLOOKUP(B707,'All Districts'!$A$3:$B$874,2,FALSE)</f>
        <v>Amityville</v>
      </c>
      <c r="D707" s="40">
        <v>4004690</v>
      </c>
      <c r="E707">
        <f>VLOOKUP(C707,'All Districts'!$B$3:$C$874,2,FALSE)</f>
        <v>3602940</v>
      </c>
      <c r="F707" s="91">
        <f>COUNTIF($E$2:$E$7106,E707)</f>
        <v>9</v>
      </c>
    </row>
    <row r="708" spans="1:6" x14ac:dyDescent="0.2">
      <c r="A708">
        <v>2015</v>
      </c>
      <c r="B708" s="13">
        <v>1010</v>
      </c>
      <c r="C708" s="90" t="str">
        <f>VLOOKUP(B708,'All Districts'!$A$3:$B$874,2,FALSE)</f>
        <v>Amsterdam</v>
      </c>
      <c r="D708" s="14">
        <v>4107536</v>
      </c>
      <c r="E708">
        <f>VLOOKUP(C708,'All Districts'!$B$3:$C$874,2,FALSE)</f>
        <v>3602970</v>
      </c>
      <c r="F708" s="91">
        <f>COUNTIF($E$2:$E$7106,E708)</f>
        <v>9</v>
      </c>
    </row>
    <row r="709" spans="1:6" x14ac:dyDescent="0.2">
      <c r="A709">
        <v>2016</v>
      </c>
      <c r="B709" s="13">
        <v>1010</v>
      </c>
      <c r="C709" s="90" t="str">
        <f>VLOOKUP(B709,'All Districts'!$A$3:$B$874,2,FALSE)</f>
        <v>Amsterdam</v>
      </c>
      <c r="D709" s="16">
        <v>3159934</v>
      </c>
      <c r="E709">
        <f>VLOOKUP(C709,'All Districts'!$B$3:$C$874,2,FALSE)</f>
        <v>3602970</v>
      </c>
      <c r="F709" s="91">
        <f>COUNTIF($E$2:$E$7106,E709)</f>
        <v>9</v>
      </c>
    </row>
    <row r="710" spans="1:6" x14ac:dyDescent="0.2">
      <c r="A710">
        <v>2017</v>
      </c>
      <c r="B710" s="13">
        <v>1010</v>
      </c>
      <c r="C710" s="90" t="str">
        <f>VLOOKUP(B710,'All Districts'!$A$3:$B$874,2,FALSE)</f>
        <v>Amsterdam</v>
      </c>
      <c r="D710" s="16">
        <v>2864476</v>
      </c>
      <c r="E710">
        <f>VLOOKUP(C710,'All Districts'!$B$3:$C$874,2,FALSE)</f>
        <v>3602970</v>
      </c>
      <c r="F710" s="91">
        <f>COUNTIF($E$2:$E$7106,E710)</f>
        <v>9</v>
      </c>
    </row>
    <row r="711" spans="1:6" x14ac:dyDescent="0.2">
      <c r="A711" s="10">
        <v>2018</v>
      </c>
      <c r="B711" s="13">
        <v>1010</v>
      </c>
      <c r="C711" s="90" t="str">
        <f>VLOOKUP(B711,'All Districts'!$A$3:$B$874,2,FALSE)</f>
        <v>Amsterdam</v>
      </c>
      <c r="D711" s="15">
        <v>2396499</v>
      </c>
      <c r="E711">
        <f>VLOOKUP(C711,'All Districts'!$B$3:$C$874,2,FALSE)</f>
        <v>3602970</v>
      </c>
      <c r="F711" s="91">
        <f>COUNTIF($E$2:$E$7106,E711)</f>
        <v>9</v>
      </c>
    </row>
    <row r="712" spans="1:6" x14ac:dyDescent="0.2">
      <c r="A712">
        <v>2019</v>
      </c>
      <c r="B712" s="36">
        <v>1010</v>
      </c>
      <c r="C712" s="90" t="str">
        <f>VLOOKUP(B712,'All Districts'!$A$3:$B$874,2,FALSE)</f>
        <v>Amsterdam</v>
      </c>
      <c r="D712" s="40">
        <v>2680351</v>
      </c>
      <c r="E712">
        <f>VLOOKUP(C712,'All Districts'!$B$3:$C$874,2,FALSE)</f>
        <v>3602970</v>
      </c>
      <c r="F712" s="91">
        <f>COUNTIF($E$2:$E$7106,E712)</f>
        <v>9</v>
      </c>
    </row>
    <row r="713" spans="1:6" x14ac:dyDescent="0.2">
      <c r="A713">
        <v>2020</v>
      </c>
      <c r="B713" s="36">
        <v>1010</v>
      </c>
      <c r="C713" s="90" t="str">
        <f>VLOOKUP(B713,'All Districts'!$A$3:$B$874,2,FALSE)</f>
        <v>Amsterdam</v>
      </c>
      <c r="D713" s="40">
        <v>2314373</v>
      </c>
      <c r="E713">
        <f>VLOOKUP(C713,'All Districts'!$B$3:$C$874,2,FALSE)</f>
        <v>3602970</v>
      </c>
      <c r="F713" s="91">
        <f>COUNTIF($E$2:$E$7106,E713)</f>
        <v>9</v>
      </c>
    </row>
    <row r="714" spans="1:6" x14ac:dyDescent="0.2">
      <c r="A714" s="10">
        <v>2021</v>
      </c>
      <c r="B714" s="52">
        <v>1010</v>
      </c>
      <c r="C714" s="90" t="str">
        <f>VLOOKUP(B714,'All Districts'!$A$3:$B$874,2,FALSE)</f>
        <v>Amsterdam</v>
      </c>
      <c r="D714" s="75">
        <v>2432559</v>
      </c>
      <c r="E714">
        <f>VLOOKUP(C714,'All Districts'!$B$3:$C$874,2,FALSE)</f>
        <v>3602970</v>
      </c>
      <c r="F714" s="91">
        <f>COUNTIF($E$2:$E$7106,E714)</f>
        <v>9</v>
      </c>
    </row>
    <row r="715" spans="1:6" x14ac:dyDescent="0.2">
      <c r="A715">
        <v>2022</v>
      </c>
      <c r="B715" s="36">
        <v>1010</v>
      </c>
      <c r="C715" s="90" t="str">
        <f>VLOOKUP(B715,'All Districts'!$A$3:$B$874,2,FALSE)</f>
        <v>Amsterdam</v>
      </c>
      <c r="D715" s="82">
        <v>2648498</v>
      </c>
      <c r="E715">
        <f>VLOOKUP(C715,'All Districts'!$B$3:$C$874,2,FALSE)</f>
        <v>3602970</v>
      </c>
      <c r="F715" s="91">
        <f>COUNTIF($E$2:$E$7106,E715)</f>
        <v>9</v>
      </c>
    </row>
    <row r="716" spans="1:6" x14ac:dyDescent="0.2">
      <c r="A716">
        <v>2023</v>
      </c>
      <c r="B716" s="36">
        <v>1010</v>
      </c>
      <c r="C716" s="90" t="str">
        <f>VLOOKUP(B716,'All Districts'!$A$3:$B$874,2,FALSE)</f>
        <v>Amsterdam</v>
      </c>
      <c r="D716" s="40">
        <v>2910710</v>
      </c>
      <c r="E716">
        <f>VLOOKUP(C716,'All Districts'!$B$3:$C$874,2,FALSE)</f>
        <v>3602970</v>
      </c>
      <c r="F716" s="91">
        <f>COUNTIF($E$2:$E$7106,E716)</f>
        <v>9</v>
      </c>
    </row>
    <row r="717" spans="1:6" x14ac:dyDescent="0.2">
      <c r="A717">
        <v>2015</v>
      </c>
      <c r="B717" s="13">
        <v>3982</v>
      </c>
      <c r="C717" s="90" t="str">
        <f>VLOOKUP(B717,'All Districts'!$A$3:$B$874,2,FALSE)</f>
        <v>Andes</v>
      </c>
      <c r="D717" s="14">
        <v>234539</v>
      </c>
      <c r="E717">
        <f>VLOOKUP(C717,'All Districts'!$B$3:$C$874,2,FALSE)</f>
        <v>3603000</v>
      </c>
      <c r="F717" s="91">
        <f>COUNTIF($E$2:$E$7106,E717)</f>
        <v>9</v>
      </c>
    </row>
    <row r="718" spans="1:6" x14ac:dyDescent="0.2">
      <c r="A718">
        <v>2016</v>
      </c>
      <c r="B718" s="13">
        <v>3982</v>
      </c>
      <c r="C718" s="90" t="str">
        <f>VLOOKUP(B718,'All Districts'!$A$3:$B$874,2,FALSE)</f>
        <v>Andes</v>
      </c>
      <c r="D718" s="16">
        <v>175574</v>
      </c>
      <c r="E718">
        <f>VLOOKUP(C718,'All Districts'!$B$3:$C$874,2,FALSE)</f>
        <v>3603000</v>
      </c>
      <c r="F718" s="91">
        <f>COUNTIF($E$2:$E$7106,E718)</f>
        <v>9</v>
      </c>
    </row>
    <row r="719" spans="1:6" x14ac:dyDescent="0.2">
      <c r="A719">
        <v>2017</v>
      </c>
      <c r="B719" s="13">
        <v>3982</v>
      </c>
      <c r="C719" s="90" t="str">
        <f>VLOOKUP(B719,'All Districts'!$A$3:$B$874,2,FALSE)</f>
        <v>Andes</v>
      </c>
      <c r="D719" s="16">
        <v>159334</v>
      </c>
      <c r="E719">
        <f>VLOOKUP(C719,'All Districts'!$B$3:$C$874,2,FALSE)</f>
        <v>3603000</v>
      </c>
      <c r="F719" s="91">
        <f>COUNTIF($E$2:$E$7106,E719)</f>
        <v>9</v>
      </c>
    </row>
    <row r="720" spans="1:6" x14ac:dyDescent="0.2">
      <c r="A720" s="10">
        <v>2018</v>
      </c>
      <c r="B720" s="13">
        <v>3982</v>
      </c>
      <c r="C720" s="90" t="str">
        <f>VLOOKUP(B720,'All Districts'!$A$3:$B$874,2,FALSE)</f>
        <v>Andes</v>
      </c>
      <c r="D720" s="15">
        <v>136299</v>
      </c>
      <c r="E720">
        <f>VLOOKUP(C720,'All Districts'!$B$3:$C$874,2,FALSE)</f>
        <v>3603000</v>
      </c>
      <c r="F720" s="91">
        <f>COUNTIF($E$2:$E$7106,E720)</f>
        <v>9</v>
      </c>
    </row>
    <row r="721" spans="1:6" x14ac:dyDescent="0.2">
      <c r="A721">
        <v>2019</v>
      </c>
      <c r="B721" s="36">
        <v>3982</v>
      </c>
      <c r="C721" s="90" t="str">
        <f>VLOOKUP(B721,'All Districts'!$A$3:$B$874,2,FALSE)</f>
        <v>Andes</v>
      </c>
      <c r="D721" s="40">
        <v>143626</v>
      </c>
      <c r="E721">
        <f>VLOOKUP(C721,'All Districts'!$B$3:$C$874,2,FALSE)</f>
        <v>3603000</v>
      </c>
      <c r="F721" s="91">
        <f>COUNTIF($E$2:$E$7106,E721)</f>
        <v>9</v>
      </c>
    </row>
    <row r="722" spans="1:6" x14ac:dyDescent="0.2">
      <c r="A722">
        <v>2020</v>
      </c>
      <c r="B722" s="36">
        <v>3982</v>
      </c>
      <c r="C722" s="90" t="str">
        <f>VLOOKUP(B722,'All Districts'!$A$3:$B$874,2,FALSE)</f>
        <v>Andes</v>
      </c>
      <c r="D722" s="40">
        <v>121273</v>
      </c>
      <c r="E722">
        <f>VLOOKUP(C722,'All Districts'!$B$3:$C$874,2,FALSE)</f>
        <v>3603000</v>
      </c>
      <c r="F722" s="91">
        <f>COUNTIF($E$2:$E$7106,E722)</f>
        <v>9</v>
      </c>
    </row>
    <row r="723" spans="1:6" x14ac:dyDescent="0.2">
      <c r="A723" s="10">
        <v>2021</v>
      </c>
      <c r="B723" s="55">
        <v>3982</v>
      </c>
      <c r="C723" s="90" t="str">
        <f>VLOOKUP(B723,'All Districts'!$A$3:$B$874,2,FALSE)</f>
        <v>Andes</v>
      </c>
      <c r="D723" s="76">
        <v>122283</v>
      </c>
      <c r="E723">
        <f>VLOOKUP(C723,'All Districts'!$B$3:$C$874,2,FALSE)</f>
        <v>3603000</v>
      </c>
      <c r="F723" s="91">
        <f>COUNTIF($E$2:$E$7106,E723)</f>
        <v>9</v>
      </c>
    </row>
    <row r="724" spans="1:6" x14ac:dyDescent="0.2">
      <c r="A724">
        <v>2022</v>
      </c>
      <c r="B724" s="36">
        <v>3982</v>
      </c>
      <c r="C724" s="90" t="str">
        <f>VLOOKUP(B724,'All Districts'!$A$3:$B$874,2,FALSE)</f>
        <v>Andes</v>
      </c>
      <c r="D724" s="82">
        <v>134136</v>
      </c>
      <c r="E724">
        <f>VLOOKUP(C724,'All Districts'!$B$3:$C$874,2,FALSE)</f>
        <v>3603000</v>
      </c>
      <c r="F724" s="91">
        <f>COUNTIF($E$2:$E$7106,E724)</f>
        <v>9</v>
      </c>
    </row>
    <row r="725" spans="1:6" x14ac:dyDescent="0.2">
      <c r="A725">
        <v>2023</v>
      </c>
      <c r="B725" s="36">
        <v>3982</v>
      </c>
      <c r="C725" s="90" t="str">
        <f>VLOOKUP(B725,'All Districts'!$A$3:$B$874,2,FALSE)</f>
        <v>Andes</v>
      </c>
      <c r="D725" s="40">
        <v>140609</v>
      </c>
      <c r="E725">
        <f>VLOOKUP(C725,'All Districts'!$B$3:$C$874,2,FALSE)</f>
        <v>3603000</v>
      </c>
      <c r="F725" s="91">
        <f>COUNTIF($E$2:$E$7106,E725)</f>
        <v>9</v>
      </c>
    </row>
    <row r="726" spans="1:6" x14ac:dyDescent="0.2">
      <c r="A726">
        <v>2015</v>
      </c>
      <c r="B726" s="13">
        <v>3101</v>
      </c>
      <c r="C726" s="90" t="str">
        <f>VLOOKUP(B726,'All Districts'!$A$3:$B$874,2,FALSE)</f>
        <v>Andover</v>
      </c>
      <c r="D726" s="14">
        <v>406046</v>
      </c>
      <c r="E726">
        <f>VLOOKUP(C726,'All Districts'!$B$3:$C$874,2,FALSE)</f>
        <v>3603030</v>
      </c>
      <c r="F726" s="91">
        <f>COUNTIF($E$2:$E$7106,E726)</f>
        <v>9</v>
      </c>
    </row>
    <row r="727" spans="1:6" x14ac:dyDescent="0.2">
      <c r="A727">
        <v>2016</v>
      </c>
      <c r="B727" s="13">
        <v>3101</v>
      </c>
      <c r="C727" s="90" t="str">
        <f>VLOOKUP(B727,'All Districts'!$A$3:$B$874,2,FALSE)</f>
        <v>Andover</v>
      </c>
      <c r="D727" s="16">
        <v>320117</v>
      </c>
      <c r="E727">
        <f>VLOOKUP(C727,'All Districts'!$B$3:$C$874,2,FALSE)</f>
        <v>3603030</v>
      </c>
      <c r="F727" s="91">
        <f>COUNTIF($E$2:$E$7106,E727)</f>
        <v>9</v>
      </c>
    </row>
    <row r="728" spans="1:6" x14ac:dyDescent="0.2">
      <c r="A728">
        <v>2017</v>
      </c>
      <c r="B728" s="13">
        <v>3101</v>
      </c>
      <c r="C728" s="90" t="str">
        <f>VLOOKUP(B728,'All Districts'!$A$3:$B$874,2,FALSE)</f>
        <v>Andover</v>
      </c>
      <c r="D728" s="16">
        <v>308050</v>
      </c>
      <c r="E728">
        <f>VLOOKUP(C728,'All Districts'!$B$3:$C$874,2,FALSE)</f>
        <v>3603030</v>
      </c>
      <c r="F728" s="91">
        <f>COUNTIF($E$2:$E$7106,E728)</f>
        <v>9</v>
      </c>
    </row>
    <row r="729" spans="1:6" x14ac:dyDescent="0.2">
      <c r="A729" s="10">
        <v>2018</v>
      </c>
      <c r="B729" s="13">
        <v>3101</v>
      </c>
      <c r="C729" s="90" t="str">
        <f>VLOOKUP(B729,'All Districts'!$A$3:$B$874,2,FALSE)</f>
        <v>Andover</v>
      </c>
      <c r="D729" s="15">
        <v>279688</v>
      </c>
      <c r="E729">
        <f>VLOOKUP(C729,'All Districts'!$B$3:$C$874,2,FALSE)</f>
        <v>3603030</v>
      </c>
      <c r="F729" s="91">
        <f>COUNTIF($E$2:$E$7106,E729)</f>
        <v>9</v>
      </c>
    </row>
    <row r="730" spans="1:6" x14ac:dyDescent="0.2">
      <c r="A730">
        <v>2019</v>
      </c>
      <c r="B730" s="36">
        <v>3101</v>
      </c>
      <c r="C730" s="90" t="str">
        <f>VLOOKUP(B730,'All Districts'!$A$3:$B$874,2,FALSE)</f>
        <v>Andover</v>
      </c>
      <c r="D730" s="40">
        <v>290434</v>
      </c>
      <c r="E730">
        <f>VLOOKUP(C730,'All Districts'!$B$3:$C$874,2,FALSE)</f>
        <v>3603030</v>
      </c>
      <c r="F730" s="91">
        <f>COUNTIF($E$2:$E$7106,E730)</f>
        <v>9</v>
      </c>
    </row>
    <row r="731" spans="1:6" x14ac:dyDescent="0.2">
      <c r="A731">
        <v>2020</v>
      </c>
      <c r="B731" s="36">
        <v>3101</v>
      </c>
      <c r="C731" s="90" t="str">
        <f>VLOOKUP(B731,'All Districts'!$A$3:$B$874,2,FALSE)</f>
        <v>Andover</v>
      </c>
      <c r="D731" s="40">
        <v>244424</v>
      </c>
      <c r="E731">
        <f>VLOOKUP(C731,'All Districts'!$B$3:$C$874,2,FALSE)</f>
        <v>3603030</v>
      </c>
      <c r="F731" s="91">
        <f>COUNTIF($E$2:$E$7106,E731)</f>
        <v>9</v>
      </c>
    </row>
    <row r="732" spans="1:6" x14ac:dyDescent="0.2">
      <c r="A732" s="10">
        <v>2021</v>
      </c>
      <c r="B732" s="71">
        <v>3101</v>
      </c>
      <c r="C732" s="90" t="str">
        <f>VLOOKUP(B732,'All Districts'!$A$3:$B$874,2,FALSE)</f>
        <v>Andover</v>
      </c>
      <c r="D732" s="75">
        <v>251851</v>
      </c>
      <c r="E732">
        <f>VLOOKUP(C732,'All Districts'!$B$3:$C$874,2,FALSE)</f>
        <v>3603030</v>
      </c>
      <c r="F732" s="91">
        <f>COUNTIF($E$2:$E$7106,E732)</f>
        <v>9</v>
      </c>
    </row>
    <row r="733" spans="1:6" x14ac:dyDescent="0.2">
      <c r="A733">
        <v>2022</v>
      </c>
      <c r="B733" s="36">
        <v>3101</v>
      </c>
      <c r="C733" s="90" t="str">
        <f>VLOOKUP(B733,'All Districts'!$A$3:$B$874,2,FALSE)</f>
        <v>Andover</v>
      </c>
      <c r="D733" s="82">
        <v>271435</v>
      </c>
      <c r="E733">
        <f>VLOOKUP(C733,'All Districts'!$B$3:$C$874,2,FALSE)</f>
        <v>3603030</v>
      </c>
      <c r="F733" s="91">
        <f>COUNTIF($E$2:$E$7106,E733)</f>
        <v>9</v>
      </c>
    </row>
    <row r="734" spans="1:6" x14ac:dyDescent="0.2">
      <c r="A734">
        <v>2023</v>
      </c>
      <c r="B734" s="36">
        <v>3101</v>
      </c>
      <c r="C734" s="90" t="str">
        <f>VLOOKUP(B734,'All Districts'!$A$3:$B$874,2,FALSE)</f>
        <v>Andover</v>
      </c>
      <c r="D734" s="40">
        <v>297026</v>
      </c>
      <c r="E734">
        <f>VLOOKUP(C734,'All Districts'!$B$3:$C$874,2,FALSE)</f>
        <v>3603030</v>
      </c>
      <c r="F734" s="91">
        <f>COUNTIF($E$2:$E$7106,E734)</f>
        <v>9</v>
      </c>
    </row>
    <row r="735" spans="1:6" x14ac:dyDescent="0.2">
      <c r="A735">
        <v>2015</v>
      </c>
      <c r="B735" s="13">
        <v>8407</v>
      </c>
      <c r="C735" s="90" t="str">
        <f>VLOOKUP(B735,'All Districts'!$A$3:$B$874,2,FALSE)</f>
        <v>Applied Technologies</v>
      </c>
      <c r="D735" s="16">
        <v>1477783</v>
      </c>
      <c r="E735">
        <f>VLOOKUP(C735,'All Districts'!$B$3:$C$874,2,FALSE)</f>
        <v>3600025</v>
      </c>
      <c r="F735" s="91">
        <f>COUNTIF($E$2:$E$7106,E735)</f>
        <v>9</v>
      </c>
    </row>
    <row r="736" spans="1:6" x14ac:dyDescent="0.2">
      <c r="A736">
        <v>2016</v>
      </c>
      <c r="B736" s="13">
        <v>8407</v>
      </c>
      <c r="C736" s="90" t="str">
        <f>VLOOKUP(B736,'All Districts'!$A$3:$B$874,2,FALSE)</f>
        <v>Applied Technologies</v>
      </c>
      <c r="D736" s="16">
        <v>1235468</v>
      </c>
      <c r="E736">
        <f>VLOOKUP(C736,'All Districts'!$B$3:$C$874,2,FALSE)</f>
        <v>3600025</v>
      </c>
      <c r="F736" s="91">
        <f>COUNTIF($E$2:$E$7106,E736)</f>
        <v>9</v>
      </c>
    </row>
    <row r="737" spans="1:6" x14ac:dyDescent="0.2">
      <c r="A737">
        <v>2017</v>
      </c>
      <c r="B737" s="13">
        <v>8407</v>
      </c>
      <c r="C737" s="90" t="str">
        <f>VLOOKUP(B737,'All Districts'!$A$3:$B$874,2,FALSE)</f>
        <v>Applied Technologies</v>
      </c>
      <c r="D737" s="16">
        <v>1185731</v>
      </c>
      <c r="E737">
        <f>VLOOKUP(C737,'All Districts'!$B$3:$C$874,2,FALSE)</f>
        <v>3600025</v>
      </c>
      <c r="F737" s="91">
        <f>COUNTIF($E$2:$E$7106,E737)</f>
        <v>9</v>
      </c>
    </row>
    <row r="738" spans="1:6" x14ac:dyDescent="0.2">
      <c r="A738" s="10">
        <v>2018</v>
      </c>
      <c r="B738" s="13">
        <v>8407</v>
      </c>
      <c r="C738" s="90" t="str">
        <f>VLOOKUP(B738,'All Districts'!$A$3:$B$874,2,FALSE)</f>
        <v>Applied Technologies</v>
      </c>
      <c r="D738" s="15">
        <v>1149984</v>
      </c>
      <c r="E738">
        <f>VLOOKUP(C738,'All Districts'!$B$3:$C$874,2,FALSE)</f>
        <v>3600025</v>
      </c>
      <c r="F738" s="91">
        <f>COUNTIF($E$2:$E$7106,E738)</f>
        <v>9</v>
      </c>
    </row>
    <row r="739" spans="1:6" x14ac:dyDescent="0.2">
      <c r="A739">
        <v>2019</v>
      </c>
      <c r="B739" s="36">
        <v>8407</v>
      </c>
      <c r="C739" s="90" t="str">
        <f>VLOOKUP(B739,'All Districts'!$A$3:$B$874,2,FALSE)</f>
        <v>Applied Technologies</v>
      </c>
      <c r="D739" s="40">
        <v>1180460</v>
      </c>
      <c r="E739">
        <f>VLOOKUP(C739,'All Districts'!$B$3:$C$874,2,FALSE)</f>
        <v>3600025</v>
      </c>
      <c r="F739" s="91">
        <f>COUNTIF($E$2:$E$7106,E739)</f>
        <v>9</v>
      </c>
    </row>
    <row r="740" spans="1:6" x14ac:dyDescent="0.2">
      <c r="A740">
        <v>2020</v>
      </c>
      <c r="B740" s="36">
        <v>8407</v>
      </c>
      <c r="C740" s="90" t="str">
        <f>VLOOKUP(B740,'All Districts'!$A$3:$B$874,2,FALSE)</f>
        <v>Applied Technologies</v>
      </c>
      <c r="D740" s="40">
        <v>1157185</v>
      </c>
      <c r="E740">
        <f>VLOOKUP(C740,'All Districts'!$B$3:$C$874,2,FALSE)</f>
        <v>3600025</v>
      </c>
      <c r="F740" s="91">
        <f>COUNTIF($E$2:$E$7106,E740)</f>
        <v>9</v>
      </c>
    </row>
    <row r="741" spans="1:6" x14ac:dyDescent="0.2">
      <c r="A741" s="10">
        <v>2021</v>
      </c>
      <c r="B741" s="52">
        <v>8407</v>
      </c>
      <c r="C741" s="90" t="str">
        <f>VLOOKUP(B741,'All Districts'!$A$3:$B$874,2,FALSE)</f>
        <v>Applied Technologies</v>
      </c>
      <c r="D741" s="76">
        <v>1286985</v>
      </c>
      <c r="E741">
        <f>VLOOKUP(C741,'All Districts'!$B$3:$C$874,2,FALSE)</f>
        <v>3600025</v>
      </c>
      <c r="F741" s="91">
        <f>COUNTIF($E$2:$E$7106,E741)</f>
        <v>9</v>
      </c>
    </row>
    <row r="742" spans="1:6" x14ac:dyDescent="0.2">
      <c r="A742">
        <v>2022</v>
      </c>
      <c r="B742" s="36">
        <v>8407</v>
      </c>
      <c r="C742" s="90" t="str">
        <f>VLOOKUP(B742,'All Districts'!$A$3:$B$874,2,FALSE)</f>
        <v>Applied Technologies</v>
      </c>
      <c r="D742" s="82">
        <v>1438219</v>
      </c>
      <c r="E742">
        <f>VLOOKUP(C742,'All Districts'!$B$3:$C$874,2,FALSE)</f>
        <v>3600025</v>
      </c>
      <c r="F742" s="91">
        <f>COUNTIF($E$2:$E$7106,E742)</f>
        <v>9</v>
      </c>
    </row>
    <row r="743" spans="1:6" x14ac:dyDescent="0.2">
      <c r="A743">
        <v>2023</v>
      </c>
      <c r="B743" s="36">
        <v>8407</v>
      </c>
      <c r="C743" s="90" t="str">
        <f>VLOOKUP(B743,'All Districts'!$A$3:$B$874,2,FALSE)</f>
        <v>Applied Technologies</v>
      </c>
      <c r="D743" s="40">
        <v>1585479</v>
      </c>
      <c r="E743">
        <f>VLOOKUP(C743,'All Districts'!$B$3:$C$874,2,FALSE)</f>
        <v>3600025</v>
      </c>
      <c r="F743" s="91">
        <f>COUNTIF($E$2:$E$7106,E743)</f>
        <v>9</v>
      </c>
    </row>
    <row r="744" spans="1:6" x14ac:dyDescent="0.2">
      <c r="A744">
        <v>2015</v>
      </c>
      <c r="B744" s="13">
        <v>2008</v>
      </c>
      <c r="C744" s="90" t="str">
        <f>VLOOKUP(B744,'All Districts'!$A$3:$B$874,2,FALSE)</f>
        <v>Ardsley</v>
      </c>
      <c r="D744" s="14">
        <v>4792969</v>
      </c>
      <c r="E744">
        <f>VLOOKUP(C744,'All Districts'!$B$3:$C$874,2,FALSE)</f>
        <v>3603180</v>
      </c>
      <c r="F744" s="91">
        <f>COUNTIF($E$2:$E$7106,E744)</f>
        <v>9</v>
      </c>
    </row>
    <row r="745" spans="1:6" x14ac:dyDescent="0.2">
      <c r="A745">
        <v>2016</v>
      </c>
      <c r="B745" s="13">
        <v>2008</v>
      </c>
      <c r="C745" s="90" t="str">
        <f>VLOOKUP(B745,'All Districts'!$A$3:$B$874,2,FALSE)</f>
        <v>Ardsley</v>
      </c>
      <c r="D745" s="16">
        <v>3703628</v>
      </c>
      <c r="E745">
        <f>VLOOKUP(C745,'All Districts'!$B$3:$C$874,2,FALSE)</f>
        <v>3603180</v>
      </c>
      <c r="F745" s="91">
        <f>COUNTIF($E$2:$E$7106,E745)</f>
        <v>9</v>
      </c>
    </row>
    <row r="746" spans="1:6" x14ac:dyDescent="0.2">
      <c r="A746">
        <v>2017</v>
      </c>
      <c r="B746" s="13">
        <v>2008</v>
      </c>
      <c r="C746" s="90" t="str">
        <f>VLOOKUP(B746,'All Districts'!$A$3:$B$874,2,FALSE)</f>
        <v>Ardsley</v>
      </c>
      <c r="D746" s="16">
        <v>3366291</v>
      </c>
      <c r="E746">
        <f>VLOOKUP(C746,'All Districts'!$B$3:$C$874,2,FALSE)</f>
        <v>3603180</v>
      </c>
      <c r="F746" s="91">
        <f>COUNTIF($E$2:$E$7106,E746)</f>
        <v>9</v>
      </c>
    </row>
    <row r="747" spans="1:6" x14ac:dyDescent="0.2">
      <c r="A747" s="10">
        <v>2018</v>
      </c>
      <c r="B747" s="13">
        <v>2008</v>
      </c>
      <c r="C747" s="90" t="str">
        <f>VLOOKUP(B747,'All Districts'!$A$3:$B$874,2,FALSE)</f>
        <v>Ardsley</v>
      </c>
      <c r="D747" s="15">
        <v>2925664</v>
      </c>
      <c r="E747">
        <f>VLOOKUP(C747,'All Districts'!$B$3:$C$874,2,FALSE)</f>
        <v>3603180</v>
      </c>
      <c r="F747" s="91">
        <f>COUNTIF($E$2:$E$7106,E747)</f>
        <v>9</v>
      </c>
    </row>
    <row r="748" spans="1:6" x14ac:dyDescent="0.2">
      <c r="A748">
        <v>2019</v>
      </c>
      <c r="B748" s="36">
        <v>2008</v>
      </c>
      <c r="C748" s="90" t="str">
        <f>VLOOKUP(B748,'All Districts'!$A$3:$B$874,2,FALSE)</f>
        <v>Ardsley</v>
      </c>
      <c r="D748" s="40">
        <v>3317239</v>
      </c>
      <c r="E748">
        <f>VLOOKUP(C748,'All Districts'!$B$3:$C$874,2,FALSE)</f>
        <v>3603180</v>
      </c>
      <c r="F748" s="91">
        <f>COUNTIF($E$2:$E$7106,E748)</f>
        <v>9</v>
      </c>
    </row>
    <row r="749" spans="1:6" x14ac:dyDescent="0.2">
      <c r="A749">
        <v>2020</v>
      </c>
      <c r="B749" s="36">
        <v>2008</v>
      </c>
      <c r="C749" s="90" t="str">
        <f>VLOOKUP(B749,'All Districts'!$A$3:$B$874,2,FALSE)</f>
        <v>Ardsley</v>
      </c>
      <c r="D749" s="40">
        <v>2861867</v>
      </c>
      <c r="E749">
        <f>VLOOKUP(C749,'All Districts'!$B$3:$C$874,2,FALSE)</f>
        <v>3603180</v>
      </c>
      <c r="F749" s="91">
        <f>COUNTIF($E$2:$E$7106,E749)</f>
        <v>9</v>
      </c>
    </row>
    <row r="750" spans="1:6" x14ac:dyDescent="0.2">
      <c r="A750" s="10">
        <v>2021</v>
      </c>
      <c r="B750" s="52">
        <v>2008</v>
      </c>
      <c r="C750" s="90" t="str">
        <f>VLOOKUP(B750,'All Districts'!$A$3:$B$874,2,FALSE)</f>
        <v>Ardsley</v>
      </c>
      <c r="D750" s="75">
        <v>3059171</v>
      </c>
      <c r="E750">
        <f>VLOOKUP(C750,'All Districts'!$B$3:$C$874,2,FALSE)</f>
        <v>3603180</v>
      </c>
      <c r="F750" s="91">
        <f>COUNTIF($E$2:$E$7106,E750)</f>
        <v>9</v>
      </c>
    </row>
    <row r="751" spans="1:6" x14ac:dyDescent="0.2">
      <c r="A751">
        <v>2022</v>
      </c>
      <c r="B751" s="36">
        <v>2008</v>
      </c>
      <c r="C751" s="90" t="str">
        <f>VLOOKUP(B751,'All Districts'!$A$3:$B$874,2,FALSE)</f>
        <v>Ardsley</v>
      </c>
      <c r="D751" s="82">
        <v>3279816</v>
      </c>
      <c r="E751">
        <f>VLOOKUP(C751,'All Districts'!$B$3:$C$874,2,FALSE)</f>
        <v>3603180</v>
      </c>
      <c r="F751" s="91">
        <f>COUNTIF($E$2:$E$7106,E751)</f>
        <v>9</v>
      </c>
    </row>
    <row r="752" spans="1:6" x14ac:dyDescent="0.2">
      <c r="A752">
        <v>2023</v>
      </c>
      <c r="B752" s="36">
        <v>2008</v>
      </c>
      <c r="C752" s="90" t="str">
        <f>VLOOKUP(B752,'All Districts'!$A$3:$B$874,2,FALSE)</f>
        <v>Ardsley</v>
      </c>
      <c r="D752" s="40">
        <v>3563541</v>
      </c>
      <c r="E752">
        <f>VLOOKUP(C752,'All Districts'!$B$3:$C$874,2,FALSE)</f>
        <v>3603180</v>
      </c>
      <c r="F752" s="91">
        <f>COUNTIF($E$2:$E$7106,E752)</f>
        <v>9</v>
      </c>
    </row>
    <row r="753" spans="1:6" x14ac:dyDescent="0.2">
      <c r="A753">
        <v>2015</v>
      </c>
      <c r="B753" s="13">
        <v>5676</v>
      </c>
      <c r="C753" s="90" t="str">
        <f>VLOOKUP(B753,'All Districts'!$A$3:$B$874,2,FALSE)</f>
        <v>Argyle</v>
      </c>
      <c r="D753" s="14">
        <v>646792</v>
      </c>
      <c r="E753">
        <f>VLOOKUP(C753,'All Districts'!$B$3:$C$874,2,FALSE)</f>
        <v>3603210</v>
      </c>
      <c r="F753" s="91">
        <f>COUNTIF($E$2:$E$7106,E753)</f>
        <v>9</v>
      </c>
    </row>
    <row r="754" spans="1:6" x14ac:dyDescent="0.2">
      <c r="A754">
        <v>2016</v>
      </c>
      <c r="B754" s="13">
        <v>5676</v>
      </c>
      <c r="C754" s="90" t="str">
        <f>VLOOKUP(B754,'All Districts'!$A$3:$B$874,2,FALSE)</f>
        <v>Argyle</v>
      </c>
      <c r="D754" s="16">
        <v>497834</v>
      </c>
      <c r="E754">
        <f>VLOOKUP(C754,'All Districts'!$B$3:$C$874,2,FALSE)</f>
        <v>3603210</v>
      </c>
      <c r="F754" s="91">
        <f>COUNTIF($E$2:$E$7106,E754)</f>
        <v>9</v>
      </c>
    </row>
    <row r="755" spans="1:6" x14ac:dyDescent="0.2">
      <c r="A755">
        <v>2017</v>
      </c>
      <c r="B755" s="13">
        <v>5676</v>
      </c>
      <c r="C755" s="90" t="str">
        <f>VLOOKUP(B755,'All Districts'!$A$3:$B$874,2,FALSE)</f>
        <v>Argyle</v>
      </c>
      <c r="D755" s="16">
        <v>453422</v>
      </c>
      <c r="E755">
        <f>VLOOKUP(C755,'All Districts'!$B$3:$C$874,2,FALSE)</f>
        <v>3603210</v>
      </c>
      <c r="F755" s="91">
        <f>COUNTIF($E$2:$E$7106,E755)</f>
        <v>9</v>
      </c>
    </row>
    <row r="756" spans="1:6" x14ac:dyDescent="0.2">
      <c r="A756" s="10">
        <v>2018</v>
      </c>
      <c r="B756" s="13">
        <v>5676</v>
      </c>
      <c r="C756" s="90" t="str">
        <f>VLOOKUP(B756,'All Districts'!$A$3:$B$874,2,FALSE)</f>
        <v>Argyle</v>
      </c>
      <c r="D756" s="15">
        <v>391952</v>
      </c>
      <c r="E756">
        <f>VLOOKUP(C756,'All Districts'!$B$3:$C$874,2,FALSE)</f>
        <v>3603210</v>
      </c>
      <c r="F756" s="91">
        <f>COUNTIF($E$2:$E$7106,E756)</f>
        <v>9</v>
      </c>
    </row>
    <row r="757" spans="1:6" x14ac:dyDescent="0.2">
      <c r="A757">
        <v>2019</v>
      </c>
      <c r="B757" s="36">
        <v>5676</v>
      </c>
      <c r="C757" s="90" t="str">
        <f>VLOOKUP(B757,'All Districts'!$A$3:$B$874,2,FALSE)</f>
        <v>Argyle</v>
      </c>
      <c r="D757" s="40">
        <v>427700</v>
      </c>
      <c r="E757">
        <f>VLOOKUP(C757,'All Districts'!$B$3:$C$874,2,FALSE)</f>
        <v>3603210</v>
      </c>
      <c r="F757" s="91">
        <f>COUNTIF($E$2:$E$7106,E757)</f>
        <v>9</v>
      </c>
    </row>
    <row r="758" spans="1:6" x14ac:dyDescent="0.2">
      <c r="A758">
        <v>2020</v>
      </c>
      <c r="B758" s="36">
        <v>5676</v>
      </c>
      <c r="C758" s="90" t="str">
        <f>VLOOKUP(B758,'All Districts'!$A$3:$B$874,2,FALSE)</f>
        <v>Argyle</v>
      </c>
      <c r="D758" s="40">
        <v>378138</v>
      </c>
      <c r="E758">
        <f>VLOOKUP(C758,'All Districts'!$B$3:$C$874,2,FALSE)</f>
        <v>3603210</v>
      </c>
      <c r="F758" s="91">
        <f>COUNTIF($E$2:$E$7106,E758)</f>
        <v>9</v>
      </c>
    </row>
    <row r="759" spans="1:6" x14ac:dyDescent="0.2">
      <c r="A759" s="10">
        <v>2021</v>
      </c>
      <c r="B759" s="52">
        <v>5676</v>
      </c>
      <c r="C759" s="90" t="str">
        <f>VLOOKUP(B759,'All Districts'!$A$3:$B$874,2,FALSE)</f>
        <v>Argyle</v>
      </c>
      <c r="D759" s="76">
        <v>396684</v>
      </c>
      <c r="E759">
        <f>VLOOKUP(C759,'All Districts'!$B$3:$C$874,2,FALSE)</f>
        <v>3603210</v>
      </c>
      <c r="F759" s="91">
        <f>COUNTIF($E$2:$E$7106,E759)</f>
        <v>9</v>
      </c>
    </row>
    <row r="760" spans="1:6" x14ac:dyDescent="0.2">
      <c r="A760">
        <v>2022</v>
      </c>
      <c r="B760" s="36">
        <v>5676</v>
      </c>
      <c r="C760" s="90" t="str">
        <f>VLOOKUP(B760,'All Districts'!$A$3:$B$874,2,FALSE)</f>
        <v>Argyle</v>
      </c>
      <c r="D760" s="82">
        <v>438346</v>
      </c>
      <c r="E760">
        <f>VLOOKUP(C760,'All Districts'!$B$3:$C$874,2,FALSE)</f>
        <v>3603210</v>
      </c>
      <c r="F760" s="91">
        <f>COUNTIF($E$2:$E$7106,E760)</f>
        <v>9</v>
      </c>
    </row>
    <row r="761" spans="1:6" x14ac:dyDescent="0.2">
      <c r="A761">
        <v>2023</v>
      </c>
      <c r="B761" s="36">
        <v>5676</v>
      </c>
      <c r="C761" s="90" t="str">
        <f>VLOOKUP(B761,'All Districts'!$A$3:$B$874,2,FALSE)</f>
        <v>Argyle</v>
      </c>
      <c r="D761" s="40">
        <v>434102</v>
      </c>
      <c r="E761">
        <f>VLOOKUP(C761,'All Districts'!$B$3:$C$874,2,FALSE)</f>
        <v>3603210</v>
      </c>
      <c r="F761" s="91">
        <f>COUNTIF($E$2:$E$7106,E761)</f>
        <v>9</v>
      </c>
    </row>
    <row r="762" spans="1:6" x14ac:dyDescent="0.2">
      <c r="A762">
        <v>2015</v>
      </c>
      <c r="B762" s="13">
        <v>5281</v>
      </c>
      <c r="C762" s="90" t="str">
        <f>VLOOKUP(B762,'All Districts'!$A$3:$B$874,2,FALSE)</f>
        <v>Arkport</v>
      </c>
      <c r="D762" s="14">
        <v>560945</v>
      </c>
      <c r="E762">
        <f>VLOOKUP(C762,'All Districts'!$B$3:$C$874,2,FALSE)</f>
        <v>3603240</v>
      </c>
      <c r="F762" s="91">
        <f>COUNTIF($E$2:$E$7106,E762)</f>
        <v>9</v>
      </c>
    </row>
    <row r="763" spans="1:6" x14ac:dyDescent="0.2">
      <c r="A763">
        <v>2016</v>
      </c>
      <c r="B763" s="13">
        <v>5281</v>
      </c>
      <c r="C763" s="90" t="str">
        <f>VLOOKUP(B763,'All Districts'!$A$3:$B$874,2,FALSE)</f>
        <v>Arkport</v>
      </c>
      <c r="D763" s="16">
        <v>411912</v>
      </c>
      <c r="E763">
        <f>VLOOKUP(C763,'All Districts'!$B$3:$C$874,2,FALSE)</f>
        <v>3603240</v>
      </c>
      <c r="F763" s="91">
        <f>COUNTIF($E$2:$E$7106,E763)</f>
        <v>9</v>
      </c>
    </row>
    <row r="764" spans="1:6" x14ac:dyDescent="0.2">
      <c r="A764">
        <v>2017</v>
      </c>
      <c r="B764" s="13">
        <v>5281</v>
      </c>
      <c r="C764" s="90" t="str">
        <f>VLOOKUP(B764,'All Districts'!$A$3:$B$874,2,FALSE)</f>
        <v>Arkport</v>
      </c>
      <c r="D764" s="16">
        <v>344914</v>
      </c>
      <c r="E764">
        <f>VLOOKUP(C764,'All Districts'!$B$3:$C$874,2,FALSE)</f>
        <v>3603240</v>
      </c>
      <c r="F764" s="91">
        <f>COUNTIF($E$2:$E$7106,E764)</f>
        <v>9</v>
      </c>
    </row>
    <row r="765" spans="1:6" x14ac:dyDescent="0.2">
      <c r="A765" s="10">
        <v>2018</v>
      </c>
      <c r="B765" s="13">
        <v>5281</v>
      </c>
      <c r="C765" s="90" t="str">
        <f>VLOOKUP(B765,'All Districts'!$A$3:$B$874,2,FALSE)</f>
        <v>Arkport</v>
      </c>
      <c r="D765" s="15">
        <v>307108</v>
      </c>
      <c r="E765">
        <f>VLOOKUP(C765,'All Districts'!$B$3:$C$874,2,FALSE)</f>
        <v>3603240</v>
      </c>
      <c r="F765" s="91">
        <f>COUNTIF($E$2:$E$7106,E765)</f>
        <v>9</v>
      </c>
    </row>
    <row r="766" spans="1:6" x14ac:dyDescent="0.2">
      <c r="A766">
        <v>2019</v>
      </c>
      <c r="B766" s="36">
        <v>5281</v>
      </c>
      <c r="C766" s="90" t="str">
        <f>VLOOKUP(B766,'All Districts'!$A$3:$B$874,2,FALSE)</f>
        <v>Arkport</v>
      </c>
      <c r="D766" s="40">
        <v>335049</v>
      </c>
      <c r="E766">
        <f>VLOOKUP(C766,'All Districts'!$B$3:$C$874,2,FALSE)</f>
        <v>3603240</v>
      </c>
      <c r="F766" s="91">
        <f>COUNTIF($E$2:$E$7106,E766)</f>
        <v>9</v>
      </c>
    </row>
    <row r="767" spans="1:6" x14ac:dyDescent="0.2">
      <c r="A767">
        <v>2020</v>
      </c>
      <c r="B767" s="36">
        <v>5281</v>
      </c>
      <c r="C767" s="90" t="str">
        <f>VLOOKUP(B767,'All Districts'!$A$3:$B$874,2,FALSE)</f>
        <v>Arkport</v>
      </c>
      <c r="D767" s="40">
        <v>294652</v>
      </c>
      <c r="E767">
        <f>VLOOKUP(C767,'All Districts'!$B$3:$C$874,2,FALSE)</f>
        <v>3603240</v>
      </c>
      <c r="F767" s="91">
        <f>COUNTIF($E$2:$E$7106,E767)</f>
        <v>9</v>
      </c>
    </row>
    <row r="768" spans="1:6" x14ac:dyDescent="0.2">
      <c r="A768" s="10">
        <v>2021</v>
      </c>
      <c r="B768" s="52">
        <v>5281</v>
      </c>
      <c r="C768" s="90" t="str">
        <f>VLOOKUP(B768,'All Districts'!$A$3:$B$874,2,FALSE)</f>
        <v>Arkport</v>
      </c>
      <c r="D768" s="76">
        <v>316705</v>
      </c>
      <c r="E768">
        <f>VLOOKUP(C768,'All Districts'!$B$3:$C$874,2,FALSE)</f>
        <v>3603240</v>
      </c>
      <c r="F768" s="91">
        <f>COUNTIF($E$2:$E$7106,E768)</f>
        <v>9</v>
      </c>
    </row>
    <row r="769" spans="1:6" x14ac:dyDescent="0.2">
      <c r="A769">
        <v>2022</v>
      </c>
      <c r="B769" s="36">
        <v>5281</v>
      </c>
      <c r="C769" s="90" t="str">
        <f>VLOOKUP(B769,'All Districts'!$A$3:$B$874,2,FALSE)</f>
        <v>Arkport</v>
      </c>
      <c r="D769" s="82">
        <v>395064</v>
      </c>
      <c r="E769">
        <f>VLOOKUP(C769,'All Districts'!$B$3:$C$874,2,FALSE)</f>
        <v>3603240</v>
      </c>
      <c r="F769" s="91">
        <f>COUNTIF($E$2:$E$7106,E769)</f>
        <v>9</v>
      </c>
    </row>
    <row r="770" spans="1:6" x14ac:dyDescent="0.2">
      <c r="A770">
        <v>2023</v>
      </c>
      <c r="B770" s="36">
        <v>5281</v>
      </c>
      <c r="C770" s="90" t="str">
        <f>VLOOKUP(B770,'All Districts'!$A$3:$B$874,2,FALSE)</f>
        <v>Arkport</v>
      </c>
      <c r="D770" s="40">
        <v>425314</v>
      </c>
      <c r="E770">
        <f>VLOOKUP(C770,'All Districts'!$B$3:$C$874,2,FALSE)</f>
        <v>3603240</v>
      </c>
      <c r="F770" s="91">
        <f>COUNTIF($E$2:$E$7106,E770)</f>
        <v>9</v>
      </c>
    </row>
    <row r="771" spans="1:6" x14ac:dyDescent="0.2">
      <c r="A771">
        <v>2015</v>
      </c>
      <c r="B771" s="13">
        <v>2010</v>
      </c>
      <c r="C771" s="90" t="str">
        <f>VLOOKUP(B771,'All Districts'!$A$3:$B$874,2,FALSE)</f>
        <v>Arlington</v>
      </c>
      <c r="D771" s="14">
        <v>12317992</v>
      </c>
      <c r="E771">
        <f>VLOOKUP(C771,'All Districts'!$B$3:$C$874,2,FALSE)</f>
        <v>3603270</v>
      </c>
      <c r="F771" s="91">
        <f>COUNTIF($E$2:$E$7106,E771)</f>
        <v>9</v>
      </c>
    </row>
    <row r="772" spans="1:6" x14ac:dyDescent="0.2">
      <c r="A772">
        <v>2016</v>
      </c>
      <c r="B772" s="13">
        <v>2010</v>
      </c>
      <c r="C772" s="90" t="str">
        <f>VLOOKUP(B772,'All Districts'!$A$3:$B$874,2,FALSE)</f>
        <v>Arlington</v>
      </c>
      <c r="D772" s="16">
        <v>9506198</v>
      </c>
      <c r="E772">
        <f>VLOOKUP(C772,'All Districts'!$B$3:$C$874,2,FALSE)</f>
        <v>3603270</v>
      </c>
      <c r="F772" s="91">
        <f>COUNTIF($E$2:$E$7106,E772)</f>
        <v>9</v>
      </c>
    </row>
    <row r="773" spans="1:6" x14ac:dyDescent="0.2">
      <c r="A773">
        <v>2017</v>
      </c>
      <c r="B773" s="13">
        <v>2010</v>
      </c>
      <c r="C773" s="90" t="str">
        <f>VLOOKUP(B773,'All Districts'!$A$3:$B$874,2,FALSE)</f>
        <v>Arlington</v>
      </c>
      <c r="D773" s="16">
        <v>8694769</v>
      </c>
      <c r="E773">
        <f>VLOOKUP(C773,'All Districts'!$B$3:$C$874,2,FALSE)</f>
        <v>3603270</v>
      </c>
      <c r="F773" s="91">
        <f>COUNTIF($E$2:$E$7106,E773)</f>
        <v>9</v>
      </c>
    </row>
    <row r="774" spans="1:6" x14ac:dyDescent="0.2">
      <c r="A774" s="10">
        <v>2018</v>
      </c>
      <c r="B774" s="13">
        <v>2010</v>
      </c>
      <c r="C774" s="90" t="str">
        <f>VLOOKUP(B774,'All Districts'!$A$3:$B$874,2,FALSE)</f>
        <v>Arlington</v>
      </c>
      <c r="D774" s="15">
        <v>7433181</v>
      </c>
      <c r="E774">
        <f>VLOOKUP(C774,'All Districts'!$B$3:$C$874,2,FALSE)</f>
        <v>3603270</v>
      </c>
      <c r="F774" s="91">
        <f>COUNTIF($E$2:$E$7106,E774)</f>
        <v>9</v>
      </c>
    </row>
    <row r="775" spans="1:6" x14ac:dyDescent="0.2">
      <c r="A775">
        <v>2019</v>
      </c>
      <c r="B775" s="36">
        <v>2010</v>
      </c>
      <c r="C775" s="90" t="str">
        <f>VLOOKUP(B775,'All Districts'!$A$3:$B$874,2,FALSE)</f>
        <v>Arlington</v>
      </c>
      <c r="D775" s="40">
        <v>8259881</v>
      </c>
      <c r="E775">
        <f>VLOOKUP(C775,'All Districts'!$B$3:$C$874,2,FALSE)</f>
        <v>3603270</v>
      </c>
      <c r="F775" s="91">
        <f>COUNTIF($E$2:$E$7106,E775)</f>
        <v>9</v>
      </c>
    </row>
    <row r="776" spans="1:6" x14ac:dyDescent="0.2">
      <c r="A776">
        <v>2020</v>
      </c>
      <c r="B776" s="36">
        <v>2010</v>
      </c>
      <c r="C776" s="90" t="str">
        <f>VLOOKUP(B776,'All Districts'!$A$3:$B$874,2,FALSE)</f>
        <v>Arlington</v>
      </c>
      <c r="D776" s="40">
        <v>7071370</v>
      </c>
      <c r="E776">
        <f>VLOOKUP(C776,'All Districts'!$B$3:$C$874,2,FALSE)</f>
        <v>3603270</v>
      </c>
      <c r="F776" s="91">
        <f>COUNTIF($E$2:$E$7106,E776)</f>
        <v>9</v>
      </c>
    </row>
    <row r="777" spans="1:6" x14ac:dyDescent="0.2">
      <c r="A777" s="10">
        <v>2021</v>
      </c>
      <c r="B777" s="52">
        <v>2010</v>
      </c>
      <c r="C777" s="90" t="str">
        <f>VLOOKUP(B777,'All Districts'!$A$3:$B$874,2,FALSE)</f>
        <v>Arlington</v>
      </c>
      <c r="D777" s="76">
        <v>7750650</v>
      </c>
      <c r="E777">
        <f>VLOOKUP(C777,'All Districts'!$B$3:$C$874,2,FALSE)</f>
        <v>3603270</v>
      </c>
      <c r="F777" s="91">
        <f>COUNTIF($E$2:$E$7106,E777)</f>
        <v>9</v>
      </c>
    </row>
    <row r="778" spans="1:6" x14ac:dyDescent="0.2">
      <c r="A778">
        <v>2022</v>
      </c>
      <c r="B778" s="36">
        <v>2010</v>
      </c>
      <c r="C778" s="90" t="str">
        <f>VLOOKUP(B778,'All Districts'!$A$3:$B$874,2,FALSE)</f>
        <v>Arlington</v>
      </c>
      <c r="D778" s="82">
        <v>8401499</v>
      </c>
      <c r="E778">
        <f>VLOOKUP(C778,'All Districts'!$B$3:$C$874,2,FALSE)</f>
        <v>3603270</v>
      </c>
      <c r="F778" s="91">
        <f>COUNTIF($E$2:$E$7106,E778)</f>
        <v>9</v>
      </c>
    </row>
    <row r="779" spans="1:6" x14ac:dyDescent="0.2">
      <c r="A779">
        <v>2023</v>
      </c>
      <c r="B779" s="36">
        <v>2010</v>
      </c>
      <c r="C779" s="90" t="str">
        <f>VLOOKUP(B779,'All Districts'!$A$3:$B$874,2,FALSE)</f>
        <v>Arlington</v>
      </c>
      <c r="D779" s="40">
        <v>9007024</v>
      </c>
      <c r="E779">
        <f>VLOOKUP(C779,'All Districts'!$B$3:$C$874,2,FALSE)</f>
        <v>3603270</v>
      </c>
      <c r="F779" s="91">
        <f>COUNTIF($E$2:$E$7106,E779)</f>
        <v>9</v>
      </c>
    </row>
    <row r="780" spans="1:6" x14ac:dyDescent="0.2">
      <c r="A780">
        <v>2015</v>
      </c>
      <c r="B780" s="13">
        <v>2014</v>
      </c>
      <c r="C780" s="90" t="str">
        <f>VLOOKUP(B780,'All Districts'!$A$3:$B$874,2,FALSE)</f>
        <v>Attica</v>
      </c>
      <c r="D780" s="14">
        <v>1679649</v>
      </c>
      <c r="E780">
        <f>VLOOKUP(C780,'All Districts'!$B$3:$C$874,2,FALSE)</f>
        <v>3603420</v>
      </c>
      <c r="F780" s="91">
        <f>COUNTIF($E$2:$E$7106,E780)</f>
        <v>9</v>
      </c>
    </row>
    <row r="781" spans="1:6" x14ac:dyDescent="0.2">
      <c r="A781">
        <v>2016</v>
      </c>
      <c r="B781" s="13">
        <v>2014</v>
      </c>
      <c r="C781" s="90" t="str">
        <f>VLOOKUP(B781,'All Districts'!$A$3:$B$874,2,FALSE)</f>
        <v>Attica</v>
      </c>
      <c r="D781" s="16">
        <v>1278208</v>
      </c>
      <c r="E781">
        <f>VLOOKUP(C781,'All Districts'!$B$3:$C$874,2,FALSE)</f>
        <v>3603420</v>
      </c>
      <c r="F781" s="91">
        <f>COUNTIF($E$2:$E$7106,E781)</f>
        <v>9</v>
      </c>
    </row>
    <row r="782" spans="1:6" x14ac:dyDescent="0.2">
      <c r="A782">
        <v>2017</v>
      </c>
      <c r="B782" s="13">
        <v>2014</v>
      </c>
      <c r="C782" s="90" t="str">
        <f>VLOOKUP(B782,'All Districts'!$A$3:$B$874,2,FALSE)</f>
        <v>Attica</v>
      </c>
      <c r="D782" s="16">
        <v>1156180</v>
      </c>
      <c r="E782">
        <f>VLOOKUP(C782,'All Districts'!$B$3:$C$874,2,FALSE)</f>
        <v>3603420</v>
      </c>
      <c r="F782" s="91">
        <f>COUNTIF($E$2:$E$7106,E782)</f>
        <v>9</v>
      </c>
    </row>
    <row r="783" spans="1:6" x14ac:dyDescent="0.2">
      <c r="A783" s="10">
        <v>2018</v>
      </c>
      <c r="B783" s="13">
        <v>2014</v>
      </c>
      <c r="C783" s="90" t="str">
        <f>VLOOKUP(B783,'All Districts'!$A$3:$B$874,2,FALSE)</f>
        <v>Attica</v>
      </c>
      <c r="D783" s="15">
        <v>950582</v>
      </c>
      <c r="E783">
        <f>VLOOKUP(C783,'All Districts'!$B$3:$C$874,2,FALSE)</f>
        <v>3603420</v>
      </c>
      <c r="F783" s="91">
        <f>COUNTIF($E$2:$E$7106,E783)</f>
        <v>9</v>
      </c>
    </row>
    <row r="784" spans="1:6" x14ac:dyDescent="0.2">
      <c r="A784">
        <v>2019</v>
      </c>
      <c r="B784" s="36">
        <v>2014</v>
      </c>
      <c r="C784" s="90" t="str">
        <f>VLOOKUP(B784,'All Districts'!$A$3:$B$874,2,FALSE)</f>
        <v>Attica</v>
      </c>
      <c r="D784" s="40">
        <v>1055875</v>
      </c>
      <c r="E784">
        <f>VLOOKUP(C784,'All Districts'!$B$3:$C$874,2,FALSE)</f>
        <v>3603420</v>
      </c>
      <c r="F784" s="91">
        <f>COUNTIF($E$2:$E$7106,E784)</f>
        <v>9</v>
      </c>
    </row>
    <row r="785" spans="1:6" x14ac:dyDescent="0.2">
      <c r="A785">
        <v>2020</v>
      </c>
      <c r="B785" s="36">
        <v>2014</v>
      </c>
      <c r="C785" s="90" t="str">
        <f>VLOOKUP(B785,'All Districts'!$A$3:$B$874,2,FALSE)</f>
        <v>Attica</v>
      </c>
      <c r="D785" s="40">
        <v>903084</v>
      </c>
      <c r="E785">
        <f>VLOOKUP(C785,'All Districts'!$B$3:$C$874,2,FALSE)</f>
        <v>3603420</v>
      </c>
      <c r="F785" s="91">
        <f>COUNTIF($E$2:$E$7106,E785)</f>
        <v>9</v>
      </c>
    </row>
    <row r="786" spans="1:6" x14ac:dyDescent="0.2">
      <c r="A786" s="10">
        <v>2021</v>
      </c>
      <c r="B786" s="55">
        <v>2014</v>
      </c>
      <c r="C786" s="90" t="str">
        <f>VLOOKUP(B786,'All Districts'!$A$3:$B$874,2,FALSE)</f>
        <v>Attica</v>
      </c>
      <c r="D786" s="76">
        <v>1008970</v>
      </c>
      <c r="E786">
        <f>VLOOKUP(C786,'All Districts'!$B$3:$C$874,2,FALSE)</f>
        <v>3603420</v>
      </c>
      <c r="F786" s="91">
        <f>COUNTIF($E$2:$E$7106,E786)</f>
        <v>9</v>
      </c>
    </row>
    <row r="787" spans="1:6" x14ac:dyDescent="0.2">
      <c r="A787">
        <v>2022</v>
      </c>
      <c r="B787" s="36">
        <v>2014</v>
      </c>
      <c r="C787" s="90" t="str">
        <f>VLOOKUP(B787,'All Districts'!$A$3:$B$874,2,FALSE)</f>
        <v>Attica</v>
      </c>
      <c r="D787" s="82">
        <v>1083354</v>
      </c>
      <c r="E787">
        <f>VLOOKUP(C787,'All Districts'!$B$3:$C$874,2,FALSE)</f>
        <v>3603420</v>
      </c>
      <c r="F787" s="91">
        <f>COUNTIF($E$2:$E$7106,E787)</f>
        <v>9</v>
      </c>
    </row>
    <row r="788" spans="1:6" x14ac:dyDescent="0.2">
      <c r="A788">
        <v>2023</v>
      </c>
      <c r="B788" s="36">
        <v>2014</v>
      </c>
      <c r="C788" s="90" t="str">
        <f>VLOOKUP(B788,'All Districts'!$A$3:$B$874,2,FALSE)</f>
        <v>Attica</v>
      </c>
      <c r="D788" s="40">
        <v>1160154</v>
      </c>
      <c r="E788">
        <f>VLOOKUP(C788,'All Districts'!$B$3:$C$874,2,FALSE)</f>
        <v>3603420</v>
      </c>
      <c r="F788" s="91">
        <f>COUNTIF($E$2:$E$7106,E788)</f>
        <v>9</v>
      </c>
    </row>
    <row r="789" spans="1:6" x14ac:dyDescent="0.2">
      <c r="A789">
        <v>2015</v>
      </c>
      <c r="B789" s="13">
        <v>3460</v>
      </c>
      <c r="C789" s="90" t="str">
        <f>VLOOKUP(B789,'All Districts'!$A$3:$B$874,2,FALSE)</f>
        <v>Au Sable Valley</v>
      </c>
      <c r="D789" s="14">
        <v>1701265</v>
      </c>
      <c r="E789">
        <f>VLOOKUP(C789,'All Districts'!$B$3:$C$874,2,FALSE)</f>
        <v>3616170</v>
      </c>
      <c r="F789" s="91">
        <f>COUNTIF($E$2:$E$7106,E789)</f>
        <v>9</v>
      </c>
    </row>
    <row r="790" spans="1:6" x14ac:dyDescent="0.2">
      <c r="A790">
        <v>2016</v>
      </c>
      <c r="B790" s="13">
        <v>3460</v>
      </c>
      <c r="C790" s="90" t="str">
        <f>VLOOKUP(B790,'All Districts'!$A$3:$B$874,2,FALSE)</f>
        <v>Au Sable Valley</v>
      </c>
      <c r="D790" s="16">
        <v>1315734</v>
      </c>
      <c r="E790">
        <f>VLOOKUP(C790,'All Districts'!$B$3:$C$874,2,FALSE)</f>
        <v>3616170</v>
      </c>
      <c r="F790" s="91">
        <f>COUNTIF($E$2:$E$7106,E790)</f>
        <v>9</v>
      </c>
    </row>
    <row r="791" spans="1:6" x14ac:dyDescent="0.2">
      <c r="A791">
        <v>2017</v>
      </c>
      <c r="B791" s="13">
        <v>3460</v>
      </c>
      <c r="C791" s="90" t="str">
        <f>VLOOKUP(B791,'All Districts'!$A$3:$B$874,2,FALSE)</f>
        <v>Au Sable Valley</v>
      </c>
      <c r="D791" s="16">
        <v>1163835</v>
      </c>
      <c r="E791">
        <f>VLOOKUP(C791,'All Districts'!$B$3:$C$874,2,FALSE)</f>
        <v>3616170</v>
      </c>
      <c r="F791" s="91">
        <f>COUNTIF($E$2:$E$7106,E791)</f>
        <v>9</v>
      </c>
    </row>
    <row r="792" spans="1:6" x14ac:dyDescent="0.2">
      <c r="A792" s="10">
        <v>2018</v>
      </c>
      <c r="B792" s="13">
        <v>3460</v>
      </c>
      <c r="C792" s="90" t="str">
        <f>VLOOKUP(B792,'All Districts'!$A$3:$B$874,2,FALSE)</f>
        <v>Au Sable Valley</v>
      </c>
      <c r="D792" s="15">
        <v>1010429</v>
      </c>
      <c r="E792">
        <f>VLOOKUP(C792,'All Districts'!$B$3:$C$874,2,FALSE)</f>
        <v>3616170</v>
      </c>
      <c r="F792" s="91">
        <f>COUNTIF($E$2:$E$7106,E792)</f>
        <v>9</v>
      </c>
    </row>
    <row r="793" spans="1:6" x14ac:dyDescent="0.2">
      <c r="A793">
        <v>2019</v>
      </c>
      <c r="B793" s="36">
        <v>3460</v>
      </c>
      <c r="C793" s="90" t="str">
        <f>VLOOKUP(B793,'All Districts'!$A$3:$B$874,2,FALSE)</f>
        <v>Au Sable Valley</v>
      </c>
      <c r="D793" s="40">
        <v>1050245</v>
      </c>
      <c r="E793">
        <f>VLOOKUP(C793,'All Districts'!$B$3:$C$874,2,FALSE)</f>
        <v>3616170</v>
      </c>
      <c r="F793" s="91">
        <f>COUNTIF($E$2:$E$7106,E793)</f>
        <v>9</v>
      </c>
    </row>
    <row r="794" spans="1:6" x14ac:dyDescent="0.2">
      <c r="A794">
        <v>2020</v>
      </c>
      <c r="B794" s="36">
        <v>3460</v>
      </c>
      <c r="C794" s="90" t="str">
        <f>VLOOKUP(B794,'All Districts'!$A$3:$B$874,2,FALSE)</f>
        <v>Au Sable Valley</v>
      </c>
      <c r="D794" s="40">
        <v>859873</v>
      </c>
      <c r="E794">
        <f>VLOOKUP(C794,'All Districts'!$B$3:$C$874,2,FALSE)</f>
        <v>3616170</v>
      </c>
      <c r="F794" s="91">
        <f>COUNTIF($E$2:$E$7106,E794)</f>
        <v>9</v>
      </c>
    </row>
    <row r="795" spans="1:6" x14ac:dyDescent="0.2">
      <c r="A795" s="10">
        <v>2021</v>
      </c>
      <c r="B795" s="52">
        <v>3460</v>
      </c>
      <c r="C795" s="90" t="str">
        <f>VLOOKUP(B795,'All Districts'!$A$3:$B$874,2,FALSE)</f>
        <v>Au Sable Valley</v>
      </c>
      <c r="D795" s="76">
        <v>921906</v>
      </c>
      <c r="E795">
        <f>VLOOKUP(C795,'All Districts'!$B$3:$C$874,2,FALSE)</f>
        <v>3616170</v>
      </c>
      <c r="F795" s="91">
        <f>COUNTIF($E$2:$E$7106,E795)</f>
        <v>9</v>
      </c>
    </row>
    <row r="796" spans="1:6" x14ac:dyDescent="0.2">
      <c r="A796">
        <v>2022</v>
      </c>
      <c r="B796" s="36">
        <v>3460</v>
      </c>
      <c r="C796" s="90" t="str">
        <f>VLOOKUP(B796,'All Districts'!$A$3:$B$874,2,FALSE)</f>
        <v>Au Sable Valley</v>
      </c>
      <c r="D796" s="82">
        <v>1034664</v>
      </c>
      <c r="E796">
        <f>VLOOKUP(C796,'All Districts'!$B$3:$C$874,2,FALSE)</f>
        <v>3616170</v>
      </c>
      <c r="F796" s="91">
        <f>COUNTIF($E$2:$E$7106,E796)</f>
        <v>9</v>
      </c>
    </row>
    <row r="797" spans="1:6" x14ac:dyDescent="0.2">
      <c r="A797">
        <v>2023</v>
      </c>
      <c r="B797" s="36">
        <v>3460</v>
      </c>
      <c r="C797" s="90" t="str">
        <f>VLOOKUP(B797,'All Districts'!$A$3:$B$874,2,FALSE)</f>
        <v>Au Sable Valley</v>
      </c>
      <c r="D797" s="40">
        <v>1118538</v>
      </c>
      <c r="E797">
        <f>VLOOKUP(C797,'All Districts'!$B$3:$C$874,2,FALSE)</f>
        <v>3616170</v>
      </c>
      <c r="F797" s="91">
        <f>COUNTIF($E$2:$E$7106,E797)</f>
        <v>9</v>
      </c>
    </row>
    <row r="798" spans="1:6" x14ac:dyDescent="0.2">
      <c r="A798">
        <v>2015</v>
      </c>
      <c r="B798" s="13">
        <v>1015</v>
      </c>
      <c r="C798" s="90" t="str">
        <f>VLOOKUP(B798,'All Districts'!$A$3:$B$874,2,FALSE)</f>
        <v>Auburn</v>
      </c>
      <c r="D798" s="14">
        <v>4612784</v>
      </c>
      <c r="E798">
        <f>VLOOKUP(C798,'All Districts'!$B$3:$C$874,2,FALSE)</f>
        <v>3603480</v>
      </c>
      <c r="F798" s="91">
        <f>COUNTIF($E$2:$E$7106,E798)</f>
        <v>9</v>
      </c>
    </row>
    <row r="799" spans="1:6" x14ac:dyDescent="0.2">
      <c r="A799">
        <v>2016</v>
      </c>
      <c r="B799" s="13">
        <v>1015</v>
      </c>
      <c r="C799" s="90" t="str">
        <f>VLOOKUP(B799,'All Districts'!$A$3:$B$874,2,FALSE)</f>
        <v>Auburn</v>
      </c>
      <c r="D799" s="16">
        <v>3530378</v>
      </c>
      <c r="E799">
        <f>VLOOKUP(C799,'All Districts'!$B$3:$C$874,2,FALSE)</f>
        <v>3603480</v>
      </c>
      <c r="F799" s="91">
        <f>COUNTIF($E$2:$E$7106,E799)</f>
        <v>9</v>
      </c>
    </row>
    <row r="800" spans="1:6" x14ac:dyDescent="0.2">
      <c r="A800">
        <v>2017</v>
      </c>
      <c r="B800" s="13">
        <v>1015</v>
      </c>
      <c r="C800" s="90" t="str">
        <f>VLOOKUP(B800,'All Districts'!$A$3:$B$874,2,FALSE)</f>
        <v>Auburn</v>
      </c>
      <c r="D800" s="16">
        <v>3355673</v>
      </c>
      <c r="E800">
        <f>VLOOKUP(C800,'All Districts'!$B$3:$C$874,2,FALSE)</f>
        <v>3603480</v>
      </c>
      <c r="F800" s="91">
        <f>COUNTIF($E$2:$E$7106,E800)</f>
        <v>9</v>
      </c>
    </row>
    <row r="801" spans="1:6" x14ac:dyDescent="0.2">
      <c r="A801" s="10">
        <v>2018</v>
      </c>
      <c r="B801" s="13">
        <v>1015</v>
      </c>
      <c r="C801" s="90" t="str">
        <f>VLOOKUP(B801,'All Districts'!$A$3:$B$874,2,FALSE)</f>
        <v>Auburn</v>
      </c>
      <c r="D801" s="15">
        <v>2714889</v>
      </c>
      <c r="E801">
        <f>VLOOKUP(C801,'All Districts'!$B$3:$C$874,2,FALSE)</f>
        <v>3603480</v>
      </c>
      <c r="F801" s="91">
        <f>COUNTIF($E$2:$E$7106,E801)</f>
        <v>9</v>
      </c>
    </row>
    <row r="802" spans="1:6" x14ac:dyDescent="0.2">
      <c r="A802">
        <v>2019</v>
      </c>
      <c r="B802" s="36">
        <v>1015</v>
      </c>
      <c r="C802" s="90" t="str">
        <f>VLOOKUP(B802,'All Districts'!$A$3:$B$874,2,FALSE)</f>
        <v>Auburn</v>
      </c>
      <c r="D802" s="40">
        <v>2878043</v>
      </c>
      <c r="E802">
        <f>VLOOKUP(C802,'All Districts'!$B$3:$C$874,2,FALSE)</f>
        <v>3603480</v>
      </c>
      <c r="F802" s="91">
        <f>COUNTIF($E$2:$E$7106,E802)</f>
        <v>9</v>
      </c>
    </row>
    <row r="803" spans="1:6" x14ac:dyDescent="0.2">
      <c r="A803">
        <v>2020</v>
      </c>
      <c r="B803" s="36">
        <v>1015</v>
      </c>
      <c r="C803" s="90" t="str">
        <f>VLOOKUP(B803,'All Districts'!$A$3:$B$874,2,FALSE)</f>
        <v>Auburn</v>
      </c>
      <c r="D803" s="40">
        <v>2485086</v>
      </c>
      <c r="E803">
        <f>VLOOKUP(C803,'All Districts'!$B$3:$C$874,2,FALSE)</f>
        <v>3603480</v>
      </c>
      <c r="F803" s="91">
        <f>COUNTIF($E$2:$E$7106,E803)</f>
        <v>9</v>
      </c>
    </row>
    <row r="804" spans="1:6" x14ac:dyDescent="0.2">
      <c r="A804" s="10">
        <v>2021</v>
      </c>
      <c r="B804" s="52">
        <v>1015</v>
      </c>
      <c r="C804" s="90" t="str">
        <f>VLOOKUP(B804,'All Districts'!$A$3:$B$874,2,FALSE)</f>
        <v>Auburn</v>
      </c>
      <c r="D804" s="75">
        <v>2787398</v>
      </c>
      <c r="E804">
        <f>VLOOKUP(C804,'All Districts'!$B$3:$C$874,2,FALSE)</f>
        <v>3603480</v>
      </c>
      <c r="F804" s="91">
        <f>COUNTIF($E$2:$E$7106,E804)</f>
        <v>9</v>
      </c>
    </row>
    <row r="805" spans="1:6" x14ac:dyDescent="0.2">
      <c r="A805">
        <v>2022</v>
      </c>
      <c r="B805" s="36">
        <v>1015</v>
      </c>
      <c r="C805" s="90" t="str">
        <f>VLOOKUP(B805,'All Districts'!$A$3:$B$874,2,FALSE)</f>
        <v>Auburn</v>
      </c>
      <c r="D805" s="82">
        <v>3162536</v>
      </c>
      <c r="E805">
        <f>VLOOKUP(C805,'All Districts'!$B$3:$C$874,2,FALSE)</f>
        <v>3603480</v>
      </c>
      <c r="F805" s="91">
        <f>COUNTIF($E$2:$E$7106,E805)</f>
        <v>9</v>
      </c>
    </row>
    <row r="806" spans="1:6" x14ac:dyDescent="0.2">
      <c r="A806">
        <v>2023</v>
      </c>
      <c r="B806" s="36">
        <v>1015</v>
      </c>
      <c r="C806" s="90" t="str">
        <f>VLOOKUP(B806,'All Districts'!$A$3:$B$874,2,FALSE)</f>
        <v>Auburn</v>
      </c>
      <c r="D806" s="40">
        <v>3550600</v>
      </c>
      <c r="E806">
        <f>VLOOKUP(C806,'All Districts'!$B$3:$C$874,2,FALSE)</f>
        <v>3603480</v>
      </c>
      <c r="F806" s="91">
        <f>COUNTIF($E$2:$E$7106,E806)</f>
        <v>9</v>
      </c>
    </row>
    <row r="807" spans="1:6" x14ac:dyDescent="0.2">
      <c r="A807">
        <v>2015</v>
      </c>
      <c r="B807" s="13">
        <v>2015</v>
      </c>
      <c r="C807" s="90" t="str">
        <f>VLOOKUP(B807,'All Districts'!$A$3:$B$874,2,FALSE)</f>
        <v>Averill Park</v>
      </c>
      <c r="D807" s="14">
        <v>3458291</v>
      </c>
      <c r="E807">
        <f>VLOOKUP(C807,'All Districts'!$B$3:$C$874,2,FALSE)</f>
        <v>3600016</v>
      </c>
      <c r="F807" s="91">
        <f>COUNTIF($E$2:$E$7106,E807)</f>
        <v>9</v>
      </c>
    </row>
    <row r="808" spans="1:6" x14ac:dyDescent="0.2">
      <c r="A808">
        <v>2016</v>
      </c>
      <c r="B808" s="13">
        <v>2015</v>
      </c>
      <c r="C808" s="90" t="str">
        <f>VLOOKUP(B808,'All Districts'!$A$3:$B$874,2,FALSE)</f>
        <v>Averill Park</v>
      </c>
      <c r="D808" s="16">
        <v>2724521</v>
      </c>
      <c r="E808">
        <f>VLOOKUP(C808,'All Districts'!$B$3:$C$874,2,FALSE)</f>
        <v>3600016</v>
      </c>
      <c r="F808" s="91">
        <f>COUNTIF($E$2:$E$7106,E808)</f>
        <v>9</v>
      </c>
    </row>
    <row r="809" spans="1:6" x14ac:dyDescent="0.2">
      <c r="A809">
        <v>2017</v>
      </c>
      <c r="B809" s="13">
        <v>2015</v>
      </c>
      <c r="C809" s="90" t="str">
        <f>VLOOKUP(B809,'All Districts'!$A$3:$B$874,2,FALSE)</f>
        <v>Averill Park</v>
      </c>
      <c r="D809" s="16">
        <v>2518138</v>
      </c>
      <c r="E809">
        <f>VLOOKUP(C809,'All Districts'!$B$3:$C$874,2,FALSE)</f>
        <v>3600016</v>
      </c>
      <c r="F809" s="91">
        <f>COUNTIF($E$2:$E$7106,E809)</f>
        <v>9</v>
      </c>
    </row>
    <row r="810" spans="1:6" x14ac:dyDescent="0.2">
      <c r="A810" s="10">
        <v>2018</v>
      </c>
      <c r="B810" s="13">
        <v>2015</v>
      </c>
      <c r="C810" s="90" t="str">
        <f>VLOOKUP(B810,'All Districts'!$A$3:$B$874,2,FALSE)</f>
        <v>Averill Park</v>
      </c>
      <c r="D810" s="15">
        <v>2136347</v>
      </c>
      <c r="E810">
        <f>VLOOKUP(C810,'All Districts'!$B$3:$C$874,2,FALSE)</f>
        <v>3600016</v>
      </c>
      <c r="F810" s="91">
        <f>COUNTIF($E$2:$E$7106,E810)</f>
        <v>9</v>
      </c>
    </row>
    <row r="811" spans="1:6" x14ac:dyDescent="0.2">
      <c r="A811">
        <v>2019</v>
      </c>
      <c r="B811" s="36">
        <v>2015</v>
      </c>
      <c r="C811" s="90" t="str">
        <f>VLOOKUP(B811,'All Districts'!$A$3:$B$874,2,FALSE)</f>
        <v>Averill Park</v>
      </c>
      <c r="D811" s="40">
        <v>2319629</v>
      </c>
      <c r="E811">
        <f>VLOOKUP(C811,'All Districts'!$B$3:$C$874,2,FALSE)</f>
        <v>3600016</v>
      </c>
      <c r="F811" s="91">
        <f>COUNTIF($E$2:$E$7106,E811)</f>
        <v>9</v>
      </c>
    </row>
    <row r="812" spans="1:6" x14ac:dyDescent="0.2">
      <c r="A812">
        <v>2020</v>
      </c>
      <c r="B812" s="36">
        <v>2015</v>
      </c>
      <c r="C812" s="90" t="str">
        <f>VLOOKUP(B812,'All Districts'!$A$3:$B$874,2,FALSE)</f>
        <v>Averill Park</v>
      </c>
      <c r="D812" s="40">
        <v>2012092</v>
      </c>
      <c r="E812">
        <f>VLOOKUP(C812,'All Districts'!$B$3:$C$874,2,FALSE)</f>
        <v>3600016</v>
      </c>
      <c r="F812" s="91">
        <f>COUNTIF($E$2:$E$7106,E812)</f>
        <v>9</v>
      </c>
    </row>
    <row r="813" spans="1:6" x14ac:dyDescent="0.2">
      <c r="A813" s="10">
        <v>2021</v>
      </c>
      <c r="B813" s="52">
        <v>2015</v>
      </c>
      <c r="C813" s="90" t="str">
        <f>VLOOKUP(B813,'All Districts'!$A$3:$B$874,2,FALSE)</f>
        <v>Averill Park</v>
      </c>
      <c r="D813" s="75">
        <v>2200250</v>
      </c>
      <c r="E813">
        <f>VLOOKUP(C813,'All Districts'!$B$3:$C$874,2,FALSE)</f>
        <v>3600016</v>
      </c>
      <c r="F813" s="91">
        <f>COUNTIF($E$2:$E$7106,E813)</f>
        <v>9</v>
      </c>
    </row>
    <row r="814" spans="1:6" x14ac:dyDescent="0.2">
      <c r="A814">
        <v>2022</v>
      </c>
      <c r="B814" s="36">
        <v>2015</v>
      </c>
      <c r="C814" s="90" t="str">
        <f>VLOOKUP(B814,'All Districts'!$A$3:$B$874,2,FALSE)</f>
        <v>Averill Park</v>
      </c>
      <c r="D814" s="82">
        <v>2361774</v>
      </c>
      <c r="E814">
        <f>VLOOKUP(C814,'All Districts'!$B$3:$C$874,2,FALSE)</f>
        <v>3600016</v>
      </c>
      <c r="F814" s="91">
        <f>COUNTIF($E$2:$E$7106,E814)</f>
        <v>9</v>
      </c>
    </row>
    <row r="815" spans="1:6" x14ac:dyDescent="0.2">
      <c r="A815">
        <v>2023</v>
      </c>
      <c r="B815" s="36">
        <v>2015</v>
      </c>
      <c r="C815" s="90" t="str">
        <f>VLOOKUP(B815,'All Districts'!$A$3:$B$874,2,FALSE)</f>
        <v>Averill Park</v>
      </c>
      <c r="D815" s="40">
        <v>2475847</v>
      </c>
      <c r="E815">
        <f>VLOOKUP(C815,'All Districts'!$B$3:$C$874,2,FALSE)</f>
        <v>3600016</v>
      </c>
      <c r="F815" s="91">
        <f>COUNTIF($E$2:$E$7106,E815)</f>
        <v>9</v>
      </c>
    </row>
    <row r="816" spans="1:6" x14ac:dyDescent="0.2">
      <c r="A816">
        <v>2015</v>
      </c>
      <c r="B816" s="13">
        <v>5301</v>
      </c>
      <c r="C816" s="90" t="str">
        <f>VLOOKUP(B816,'All Districts'!$A$3:$B$874,2,FALSE)</f>
        <v>Avoca</v>
      </c>
      <c r="D816" s="14">
        <v>629454</v>
      </c>
      <c r="E816">
        <f>VLOOKUP(C816,'All Districts'!$B$3:$C$874,2,FALSE)</f>
        <v>3603630</v>
      </c>
      <c r="F816" s="91">
        <f>COUNTIF($E$2:$E$7106,E816)</f>
        <v>9</v>
      </c>
    </row>
    <row r="817" spans="1:6" x14ac:dyDescent="0.2">
      <c r="A817">
        <v>2016</v>
      </c>
      <c r="B817" s="13">
        <v>5301</v>
      </c>
      <c r="C817" s="90" t="str">
        <f>VLOOKUP(B817,'All Districts'!$A$3:$B$874,2,FALSE)</f>
        <v>Avoca</v>
      </c>
      <c r="D817" s="16">
        <v>480694</v>
      </c>
      <c r="E817">
        <f>VLOOKUP(C817,'All Districts'!$B$3:$C$874,2,FALSE)</f>
        <v>3603630</v>
      </c>
      <c r="F817" s="91">
        <f>COUNTIF($E$2:$E$7106,E817)</f>
        <v>9</v>
      </c>
    </row>
    <row r="818" spans="1:6" x14ac:dyDescent="0.2">
      <c r="A818">
        <v>2017</v>
      </c>
      <c r="B818" s="13">
        <v>5301</v>
      </c>
      <c r="C818" s="90" t="str">
        <f>VLOOKUP(B818,'All Districts'!$A$3:$B$874,2,FALSE)</f>
        <v>Avoca</v>
      </c>
      <c r="D818" s="16">
        <v>434038</v>
      </c>
      <c r="E818">
        <f>VLOOKUP(C818,'All Districts'!$B$3:$C$874,2,FALSE)</f>
        <v>3603630</v>
      </c>
      <c r="F818" s="91">
        <f>COUNTIF($E$2:$E$7106,E818)</f>
        <v>9</v>
      </c>
    </row>
    <row r="819" spans="1:6" x14ac:dyDescent="0.2">
      <c r="A819" s="10">
        <v>2018</v>
      </c>
      <c r="B819" s="13">
        <v>5301</v>
      </c>
      <c r="C819" s="90" t="str">
        <f>VLOOKUP(B819,'All Districts'!$A$3:$B$874,2,FALSE)</f>
        <v>Avoca</v>
      </c>
      <c r="D819" s="15">
        <v>368103</v>
      </c>
      <c r="E819">
        <f>VLOOKUP(C819,'All Districts'!$B$3:$C$874,2,FALSE)</f>
        <v>3603630</v>
      </c>
      <c r="F819" s="91">
        <f>COUNTIF($E$2:$E$7106,E819)</f>
        <v>9</v>
      </c>
    </row>
    <row r="820" spans="1:6" x14ac:dyDescent="0.2">
      <c r="A820">
        <v>2019</v>
      </c>
      <c r="B820" s="36">
        <v>5301</v>
      </c>
      <c r="C820" s="90" t="str">
        <f>VLOOKUP(B820,'All Districts'!$A$3:$B$874,2,FALSE)</f>
        <v>Avoca</v>
      </c>
      <c r="D820" s="40">
        <v>420037</v>
      </c>
      <c r="E820">
        <f>VLOOKUP(C820,'All Districts'!$B$3:$C$874,2,FALSE)</f>
        <v>3603630</v>
      </c>
      <c r="F820" s="91">
        <f>COUNTIF($E$2:$E$7106,E820)</f>
        <v>9</v>
      </c>
    </row>
    <row r="821" spans="1:6" x14ac:dyDescent="0.2">
      <c r="A821">
        <v>2020</v>
      </c>
      <c r="B821" s="36">
        <v>5301</v>
      </c>
      <c r="C821" s="90" t="str">
        <f>VLOOKUP(B821,'All Districts'!$A$3:$B$874,2,FALSE)</f>
        <v>Avoca</v>
      </c>
      <c r="D821" s="40">
        <v>343219</v>
      </c>
      <c r="E821">
        <f>VLOOKUP(C821,'All Districts'!$B$3:$C$874,2,FALSE)</f>
        <v>3603630</v>
      </c>
      <c r="F821" s="91">
        <f>COUNTIF($E$2:$E$7106,E821)</f>
        <v>9</v>
      </c>
    </row>
    <row r="822" spans="1:6" x14ac:dyDescent="0.2">
      <c r="A822" s="10">
        <v>2021</v>
      </c>
      <c r="B822" s="52">
        <v>5301</v>
      </c>
      <c r="C822" s="90" t="str">
        <f>VLOOKUP(B822,'All Districts'!$A$3:$B$874,2,FALSE)</f>
        <v>Avoca</v>
      </c>
      <c r="D822" s="75">
        <v>366740</v>
      </c>
      <c r="E822">
        <f>VLOOKUP(C822,'All Districts'!$B$3:$C$874,2,FALSE)</f>
        <v>3603630</v>
      </c>
      <c r="F822" s="91">
        <f>COUNTIF($E$2:$E$7106,E822)</f>
        <v>9</v>
      </c>
    </row>
    <row r="823" spans="1:6" x14ac:dyDescent="0.2">
      <c r="A823">
        <v>2022</v>
      </c>
      <c r="B823" s="36">
        <v>5301</v>
      </c>
      <c r="C823" s="90" t="str">
        <f>VLOOKUP(B823,'All Districts'!$A$3:$B$874,2,FALSE)</f>
        <v>Avoca</v>
      </c>
      <c r="D823" s="82">
        <v>396444</v>
      </c>
      <c r="E823">
        <f>VLOOKUP(C823,'All Districts'!$B$3:$C$874,2,FALSE)</f>
        <v>3603630</v>
      </c>
      <c r="F823" s="91">
        <f>COUNTIF($E$2:$E$7106,E823)</f>
        <v>9</v>
      </c>
    </row>
    <row r="824" spans="1:6" x14ac:dyDescent="0.2">
      <c r="A824">
        <v>2023</v>
      </c>
      <c r="B824" s="36">
        <v>5301</v>
      </c>
      <c r="C824" s="90" t="str">
        <f>VLOOKUP(B824,'All Districts'!$A$3:$B$874,2,FALSE)</f>
        <v>Avoca</v>
      </c>
      <c r="D824" s="40">
        <v>428968</v>
      </c>
      <c r="E824">
        <f>VLOOKUP(C824,'All Districts'!$B$3:$C$874,2,FALSE)</f>
        <v>3603630</v>
      </c>
      <c r="F824" s="91">
        <f>COUNTIF($E$2:$E$7106,E824)</f>
        <v>9</v>
      </c>
    </row>
    <row r="825" spans="1:6" x14ac:dyDescent="0.2">
      <c r="A825">
        <v>2015</v>
      </c>
      <c r="B825" s="13">
        <v>4151</v>
      </c>
      <c r="C825" s="90" t="str">
        <f>VLOOKUP(B825,'All Districts'!$A$3:$B$874,2,FALSE)</f>
        <v>Avon</v>
      </c>
      <c r="D825" s="14">
        <v>1188781</v>
      </c>
      <c r="E825">
        <f>VLOOKUP(C825,'All Districts'!$B$3:$C$874,2,FALSE)</f>
        <v>3603660</v>
      </c>
      <c r="F825" s="91">
        <f>COUNTIF($E$2:$E$7106,E825)</f>
        <v>9</v>
      </c>
    </row>
    <row r="826" spans="1:6" x14ac:dyDescent="0.2">
      <c r="A826">
        <v>2016</v>
      </c>
      <c r="B826" s="13">
        <v>4151</v>
      </c>
      <c r="C826" s="90" t="str">
        <f>VLOOKUP(B826,'All Districts'!$A$3:$B$874,2,FALSE)</f>
        <v>Avon</v>
      </c>
      <c r="D826" s="16">
        <v>905498</v>
      </c>
      <c r="E826">
        <f>VLOOKUP(C826,'All Districts'!$B$3:$C$874,2,FALSE)</f>
        <v>3603660</v>
      </c>
      <c r="F826" s="91">
        <f>COUNTIF($E$2:$E$7106,E826)</f>
        <v>9</v>
      </c>
    </row>
    <row r="827" spans="1:6" x14ac:dyDescent="0.2">
      <c r="A827">
        <v>2017</v>
      </c>
      <c r="B827" s="13">
        <v>4151</v>
      </c>
      <c r="C827" s="90" t="str">
        <f>VLOOKUP(B827,'All Districts'!$A$3:$B$874,2,FALSE)</f>
        <v>Avon</v>
      </c>
      <c r="D827" s="16">
        <v>817273</v>
      </c>
      <c r="E827">
        <f>VLOOKUP(C827,'All Districts'!$B$3:$C$874,2,FALSE)</f>
        <v>3603660</v>
      </c>
      <c r="F827" s="91">
        <f>COUNTIF($E$2:$E$7106,E827)</f>
        <v>9</v>
      </c>
    </row>
    <row r="828" spans="1:6" x14ac:dyDescent="0.2">
      <c r="A828" s="10">
        <v>2018</v>
      </c>
      <c r="B828" s="13">
        <v>4151</v>
      </c>
      <c r="C828" s="90" t="str">
        <f>VLOOKUP(B828,'All Districts'!$A$3:$B$874,2,FALSE)</f>
        <v>Avon</v>
      </c>
      <c r="D828" s="15">
        <v>679163</v>
      </c>
      <c r="E828">
        <f>VLOOKUP(C828,'All Districts'!$B$3:$C$874,2,FALSE)</f>
        <v>3603660</v>
      </c>
      <c r="F828" s="91">
        <f>COUNTIF($E$2:$E$7106,E828)</f>
        <v>9</v>
      </c>
    </row>
    <row r="829" spans="1:6" x14ac:dyDescent="0.2">
      <c r="A829">
        <v>2019</v>
      </c>
      <c r="B829" s="36">
        <v>4151</v>
      </c>
      <c r="C829" s="90" t="str">
        <f>VLOOKUP(B829,'All Districts'!$A$3:$B$874,2,FALSE)</f>
        <v>Avon</v>
      </c>
      <c r="D829" s="40">
        <v>762645</v>
      </c>
      <c r="E829">
        <f>VLOOKUP(C829,'All Districts'!$B$3:$C$874,2,FALSE)</f>
        <v>3603660</v>
      </c>
      <c r="F829" s="91">
        <f>COUNTIF($E$2:$E$7106,E829)</f>
        <v>9</v>
      </c>
    </row>
    <row r="830" spans="1:6" x14ac:dyDescent="0.2">
      <c r="A830">
        <v>2020</v>
      </c>
      <c r="B830" s="36">
        <v>4151</v>
      </c>
      <c r="C830" s="90" t="str">
        <f>VLOOKUP(B830,'All Districts'!$A$3:$B$874,2,FALSE)</f>
        <v>Avon</v>
      </c>
      <c r="D830" s="40">
        <v>642821</v>
      </c>
      <c r="E830">
        <f>VLOOKUP(C830,'All Districts'!$B$3:$C$874,2,FALSE)</f>
        <v>3603660</v>
      </c>
      <c r="F830" s="91">
        <f>COUNTIF($E$2:$E$7106,E830)</f>
        <v>9</v>
      </c>
    </row>
    <row r="831" spans="1:6" x14ac:dyDescent="0.2">
      <c r="A831" s="10">
        <v>2021</v>
      </c>
      <c r="B831" s="52">
        <v>4151</v>
      </c>
      <c r="C831" s="90" t="str">
        <f>VLOOKUP(B831,'All Districts'!$A$3:$B$874,2,FALSE)</f>
        <v>Avon</v>
      </c>
      <c r="D831" s="75">
        <v>717616</v>
      </c>
      <c r="E831">
        <f>VLOOKUP(C831,'All Districts'!$B$3:$C$874,2,FALSE)</f>
        <v>3603660</v>
      </c>
      <c r="F831" s="91">
        <f>COUNTIF($E$2:$E$7106,E831)</f>
        <v>9</v>
      </c>
    </row>
    <row r="832" spans="1:6" x14ac:dyDescent="0.2">
      <c r="A832">
        <v>2022</v>
      </c>
      <c r="B832" s="36">
        <v>4151</v>
      </c>
      <c r="C832" s="90" t="str">
        <f>VLOOKUP(B832,'All Districts'!$A$3:$B$874,2,FALSE)</f>
        <v>Avon</v>
      </c>
      <c r="D832" s="82">
        <v>747322</v>
      </c>
      <c r="E832">
        <f>VLOOKUP(C832,'All Districts'!$B$3:$C$874,2,FALSE)</f>
        <v>3603660</v>
      </c>
      <c r="F832" s="91">
        <f>COUNTIF($E$2:$E$7106,E832)</f>
        <v>9</v>
      </c>
    </row>
    <row r="833" spans="1:6" x14ac:dyDescent="0.2">
      <c r="A833">
        <v>2023</v>
      </c>
      <c r="B833" s="36">
        <v>4151</v>
      </c>
      <c r="C833" s="90" t="str">
        <f>VLOOKUP(B833,'All Districts'!$A$3:$B$874,2,FALSE)</f>
        <v>Avon</v>
      </c>
      <c r="D833" s="40">
        <v>812097</v>
      </c>
      <c r="E833">
        <f>VLOOKUP(C833,'All Districts'!$B$3:$C$874,2,FALSE)</f>
        <v>3603660</v>
      </c>
      <c r="F833" s="91">
        <f>COUNTIF($E$2:$E$7106,E833)</f>
        <v>9</v>
      </c>
    </row>
    <row r="834" spans="1:6" x14ac:dyDescent="0.2">
      <c r="A834">
        <v>2015</v>
      </c>
      <c r="B834" s="13">
        <v>2018</v>
      </c>
      <c r="C834" s="90" t="str">
        <f>VLOOKUP(B834,'All Districts'!$A$3:$B$874,2,FALSE)</f>
        <v>Babylon</v>
      </c>
      <c r="D834" s="14">
        <v>3251472</v>
      </c>
      <c r="E834">
        <f>VLOOKUP(C834,'All Districts'!$B$3:$C$874,2,FALSE)</f>
        <v>3603720</v>
      </c>
      <c r="F834" s="91">
        <f>COUNTIF($E$2:$E$7106,E834)</f>
        <v>9</v>
      </c>
    </row>
    <row r="835" spans="1:6" x14ac:dyDescent="0.2">
      <c r="A835">
        <v>2016</v>
      </c>
      <c r="B835" s="13">
        <v>2018</v>
      </c>
      <c r="C835" s="90" t="str">
        <f>VLOOKUP(B835,'All Districts'!$A$3:$B$874,2,FALSE)</f>
        <v>Babylon</v>
      </c>
      <c r="D835" s="16">
        <v>2591482</v>
      </c>
      <c r="E835">
        <f>VLOOKUP(C835,'All Districts'!$B$3:$C$874,2,FALSE)</f>
        <v>3603720</v>
      </c>
      <c r="F835" s="91">
        <f>COUNTIF($E$2:$E$7106,E835)</f>
        <v>9</v>
      </c>
    </row>
    <row r="836" spans="1:6" x14ac:dyDescent="0.2">
      <c r="A836">
        <v>2017</v>
      </c>
      <c r="B836" s="13">
        <v>2018</v>
      </c>
      <c r="C836" s="90" t="str">
        <f>VLOOKUP(B836,'All Districts'!$A$3:$B$874,2,FALSE)</f>
        <v>Babylon</v>
      </c>
      <c r="D836" s="16">
        <v>2367521</v>
      </c>
      <c r="E836">
        <f>VLOOKUP(C836,'All Districts'!$B$3:$C$874,2,FALSE)</f>
        <v>3603720</v>
      </c>
      <c r="F836" s="91">
        <f>COUNTIF($E$2:$E$7106,E836)</f>
        <v>9</v>
      </c>
    </row>
    <row r="837" spans="1:6" x14ac:dyDescent="0.2">
      <c r="A837" s="10">
        <v>2018</v>
      </c>
      <c r="B837" s="13">
        <v>2018</v>
      </c>
      <c r="C837" s="90" t="str">
        <f>VLOOKUP(B837,'All Districts'!$A$3:$B$874,2,FALSE)</f>
        <v>Babylon</v>
      </c>
      <c r="D837" s="15">
        <v>1988634</v>
      </c>
      <c r="E837">
        <f>VLOOKUP(C837,'All Districts'!$B$3:$C$874,2,FALSE)</f>
        <v>3603720</v>
      </c>
      <c r="F837" s="91">
        <f>COUNTIF($E$2:$E$7106,E837)</f>
        <v>9</v>
      </c>
    </row>
    <row r="838" spans="1:6" x14ac:dyDescent="0.2">
      <c r="A838">
        <v>2019</v>
      </c>
      <c r="B838" s="36">
        <v>2018</v>
      </c>
      <c r="C838" s="90" t="str">
        <f>VLOOKUP(B838,'All Districts'!$A$3:$B$874,2,FALSE)</f>
        <v>Babylon</v>
      </c>
      <c r="D838" s="40">
        <v>2220078</v>
      </c>
      <c r="E838">
        <f>VLOOKUP(C838,'All Districts'!$B$3:$C$874,2,FALSE)</f>
        <v>3603720</v>
      </c>
      <c r="F838" s="91">
        <f>COUNTIF($E$2:$E$7106,E838)</f>
        <v>9</v>
      </c>
    </row>
    <row r="839" spans="1:6" x14ac:dyDescent="0.2">
      <c r="A839">
        <v>2020</v>
      </c>
      <c r="B839" s="36">
        <v>2018</v>
      </c>
      <c r="C839" s="90" t="str">
        <f>VLOOKUP(B839,'All Districts'!$A$3:$B$874,2,FALSE)</f>
        <v>Babylon</v>
      </c>
      <c r="D839" s="40">
        <v>1897377</v>
      </c>
      <c r="E839">
        <f>VLOOKUP(C839,'All Districts'!$B$3:$C$874,2,FALSE)</f>
        <v>3603720</v>
      </c>
      <c r="F839" s="91">
        <f>COUNTIF($E$2:$E$7106,E839)</f>
        <v>9</v>
      </c>
    </row>
    <row r="840" spans="1:6" x14ac:dyDescent="0.2">
      <c r="A840" s="10">
        <v>2021</v>
      </c>
      <c r="B840" s="52">
        <v>2018</v>
      </c>
      <c r="C840" s="90" t="str">
        <f>VLOOKUP(B840,'All Districts'!$A$3:$B$874,2,FALSE)</f>
        <v>Babylon</v>
      </c>
      <c r="D840" s="76">
        <v>2091455</v>
      </c>
      <c r="E840">
        <f>VLOOKUP(C840,'All Districts'!$B$3:$C$874,2,FALSE)</f>
        <v>3603720</v>
      </c>
      <c r="F840" s="91">
        <f>COUNTIF($E$2:$E$7106,E840)</f>
        <v>9</v>
      </c>
    </row>
    <row r="841" spans="1:6" x14ac:dyDescent="0.2">
      <c r="A841">
        <v>2022</v>
      </c>
      <c r="B841" s="36">
        <v>2018</v>
      </c>
      <c r="C841" s="90" t="str">
        <f>VLOOKUP(B841,'All Districts'!$A$3:$B$874,2,FALSE)</f>
        <v>Babylon</v>
      </c>
      <c r="D841" s="82">
        <v>2226998</v>
      </c>
      <c r="E841">
        <f>VLOOKUP(C841,'All Districts'!$B$3:$C$874,2,FALSE)</f>
        <v>3603720</v>
      </c>
      <c r="F841" s="91">
        <f>COUNTIF($E$2:$E$7106,E841)</f>
        <v>9</v>
      </c>
    </row>
    <row r="842" spans="1:6" x14ac:dyDescent="0.2">
      <c r="A842">
        <v>2023</v>
      </c>
      <c r="B842" s="36">
        <v>2018</v>
      </c>
      <c r="C842" s="90" t="str">
        <f>VLOOKUP(B842,'All Districts'!$A$3:$B$874,2,FALSE)</f>
        <v>Babylon</v>
      </c>
      <c r="D842" s="40">
        <v>2400269</v>
      </c>
      <c r="E842">
        <f>VLOOKUP(C842,'All Districts'!$B$3:$C$874,2,FALSE)</f>
        <v>3603720</v>
      </c>
      <c r="F842" s="91">
        <f>COUNTIF($E$2:$E$7106,E842)</f>
        <v>9</v>
      </c>
    </row>
    <row r="843" spans="1:6" x14ac:dyDescent="0.2">
      <c r="A843">
        <v>2015</v>
      </c>
      <c r="B843" s="13">
        <v>3560</v>
      </c>
      <c r="C843" s="90" t="str">
        <f>VLOOKUP(B843,'All Districts'!$A$3:$B$874,2,FALSE)</f>
        <v>Bainbridge-Guilford</v>
      </c>
      <c r="D843" s="14">
        <v>942841</v>
      </c>
      <c r="E843">
        <f>VLOOKUP(C843,'All Districts'!$B$3:$C$874,2,FALSE)</f>
        <v>3603810</v>
      </c>
      <c r="F843" s="91">
        <f>COUNTIF($E$2:$E$7106,E843)</f>
        <v>9</v>
      </c>
    </row>
    <row r="844" spans="1:6" x14ac:dyDescent="0.2">
      <c r="A844">
        <v>2016</v>
      </c>
      <c r="B844" s="13">
        <v>3560</v>
      </c>
      <c r="C844" s="90" t="str">
        <f>VLOOKUP(B844,'All Districts'!$A$3:$B$874,2,FALSE)</f>
        <v>Bainbridge-Guilford</v>
      </c>
      <c r="D844" s="16">
        <v>739790</v>
      </c>
      <c r="E844">
        <f>VLOOKUP(C844,'All Districts'!$B$3:$C$874,2,FALSE)</f>
        <v>3603810</v>
      </c>
      <c r="F844" s="91">
        <f>COUNTIF($E$2:$E$7106,E844)</f>
        <v>9</v>
      </c>
    </row>
    <row r="845" spans="1:6" x14ac:dyDescent="0.2">
      <c r="A845">
        <v>2017</v>
      </c>
      <c r="B845" s="13">
        <v>3560</v>
      </c>
      <c r="C845" s="90" t="str">
        <f>VLOOKUP(B845,'All Districts'!$A$3:$B$874,2,FALSE)</f>
        <v>Bainbridge-Guilford</v>
      </c>
      <c r="D845" s="16">
        <v>663165</v>
      </c>
      <c r="E845">
        <f>VLOOKUP(C845,'All Districts'!$B$3:$C$874,2,FALSE)</f>
        <v>3603810</v>
      </c>
      <c r="F845" s="91">
        <f>COUNTIF($E$2:$E$7106,E845)</f>
        <v>9</v>
      </c>
    </row>
    <row r="846" spans="1:6" x14ac:dyDescent="0.2">
      <c r="A846" s="10">
        <v>2018</v>
      </c>
      <c r="B846" s="13">
        <v>3560</v>
      </c>
      <c r="C846" s="90" t="str">
        <f>VLOOKUP(B846,'All Districts'!$A$3:$B$874,2,FALSE)</f>
        <v>Bainbridge-Guilford</v>
      </c>
      <c r="D846" s="15">
        <v>563181</v>
      </c>
      <c r="E846">
        <f>VLOOKUP(C846,'All Districts'!$B$3:$C$874,2,FALSE)</f>
        <v>3603810</v>
      </c>
      <c r="F846" s="91">
        <f>COUNTIF($E$2:$E$7106,E846)</f>
        <v>9</v>
      </c>
    </row>
    <row r="847" spans="1:6" x14ac:dyDescent="0.2">
      <c r="A847">
        <v>2019</v>
      </c>
      <c r="B847" s="36">
        <v>3560</v>
      </c>
      <c r="C847" s="90" t="str">
        <f>VLOOKUP(B847,'All Districts'!$A$3:$B$874,2,FALSE)</f>
        <v>Bainbridge-Guilford</v>
      </c>
      <c r="D847" s="40">
        <v>616922</v>
      </c>
      <c r="E847">
        <f>VLOOKUP(C847,'All Districts'!$B$3:$C$874,2,FALSE)</f>
        <v>3603810</v>
      </c>
      <c r="F847" s="91">
        <f>COUNTIF($E$2:$E$7106,E847)</f>
        <v>9</v>
      </c>
    </row>
    <row r="848" spans="1:6" x14ac:dyDescent="0.2">
      <c r="A848">
        <v>2020</v>
      </c>
      <c r="B848" s="36">
        <v>3560</v>
      </c>
      <c r="C848" s="90" t="str">
        <f>VLOOKUP(B848,'All Districts'!$A$3:$B$874,2,FALSE)</f>
        <v>Bainbridge-Guilford</v>
      </c>
      <c r="D848" s="40">
        <v>508526</v>
      </c>
      <c r="E848">
        <f>VLOOKUP(C848,'All Districts'!$B$3:$C$874,2,FALSE)</f>
        <v>3603810</v>
      </c>
      <c r="F848" s="91">
        <f>COUNTIF($E$2:$E$7106,E848)</f>
        <v>9</v>
      </c>
    </row>
    <row r="849" spans="1:6" x14ac:dyDescent="0.2">
      <c r="A849" s="10">
        <v>2021</v>
      </c>
      <c r="B849" s="52">
        <v>3560</v>
      </c>
      <c r="C849" s="90" t="str">
        <f>VLOOKUP(B849,'All Districts'!$A$3:$B$874,2,FALSE)</f>
        <v>Bainbridge-Guilford</v>
      </c>
      <c r="D849" s="76">
        <v>537148</v>
      </c>
      <c r="E849">
        <f>VLOOKUP(C849,'All Districts'!$B$3:$C$874,2,FALSE)</f>
        <v>3603810</v>
      </c>
      <c r="F849" s="91">
        <f>COUNTIF($E$2:$E$7106,E849)</f>
        <v>9</v>
      </c>
    </row>
    <row r="850" spans="1:6" x14ac:dyDescent="0.2">
      <c r="A850">
        <v>2022</v>
      </c>
      <c r="B850" s="36">
        <v>3560</v>
      </c>
      <c r="C850" s="90" t="str">
        <f>VLOOKUP(B850,'All Districts'!$A$3:$B$874,2,FALSE)</f>
        <v>Bainbridge-Guilford</v>
      </c>
      <c r="D850" s="82">
        <v>594542</v>
      </c>
      <c r="E850">
        <f>VLOOKUP(C850,'All Districts'!$B$3:$C$874,2,FALSE)</f>
        <v>3603810</v>
      </c>
      <c r="F850" s="91">
        <f>COUNTIF($E$2:$E$7106,E850)</f>
        <v>9</v>
      </c>
    </row>
    <row r="851" spans="1:6" x14ac:dyDescent="0.2">
      <c r="A851">
        <v>2023</v>
      </c>
      <c r="B851" s="36">
        <v>3560</v>
      </c>
      <c r="C851" s="90" t="str">
        <f>VLOOKUP(B851,'All Districts'!$A$3:$B$874,2,FALSE)</f>
        <v>Bainbridge-Guilford</v>
      </c>
      <c r="D851" s="40">
        <v>639726</v>
      </c>
      <c r="E851">
        <f>VLOOKUP(C851,'All Districts'!$B$3:$C$874,2,FALSE)</f>
        <v>3603810</v>
      </c>
      <c r="F851" s="91">
        <f>COUNTIF($E$2:$E$7106,E851)</f>
        <v>9</v>
      </c>
    </row>
    <row r="852" spans="1:6" x14ac:dyDescent="0.2">
      <c r="A852">
        <v>2015</v>
      </c>
      <c r="B852" s="13">
        <v>2020</v>
      </c>
      <c r="C852" s="90" t="str">
        <f>VLOOKUP(B852,'All Districts'!$A$3:$B$874,2,FALSE)</f>
        <v>Baldwin</v>
      </c>
      <c r="D852" s="14">
        <v>8877248</v>
      </c>
      <c r="E852">
        <f>VLOOKUP(C852,'All Districts'!$B$3:$C$874,2,FALSE)</f>
        <v>3603840</v>
      </c>
      <c r="F852" s="91">
        <f>COUNTIF($E$2:$E$7106,E852)</f>
        <v>9</v>
      </c>
    </row>
    <row r="853" spans="1:6" x14ac:dyDescent="0.2">
      <c r="A853">
        <v>2016</v>
      </c>
      <c r="B853" s="13">
        <v>2020</v>
      </c>
      <c r="C853" s="90" t="str">
        <f>VLOOKUP(B853,'All Districts'!$A$3:$B$874,2,FALSE)</f>
        <v>Baldwin</v>
      </c>
      <c r="D853" s="16">
        <v>6885585</v>
      </c>
      <c r="E853">
        <f>VLOOKUP(C853,'All Districts'!$B$3:$C$874,2,FALSE)</f>
        <v>3603840</v>
      </c>
      <c r="F853" s="91">
        <f>COUNTIF($E$2:$E$7106,E853)</f>
        <v>9</v>
      </c>
    </row>
    <row r="854" spans="1:6" x14ac:dyDescent="0.2">
      <c r="A854">
        <v>2017</v>
      </c>
      <c r="B854" s="13">
        <v>2020</v>
      </c>
      <c r="C854" s="90" t="str">
        <f>VLOOKUP(B854,'All Districts'!$A$3:$B$874,2,FALSE)</f>
        <v>Baldwin</v>
      </c>
      <c r="D854" s="16">
        <v>6153696</v>
      </c>
      <c r="E854">
        <f>VLOOKUP(C854,'All Districts'!$B$3:$C$874,2,FALSE)</f>
        <v>3603840</v>
      </c>
      <c r="F854" s="91">
        <f>COUNTIF($E$2:$E$7106,E854)</f>
        <v>9</v>
      </c>
    </row>
    <row r="855" spans="1:6" x14ac:dyDescent="0.2">
      <c r="A855" s="10">
        <v>2018</v>
      </c>
      <c r="B855" s="13">
        <v>2020</v>
      </c>
      <c r="C855" s="90" t="str">
        <f>VLOOKUP(B855,'All Districts'!$A$3:$B$874,2,FALSE)</f>
        <v>Baldwin</v>
      </c>
      <c r="D855" s="15">
        <v>5312694</v>
      </c>
      <c r="E855">
        <f>VLOOKUP(C855,'All Districts'!$B$3:$C$874,2,FALSE)</f>
        <v>3603840</v>
      </c>
      <c r="F855" s="91">
        <f>COUNTIF($E$2:$E$7106,E855)</f>
        <v>9</v>
      </c>
    </row>
    <row r="856" spans="1:6" x14ac:dyDescent="0.2">
      <c r="A856">
        <v>2019</v>
      </c>
      <c r="B856" s="36">
        <v>2020</v>
      </c>
      <c r="C856" s="90" t="str">
        <f>VLOOKUP(B856,'All Districts'!$A$3:$B$874,2,FALSE)</f>
        <v>Baldwin</v>
      </c>
      <c r="D856" s="40">
        <v>5825452</v>
      </c>
      <c r="E856">
        <f>VLOOKUP(C856,'All Districts'!$B$3:$C$874,2,FALSE)</f>
        <v>3603840</v>
      </c>
      <c r="F856" s="91">
        <f>COUNTIF($E$2:$E$7106,E856)</f>
        <v>9</v>
      </c>
    </row>
    <row r="857" spans="1:6" x14ac:dyDescent="0.2">
      <c r="A857">
        <v>2020</v>
      </c>
      <c r="B857" s="36">
        <v>2020</v>
      </c>
      <c r="C857" s="90" t="str">
        <f>VLOOKUP(B857,'All Districts'!$A$3:$B$874,2,FALSE)</f>
        <v>Baldwin</v>
      </c>
      <c r="D857" s="40">
        <v>4935930</v>
      </c>
      <c r="E857">
        <f>VLOOKUP(C857,'All Districts'!$B$3:$C$874,2,FALSE)</f>
        <v>3603840</v>
      </c>
      <c r="F857" s="91">
        <f>COUNTIF($E$2:$E$7106,E857)</f>
        <v>9</v>
      </c>
    </row>
    <row r="858" spans="1:6" x14ac:dyDescent="0.2">
      <c r="A858" s="10">
        <v>2021</v>
      </c>
      <c r="B858" s="55">
        <v>2020</v>
      </c>
      <c r="C858" s="90" t="str">
        <f>VLOOKUP(B858,'All Districts'!$A$3:$B$874,2,FALSE)</f>
        <v>Baldwin</v>
      </c>
      <c r="D858" s="76">
        <v>5295779</v>
      </c>
      <c r="E858">
        <f>VLOOKUP(C858,'All Districts'!$B$3:$C$874,2,FALSE)</f>
        <v>3603840</v>
      </c>
      <c r="F858" s="91">
        <f>COUNTIF($E$2:$E$7106,E858)</f>
        <v>9</v>
      </c>
    </row>
    <row r="859" spans="1:6" x14ac:dyDescent="0.2">
      <c r="A859">
        <v>2022</v>
      </c>
      <c r="B859" s="36">
        <v>2020</v>
      </c>
      <c r="C859" s="90" t="str">
        <f>VLOOKUP(B859,'All Districts'!$A$3:$B$874,2,FALSE)</f>
        <v>Baldwin</v>
      </c>
      <c r="D859" s="82">
        <v>5567531</v>
      </c>
      <c r="E859">
        <f>VLOOKUP(C859,'All Districts'!$B$3:$C$874,2,FALSE)</f>
        <v>3603840</v>
      </c>
      <c r="F859" s="91">
        <f>COUNTIF($E$2:$E$7106,E859)</f>
        <v>9</v>
      </c>
    </row>
    <row r="860" spans="1:6" x14ac:dyDescent="0.2">
      <c r="A860">
        <v>2023</v>
      </c>
      <c r="B860" s="36">
        <v>2020</v>
      </c>
      <c r="C860" s="90" t="str">
        <f>VLOOKUP(B860,'All Districts'!$A$3:$B$874,2,FALSE)</f>
        <v>Baldwin</v>
      </c>
      <c r="D860" s="40">
        <v>6130721</v>
      </c>
      <c r="E860">
        <f>VLOOKUP(C860,'All Districts'!$B$3:$C$874,2,FALSE)</f>
        <v>3603840</v>
      </c>
      <c r="F860" s="91">
        <f>COUNTIF($E$2:$E$7106,E860)</f>
        <v>9</v>
      </c>
    </row>
    <row r="861" spans="1:6" x14ac:dyDescent="0.2">
      <c r="A861">
        <v>2015</v>
      </c>
      <c r="B861" s="13">
        <v>2025</v>
      </c>
      <c r="C861" s="90" t="str">
        <f>VLOOKUP(B861,'All Districts'!$A$3:$B$874,2,FALSE)</f>
        <v>Baldwinsville</v>
      </c>
      <c r="D861" s="14">
        <v>6473060</v>
      </c>
      <c r="E861">
        <f>VLOOKUP(C861,'All Districts'!$B$3:$C$874,2,FALSE)</f>
        <v>3603870</v>
      </c>
      <c r="F861" s="91">
        <f>COUNTIF($E$2:$E$7106,E861)</f>
        <v>9</v>
      </c>
    </row>
    <row r="862" spans="1:6" x14ac:dyDescent="0.2">
      <c r="A862">
        <v>2016</v>
      </c>
      <c r="B862" s="13">
        <v>2025</v>
      </c>
      <c r="C862" s="90" t="str">
        <f>VLOOKUP(B862,'All Districts'!$A$3:$B$874,2,FALSE)</f>
        <v>Baldwinsville</v>
      </c>
      <c r="D862" s="16">
        <v>5070238</v>
      </c>
      <c r="E862">
        <f>VLOOKUP(C862,'All Districts'!$B$3:$C$874,2,FALSE)</f>
        <v>3603870</v>
      </c>
      <c r="F862" s="91">
        <f>COUNTIF($E$2:$E$7106,E862)</f>
        <v>9</v>
      </c>
    </row>
    <row r="863" spans="1:6" x14ac:dyDescent="0.2">
      <c r="A863">
        <v>2017</v>
      </c>
      <c r="B863" s="13">
        <v>2025</v>
      </c>
      <c r="C863" s="90" t="str">
        <f>VLOOKUP(B863,'All Districts'!$A$3:$B$874,2,FALSE)</f>
        <v>Baldwinsville</v>
      </c>
      <c r="D863" s="16">
        <v>4691493</v>
      </c>
      <c r="E863">
        <f>VLOOKUP(C863,'All Districts'!$B$3:$C$874,2,FALSE)</f>
        <v>3603870</v>
      </c>
      <c r="F863" s="91">
        <f>COUNTIF($E$2:$E$7106,E863)</f>
        <v>9</v>
      </c>
    </row>
    <row r="864" spans="1:6" x14ac:dyDescent="0.2">
      <c r="A864" s="10">
        <v>2018</v>
      </c>
      <c r="B864" s="13">
        <v>2025</v>
      </c>
      <c r="C864" s="90" t="str">
        <f>VLOOKUP(B864,'All Districts'!$A$3:$B$874,2,FALSE)</f>
        <v>Baldwinsville</v>
      </c>
      <c r="D864" s="15">
        <v>4037909</v>
      </c>
      <c r="E864">
        <f>VLOOKUP(C864,'All Districts'!$B$3:$C$874,2,FALSE)</f>
        <v>3603870</v>
      </c>
      <c r="F864" s="91">
        <f>COUNTIF($E$2:$E$7106,E864)</f>
        <v>9</v>
      </c>
    </row>
    <row r="865" spans="1:6" x14ac:dyDescent="0.2">
      <c r="A865">
        <v>2019</v>
      </c>
      <c r="B865" s="36">
        <v>2025</v>
      </c>
      <c r="C865" s="90" t="str">
        <f>VLOOKUP(B865,'All Districts'!$A$3:$B$874,2,FALSE)</f>
        <v>Baldwinsville</v>
      </c>
      <c r="D865" s="40">
        <v>4487642</v>
      </c>
      <c r="E865">
        <f>VLOOKUP(C865,'All Districts'!$B$3:$C$874,2,FALSE)</f>
        <v>3603870</v>
      </c>
      <c r="F865" s="91">
        <f>COUNTIF($E$2:$E$7106,E865)</f>
        <v>9</v>
      </c>
    </row>
    <row r="866" spans="1:6" x14ac:dyDescent="0.2">
      <c r="A866">
        <v>2020</v>
      </c>
      <c r="B866" s="36">
        <v>2025</v>
      </c>
      <c r="C866" s="90" t="str">
        <f>VLOOKUP(B866,'All Districts'!$A$3:$B$874,2,FALSE)</f>
        <v>Baldwinsville</v>
      </c>
      <c r="D866" s="40">
        <v>3828940</v>
      </c>
      <c r="E866">
        <f>VLOOKUP(C866,'All Districts'!$B$3:$C$874,2,FALSE)</f>
        <v>3603870</v>
      </c>
      <c r="F866" s="91">
        <f>COUNTIF($E$2:$E$7106,E866)</f>
        <v>9</v>
      </c>
    </row>
    <row r="867" spans="1:6" x14ac:dyDescent="0.2">
      <c r="A867" s="10">
        <v>2021</v>
      </c>
      <c r="B867" s="52">
        <v>2025</v>
      </c>
      <c r="C867" s="90" t="str">
        <f>VLOOKUP(B867,'All Districts'!$A$3:$B$874,2,FALSE)</f>
        <v>Baldwinsville</v>
      </c>
      <c r="D867" s="75">
        <v>4159379</v>
      </c>
      <c r="E867">
        <f>VLOOKUP(C867,'All Districts'!$B$3:$C$874,2,FALSE)</f>
        <v>3603870</v>
      </c>
      <c r="F867" s="91">
        <f>COUNTIF($E$2:$E$7106,E867)</f>
        <v>9</v>
      </c>
    </row>
    <row r="868" spans="1:6" x14ac:dyDescent="0.2">
      <c r="A868">
        <v>2022</v>
      </c>
      <c r="B868" s="36">
        <v>2025</v>
      </c>
      <c r="C868" s="90" t="str">
        <f>VLOOKUP(B868,'All Districts'!$A$3:$B$874,2,FALSE)</f>
        <v>Baldwinsville</v>
      </c>
      <c r="D868" s="82">
        <v>4493761</v>
      </c>
      <c r="E868">
        <f>VLOOKUP(C868,'All Districts'!$B$3:$C$874,2,FALSE)</f>
        <v>3603870</v>
      </c>
      <c r="F868" s="91">
        <f>COUNTIF($E$2:$E$7106,E868)</f>
        <v>9</v>
      </c>
    </row>
    <row r="869" spans="1:6" x14ac:dyDescent="0.2">
      <c r="A869">
        <v>2023</v>
      </c>
      <c r="B869" s="36">
        <v>2025</v>
      </c>
      <c r="C869" s="90" t="str">
        <f>VLOOKUP(B869,'All Districts'!$A$3:$B$874,2,FALSE)</f>
        <v>Baldwinsville</v>
      </c>
      <c r="D869" s="40">
        <v>4941812</v>
      </c>
      <c r="E869">
        <f>VLOOKUP(C869,'All Districts'!$B$3:$C$874,2,FALSE)</f>
        <v>3603870</v>
      </c>
      <c r="F869" s="91">
        <f>COUNTIF($E$2:$E$7106,E869)</f>
        <v>9</v>
      </c>
    </row>
    <row r="870" spans="1:6" x14ac:dyDescent="0.2">
      <c r="A870">
        <v>2015</v>
      </c>
      <c r="B870" s="13">
        <v>2030</v>
      </c>
      <c r="C870" s="90" t="str">
        <f>VLOOKUP(B870,'All Districts'!$A$3:$B$874,2,FALSE)</f>
        <v>Ballston Spa</v>
      </c>
      <c r="D870" s="14">
        <v>5848700</v>
      </c>
      <c r="E870">
        <f>VLOOKUP(C870,'All Districts'!$B$3:$C$874,2,FALSE)</f>
        <v>3603930</v>
      </c>
      <c r="F870" s="91">
        <f>COUNTIF($E$2:$E$7106,E870)</f>
        <v>9</v>
      </c>
    </row>
    <row r="871" spans="1:6" x14ac:dyDescent="0.2">
      <c r="A871">
        <v>2016</v>
      </c>
      <c r="B871" s="13">
        <v>2030</v>
      </c>
      <c r="C871" s="90" t="str">
        <f>VLOOKUP(B871,'All Districts'!$A$3:$B$874,2,FALSE)</f>
        <v>Ballston Spa</v>
      </c>
      <c r="D871" s="16">
        <v>4409020</v>
      </c>
      <c r="E871">
        <f>VLOOKUP(C871,'All Districts'!$B$3:$C$874,2,FALSE)</f>
        <v>3603930</v>
      </c>
      <c r="F871" s="91">
        <f>COUNTIF($E$2:$E$7106,E871)</f>
        <v>9</v>
      </c>
    </row>
    <row r="872" spans="1:6" x14ac:dyDescent="0.2">
      <c r="A872">
        <v>2017</v>
      </c>
      <c r="B872" s="13">
        <v>2030</v>
      </c>
      <c r="C872" s="90" t="str">
        <f>VLOOKUP(B872,'All Districts'!$A$3:$B$874,2,FALSE)</f>
        <v>Ballston Spa</v>
      </c>
      <c r="D872" s="16">
        <v>3996607</v>
      </c>
      <c r="E872">
        <f>VLOOKUP(C872,'All Districts'!$B$3:$C$874,2,FALSE)</f>
        <v>3603930</v>
      </c>
      <c r="F872" s="91">
        <f>COUNTIF($E$2:$E$7106,E872)</f>
        <v>9</v>
      </c>
    </row>
    <row r="873" spans="1:6" x14ac:dyDescent="0.2">
      <c r="A873" s="10">
        <v>2018</v>
      </c>
      <c r="B873" s="13">
        <v>2030</v>
      </c>
      <c r="C873" s="90" t="str">
        <f>VLOOKUP(B873,'All Districts'!$A$3:$B$874,2,FALSE)</f>
        <v>Ballston Spa</v>
      </c>
      <c r="D873" s="15">
        <v>3444348</v>
      </c>
      <c r="E873">
        <f>VLOOKUP(C873,'All Districts'!$B$3:$C$874,2,FALSE)</f>
        <v>3603930</v>
      </c>
      <c r="F873" s="91">
        <f>COUNTIF($E$2:$E$7106,E873)</f>
        <v>9</v>
      </c>
    </row>
    <row r="874" spans="1:6" x14ac:dyDescent="0.2">
      <c r="A874">
        <v>2019</v>
      </c>
      <c r="B874" s="36">
        <v>2030</v>
      </c>
      <c r="C874" s="90" t="str">
        <f>VLOOKUP(B874,'All Districts'!$A$3:$B$874,2,FALSE)</f>
        <v>Ballston Spa</v>
      </c>
      <c r="D874" s="40">
        <v>3829094</v>
      </c>
      <c r="E874">
        <f>VLOOKUP(C874,'All Districts'!$B$3:$C$874,2,FALSE)</f>
        <v>3603930</v>
      </c>
      <c r="F874" s="91">
        <f>COUNTIF($E$2:$E$7106,E874)</f>
        <v>9</v>
      </c>
    </row>
    <row r="875" spans="1:6" x14ac:dyDescent="0.2">
      <c r="A875">
        <v>2020</v>
      </c>
      <c r="B875" s="36">
        <v>2030</v>
      </c>
      <c r="C875" s="90" t="str">
        <f>VLOOKUP(B875,'All Districts'!$A$3:$B$874,2,FALSE)</f>
        <v>Ballston Spa</v>
      </c>
      <c r="D875" s="40">
        <v>3265962</v>
      </c>
      <c r="E875">
        <f>VLOOKUP(C875,'All Districts'!$B$3:$C$874,2,FALSE)</f>
        <v>3603930</v>
      </c>
      <c r="F875" s="91">
        <f>COUNTIF($E$2:$E$7106,E875)</f>
        <v>9</v>
      </c>
    </row>
    <row r="876" spans="1:6" x14ac:dyDescent="0.2">
      <c r="A876" s="10">
        <v>2021</v>
      </c>
      <c r="B876" s="55">
        <v>2030</v>
      </c>
      <c r="C876" s="90" t="str">
        <f>VLOOKUP(B876,'All Districts'!$A$3:$B$874,2,FALSE)</f>
        <v>Ballston Spa</v>
      </c>
      <c r="D876" s="76">
        <v>3470926</v>
      </c>
      <c r="E876">
        <f>VLOOKUP(C876,'All Districts'!$B$3:$C$874,2,FALSE)</f>
        <v>3603930</v>
      </c>
      <c r="F876" s="91">
        <f>COUNTIF($E$2:$E$7106,E876)</f>
        <v>9</v>
      </c>
    </row>
    <row r="877" spans="1:6" x14ac:dyDescent="0.2">
      <c r="A877">
        <v>2022</v>
      </c>
      <c r="B877" s="36">
        <v>2030</v>
      </c>
      <c r="C877" s="90" t="str">
        <f>VLOOKUP(B877,'All Districts'!$A$3:$B$874,2,FALSE)</f>
        <v>Ballston Spa</v>
      </c>
      <c r="D877" s="82">
        <v>3882802</v>
      </c>
      <c r="E877">
        <f>VLOOKUP(C877,'All Districts'!$B$3:$C$874,2,FALSE)</f>
        <v>3603930</v>
      </c>
      <c r="F877" s="91">
        <f>COUNTIF($E$2:$E$7106,E877)</f>
        <v>9</v>
      </c>
    </row>
    <row r="878" spans="1:6" x14ac:dyDescent="0.2">
      <c r="A878">
        <v>2023</v>
      </c>
      <c r="B878" s="36">
        <v>2030</v>
      </c>
      <c r="C878" s="90" t="str">
        <f>VLOOKUP(B878,'All Districts'!$A$3:$B$874,2,FALSE)</f>
        <v>Ballston Spa</v>
      </c>
      <c r="D878" s="40">
        <v>4210135</v>
      </c>
      <c r="E878">
        <f>VLOOKUP(C878,'All Districts'!$B$3:$C$874,2,FALSE)</f>
        <v>3603930</v>
      </c>
      <c r="F878" s="91">
        <f>COUNTIF($E$2:$E$7106,E878)</f>
        <v>9</v>
      </c>
    </row>
    <row r="879" spans="1:6" x14ac:dyDescent="0.2">
      <c r="A879">
        <v>2015</v>
      </c>
      <c r="B879" s="13">
        <v>4679</v>
      </c>
      <c r="C879" s="90" t="str">
        <f>VLOOKUP(B879,'All Districts'!$A$3:$B$874,2,FALSE)</f>
        <v>Barker</v>
      </c>
      <c r="D879" s="14">
        <v>1200108</v>
      </c>
      <c r="E879">
        <f>VLOOKUP(C879,'All Districts'!$B$3:$C$874,2,FALSE)</f>
        <v>3603960</v>
      </c>
      <c r="F879" s="91">
        <f>COUNTIF($E$2:$E$7106,E879)</f>
        <v>9</v>
      </c>
    </row>
    <row r="880" spans="1:6" x14ac:dyDescent="0.2">
      <c r="A880">
        <v>2016</v>
      </c>
      <c r="B880" s="13">
        <v>4679</v>
      </c>
      <c r="C880" s="90" t="str">
        <f>VLOOKUP(B880,'All Districts'!$A$3:$B$874,2,FALSE)</f>
        <v>Barker</v>
      </c>
      <c r="D880" s="16">
        <v>866063</v>
      </c>
      <c r="E880">
        <f>VLOOKUP(C880,'All Districts'!$B$3:$C$874,2,FALSE)</f>
        <v>3603960</v>
      </c>
      <c r="F880" s="91">
        <f>COUNTIF($E$2:$E$7106,E880)</f>
        <v>9</v>
      </c>
    </row>
    <row r="881" spans="1:6" x14ac:dyDescent="0.2">
      <c r="A881">
        <v>2017</v>
      </c>
      <c r="B881" s="13">
        <v>4679</v>
      </c>
      <c r="C881" s="90" t="str">
        <f>VLOOKUP(B881,'All Districts'!$A$3:$B$874,2,FALSE)</f>
        <v>Barker</v>
      </c>
      <c r="D881" s="16">
        <v>755474</v>
      </c>
      <c r="E881">
        <f>VLOOKUP(C881,'All Districts'!$B$3:$C$874,2,FALSE)</f>
        <v>3603960</v>
      </c>
      <c r="F881" s="91">
        <f>COUNTIF($E$2:$E$7106,E881)</f>
        <v>9</v>
      </c>
    </row>
    <row r="882" spans="1:6" x14ac:dyDescent="0.2">
      <c r="A882" s="10">
        <v>2018</v>
      </c>
      <c r="B882" s="13">
        <v>4679</v>
      </c>
      <c r="C882" s="90" t="str">
        <f>VLOOKUP(B882,'All Districts'!$A$3:$B$874,2,FALSE)</f>
        <v>Barker</v>
      </c>
      <c r="D882" s="15">
        <v>632170</v>
      </c>
      <c r="E882">
        <f>VLOOKUP(C882,'All Districts'!$B$3:$C$874,2,FALSE)</f>
        <v>3603960</v>
      </c>
      <c r="F882" s="91">
        <f>COUNTIF($E$2:$E$7106,E882)</f>
        <v>9</v>
      </c>
    </row>
    <row r="883" spans="1:6" x14ac:dyDescent="0.2">
      <c r="A883">
        <v>2019</v>
      </c>
      <c r="B883" s="36">
        <v>4679</v>
      </c>
      <c r="C883" s="90" t="str">
        <f>VLOOKUP(B883,'All Districts'!$A$3:$B$874,2,FALSE)</f>
        <v>Barker</v>
      </c>
      <c r="D883" s="40">
        <v>707320</v>
      </c>
      <c r="E883">
        <f>VLOOKUP(C883,'All Districts'!$B$3:$C$874,2,FALSE)</f>
        <v>3603960</v>
      </c>
      <c r="F883" s="91">
        <f>COUNTIF($E$2:$E$7106,E883)</f>
        <v>9</v>
      </c>
    </row>
    <row r="884" spans="1:6" x14ac:dyDescent="0.2">
      <c r="A884">
        <v>2020</v>
      </c>
      <c r="B884" s="36">
        <v>4679</v>
      </c>
      <c r="C884" s="90" t="str">
        <f>VLOOKUP(B884,'All Districts'!$A$3:$B$874,2,FALSE)</f>
        <v>Barker</v>
      </c>
      <c r="D884" s="40">
        <v>572556</v>
      </c>
      <c r="E884">
        <f>VLOOKUP(C884,'All Districts'!$B$3:$C$874,2,FALSE)</f>
        <v>3603960</v>
      </c>
      <c r="F884" s="91">
        <f>COUNTIF($E$2:$E$7106,E884)</f>
        <v>9</v>
      </c>
    </row>
    <row r="885" spans="1:6" x14ac:dyDescent="0.2">
      <c r="A885" s="10">
        <v>2021</v>
      </c>
      <c r="B885" s="52">
        <v>4679</v>
      </c>
      <c r="C885" s="90" t="str">
        <f>VLOOKUP(B885,'All Districts'!$A$3:$B$874,2,FALSE)</f>
        <v>Barker</v>
      </c>
      <c r="D885" s="76">
        <v>601463</v>
      </c>
      <c r="E885">
        <f>VLOOKUP(C885,'All Districts'!$B$3:$C$874,2,FALSE)</f>
        <v>3603960</v>
      </c>
      <c r="F885" s="91">
        <f>COUNTIF($E$2:$E$7106,E885)</f>
        <v>9</v>
      </c>
    </row>
    <row r="886" spans="1:6" x14ac:dyDescent="0.2">
      <c r="A886">
        <v>2022</v>
      </c>
      <c r="B886" s="36">
        <v>4679</v>
      </c>
      <c r="C886" s="90" t="str">
        <f>VLOOKUP(B886,'All Districts'!$A$3:$B$874,2,FALSE)</f>
        <v>Barker</v>
      </c>
      <c r="D886" s="82">
        <v>624355</v>
      </c>
      <c r="E886">
        <f>VLOOKUP(C886,'All Districts'!$B$3:$C$874,2,FALSE)</f>
        <v>3603960</v>
      </c>
      <c r="F886" s="91">
        <f>COUNTIF($E$2:$E$7106,E886)</f>
        <v>9</v>
      </c>
    </row>
    <row r="887" spans="1:6" x14ac:dyDescent="0.2">
      <c r="A887">
        <v>2023</v>
      </c>
      <c r="B887" s="36">
        <v>4679</v>
      </c>
      <c r="C887" s="90" t="str">
        <f>VLOOKUP(B887,'All Districts'!$A$3:$B$874,2,FALSE)</f>
        <v>Barker</v>
      </c>
      <c r="D887" s="40">
        <v>682458</v>
      </c>
      <c r="E887">
        <f>VLOOKUP(C887,'All Districts'!$B$3:$C$874,2,FALSE)</f>
        <v>3603960</v>
      </c>
      <c r="F887" s="91">
        <f>COUNTIF($E$2:$E$7106,E887)</f>
        <v>9</v>
      </c>
    </row>
    <row r="888" spans="1:6" x14ac:dyDescent="0.2">
      <c r="A888">
        <v>2015</v>
      </c>
      <c r="B888" s="13">
        <v>1020</v>
      </c>
      <c r="C888" s="90" t="str">
        <f>VLOOKUP(B888,'All Districts'!$A$3:$B$874,2,FALSE)</f>
        <v>Batavia</v>
      </c>
      <c r="D888" s="14">
        <v>2741539</v>
      </c>
      <c r="E888">
        <f>VLOOKUP(C888,'All Districts'!$B$3:$C$874,2,FALSE)</f>
        <v>3603990</v>
      </c>
      <c r="F888" s="91">
        <f>COUNTIF($E$2:$E$7106,E888)</f>
        <v>9</v>
      </c>
    </row>
    <row r="889" spans="1:6" x14ac:dyDescent="0.2">
      <c r="A889">
        <v>2016</v>
      </c>
      <c r="B889" s="13">
        <v>1020</v>
      </c>
      <c r="C889" s="90" t="str">
        <f>VLOOKUP(B889,'All Districts'!$A$3:$B$874,2,FALSE)</f>
        <v>Batavia</v>
      </c>
      <c r="D889" s="16">
        <v>2067857</v>
      </c>
      <c r="E889">
        <f>VLOOKUP(C889,'All Districts'!$B$3:$C$874,2,FALSE)</f>
        <v>3603990</v>
      </c>
      <c r="F889" s="91">
        <f>COUNTIF($E$2:$E$7106,E889)</f>
        <v>9</v>
      </c>
    </row>
    <row r="890" spans="1:6" x14ac:dyDescent="0.2">
      <c r="A890">
        <v>2017</v>
      </c>
      <c r="B890" s="13">
        <v>1020</v>
      </c>
      <c r="C890" s="90" t="str">
        <f>VLOOKUP(B890,'All Districts'!$A$3:$B$874,2,FALSE)</f>
        <v>Batavia</v>
      </c>
      <c r="D890" s="16">
        <v>1943864</v>
      </c>
      <c r="E890">
        <f>VLOOKUP(C890,'All Districts'!$B$3:$C$874,2,FALSE)</f>
        <v>3603990</v>
      </c>
      <c r="F890" s="91">
        <f>COUNTIF($E$2:$E$7106,E890)</f>
        <v>9</v>
      </c>
    </row>
    <row r="891" spans="1:6" x14ac:dyDescent="0.2">
      <c r="A891" s="10">
        <v>2018</v>
      </c>
      <c r="B891" s="13">
        <v>1020</v>
      </c>
      <c r="C891" s="90" t="str">
        <f>VLOOKUP(B891,'All Districts'!$A$3:$B$874,2,FALSE)</f>
        <v>Batavia</v>
      </c>
      <c r="D891" s="15">
        <v>1664710</v>
      </c>
      <c r="E891">
        <f>VLOOKUP(C891,'All Districts'!$B$3:$C$874,2,FALSE)</f>
        <v>3603990</v>
      </c>
      <c r="F891" s="91">
        <f>COUNTIF($E$2:$E$7106,E891)</f>
        <v>9</v>
      </c>
    </row>
    <row r="892" spans="1:6" x14ac:dyDescent="0.2">
      <c r="A892">
        <v>2019</v>
      </c>
      <c r="B892" s="36">
        <v>1020</v>
      </c>
      <c r="C892" s="90" t="str">
        <f>VLOOKUP(B892,'All Districts'!$A$3:$B$874,2,FALSE)</f>
        <v>Batavia</v>
      </c>
      <c r="D892" s="40">
        <v>1858796</v>
      </c>
      <c r="E892">
        <f>VLOOKUP(C892,'All Districts'!$B$3:$C$874,2,FALSE)</f>
        <v>3603990</v>
      </c>
      <c r="F892" s="91">
        <f>COUNTIF($E$2:$E$7106,E892)</f>
        <v>9</v>
      </c>
    </row>
    <row r="893" spans="1:6" x14ac:dyDescent="0.2">
      <c r="A893">
        <v>2020</v>
      </c>
      <c r="B893" s="36">
        <v>1020</v>
      </c>
      <c r="C893" s="90" t="str">
        <f>VLOOKUP(B893,'All Districts'!$A$3:$B$874,2,FALSE)</f>
        <v>Batavia</v>
      </c>
      <c r="D893" s="40">
        <v>1582591</v>
      </c>
      <c r="E893">
        <f>VLOOKUP(C893,'All Districts'!$B$3:$C$874,2,FALSE)</f>
        <v>3603990</v>
      </c>
      <c r="F893" s="91">
        <f>COUNTIF($E$2:$E$7106,E893)</f>
        <v>9</v>
      </c>
    </row>
    <row r="894" spans="1:6" x14ac:dyDescent="0.2">
      <c r="A894" s="10">
        <v>2021</v>
      </c>
      <c r="B894" s="52">
        <v>1020</v>
      </c>
      <c r="C894" s="90" t="str">
        <f>VLOOKUP(B894,'All Districts'!$A$3:$B$874,2,FALSE)</f>
        <v>Batavia</v>
      </c>
      <c r="D894" s="76">
        <v>1666430</v>
      </c>
      <c r="E894">
        <f>VLOOKUP(C894,'All Districts'!$B$3:$C$874,2,FALSE)</f>
        <v>3603990</v>
      </c>
      <c r="F894" s="91">
        <f>COUNTIF($E$2:$E$7106,E894)</f>
        <v>9</v>
      </c>
    </row>
    <row r="895" spans="1:6" x14ac:dyDescent="0.2">
      <c r="A895">
        <v>2022</v>
      </c>
      <c r="B895" s="36">
        <v>1020</v>
      </c>
      <c r="C895" s="90" t="str">
        <f>VLOOKUP(B895,'All Districts'!$A$3:$B$874,2,FALSE)</f>
        <v>Batavia</v>
      </c>
      <c r="D895" s="82">
        <v>1771675</v>
      </c>
      <c r="E895">
        <f>VLOOKUP(C895,'All Districts'!$B$3:$C$874,2,FALSE)</f>
        <v>3603990</v>
      </c>
      <c r="F895" s="91">
        <f>COUNTIF($E$2:$E$7106,E895)</f>
        <v>9</v>
      </c>
    </row>
    <row r="896" spans="1:6" x14ac:dyDescent="0.2">
      <c r="A896">
        <v>2023</v>
      </c>
      <c r="B896" s="36">
        <v>1020</v>
      </c>
      <c r="C896" s="90" t="str">
        <f>VLOOKUP(B896,'All Districts'!$A$3:$B$874,2,FALSE)</f>
        <v>Batavia</v>
      </c>
      <c r="D896" s="40">
        <v>2062575</v>
      </c>
      <c r="E896">
        <f>VLOOKUP(C896,'All Districts'!$B$3:$C$874,2,FALSE)</f>
        <v>3603990</v>
      </c>
      <c r="F896" s="91">
        <f>COUNTIF($E$2:$E$7106,E896)</f>
        <v>9</v>
      </c>
    </row>
    <row r="897" spans="1:6" x14ac:dyDescent="0.2">
      <c r="A897">
        <v>2015</v>
      </c>
      <c r="B897" s="13">
        <v>2035</v>
      </c>
      <c r="C897" s="90" t="str">
        <f>VLOOKUP(B897,'All Districts'!$A$3:$B$874,2,FALSE)</f>
        <v>Bath</v>
      </c>
      <c r="D897" s="14">
        <v>1874018</v>
      </c>
      <c r="E897">
        <f>VLOOKUP(C897,'All Districts'!$B$3:$C$874,2,FALSE)</f>
        <v>3604050</v>
      </c>
      <c r="F897" s="91">
        <f>COUNTIF($E$2:$E$7106,E897)</f>
        <v>9</v>
      </c>
    </row>
    <row r="898" spans="1:6" x14ac:dyDescent="0.2">
      <c r="A898">
        <v>2016</v>
      </c>
      <c r="B898" s="13">
        <v>2035</v>
      </c>
      <c r="C898" s="90" t="str">
        <f>VLOOKUP(B898,'All Districts'!$A$3:$B$874,2,FALSE)</f>
        <v>Bath</v>
      </c>
      <c r="D898" s="16">
        <v>1454335</v>
      </c>
      <c r="E898">
        <f>VLOOKUP(C898,'All Districts'!$B$3:$C$874,2,FALSE)</f>
        <v>3604050</v>
      </c>
      <c r="F898" s="91">
        <f>COUNTIF($E$2:$E$7106,E898)</f>
        <v>9</v>
      </c>
    </row>
    <row r="899" spans="1:6" x14ac:dyDescent="0.2">
      <c r="A899">
        <v>2017</v>
      </c>
      <c r="B899" s="13">
        <v>2035</v>
      </c>
      <c r="C899" s="90" t="str">
        <f>VLOOKUP(B899,'All Districts'!$A$3:$B$874,2,FALSE)</f>
        <v>Bath</v>
      </c>
      <c r="D899" s="16">
        <v>1329793</v>
      </c>
      <c r="E899">
        <f>VLOOKUP(C899,'All Districts'!$B$3:$C$874,2,FALSE)</f>
        <v>3604050</v>
      </c>
      <c r="F899" s="91">
        <f>COUNTIF($E$2:$E$7106,E899)</f>
        <v>9</v>
      </c>
    </row>
    <row r="900" spans="1:6" x14ac:dyDescent="0.2">
      <c r="A900" s="10">
        <v>2018</v>
      </c>
      <c r="B900" s="13">
        <v>2035</v>
      </c>
      <c r="C900" s="90" t="str">
        <f>VLOOKUP(B900,'All Districts'!$A$3:$B$874,2,FALSE)</f>
        <v>Bath</v>
      </c>
      <c r="D900" s="15">
        <v>1139577</v>
      </c>
      <c r="E900">
        <f>VLOOKUP(C900,'All Districts'!$B$3:$C$874,2,FALSE)</f>
        <v>3604050</v>
      </c>
      <c r="F900" s="91">
        <f>COUNTIF($E$2:$E$7106,E900)</f>
        <v>9</v>
      </c>
    </row>
    <row r="901" spans="1:6" x14ac:dyDescent="0.2">
      <c r="A901">
        <v>2019</v>
      </c>
      <c r="B901" s="36">
        <v>2035</v>
      </c>
      <c r="C901" s="90" t="str">
        <f>VLOOKUP(B901,'All Districts'!$A$3:$B$874,2,FALSE)</f>
        <v>Bath</v>
      </c>
      <c r="D901" s="40">
        <v>1251884</v>
      </c>
      <c r="E901">
        <f>VLOOKUP(C901,'All Districts'!$B$3:$C$874,2,FALSE)</f>
        <v>3604050</v>
      </c>
      <c r="F901" s="91">
        <f>COUNTIF($E$2:$E$7106,E901)</f>
        <v>9</v>
      </c>
    </row>
    <row r="902" spans="1:6" x14ac:dyDescent="0.2">
      <c r="A902">
        <v>2020</v>
      </c>
      <c r="B902" s="36">
        <v>2035</v>
      </c>
      <c r="C902" s="90" t="str">
        <f>VLOOKUP(B902,'All Districts'!$A$3:$B$874,2,FALSE)</f>
        <v>Bath</v>
      </c>
      <c r="D902" s="40">
        <v>1077729</v>
      </c>
      <c r="E902">
        <f>VLOOKUP(C902,'All Districts'!$B$3:$C$874,2,FALSE)</f>
        <v>3604050</v>
      </c>
      <c r="F902" s="91">
        <f>COUNTIF($E$2:$E$7106,E902)</f>
        <v>9</v>
      </c>
    </row>
    <row r="903" spans="1:6" x14ac:dyDescent="0.2">
      <c r="A903" s="10">
        <v>2021</v>
      </c>
      <c r="B903" s="52">
        <v>2035</v>
      </c>
      <c r="C903" s="90" t="str">
        <f>VLOOKUP(B903,'All Districts'!$A$3:$B$874,2,FALSE)</f>
        <v>Bath</v>
      </c>
      <c r="D903" s="76">
        <v>1126663</v>
      </c>
      <c r="E903">
        <f>VLOOKUP(C903,'All Districts'!$B$3:$C$874,2,FALSE)</f>
        <v>3604050</v>
      </c>
      <c r="F903" s="91">
        <f>COUNTIF($E$2:$E$7106,E903)</f>
        <v>9</v>
      </c>
    </row>
    <row r="904" spans="1:6" x14ac:dyDescent="0.2">
      <c r="A904">
        <v>2022</v>
      </c>
      <c r="B904" s="36">
        <v>2035</v>
      </c>
      <c r="C904" s="90" t="str">
        <f>VLOOKUP(B904,'All Districts'!$A$3:$B$874,2,FALSE)</f>
        <v>Bath</v>
      </c>
      <c r="D904" s="82">
        <v>1241761</v>
      </c>
      <c r="E904">
        <f>VLOOKUP(C904,'All Districts'!$B$3:$C$874,2,FALSE)</f>
        <v>3604050</v>
      </c>
      <c r="F904" s="91">
        <f>COUNTIF($E$2:$E$7106,E904)</f>
        <v>9</v>
      </c>
    </row>
    <row r="905" spans="1:6" x14ac:dyDescent="0.2">
      <c r="A905">
        <v>2023</v>
      </c>
      <c r="B905" s="36">
        <v>2035</v>
      </c>
      <c r="C905" s="90" t="str">
        <f>VLOOKUP(B905,'All Districts'!$A$3:$B$874,2,FALSE)</f>
        <v>Bath</v>
      </c>
      <c r="D905" s="40">
        <v>1341766</v>
      </c>
      <c r="E905">
        <f>VLOOKUP(C905,'All Districts'!$B$3:$C$874,2,FALSE)</f>
        <v>3604050</v>
      </c>
      <c r="F905" s="91">
        <f>COUNTIF($E$2:$E$7106,E905)</f>
        <v>9</v>
      </c>
    </row>
    <row r="906" spans="1:6" x14ac:dyDescent="0.2">
      <c r="A906">
        <v>2015</v>
      </c>
      <c r="B906" s="13">
        <v>2040</v>
      </c>
      <c r="C906" s="90" t="str">
        <f>VLOOKUP(B906,'All Districts'!$A$3:$B$874,2,FALSE)</f>
        <v>Bay Shore</v>
      </c>
      <c r="D906" s="14">
        <v>10333131</v>
      </c>
      <c r="E906">
        <f>VLOOKUP(C906,'All Districts'!$B$3:$C$874,2,FALSE)</f>
        <v>3604080</v>
      </c>
      <c r="F906" s="91">
        <f>COUNTIF($E$2:$E$7106,E906)</f>
        <v>9</v>
      </c>
    </row>
    <row r="907" spans="1:6" x14ac:dyDescent="0.2">
      <c r="A907">
        <v>2016</v>
      </c>
      <c r="B907" s="13">
        <v>2040</v>
      </c>
      <c r="C907" s="90" t="str">
        <f>VLOOKUP(B907,'All Districts'!$A$3:$B$874,2,FALSE)</f>
        <v>Bay Shore</v>
      </c>
      <c r="D907" s="16">
        <v>8118290</v>
      </c>
      <c r="E907">
        <f>VLOOKUP(C907,'All Districts'!$B$3:$C$874,2,FALSE)</f>
        <v>3604080</v>
      </c>
      <c r="F907" s="91">
        <f>COUNTIF($E$2:$E$7106,E907)</f>
        <v>9</v>
      </c>
    </row>
    <row r="908" spans="1:6" x14ac:dyDescent="0.2">
      <c r="A908">
        <v>2017</v>
      </c>
      <c r="B908" s="13">
        <v>2040</v>
      </c>
      <c r="C908" s="90" t="str">
        <f>VLOOKUP(B908,'All Districts'!$A$3:$B$874,2,FALSE)</f>
        <v>Bay Shore</v>
      </c>
      <c r="D908" s="16">
        <v>7453562</v>
      </c>
      <c r="E908">
        <f>VLOOKUP(C908,'All Districts'!$B$3:$C$874,2,FALSE)</f>
        <v>3604080</v>
      </c>
      <c r="F908" s="91">
        <f>COUNTIF($E$2:$E$7106,E908)</f>
        <v>9</v>
      </c>
    </row>
    <row r="909" spans="1:6" x14ac:dyDescent="0.2">
      <c r="A909" s="10">
        <v>2018</v>
      </c>
      <c r="B909" s="13">
        <v>2040</v>
      </c>
      <c r="C909" s="90" t="str">
        <f>VLOOKUP(B909,'All Districts'!$A$3:$B$874,2,FALSE)</f>
        <v>Bay Shore</v>
      </c>
      <c r="D909" s="15">
        <v>6597341</v>
      </c>
      <c r="E909">
        <f>VLOOKUP(C909,'All Districts'!$B$3:$C$874,2,FALSE)</f>
        <v>3604080</v>
      </c>
      <c r="F909" s="91">
        <f>COUNTIF($E$2:$E$7106,E909)</f>
        <v>9</v>
      </c>
    </row>
    <row r="910" spans="1:6" x14ac:dyDescent="0.2">
      <c r="A910">
        <v>2019</v>
      </c>
      <c r="B910" s="36">
        <v>2040</v>
      </c>
      <c r="C910" s="90" t="str">
        <f>VLOOKUP(B910,'All Districts'!$A$3:$B$874,2,FALSE)</f>
        <v>Bay Shore</v>
      </c>
      <c r="D910" s="40">
        <v>7476562</v>
      </c>
      <c r="E910">
        <f>VLOOKUP(C910,'All Districts'!$B$3:$C$874,2,FALSE)</f>
        <v>3604080</v>
      </c>
      <c r="F910" s="91">
        <f>COUNTIF($E$2:$E$7106,E910)</f>
        <v>9</v>
      </c>
    </row>
    <row r="911" spans="1:6" x14ac:dyDescent="0.2">
      <c r="A911">
        <v>2020</v>
      </c>
      <c r="B911" s="36">
        <v>2040</v>
      </c>
      <c r="C911" s="90" t="str">
        <f>VLOOKUP(B911,'All Districts'!$A$3:$B$874,2,FALSE)</f>
        <v>Bay Shore</v>
      </c>
      <c r="D911" s="40">
        <v>6326050</v>
      </c>
      <c r="E911">
        <f>VLOOKUP(C911,'All Districts'!$B$3:$C$874,2,FALSE)</f>
        <v>3604080</v>
      </c>
      <c r="F911" s="91">
        <f>COUNTIF($E$2:$E$7106,E911)</f>
        <v>9</v>
      </c>
    </row>
    <row r="912" spans="1:6" x14ac:dyDescent="0.2">
      <c r="A912" s="10">
        <v>2021</v>
      </c>
      <c r="B912" s="55">
        <v>2040</v>
      </c>
      <c r="C912" s="90" t="str">
        <f>VLOOKUP(B912,'All Districts'!$A$3:$B$874,2,FALSE)</f>
        <v>Bay Shore</v>
      </c>
      <c r="D912" s="75">
        <v>6765638</v>
      </c>
      <c r="E912">
        <f>VLOOKUP(C912,'All Districts'!$B$3:$C$874,2,FALSE)</f>
        <v>3604080</v>
      </c>
      <c r="F912" s="91">
        <f>COUNTIF($E$2:$E$7106,E912)</f>
        <v>9</v>
      </c>
    </row>
    <row r="913" spans="1:6" x14ac:dyDescent="0.2">
      <c r="A913">
        <v>2022</v>
      </c>
      <c r="B913" s="36">
        <v>2040</v>
      </c>
      <c r="C913" s="90" t="str">
        <f>VLOOKUP(B913,'All Districts'!$A$3:$B$874,2,FALSE)</f>
        <v>Bay Shore</v>
      </c>
      <c r="D913" s="82">
        <v>7543478</v>
      </c>
      <c r="E913">
        <f>VLOOKUP(C913,'All Districts'!$B$3:$C$874,2,FALSE)</f>
        <v>3604080</v>
      </c>
      <c r="F913" s="91">
        <f>COUNTIF($E$2:$E$7106,E913)</f>
        <v>9</v>
      </c>
    </row>
    <row r="914" spans="1:6" x14ac:dyDescent="0.2">
      <c r="A914">
        <v>2023</v>
      </c>
      <c r="B914" s="36">
        <v>2040</v>
      </c>
      <c r="C914" s="90" t="str">
        <f>VLOOKUP(B914,'All Districts'!$A$3:$B$874,2,FALSE)</f>
        <v>Bay Shore</v>
      </c>
      <c r="D914" s="40">
        <v>8178063</v>
      </c>
      <c r="E914">
        <f>VLOOKUP(C914,'All Districts'!$B$3:$C$874,2,FALSE)</f>
        <v>3604080</v>
      </c>
      <c r="F914" s="91">
        <f>COUNTIF($E$2:$E$7106,E914)</f>
        <v>9</v>
      </c>
    </row>
    <row r="915" spans="1:6" x14ac:dyDescent="0.2">
      <c r="A915">
        <v>2015</v>
      </c>
      <c r="B915" s="13">
        <v>5420</v>
      </c>
      <c r="C915" s="90" t="str">
        <f>VLOOKUP(B915,'All Districts'!$A$3:$B$874,2,FALSE)</f>
        <v>Bayport-Blue Point</v>
      </c>
      <c r="D915" s="14">
        <v>5082443</v>
      </c>
      <c r="E915">
        <f>VLOOKUP(C915,'All Districts'!$B$3:$C$874,2,FALSE)</f>
        <v>3604110</v>
      </c>
      <c r="F915" s="91">
        <f>COUNTIF($E$2:$E$7106,E915)</f>
        <v>9</v>
      </c>
    </row>
    <row r="916" spans="1:6" x14ac:dyDescent="0.2">
      <c r="A916">
        <v>2016</v>
      </c>
      <c r="B916" s="13">
        <v>5420</v>
      </c>
      <c r="C916" s="90" t="str">
        <f>VLOOKUP(B916,'All Districts'!$A$3:$B$874,2,FALSE)</f>
        <v>Bayport-Blue Point</v>
      </c>
      <c r="D916" s="16">
        <v>3931810</v>
      </c>
      <c r="E916">
        <f>VLOOKUP(C916,'All Districts'!$B$3:$C$874,2,FALSE)</f>
        <v>3604110</v>
      </c>
      <c r="F916" s="91">
        <f>COUNTIF($E$2:$E$7106,E916)</f>
        <v>9</v>
      </c>
    </row>
    <row r="917" spans="1:6" x14ac:dyDescent="0.2">
      <c r="A917">
        <v>2017</v>
      </c>
      <c r="B917" s="13">
        <v>5420</v>
      </c>
      <c r="C917" s="90" t="str">
        <f>VLOOKUP(B917,'All Districts'!$A$3:$B$874,2,FALSE)</f>
        <v>Bayport-Blue Point</v>
      </c>
      <c r="D917" s="16">
        <v>3461975</v>
      </c>
      <c r="E917">
        <f>VLOOKUP(C917,'All Districts'!$B$3:$C$874,2,FALSE)</f>
        <v>3604110</v>
      </c>
      <c r="F917" s="91">
        <f>COUNTIF($E$2:$E$7106,E917)</f>
        <v>9</v>
      </c>
    </row>
    <row r="918" spans="1:6" x14ac:dyDescent="0.2">
      <c r="A918" s="10">
        <v>2018</v>
      </c>
      <c r="B918" s="13">
        <v>5420</v>
      </c>
      <c r="C918" s="90" t="str">
        <f>VLOOKUP(B918,'All Districts'!$A$3:$B$874,2,FALSE)</f>
        <v>Bayport-Blue Point</v>
      </c>
      <c r="D918" s="15">
        <v>2956596</v>
      </c>
      <c r="E918">
        <f>VLOOKUP(C918,'All Districts'!$B$3:$C$874,2,FALSE)</f>
        <v>3604110</v>
      </c>
      <c r="F918" s="91">
        <f>COUNTIF($E$2:$E$7106,E918)</f>
        <v>9</v>
      </c>
    </row>
    <row r="919" spans="1:6" x14ac:dyDescent="0.2">
      <c r="A919">
        <v>2019</v>
      </c>
      <c r="B919" s="36">
        <v>5420</v>
      </c>
      <c r="C919" s="90" t="str">
        <f>VLOOKUP(B919,'All Districts'!$A$3:$B$874,2,FALSE)</f>
        <v>Bayport-Blue Point</v>
      </c>
      <c r="D919" s="40">
        <v>3281534</v>
      </c>
      <c r="E919">
        <f>VLOOKUP(C919,'All Districts'!$B$3:$C$874,2,FALSE)</f>
        <v>3604110</v>
      </c>
      <c r="F919" s="91">
        <f>COUNTIF($E$2:$E$7106,E919)</f>
        <v>9</v>
      </c>
    </row>
    <row r="920" spans="1:6" x14ac:dyDescent="0.2">
      <c r="A920">
        <v>2020</v>
      </c>
      <c r="B920" s="36">
        <v>5420</v>
      </c>
      <c r="C920" s="90" t="str">
        <f>VLOOKUP(B920,'All Districts'!$A$3:$B$874,2,FALSE)</f>
        <v>Bayport-Blue Point</v>
      </c>
      <c r="D920" s="40">
        <v>2765386</v>
      </c>
      <c r="E920">
        <f>VLOOKUP(C920,'All Districts'!$B$3:$C$874,2,FALSE)</f>
        <v>3604110</v>
      </c>
      <c r="F920" s="91">
        <f>COUNTIF($E$2:$E$7106,E920)</f>
        <v>9</v>
      </c>
    </row>
    <row r="921" spans="1:6" x14ac:dyDescent="0.2">
      <c r="A921" s="10">
        <v>2021</v>
      </c>
      <c r="B921" s="52">
        <v>5420</v>
      </c>
      <c r="C921" s="90" t="str">
        <f>VLOOKUP(B921,'All Districts'!$A$3:$B$874,2,FALSE)</f>
        <v>Bayport-Blue Point</v>
      </c>
      <c r="D921" s="75">
        <v>3079852</v>
      </c>
      <c r="E921">
        <f>VLOOKUP(C921,'All Districts'!$B$3:$C$874,2,FALSE)</f>
        <v>3604110</v>
      </c>
      <c r="F921" s="91">
        <f>COUNTIF($E$2:$E$7106,E921)</f>
        <v>9</v>
      </c>
    </row>
    <row r="922" spans="1:6" x14ac:dyDescent="0.2">
      <c r="A922">
        <v>2022</v>
      </c>
      <c r="B922" s="36">
        <v>5420</v>
      </c>
      <c r="C922" s="90" t="str">
        <f>VLOOKUP(B922,'All Districts'!$A$3:$B$874,2,FALSE)</f>
        <v>Bayport-Blue Point</v>
      </c>
      <c r="D922" s="82">
        <v>3228251</v>
      </c>
      <c r="E922">
        <f>VLOOKUP(C922,'All Districts'!$B$3:$C$874,2,FALSE)</f>
        <v>3604110</v>
      </c>
      <c r="F922" s="91">
        <f>COUNTIF($E$2:$E$7106,E922)</f>
        <v>9</v>
      </c>
    </row>
    <row r="923" spans="1:6" x14ac:dyDescent="0.2">
      <c r="A923">
        <v>2023</v>
      </c>
      <c r="B923" s="36">
        <v>5420</v>
      </c>
      <c r="C923" s="90" t="str">
        <f>VLOOKUP(B923,'All Districts'!$A$3:$B$874,2,FALSE)</f>
        <v>Bayport-Blue Point</v>
      </c>
      <c r="D923" s="40">
        <v>3436926</v>
      </c>
      <c r="E923">
        <f>VLOOKUP(C923,'All Districts'!$B$3:$C$874,2,FALSE)</f>
        <v>3604110</v>
      </c>
      <c r="F923" s="91">
        <f>COUNTIF($E$2:$E$7106,E923)</f>
        <v>9</v>
      </c>
    </row>
    <row r="924" spans="1:6" x14ac:dyDescent="0.2">
      <c r="A924">
        <v>2015</v>
      </c>
      <c r="B924" s="13">
        <v>1025</v>
      </c>
      <c r="C924" s="90" t="str">
        <f>VLOOKUP(B924,'All Districts'!$A$3:$B$874,2,FALSE)</f>
        <v>Beacon</v>
      </c>
      <c r="D924" s="14">
        <v>4178070</v>
      </c>
      <c r="E924">
        <f>VLOOKUP(C924,'All Districts'!$B$3:$C$874,2,FALSE)</f>
        <v>3604140</v>
      </c>
      <c r="F924" s="91">
        <f>COUNTIF($E$2:$E$7106,E924)</f>
        <v>9</v>
      </c>
    </row>
    <row r="925" spans="1:6" x14ac:dyDescent="0.2">
      <c r="A925">
        <v>2016</v>
      </c>
      <c r="B925" s="13">
        <v>1025</v>
      </c>
      <c r="C925" s="90" t="str">
        <f>VLOOKUP(B925,'All Districts'!$A$3:$B$874,2,FALSE)</f>
        <v>Beacon</v>
      </c>
      <c r="D925" s="16">
        <v>3276105</v>
      </c>
      <c r="E925">
        <f>VLOOKUP(C925,'All Districts'!$B$3:$C$874,2,FALSE)</f>
        <v>3604140</v>
      </c>
      <c r="F925" s="91">
        <f>COUNTIF($E$2:$E$7106,E925)</f>
        <v>9</v>
      </c>
    </row>
    <row r="926" spans="1:6" x14ac:dyDescent="0.2">
      <c r="A926">
        <v>2017</v>
      </c>
      <c r="B926" s="13">
        <v>1025</v>
      </c>
      <c r="C926" s="90" t="str">
        <f>VLOOKUP(B926,'All Districts'!$A$3:$B$874,2,FALSE)</f>
        <v>Beacon</v>
      </c>
      <c r="D926" s="16">
        <v>2954466</v>
      </c>
      <c r="E926">
        <f>VLOOKUP(C926,'All Districts'!$B$3:$C$874,2,FALSE)</f>
        <v>3604140</v>
      </c>
      <c r="F926" s="91">
        <f>COUNTIF($E$2:$E$7106,E926)</f>
        <v>9</v>
      </c>
    </row>
    <row r="927" spans="1:6" x14ac:dyDescent="0.2">
      <c r="A927" s="10">
        <v>2018</v>
      </c>
      <c r="B927" s="13">
        <v>1025</v>
      </c>
      <c r="C927" s="90" t="str">
        <f>VLOOKUP(B927,'All Districts'!$A$3:$B$874,2,FALSE)</f>
        <v>Beacon</v>
      </c>
      <c r="D927" s="15">
        <v>2599174</v>
      </c>
      <c r="E927">
        <f>VLOOKUP(C927,'All Districts'!$B$3:$C$874,2,FALSE)</f>
        <v>3604140</v>
      </c>
      <c r="F927" s="91">
        <f>COUNTIF($E$2:$E$7106,E927)</f>
        <v>9</v>
      </c>
    </row>
    <row r="928" spans="1:6" x14ac:dyDescent="0.2">
      <c r="A928">
        <v>2019</v>
      </c>
      <c r="B928" s="36">
        <v>1025</v>
      </c>
      <c r="C928" s="90" t="str">
        <f>VLOOKUP(B928,'All Districts'!$A$3:$B$874,2,FALSE)</f>
        <v>Beacon</v>
      </c>
      <c r="D928" s="40">
        <v>2974066</v>
      </c>
      <c r="E928">
        <f>VLOOKUP(C928,'All Districts'!$B$3:$C$874,2,FALSE)</f>
        <v>3604140</v>
      </c>
      <c r="F928" s="91">
        <f>COUNTIF($E$2:$E$7106,E928)</f>
        <v>9</v>
      </c>
    </row>
    <row r="929" spans="1:6" x14ac:dyDescent="0.2">
      <c r="A929">
        <v>2020</v>
      </c>
      <c r="B929" s="36">
        <v>1025</v>
      </c>
      <c r="C929" s="90" t="str">
        <f>VLOOKUP(B929,'All Districts'!$A$3:$B$874,2,FALSE)</f>
        <v>Beacon</v>
      </c>
      <c r="D929" s="40">
        <v>2536580</v>
      </c>
      <c r="E929">
        <f>VLOOKUP(C929,'All Districts'!$B$3:$C$874,2,FALSE)</f>
        <v>3604140</v>
      </c>
      <c r="F929" s="91">
        <f>COUNTIF($E$2:$E$7106,E929)</f>
        <v>9</v>
      </c>
    </row>
    <row r="930" spans="1:6" x14ac:dyDescent="0.2">
      <c r="A930" s="10">
        <v>2021</v>
      </c>
      <c r="B930" s="52">
        <v>1025</v>
      </c>
      <c r="C930" s="90" t="str">
        <f>VLOOKUP(B930,'All Districts'!$A$3:$B$874,2,FALSE)</f>
        <v>Beacon</v>
      </c>
      <c r="D930" s="75">
        <v>2760166</v>
      </c>
      <c r="E930">
        <f>VLOOKUP(C930,'All Districts'!$B$3:$C$874,2,FALSE)</f>
        <v>3604140</v>
      </c>
      <c r="F930" s="91">
        <f>COUNTIF($E$2:$E$7106,E930)</f>
        <v>9</v>
      </c>
    </row>
    <row r="931" spans="1:6" x14ac:dyDescent="0.2">
      <c r="A931">
        <v>2022</v>
      </c>
      <c r="B931" s="36">
        <v>1025</v>
      </c>
      <c r="C931" s="90" t="str">
        <f>VLOOKUP(B931,'All Districts'!$A$3:$B$874,2,FALSE)</f>
        <v>Beacon</v>
      </c>
      <c r="D931" s="82">
        <v>2923690</v>
      </c>
      <c r="E931">
        <f>VLOOKUP(C931,'All Districts'!$B$3:$C$874,2,FALSE)</f>
        <v>3604140</v>
      </c>
      <c r="F931" s="91">
        <f>COUNTIF($E$2:$E$7106,E931)</f>
        <v>9</v>
      </c>
    </row>
    <row r="932" spans="1:6" x14ac:dyDescent="0.2">
      <c r="A932">
        <v>2023</v>
      </c>
      <c r="B932" s="36">
        <v>1025</v>
      </c>
      <c r="C932" s="90" t="str">
        <f>VLOOKUP(B932,'All Districts'!$A$3:$B$874,2,FALSE)</f>
        <v>Beacon</v>
      </c>
      <c r="D932" s="40">
        <v>3249320</v>
      </c>
      <c r="E932">
        <f>VLOOKUP(C932,'All Districts'!$B$3:$C$874,2,FALSE)</f>
        <v>3604140</v>
      </c>
      <c r="F932" s="91">
        <f>COUNTIF($E$2:$E$7106,E932)</f>
        <v>9</v>
      </c>
    </row>
    <row r="933" spans="1:6" x14ac:dyDescent="0.2">
      <c r="A933">
        <v>2015</v>
      </c>
      <c r="B933" s="13">
        <v>4144</v>
      </c>
      <c r="C933" s="90" t="str">
        <f>VLOOKUP(B933,'All Districts'!$A$3:$B$874,2,FALSE)</f>
        <v>Beaver River</v>
      </c>
      <c r="D933" s="14">
        <v>788230</v>
      </c>
      <c r="E933">
        <f>VLOOKUP(C933,'All Districts'!$B$3:$C$874,2,FALSE)</f>
        <v>3604200</v>
      </c>
      <c r="F933" s="91">
        <f>COUNTIF($E$2:$E$7106,E933)</f>
        <v>9</v>
      </c>
    </row>
    <row r="934" spans="1:6" x14ac:dyDescent="0.2">
      <c r="A934">
        <v>2016</v>
      </c>
      <c r="B934" s="13">
        <v>4144</v>
      </c>
      <c r="C934" s="90" t="str">
        <f>VLOOKUP(B934,'All Districts'!$A$3:$B$874,2,FALSE)</f>
        <v>Beaver River</v>
      </c>
      <c r="D934" s="16">
        <v>623556</v>
      </c>
      <c r="E934">
        <f>VLOOKUP(C934,'All Districts'!$B$3:$C$874,2,FALSE)</f>
        <v>3604200</v>
      </c>
      <c r="F934" s="91">
        <f>COUNTIF($E$2:$E$7106,E934)</f>
        <v>9</v>
      </c>
    </row>
    <row r="935" spans="1:6" x14ac:dyDescent="0.2">
      <c r="A935">
        <v>2017</v>
      </c>
      <c r="B935" s="13">
        <v>4144</v>
      </c>
      <c r="C935" s="90" t="str">
        <f>VLOOKUP(B935,'All Districts'!$A$3:$B$874,2,FALSE)</f>
        <v>Beaver River</v>
      </c>
      <c r="D935" s="16">
        <v>575561</v>
      </c>
      <c r="E935">
        <f>VLOOKUP(C935,'All Districts'!$B$3:$C$874,2,FALSE)</f>
        <v>3604200</v>
      </c>
      <c r="F935" s="91">
        <f>COUNTIF($E$2:$E$7106,E935)</f>
        <v>9</v>
      </c>
    </row>
    <row r="936" spans="1:6" x14ac:dyDescent="0.2">
      <c r="A936" s="10">
        <v>2018</v>
      </c>
      <c r="B936" s="13">
        <v>4144</v>
      </c>
      <c r="C936" s="90" t="str">
        <f>VLOOKUP(B936,'All Districts'!$A$3:$B$874,2,FALSE)</f>
        <v>Beaver River</v>
      </c>
      <c r="D936" s="15">
        <v>478295</v>
      </c>
      <c r="E936">
        <f>VLOOKUP(C936,'All Districts'!$B$3:$C$874,2,FALSE)</f>
        <v>3604200</v>
      </c>
      <c r="F936" s="91">
        <f>COUNTIF($E$2:$E$7106,E936)</f>
        <v>9</v>
      </c>
    </row>
    <row r="937" spans="1:6" x14ac:dyDescent="0.2">
      <c r="A937">
        <v>2019</v>
      </c>
      <c r="B937" s="36">
        <v>4144</v>
      </c>
      <c r="C937" s="90" t="str">
        <f>VLOOKUP(B937,'All Districts'!$A$3:$B$874,2,FALSE)</f>
        <v>Beaver River</v>
      </c>
      <c r="D937" s="40">
        <v>528684</v>
      </c>
      <c r="E937">
        <f>VLOOKUP(C937,'All Districts'!$B$3:$C$874,2,FALSE)</f>
        <v>3604200</v>
      </c>
      <c r="F937" s="91">
        <f>COUNTIF($E$2:$E$7106,E937)</f>
        <v>9</v>
      </c>
    </row>
    <row r="938" spans="1:6" x14ac:dyDescent="0.2">
      <c r="A938">
        <v>2020</v>
      </c>
      <c r="B938" s="36">
        <v>4144</v>
      </c>
      <c r="C938" s="90" t="str">
        <f>VLOOKUP(B938,'All Districts'!$A$3:$B$874,2,FALSE)</f>
        <v>Beaver River</v>
      </c>
      <c r="D938" s="40">
        <v>453492</v>
      </c>
      <c r="E938">
        <f>VLOOKUP(C938,'All Districts'!$B$3:$C$874,2,FALSE)</f>
        <v>3604200</v>
      </c>
      <c r="F938" s="91">
        <f>COUNTIF($E$2:$E$7106,E938)</f>
        <v>9</v>
      </c>
    </row>
    <row r="939" spans="1:6" x14ac:dyDescent="0.2">
      <c r="A939" s="10">
        <v>2021</v>
      </c>
      <c r="B939" s="55">
        <v>4144</v>
      </c>
      <c r="C939" s="90" t="str">
        <f>VLOOKUP(B939,'All Districts'!$A$3:$B$874,2,FALSE)</f>
        <v>Beaver River</v>
      </c>
      <c r="D939" s="75">
        <v>490431</v>
      </c>
      <c r="E939">
        <f>VLOOKUP(C939,'All Districts'!$B$3:$C$874,2,FALSE)</f>
        <v>3604200</v>
      </c>
      <c r="F939" s="91">
        <f>COUNTIF($E$2:$E$7106,E939)</f>
        <v>9</v>
      </c>
    </row>
    <row r="940" spans="1:6" x14ac:dyDescent="0.2">
      <c r="A940">
        <v>2022</v>
      </c>
      <c r="B940" s="36">
        <v>4144</v>
      </c>
      <c r="C940" s="90" t="str">
        <f>VLOOKUP(B940,'All Districts'!$A$3:$B$874,2,FALSE)</f>
        <v>Beaver River</v>
      </c>
      <c r="D940" s="82">
        <v>568847</v>
      </c>
      <c r="E940">
        <f>VLOOKUP(C940,'All Districts'!$B$3:$C$874,2,FALSE)</f>
        <v>3604200</v>
      </c>
      <c r="F940" s="91">
        <f>COUNTIF($E$2:$E$7106,E940)</f>
        <v>9</v>
      </c>
    </row>
    <row r="941" spans="1:6" x14ac:dyDescent="0.2">
      <c r="A941">
        <v>2023</v>
      </c>
      <c r="B941" s="36">
        <v>4144</v>
      </c>
      <c r="C941" s="90" t="str">
        <f>VLOOKUP(B941,'All Districts'!$A$3:$B$874,2,FALSE)</f>
        <v>Beaver River</v>
      </c>
      <c r="D941" s="40">
        <v>628647</v>
      </c>
      <c r="E941">
        <f>VLOOKUP(C941,'All Districts'!$B$3:$C$874,2,FALSE)</f>
        <v>3604200</v>
      </c>
      <c r="F941" s="91">
        <f>COUNTIF($E$2:$E$7106,E941)</f>
        <v>9</v>
      </c>
    </row>
    <row r="942" spans="1:6" x14ac:dyDescent="0.2">
      <c r="A942">
        <v>2015</v>
      </c>
      <c r="B942" s="13">
        <v>2390</v>
      </c>
      <c r="C942" s="90" t="str">
        <f>VLOOKUP(B942,'All Districts'!$A$3:$B$874,2,FALSE)</f>
        <v>Bedford</v>
      </c>
      <c r="D942" s="14">
        <v>8807921</v>
      </c>
      <c r="E942">
        <f>VLOOKUP(C942,'All Districts'!$B$3:$C$874,2,FALSE)</f>
        <v>3619950</v>
      </c>
      <c r="F942" s="91">
        <f>COUNTIF($E$2:$E$7106,E942)</f>
        <v>9</v>
      </c>
    </row>
    <row r="943" spans="1:6" x14ac:dyDescent="0.2">
      <c r="A943">
        <v>2016</v>
      </c>
      <c r="B943" s="13">
        <v>2390</v>
      </c>
      <c r="C943" s="90" t="str">
        <f>VLOOKUP(B943,'All Districts'!$A$3:$B$874,2,FALSE)</f>
        <v>Bedford</v>
      </c>
      <c r="D943" s="16">
        <v>6991816</v>
      </c>
      <c r="E943">
        <f>VLOOKUP(C943,'All Districts'!$B$3:$C$874,2,FALSE)</f>
        <v>3619950</v>
      </c>
      <c r="F943" s="91">
        <f>COUNTIF($E$2:$E$7106,E943)</f>
        <v>9</v>
      </c>
    </row>
    <row r="944" spans="1:6" x14ac:dyDescent="0.2">
      <c r="A944">
        <v>2017</v>
      </c>
      <c r="B944" s="13">
        <v>2390</v>
      </c>
      <c r="C944" s="90" t="str">
        <f>VLOOKUP(B944,'All Districts'!$A$3:$B$874,2,FALSE)</f>
        <v>Bedford</v>
      </c>
      <c r="D944" s="16">
        <v>5903373</v>
      </c>
      <c r="E944">
        <f>VLOOKUP(C944,'All Districts'!$B$3:$C$874,2,FALSE)</f>
        <v>3619950</v>
      </c>
      <c r="F944" s="91">
        <f>COUNTIF($E$2:$E$7106,E944)</f>
        <v>9</v>
      </c>
    </row>
    <row r="945" spans="1:6" x14ac:dyDescent="0.2">
      <c r="A945" s="10">
        <v>2018</v>
      </c>
      <c r="B945" s="13">
        <v>2390</v>
      </c>
      <c r="C945" s="90" t="str">
        <f>VLOOKUP(B945,'All Districts'!$A$3:$B$874,2,FALSE)</f>
        <v>Bedford</v>
      </c>
      <c r="D945" s="15">
        <v>5052482</v>
      </c>
      <c r="E945">
        <f>VLOOKUP(C945,'All Districts'!$B$3:$C$874,2,FALSE)</f>
        <v>3619950</v>
      </c>
      <c r="F945" s="91">
        <f>COUNTIF($E$2:$E$7106,E945)</f>
        <v>9</v>
      </c>
    </row>
    <row r="946" spans="1:6" x14ac:dyDescent="0.2">
      <c r="A946">
        <v>2019</v>
      </c>
      <c r="B946" s="36">
        <v>2390</v>
      </c>
      <c r="C946" s="90" t="str">
        <f>VLOOKUP(B946,'All Districts'!$A$3:$B$874,2,FALSE)</f>
        <v>Bedford</v>
      </c>
      <c r="D946" s="40">
        <v>5660271</v>
      </c>
      <c r="E946">
        <f>VLOOKUP(C946,'All Districts'!$B$3:$C$874,2,FALSE)</f>
        <v>3619950</v>
      </c>
      <c r="F946" s="91">
        <f>COUNTIF($E$2:$E$7106,E946)</f>
        <v>9</v>
      </c>
    </row>
    <row r="947" spans="1:6" x14ac:dyDescent="0.2">
      <c r="A947">
        <v>2020</v>
      </c>
      <c r="B947" s="36">
        <v>2390</v>
      </c>
      <c r="C947" s="90" t="str">
        <f>VLOOKUP(B947,'All Districts'!$A$3:$B$874,2,FALSE)</f>
        <v>Bedford</v>
      </c>
      <c r="D947" s="40">
        <v>4811140</v>
      </c>
      <c r="E947">
        <f>VLOOKUP(C947,'All Districts'!$B$3:$C$874,2,FALSE)</f>
        <v>3619950</v>
      </c>
      <c r="F947" s="91">
        <f>COUNTIF($E$2:$E$7106,E947)</f>
        <v>9</v>
      </c>
    </row>
    <row r="948" spans="1:6" x14ac:dyDescent="0.2">
      <c r="A948" s="10">
        <v>2021</v>
      </c>
      <c r="B948" s="55">
        <v>2390</v>
      </c>
      <c r="C948" s="90" t="str">
        <f>VLOOKUP(B948,'All Districts'!$A$3:$B$874,2,FALSE)</f>
        <v>Bedford</v>
      </c>
      <c r="D948" s="76">
        <v>5052386</v>
      </c>
      <c r="E948">
        <f>VLOOKUP(C948,'All Districts'!$B$3:$C$874,2,FALSE)</f>
        <v>3619950</v>
      </c>
      <c r="F948" s="91">
        <f>COUNTIF($E$2:$E$7106,E948)</f>
        <v>9</v>
      </c>
    </row>
    <row r="949" spans="1:6" x14ac:dyDescent="0.2">
      <c r="A949">
        <v>2022</v>
      </c>
      <c r="B949" s="36">
        <v>2390</v>
      </c>
      <c r="C949" s="90" t="str">
        <f>VLOOKUP(B949,'All Districts'!$A$3:$B$874,2,FALSE)</f>
        <v>Bedford</v>
      </c>
      <c r="D949" s="82">
        <v>5571028</v>
      </c>
      <c r="E949">
        <f>VLOOKUP(C949,'All Districts'!$B$3:$C$874,2,FALSE)</f>
        <v>3619950</v>
      </c>
      <c r="F949" s="91">
        <f>COUNTIF($E$2:$E$7106,E949)</f>
        <v>9</v>
      </c>
    </row>
    <row r="950" spans="1:6" x14ac:dyDescent="0.2">
      <c r="A950">
        <v>2023</v>
      </c>
      <c r="B950" s="36">
        <v>2390</v>
      </c>
      <c r="C950" s="90" t="str">
        <f>VLOOKUP(B950,'All Districts'!$A$3:$B$874,2,FALSE)</f>
        <v>Bedford</v>
      </c>
      <c r="D950" s="40">
        <v>5961258</v>
      </c>
      <c r="E950">
        <f>VLOOKUP(C950,'All Districts'!$B$3:$C$874,2,FALSE)</f>
        <v>3619950</v>
      </c>
      <c r="F950" s="91">
        <f>COUNTIF($E$2:$E$7106,E950)</f>
        <v>9</v>
      </c>
    </row>
    <row r="951" spans="1:6" x14ac:dyDescent="0.2">
      <c r="A951">
        <v>2015</v>
      </c>
      <c r="B951" s="13">
        <v>2044</v>
      </c>
      <c r="C951" s="90" t="str">
        <f>VLOOKUP(B951,'All Districts'!$A$3:$B$874,2,FALSE)</f>
        <v>Beekmantown</v>
      </c>
      <c r="D951" s="14">
        <v>2287062</v>
      </c>
      <c r="E951">
        <f>VLOOKUP(C951,'All Districts'!$B$3:$C$874,2,FALSE)</f>
        <v>3604290</v>
      </c>
      <c r="F951" s="91">
        <f>COUNTIF($E$2:$E$7106,E951)</f>
        <v>9</v>
      </c>
    </row>
    <row r="952" spans="1:6" x14ac:dyDescent="0.2">
      <c r="A952">
        <v>2016</v>
      </c>
      <c r="B952" s="13">
        <v>2044</v>
      </c>
      <c r="C952" s="90" t="str">
        <f>VLOOKUP(B952,'All Districts'!$A$3:$B$874,2,FALSE)</f>
        <v>Beekmantown</v>
      </c>
      <c r="D952" s="16">
        <v>1951014</v>
      </c>
      <c r="E952">
        <f>VLOOKUP(C952,'All Districts'!$B$3:$C$874,2,FALSE)</f>
        <v>3604290</v>
      </c>
      <c r="F952" s="91">
        <f>COUNTIF($E$2:$E$7106,E952)</f>
        <v>9</v>
      </c>
    </row>
    <row r="953" spans="1:6" x14ac:dyDescent="0.2">
      <c r="A953">
        <v>2017</v>
      </c>
      <c r="B953" s="13">
        <v>2044</v>
      </c>
      <c r="C953" s="90" t="str">
        <f>VLOOKUP(B953,'All Districts'!$A$3:$B$874,2,FALSE)</f>
        <v>Beekmantown</v>
      </c>
      <c r="D953" s="16">
        <v>1781808</v>
      </c>
      <c r="E953">
        <f>VLOOKUP(C953,'All Districts'!$B$3:$C$874,2,FALSE)</f>
        <v>3604290</v>
      </c>
      <c r="F953" s="91">
        <f>COUNTIF($E$2:$E$7106,E953)</f>
        <v>9</v>
      </c>
    </row>
    <row r="954" spans="1:6" x14ac:dyDescent="0.2">
      <c r="A954" s="10">
        <v>2018</v>
      </c>
      <c r="B954" s="13">
        <v>2044</v>
      </c>
      <c r="C954" s="90" t="str">
        <f>VLOOKUP(B954,'All Districts'!$A$3:$B$874,2,FALSE)</f>
        <v>Beekmantown</v>
      </c>
      <c r="D954" s="15">
        <v>1585868</v>
      </c>
      <c r="E954">
        <f>VLOOKUP(C954,'All Districts'!$B$3:$C$874,2,FALSE)</f>
        <v>3604290</v>
      </c>
      <c r="F954" s="91">
        <f>COUNTIF($E$2:$E$7106,E954)</f>
        <v>9</v>
      </c>
    </row>
    <row r="955" spans="1:6" x14ac:dyDescent="0.2">
      <c r="A955">
        <v>2019</v>
      </c>
      <c r="B955" s="36">
        <v>2044</v>
      </c>
      <c r="C955" s="90" t="str">
        <f>VLOOKUP(B955,'All Districts'!$A$3:$B$874,2,FALSE)</f>
        <v>Beekmantown</v>
      </c>
      <c r="D955" s="40">
        <v>1774146</v>
      </c>
      <c r="E955">
        <f>VLOOKUP(C955,'All Districts'!$B$3:$C$874,2,FALSE)</f>
        <v>3604290</v>
      </c>
      <c r="F955" s="91">
        <f>COUNTIF($E$2:$E$7106,E955)</f>
        <v>9</v>
      </c>
    </row>
    <row r="956" spans="1:6" x14ac:dyDescent="0.2">
      <c r="A956">
        <v>2020</v>
      </c>
      <c r="B956" s="36">
        <v>2044</v>
      </c>
      <c r="C956" s="90" t="str">
        <f>VLOOKUP(B956,'All Districts'!$A$3:$B$874,2,FALSE)</f>
        <v>Beekmantown</v>
      </c>
      <c r="D956" s="40">
        <v>1499882</v>
      </c>
      <c r="E956">
        <f>VLOOKUP(C956,'All Districts'!$B$3:$C$874,2,FALSE)</f>
        <v>3604290</v>
      </c>
      <c r="F956" s="91">
        <f>COUNTIF($E$2:$E$7106,E956)</f>
        <v>9</v>
      </c>
    </row>
    <row r="957" spans="1:6" x14ac:dyDescent="0.2">
      <c r="A957" s="10">
        <v>2021</v>
      </c>
      <c r="B957" s="55">
        <v>2044</v>
      </c>
      <c r="C957" s="90" t="str">
        <f>VLOOKUP(B957,'All Districts'!$A$3:$B$874,2,FALSE)</f>
        <v>Beekmantown</v>
      </c>
      <c r="D957" s="75">
        <v>1384615</v>
      </c>
      <c r="E957">
        <f>VLOOKUP(C957,'All Districts'!$B$3:$C$874,2,FALSE)</f>
        <v>3604290</v>
      </c>
      <c r="F957" s="91">
        <f>COUNTIF($E$2:$E$7106,E957)</f>
        <v>9</v>
      </c>
    </row>
    <row r="958" spans="1:6" x14ac:dyDescent="0.2">
      <c r="A958">
        <v>2022</v>
      </c>
      <c r="B958" s="36">
        <v>2044</v>
      </c>
      <c r="C958" s="90" t="str">
        <f>VLOOKUP(B958,'All Districts'!$A$3:$B$874,2,FALSE)</f>
        <v>Beekmantown</v>
      </c>
      <c r="D958" s="82">
        <v>1549481</v>
      </c>
      <c r="E958">
        <f>VLOOKUP(C958,'All Districts'!$B$3:$C$874,2,FALSE)</f>
        <v>3604290</v>
      </c>
      <c r="F958" s="91">
        <f>COUNTIF($E$2:$E$7106,E958)</f>
        <v>9</v>
      </c>
    </row>
    <row r="959" spans="1:6" x14ac:dyDescent="0.2">
      <c r="A959">
        <v>2023</v>
      </c>
      <c r="B959" s="36">
        <v>2044</v>
      </c>
      <c r="C959" s="90" t="str">
        <f>VLOOKUP(B959,'All Districts'!$A$3:$B$874,2,FALSE)</f>
        <v>Beekmantown</v>
      </c>
      <c r="D959" s="40">
        <v>1945275</v>
      </c>
      <c r="E959">
        <f>VLOOKUP(C959,'All Districts'!$B$3:$C$874,2,FALSE)</f>
        <v>3604290</v>
      </c>
      <c r="F959" s="91">
        <f>COUNTIF($E$2:$E$7106,E959)</f>
        <v>9</v>
      </c>
    </row>
    <row r="960" spans="1:6" x14ac:dyDescent="0.2">
      <c r="A960">
        <v>2015</v>
      </c>
      <c r="B960" s="13">
        <v>3105</v>
      </c>
      <c r="C960" s="90" t="str">
        <f>VLOOKUP(B960,'All Districts'!$A$3:$B$874,2,FALSE)</f>
        <v>Belfast</v>
      </c>
      <c r="D960" s="14">
        <v>446015</v>
      </c>
      <c r="E960">
        <f>VLOOKUP(C960,'All Districts'!$B$3:$C$874,2,FALSE)</f>
        <v>3604350</v>
      </c>
      <c r="F960" s="91">
        <f>COUNTIF($E$2:$E$7106,E960)</f>
        <v>9</v>
      </c>
    </row>
    <row r="961" spans="1:6" x14ac:dyDescent="0.2">
      <c r="A961">
        <v>2016</v>
      </c>
      <c r="B961" s="13">
        <v>3105</v>
      </c>
      <c r="C961" s="90" t="str">
        <f>VLOOKUP(B961,'All Districts'!$A$3:$B$874,2,FALSE)</f>
        <v>Belfast</v>
      </c>
      <c r="D961" s="16">
        <v>350848</v>
      </c>
      <c r="E961">
        <f>VLOOKUP(C961,'All Districts'!$B$3:$C$874,2,FALSE)</f>
        <v>3604350</v>
      </c>
      <c r="F961" s="91">
        <f>COUNTIF($E$2:$E$7106,E961)</f>
        <v>9</v>
      </c>
    </row>
    <row r="962" spans="1:6" x14ac:dyDescent="0.2">
      <c r="A962">
        <v>2017</v>
      </c>
      <c r="B962" s="13">
        <v>3105</v>
      </c>
      <c r="C962" s="90" t="str">
        <f>VLOOKUP(B962,'All Districts'!$A$3:$B$874,2,FALSE)</f>
        <v>Belfast</v>
      </c>
      <c r="D962" s="16">
        <v>309535</v>
      </c>
      <c r="E962">
        <f>VLOOKUP(C962,'All Districts'!$B$3:$C$874,2,FALSE)</f>
        <v>3604350</v>
      </c>
      <c r="F962" s="91">
        <f>COUNTIF($E$2:$E$7106,E962)</f>
        <v>9</v>
      </c>
    </row>
    <row r="963" spans="1:6" x14ac:dyDescent="0.2">
      <c r="A963" s="10">
        <v>2018</v>
      </c>
      <c r="B963" s="13">
        <v>3105</v>
      </c>
      <c r="C963" s="90" t="str">
        <f>VLOOKUP(B963,'All Districts'!$A$3:$B$874,2,FALSE)</f>
        <v>Belfast</v>
      </c>
      <c r="D963" s="15">
        <v>263334</v>
      </c>
      <c r="E963">
        <f>VLOOKUP(C963,'All Districts'!$B$3:$C$874,2,FALSE)</f>
        <v>3604350</v>
      </c>
      <c r="F963" s="91">
        <f>COUNTIF($E$2:$E$7106,E963)</f>
        <v>9</v>
      </c>
    </row>
    <row r="964" spans="1:6" x14ac:dyDescent="0.2">
      <c r="A964">
        <v>2019</v>
      </c>
      <c r="B964" s="36">
        <v>3105</v>
      </c>
      <c r="C964" s="90" t="str">
        <f>VLOOKUP(B964,'All Districts'!$A$3:$B$874,2,FALSE)</f>
        <v>Belfast</v>
      </c>
      <c r="D964" s="40">
        <v>283995</v>
      </c>
      <c r="E964">
        <f>VLOOKUP(C964,'All Districts'!$B$3:$C$874,2,FALSE)</f>
        <v>3604350</v>
      </c>
      <c r="F964" s="91">
        <f>COUNTIF($E$2:$E$7106,E964)</f>
        <v>9</v>
      </c>
    </row>
    <row r="965" spans="1:6" x14ac:dyDescent="0.2">
      <c r="A965">
        <v>2020</v>
      </c>
      <c r="B965" s="36">
        <v>3105</v>
      </c>
      <c r="C965" s="90" t="str">
        <f>VLOOKUP(B965,'All Districts'!$A$3:$B$874,2,FALSE)</f>
        <v>Belfast</v>
      </c>
      <c r="D965" s="40">
        <v>239429</v>
      </c>
      <c r="E965">
        <f>VLOOKUP(C965,'All Districts'!$B$3:$C$874,2,FALSE)</f>
        <v>3604350</v>
      </c>
      <c r="F965" s="91">
        <f>COUNTIF($E$2:$E$7106,E965)</f>
        <v>9</v>
      </c>
    </row>
    <row r="966" spans="1:6" x14ac:dyDescent="0.2">
      <c r="A966" s="10">
        <v>2021</v>
      </c>
      <c r="B966" s="55">
        <v>3105</v>
      </c>
      <c r="C966" s="90" t="str">
        <f>VLOOKUP(B966,'All Districts'!$A$3:$B$874,2,FALSE)</f>
        <v>Belfast</v>
      </c>
      <c r="D966" s="75">
        <v>258264</v>
      </c>
      <c r="E966">
        <f>VLOOKUP(C966,'All Districts'!$B$3:$C$874,2,FALSE)</f>
        <v>3604350</v>
      </c>
      <c r="F966" s="91">
        <f>COUNTIF($E$2:$E$7106,E966)</f>
        <v>9</v>
      </c>
    </row>
    <row r="967" spans="1:6" x14ac:dyDescent="0.2">
      <c r="A967">
        <v>2022</v>
      </c>
      <c r="B967" s="36">
        <v>3105</v>
      </c>
      <c r="C967" s="90" t="str">
        <f>VLOOKUP(B967,'All Districts'!$A$3:$B$874,2,FALSE)</f>
        <v>Belfast</v>
      </c>
      <c r="D967" s="82">
        <v>285387</v>
      </c>
      <c r="E967">
        <f>VLOOKUP(C967,'All Districts'!$B$3:$C$874,2,FALSE)</f>
        <v>3604350</v>
      </c>
      <c r="F967" s="91">
        <f>COUNTIF($E$2:$E$7106,E967)</f>
        <v>9</v>
      </c>
    </row>
    <row r="968" spans="1:6" x14ac:dyDescent="0.2">
      <c r="A968">
        <v>2023</v>
      </c>
      <c r="B968" s="36">
        <v>3105</v>
      </c>
      <c r="C968" s="90" t="str">
        <f>VLOOKUP(B968,'All Districts'!$A$3:$B$874,2,FALSE)</f>
        <v>Belfast</v>
      </c>
      <c r="D968" s="40">
        <v>318078</v>
      </c>
      <c r="E968">
        <f>VLOOKUP(C968,'All Districts'!$B$3:$C$874,2,FALSE)</f>
        <v>3604350</v>
      </c>
      <c r="F968" s="91">
        <f>COUNTIF($E$2:$E$7106,E968)</f>
        <v>9</v>
      </c>
    </row>
    <row r="969" spans="1:6" x14ac:dyDescent="0.2">
      <c r="A969">
        <v>2015</v>
      </c>
      <c r="B969" s="13">
        <v>4132</v>
      </c>
      <c r="C969" s="90" t="str">
        <f>VLOOKUP(B969,'All Districts'!$A$3:$B$874,2,FALSE)</f>
        <v>Belleville-Henderson</v>
      </c>
      <c r="D969" s="14">
        <v>463871</v>
      </c>
      <c r="E969">
        <f>VLOOKUP(C969,'All Districts'!$B$3:$C$874,2,FALSE)</f>
        <v>3604370</v>
      </c>
      <c r="F969" s="91">
        <f>COUNTIF($E$2:$E$7106,E969)</f>
        <v>9</v>
      </c>
    </row>
    <row r="970" spans="1:6" x14ac:dyDescent="0.2">
      <c r="A970">
        <v>2016</v>
      </c>
      <c r="B970" s="13">
        <v>4132</v>
      </c>
      <c r="C970" s="90" t="str">
        <f>VLOOKUP(B970,'All Districts'!$A$3:$B$874,2,FALSE)</f>
        <v>Belleville-Henderson</v>
      </c>
      <c r="D970" s="16">
        <v>371610</v>
      </c>
      <c r="E970">
        <f>VLOOKUP(C970,'All Districts'!$B$3:$C$874,2,FALSE)</f>
        <v>3604370</v>
      </c>
      <c r="F970" s="91">
        <f>COUNTIF($E$2:$E$7106,E970)</f>
        <v>9</v>
      </c>
    </row>
    <row r="971" spans="1:6" x14ac:dyDescent="0.2">
      <c r="A971">
        <v>2017</v>
      </c>
      <c r="B971" s="13">
        <v>4132</v>
      </c>
      <c r="C971" s="90" t="str">
        <f>VLOOKUP(B971,'All Districts'!$A$3:$B$874,2,FALSE)</f>
        <v>Belleville-Henderson</v>
      </c>
      <c r="D971" s="16">
        <v>331392</v>
      </c>
      <c r="E971">
        <f>VLOOKUP(C971,'All Districts'!$B$3:$C$874,2,FALSE)</f>
        <v>3604370</v>
      </c>
      <c r="F971" s="91">
        <f>COUNTIF($E$2:$E$7106,E971)</f>
        <v>9</v>
      </c>
    </row>
    <row r="972" spans="1:6" x14ac:dyDescent="0.2">
      <c r="A972" s="10">
        <v>2018</v>
      </c>
      <c r="B972" s="13">
        <v>4132</v>
      </c>
      <c r="C972" s="90" t="str">
        <f>VLOOKUP(B972,'All Districts'!$A$3:$B$874,2,FALSE)</f>
        <v>Belleville-Henderson</v>
      </c>
      <c r="D972" s="15">
        <v>267361</v>
      </c>
      <c r="E972">
        <f>VLOOKUP(C972,'All Districts'!$B$3:$C$874,2,FALSE)</f>
        <v>3604370</v>
      </c>
      <c r="F972" s="91">
        <f>COUNTIF($E$2:$E$7106,E972)</f>
        <v>9</v>
      </c>
    </row>
    <row r="973" spans="1:6" x14ac:dyDescent="0.2">
      <c r="A973">
        <v>2019</v>
      </c>
      <c r="B973" s="36">
        <v>4132</v>
      </c>
      <c r="C973" s="90" t="str">
        <f>VLOOKUP(B973,'All Districts'!$A$3:$B$874,2,FALSE)</f>
        <v>Belleville-Henderson</v>
      </c>
      <c r="D973" s="40">
        <v>299169</v>
      </c>
      <c r="E973">
        <f>VLOOKUP(C973,'All Districts'!$B$3:$C$874,2,FALSE)</f>
        <v>3604370</v>
      </c>
      <c r="F973" s="91">
        <f>COUNTIF($E$2:$E$7106,E973)</f>
        <v>9</v>
      </c>
    </row>
    <row r="974" spans="1:6" x14ac:dyDescent="0.2">
      <c r="A974">
        <v>2020</v>
      </c>
      <c r="B974" s="36">
        <v>4132</v>
      </c>
      <c r="C974" s="90" t="str">
        <f>VLOOKUP(B974,'All Districts'!$A$3:$B$874,2,FALSE)</f>
        <v>Belleville-Henderson</v>
      </c>
      <c r="D974" s="40">
        <v>257676</v>
      </c>
      <c r="E974">
        <f>VLOOKUP(C974,'All Districts'!$B$3:$C$874,2,FALSE)</f>
        <v>3604370</v>
      </c>
      <c r="F974" s="91">
        <f>COUNTIF($E$2:$E$7106,E974)</f>
        <v>9</v>
      </c>
    </row>
    <row r="975" spans="1:6" x14ac:dyDescent="0.2">
      <c r="A975" s="10">
        <v>2021</v>
      </c>
      <c r="B975" s="52">
        <v>4132</v>
      </c>
      <c r="C975" s="90" t="str">
        <f>VLOOKUP(B975,'All Districts'!$A$3:$B$874,2,FALSE)</f>
        <v>Belleville-Henderson</v>
      </c>
      <c r="D975" s="75">
        <v>291050</v>
      </c>
      <c r="E975">
        <f>VLOOKUP(C975,'All Districts'!$B$3:$C$874,2,FALSE)</f>
        <v>3604370</v>
      </c>
      <c r="F975" s="91">
        <f>COUNTIF($E$2:$E$7106,E975)</f>
        <v>9</v>
      </c>
    </row>
    <row r="976" spans="1:6" x14ac:dyDescent="0.2">
      <c r="A976">
        <v>2022</v>
      </c>
      <c r="B976" s="36">
        <v>4132</v>
      </c>
      <c r="C976" s="90" t="str">
        <f>VLOOKUP(B976,'All Districts'!$A$3:$B$874,2,FALSE)</f>
        <v>Belleville-Henderson</v>
      </c>
      <c r="D976" s="82">
        <v>324198</v>
      </c>
      <c r="E976">
        <f>VLOOKUP(C976,'All Districts'!$B$3:$C$874,2,FALSE)</f>
        <v>3604370</v>
      </c>
      <c r="F976" s="91">
        <f>COUNTIF($E$2:$E$7106,E976)</f>
        <v>9</v>
      </c>
    </row>
    <row r="977" spans="1:6" x14ac:dyDescent="0.2">
      <c r="A977">
        <v>2023</v>
      </c>
      <c r="B977" s="36">
        <v>4132</v>
      </c>
      <c r="C977" s="90" t="str">
        <f>VLOOKUP(B977,'All Districts'!$A$3:$B$874,2,FALSE)</f>
        <v>Belleville-Henderson</v>
      </c>
      <c r="D977" s="40">
        <v>340688</v>
      </c>
      <c r="E977">
        <f>VLOOKUP(C977,'All Districts'!$B$3:$C$874,2,FALSE)</f>
        <v>3604370</v>
      </c>
      <c r="F977" s="91">
        <f>COUNTIF($E$2:$E$7106,E977)</f>
        <v>9</v>
      </c>
    </row>
    <row r="978" spans="1:6" x14ac:dyDescent="0.2">
      <c r="A978">
        <v>2015</v>
      </c>
      <c r="B978" s="13">
        <v>4353</v>
      </c>
      <c r="C978" s="90" t="str">
        <f>VLOOKUP(B978,'All Districts'!$A$3:$B$874,2,FALSE)</f>
        <v>Bellmore</v>
      </c>
      <c r="D978" s="14">
        <v>2304365</v>
      </c>
      <c r="E978">
        <f>VLOOKUP(C978,'All Districts'!$B$3:$C$874,2,FALSE)</f>
        <v>3604410</v>
      </c>
      <c r="F978" s="91">
        <f>COUNTIF($E$2:$E$7106,E978)</f>
        <v>9</v>
      </c>
    </row>
    <row r="979" spans="1:6" x14ac:dyDescent="0.2">
      <c r="A979">
        <v>2016</v>
      </c>
      <c r="B979" s="13">
        <v>4353</v>
      </c>
      <c r="C979" s="90" t="str">
        <f>VLOOKUP(B979,'All Districts'!$A$3:$B$874,2,FALSE)</f>
        <v>Bellmore</v>
      </c>
      <c r="D979" s="16">
        <v>1778318</v>
      </c>
      <c r="E979">
        <f>VLOOKUP(C979,'All Districts'!$B$3:$C$874,2,FALSE)</f>
        <v>3604410</v>
      </c>
      <c r="F979" s="91">
        <f>COUNTIF($E$2:$E$7106,E979)</f>
        <v>9</v>
      </c>
    </row>
    <row r="980" spans="1:6" x14ac:dyDescent="0.2">
      <c r="A980">
        <v>2017</v>
      </c>
      <c r="B980" s="13">
        <v>4353</v>
      </c>
      <c r="C980" s="90" t="str">
        <f>VLOOKUP(B980,'All Districts'!$A$3:$B$874,2,FALSE)</f>
        <v>Bellmore</v>
      </c>
      <c r="D980" s="16">
        <v>1604657</v>
      </c>
      <c r="E980">
        <f>VLOOKUP(C980,'All Districts'!$B$3:$C$874,2,FALSE)</f>
        <v>3604410</v>
      </c>
      <c r="F980" s="91">
        <f>COUNTIF($E$2:$E$7106,E980)</f>
        <v>9</v>
      </c>
    </row>
    <row r="981" spans="1:6" x14ac:dyDescent="0.2">
      <c r="A981" s="10">
        <v>2018</v>
      </c>
      <c r="B981" s="13">
        <v>4353</v>
      </c>
      <c r="C981" s="90" t="str">
        <f>VLOOKUP(B981,'All Districts'!$A$3:$B$874,2,FALSE)</f>
        <v>Bellmore</v>
      </c>
      <c r="D981" s="15">
        <v>1343909</v>
      </c>
      <c r="E981">
        <f>VLOOKUP(C981,'All Districts'!$B$3:$C$874,2,FALSE)</f>
        <v>3604410</v>
      </c>
      <c r="F981" s="91">
        <f>COUNTIF($E$2:$E$7106,E981)</f>
        <v>9</v>
      </c>
    </row>
    <row r="982" spans="1:6" x14ac:dyDescent="0.2">
      <c r="A982">
        <v>2019</v>
      </c>
      <c r="B982" s="36">
        <v>4353</v>
      </c>
      <c r="C982" s="90" t="str">
        <f>VLOOKUP(B982,'All Districts'!$A$3:$B$874,2,FALSE)</f>
        <v>Bellmore</v>
      </c>
      <c r="D982" s="40">
        <v>1497182</v>
      </c>
      <c r="E982">
        <f>VLOOKUP(C982,'All Districts'!$B$3:$C$874,2,FALSE)</f>
        <v>3604410</v>
      </c>
      <c r="F982" s="91">
        <f>COUNTIF($E$2:$E$7106,E982)</f>
        <v>9</v>
      </c>
    </row>
    <row r="983" spans="1:6" x14ac:dyDescent="0.2">
      <c r="A983">
        <v>2020</v>
      </c>
      <c r="B983" s="36">
        <v>4353</v>
      </c>
      <c r="C983" s="90" t="str">
        <f>VLOOKUP(B983,'All Districts'!$A$3:$B$874,2,FALSE)</f>
        <v>Bellmore</v>
      </c>
      <c r="D983" s="40">
        <v>1266277</v>
      </c>
      <c r="E983">
        <f>VLOOKUP(C983,'All Districts'!$B$3:$C$874,2,FALSE)</f>
        <v>3604410</v>
      </c>
      <c r="F983" s="91">
        <f>COUNTIF($E$2:$E$7106,E983)</f>
        <v>9</v>
      </c>
    </row>
    <row r="984" spans="1:6" x14ac:dyDescent="0.2">
      <c r="A984" s="10">
        <v>2021</v>
      </c>
      <c r="B984" s="52">
        <v>4353</v>
      </c>
      <c r="C984" s="90" t="str">
        <f>VLOOKUP(B984,'All Districts'!$A$3:$B$874,2,FALSE)</f>
        <v>Bellmore</v>
      </c>
      <c r="D984" s="76">
        <v>1392375</v>
      </c>
      <c r="E984">
        <f>VLOOKUP(C984,'All Districts'!$B$3:$C$874,2,FALSE)</f>
        <v>3604410</v>
      </c>
      <c r="F984" s="91">
        <f>COUNTIF($E$2:$E$7106,E984)</f>
        <v>9</v>
      </c>
    </row>
    <row r="985" spans="1:6" x14ac:dyDescent="0.2">
      <c r="A985">
        <v>2022</v>
      </c>
      <c r="B985" s="36">
        <v>4353</v>
      </c>
      <c r="C985" s="90" t="str">
        <f>VLOOKUP(B985,'All Districts'!$A$3:$B$874,2,FALSE)</f>
        <v>Bellmore</v>
      </c>
      <c r="D985" s="82">
        <v>1409755</v>
      </c>
      <c r="E985">
        <f>VLOOKUP(C985,'All Districts'!$B$3:$C$874,2,FALSE)</f>
        <v>3604410</v>
      </c>
      <c r="F985" s="91">
        <f>COUNTIF($E$2:$E$7106,E985)</f>
        <v>9</v>
      </c>
    </row>
    <row r="986" spans="1:6" x14ac:dyDescent="0.2">
      <c r="A986">
        <v>2023</v>
      </c>
      <c r="B986" s="36">
        <v>4353</v>
      </c>
      <c r="C986" s="90" t="str">
        <f>VLOOKUP(B986,'All Districts'!$A$3:$B$874,2,FALSE)</f>
        <v>Bellmore</v>
      </c>
      <c r="D986" s="40">
        <v>1524271</v>
      </c>
      <c r="E986">
        <f>VLOOKUP(C986,'All Districts'!$B$3:$C$874,2,FALSE)</f>
        <v>3604410</v>
      </c>
      <c r="F986" s="91">
        <f>COUNTIF($E$2:$E$7106,E986)</f>
        <v>9</v>
      </c>
    </row>
    <row r="987" spans="1:6" x14ac:dyDescent="0.2">
      <c r="A987">
        <v>2015</v>
      </c>
      <c r="B987" s="13">
        <v>4368</v>
      </c>
      <c r="C987" s="90" t="str">
        <f>VLOOKUP(B987,'All Districts'!$A$3:$B$874,2,FALSE)</f>
        <v>Bellmore-Merrick</v>
      </c>
      <c r="D987" s="14">
        <v>10745270</v>
      </c>
      <c r="E987">
        <f>VLOOKUP(C987,'All Districts'!$B$3:$C$874,2,FALSE)</f>
        <v>3619020</v>
      </c>
      <c r="F987" s="91">
        <f>COUNTIF($E$2:$E$7106,E987)</f>
        <v>9</v>
      </c>
    </row>
    <row r="988" spans="1:6" x14ac:dyDescent="0.2">
      <c r="A988">
        <v>2016</v>
      </c>
      <c r="B988" s="13">
        <v>4368</v>
      </c>
      <c r="C988" s="90" t="str">
        <f>VLOOKUP(B988,'All Districts'!$A$3:$B$874,2,FALSE)</f>
        <v>Bellmore-Merrick</v>
      </c>
      <c r="D988" s="16">
        <v>8386631</v>
      </c>
      <c r="E988">
        <f>VLOOKUP(C988,'All Districts'!$B$3:$C$874,2,FALSE)</f>
        <v>3619020</v>
      </c>
      <c r="F988" s="91">
        <f>COUNTIF($E$2:$E$7106,E988)</f>
        <v>9</v>
      </c>
    </row>
    <row r="989" spans="1:6" x14ac:dyDescent="0.2">
      <c r="A989">
        <v>2017</v>
      </c>
      <c r="B989" s="13">
        <v>4368</v>
      </c>
      <c r="C989" s="90" t="str">
        <f>VLOOKUP(B989,'All Districts'!$A$3:$B$874,2,FALSE)</f>
        <v>Bellmore-Merrick</v>
      </c>
      <c r="D989" s="16">
        <v>7571017</v>
      </c>
      <c r="E989">
        <f>VLOOKUP(C989,'All Districts'!$B$3:$C$874,2,FALSE)</f>
        <v>3619020</v>
      </c>
      <c r="F989" s="91">
        <f>COUNTIF($E$2:$E$7106,E989)</f>
        <v>9</v>
      </c>
    </row>
    <row r="990" spans="1:6" x14ac:dyDescent="0.2">
      <c r="A990" s="10">
        <v>2018</v>
      </c>
      <c r="B990" s="13">
        <v>4368</v>
      </c>
      <c r="C990" s="90" t="str">
        <f>VLOOKUP(B990,'All Districts'!$A$3:$B$874,2,FALSE)</f>
        <v>Bellmore-Merrick</v>
      </c>
      <c r="D990" s="15">
        <v>6528710</v>
      </c>
      <c r="E990">
        <f>VLOOKUP(C990,'All Districts'!$B$3:$C$874,2,FALSE)</f>
        <v>3619020</v>
      </c>
      <c r="F990" s="91">
        <f>COUNTIF($E$2:$E$7106,E990)</f>
        <v>9</v>
      </c>
    </row>
    <row r="991" spans="1:6" x14ac:dyDescent="0.2">
      <c r="A991">
        <v>2019</v>
      </c>
      <c r="B991" s="36">
        <v>4368</v>
      </c>
      <c r="C991" s="90" t="str">
        <f>VLOOKUP(B991,'All Districts'!$A$3:$B$874,2,FALSE)</f>
        <v>Bellmore-Merrick</v>
      </c>
      <c r="D991" s="40">
        <v>7345151</v>
      </c>
      <c r="E991">
        <f>VLOOKUP(C991,'All Districts'!$B$3:$C$874,2,FALSE)</f>
        <v>3619020</v>
      </c>
      <c r="F991" s="91">
        <f>COUNTIF($E$2:$E$7106,E991)</f>
        <v>9</v>
      </c>
    </row>
    <row r="992" spans="1:6" x14ac:dyDescent="0.2">
      <c r="A992">
        <v>2020</v>
      </c>
      <c r="B992" s="36">
        <v>4368</v>
      </c>
      <c r="C992" s="90" t="str">
        <f>VLOOKUP(B992,'All Districts'!$A$3:$B$874,2,FALSE)</f>
        <v>Bellmore-Merrick</v>
      </c>
      <c r="D992" s="40">
        <v>6226658</v>
      </c>
      <c r="E992">
        <f>VLOOKUP(C992,'All Districts'!$B$3:$C$874,2,FALSE)</f>
        <v>3619020</v>
      </c>
      <c r="F992" s="91">
        <f>COUNTIF($E$2:$E$7106,E992)</f>
        <v>9</v>
      </c>
    </row>
    <row r="993" spans="1:6" x14ac:dyDescent="0.2">
      <c r="A993" s="10">
        <v>2021</v>
      </c>
      <c r="B993" s="52">
        <v>4368</v>
      </c>
      <c r="C993" s="90" t="str">
        <f>VLOOKUP(B993,'All Districts'!$A$3:$B$874,2,FALSE)</f>
        <v>Bellmore-Merrick</v>
      </c>
      <c r="D993" s="76">
        <v>6954917</v>
      </c>
      <c r="E993">
        <f>VLOOKUP(C993,'All Districts'!$B$3:$C$874,2,FALSE)</f>
        <v>3619020</v>
      </c>
      <c r="F993" s="91">
        <f>COUNTIF($E$2:$E$7106,E993)</f>
        <v>9</v>
      </c>
    </row>
    <row r="994" spans="1:6" x14ac:dyDescent="0.2">
      <c r="A994">
        <v>2022</v>
      </c>
      <c r="B994" s="36">
        <v>4368</v>
      </c>
      <c r="C994" s="90" t="str">
        <f>VLOOKUP(B994,'All Districts'!$A$3:$B$874,2,FALSE)</f>
        <v>Bellmore-Merrick</v>
      </c>
      <c r="D994" s="82">
        <v>7302852</v>
      </c>
      <c r="E994">
        <f>VLOOKUP(C994,'All Districts'!$B$3:$C$874,2,FALSE)</f>
        <v>3619020</v>
      </c>
      <c r="F994" s="91">
        <f>COUNTIF($E$2:$E$7106,E994)</f>
        <v>9</v>
      </c>
    </row>
    <row r="995" spans="1:6" x14ac:dyDescent="0.2">
      <c r="A995">
        <v>2023</v>
      </c>
      <c r="B995" s="36">
        <v>4368</v>
      </c>
      <c r="C995" s="90" t="str">
        <f>VLOOKUP(B995,'All Districts'!$A$3:$B$874,2,FALSE)</f>
        <v>Bellmore-Merrick</v>
      </c>
      <c r="D995" s="40">
        <v>7901475</v>
      </c>
      <c r="E995">
        <f>VLOOKUP(C995,'All Districts'!$B$3:$C$874,2,FALSE)</f>
        <v>3619020</v>
      </c>
      <c r="F995" s="91">
        <f>COUNTIF($E$2:$E$7106,E995)</f>
        <v>9</v>
      </c>
    </row>
    <row r="996" spans="1:6" x14ac:dyDescent="0.2">
      <c r="A996">
        <v>2015</v>
      </c>
      <c r="B996" s="13">
        <v>3329</v>
      </c>
      <c r="C996" s="90" t="str">
        <f>VLOOKUP(B996,'All Districts'!$A$3:$B$874,2,FALSE)</f>
        <v>Bemus Point</v>
      </c>
      <c r="D996" s="14">
        <v>820362</v>
      </c>
      <c r="E996">
        <f>VLOOKUP(C996,'All Districts'!$B$3:$C$874,2,FALSE)</f>
        <v>3604530</v>
      </c>
      <c r="F996" s="91">
        <f>COUNTIF($E$2:$E$7106,E996)</f>
        <v>9</v>
      </c>
    </row>
    <row r="997" spans="1:6" x14ac:dyDescent="0.2">
      <c r="A997">
        <v>2016</v>
      </c>
      <c r="B997" s="13">
        <v>3329</v>
      </c>
      <c r="C997" s="90" t="str">
        <f>VLOOKUP(B997,'All Districts'!$A$3:$B$874,2,FALSE)</f>
        <v>Bemus Point</v>
      </c>
      <c r="D997" s="16">
        <v>636024</v>
      </c>
      <c r="E997">
        <f>VLOOKUP(C997,'All Districts'!$B$3:$C$874,2,FALSE)</f>
        <v>3604530</v>
      </c>
      <c r="F997" s="91">
        <f>COUNTIF($E$2:$E$7106,E997)</f>
        <v>9</v>
      </c>
    </row>
    <row r="998" spans="1:6" x14ac:dyDescent="0.2">
      <c r="A998">
        <v>2017</v>
      </c>
      <c r="B998" s="13">
        <v>3329</v>
      </c>
      <c r="C998" s="90" t="str">
        <f>VLOOKUP(B998,'All Districts'!$A$3:$B$874,2,FALSE)</f>
        <v>Bemus Point</v>
      </c>
      <c r="D998" s="16">
        <v>575518</v>
      </c>
      <c r="E998">
        <f>VLOOKUP(C998,'All Districts'!$B$3:$C$874,2,FALSE)</f>
        <v>3604530</v>
      </c>
      <c r="F998" s="91">
        <f>COUNTIF($E$2:$E$7106,E998)</f>
        <v>9</v>
      </c>
    </row>
    <row r="999" spans="1:6" x14ac:dyDescent="0.2">
      <c r="A999" s="10">
        <v>2018</v>
      </c>
      <c r="B999" s="13">
        <v>3329</v>
      </c>
      <c r="C999" s="90" t="str">
        <f>VLOOKUP(B999,'All Districts'!$A$3:$B$874,2,FALSE)</f>
        <v>Bemus Point</v>
      </c>
      <c r="D999" s="15">
        <v>482332</v>
      </c>
      <c r="E999">
        <f>VLOOKUP(C999,'All Districts'!$B$3:$C$874,2,FALSE)</f>
        <v>3604530</v>
      </c>
      <c r="F999" s="91">
        <f>COUNTIF($E$2:$E$7106,E999)</f>
        <v>9</v>
      </c>
    </row>
    <row r="1000" spans="1:6" x14ac:dyDescent="0.2">
      <c r="A1000">
        <v>2019</v>
      </c>
      <c r="B1000" s="36">
        <v>3329</v>
      </c>
      <c r="C1000" s="90" t="str">
        <f>VLOOKUP(B1000,'All Districts'!$A$3:$B$874,2,FALSE)</f>
        <v>Bemus Point</v>
      </c>
      <c r="D1000" s="40">
        <v>542486</v>
      </c>
      <c r="E1000">
        <f>VLOOKUP(C1000,'All Districts'!$B$3:$C$874,2,FALSE)</f>
        <v>3604530</v>
      </c>
      <c r="F1000" s="91">
        <f>COUNTIF($E$2:$E$7106,E1000)</f>
        <v>9</v>
      </c>
    </row>
    <row r="1001" spans="1:6" x14ac:dyDescent="0.2">
      <c r="A1001">
        <v>2020</v>
      </c>
      <c r="B1001" s="36">
        <v>3329</v>
      </c>
      <c r="C1001" s="90" t="str">
        <f>VLOOKUP(B1001,'All Districts'!$A$3:$B$874,2,FALSE)</f>
        <v>Bemus Point</v>
      </c>
      <c r="D1001" s="40">
        <v>462684</v>
      </c>
      <c r="E1001">
        <f>VLOOKUP(C1001,'All Districts'!$B$3:$C$874,2,FALSE)</f>
        <v>3604530</v>
      </c>
      <c r="F1001" s="91">
        <f>COUNTIF($E$2:$E$7106,E1001)</f>
        <v>9</v>
      </c>
    </row>
    <row r="1002" spans="1:6" x14ac:dyDescent="0.2">
      <c r="A1002" s="10">
        <v>2021</v>
      </c>
      <c r="B1002" s="52">
        <v>3329</v>
      </c>
      <c r="C1002" s="90" t="str">
        <f>VLOOKUP(B1002,'All Districts'!$A$3:$B$874,2,FALSE)</f>
        <v>Bemus Point</v>
      </c>
      <c r="D1002" s="76">
        <v>482952</v>
      </c>
      <c r="E1002">
        <f>VLOOKUP(C1002,'All Districts'!$B$3:$C$874,2,FALSE)</f>
        <v>3604530</v>
      </c>
      <c r="F1002" s="91">
        <f>COUNTIF($E$2:$E$7106,E1002)</f>
        <v>9</v>
      </c>
    </row>
    <row r="1003" spans="1:6" x14ac:dyDescent="0.2">
      <c r="A1003">
        <v>2022</v>
      </c>
      <c r="B1003" s="36">
        <v>3329</v>
      </c>
      <c r="C1003" s="90" t="str">
        <f>VLOOKUP(B1003,'All Districts'!$A$3:$B$874,2,FALSE)</f>
        <v>Bemus Point</v>
      </c>
      <c r="D1003" s="82">
        <v>511985</v>
      </c>
      <c r="E1003">
        <f>VLOOKUP(C1003,'All Districts'!$B$3:$C$874,2,FALSE)</f>
        <v>3604530</v>
      </c>
      <c r="F1003" s="91">
        <f>COUNTIF($E$2:$E$7106,E1003)</f>
        <v>9</v>
      </c>
    </row>
    <row r="1004" spans="1:6" x14ac:dyDescent="0.2">
      <c r="A1004">
        <v>2023</v>
      </c>
      <c r="B1004" s="36">
        <v>3329</v>
      </c>
      <c r="C1004" s="90" t="str">
        <f>VLOOKUP(B1004,'All Districts'!$A$3:$B$874,2,FALSE)</f>
        <v>Bemus Point</v>
      </c>
      <c r="D1004" s="40">
        <v>576751</v>
      </c>
      <c r="E1004">
        <f>VLOOKUP(C1004,'All Districts'!$B$3:$C$874,2,FALSE)</f>
        <v>3604530</v>
      </c>
      <c r="F1004" s="91">
        <f>COUNTIF($E$2:$E$7106,E1004)</f>
        <v>9</v>
      </c>
    </row>
    <row r="1005" spans="1:6" x14ac:dyDescent="0.2">
      <c r="A1005">
        <v>2015</v>
      </c>
      <c r="B1005" s="13">
        <v>4901</v>
      </c>
      <c r="C1005" s="90" t="str">
        <f>VLOOKUP(B1005,'All Districts'!$A$3:$B$874,2,FALSE)</f>
        <v>Berlin</v>
      </c>
      <c r="D1005" s="14">
        <v>1198863</v>
      </c>
      <c r="E1005">
        <f>VLOOKUP(C1005,'All Districts'!$B$3:$C$874,2,FALSE)</f>
        <v>3604620</v>
      </c>
      <c r="F1005" s="91">
        <f>COUNTIF($E$2:$E$7106,E1005)</f>
        <v>9</v>
      </c>
    </row>
    <row r="1006" spans="1:6" x14ac:dyDescent="0.2">
      <c r="A1006">
        <v>2016</v>
      </c>
      <c r="B1006" s="13">
        <v>4901</v>
      </c>
      <c r="C1006" s="90" t="str">
        <f>VLOOKUP(B1006,'All Districts'!$A$3:$B$874,2,FALSE)</f>
        <v>Berlin</v>
      </c>
      <c r="D1006" s="16">
        <v>891345</v>
      </c>
      <c r="E1006">
        <f>VLOOKUP(C1006,'All Districts'!$B$3:$C$874,2,FALSE)</f>
        <v>3604620</v>
      </c>
      <c r="F1006" s="91">
        <f>COUNTIF($E$2:$E$7106,E1006)</f>
        <v>9</v>
      </c>
    </row>
    <row r="1007" spans="1:6" x14ac:dyDescent="0.2">
      <c r="A1007">
        <v>2017</v>
      </c>
      <c r="B1007" s="13">
        <v>4901</v>
      </c>
      <c r="C1007" s="90" t="str">
        <f>VLOOKUP(B1007,'All Districts'!$A$3:$B$874,2,FALSE)</f>
        <v>Berlin</v>
      </c>
      <c r="D1007" s="16">
        <v>812821</v>
      </c>
      <c r="E1007">
        <f>VLOOKUP(C1007,'All Districts'!$B$3:$C$874,2,FALSE)</f>
        <v>3604620</v>
      </c>
      <c r="F1007" s="91">
        <f>COUNTIF($E$2:$E$7106,E1007)</f>
        <v>9</v>
      </c>
    </row>
    <row r="1008" spans="1:6" x14ac:dyDescent="0.2">
      <c r="A1008" s="10">
        <v>2018</v>
      </c>
      <c r="B1008" s="13">
        <v>4901</v>
      </c>
      <c r="C1008" s="90" t="str">
        <f>VLOOKUP(B1008,'All Districts'!$A$3:$B$874,2,FALSE)</f>
        <v>Berlin</v>
      </c>
      <c r="D1008" s="15">
        <v>656422</v>
      </c>
      <c r="E1008">
        <f>VLOOKUP(C1008,'All Districts'!$B$3:$C$874,2,FALSE)</f>
        <v>3604620</v>
      </c>
      <c r="F1008" s="91">
        <f>COUNTIF($E$2:$E$7106,E1008)</f>
        <v>9</v>
      </c>
    </row>
    <row r="1009" spans="1:6" x14ac:dyDescent="0.2">
      <c r="A1009">
        <v>2019</v>
      </c>
      <c r="B1009" s="36">
        <v>4901</v>
      </c>
      <c r="C1009" s="90" t="str">
        <f>VLOOKUP(B1009,'All Districts'!$A$3:$B$874,2,FALSE)</f>
        <v>Berlin</v>
      </c>
      <c r="D1009" s="40">
        <v>765732</v>
      </c>
      <c r="E1009">
        <f>VLOOKUP(C1009,'All Districts'!$B$3:$C$874,2,FALSE)</f>
        <v>3604620</v>
      </c>
      <c r="F1009" s="91">
        <f>COUNTIF($E$2:$E$7106,E1009)</f>
        <v>9</v>
      </c>
    </row>
    <row r="1010" spans="1:6" x14ac:dyDescent="0.2">
      <c r="A1010">
        <v>2020</v>
      </c>
      <c r="B1010" s="36">
        <v>4901</v>
      </c>
      <c r="C1010" s="90" t="str">
        <f>VLOOKUP(B1010,'All Districts'!$A$3:$B$874,2,FALSE)</f>
        <v>Berlin</v>
      </c>
      <c r="D1010" s="40">
        <v>664068</v>
      </c>
      <c r="E1010">
        <f>VLOOKUP(C1010,'All Districts'!$B$3:$C$874,2,FALSE)</f>
        <v>3604620</v>
      </c>
      <c r="F1010" s="91">
        <f>COUNTIF($E$2:$E$7106,E1010)</f>
        <v>9</v>
      </c>
    </row>
    <row r="1011" spans="1:6" x14ac:dyDescent="0.2">
      <c r="A1011" s="10">
        <v>2021</v>
      </c>
      <c r="B1011" s="52">
        <v>4901</v>
      </c>
      <c r="C1011" s="90" t="str">
        <f>VLOOKUP(B1011,'All Districts'!$A$3:$B$874,2,FALSE)</f>
        <v>Berlin</v>
      </c>
      <c r="D1011" s="76">
        <v>715703</v>
      </c>
      <c r="E1011">
        <f>VLOOKUP(C1011,'All Districts'!$B$3:$C$874,2,FALSE)</f>
        <v>3604620</v>
      </c>
      <c r="F1011" s="91">
        <f>COUNTIF($E$2:$E$7106,E1011)</f>
        <v>9</v>
      </c>
    </row>
    <row r="1012" spans="1:6" x14ac:dyDescent="0.2">
      <c r="A1012">
        <v>2022</v>
      </c>
      <c r="B1012" s="36">
        <v>4901</v>
      </c>
      <c r="C1012" s="90" t="str">
        <f>VLOOKUP(B1012,'All Districts'!$A$3:$B$874,2,FALSE)</f>
        <v>Berlin</v>
      </c>
      <c r="D1012" s="82">
        <v>796488</v>
      </c>
      <c r="E1012">
        <f>VLOOKUP(C1012,'All Districts'!$B$3:$C$874,2,FALSE)</f>
        <v>3604620</v>
      </c>
      <c r="F1012" s="91">
        <f>COUNTIF($E$2:$E$7106,E1012)</f>
        <v>9</v>
      </c>
    </row>
    <row r="1013" spans="1:6" x14ac:dyDescent="0.2">
      <c r="A1013">
        <v>2023</v>
      </c>
      <c r="B1013" s="36">
        <v>4901</v>
      </c>
      <c r="C1013" s="90" t="str">
        <f>VLOOKUP(B1013,'All Districts'!$A$3:$B$874,2,FALSE)</f>
        <v>Berlin</v>
      </c>
      <c r="D1013" s="40">
        <v>872366</v>
      </c>
      <c r="E1013">
        <f>VLOOKUP(C1013,'All Districts'!$B$3:$C$874,2,FALSE)</f>
        <v>3604620</v>
      </c>
      <c r="F1013" s="91">
        <f>COUNTIF($E$2:$E$7106,E1013)</f>
        <v>9</v>
      </c>
    </row>
    <row r="1014" spans="1:6" x14ac:dyDescent="0.2">
      <c r="A1014">
        <v>2015</v>
      </c>
      <c r="B1014" s="13">
        <v>3032</v>
      </c>
      <c r="C1014" s="90" t="str">
        <f>VLOOKUP(B1014,'All Districts'!$A$3:$B$874,2,FALSE)</f>
        <v>Berne-Knox-Westerlo</v>
      </c>
      <c r="D1014" s="14">
        <v>994622</v>
      </c>
      <c r="E1014">
        <f>VLOOKUP(C1014,'All Districts'!$B$3:$C$874,2,FALSE)</f>
        <v>3604650</v>
      </c>
      <c r="F1014" s="91">
        <f>COUNTIF($E$2:$E$7106,E1014)</f>
        <v>9</v>
      </c>
    </row>
    <row r="1015" spans="1:6" x14ac:dyDescent="0.2">
      <c r="A1015">
        <v>2016</v>
      </c>
      <c r="B1015" s="13">
        <v>3032</v>
      </c>
      <c r="C1015" s="90" t="str">
        <f>VLOOKUP(B1015,'All Districts'!$A$3:$B$874,2,FALSE)</f>
        <v>Berne-Knox-Westerlo</v>
      </c>
      <c r="D1015" s="16">
        <v>775171</v>
      </c>
      <c r="E1015">
        <f>VLOOKUP(C1015,'All Districts'!$B$3:$C$874,2,FALSE)</f>
        <v>3604650</v>
      </c>
      <c r="F1015" s="91">
        <f>COUNTIF($E$2:$E$7106,E1015)</f>
        <v>9</v>
      </c>
    </row>
    <row r="1016" spans="1:6" x14ac:dyDescent="0.2">
      <c r="A1016">
        <v>2017</v>
      </c>
      <c r="B1016" s="13">
        <v>3032</v>
      </c>
      <c r="C1016" s="90" t="str">
        <f>VLOOKUP(B1016,'All Districts'!$A$3:$B$874,2,FALSE)</f>
        <v>Berne-Knox-Westerlo</v>
      </c>
      <c r="D1016" s="16">
        <v>699523</v>
      </c>
      <c r="E1016">
        <f>VLOOKUP(C1016,'All Districts'!$B$3:$C$874,2,FALSE)</f>
        <v>3604650</v>
      </c>
      <c r="F1016" s="91">
        <f>COUNTIF($E$2:$E$7106,E1016)</f>
        <v>9</v>
      </c>
    </row>
    <row r="1017" spans="1:6" x14ac:dyDescent="0.2">
      <c r="A1017" s="10">
        <v>2018</v>
      </c>
      <c r="B1017" s="13">
        <v>3032</v>
      </c>
      <c r="C1017" s="90" t="str">
        <f>VLOOKUP(B1017,'All Districts'!$A$3:$B$874,2,FALSE)</f>
        <v>Berne-Knox-Westerlo</v>
      </c>
      <c r="D1017" s="15">
        <v>616391</v>
      </c>
      <c r="E1017">
        <f>VLOOKUP(C1017,'All Districts'!$B$3:$C$874,2,FALSE)</f>
        <v>3604650</v>
      </c>
      <c r="F1017" s="91">
        <f>COUNTIF($E$2:$E$7106,E1017)</f>
        <v>9</v>
      </c>
    </row>
    <row r="1018" spans="1:6" x14ac:dyDescent="0.2">
      <c r="A1018">
        <v>2019</v>
      </c>
      <c r="B1018" s="36">
        <v>3032</v>
      </c>
      <c r="C1018" s="90" t="str">
        <f>VLOOKUP(B1018,'All Districts'!$A$3:$B$874,2,FALSE)</f>
        <v>Berne-Knox-Westerlo</v>
      </c>
      <c r="D1018" s="40">
        <v>707587</v>
      </c>
      <c r="E1018">
        <f>VLOOKUP(C1018,'All Districts'!$B$3:$C$874,2,FALSE)</f>
        <v>3604650</v>
      </c>
      <c r="F1018" s="91">
        <f>COUNTIF($E$2:$E$7106,E1018)</f>
        <v>9</v>
      </c>
    </row>
    <row r="1019" spans="1:6" x14ac:dyDescent="0.2">
      <c r="A1019">
        <v>2020</v>
      </c>
      <c r="B1019" s="36">
        <v>3032</v>
      </c>
      <c r="C1019" s="90" t="str">
        <f>VLOOKUP(B1019,'All Districts'!$A$3:$B$874,2,FALSE)</f>
        <v>Berne-Knox-Westerlo</v>
      </c>
      <c r="D1019" s="40">
        <v>608760</v>
      </c>
      <c r="E1019">
        <f>VLOOKUP(C1019,'All Districts'!$B$3:$C$874,2,FALSE)</f>
        <v>3604650</v>
      </c>
      <c r="F1019" s="91">
        <f>COUNTIF($E$2:$E$7106,E1019)</f>
        <v>9</v>
      </c>
    </row>
    <row r="1020" spans="1:6" x14ac:dyDescent="0.2">
      <c r="A1020" s="10">
        <v>2021</v>
      </c>
      <c r="B1020" s="52">
        <v>3032</v>
      </c>
      <c r="C1020" s="90" t="str">
        <f>VLOOKUP(B1020,'All Districts'!$A$3:$B$874,2,FALSE)</f>
        <v>Berne-Knox-Westerlo</v>
      </c>
      <c r="D1020" s="76">
        <v>676246</v>
      </c>
      <c r="E1020">
        <f>VLOOKUP(C1020,'All Districts'!$B$3:$C$874,2,FALSE)</f>
        <v>3604650</v>
      </c>
      <c r="F1020" s="91">
        <f>COUNTIF($E$2:$E$7106,E1020)</f>
        <v>9</v>
      </c>
    </row>
    <row r="1021" spans="1:6" x14ac:dyDescent="0.2">
      <c r="A1021">
        <v>2022</v>
      </c>
      <c r="B1021" s="36">
        <v>3032</v>
      </c>
      <c r="C1021" s="90" t="str">
        <f>VLOOKUP(B1021,'All Districts'!$A$3:$B$874,2,FALSE)</f>
        <v>Berne-Knox-Westerlo</v>
      </c>
      <c r="D1021" s="82">
        <v>739453</v>
      </c>
      <c r="E1021">
        <f>VLOOKUP(C1021,'All Districts'!$B$3:$C$874,2,FALSE)</f>
        <v>3604650</v>
      </c>
      <c r="F1021" s="91">
        <f>COUNTIF($E$2:$E$7106,E1021)</f>
        <v>9</v>
      </c>
    </row>
    <row r="1022" spans="1:6" x14ac:dyDescent="0.2">
      <c r="A1022">
        <v>2023</v>
      </c>
      <c r="B1022" s="36">
        <v>3032</v>
      </c>
      <c r="C1022" s="90" t="str">
        <f>VLOOKUP(B1022,'All Districts'!$A$3:$B$874,2,FALSE)</f>
        <v>Berne-Knox-Westerlo</v>
      </c>
      <c r="D1022" s="40">
        <v>762011</v>
      </c>
      <c r="E1022">
        <f>VLOOKUP(C1022,'All Districts'!$B$3:$C$874,2,FALSE)</f>
        <v>3604650</v>
      </c>
      <c r="F1022" s="91">
        <f>COUNTIF($E$2:$E$7106,E1022)</f>
        <v>9</v>
      </c>
    </row>
    <row r="1023" spans="1:6" x14ac:dyDescent="0.2">
      <c r="A1023">
        <v>2015</v>
      </c>
      <c r="B1023" s="13">
        <v>2046</v>
      </c>
      <c r="C1023" s="90" t="str">
        <f>VLOOKUP(B1023,'All Districts'!$A$3:$B$874,2,FALSE)</f>
        <v>Bethlehem</v>
      </c>
      <c r="D1023" s="14">
        <v>5289292</v>
      </c>
      <c r="E1023">
        <f>VLOOKUP(C1023,'All Districts'!$B$3:$C$874,2,FALSE)</f>
        <v>3604710</v>
      </c>
      <c r="F1023" s="91">
        <f>COUNTIF($E$2:$E$7106,E1023)</f>
        <v>9</v>
      </c>
    </row>
    <row r="1024" spans="1:6" x14ac:dyDescent="0.2">
      <c r="A1024">
        <v>2016</v>
      </c>
      <c r="B1024" s="13">
        <v>2046</v>
      </c>
      <c r="C1024" s="90" t="str">
        <f>VLOOKUP(B1024,'All Districts'!$A$3:$B$874,2,FALSE)</f>
        <v>Bethlehem</v>
      </c>
      <c r="D1024" s="16">
        <v>4119476</v>
      </c>
      <c r="E1024">
        <f>VLOOKUP(C1024,'All Districts'!$B$3:$C$874,2,FALSE)</f>
        <v>3604710</v>
      </c>
      <c r="F1024" s="91">
        <f>COUNTIF($E$2:$E$7106,E1024)</f>
        <v>9</v>
      </c>
    </row>
    <row r="1025" spans="1:6" x14ac:dyDescent="0.2">
      <c r="A1025">
        <v>2017</v>
      </c>
      <c r="B1025" s="13">
        <v>2046</v>
      </c>
      <c r="C1025" s="90" t="str">
        <f>VLOOKUP(B1025,'All Districts'!$A$3:$B$874,2,FALSE)</f>
        <v>Bethlehem</v>
      </c>
      <c r="D1025" s="16">
        <v>3753586</v>
      </c>
      <c r="E1025">
        <f>VLOOKUP(C1025,'All Districts'!$B$3:$C$874,2,FALSE)</f>
        <v>3604710</v>
      </c>
      <c r="F1025" s="91">
        <f>COUNTIF($E$2:$E$7106,E1025)</f>
        <v>9</v>
      </c>
    </row>
    <row r="1026" spans="1:6" x14ac:dyDescent="0.2">
      <c r="A1026" s="10">
        <v>2018</v>
      </c>
      <c r="B1026" s="13">
        <v>2046</v>
      </c>
      <c r="C1026" s="90" t="str">
        <f>VLOOKUP(B1026,'All Districts'!$A$3:$B$874,2,FALSE)</f>
        <v>Bethlehem</v>
      </c>
      <c r="D1026" s="15">
        <v>3165580</v>
      </c>
      <c r="E1026">
        <f>VLOOKUP(C1026,'All Districts'!$B$3:$C$874,2,FALSE)</f>
        <v>3604710</v>
      </c>
      <c r="F1026" s="91">
        <f>COUNTIF($E$2:$E$7106,E1026)</f>
        <v>9</v>
      </c>
    </row>
    <row r="1027" spans="1:6" x14ac:dyDescent="0.2">
      <c r="A1027">
        <v>2019</v>
      </c>
      <c r="B1027" s="36">
        <v>2046</v>
      </c>
      <c r="C1027" s="90" t="str">
        <f>VLOOKUP(B1027,'All Districts'!$A$3:$B$874,2,FALSE)</f>
        <v>Bethlehem</v>
      </c>
      <c r="D1027" s="40">
        <v>3444813</v>
      </c>
      <c r="E1027">
        <f>VLOOKUP(C1027,'All Districts'!$B$3:$C$874,2,FALSE)</f>
        <v>3604710</v>
      </c>
      <c r="F1027" s="91">
        <f>COUNTIF($E$2:$E$7106,E1027)</f>
        <v>9</v>
      </c>
    </row>
    <row r="1028" spans="1:6" x14ac:dyDescent="0.2">
      <c r="A1028">
        <v>2020</v>
      </c>
      <c r="B1028" s="36">
        <v>2046</v>
      </c>
      <c r="C1028" s="90" t="str">
        <f>VLOOKUP(B1028,'All Districts'!$A$3:$B$874,2,FALSE)</f>
        <v>Bethlehem</v>
      </c>
      <c r="D1028" s="40">
        <v>2907459</v>
      </c>
      <c r="E1028">
        <f>VLOOKUP(C1028,'All Districts'!$B$3:$C$874,2,FALSE)</f>
        <v>3604710</v>
      </c>
      <c r="F1028" s="91">
        <f>COUNTIF($E$2:$E$7106,E1028)</f>
        <v>9</v>
      </c>
    </row>
    <row r="1029" spans="1:6" x14ac:dyDescent="0.2">
      <c r="A1029" s="10">
        <v>2021</v>
      </c>
      <c r="B1029" s="70">
        <v>2046</v>
      </c>
      <c r="C1029" s="90" t="str">
        <f>VLOOKUP(B1029,'All Districts'!$A$3:$B$874,2,FALSE)</f>
        <v>Bethlehem</v>
      </c>
      <c r="D1029" s="77">
        <v>3258467</v>
      </c>
      <c r="E1029">
        <f>VLOOKUP(C1029,'All Districts'!$B$3:$C$874,2,FALSE)</f>
        <v>3604710</v>
      </c>
      <c r="F1029" s="91">
        <f>COUNTIF($E$2:$E$7106,E1029)</f>
        <v>9</v>
      </c>
    </row>
    <row r="1030" spans="1:6" x14ac:dyDescent="0.2">
      <c r="A1030">
        <v>2022</v>
      </c>
      <c r="B1030" s="36">
        <v>2046</v>
      </c>
      <c r="C1030" s="90" t="str">
        <f>VLOOKUP(B1030,'All Districts'!$A$3:$B$874,2,FALSE)</f>
        <v>Bethlehem</v>
      </c>
      <c r="D1030" s="82">
        <v>3457282</v>
      </c>
      <c r="E1030">
        <f>VLOOKUP(C1030,'All Districts'!$B$3:$C$874,2,FALSE)</f>
        <v>3604710</v>
      </c>
      <c r="F1030" s="91">
        <f>COUNTIF($E$2:$E$7106,E1030)</f>
        <v>9</v>
      </c>
    </row>
    <row r="1031" spans="1:6" x14ac:dyDescent="0.2">
      <c r="A1031">
        <v>2023</v>
      </c>
      <c r="B1031" s="36">
        <v>2046</v>
      </c>
      <c r="C1031" s="90" t="str">
        <f>VLOOKUP(B1031,'All Districts'!$A$3:$B$874,2,FALSE)</f>
        <v>Bethlehem</v>
      </c>
      <c r="D1031" s="40">
        <v>3755471</v>
      </c>
      <c r="E1031">
        <f>VLOOKUP(C1031,'All Districts'!$B$3:$C$874,2,FALSE)</f>
        <v>3604710</v>
      </c>
      <c r="F1031" s="91">
        <f>COUNTIF($E$2:$E$7106,E1031)</f>
        <v>9</v>
      </c>
    </row>
    <row r="1032" spans="1:6" x14ac:dyDescent="0.2">
      <c r="A1032">
        <v>2015</v>
      </c>
      <c r="B1032" s="13">
        <v>2045</v>
      </c>
      <c r="C1032" s="90" t="str">
        <f>VLOOKUP(B1032,'All Districts'!$A$3:$B$874,2,FALSE)</f>
        <v>Bethpage</v>
      </c>
      <c r="D1032" s="14">
        <v>6298746</v>
      </c>
      <c r="E1032">
        <f>VLOOKUP(C1032,'All Districts'!$B$3:$C$874,2,FALSE)</f>
        <v>3604740</v>
      </c>
      <c r="F1032" s="91">
        <f>COUNTIF($E$2:$E$7106,E1032)</f>
        <v>9</v>
      </c>
    </row>
    <row r="1033" spans="1:6" x14ac:dyDescent="0.2">
      <c r="A1033">
        <v>2016</v>
      </c>
      <c r="B1033" s="13">
        <v>2045</v>
      </c>
      <c r="C1033" s="90" t="str">
        <f>VLOOKUP(B1033,'All Districts'!$A$3:$B$874,2,FALSE)</f>
        <v>Bethpage</v>
      </c>
      <c r="D1033" s="16">
        <v>4900012</v>
      </c>
      <c r="E1033">
        <f>VLOOKUP(C1033,'All Districts'!$B$3:$C$874,2,FALSE)</f>
        <v>3604740</v>
      </c>
      <c r="F1033" s="91">
        <f>COUNTIF($E$2:$E$7106,E1033)</f>
        <v>9</v>
      </c>
    </row>
    <row r="1034" spans="1:6" x14ac:dyDescent="0.2">
      <c r="A1034">
        <v>2017</v>
      </c>
      <c r="B1034" s="13">
        <v>2045</v>
      </c>
      <c r="C1034" s="90" t="str">
        <f>VLOOKUP(B1034,'All Districts'!$A$3:$B$874,2,FALSE)</f>
        <v>Bethpage</v>
      </c>
      <c r="D1034" s="16">
        <v>4483289</v>
      </c>
      <c r="E1034">
        <f>VLOOKUP(C1034,'All Districts'!$B$3:$C$874,2,FALSE)</f>
        <v>3604740</v>
      </c>
      <c r="F1034" s="91">
        <f>COUNTIF($E$2:$E$7106,E1034)</f>
        <v>9</v>
      </c>
    </row>
    <row r="1035" spans="1:6" x14ac:dyDescent="0.2">
      <c r="A1035" s="10">
        <v>2018</v>
      </c>
      <c r="B1035" s="13">
        <v>2045</v>
      </c>
      <c r="C1035" s="90" t="str">
        <f>VLOOKUP(B1035,'All Districts'!$A$3:$B$874,2,FALSE)</f>
        <v>Bethpage</v>
      </c>
      <c r="D1035" s="15">
        <v>3849755</v>
      </c>
      <c r="E1035">
        <f>VLOOKUP(C1035,'All Districts'!$B$3:$C$874,2,FALSE)</f>
        <v>3604740</v>
      </c>
      <c r="F1035" s="91">
        <f>COUNTIF($E$2:$E$7106,E1035)</f>
        <v>9</v>
      </c>
    </row>
    <row r="1036" spans="1:6" x14ac:dyDescent="0.2">
      <c r="A1036">
        <v>2019</v>
      </c>
      <c r="B1036" s="36">
        <v>2045</v>
      </c>
      <c r="C1036" s="90" t="str">
        <f>VLOOKUP(B1036,'All Districts'!$A$3:$B$874,2,FALSE)</f>
        <v>Bethpage</v>
      </c>
      <c r="D1036" s="40">
        <v>4207166</v>
      </c>
      <c r="E1036">
        <f>VLOOKUP(C1036,'All Districts'!$B$3:$C$874,2,FALSE)</f>
        <v>3604740</v>
      </c>
      <c r="F1036" s="91">
        <f>COUNTIF($E$2:$E$7106,E1036)</f>
        <v>9</v>
      </c>
    </row>
    <row r="1037" spans="1:6" x14ac:dyDescent="0.2">
      <c r="A1037">
        <v>2020</v>
      </c>
      <c r="B1037" s="36">
        <v>2045</v>
      </c>
      <c r="C1037" s="90" t="str">
        <f>VLOOKUP(B1037,'All Districts'!$A$3:$B$874,2,FALSE)</f>
        <v>Bethpage</v>
      </c>
      <c r="D1037" s="40">
        <v>3617541</v>
      </c>
      <c r="E1037">
        <f>VLOOKUP(C1037,'All Districts'!$B$3:$C$874,2,FALSE)</f>
        <v>3604740</v>
      </c>
      <c r="F1037" s="91">
        <f>COUNTIF($E$2:$E$7106,E1037)</f>
        <v>9</v>
      </c>
    </row>
    <row r="1038" spans="1:6" x14ac:dyDescent="0.2">
      <c r="A1038" s="10">
        <v>2021</v>
      </c>
      <c r="B1038" s="52">
        <v>2045</v>
      </c>
      <c r="C1038" s="90" t="str">
        <f>VLOOKUP(B1038,'All Districts'!$A$3:$B$874,2,FALSE)</f>
        <v>Bethpage</v>
      </c>
      <c r="D1038" s="75">
        <v>3953366</v>
      </c>
      <c r="E1038">
        <f>VLOOKUP(C1038,'All Districts'!$B$3:$C$874,2,FALSE)</f>
        <v>3604740</v>
      </c>
      <c r="F1038" s="91">
        <f>COUNTIF($E$2:$E$7106,E1038)</f>
        <v>9</v>
      </c>
    </row>
    <row r="1039" spans="1:6" x14ac:dyDescent="0.2">
      <c r="A1039">
        <v>2022</v>
      </c>
      <c r="B1039" s="36">
        <v>2045</v>
      </c>
      <c r="C1039" s="90" t="str">
        <f>VLOOKUP(B1039,'All Districts'!$A$3:$B$874,2,FALSE)</f>
        <v>Bethpage</v>
      </c>
      <c r="D1039" s="82">
        <v>4104567</v>
      </c>
      <c r="E1039">
        <f>VLOOKUP(C1039,'All Districts'!$B$3:$C$874,2,FALSE)</f>
        <v>3604740</v>
      </c>
      <c r="F1039" s="91">
        <f>COUNTIF($E$2:$E$7106,E1039)</f>
        <v>9</v>
      </c>
    </row>
    <row r="1040" spans="1:6" x14ac:dyDescent="0.2">
      <c r="A1040">
        <v>2023</v>
      </c>
      <c r="B1040" s="36">
        <v>2045</v>
      </c>
      <c r="C1040" s="90" t="str">
        <f>VLOOKUP(B1040,'All Districts'!$A$3:$B$874,2,FALSE)</f>
        <v>Bethpage</v>
      </c>
      <c r="D1040" s="40">
        <v>4512454</v>
      </c>
      <c r="E1040">
        <f>VLOOKUP(C1040,'All Districts'!$B$3:$C$874,2,FALSE)</f>
        <v>3604740</v>
      </c>
      <c r="F1040" s="91">
        <f>COUNTIF($E$2:$E$7106,E1040)</f>
        <v>9</v>
      </c>
    </row>
    <row r="1041" spans="1:6" x14ac:dyDescent="0.2">
      <c r="A1041">
        <v>2015</v>
      </c>
      <c r="B1041" s="13">
        <v>1030</v>
      </c>
      <c r="C1041" s="90" t="str">
        <f>VLOOKUP(B1041,'All Districts'!$A$3:$B$874,2,FALSE)</f>
        <v>Binghamton</v>
      </c>
      <c r="D1041" s="14">
        <v>6523188</v>
      </c>
      <c r="E1041">
        <f>VLOOKUP(C1041,'All Districts'!$B$3:$C$874,2,FALSE)</f>
        <v>3604870</v>
      </c>
      <c r="F1041" s="91">
        <f>COUNTIF($E$2:$E$7106,E1041)</f>
        <v>9</v>
      </c>
    </row>
    <row r="1042" spans="1:6" x14ac:dyDescent="0.2">
      <c r="A1042">
        <v>2016</v>
      </c>
      <c r="B1042" s="13">
        <v>1030</v>
      </c>
      <c r="C1042" s="90" t="str">
        <f>VLOOKUP(B1042,'All Districts'!$A$3:$B$874,2,FALSE)</f>
        <v>Binghamton</v>
      </c>
      <c r="D1042" s="16">
        <v>5132702</v>
      </c>
      <c r="E1042">
        <f>VLOOKUP(C1042,'All Districts'!$B$3:$C$874,2,FALSE)</f>
        <v>3604870</v>
      </c>
      <c r="F1042" s="91">
        <f>COUNTIF($E$2:$E$7106,E1042)</f>
        <v>9</v>
      </c>
    </row>
    <row r="1043" spans="1:6" x14ac:dyDescent="0.2">
      <c r="A1043">
        <v>2017</v>
      </c>
      <c r="B1043" s="13">
        <v>1030</v>
      </c>
      <c r="C1043" s="90" t="str">
        <f>VLOOKUP(B1043,'All Districts'!$A$3:$B$874,2,FALSE)</f>
        <v>Binghamton</v>
      </c>
      <c r="D1043" s="16">
        <v>4715410</v>
      </c>
      <c r="E1043">
        <f>VLOOKUP(C1043,'All Districts'!$B$3:$C$874,2,FALSE)</f>
        <v>3604870</v>
      </c>
      <c r="F1043" s="91">
        <f>COUNTIF($E$2:$E$7106,E1043)</f>
        <v>9</v>
      </c>
    </row>
    <row r="1044" spans="1:6" x14ac:dyDescent="0.2">
      <c r="A1044" s="10">
        <v>2018</v>
      </c>
      <c r="B1044" s="13">
        <v>1030</v>
      </c>
      <c r="C1044" s="90" t="str">
        <f>VLOOKUP(B1044,'All Districts'!$A$3:$B$874,2,FALSE)</f>
        <v>Binghamton</v>
      </c>
      <c r="D1044" s="15">
        <v>4121801</v>
      </c>
      <c r="E1044">
        <f>VLOOKUP(C1044,'All Districts'!$B$3:$C$874,2,FALSE)</f>
        <v>3604870</v>
      </c>
      <c r="F1044" s="91">
        <f>COUNTIF($E$2:$E$7106,E1044)</f>
        <v>9</v>
      </c>
    </row>
    <row r="1045" spans="1:6" x14ac:dyDescent="0.2">
      <c r="A1045">
        <v>2019</v>
      </c>
      <c r="B1045" s="36">
        <v>1030</v>
      </c>
      <c r="C1045" s="90" t="str">
        <f>VLOOKUP(B1045,'All Districts'!$A$3:$B$874,2,FALSE)</f>
        <v>Binghamton</v>
      </c>
      <c r="D1045" s="40">
        <v>4589301</v>
      </c>
      <c r="E1045">
        <f>VLOOKUP(C1045,'All Districts'!$B$3:$C$874,2,FALSE)</f>
        <v>3604870</v>
      </c>
      <c r="F1045" s="91">
        <f>COUNTIF($E$2:$E$7106,E1045)</f>
        <v>9</v>
      </c>
    </row>
    <row r="1046" spans="1:6" x14ac:dyDescent="0.2">
      <c r="A1046">
        <v>2020</v>
      </c>
      <c r="B1046" s="36">
        <v>1030</v>
      </c>
      <c r="C1046" s="90" t="str">
        <f>VLOOKUP(B1046,'All Districts'!$A$3:$B$874,2,FALSE)</f>
        <v>Binghamton</v>
      </c>
      <c r="D1046" s="40">
        <v>3959255</v>
      </c>
      <c r="E1046">
        <f>VLOOKUP(C1046,'All Districts'!$B$3:$C$874,2,FALSE)</f>
        <v>3604870</v>
      </c>
      <c r="F1046" s="91">
        <f>COUNTIF($E$2:$E$7106,E1046)</f>
        <v>9</v>
      </c>
    </row>
    <row r="1047" spans="1:6" x14ac:dyDescent="0.2">
      <c r="A1047" s="10">
        <v>2021</v>
      </c>
      <c r="B1047" s="52">
        <v>1030</v>
      </c>
      <c r="C1047" s="90" t="str">
        <f>VLOOKUP(B1047,'All Districts'!$A$3:$B$874,2,FALSE)</f>
        <v>Binghamton</v>
      </c>
      <c r="D1047" s="75">
        <v>3993385</v>
      </c>
      <c r="E1047">
        <f>VLOOKUP(C1047,'All Districts'!$B$3:$C$874,2,FALSE)</f>
        <v>3604870</v>
      </c>
      <c r="F1047" s="91">
        <f>COUNTIF($E$2:$E$7106,E1047)</f>
        <v>9</v>
      </c>
    </row>
    <row r="1048" spans="1:6" x14ac:dyDescent="0.2">
      <c r="A1048">
        <v>2022</v>
      </c>
      <c r="B1048" s="36">
        <v>1030</v>
      </c>
      <c r="C1048" s="90" t="str">
        <f>VLOOKUP(B1048,'All Districts'!$A$3:$B$874,2,FALSE)</f>
        <v>Binghamton</v>
      </c>
      <c r="D1048" s="82">
        <v>4564482</v>
      </c>
      <c r="E1048">
        <f>VLOOKUP(C1048,'All Districts'!$B$3:$C$874,2,FALSE)</f>
        <v>3604870</v>
      </c>
      <c r="F1048" s="91">
        <f>COUNTIF($E$2:$E$7106,E1048)</f>
        <v>9</v>
      </c>
    </row>
    <row r="1049" spans="1:6" x14ac:dyDescent="0.2">
      <c r="A1049">
        <v>2023</v>
      </c>
      <c r="B1049" s="36">
        <v>1030</v>
      </c>
      <c r="C1049" s="90" t="str">
        <f>VLOOKUP(B1049,'All Districts'!$A$3:$B$874,2,FALSE)</f>
        <v>Binghamton</v>
      </c>
      <c r="D1049" s="40">
        <v>5062869</v>
      </c>
      <c r="E1049">
        <f>VLOOKUP(C1049,'All Districts'!$B$3:$C$874,2,FALSE)</f>
        <v>3604870</v>
      </c>
      <c r="F1049" s="91">
        <f>COUNTIF($E$2:$E$7106,E1049)</f>
        <v>9</v>
      </c>
    </row>
    <row r="1050" spans="1:6" x14ac:dyDescent="0.2">
      <c r="A1050">
        <v>2015</v>
      </c>
      <c r="B1050" s="13">
        <v>5817</v>
      </c>
      <c r="C1050" s="90" t="str">
        <f>VLOOKUP(B1050,'All Districts'!$A$3:$B$874,2,FALSE)</f>
        <v>Blind Brook-Rye</v>
      </c>
      <c r="D1050" s="15">
        <v>3220022</v>
      </c>
      <c r="E1050">
        <f>VLOOKUP(C1050,'All Districts'!$B$3:$C$874,2,FALSE)</f>
        <v>3624630</v>
      </c>
      <c r="F1050" s="91">
        <f>COUNTIF($E$2:$E$7106,E1050)</f>
        <v>9</v>
      </c>
    </row>
    <row r="1051" spans="1:6" x14ac:dyDescent="0.2">
      <c r="A1051">
        <v>2016</v>
      </c>
      <c r="B1051" s="13">
        <v>5817</v>
      </c>
      <c r="C1051" s="90" t="str">
        <f>VLOOKUP(B1051,'All Districts'!$A$3:$B$874,2,FALSE)</f>
        <v>Blind Brook-Rye</v>
      </c>
      <c r="D1051" s="16">
        <v>2555964</v>
      </c>
      <c r="E1051">
        <f>VLOOKUP(C1051,'All Districts'!$B$3:$C$874,2,FALSE)</f>
        <v>3624630</v>
      </c>
      <c r="F1051" s="91">
        <f>COUNTIF($E$2:$E$7106,E1051)</f>
        <v>9</v>
      </c>
    </row>
    <row r="1052" spans="1:6" x14ac:dyDescent="0.2">
      <c r="A1052">
        <v>2017</v>
      </c>
      <c r="B1052" s="13">
        <v>5817</v>
      </c>
      <c r="C1052" s="90" t="str">
        <f>VLOOKUP(B1052,'All Districts'!$A$3:$B$874,2,FALSE)</f>
        <v>Blind Brook-Rye</v>
      </c>
      <c r="D1052" s="16">
        <v>2327859</v>
      </c>
      <c r="E1052">
        <f>VLOOKUP(C1052,'All Districts'!$B$3:$C$874,2,FALSE)</f>
        <v>3624630</v>
      </c>
      <c r="F1052" s="91">
        <f>COUNTIF($E$2:$E$7106,E1052)</f>
        <v>9</v>
      </c>
    </row>
    <row r="1053" spans="1:6" x14ac:dyDescent="0.2">
      <c r="A1053" s="10">
        <v>2018</v>
      </c>
      <c r="B1053" s="13">
        <v>5817</v>
      </c>
      <c r="C1053" s="90" t="str">
        <f>VLOOKUP(B1053,'All Districts'!$A$3:$B$874,2,FALSE)</f>
        <v>Blind Brook-Rye</v>
      </c>
      <c r="D1053" s="15">
        <v>1934348</v>
      </c>
      <c r="E1053">
        <f>VLOOKUP(C1053,'All Districts'!$B$3:$C$874,2,FALSE)</f>
        <v>3624630</v>
      </c>
      <c r="F1053" s="91">
        <f>COUNTIF($E$2:$E$7106,E1053)</f>
        <v>9</v>
      </c>
    </row>
    <row r="1054" spans="1:6" x14ac:dyDescent="0.2">
      <c r="A1054">
        <v>2019</v>
      </c>
      <c r="B1054" s="36">
        <v>5817</v>
      </c>
      <c r="C1054" s="90" t="str">
        <f>VLOOKUP(B1054,'All Districts'!$A$3:$B$874,2,FALSE)</f>
        <v>Blind Brook-Rye</v>
      </c>
      <c r="D1054" s="40">
        <v>2092928</v>
      </c>
      <c r="E1054">
        <f>VLOOKUP(C1054,'All Districts'!$B$3:$C$874,2,FALSE)</f>
        <v>3624630</v>
      </c>
      <c r="F1054" s="91">
        <f>COUNTIF($E$2:$E$7106,E1054)</f>
        <v>9</v>
      </c>
    </row>
    <row r="1055" spans="1:6" x14ac:dyDescent="0.2">
      <c r="A1055">
        <v>2020</v>
      </c>
      <c r="B1055" s="36">
        <v>5817</v>
      </c>
      <c r="C1055" s="90" t="str">
        <f>VLOOKUP(B1055,'All Districts'!$A$3:$B$874,2,FALSE)</f>
        <v>Blind Brook-Rye</v>
      </c>
      <c r="D1055" s="40">
        <v>1755099</v>
      </c>
      <c r="E1055">
        <f>VLOOKUP(C1055,'All Districts'!$B$3:$C$874,2,FALSE)</f>
        <v>3624630</v>
      </c>
      <c r="F1055" s="91">
        <f>COUNTIF($E$2:$E$7106,E1055)</f>
        <v>9</v>
      </c>
    </row>
    <row r="1056" spans="1:6" x14ac:dyDescent="0.2">
      <c r="A1056" s="10">
        <v>2021</v>
      </c>
      <c r="B1056" s="52">
        <v>5817</v>
      </c>
      <c r="C1056" s="90" t="str">
        <f>VLOOKUP(B1056,'All Districts'!$A$3:$B$874,2,FALSE)</f>
        <v>Blind Brook-Rye</v>
      </c>
      <c r="D1056" s="76">
        <v>1907388</v>
      </c>
      <c r="E1056">
        <f>VLOOKUP(C1056,'All Districts'!$B$3:$C$874,2,FALSE)</f>
        <v>3624630</v>
      </c>
      <c r="F1056" s="91">
        <f>COUNTIF($E$2:$E$7106,E1056)</f>
        <v>9</v>
      </c>
    </row>
    <row r="1057" spans="1:6" x14ac:dyDescent="0.2">
      <c r="A1057">
        <v>2022</v>
      </c>
      <c r="B1057" s="36">
        <v>5817</v>
      </c>
      <c r="C1057" s="90" t="str">
        <f>VLOOKUP(B1057,'All Districts'!$A$3:$B$874,2,FALSE)</f>
        <v>Blind Brook-Rye</v>
      </c>
      <c r="D1057" s="82">
        <v>2012343</v>
      </c>
      <c r="E1057">
        <f>VLOOKUP(C1057,'All Districts'!$B$3:$C$874,2,FALSE)</f>
        <v>3624630</v>
      </c>
      <c r="F1057" s="91">
        <f>COUNTIF($E$2:$E$7106,E1057)</f>
        <v>9</v>
      </c>
    </row>
    <row r="1058" spans="1:6" x14ac:dyDescent="0.2">
      <c r="A1058">
        <v>2023</v>
      </c>
      <c r="B1058" s="36">
        <v>5817</v>
      </c>
      <c r="C1058" s="90" t="str">
        <f>VLOOKUP(B1058,'All Districts'!$A$3:$B$874,2,FALSE)</f>
        <v>Blind Brook-Rye</v>
      </c>
      <c r="D1058" s="40">
        <v>2212293</v>
      </c>
      <c r="E1058">
        <f>VLOOKUP(C1058,'All Districts'!$B$3:$C$874,2,FALSE)</f>
        <v>3624630</v>
      </c>
      <c r="F1058" s="91">
        <f>COUNTIF($E$2:$E$7106,E1058)</f>
        <v>9</v>
      </c>
    </row>
    <row r="1059" spans="1:6" x14ac:dyDescent="0.2">
      <c r="A1059">
        <v>2015</v>
      </c>
      <c r="B1059" s="13">
        <v>4582</v>
      </c>
      <c r="C1059" s="90" t="str">
        <f>VLOOKUP(B1059,'All Districts'!$A$3:$B$874,2,FALSE)</f>
        <v>Bloomfield</v>
      </c>
      <c r="D1059" s="14">
        <v>1222731</v>
      </c>
      <c r="E1059">
        <f>VLOOKUP(C1059,'All Districts'!$B$3:$C$874,2,FALSE)</f>
        <v>3604920</v>
      </c>
      <c r="F1059" s="91">
        <f>COUNTIF($E$2:$E$7106,E1059)</f>
        <v>9</v>
      </c>
    </row>
    <row r="1060" spans="1:6" x14ac:dyDescent="0.2">
      <c r="A1060">
        <v>2016</v>
      </c>
      <c r="B1060" s="13">
        <v>4582</v>
      </c>
      <c r="C1060" s="90" t="str">
        <f>VLOOKUP(B1060,'All Districts'!$A$3:$B$874,2,FALSE)</f>
        <v>Bloomfield</v>
      </c>
      <c r="D1060" s="16">
        <v>940455</v>
      </c>
      <c r="E1060">
        <f>VLOOKUP(C1060,'All Districts'!$B$3:$C$874,2,FALSE)</f>
        <v>3604920</v>
      </c>
      <c r="F1060" s="91">
        <f>COUNTIF($E$2:$E$7106,E1060)</f>
        <v>9</v>
      </c>
    </row>
    <row r="1061" spans="1:6" x14ac:dyDescent="0.2">
      <c r="A1061">
        <v>2017</v>
      </c>
      <c r="B1061" s="13">
        <v>4582</v>
      </c>
      <c r="C1061" s="90" t="str">
        <f>VLOOKUP(B1061,'All Districts'!$A$3:$B$874,2,FALSE)</f>
        <v>Bloomfield</v>
      </c>
      <c r="D1061" s="16">
        <v>832244</v>
      </c>
      <c r="E1061">
        <f>VLOOKUP(C1061,'All Districts'!$B$3:$C$874,2,FALSE)</f>
        <v>3604920</v>
      </c>
      <c r="F1061" s="91">
        <f>COUNTIF($E$2:$E$7106,E1061)</f>
        <v>9</v>
      </c>
    </row>
    <row r="1062" spans="1:6" x14ac:dyDescent="0.2">
      <c r="A1062" s="10">
        <v>2018</v>
      </c>
      <c r="B1062" s="13">
        <v>4582</v>
      </c>
      <c r="C1062" s="90" t="str">
        <f>VLOOKUP(B1062,'All Districts'!$A$3:$B$874,2,FALSE)</f>
        <v>Bloomfield</v>
      </c>
      <c r="D1062" s="15">
        <v>691880</v>
      </c>
      <c r="E1062">
        <f>VLOOKUP(C1062,'All Districts'!$B$3:$C$874,2,FALSE)</f>
        <v>3604920</v>
      </c>
      <c r="F1062" s="91">
        <f>COUNTIF($E$2:$E$7106,E1062)</f>
        <v>9</v>
      </c>
    </row>
    <row r="1063" spans="1:6" x14ac:dyDescent="0.2">
      <c r="A1063">
        <v>2019</v>
      </c>
      <c r="B1063" s="36">
        <v>4582</v>
      </c>
      <c r="C1063" s="90" t="str">
        <f>VLOOKUP(B1063,'All Districts'!$A$3:$B$874,2,FALSE)</f>
        <v>Bloomfield</v>
      </c>
      <c r="D1063" s="40">
        <v>739587</v>
      </c>
      <c r="E1063">
        <f>VLOOKUP(C1063,'All Districts'!$B$3:$C$874,2,FALSE)</f>
        <v>3604920</v>
      </c>
      <c r="F1063" s="91">
        <f>COUNTIF($E$2:$E$7106,E1063)</f>
        <v>9</v>
      </c>
    </row>
    <row r="1064" spans="1:6" x14ac:dyDescent="0.2">
      <c r="A1064">
        <v>2020</v>
      </c>
      <c r="B1064" s="36">
        <v>4582</v>
      </c>
      <c r="C1064" s="90" t="str">
        <f>VLOOKUP(B1064,'All Districts'!$A$3:$B$874,2,FALSE)</f>
        <v>Bloomfield</v>
      </c>
      <c r="D1064" s="40">
        <v>641229</v>
      </c>
      <c r="E1064">
        <f>VLOOKUP(C1064,'All Districts'!$B$3:$C$874,2,FALSE)</f>
        <v>3604920</v>
      </c>
      <c r="F1064" s="91">
        <f>COUNTIF($E$2:$E$7106,E1064)</f>
        <v>9</v>
      </c>
    </row>
    <row r="1065" spans="1:6" x14ac:dyDescent="0.2">
      <c r="A1065" s="10">
        <v>2021</v>
      </c>
      <c r="B1065" s="55">
        <v>4582</v>
      </c>
      <c r="C1065" s="90" t="str">
        <f>VLOOKUP(B1065,'All Districts'!$A$3:$B$874,2,FALSE)</f>
        <v>Bloomfield</v>
      </c>
      <c r="D1065" s="76">
        <v>691466</v>
      </c>
      <c r="E1065">
        <f>VLOOKUP(C1065,'All Districts'!$B$3:$C$874,2,FALSE)</f>
        <v>3604920</v>
      </c>
      <c r="F1065" s="91">
        <f>COUNTIF($E$2:$E$7106,E1065)</f>
        <v>9</v>
      </c>
    </row>
    <row r="1066" spans="1:6" x14ac:dyDescent="0.2">
      <c r="A1066">
        <v>2022</v>
      </c>
      <c r="B1066" s="36">
        <v>4582</v>
      </c>
      <c r="C1066" s="90" t="str">
        <f>VLOOKUP(B1066,'All Districts'!$A$3:$B$874,2,FALSE)</f>
        <v>Bloomfield</v>
      </c>
      <c r="D1066" s="82">
        <v>717877</v>
      </c>
      <c r="E1066">
        <f>VLOOKUP(C1066,'All Districts'!$B$3:$C$874,2,FALSE)</f>
        <v>3604920</v>
      </c>
      <c r="F1066" s="91">
        <f>COUNTIF($E$2:$E$7106,E1066)</f>
        <v>9</v>
      </c>
    </row>
    <row r="1067" spans="1:6" x14ac:dyDescent="0.2">
      <c r="A1067">
        <v>2023</v>
      </c>
      <c r="B1067" s="36">
        <v>4582</v>
      </c>
      <c r="C1067" s="90" t="str">
        <f>VLOOKUP(B1067,'All Districts'!$A$3:$B$874,2,FALSE)</f>
        <v>Bloomfield</v>
      </c>
      <c r="D1067" s="40">
        <v>790756</v>
      </c>
      <c r="E1067">
        <f>VLOOKUP(C1067,'All Districts'!$B$3:$C$874,2,FALSE)</f>
        <v>3604920</v>
      </c>
      <c r="F1067" s="91">
        <f>COUNTIF($E$2:$E$7106,E1067)</f>
        <v>9</v>
      </c>
    </row>
    <row r="1068" spans="1:6" x14ac:dyDescent="0.2">
      <c r="A1068">
        <v>2015</v>
      </c>
      <c r="B1068" s="13">
        <v>3082</v>
      </c>
      <c r="C1068" s="90" t="str">
        <f>VLOOKUP(B1068,'All Districts'!$A$3:$B$874,2,FALSE)</f>
        <v>Bolivar-Richburg</v>
      </c>
      <c r="D1068" s="14">
        <v>919367</v>
      </c>
      <c r="E1068">
        <f>VLOOKUP(C1068,'All Districts'!$B$3:$C$874,2,FALSE)</f>
        <v>3600012</v>
      </c>
      <c r="F1068" s="91">
        <f>COUNTIF($E$2:$E$7106,E1068)</f>
        <v>9</v>
      </c>
    </row>
    <row r="1069" spans="1:6" x14ac:dyDescent="0.2">
      <c r="A1069">
        <v>2016</v>
      </c>
      <c r="B1069" s="13">
        <v>3082</v>
      </c>
      <c r="C1069" s="90" t="str">
        <f>VLOOKUP(B1069,'All Districts'!$A$3:$B$874,2,FALSE)</f>
        <v>Bolivar-Richburg</v>
      </c>
      <c r="D1069" s="16">
        <v>700697</v>
      </c>
      <c r="E1069">
        <f>VLOOKUP(C1069,'All Districts'!$B$3:$C$874,2,FALSE)</f>
        <v>3600012</v>
      </c>
      <c r="F1069" s="91">
        <f>COUNTIF($E$2:$E$7106,E1069)</f>
        <v>9</v>
      </c>
    </row>
    <row r="1070" spans="1:6" x14ac:dyDescent="0.2">
      <c r="A1070">
        <v>2017</v>
      </c>
      <c r="B1070" s="13">
        <v>3082</v>
      </c>
      <c r="C1070" s="90" t="str">
        <f>VLOOKUP(B1070,'All Districts'!$A$3:$B$874,2,FALSE)</f>
        <v>Bolivar-Richburg</v>
      </c>
      <c r="D1070" s="16">
        <v>647476</v>
      </c>
      <c r="E1070">
        <f>VLOOKUP(C1070,'All Districts'!$B$3:$C$874,2,FALSE)</f>
        <v>3600012</v>
      </c>
      <c r="F1070" s="91">
        <f>COUNTIF($E$2:$E$7106,E1070)</f>
        <v>9</v>
      </c>
    </row>
    <row r="1071" spans="1:6" x14ac:dyDescent="0.2">
      <c r="A1071" s="10">
        <v>2018</v>
      </c>
      <c r="B1071" s="13">
        <v>3082</v>
      </c>
      <c r="C1071" s="90" t="str">
        <f>VLOOKUP(B1071,'All Districts'!$A$3:$B$874,2,FALSE)</f>
        <v>Bolivar-Richburg</v>
      </c>
      <c r="D1071" s="15">
        <v>536673</v>
      </c>
      <c r="E1071">
        <f>VLOOKUP(C1071,'All Districts'!$B$3:$C$874,2,FALSE)</f>
        <v>3600012</v>
      </c>
      <c r="F1071" s="91">
        <f>COUNTIF($E$2:$E$7106,E1071)</f>
        <v>9</v>
      </c>
    </row>
    <row r="1072" spans="1:6" x14ac:dyDescent="0.2">
      <c r="A1072">
        <v>2019</v>
      </c>
      <c r="B1072" s="36">
        <v>3082</v>
      </c>
      <c r="C1072" s="90" t="str">
        <f>VLOOKUP(B1072,'All Districts'!$A$3:$B$874,2,FALSE)</f>
        <v>Bolivar-Richburg</v>
      </c>
      <c r="D1072" s="40">
        <v>611676</v>
      </c>
      <c r="E1072">
        <f>VLOOKUP(C1072,'All Districts'!$B$3:$C$874,2,FALSE)</f>
        <v>3600012</v>
      </c>
      <c r="F1072" s="91">
        <f>COUNTIF($E$2:$E$7106,E1072)</f>
        <v>9</v>
      </c>
    </row>
    <row r="1073" spans="1:6" x14ac:dyDescent="0.2">
      <c r="A1073">
        <v>2020</v>
      </c>
      <c r="B1073" s="36">
        <v>3082</v>
      </c>
      <c r="C1073" s="90" t="str">
        <f>VLOOKUP(B1073,'All Districts'!$A$3:$B$874,2,FALSE)</f>
        <v>Bolivar-Richburg</v>
      </c>
      <c r="D1073" s="40">
        <v>514575</v>
      </c>
      <c r="E1073">
        <f>VLOOKUP(C1073,'All Districts'!$B$3:$C$874,2,FALSE)</f>
        <v>3600012</v>
      </c>
      <c r="F1073" s="91">
        <f>COUNTIF($E$2:$E$7106,E1073)</f>
        <v>9</v>
      </c>
    </row>
    <row r="1074" spans="1:6" x14ac:dyDescent="0.2">
      <c r="A1074" s="10">
        <v>2021</v>
      </c>
      <c r="B1074" s="52">
        <v>3082</v>
      </c>
      <c r="C1074" s="90" t="str">
        <f>VLOOKUP(B1074,'All Districts'!$A$3:$B$874,2,FALSE)</f>
        <v>Bolivar-Richburg</v>
      </c>
      <c r="D1074" s="76">
        <v>552941</v>
      </c>
      <c r="E1074">
        <f>VLOOKUP(C1074,'All Districts'!$B$3:$C$874,2,FALSE)</f>
        <v>3600012</v>
      </c>
      <c r="F1074" s="91">
        <f>COUNTIF($E$2:$E$7106,E1074)</f>
        <v>9</v>
      </c>
    </row>
    <row r="1075" spans="1:6" x14ac:dyDescent="0.2">
      <c r="A1075">
        <v>2022</v>
      </c>
      <c r="B1075" s="36">
        <v>3082</v>
      </c>
      <c r="C1075" s="90" t="str">
        <f>VLOOKUP(B1075,'All Districts'!$A$3:$B$874,2,FALSE)</f>
        <v>Bolivar-Richburg</v>
      </c>
      <c r="D1075" s="82">
        <v>603849</v>
      </c>
      <c r="E1075">
        <f>VLOOKUP(C1075,'All Districts'!$B$3:$C$874,2,FALSE)</f>
        <v>3600012</v>
      </c>
      <c r="F1075" s="91">
        <f>COUNTIF($E$2:$E$7106,E1075)</f>
        <v>9</v>
      </c>
    </row>
    <row r="1076" spans="1:6" x14ac:dyDescent="0.2">
      <c r="A1076">
        <v>2023</v>
      </c>
      <c r="B1076" s="36">
        <v>3082</v>
      </c>
      <c r="C1076" s="90" t="str">
        <f>VLOOKUP(B1076,'All Districts'!$A$3:$B$874,2,FALSE)</f>
        <v>Bolivar-Richburg</v>
      </c>
      <c r="D1076" s="40">
        <v>641274</v>
      </c>
      <c r="E1076">
        <f>VLOOKUP(C1076,'All Districts'!$B$3:$C$874,2,FALSE)</f>
        <v>3600012</v>
      </c>
      <c r="F1076" s="91">
        <f>COUNTIF($E$2:$E$7106,E1076)</f>
        <v>9</v>
      </c>
    </row>
    <row r="1077" spans="1:6" x14ac:dyDescent="0.2">
      <c r="A1077">
        <v>2015</v>
      </c>
      <c r="B1077" s="13">
        <v>5684</v>
      </c>
      <c r="C1077" s="90" t="str">
        <f>VLOOKUP(B1077,'All Districts'!$A$3:$B$874,2,FALSE)</f>
        <v>Bolton</v>
      </c>
      <c r="D1077" s="14">
        <v>473801</v>
      </c>
      <c r="E1077">
        <f>VLOOKUP(C1077,'All Districts'!$B$3:$C$874,2,FALSE)</f>
        <v>3605010</v>
      </c>
      <c r="F1077" s="91">
        <f>COUNTIF($E$2:$E$7106,E1077)</f>
        <v>9</v>
      </c>
    </row>
    <row r="1078" spans="1:6" x14ac:dyDescent="0.2">
      <c r="A1078">
        <v>2016</v>
      </c>
      <c r="B1078" s="13">
        <v>5684</v>
      </c>
      <c r="C1078" s="90" t="str">
        <f>VLOOKUP(B1078,'All Districts'!$A$3:$B$874,2,FALSE)</f>
        <v>Bolton</v>
      </c>
      <c r="D1078" s="16">
        <v>359798</v>
      </c>
      <c r="E1078">
        <f>VLOOKUP(C1078,'All Districts'!$B$3:$C$874,2,FALSE)</f>
        <v>3605010</v>
      </c>
      <c r="F1078" s="91">
        <f>COUNTIF($E$2:$E$7106,E1078)</f>
        <v>9</v>
      </c>
    </row>
    <row r="1079" spans="1:6" x14ac:dyDescent="0.2">
      <c r="A1079">
        <v>2017</v>
      </c>
      <c r="B1079" s="13">
        <v>5684</v>
      </c>
      <c r="C1079" s="90" t="str">
        <f>VLOOKUP(B1079,'All Districts'!$A$3:$B$874,2,FALSE)</f>
        <v>Bolton</v>
      </c>
      <c r="D1079" s="16">
        <v>325579</v>
      </c>
      <c r="E1079">
        <f>VLOOKUP(C1079,'All Districts'!$B$3:$C$874,2,FALSE)</f>
        <v>3605010</v>
      </c>
      <c r="F1079" s="91">
        <f>COUNTIF($E$2:$E$7106,E1079)</f>
        <v>9</v>
      </c>
    </row>
    <row r="1080" spans="1:6" x14ac:dyDescent="0.2">
      <c r="A1080" s="10">
        <v>2018</v>
      </c>
      <c r="B1080" s="13">
        <v>5684</v>
      </c>
      <c r="C1080" s="90" t="str">
        <f>VLOOKUP(B1080,'All Districts'!$A$3:$B$874,2,FALSE)</f>
        <v>Bolton</v>
      </c>
      <c r="D1080" s="15">
        <v>281010</v>
      </c>
      <c r="E1080">
        <f>VLOOKUP(C1080,'All Districts'!$B$3:$C$874,2,FALSE)</f>
        <v>3605010</v>
      </c>
      <c r="F1080" s="91">
        <f>COUNTIF($E$2:$E$7106,E1080)</f>
        <v>9</v>
      </c>
    </row>
    <row r="1081" spans="1:6" x14ac:dyDescent="0.2">
      <c r="A1081">
        <v>2019</v>
      </c>
      <c r="B1081" s="36">
        <v>5684</v>
      </c>
      <c r="C1081" s="90" t="str">
        <f>VLOOKUP(B1081,'All Districts'!$A$3:$B$874,2,FALSE)</f>
        <v>Bolton</v>
      </c>
      <c r="D1081" s="40">
        <v>310655</v>
      </c>
      <c r="E1081">
        <f>VLOOKUP(C1081,'All Districts'!$B$3:$C$874,2,FALSE)</f>
        <v>3605010</v>
      </c>
      <c r="F1081" s="91">
        <f>COUNTIF($E$2:$E$7106,E1081)</f>
        <v>9</v>
      </c>
    </row>
    <row r="1082" spans="1:6" x14ac:dyDescent="0.2">
      <c r="A1082">
        <v>2020</v>
      </c>
      <c r="B1082" s="36">
        <v>5684</v>
      </c>
      <c r="C1082" s="90" t="str">
        <f>VLOOKUP(B1082,'All Districts'!$A$3:$B$874,2,FALSE)</f>
        <v>Bolton</v>
      </c>
      <c r="D1082" s="40">
        <v>260462</v>
      </c>
      <c r="E1082">
        <f>VLOOKUP(C1082,'All Districts'!$B$3:$C$874,2,FALSE)</f>
        <v>3605010</v>
      </c>
      <c r="F1082" s="91">
        <f>COUNTIF($E$2:$E$7106,E1082)</f>
        <v>9</v>
      </c>
    </row>
    <row r="1083" spans="1:6" x14ac:dyDescent="0.2">
      <c r="A1083" s="10">
        <v>2021</v>
      </c>
      <c r="B1083" s="52">
        <v>5684</v>
      </c>
      <c r="C1083" s="90" t="str">
        <f>VLOOKUP(B1083,'All Districts'!$A$3:$B$874,2,FALSE)</f>
        <v>Bolton</v>
      </c>
      <c r="D1083" s="76">
        <v>286142</v>
      </c>
      <c r="E1083">
        <f>VLOOKUP(C1083,'All Districts'!$B$3:$C$874,2,FALSE)</f>
        <v>3605010</v>
      </c>
      <c r="F1083" s="91">
        <f>COUNTIF($E$2:$E$7106,E1083)</f>
        <v>9</v>
      </c>
    </row>
    <row r="1084" spans="1:6" x14ac:dyDescent="0.2">
      <c r="A1084">
        <v>2022</v>
      </c>
      <c r="B1084" s="36">
        <v>5684</v>
      </c>
      <c r="C1084" s="90" t="str">
        <f>VLOOKUP(B1084,'All Districts'!$A$3:$B$874,2,FALSE)</f>
        <v>Bolton</v>
      </c>
      <c r="D1084" s="82">
        <v>296311</v>
      </c>
      <c r="E1084">
        <f>VLOOKUP(C1084,'All Districts'!$B$3:$C$874,2,FALSE)</f>
        <v>3605010</v>
      </c>
      <c r="F1084" s="91">
        <f>COUNTIF($E$2:$E$7106,E1084)</f>
        <v>9</v>
      </c>
    </row>
    <row r="1085" spans="1:6" x14ac:dyDescent="0.2">
      <c r="A1085">
        <v>2023</v>
      </c>
      <c r="B1085" s="36">
        <v>5684</v>
      </c>
      <c r="C1085" s="90" t="str">
        <f>VLOOKUP(B1085,'All Districts'!$A$3:$B$874,2,FALSE)</f>
        <v>Bolton</v>
      </c>
      <c r="D1085" s="40">
        <v>325304</v>
      </c>
      <c r="E1085">
        <f>VLOOKUP(C1085,'All Districts'!$B$3:$C$874,2,FALSE)</f>
        <v>3605010</v>
      </c>
      <c r="F1085" s="91">
        <f>COUNTIF($E$2:$E$7106,E1085)</f>
        <v>9</v>
      </c>
    </row>
    <row r="1086" spans="1:6" x14ac:dyDescent="0.2">
      <c r="A1086">
        <v>2015</v>
      </c>
      <c r="B1086" s="13">
        <v>5303</v>
      </c>
      <c r="C1086" s="90" t="str">
        <f>VLOOKUP(B1086,'All Districts'!$A$3:$B$874,2,FALSE)</f>
        <v>Bradford</v>
      </c>
      <c r="D1086" s="14">
        <v>370551</v>
      </c>
      <c r="E1086">
        <f>VLOOKUP(C1086,'All Districts'!$B$3:$C$874,2,FALSE)</f>
        <v>3605220</v>
      </c>
      <c r="F1086" s="91">
        <f>COUNTIF($E$2:$E$7106,E1086)</f>
        <v>9</v>
      </c>
    </row>
    <row r="1087" spans="1:6" x14ac:dyDescent="0.2">
      <c r="A1087">
        <v>2016</v>
      </c>
      <c r="B1087" s="13">
        <v>5303</v>
      </c>
      <c r="C1087" s="90" t="str">
        <f>VLOOKUP(B1087,'All Districts'!$A$3:$B$874,2,FALSE)</f>
        <v>Bradford</v>
      </c>
      <c r="D1087" s="16">
        <v>290936</v>
      </c>
      <c r="E1087">
        <f>VLOOKUP(C1087,'All Districts'!$B$3:$C$874,2,FALSE)</f>
        <v>3605220</v>
      </c>
      <c r="F1087" s="91">
        <f>COUNTIF($E$2:$E$7106,E1087)</f>
        <v>9</v>
      </c>
    </row>
    <row r="1088" spans="1:6" x14ac:dyDescent="0.2">
      <c r="A1088">
        <v>2017</v>
      </c>
      <c r="B1088" s="13">
        <v>5303</v>
      </c>
      <c r="C1088" s="90" t="str">
        <f>VLOOKUP(B1088,'All Districts'!$A$3:$B$874,2,FALSE)</f>
        <v>Bradford</v>
      </c>
      <c r="D1088" s="16">
        <v>258131</v>
      </c>
      <c r="E1088">
        <f>VLOOKUP(C1088,'All Districts'!$B$3:$C$874,2,FALSE)</f>
        <v>3605220</v>
      </c>
      <c r="F1088" s="91">
        <f>COUNTIF($E$2:$E$7106,E1088)</f>
        <v>9</v>
      </c>
    </row>
    <row r="1089" spans="1:6" x14ac:dyDescent="0.2">
      <c r="A1089" s="10">
        <v>2018</v>
      </c>
      <c r="B1089" s="13">
        <v>5303</v>
      </c>
      <c r="C1089" s="90" t="str">
        <f>VLOOKUP(B1089,'All Districts'!$A$3:$B$874,2,FALSE)</f>
        <v>Bradford</v>
      </c>
      <c r="D1089" s="15">
        <v>213568</v>
      </c>
      <c r="E1089">
        <f>VLOOKUP(C1089,'All Districts'!$B$3:$C$874,2,FALSE)</f>
        <v>3605220</v>
      </c>
      <c r="F1089" s="91">
        <f>COUNTIF($E$2:$E$7106,E1089)</f>
        <v>9</v>
      </c>
    </row>
    <row r="1090" spans="1:6" x14ac:dyDescent="0.2">
      <c r="A1090">
        <v>2019</v>
      </c>
      <c r="B1090" s="36">
        <v>5303</v>
      </c>
      <c r="C1090" s="90" t="str">
        <f>VLOOKUP(B1090,'All Districts'!$A$3:$B$874,2,FALSE)</f>
        <v>Bradford</v>
      </c>
      <c r="D1090" s="40">
        <v>221455</v>
      </c>
      <c r="E1090">
        <f>VLOOKUP(C1090,'All Districts'!$B$3:$C$874,2,FALSE)</f>
        <v>3605220</v>
      </c>
      <c r="F1090" s="91">
        <f>COUNTIF($E$2:$E$7106,E1090)</f>
        <v>9</v>
      </c>
    </row>
    <row r="1091" spans="1:6" x14ac:dyDescent="0.2">
      <c r="A1091">
        <v>2020</v>
      </c>
      <c r="B1091" s="36">
        <v>5303</v>
      </c>
      <c r="C1091" s="90" t="str">
        <f>VLOOKUP(B1091,'All Districts'!$A$3:$B$874,2,FALSE)</f>
        <v>Bradford</v>
      </c>
      <c r="D1091" s="40">
        <v>179213</v>
      </c>
      <c r="E1091">
        <f>VLOOKUP(C1091,'All Districts'!$B$3:$C$874,2,FALSE)</f>
        <v>3605220</v>
      </c>
      <c r="F1091" s="91">
        <f>COUNTIF($E$2:$E$7106,E1091)</f>
        <v>9</v>
      </c>
    </row>
    <row r="1092" spans="1:6" x14ac:dyDescent="0.2">
      <c r="A1092" s="10">
        <v>2021</v>
      </c>
      <c r="B1092" s="52">
        <v>5303</v>
      </c>
      <c r="C1092" s="90" t="str">
        <f>VLOOKUP(B1092,'All Districts'!$A$3:$B$874,2,FALSE)</f>
        <v>Bradford</v>
      </c>
      <c r="D1092" s="75">
        <v>200680</v>
      </c>
      <c r="E1092">
        <f>VLOOKUP(C1092,'All Districts'!$B$3:$C$874,2,FALSE)</f>
        <v>3605220</v>
      </c>
      <c r="F1092" s="91">
        <f>COUNTIF($E$2:$E$7106,E1092)</f>
        <v>9</v>
      </c>
    </row>
    <row r="1093" spans="1:6" x14ac:dyDescent="0.2">
      <c r="A1093">
        <v>2022</v>
      </c>
      <c r="B1093" s="36">
        <v>5303</v>
      </c>
      <c r="C1093" s="90" t="str">
        <f>VLOOKUP(B1093,'All Districts'!$A$3:$B$874,2,FALSE)</f>
        <v>Bradford</v>
      </c>
      <c r="D1093" s="82">
        <v>221489</v>
      </c>
      <c r="E1093">
        <f>VLOOKUP(C1093,'All Districts'!$B$3:$C$874,2,FALSE)</f>
        <v>3605220</v>
      </c>
      <c r="F1093" s="91">
        <f>COUNTIF($E$2:$E$7106,E1093)</f>
        <v>9</v>
      </c>
    </row>
    <row r="1094" spans="1:6" x14ac:dyDescent="0.2">
      <c r="A1094">
        <v>2023</v>
      </c>
      <c r="B1094" s="36">
        <v>5303</v>
      </c>
      <c r="C1094" s="90" t="str">
        <f>VLOOKUP(B1094,'All Districts'!$A$3:$B$874,2,FALSE)</f>
        <v>Bradford</v>
      </c>
      <c r="D1094" s="40">
        <v>244331</v>
      </c>
      <c r="E1094">
        <f>VLOOKUP(C1094,'All Districts'!$B$3:$C$874,2,FALSE)</f>
        <v>3605220</v>
      </c>
      <c r="F1094" s="91">
        <f>COUNTIF($E$2:$E$7106,E1094)</f>
        <v>9</v>
      </c>
    </row>
    <row r="1095" spans="1:6" x14ac:dyDescent="0.2">
      <c r="A1095">
        <v>2015</v>
      </c>
      <c r="B1095" s="13">
        <v>5001</v>
      </c>
      <c r="C1095" s="90" t="str">
        <f>VLOOKUP(B1095,'All Districts'!$A$3:$B$874,2,FALSE)</f>
        <v>Brasher Falls</v>
      </c>
      <c r="D1095" s="14">
        <v>815448</v>
      </c>
      <c r="E1095">
        <f>VLOOKUP(C1095,'All Districts'!$B$3:$C$874,2,FALSE)</f>
        <v>3627960</v>
      </c>
      <c r="F1095" s="91">
        <f>COUNTIF($E$2:$E$7106,E1095)</f>
        <v>9</v>
      </c>
    </row>
    <row r="1096" spans="1:6" x14ac:dyDescent="0.2">
      <c r="A1096">
        <v>2016</v>
      </c>
      <c r="B1096" s="13">
        <v>5001</v>
      </c>
      <c r="C1096" s="90" t="str">
        <f>VLOOKUP(B1096,'All Districts'!$A$3:$B$874,2,FALSE)</f>
        <v>Brasher Falls</v>
      </c>
      <c r="D1096" s="16">
        <v>713770</v>
      </c>
      <c r="E1096">
        <f>VLOOKUP(C1096,'All Districts'!$B$3:$C$874,2,FALSE)</f>
        <v>3627960</v>
      </c>
      <c r="F1096" s="91">
        <f>COUNTIF($E$2:$E$7106,E1096)</f>
        <v>9</v>
      </c>
    </row>
    <row r="1097" spans="1:6" x14ac:dyDescent="0.2">
      <c r="A1097">
        <v>2017</v>
      </c>
      <c r="B1097" s="13">
        <v>5001</v>
      </c>
      <c r="C1097" s="90" t="str">
        <f>VLOOKUP(B1097,'All Districts'!$A$3:$B$874,2,FALSE)</f>
        <v>Brasher Falls</v>
      </c>
      <c r="D1097" s="16">
        <v>630572</v>
      </c>
      <c r="E1097">
        <f>VLOOKUP(C1097,'All Districts'!$B$3:$C$874,2,FALSE)</f>
        <v>3627960</v>
      </c>
      <c r="F1097" s="91">
        <f>COUNTIF($E$2:$E$7106,E1097)</f>
        <v>9</v>
      </c>
    </row>
    <row r="1098" spans="1:6" x14ac:dyDescent="0.2">
      <c r="A1098" s="10">
        <v>2018</v>
      </c>
      <c r="B1098" s="13">
        <v>5001</v>
      </c>
      <c r="C1098" s="90" t="str">
        <f>VLOOKUP(B1098,'All Districts'!$A$3:$B$874,2,FALSE)</f>
        <v>Brasher Falls</v>
      </c>
      <c r="D1098" s="15">
        <v>540641</v>
      </c>
      <c r="E1098">
        <f>VLOOKUP(C1098,'All Districts'!$B$3:$C$874,2,FALSE)</f>
        <v>3627960</v>
      </c>
      <c r="F1098" s="91">
        <f>COUNTIF($E$2:$E$7106,E1098)</f>
        <v>9</v>
      </c>
    </row>
    <row r="1099" spans="1:6" x14ac:dyDescent="0.2">
      <c r="A1099">
        <v>2019</v>
      </c>
      <c r="B1099" s="36">
        <v>5001</v>
      </c>
      <c r="C1099" s="90" t="str">
        <f>VLOOKUP(B1099,'All Districts'!$A$3:$B$874,2,FALSE)</f>
        <v>Brasher Falls</v>
      </c>
      <c r="D1099" s="40">
        <v>604447</v>
      </c>
      <c r="E1099">
        <f>VLOOKUP(C1099,'All Districts'!$B$3:$C$874,2,FALSE)</f>
        <v>3627960</v>
      </c>
      <c r="F1099" s="91">
        <f>COUNTIF($E$2:$E$7106,E1099)</f>
        <v>9</v>
      </c>
    </row>
    <row r="1100" spans="1:6" x14ac:dyDescent="0.2">
      <c r="A1100">
        <v>2020</v>
      </c>
      <c r="B1100" s="36">
        <v>5001</v>
      </c>
      <c r="C1100" s="90" t="str">
        <f>VLOOKUP(B1100,'All Districts'!$A$3:$B$874,2,FALSE)</f>
        <v>Brasher Falls</v>
      </c>
      <c r="D1100" s="40">
        <v>547456</v>
      </c>
      <c r="E1100">
        <f>VLOOKUP(C1100,'All Districts'!$B$3:$C$874,2,FALSE)</f>
        <v>3627960</v>
      </c>
      <c r="F1100" s="91">
        <f>COUNTIF($E$2:$E$7106,E1100)</f>
        <v>9</v>
      </c>
    </row>
    <row r="1101" spans="1:6" x14ac:dyDescent="0.2">
      <c r="A1101" s="10">
        <v>2021</v>
      </c>
      <c r="B1101" s="52">
        <v>5001</v>
      </c>
      <c r="C1101" s="90" t="str">
        <f>VLOOKUP(B1101,'All Districts'!$A$3:$B$874,2,FALSE)</f>
        <v>Brasher Falls</v>
      </c>
      <c r="D1101" s="76">
        <v>606691</v>
      </c>
      <c r="E1101">
        <f>VLOOKUP(C1101,'All Districts'!$B$3:$C$874,2,FALSE)</f>
        <v>3627960</v>
      </c>
      <c r="F1101" s="91">
        <f>COUNTIF($E$2:$E$7106,E1101)</f>
        <v>9</v>
      </c>
    </row>
    <row r="1102" spans="1:6" x14ac:dyDescent="0.2">
      <c r="A1102">
        <v>2022</v>
      </c>
      <c r="B1102" s="36">
        <v>5001</v>
      </c>
      <c r="C1102" s="90" t="str">
        <f>VLOOKUP(B1102,'All Districts'!$A$3:$B$874,2,FALSE)</f>
        <v>Brasher Falls</v>
      </c>
      <c r="D1102" s="82">
        <v>677295</v>
      </c>
      <c r="E1102">
        <f>VLOOKUP(C1102,'All Districts'!$B$3:$C$874,2,FALSE)</f>
        <v>3627960</v>
      </c>
      <c r="F1102" s="91">
        <f>COUNTIF($E$2:$E$7106,E1102)</f>
        <v>9</v>
      </c>
    </row>
    <row r="1103" spans="1:6" x14ac:dyDescent="0.2">
      <c r="A1103">
        <v>2023</v>
      </c>
      <c r="B1103" s="36">
        <v>5001</v>
      </c>
      <c r="C1103" s="90" t="str">
        <f>VLOOKUP(B1103,'All Districts'!$A$3:$B$874,2,FALSE)</f>
        <v>Brasher Falls</v>
      </c>
      <c r="D1103" s="40">
        <v>751708</v>
      </c>
      <c r="E1103">
        <f>VLOOKUP(C1103,'All Districts'!$B$3:$C$874,2,FALSE)</f>
        <v>3627960</v>
      </c>
      <c r="F1103" s="91">
        <f>COUNTIF($E$2:$E$7106,E1103)</f>
        <v>9</v>
      </c>
    </row>
    <row r="1104" spans="1:6" x14ac:dyDescent="0.2">
      <c r="A1104">
        <v>2015</v>
      </c>
      <c r="B1104" s="13">
        <v>2047</v>
      </c>
      <c r="C1104" s="90" t="str">
        <f>VLOOKUP(B1104,'All Districts'!$A$3:$B$874,2,FALSE)</f>
        <v>Brentwood</v>
      </c>
      <c r="D1104" s="14">
        <v>25626856</v>
      </c>
      <c r="E1104">
        <f>VLOOKUP(C1104,'All Districts'!$B$3:$C$874,2,FALSE)</f>
        <v>3605280</v>
      </c>
      <c r="F1104" s="91">
        <f>COUNTIF($E$2:$E$7106,E1104)</f>
        <v>9</v>
      </c>
    </row>
    <row r="1105" spans="1:6" x14ac:dyDescent="0.2">
      <c r="A1105">
        <v>2016</v>
      </c>
      <c r="B1105" s="13">
        <v>2047</v>
      </c>
      <c r="C1105" s="90" t="str">
        <f>VLOOKUP(B1105,'All Districts'!$A$3:$B$874,2,FALSE)</f>
        <v>Brentwood</v>
      </c>
      <c r="D1105" s="16">
        <v>20070024</v>
      </c>
      <c r="E1105">
        <f>VLOOKUP(C1105,'All Districts'!$B$3:$C$874,2,FALSE)</f>
        <v>3605280</v>
      </c>
      <c r="F1105" s="91">
        <f>COUNTIF($E$2:$E$7106,E1105)</f>
        <v>9</v>
      </c>
    </row>
    <row r="1106" spans="1:6" x14ac:dyDescent="0.2">
      <c r="A1106">
        <v>2017</v>
      </c>
      <c r="B1106" s="13">
        <v>2047</v>
      </c>
      <c r="C1106" s="90" t="str">
        <f>VLOOKUP(B1106,'All Districts'!$A$3:$B$874,2,FALSE)</f>
        <v>Brentwood</v>
      </c>
      <c r="D1106" s="16">
        <v>18298806</v>
      </c>
      <c r="E1106">
        <f>VLOOKUP(C1106,'All Districts'!$B$3:$C$874,2,FALSE)</f>
        <v>3605280</v>
      </c>
      <c r="F1106" s="91">
        <f>COUNTIF($E$2:$E$7106,E1106)</f>
        <v>9</v>
      </c>
    </row>
    <row r="1107" spans="1:6" x14ac:dyDescent="0.2">
      <c r="A1107" s="10">
        <v>2018</v>
      </c>
      <c r="B1107" s="13">
        <v>2047</v>
      </c>
      <c r="C1107" s="90" t="str">
        <f>VLOOKUP(B1107,'All Districts'!$A$3:$B$874,2,FALSE)</f>
        <v>Brentwood</v>
      </c>
      <c r="D1107" s="15">
        <v>15813206</v>
      </c>
      <c r="E1107">
        <f>VLOOKUP(C1107,'All Districts'!$B$3:$C$874,2,FALSE)</f>
        <v>3605280</v>
      </c>
      <c r="F1107" s="91">
        <f>COUNTIF($E$2:$E$7106,E1107)</f>
        <v>9</v>
      </c>
    </row>
    <row r="1108" spans="1:6" x14ac:dyDescent="0.2">
      <c r="A1108">
        <v>2019</v>
      </c>
      <c r="B1108" s="36">
        <v>2047</v>
      </c>
      <c r="C1108" s="90" t="str">
        <f>VLOOKUP(B1108,'All Districts'!$A$3:$B$874,2,FALSE)</f>
        <v>Brentwood</v>
      </c>
      <c r="D1108" s="40">
        <v>17744884</v>
      </c>
      <c r="E1108">
        <f>VLOOKUP(C1108,'All Districts'!$B$3:$C$874,2,FALSE)</f>
        <v>3605280</v>
      </c>
      <c r="F1108" s="91">
        <f>COUNTIF($E$2:$E$7106,E1108)</f>
        <v>9</v>
      </c>
    </row>
    <row r="1109" spans="1:6" x14ac:dyDescent="0.2">
      <c r="A1109">
        <v>2020</v>
      </c>
      <c r="B1109" s="36">
        <v>2047</v>
      </c>
      <c r="C1109" s="90" t="str">
        <f>VLOOKUP(B1109,'All Districts'!$A$3:$B$874,2,FALSE)</f>
        <v>Brentwood</v>
      </c>
      <c r="D1109" s="40">
        <v>15156306</v>
      </c>
      <c r="E1109">
        <f>VLOOKUP(C1109,'All Districts'!$B$3:$C$874,2,FALSE)</f>
        <v>3605280</v>
      </c>
      <c r="F1109" s="91">
        <f>COUNTIF($E$2:$E$7106,E1109)</f>
        <v>9</v>
      </c>
    </row>
    <row r="1110" spans="1:6" x14ac:dyDescent="0.2">
      <c r="A1110" s="10">
        <v>2021</v>
      </c>
      <c r="B1110" s="52">
        <v>2047</v>
      </c>
      <c r="C1110" s="90" t="str">
        <f>VLOOKUP(B1110,'All Districts'!$A$3:$B$874,2,FALSE)</f>
        <v>Brentwood</v>
      </c>
      <c r="D1110" s="75">
        <v>15863709</v>
      </c>
      <c r="E1110">
        <f>VLOOKUP(C1110,'All Districts'!$B$3:$C$874,2,FALSE)</f>
        <v>3605280</v>
      </c>
      <c r="F1110" s="91">
        <f>COUNTIF($E$2:$E$7106,E1110)</f>
        <v>9</v>
      </c>
    </row>
    <row r="1111" spans="1:6" x14ac:dyDescent="0.2">
      <c r="A1111">
        <v>2022</v>
      </c>
      <c r="B1111" s="36">
        <v>2047</v>
      </c>
      <c r="C1111" s="90" t="str">
        <f>VLOOKUP(B1111,'All Districts'!$A$3:$B$874,2,FALSE)</f>
        <v>Brentwood</v>
      </c>
      <c r="D1111" s="82">
        <v>17417141</v>
      </c>
      <c r="E1111">
        <f>VLOOKUP(C1111,'All Districts'!$B$3:$C$874,2,FALSE)</f>
        <v>3605280</v>
      </c>
      <c r="F1111" s="91">
        <f>COUNTIF($E$2:$E$7106,E1111)</f>
        <v>9</v>
      </c>
    </row>
    <row r="1112" spans="1:6" x14ac:dyDescent="0.2">
      <c r="A1112">
        <v>2023</v>
      </c>
      <c r="B1112" s="36">
        <v>2047</v>
      </c>
      <c r="C1112" s="90" t="str">
        <f>VLOOKUP(B1112,'All Districts'!$A$3:$B$874,2,FALSE)</f>
        <v>Brentwood</v>
      </c>
      <c r="D1112" s="40">
        <v>19311391</v>
      </c>
      <c r="E1112">
        <f>VLOOKUP(C1112,'All Districts'!$B$3:$C$874,2,FALSE)</f>
        <v>3605280</v>
      </c>
      <c r="F1112" s="91">
        <f>COUNTIF($E$2:$E$7106,E1112)</f>
        <v>9</v>
      </c>
    </row>
    <row r="1113" spans="1:6" x14ac:dyDescent="0.2">
      <c r="A1113">
        <v>2015</v>
      </c>
      <c r="B1113" s="13">
        <v>2048</v>
      </c>
      <c r="C1113" s="90" t="str">
        <f>VLOOKUP(B1113,'All Districts'!$A$3:$B$874,2,FALSE)</f>
        <v>Brewster</v>
      </c>
      <c r="D1113" s="14">
        <v>6175200</v>
      </c>
      <c r="E1113">
        <f>VLOOKUP(C1113,'All Districts'!$B$3:$C$874,2,FALSE)</f>
        <v>3605310</v>
      </c>
      <c r="F1113" s="91">
        <f>COUNTIF($E$2:$E$7106,E1113)</f>
        <v>9</v>
      </c>
    </row>
    <row r="1114" spans="1:6" x14ac:dyDescent="0.2">
      <c r="A1114">
        <v>2016</v>
      </c>
      <c r="B1114" s="13">
        <v>2048</v>
      </c>
      <c r="C1114" s="90" t="str">
        <f>VLOOKUP(B1114,'All Districts'!$A$3:$B$874,2,FALSE)</f>
        <v>Brewster</v>
      </c>
      <c r="D1114" s="16">
        <v>4759389</v>
      </c>
      <c r="E1114">
        <f>VLOOKUP(C1114,'All Districts'!$B$3:$C$874,2,FALSE)</f>
        <v>3605310</v>
      </c>
      <c r="F1114" s="91">
        <f>COUNTIF($E$2:$E$7106,E1114)</f>
        <v>9</v>
      </c>
    </row>
    <row r="1115" spans="1:6" x14ac:dyDescent="0.2">
      <c r="A1115">
        <v>2017</v>
      </c>
      <c r="B1115" s="13">
        <v>2048</v>
      </c>
      <c r="C1115" s="90" t="str">
        <f>VLOOKUP(B1115,'All Districts'!$A$3:$B$874,2,FALSE)</f>
        <v>Brewster</v>
      </c>
      <c r="D1115" s="16">
        <v>4234222</v>
      </c>
      <c r="E1115">
        <f>VLOOKUP(C1115,'All Districts'!$B$3:$C$874,2,FALSE)</f>
        <v>3605310</v>
      </c>
      <c r="F1115" s="91">
        <f>COUNTIF($E$2:$E$7106,E1115)</f>
        <v>9</v>
      </c>
    </row>
    <row r="1116" spans="1:6" x14ac:dyDescent="0.2">
      <c r="A1116" s="10">
        <v>2018</v>
      </c>
      <c r="B1116" s="13">
        <v>2048</v>
      </c>
      <c r="C1116" s="90" t="str">
        <f>VLOOKUP(B1116,'All Districts'!$A$3:$B$874,2,FALSE)</f>
        <v>Brewster</v>
      </c>
      <c r="D1116" s="15">
        <v>3654881</v>
      </c>
      <c r="E1116">
        <f>VLOOKUP(C1116,'All Districts'!$B$3:$C$874,2,FALSE)</f>
        <v>3605310</v>
      </c>
      <c r="F1116" s="91">
        <f>COUNTIF($E$2:$E$7106,E1116)</f>
        <v>9</v>
      </c>
    </row>
    <row r="1117" spans="1:6" x14ac:dyDescent="0.2">
      <c r="A1117">
        <v>2019</v>
      </c>
      <c r="B1117" s="36">
        <v>2048</v>
      </c>
      <c r="C1117" s="90" t="str">
        <f>VLOOKUP(B1117,'All Districts'!$A$3:$B$874,2,FALSE)</f>
        <v>Brewster</v>
      </c>
      <c r="D1117" s="40">
        <v>3902084</v>
      </c>
      <c r="E1117">
        <f>VLOOKUP(C1117,'All Districts'!$B$3:$C$874,2,FALSE)</f>
        <v>3605310</v>
      </c>
      <c r="F1117" s="91">
        <f>COUNTIF($E$2:$E$7106,E1117)</f>
        <v>9</v>
      </c>
    </row>
    <row r="1118" spans="1:6" x14ac:dyDescent="0.2">
      <c r="A1118">
        <v>2020</v>
      </c>
      <c r="B1118" s="36">
        <v>2048</v>
      </c>
      <c r="C1118" s="90" t="str">
        <f>VLOOKUP(B1118,'All Districts'!$A$3:$B$874,2,FALSE)</f>
        <v>Brewster</v>
      </c>
      <c r="D1118" s="40">
        <v>3366928</v>
      </c>
      <c r="E1118">
        <f>VLOOKUP(C1118,'All Districts'!$B$3:$C$874,2,FALSE)</f>
        <v>3605310</v>
      </c>
      <c r="F1118" s="91">
        <f>COUNTIF($E$2:$E$7106,E1118)</f>
        <v>9</v>
      </c>
    </row>
    <row r="1119" spans="1:6" x14ac:dyDescent="0.2">
      <c r="A1119" s="10">
        <v>2021</v>
      </c>
      <c r="B1119" s="55">
        <v>2048</v>
      </c>
      <c r="C1119" s="90" t="str">
        <f>VLOOKUP(B1119,'All Districts'!$A$3:$B$874,2,FALSE)</f>
        <v>Brewster</v>
      </c>
      <c r="D1119" s="75">
        <v>3621791</v>
      </c>
      <c r="E1119">
        <f>VLOOKUP(C1119,'All Districts'!$B$3:$C$874,2,FALSE)</f>
        <v>3605310</v>
      </c>
      <c r="F1119" s="91">
        <f>COUNTIF($E$2:$E$7106,E1119)</f>
        <v>9</v>
      </c>
    </row>
    <row r="1120" spans="1:6" x14ac:dyDescent="0.2">
      <c r="A1120">
        <v>2022</v>
      </c>
      <c r="B1120" s="36">
        <v>2048</v>
      </c>
      <c r="C1120" s="90" t="str">
        <f>VLOOKUP(B1120,'All Districts'!$A$3:$B$874,2,FALSE)</f>
        <v>Brewster</v>
      </c>
      <c r="D1120" s="82">
        <v>3893306</v>
      </c>
      <c r="E1120">
        <f>VLOOKUP(C1120,'All Districts'!$B$3:$C$874,2,FALSE)</f>
        <v>3605310</v>
      </c>
      <c r="F1120" s="91">
        <f>COUNTIF($E$2:$E$7106,E1120)</f>
        <v>9</v>
      </c>
    </row>
    <row r="1121" spans="1:6" x14ac:dyDescent="0.2">
      <c r="A1121">
        <v>2023</v>
      </c>
      <c r="B1121" s="36">
        <v>2048</v>
      </c>
      <c r="C1121" s="90" t="str">
        <f>VLOOKUP(B1121,'All Districts'!$A$3:$B$874,2,FALSE)</f>
        <v>Brewster</v>
      </c>
      <c r="D1121" s="40">
        <v>4300881</v>
      </c>
      <c r="E1121">
        <f>VLOOKUP(C1121,'All Districts'!$B$3:$C$874,2,FALSE)</f>
        <v>3605310</v>
      </c>
      <c r="F1121" s="91">
        <f>COUNTIF($E$2:$E$7106,E1121)</f>
        <v>9</v>
      </c>
    </row>
    <row r="1122" spans="1:6" x14ac:dyDescent="0.2">
      <c r="A1122">
        <v>2015</v>
      </c>
      <c r="B1122" s="13">
        <v>4863</v>
      </c>
      <c r="C1122" s="90" t="str">
        <f>VLOOKUP(B1122,'All Districts'!$A$3:$B$874,2,FALSE)</f>
        <v>Briarcliff Manor</v>
      </c>
      <c r="D1122" s="14">
        <v>3530925</v>
      </c>
      <c r="E1122">
        <f>VLOOKUP(C1122,'All Districts'!$B$3:$C$874,2,FALSE)</f>
        <v>3605340</v>
      </c>
      <c r="F1122" s="91">
        <f>COUNTIF($E$2:$E$7106,E1122)</f>
        <v>9</v>
      </c>
    </row>
    <row r="1123" spans="1:6" x14ac:dyDescent="0.2">
      <c r="A1123">
        <v>2016</v>
      </c>
      <c r="B1123" s="13">
        <v>4863</v>
      </c>
      <c r="C1123" s="90" t="str">
        <f>VLOOKUP(B1123,'All Districts'!$A$3:$B$874,2,FALSE)</f>
        <v>Briarcliff Manor</v>
      </c>
      <c r="D1123" s="16">
        <v>2735253</v>
      </c>
      <c r="E1123">
        <f>VLOOKUP(C1123,'All Districts'!$B$3:$C$874,2,FALSE)</f>
        <v>3605340</v>
      </c>
      <c r="F1123" s="91">
        <f>COUNTIF($E$2:$E$7106,E1123)</f>
        <v>9</v>
      </c>
    </row>
    <row r="1124" spans="1:6" x14ac:dyDescent="0.2">
      <c r="A1124">
        <v>2017</v>
      </c>
      <c r="B1124" s="13">
        <v>4863</v>
      </c>
      <c r="C1124" s="90" t="str">
        <f>VLOOKUP(B1124,'All Districts'!$A$3:$B$874,2,FALSE)</f>
        <v>Briarcliff Manor</v>
      </c>
      <c r="D1124" s="16">
        <v>2399276</v>
      </c>
      <c r="E1124">
        <f>VLOOKUP(C1124,'All Districts'!$B$3:$C$874,2,FALSE)</f>
        <v>3605340</v>
      </c>
      <c r="F1124" s="91">
        <f>COUNTIF($E$2:$E$7106,E1124)</f>
        <v>9</v>
      </c>
    </row>
    <row r="1125" spans="1:6" x14ac:dyDescent="0.2">
      <c r="A1125" s="10">
        <v>2018</v>
      </c>
      <c r="B1125" s="13">
        <v>4863</v>
      </c>
      <c r="C1125" s="90" t="str">
        <f>VLOOKUP(B1125,'All Districts'!$A$3:$B$874,2,FALSE)</f>
        <v>Briarcliff Manor</v>
      </c>
      <c r="D1125" s="15">
        <v>2078774</v>
      </c>
      <c r="E1125">
        <f>VLOOKUP(C1125,'All Districts'!$B$3:$C$874,2,FALSE)</f>
        <v>3605340</v>
      </c>
      <c r="F1125" s="91">
        <f>COUNTIF($E$2:$E$7106,E1125)</f>
        <v>9</v>
      </c>
    </row>
    <row r="1126" spans="1:6" x14ac:dyDescent="0.2">
      <c r="A1126">
        <v>2019</v>
      </c>
      <c r="B1126" s="36">
        <v>4863</v>
      </c>
      <c r="C1126" s="90" t="str">
        <f>VLOOKUP(B1126,'All Districts'!$A$3:$B$874,2,FALSE)</f>
        <v>Briarcliff Manor</v>
      </c>
      <c r="D1126" s="40">
        <v>2303538</v>
      </c>
      <c r="E1126">
        <f>VLOOKUP(C1126,'All Districts'!$B$3:$C$874,2,FALSE)</f>
        <v>3605340</v>
      </c>
      <c r="F1126" s="91">
        <f>COUNTIF($E$2:$E$7106,E1126)</f>
        <v>9</v>
      </c>
    </row>
    <row r="1127" spans="1:6" x14ac:dyDescent="0.2">
      <c r="A1127">
        <v>2020</v>
      </c>
      <c r="B1127" s="36">
        <v>4863</v>
      </c>
      <c r="C1127" s="90" t="str">
        <f>VLOOKUP(B1127,'All Districts'!$A$3:$B$874,2,FALSE)</f>
        <v>Briarcliff Manor</v>
      </c>
      <c r="D1127" s="40">
        <v>1925216</v>
      </c>
      <c r="E1127">
        <f>VLOOKUP(C1127,'All Districts'!$B$3:$C$874,2,FALSE)</f>
        <v>3605340</v>
      </c>
      <c r="F1127" s="91">
        <f>COUNTIF($E$2:$E$7106,E1127)</f>
        <v>9</v>
      </c>
    </row>
    <row r="1128" spans="1:6" x14ac:dyDescent="0.2">
      <c r="A1128" s="10">
        <v>2021</v>
      </c>
      <c r="B1128" s="52">
        <v>4863</v>
      </c>
      <c r="C1128" s="90" t="str">
        <f>VLOOKUP(B1128,'All Districts'!$A$3:$B$874,2,FALSE)</f>
        <v>Briarcliff Manor</v>
      </c>
      <c r="D1128" s="75">
        <v>2130117</v>
      </c>
      <c r="E1128">
        <f>VLOOKUP(C1128,'All Districts'!$B$3:$C$874,2,FALSE)</f>
        <v>3605340</v>
      </c>
      <c r="F1128" s="91">
        <f>COUNTIF($E$2:$E$7106,E1128)</f>
        <v>9</v>
      </c>
    </row>
    <row r="1129" spans="1:6" x14ac:dyDescent="0.2">
      <c r="A1129">
        <v>2022</v>
      </c>
      <c r="B1129" s="36">
        <v>4863</v>
      </c>
      <c r="C1129" s="90" t="str">
        <f>VLOOKUP(B1129,'All Districts'!$A$3:$B$874,2,FALSE)</f>
        <v>Briarcliff Manor</v>
      </c>
      <c r="D1129" s="82">
        <v>2162574</v>
      </c>
      <c r="E1129">
        <f>VLOOKUP(C1129,'All Districts'!$B$3:$C$874,2,FALSE)</f>
        <v>3605340</v>
      </c>
      <c r="F1129" s="91">
        <f>COUNTIF($E$2:$E$7106,E1129)</f>
        <v>9</v>
      </c>
    </row>
    <row r="1130" spans="1:6" x14ac:dyDescent="0.2">
      <c r="A1130">
        <v>2023</v>
      </c>
      <c r="B1130" s="36">
        <v>4863</v>
      </c>
      <c r="C1130" s="90" t="str">
        <f>VLOOKUP(B1130,'All Districts'!$A$3:$B$874,2,FALSE)</f>
        <v>Briarcliff Manor</v>
      </c>
      <c r="D1130" s="40">
        <v>2347346</v>
      </c>
      <c r="E1130">
        <f>VLOOKUP(C1130,'All Districts'!$B$3:$C$874,2,FALSE)</f>
        <v>3605340</v>
      </c>
      <c r="F1130" s="91">
        <f>COUNTIF($E$2:$E$7106,E1130)</f>
        <v>9</v>
      </c>
    </row>
    <row r="1131" spans="1:6" x14ac:dyDescent="0.2">
      <c r="A1131">
        <v>2015</v>
      </c>
      <c r="B1131" s="13">
        <v>5364</v>
      </c>
      <c r="C1131" s="90" t="str">
        <f>VLOOKUP(B1131,'All Districts'!$A$3:$B$874,2,FALSE)</f>
        <v>Bridgehampton</v>
      </c>
      <c r="D1131" s="14">
        <v>818613</v>
      </c>
      <c r="E1131">
        <f>VLOOKUP(C1131,'All Districts'!$B$3:$C$874,2,FALSE)</f>
        <v>3605370</v>
      </c>
      <c r="F1131" s="91">
        <f>COUNTIF($E$2:$E$7106,E1131)</f>
        <v>9</v>
      </c>
    </row>
    <row r="1132" spans="1:6" x14ac:dyDescent="0.2">
      <c r="A1132">
        <v>2016</v>
      </c>
      <c r="B1132" s="13">
        <v>5364</v>
      </c>
      <c r="C1132" s="90" t="str">
        <f>VLOOKUP(B1132,'All Districts'!$A$3:$B$874,2,FALSE)</f>
        <v>Bridgehampton</v>
      </c>
      <c r="D1132" s="16">
        <v>675065</v>
      </c>
      <c r="E1132">
        <f>VLOOKUP(C1132,'All Districts'!$B$3:$C$874,2,FALSE)</f>
        <v>3605370</v>
      </c>
      <c r="F1132" s="91">
        <f>COUNTIF($E$2:$E$7106,E1132)</f>
        <v>9</v>
      </c>
    </row>
    <row r="1133" spans="1:6" x14ac:dyDescent="0.2">
      <c r="A1133">
        <v>2017</v>
      </c>
      <c r="B1133" s="13">
        <v>5364</v>
      </c>
      <c r="C1133" s="90" t="str">
        <f>VLOOKUP(B1133,'All Districts'!$A$3:$B$874,2,FALSE)</f>
        <v>Bridgehampton</v>
      </c>
      <c r="D1133" s="16">
        <v>619658</v>
      </c>
      <c r="E1133">
        <f>VLOOKUP(C1133,'All Districts'!$B$3:$C$874,2,FALSE)</f>
        <v>3605370</v>
      </c>
      <c r="F1133" s="91">
        <f>COUNTIF($E$2:$E$7106,E1133)</f>
        <v>9</v>
      </c>
    </row>
    <row r="1134" spans="1:6" x14ac:dyDescent="0.2">
      <c r="A1134" s="10">
        <v>2018</v>
      </c>
      <c r="B1134" s="13">
        <v>5364</v>
      </c>
      <c r="C1134" s="90" t="str">
        <f>VLOOKUP(B1134,'All Districts'!$A$3:$B$874,2,FALSE)</f>
        <v>Bridgehampton</v>
      </c>
      <c r="D1134" s="15">
        <v>547345</v>
      </c>
      <c r="E1134">
        <f>VLOOKUP(C1134,'All Districts'!$B$3:$C$874,2,FALSE)</f>
        <v>3605370</v>
      </c>
      <c r="F1134" s="91">
        <f>COUNTIF($E$2:$E$7106,E1134)</f>
        <v>9</v>
      </c>
    </row>
    <row r="1135" spans="1:6" x14ac:dyDescent="0.2">
      <c r="A1135">
        <v>2019</v>
      </c>
      <c r="B1135" s="36">
        <v>5364</v>
      </c>
      <c r="C1135" s="90" t="str">
        <f>VLOOKUP(B1135,'All Districts'!$A$3:$B$874,2,FALSE)</f>
        <v>Bridgehampton</v>
      </c>
      <c r="D1135" s="40">
        <v>636001</v>
      </c>
      <c r="E1135">
        <f>VLOOKUP(C1135,'All Districts'!$B$3:$C$874,2,FALSE)</f>
        <v>3605370</v>
      </c>
      <c r="F1135" s="91">
        <f>COUNTIF($E$2:$E$7106,E1135)</f>
        <v>9</v>
      </c>
    </row>
    <row r="1136" spans="1:6" x14ac:dyDescent="0.2">
      <c r="A1136">
        <v>2020</v>
      </c>
      <c r="B1136" s="36">
        <v>5364</v>
      </c>
      <c r="C1136" s="90" t="str">
        <f>VLOOKUP(B1136,'All Districts'!$A$3:$B$874,2,FALSE)</f>
        <v>Bridgehampton</v>
      </c>
      <c r="D1136" s="40">
        <v>577978</v>
      </c>
      <c r="E1136">
        <f>VLOOKUP(C1136,'All Districts'!$B$3:$C$874,2,FALSE)</f>
        <v>3605370</v>
      </c>
      <c r="F1136" s="91">
        <f>COUNTIF($E$2:$E$7106,E1136)</f>
        <v>9</v>
      </c>
    </row>
    <row r="1137" spans="1:6" x14ac:dyDescent="0.2">
      <c r="A1137" s="10">
        <v>2021</v>
      </c>
      <c r="B1137" s="52">
        <v>5364</v>
      </c>
      <c r="C1137" s="90" t="str">
        <f>VLOOKUP(B1137,'All Districts'!$A$3:$B$874,2,FALSE)</f>
        <v>Bridgehampton</v>
      </c>
      <c r="D1137" s="75">
        <v>667318</v>
      </c>
      <c r="E1137">
        <f>VLOOKUP(C1137,'All Districts'!$B$3:$C$874,2,FALSE)</f>
        <v>3605370</v>
      </c>
      <c r="F1137" s="91">
        <f>COUNTIF($E$2:$E$7106,E1137)</f>
        <v>9</v>
      </c>
    </row>
    <row r="1138" spans="1:6" x14ac:dyDescent="0.2">
      <c r="A1138">
        <v>2022</v>
      </c>
      <c r="B1138" s="36">
        <v>5364</v>
      </c>
      <c r="C1138" s="90" t="str">
        <f>VLOOKUP(B1138,'All Districts'!$A$3:$B$874,2,FALSE)</f>
        <v>Bridgehampton</v>
      </c>
      <c r="D1138" s="82">
        <v>687160</v>
      </c>
      <c r="E1138">
        <f>VLOOKUP(C1138,'All Districts'!$B$3:$C$874,2,FALSE)</f>
        <v>3605370</v>
      </c>
      <c r="F1138" s="91">
        <f>COUNTIF($E$2:$E$7106,E1138)</f>
        <v>9</v>
      </c>
    </row>
    <row r="1139" spans="1:6" x14ac:dyDescent="0.2">
      <c r="A1139">
        <v>2023</v>
      </c>
      <c r="B1139" s="36">
        <v>5364</v>
      </c>
      <c r="C1139" s="90" t="str">
        <f>VLOOKUP(B1139,'All Districts'!$A$3:$B$874,2,FALSE)</f>
        <v>Bridgehampton</v>
      </c>
      <c r="D1139" s="40">
        <v>767273</v>
      </c>
      <c r="E1139">
        <f>VLOOKUP(C1139,'All Districts'!$B$3:$C$874,2,FALSE)</f>
        <v>3605370</v>
      </c>
      <c r="F1139" s="91">
        <f>COUNTIF($E$2:$E$7106,E1139)</f>
        <v>9</v>
      </c>
    </row>
    <row r="1140" spans="1:6" x14ac:dyDescent="0.2">
      <c r="A1140">
        <v>2015</v>
      </c>
      <c r="B1140" s="13">
        <v>2050</v>
      </c>
      <c r="C1140" s="90" t="str">
        <f>VLOOKUP(B1140,'All Districts'!$A$3:$B$874,2,FALSE)</f>
        <v>Brighton</v>
      </c>
      <c r="D1140" s="14">
        <v>4632916</v>
      </c>
      <c r="E1140">
        <f>VLOOKUP(C1140,'All Districts'!$B$3:$C$874,2,FALSE)</f>
        <v>3605460</v>
      </c>
      <c r="F1140" s="91">
        <f>COUNTIF($E$2:$E$7106,E1140)</f>
        <v>9</v>
      </c>
    </row>
    <row r="1141" spans="1:6" x14ac:dyDescent="0.2">
      <c r="A1141">
        <v>2016</v>
      </c>
      <c r="B1141" s="13">
        <v>2050</v>
      </c>
      <c r="C1141" s="90" t="str">
        <f>VLOOKUP(B1141,'All Districts'!$A$3:$B$874,2,FALSE)</f>
        <v>Brighton</v>
      </c>
      <c r="D1141" s="16">
        <v>3596123</v>
      </c>
      <c r="E1141">
        <f>VLOOKUP(C1141,'All Districts'!$B$3:$C$874,2,FALSE)</f>
        <v>3605460</v>
      </c>
      <c r="F1141" s="91">
        <f>COUNTIF($E$2:$E$7106,E1141)</f>
        <v>9</v>
      </c>
    </row>
    <row r="1142" spans="1:6" x14ac:dyDescent="0.2">
      <c r="A1142">
        <v>2017</v>
      </c>
      <c r="B1142" s="13">
        <v>2050</v>
      </c>
      <c r="C1142" s="90" t="str">
        <f>VLOOKUP(B1142,'All Districts'!$A$3:$B$874,2,FALSE)</f>
        <v>Brighton</v>
      </c>
      <c r="D1142" s="16">
        <v>3205727</v>
      </c>
      <c r="E1142">
        <f>VLOOKUP(C1142,'All Districts'!$B$3:$C$874,2,FALSE)</f>
        <v>3605460</v>
      </c>
      <c r="F1142" s="91">
        <f>COUNTIF($E$2:$E$7106,E1142)</f>
        <v>9</v>
      </c>
    </row>
    <row r="1143" spans="1:6" x14ac:dyDescent="0.2">
      <c r="A1143" s="10">
        <v>2018</v>
      </c>
      <c r="B1143" s="13">
        <v>2050</v>
      </c>
      <c r="C1143" s="90" t="str">
        <f>VLOOKUP(B1143,'All Districts'!$A$3:$B$874,2,FALSE)</f>
        <v>Brighton</v>
      </c>
      <c r="D1143" s="15">
        <v>2785139</v>
      </c>
      <c r="E1143">
        <f>VLOOKUP(C1143,'All Districts'!$B$3:$C$874,2,FALSE)</f>
        <v>3605460</v>
      </c>
      <c r="F1143" s="91">
        <f>COUNTIF($E$2:$E$7106,E1143)</f>
        <v>9</v>
      </c>
    </row>
    <row r="1144" spans="1:6" x14ac:dyDescent="0.2">
      <c r="A1144">
        <v>2019</v>
      </c>
      <c r="B1144" s="36">
        <v>2050</v>
      </c>
      <c r="C1144" s="90" t="str">
        <f>VLOOKUP(B1144,'All Districts'!$A$3:$B$874,2,FALSE)</f>
        <v>Brighton</v>
      </c>
      <c r="D1144" s="40">
        <v>3079127</v>
      </c>
      <c r="E1144">
        <f>VLOOKUP(C1144,'All Districts'!$B$3:$C$874,2,FALSE)</f>
        <v>3605460</v>
      </c>
      <c r="F1144" s="91">
        <f>COUNTIF($E$2:$E$7106,E1144)</f>
        <v>9</v>
      </c>
    </row>
    <row r="1145" spans="1:6" x14ac:dyDescent="0.2">
      <c r="A1145">
        <v>2020</v>
      </c>
      <c r="B1145" s="36">
        <v>2050</v>
      </c>
      <c r="C1145" s="90" t="str">
        <f>VLOOKUP(B1145,'All Districts'!$A$3:$B$874,2,FALSE)</f>
        <v>Brighton</v>
      </c>
      <c r="D1145" s="40">
        <v>2585283</v>
      </c>
      <c r="E1145">
        <f>VLOOKUP(C1145,'All Districts'!$B$3:$C$874,2,FALSE)</f>
        <v>3605460</v>
      </c>
      <c r="F1145" s="91">
        <f>COUNTIF($E$2:$E$7106,E1145)</f>
        <v>9</v>
      </c>
    </row>
    <row r="1146" spans="1:6" x14ac:dyDescent="0.2">
      <c r="A1146" s="10">
        <v>2021</v>
      </c>
      <c r="B1146" s="52">
        <v>2050</v>
      </c>
      <c r="C1146" s="90" t="str">
        <f>VLOOKUP(B1146,'All Districts'!$A$3:$B$874,2,FALSE)</f>
        <v>Brighton</v>
      </c>
      <c r="D1146" s="75">
        <v>2680863</v>
      </c>
      <c r="E1146">
        <f>VLOOKUP(C1146,'All Districts'!$B$3:$C$874,2,FALSE)</f>
        <v>3605460</v>
      </c>
      <c r="F1146" s="91">
        <f>COUNTIF($E$2:$E$7106,E1146)</f>
        <v>9</v>
      </c>
    </row>
    <row r="1147" spans="1:6" x14ac:dyDescent="0.2">
      <c r="A1147">
        <v>2022</v>
      </c>
      <c r="B1147" s="36">
        <v>2050</v>
      </c>
      <c r="C1147" s="90" t="str">
        <f>VLOOKUP(B1147,'All Districts'!$A$3:$B$874,2,FALSE)</f>
        <v>Brighton</v>
      </c>
      <c r="D1147" s="82">
        <v>2990766</v>
      </c>
      <c r="E1147">
        <f>VLOOKUP(C1147,'All Districts'!$B$3:$C$874,2,FALSE)</f>
        <v>3605460</v>
      </c>
      <c r="F1147" s="91">
        <f>COUNTIF($E$2:$E$7106,E1147)</f>
        <v>9</v>
      </c>
    </row>
    <row r="1148" spans="1:6" x14ac:dyDescent="0.2">
      <c r="A1148">
        <v>2023</v>
      </c>
      <c r="B1148" s="36">
        <v>2050</v>
      </c>
      <c r="C1148" s="90" t="str">
        <f>VLOOKUP(B1148,'All Districts'!$A$3:$B$874,2,FALSE)</f>
        <v>Brighton</v>
      </c>
      <c r="D1148" s="40">
        <v>3289076</v>
      </c>
      <c r="E1148">
        <f>VLOOKUP(C1148,'All Districts'!$B$3:$C$874,2,FALSE)</f>
        <v>3605460</v>
      </c>
      <c r="F1148" s="91">
        <f>COUNTIF($E$2:$E$7106,E1148)</f>
        <v>9</v>
      </c>
    </row>
    <row r="1149" spans="1:6" x14ac:dyDescent="0.2">
      <c r="A1149">
        <v>2015</v>
      </c>
      <c r="B1149" s="13">
        <v>4877</v>
      </c>
      <c r="C1149" s="90" t="str">
        <f>VLOOKUP(B1149,'All Districts'!$A$3:$B$874,2,FALSE)</f>
        <v>Brittonkill</v>
      </c>
      <c r="D1149" s="14">
        <v>1386794</v>
      </c>
      <c r="E1149">
        <f>VLOOKUP(C1149,'All Districts'!$B$3:$C$874,2,FALSE)</f>
        <v>3605520</v>
      </c>
      <c r="F1149" s="91">
        <f>COUNTIF($E$2:$E$7106,E1149)</f>
        <v>9</v>
      </c>
    </row>
    <row r="1150" spans="1:6" x14ac:dyDescent="0.2">
      <c r="A1150">
        <v>2016</v>
      </c>
      <c r="B1150" s="13">
        <v>4877</v>
      </c>
      <c r="C1150" s="90" t="str">
        <f>VLOOKUP(B1150,'All Districts'!$A$3:$B$874,2,FALSE)</f>
        <v>Brittonkill</v>
      </c>
      <c r="D1150" s="16">
        <v>1102969</v>
      </c>
      <c r="E1150">
        <f>VLOOKUP(C1150,'All Districts'!$B$3:$C$874,2,FALSE)</f>
        <v>3605520</v>
      </c>
      <c r="F1150" s="91">
        <f>COUNTIF($E$2:$E$7106,E1150)</f>
        <v>9</v>
      </c>
    </row>
    <row r="1151" spans="1:6" x14ac:dyDescent="0.2">
      <c r="A1151">
        <v>2017</v>
      </c>
      <c r="B1151" s="13">
        <v>4877</v>
      </c>
      <c r="C1151" s="90" t="str">
        <f>VLOOKUP(B1151,'All Districts'!$A$3:$B$874,2,FALSE)</f>
        <v>Brittonkill</v>
      </c>
      <c r="D1151" s="16">
        <v>984507</v>
      </c>
      <c r="E1151">
        <f>VLOOKUP(C1151,'All Districts'!$B$3:$C$874,2,FALSE)</f>
        <v>3605520</v>
      </c>
      <c r="F1151" s="91">
        <f>COUNTIF($E$2:$E$7106,E1151)</f>
        <v>9</v>
      </c>
    </row>
    <row r="1152" spans="1:6" x14ac:dyDescent="0.2">
      <c r="A1152" s="10">
        <v>2018</v>
      </c>
      <c r="B1152" s="13">
        <v>4877</v>
      </c>
      <c r="C1152" s="90" t="str">
        <f>VLOOKUP(B1152,'All Districts'!$A$3:$B$874,2,FALSE)</f>
        <v>Brittonkill</v>
      </c>
      <c r="D1152" s="15">
        <v>861895</v>
      </c>
      <c r="E1152">
        <f>VLOOKUP(C1152,'All Districts'!$B$3:$C$874,2,FALSE)</f>
        <v>3605520</v>
      </c>
      <c r="F1152" s="91">
        <f>COUNTIF($E$2:$E$7106,E1152)</f>
        <v>9</v>
      </c>
    </row>
    <row r="1153" spans="1:6" x14ac:dyDescent="0.2">
      <c r="A1153">
        <v>2019</v>
      </c>
      <c r="B1153" s="36">
        <v>4877</v>
      </c>
      <c r="C1153" s="90" t="str">
        <f>VLOOKUP(B1153,'All Districts'!$A$3:$B$874,2,FALSE)</f>
        <v>Brittonkill</v>
      </c>
      <c r="D1153" s="40">
        <v>971053</v>
      </c>
      <c r="E1153">
        <f>VLOOKUP(C1153,'All Districts'!$B$3:$C$874,2,FALSE)</f>
        <v>3605520</v>
      </c>
      <c r="F1153" s="91">
        <f>COUNTIF($E$2:$E$7106,E1153)</f>
        <v>9</v>
      </c>
    </row>
    <row r="1154" spans="1:6" x14ac:dyDescent="0.2">
      <c r="A1154">
        <v>2020</v>
      </c>
      <c r="B1154" s="36">
        <v>4877</v>
      </c>
      <c r="C1154" s="90" t="str">
        <f>VLOOKUP(B1154,'All Districts'!$A$3:$B$874,2,FALSE)</f>
        <v>Brittonkill</v>
      </c>
      <c r="D1154" s="40">
        <v>815508</v>
      </c>
      <c r="E1154">
        <f>VLOOKUP(C1154,'All Districts'!$B$3:$C$874,2,FALSE)</f>
        <v>3605520</v>
      </c>
      <c r="F1154" s="91">
        <f>COUNTIF($E$2:$E$7106,E1154)</f>
        <v>9</v>
      </c>
    </row>
    <row r="1155" spans="1:6" x14ac:dyDescent="0.2">
      <c r="A1155" s="10">
        <v>2021</v>
      </c>
      <c r="B1155" s="52">
        <v>4877</v>
      </c>
      <c r="C1155" s="90" t="str">
        <f>VLOOKUP(B1155,'All Districts'!$A$3:$B$874,2,FALSE)</f>
        <v>Brittonkill</v>
      </c>
      <c r="D1155" s="75">
        <v>852243</v>
      </c>
      <c r="E1155">
        <f>VLOOKUP(C1155,'All Districts'!$B$3:$C$874,2,FALSE)</f>
        <v>3605520</v>
      </c>
      <c r="F1155" s="91">
        <f>COUNTIF($E$2:$E$7106,E1155)</f>
        <v>9</v>
      </c>
    </row>
    <row r="1156" spans="1:6" x14ac:dyDescent="0.2">
      <c r="A1156">
        <v>2022</v>
      </c>
      <c r="B1156" s="36">
        <v>4877</v>
      </c>
      <c r="C1156" s="90" t="str">
        <f>VLOOKUP(B1156,'All Districts'!$A$3:$B$874,2,FALSE)</f>
        <v>Brittonkill</v>
      </c>
      <c r="D1156" s="82">
        <v>873578</v>
      </c>
      <c r="E1156">
        <f>VLOOKUP(C1156,'All Districts'!$B$3:$C$874,2,FALSE)</f>
        <v>3605520</v>
      </c>
      <c r="F1156" s="91">
        <f>COUNTIF($E$2:$E$7106,E1156)</f>
        <v>9</v>
      </c>
    </row>
    <row r="1157" spans="1:6" x14ac:dyDescent="0.2">
      <c r="A1157">
        <v>2023</v>
      </c>
      <c r="B1157" s="36">
        <v>4877</v>
      </c>
      <c r="C1157" s="90" t="str">
        <f>VLOOKUP(B1157,'All Districts'!$A$3:$B$874,2,FALSE)</f>
        <v>Brittonkill</v>
      </c>
      <c r="D1157" s="40">
        <v>951358</v>
      </c>
      <c r="E1157">
        <f>VLOOKUP(C1157,'All Districts'!$B$3:$C$874,2,FALSE)</f>
        <v>3605520</v>
      </c>
      <c r="F1157" s="91">
        <f>COUNTIF($E$2:$E$7106,E1157)</f>
        <v>9</v>
      </c>
    </row>
    <row r="1158" spans="1:6" x14ac:dyDescent="0.2">
      <c r="A1158">
        <v>2015</v>
      </c>
      <c r="B1158" s="13">
        <v>4009</v>
      </c>
      <c r="C1158" s="90" t="str">
        <f>VLOOKUP(B1158,'All Districts'!$A$3:$B$874,2,FALSE)</f>
        <v>Broadalbin-Perth</v>
      </c>
      <c r="D1158" s="14">
        <v>2017986</v>
      </c>
      <c r="E1158">
        <f>VLOOKUP(C1158,'All Districts'!$B$3:$C$874,2,FALSE)</f>
        <v>3600005</v>
      </c>
      <c r="F1158" s="91">
        <f>COUNTIF($E$2:$E$7106,E1158)</f>
        <v>9</v>
      </c>
    </row>
    <row r="1159" spans="1:6" x14ac:dyDescent="0.2">
      <c r="A1159">
        <v>2016</v>
      </c>
      <c r="B1159" s="13">
        <v>4009</v>
      </c>
      <c r="C1159" s="90" t="str">
        <f>VLOOKUP(B1159,'All Districts'!$A$3:$B$874,2,FALSE)</f>
        <v>Broadalbin-Perth</v>
      </c>
      <c r="D1159" s="16">
        <v>1547021</v>
      </c>
      <c r="E1159">
        <f>VLOOKUP(C1159,'All Districts'!$B$3:$C$874,2,FALSE)</f>
        <v>3600005</v>
      </c>
      <c r="F1159" s="91">
        <f>COUNTIF($E$2:$E$7106,E1159)</f>
        <v>9</v>
      </c>
    </row>
    <row r="1160" spans="1:6" x14ac:dyDescent="0.2">
      <c r="A1160">
        <v>2017</v>
      </c>
      <c r="B1160" s="13">
        <v>4009</v>
      </c>
      <c r="C1160" s="90" t="str">
        <f>VLOOKUP(B1160,'All Districts'!$A$3:$B$874,2,FALSE)</f>
        <v>Broadalbin-Perth</v>
      </c>
      <c r="D1160" s="16">
        <v>1388329</v>
      </c>
      <c r="E1160">
        <f>VLOOKUP(C1160,'All Districts'!$B$3:$C$874,2,FALSE)</f>
        <v>3600005</v>
      </c>
      <c r="F1160" s="91">
        <f>COUNTIF($E$2:$E$7106,E1160)</f>
        <v>9</v>
      </c>
    </row>
    <row r="1161" spans="1:6" x14ac:dyDescent="0.2">
      <c r="A1161" s="10">
        <v>2018</v>
      </c>
      <c r="B1161" s="13">
        <v>4009</v>
      </c>
      <c r="C1161" s="90" t="str">
        <f>VLOOKUP(B1161,'All Districts'!$A$3:$B$874,2,FALSE)</f>
        <v>Broadalbin-Perth</v>
      </c>
      <c r="D1161" s="15">
        <v>1215566</v>
      </c>
      <c r="E1161">
        <f>VLOOKUP(C1161,'All Districts'!$B$3:$C$874,2,FALSE)</f>
        <v>3600005</v>
      </c>
      <c r="F1161" s="91">
        <f>COUNTIF($E$2:$E$7106,E1161)</f>
        <v>9</v>
      </c>
    </row>
    <row r="1162" spans="1:6" x14ac:dyDescent="0.2">
      <c r="A1162">
        <v>2019</v>
      </c>
      <c r="B1162" s="36">
        <v>4009</v>
      </c>
      <c r="C1162" s="90" t="str">
        <f>VLOOKUP(B1162,'All Districts'!$A$3:$B$874,2,FALSE)</f>
        <v>Broadalbin-Perth</v>
      </c>
      <c r="D1162" s="40">
        <v>1336928</v>
      </c>
      <c r="E1162">
        <f>VLOOKUP(C1162,'All Districts'!$B$3:$C$874,2,FALSE)</f>
        <v>3600005</v>
      </c>
      <c r="F1162" s="91">
        <f>COUNTIF($E$2:$E$7106,E1162)</f>
        <v>9</v>
      </c>
    </row>
    <row r="1163" spans="1:6" x14ac:dyDescent="0.2">
      <c r="A1163">
        <v>2020</v>
      </c>
      <c r="B1163" s="36">
        <v>4009</v>
      </c>
      <c r="C1163" s="90" t="str">
        <f>VLOOKUP(B1163,'All Districts'!$A$3:$B$874,2,FALSE)</f>
        <v>Broadalbin-Perth</v>
      </c>
      <c r="D1163" s="40">
        <v>1109556</v>
      </c>
      <c r="E1163">
        <f>VLOOKUP(C1163,'All Districts'!$B$3:$C$874,2,FALSE)</f>
        <v>3600005</v>
      </c>
      <c r="F1163" s="91">
        <f>COUNTIF($E$2:$E$7106,E1163)</f>
        <v>9</v>
      </c>
    </row>
    <row r="1164" spans="1:6" x14ac:dyDescent="0.2">
      <c r="A1164" s="10">
        <v>2021</v>
      </c>
      <c r="B1164" s="52">
        <v>4009</v>
      </c>
      <c r="C1164" s="90" t="str">
        <f>VLOOKUP(B1164,'All Districts'!$A$3:$B$874,2,FALSE)</f>
        <v>Broadalbin-Perth</v>
      </c>
      <c r="D1164" s="76">
        <v>1173330</v>
      </c>
      <c r="E1164">
        <f>VLOOKUP(C1164,'All Districts'!$B$3:$C$874,2,FALSE)</f>
        <v>3600005</v>
      </c>
      <c r="F1164" s="91">
        <f>COUNTIF($E$2:$E$7106,E1164)</f>
        <v>9</v>
      </c>
    </row>
    <row r="1165" spans="1:6" x14ac:dyDescent="0.2">
      <c r="A1165">
        <v>2022</v>
      </c>
      <c r="B1165" s="36">
        <v>4009</v>
      </c>
      <c r="C1165" s="90" t="str">
        <f>VLOOKUP(B1165,'All Districts'!$A$3:$B$874,2,FALSE)</f>
        <v>Broadalbin-Perth</v>
      </c>
      <c r="D1165" s="82">
        <v>1282722</v>
      </c>
      <c r="E1165">
        <f>VLOOKUP(C1165,'All Districts'!$B$3:$C$874,2,FALSE)</f>
        <v>3600005</v>
      </c>
      <c r="F1165" s="91">
        <f>COUNTIF($E$2:$E$7106,E1165)</f>
        <v>9</v>
      </c>
    </row>
    <row r="1166" spans="1:6" x14ac:dyDescent="0.2">
      <c r="A1166">
        <v>2023</v>
      </c>
      <c r="B1166" s="36">
        <v>4009</v>
      </c>
      <c r="C1166" s="90" t="str">
        <f>VLOOKUP(B1166,'All Districts'!$A$3:$B$874,2,FALSE)</f>
        <v>Broadalbin-Perth</v>
      </c>
      <c r="D1166" s="40">
        <v>1420835</v>
      </c>
      <c r="E1166">
        <f>VLOOKUP(C1166,'All Districts'!$B$3:$C$874,2,FALSE)</f>
        <v>3600005</v>
      </c>
      <c r="F1166" s="91">
        <f>COUNTIF($E$2:$E$7106,E1166)</f>
        <v>9</v>
      </c>
    </row>
    <row r="1167" spans="1:6" x14ac:dyDescent="0.2">
      <c r="A1167">
        <v>2015</v>
      </c>
      <c r="B1167" s="13">
        <v>2052</v>
      </c>
      <c r="C1167" s="90" t="str">
        <f>VLOOKUP(B1167,'All Districts'!$A$3:$B$874,2,FALSE)</f>
        <v>Brockport</v>
      </c>
      <c r="D1167" s="14">
        <v>4008691</v>
      </c>
      <c r="E1167">
        <f>VLOOKUP(C1167,'All Districts'!$B$3:$C$874,2,FALSE)</f>
        <v>3605580</v>
      </c>
      <c r="F1167" s="91">
        <f>COUNTIF($E$2:$E$7106,E1167)</f>
        <v>9</v>
      </c>
    </row>
    <row r="1168" spans="1:6" x14ac:dyDescent="0.2">
      <c r="A1168">
        <v>2016</v>
      </c>
      <c r="B1168" s="13">
        <v>2052</v>
      </c>
      <c r="C1168" s="90" t="str">
        <f>VLOOKUP(B1168,'All Districts'!$A$3:$B$874,2,FALSE)</f>
        <v>Brockport</v>
      </c>
      <c r="D1168" s="16">
        <v>3135322</v>
      </c>
      <c r="E1168">
        <f>VLOOKUP(C1168,'All Districts'!$B$3:$C$874,2,FALSE)</f>
        <v>3605580</v>
      </c>
      <c r="F1168" s="91">
        <f>COUNTIF($E$2:$E$7106,E1168)</f>
        <v>9</v>
      </c>
    </row>
    <row r="1169" spans="1:6" x14ac:dyDescent="0.2">
      <c r="A1169">
        <v>2017</v>
      </c>
      <c r="B1169" s="13">
        <v>2052</v>
      </c>
      <c r="C1169" s="90" t="str">
        <f>VLOOKUP(B1169,'All Districts'!$A$3:$B$874,2,FALSE)</f>
        <v>Brockport</v>
      </c>
      <c r="D1169" s="16">
        <v>2966990</v>
      </c>
      <c r="E1169">
        <f>VLOOKUP(C1169,'All Districts'!$B$3:$C$874,2,FALSE)</f>
        <v>3605580</v>
      </c>
      <c r="F1169" s="91">
        <f>COUNTIF($E$2:$E$7106,E1169)</f>
        <v>9</v>
      </c>
    </row>
    <row r="1170" spans="1:6" x14ac:dyDescent="0.2">
      <c r="A1170" s="10">
        <v>2018</v>
      </c>
      <c r="B1170" s="13">
        <v>2052</v>
      </c>
      <c r="C1170" s="90" t="str">
        <f>VLOOKUP(B1170,'All Districts'!$A$3:$B$874,2,FALSE)</f>
        <v>Brockport</v>
      </c>
      <c r="D1170" s="15">
        <v>2463374</v>
      </c>
      <c r="E1170">
        <f>VLOOKUP(C1170,'All Districts'!$B$3:$C$874,2,FALSE)</f>
        <v>3605580</v>
      </c>
      <c r="F1170" s="91">
        <f>COUNTIF($E$2:$E$7106,E1170)</f>
        <v>9</v>
      </c>
    </row>
    <row r="1171" spans="1:6" x14ac:dyDescent="0.2">
      <c r="A1171">
        <v>2019</v>
      </c>
      <c r="B1171" s="36">
        <v>2052</v>
      </c>
      <c r="C1171" s="90" t="str">
        <f>VLOOKUP(B1171,'All Districts'!$A$3:$B$874,2,FALSE)</f>
        <v>Brockport</v>
      </c>
      <c r="D1171" s="40">
        <v>2657761</v>
      </c>
      <c r="E1171">
        <f>VLOOKUP(C1171,'All Districts'!$B$3:$C$874,2,FALSE)</f>
        <v>3605580</v>
      </c>
      <c r="F1171" s="91">
        <f>COUNTIF($E$2:$E$7106,E1171)</f>
        <v>9</v>
      </c>
    </row>
    <row r="1172" spans="1:6" x14ac:dyDescent="0.2">
      <c r="A1172">
        <v>2020</v>
      </c>
      <c r="B1172" s="36">
        <v>2052</v>
      </c>
      <c r="C1172" s="90" t="str">
        <f>VLOOKUP(B1172,'All Districts'!$A$3:$B$874,2,FALSE)</f>
        <v>Brockport</v>
      </c>
      <c r="D1172" s="40">
        <v>2173528</v>
      </c>
      <c r="E1172">
        <f>VLOOKUP(C1172,'All Districts'!$B$3:$C$874,2,FALSE)</f>
        <v>3605580</v>
      </c>
      <c r="F1172" s="91">
        <f>COUNTIF($E$2:$E$7106,E1172)</f>
        <v>9</v>
      </c>
    </row>
    <row r="1173" spans="1:6" x14ac:dyDescent="0.2">
      <c r="A1173" s="10">
        <v>2021</v>
      </c>
      <c r="B1173" s="55">
        <v>2052</v>
      </c>
      <c r="C1173" s="90" t="str">
        <f>VLOOKUP(B1173,'All Districts'!$A$3:$B$874,2,FALSE)</f>
        <v>Brockport</v>
      </c>
      <c r="D1173" s="75">
        <v>2300292</v>
      </c>
      <c r="E1173">
        <f>VLOOKUP(C1173,'All Districts'!$B$3:$C$874,2,FALSE)</f>
        <v>3605580</v>
      </c>
      <c r="F1173" s="91">
        <f>COUNTIF($E$2:$E$7106,E1173)</f>
        <v>9</v>
      </c>
    </row>
    <row r="1174" spans="1:6" x14ac:dyDescent="0.2">
      <c r="A1174">
        <v>2022</v>
      </c>
      <c r="B1174" s="36">
        <v>2052</v>
      </c>
      <c r="C1174" s="90" t="str">
        <f>VLOOKUP(B1174,'All Districts'!$A$3:$B$874,2,FALSE)</f>
        <v>Brockport</v>
      </c>
      <c r="D1174" s="82">
        <v>2397035</v>
      </c>
      <c r="E1174">
        <f>VLOOKUP(C1174,'All Districts'!$B$3:$C$874,2,FALSE)</f>
        <v>3605580</v>
      </c>
      <c r="F1174" s="91">
        <f>COUNTIF($E$2:$E$7106,E1174)</f>
        <v>9</v>
      </c>
    </row>
    <row r="1175" spans="1:6" x14ac:dyDescent="0.2">
      <c r="A1175">
        <v>2023</v>
      </c>
      <c r="B1175" s="36">
        <v>2052</v>
      </c>
      <c r="C1175" s="90" t="str">
        <f>VLOOKUP(B1175,'All Districts'!$A$3:$B$874,2,FALSE)</f>
        <v>Brockport</v>
      </c>
      <c r="D1175" s="40">
        <v>2513554</v>
      </c>
      <c r="E1175">
        <f>VLOOKUP(C1175,'All Districts'!$B$3:$C$874,2,FALSE)</f>
        <v>3605580</v>
      </c>
      <c r="F1175" s="91">
        <f>COUNTIF($E$2:$E$7106,E1175)</f>
        <v>9</v>
      </c>
    </row>
    <row r="1176" spans="1:6" x14ac:dyDescent="0.2">
      <c r="A1176">
        <v>2015</v>
      </c>
      <c r="B1176" s="13">
        <v>3306</v>
      </c>
      <c r="C1176" s="90" t="str">
        <f>VLOOKUP(B1176,'All Districts'!$A$3:$B$874,2,FALSE)</f>
        <v>Brocton</v>
      </c>
      <c r="D1176" s="14">
        <v>723074</v>
      </c>
      <c r="E1176">
        <f>VLOOKUP(C1176,'All Districts'!$B$3:$C$874,2,FALSE)</f>
        <v>3605610</v>
      </c>
      <c r="F1176" s="91">
        <f>COUNTIF($E$2:$E$7106,E1176)</f>
        <v>9</v>
      </c>
    </row>
    <row r="1177" spans="1:6" x14ac:dyDescent="0.2">
      <c r="A1177">
        <v>2016</v>
      </c>
      <c r="B1177" s="13">
        <v>3306</v>
      </c>
      <c r="C1177" s="90" t="str">
        <f>VLOOKUP(B1177,'All Districts'!$A$3:$B$874,2,FALSE)</f>
        <v>Brocton</v>
      </c>
      <c r="D1177" s="16">
        <v>568006</v>
      </c>
      <c r="E1177">
        <f>VLOOKUP(C1177,'All Districts'!$B$3:$C$874,2,FALSE)</f>
        <v>3605610</v>
      </c>
      <c r="F1177" s="91">
        <f>COUNTIF($E$2:$E$7106,E1177)</f>
        <v>9</v>
      </c>
    </row>
    <row r="1178" spans="1:6" x14ac:dyDescent="0.2">
      <c r="A1178">
        <v>2017</v>
      </c>
      <c r="B1178" s="13">
        <v>3306</v>
      </c>
      <c r="C1178" s="90" t="str">
        <f>VLOOKUP(B1178,'All Districts'!$A$3:$B$874,2,FALSE)</f>
        <v>Brocton</v>
      </c>
      <c r="D1178" s="16">
        <v>530833</v>
      </c>
      <c r="E1178">
        <f>VLOOKUP(C1178,'All Districts'!$B$3:$C$874,2,FALSE)</f>
        <v>3605610</v>
      </c>
      <c r="F1178" s="91">
        <f>COUNTIF($E$2:$E$7106,E1178)</f>
        <v>9</v>
      </c>
    </row>
    <row r="1179" spans="1:6" x14ac:dyDescent="0.2">
      <c r="A1179" s="10">
        <v>2018</v>
      </c>
      <c r="B1179" s="13">
        <v>3306</v>
      </c>
      <c r="C1179" s="90" t="str">
        <f>VLOOKUP(B1179,'All Districts'!$A$3:$B$874,2,FALSE)</f>
        <v>Brocton</v>
      </c>
      <c r="D1179" s="15">
        <v>451327</v>
      </c>
      <c r="E1179">
        <f>VLOOKUP(C1179,'All Districts'!$B$3:$C$874,2,FALSE)</f>
        <v>3605610</v>
      </c>
      <c r="F1179" s="91">
        <f>COUNTIF($E$2:$E$7106,E1179)</f>
        <v>9</v>
      </c>
    </row>
    <row r="1180" spans="1:6" x14ac:dyDescent="0.2">
      <c r="A1180">
        <v>2019</v>
      </c>
      <c r="B1180" s="36">
        <v>3306</v>
      </c>
      <c r="C1180" s="90" t="str">
        <f>VLOOKUP(B1180,'All Districts'!$A$3:$B$874,2,FALSE)</f>
        <v>Brocton</v>
      </c>
      <c r="D1180" s="40">
        <v>506683</v>
      </c>
      <c r="E1180">
        <f>VLOOKUP(C1180,'All Districts'!$B$3:$C$874,2,FALSE)</f>
        <v>3605610</v>
      </c>
      <c r="F1180" s="91">
        <f>COUNTIF($E$2:$E$7106,E1180)</f>
        <v>9</v>
      </c>
    </row>
    <row r="1181" spans="1:6" x14ac:dyDescent="0.2">
      <c r="A1181">
        <v>2020</v>
      </c>
      <c r="B1181" s="36">
        <v>3306</v>
      </c>
      <c r="C1181" s="90" t="str">
        <f>VLOOKUP(B1181,'All Districts'!$A$3:$B$874,2,FALSE)</f>
        <v>Brocton</v>
      </c>
      <c r="D1181" s="40">
        <v>416431</v>
      </c>
      <c r="E1181">
        <f>VLOOKUP(C1181,'All Districts'!$B$3:$C$874,2,FALSE)</f>
        <v>3605610</v>
      </c>
      <c r="F1181" s="91">
        <f>COUNTIF($E$2:$E$7106,E1181)</f>
        <v>9</v>
      </c>
    </row>
    <row r="1182" spans="1:6" x14ac:dyDescent="0.2">
      <c r="A1182" s="10">
        <v>2021</v>
      </c>
      <c r="B1182" s="52">
        <v>3306</v>
      </c>
      <c r="C1182" s="90" t="str">
        <f>VLOOKUP(B1182,'All Districts'!$A$3:$B$874,2,FALSE)</f>
        <v>Brocton</v>
      </c>
      <c r="D1182" s="76">
        <v>463105</v>
      </c>
      <c r="E1182">
        <f>VLOOKUP(C1182,'All Districts'!$B$3:$C$874,2,FALSE)</f>
        <v>3605610</v>
      </c>
      <c r="F1182" s="91">
        <f>COUNTIF($E$2:$E$7106,E1182)</f>
        <v>9</v>
      </c>
    </row>
    <row r="1183" spans="1:6" x14ac:dyDescent="0.2">
      <c r="A1183">
        <v>2022</v>
      </c>
      <c r="B1183" s="36">
        <v>3306</v>
      </c>
      <c r="C1183" s="90" t="str">
        <f>VLOOKUP(B1183,'All Districts'!$A$3:$B$874,2,FALSE)</f>
        <v>Brocton</v>
      </c>
      <c r="D1183" s="82">
        <v>491414</v>
      </c>
      <c r="E1183">
        <f>VLOOKUP(C1183,'All Districts'!$B$3:$C$874,2,FALSE)</f>
        <v>3605610</v>
      </c>
      <c r="F1183" s="91">
        <f>COUNTIF($E$2:$E$7106,E1183)</f>
        <v>9</v>
      </c>
    </row>
    <row r="1184" spans="1:6" x14ac:dyDescent="0.2">
      <c r="A1184">
        <v>2023</v>
      </c>
      <c r="B1184" s="36">
        <v>3306</v>
      </c>
      <c r="C1184" s="90" t="str">
        <f>VLOOKUP(B1184,'All Districts'!$A$3:$B$874,2,FALSE)</f>
        <v>Brocton</v>
      </c>
      <c r="D1184" s="40">
        <v>561819</v>
      </c>
      <c r="E1184">
        <f>VLOOKUP(C1184,'All Districts'!$B$3:$C$874,2,FALSE)</f>
        <v>3605610</v>
      </c>
      <c r="F1184" s="91">
        <f>COUNTIF($E$2:$E$7106,E1184)</f>
        <v>9</v>
      </c>
    </row>
    <row r="1185" spans="1:6" x14ac:dyDescent="0.2">
      <c r="A1185">
        <v>2015</v>
      </c>
      <c r="B1185" s="13">
        <v>2055</v>
      </c>
      <c r="C1185" s="90" t="str">
        <f>VLOOKUP(B1185,'All Districts'!$A$3:$B$874,2,FALSE)</f>
        <v>Bronxville</v>
      </c>
      <c r="D1185" s="14">
        <v>3638192</v>
      </c>
      <c r="E1185">
        <f>VLOOKUP(C1185,'All Districts'!$B$3:$C$874,2,FALSE)</f>
        <v>3605640</v>
      </c>
      <c r="F1185" s="91">
        <f>COUNTIF($E$2:$E$7106,E1185)</f>
        <v>9</v>
      </c>
    </row>
    <row r="1186" spans="1:6" x14ac:dyDescent="0.2">
      <c r="A1186">
        <v>2016</v>
      </c>
      <c r="B1186" s="13">
        <v>2055</v>
      </c>
      <c r="C1186" s="90" t="str">
        <f>VLOOKUP(B1186,'All Districts'!$A$3:$B$874,2,FALSE)</f>
        <v>Bronxville</v>
      </c>
      <c r="D1186" s="16">
        <v>2820758</v>
      </c>
      <c r="E1186">
        <f>VLOOKUP(C1186,'All Districts'!$B$3:$C$874,2,FALSE)</f>
        <v>3605640</v>
      </c>
      <c r="F1186" s="91">
        <f>COUNTIF($E$2:$E$7106,E1186)</f>
        <v>9</v>
      </c>
    </row>
    <row r="1187" spans="1:6" x14ac:dyDescent="0.2">
      <c r="A1187">
        <v>2017</v>
      </c>
      <c r="B1187" s="13">
        <v>2055</v>
      </c>
      <c r="C1187" s="90" t="str">
        <f>VLOOKUP(B1187,'All Districts'!$A$3:$B$874,2,FALSE)</f>
        <v>Bronxville</v>
      </c>
      <c r="D1187" s="16">
        <v>2420548</v>
      </c>
      <c r="E1187">
        <f>VLOOKUP(C1187,'All Districts'!$B$3:$C$874,2,FALSE)</f>
        <v>3605640</v>
      </c>
      <c r="F1187" s="91">
        <f>COUNTIF($E$2:$E$7106,E1187)</f>
        <v>9</v>
      </c>
    </row>
    <row r="1188" spans="1:6" x14ac:dyDescent="0.2">
      <c r="A1188" s="10">
        <v>2018</v>
      </c>
      <c r="B1188" s="13">
        <v>2055</v>
      </c>
      <c r="C1188" s="90" t="str">
        <f>VLOOKUP(B1188,'All Districts'!$A$3:$B$874,2,FALSE)</f>
        <v>Bronxville</v>
      </c>
      <c r="D1188" s="15">
        <v>2087449</v>
      </c>
      <c r="E1188">
        <f>VLOOKUP(C1188,'All Districts'!$B$3:$C$874,2,FALSE)</f>
        <v>3605640</v>
      </c>
      <c r="F1188" s="91">
        <f>COUNTIF($E$2:$E$7106,E1188)</f>
        <v>9</v>
      </c>
    </row>
    <row r="1189" spans="1:6" x14ac:dyDescent="0.2">
      <c r="A1189">
        <v>2019</v>
      </c>
      <c r="B1189" s="36">
        <v>2055</v>
      </c>
      <c r="C1189" s="90" t="str">
        <f>VLOOKUP(B1189,'All Districts'!$A$3:$B$874,2,FALSE)</f>
        <v>Bronxville</v>
      </c>
      <c r="D1189" s="40">
        <v>2296875</v>
      </c>
      <c r="E1189">
        <f>VLOOKUP(C1189,'All Districts'!$B$3:$C$874,2,FALSE)</f>
        <v>3605640</v>
      </c>
      <c r="F1189" s="91">
        <f>COUNTIF($E$2:$E$7106,E1189)</f>
        <v>9</v>
      </c>
    </row>
    <row r="1190" spans="1:6" x14ac:dyDescent="0.2">
      <c r="A1190">
        <v>2020</v>
      </c>
      <c r="B1190" s="36">
        <v>2055</v>
      </c>
      <c r="C1190" s="90" t="str">
        <f>VLOOKUP(B1190,'All Districts'!$A$3:$B$874,2,FALSE)</f>
        <v>Bronxville</v>
      </c>
      <c r="D1190" s="40">
        <v>1901077</v>
      </c>
      <c r="E1190">
        <f>VLOOKUP(C1190,'All Districts'!$B$3:$C$874,2,FALSE)</f>
        <v>3605640</v>
      </c>
      <c r="F1190" s="91">
        <f>COUNTIF($E$2:$E$7106,E1190)</f>
        <v>9</v>
      </c>
    </row>
    <row r="1191" spans="1:6" x14ac:dyDescent="0.2">
      <c r="A1191" s="10">
        <v>2021</v>
      </c>
      <c r="B1191" s="52">
        <v>2055</v>
      </c>
      <c r="C1191" s="90" t="str">
        <f>VLOOKUP(B1191,'All Districts'!$A$3:$B$874,2,FALSE)</f>
        <v>Bronxville</v>
      </c>
      <c r="D1191" s="75">
        <v>2062149</v>
      </c>
      <c r="E1191">
        <f>VLOOKUP(C1191,'All Districts'!$B$3:$C$874,2,FALSE)</f>
        <v>3605640</v>
      </c>
      <c r="F1191" s="91">
        <f>COUNTIF($E$2:$E$7106,E1191)</f>
        <v>9</v>
      </c>
    </row>
    <row r="1192" spans="1:6" x14ac:dyDescent="0.2">
      <c r="A1192">
        <v>2022</v>
      </c>
      <c r="B1192" s="36">
        <v>2055</v>
      </c>
      <c r="C1192" s="90" t="str">
        <f>VLOOKUP(B1192,'All Districts'!$A$3:$B$874,2,FALSE)</f>
        <v>Bronxville</v>
      </c>
      <c r="D1192" s="82">
        <v>2134446</v>
      </c>
      <c r="E1192">
        <f>VLOOKUP(C1192,'All Districts'!$B$3:$C$874,2,FALSE)</f>
        <v>3605640</v>
      </c>
      <c r="F1192" s="91">
        <f>COUNTIF($E$2:$E$7106,E1192)</f>
        <v>9</v>
      </c>
    </row>
    <row r="1193" spans="1:6" x14ac:dyDescent="0.2">
      <c r="A1193">
        <v>2023</v>
      </c>
      <c r="B1193" s="36">
        <v>2055</v>
      </c>
      <c r="C1193" s="90" t="str">
        <f>VLOOKUP(B1193,'All Districts'!$A$3:$B$874,2,FALSE)</f>
        <v>Bronxville</v>
      </c>
      <c r="D1193" s="40">
        <v>2334110</v>
      </c>
      <c r="E1193">
        <f>VLOOKUP(C1193,'All Districts'!$B$3:$C$874,2,FALSE)</f>
        <v>3605640</v>
      </c>
      <c r="F1193" s="91">
        <f>COUNTIF($E$2:$E$7106,E1193)</f>
        <v>9</v>
      </c>
    </row>
    <row r="1194" spans="1:6" x14ac:dyDescent="0.2">
      <c r="A1194">
        <v>2015</v>
      </c>
      <c r="B1194" s="13">
        <v>4434</v>
      </c>
      <c r="C1194" s="90" t="str">
        <f>VLOOKUP(B1194,'All Districts'!$A$3:$B$874,2,FALSE)</f>
        <v>Brookfield</v>
      </c>
      <c r="D1194" s="14">
        <v>278411</v>
      </c>
      <c r="E1194">
        <f>VLOOKUP(C1194,'All Districts'!$B$3:$C$874,2,FALSE)</f>
        <v>3605670</v>
      </c>
      <c r="F1194" s="91">
        <f>COUNTIF($E$2:$E$7106,E1194)</f>
        <v>9</v>
      </c>
    </row>
    <row r="1195" spans="1:6" x14ac:dyDescent="0.2">
      <c r="A1195">
        <v>2016</v>
      </c>
      <c r="B1195" s="13">
        <v>4434</v>
      </c>
      <c r="C1195" s="90" t="str">
        <f>VLOOKUP(B1195,'All Districts'!$A$3:$B$874,2,FALSE)</f>
        <v>Brookfield</v>
      </c>
      <c r="D1195" s="16">
        <v>217231</v>
      </c>
      <c r="E1195">
        <f>VLOOKUP(C1195,'All Districts'!$B$3:$C$874,2,FALSE)</f>
        <v>3605670</v>
      </c>
      <c r="F1195" s="91">
        <f>COUNTIF($E$2:$E$7106,E1195)</f>
        <v>9</v>
      </c>
    </row>
    <row r="1196" spans="1:6" x14ac:dyDescent="0.2">
      <c r="A1196">
        <v>2017</v>
      </c>
      <c r="B1196" s="13">
        <v>4434</v>
      </c>
      <c r="C1196" s="90" t="str">
        <f>VLOOKUP(B1196,'All Districts'!$A$3:$B$874,2,FALSE)</f>
        <v>Brookfield</v>
      </c>
      <c r="D1196" s="16">
        <v>189970</v>
      </c>
      <c r="E1196">
        <f>VLOOKUP(C1196,'All Districts'!$B$3:$C$874,2,FALSE)</f>
        <v>3605670</v>
      </c>
      <c r="F1196" s="91">
        <f>COUNTIF($E$2:$E$7106,E1196)</f>
        <v>9</v>
      </c>
    </row>
    <row r="1197" spans="1:6" x14ac:dyDescent="0.2">
      <c r="A1197" s="10">
        <v>2018</v>
      </c>
      <c r="B1197" s="13">
        <v>4434</v>
      </c>
      <c r="C1197" s="90" t="str">
        <f>VLOOKUP(B1197,'All Districts'!$A$3:$B$874,2,FALSE)</f>
        <v>Brookfield</v>
      </c>
      <c r="D1197" s="15">
        <v>165526</v>
      </c>
      <c r="E1197">
        <f>VLOOKUP(C1197,'All Districts'!$B$3:$C$874,2,FALSE)</f>
        <v>3605670</v>
      </c>
      <c r="F1197" s="91">
        <f>COUNTIF($E$2:$E$7106,E1197)</f>
        <v>9</v>
      </c>
    </row>
    <row r="1198" spans="1:6" x14ac:dyDescent="0.2">
      <c r="A1198">
        <v>2019</v>
      </c>
      <c r="B1198" s="36">
        <v>4434</v>
      </c>
      <c r="C1198" s="90" t="str">
        <f>VLOOKUP(B1198,'All Districts'!$A$3:$B$874,2,FALSE)</f>
        <v>Brookfield</v>
      </c>
      <c r="D1198" s="40">
        <v>174730</v>
      </c>
      <c r="E1198">
        <f>VLOOKUP(C1198,'All Districts'!$B$3:$C$874,2,FALSE)</f>
        <v>3605670</v>
      </c>
      <c r="F1198" s="91">
        <f>COUNTIF($E$2:$E$7106,E1198)</f>
        <v>9</v>
      </c>
    </row>
    <row r="1199" spans="1:6" x14ac:dyDescent="0.2">
      <c r="A1199">
        <v>2020</v>
      </c>
      <c r="B1199" s="36">
        <v>4434</v>
      </c>
      <c r="C1199" s="90" t="str">
        <f>VLOOKUP(B1199,'All Districts'!$A$3:$B$874,2,FALSE)</f>
        <v>Brookfield</v>
      </c>
      <c r="D1199" s="40">
        <v>157094</v>
      </c>
      <c r="E1199">
        <f>VLOOKUP(C1199,'All Districts'!$B$3:$C$874,2,FALSE)</f>
        <v>3605670</v>
      </c>
      <c r="F1199" s="91">
        <f>COUNTIF($E$2:$E$7106,E1199)</f>
        <v>9</v>
      </c>
    </row>
    <row r="1200" spans="1:6" x14ac:dyDescent="0.2">
      <c r="A1200" s="10">
        <v>2021</v>
      </c>
      <c r="B1200" s="52">
        <v>4434</v>
      </c>
      <c r="C1200" s="90" t="str">
        <f>VLOOKUP(B1200,'All Districts'!$A$3:$B$874,2,FALSE)</f>
        <v>Brookfield</v>
      </c>
      <c r="D1200" s="75">
        <v>173869</v>
      </c>
      <c r="E1200">
        <f>VLOOKUP(C1200,'All Districts'!$B$3:$C$874,2,FALSE)</f>
        <v>3605670</v>
      </c>
      <c r="F1200" s="91">
        <f>COUNTIF($E$2:$E$7106,E1200)</f>
        <v>9</v>
      </c>
    </row>
    <row r="1201" spans="1:6" x14ac:dyDescent="0.2">
      <c r="A1201">
        <v>2022</v>
      </c>
      <c r="B1201" s="36">
        <v>4434</v>
      </c>
      <c r="C1201" s="90" t="str">
        <f>VLOOKUP(B1201,'All Districts'!$A$3:$B$874,2,FALSE)</f>
        <v>Brookfield</v>
      </c>
      <c r="D1201" s="82">
        <v>194721</v>
      </c>
      <c r="E1201">
        <f>VLOOKUP(C1201,'All Districts'!$B$3:$C$874,2,FALSE)</f>
        <v>3605670</v>
      </c>
      <c r="F1201" s="91">
        <f>COUNTIF($E$2:$E$7106,E1201)</f>
        <v>9</v>
      </c>
    </row>
    <row r="1202" spans="1:6" x14ac:dyDescent="0.2">
      <c r="A1202">
        <v>2023</v>
      </c>
      <c r="B1202" s="36">
        <v>4434</v>
      </c>
      <c r="C1202" s="90" t="str">
        <f>VLOOKUP(B1202,'All Districts'!$A$3:$B$874,2,FALSE)</f>
        <v>Brookfield</v>
      </c>
      <c r="D1202" s="40">
        <v>196117</v>
      </c>
      <c r="E1202">
        <f>VLOOKUP(C1202,'All Districts'!$B$3:$C$874,2,FALSE)</f>
        <v>3605670</v>
      </c>
      <c r="F1202" s="91">
        <f>COUNTIF($E$2:$E$7106,E1202)</f>
        <v>9</v>
      </c>
    </row>
    <row r="1203" spans="1:6" x14ac:dyDescent="0.2">
      <c r="A1203">
        <v>2015</v>
      </c>
      <c r="B1203" s="13">
        <v>5403</v>
      </c>
      <c r="C1203" s="90" t="str">
        <f>VLOOKUP(B1203,'All Districts'!$A$3:$B$874,2,FALSE)</f>
        <v>Brookhaven-Comsewogue</v>
      </c>
      <c r="D1203" s="14">
        <v>6203082</v>
      </c>
      <c r="E1203">
        <f>VLOOKUP(C1203,'All Districts'!$B$3:$C$874,2,FALSE)</f>
        <v>3615780</v>
      </c>
      <c r="F1203" s="91">
        <f>COUNTIF($E$2:$E$7106,E1203)</f>
        <v>9</v>
      </c>
    </row>
    <row r="1204" spans="1:6" x14ac:dyDescent="0.2">
      <c r="A1204">
        <v>2016</v>
      </c>
      <c r="B1204" s="13">
        <v>5403</v>
      </c>
      <c r="C1204" s="90" t="str">
        <f>VLOOKUP(B1204,'All Districts'!$A$3:$B$874,2,FALSE)</f>
        <v>Brookhaven-Comsewogue</v>
      </c>
      <c r="D1204" s="16">
        <v>4778815</v>
      </c>
      <c r="E1204">
        <f>VLOOKUP(C1204,'All Districts'!$B$3:$C$874,2,FALSE)</f>
        <v>3615780</v>
      </c>
      <c r="F1204" s="91">
        <f>COUNTIF($E$2:$E$7106,E1204)</f>
        <v>9</v>
      </c>
    </row>
    <row r="1205" spans="1:6" x14ac:dyDescent="0.2">
      <c r="A1205">
        <v>2017</v>
      </c>
      <c r="B1205" s="13">
        <v>5403</v>
      </c>
      <c r="C1205" s="90" t="str">
        <f>VLOOKUP(B1205,'All Districts'!$A$3:$B$874,2,FALSE)</f>
        <v>Brookhaven-Comsewogue</v>
      </c>
      <c r="D1205" s="16">
        <v>4409444</v>
      </c>
      <c r="E1205">
        <f>VLOOKUP(C1205,'All Districts'!$B$3:$C$874,2,FALSE)</f>
        <v>3615780</v>
      </c>
      <c r="F1205" s="91">
        <f>COUNTIF($E$2:$E$7106,E1205)</f>
        <v>9</v>
      </c>
    </row>
    <row r="1206" spans="1:6" x14ac:dyDescent="0.2">
      <c r="A1206" s="10">
        <v>2018</v>
      </c>
      <c r="B1206" s="13">
        <v>5403</v>
      </c>
      <c r="C1206" s="90" t="str">
        <f>VLOOKUP(B1206,'All Districts'!$A$3:$B$874,2,FALSE)</f>
        <v>Brookhaven-Comsewogue</v>
      </c>
      <c r="D1206" s="15">
        <v>3730892</v>
      </c>
      <c r="E1206">
        <f>VLOOKUP(C1206,'All Districts'!$B$3:$C$874,2,FALSE)</f>
        <v>3615780</v>
      </c>
      <c r="F1206" s="91">
        <f>COUNTIF($E$2:$E$7106,E1206)</f>
        <v>9</v>
      </c>
    </row>
    <row r="1207" spans="1:6" x14ac:dyDescent="0.2">
      <c r="A1207">
        <v>2019</v>
      </c>
      <c r="B1207" s="36">
        <v>5403</v>
      </c>
      <c r="C1207" s="90" t="str">
        <f>VLOOKUP(B1207,'All Districts'!$A$3:$B$874,2,FALSE)</f>
        <v>Brookhaven-Comsewogue</v>
      </c>
      <c r="D1207" s="40">
        <v>4077910</v>
      </c>
      <c r="E1207">
        <f>VLOOKUP(C1207,'All Districts'!$B$3:$C$874,2,FALSE)</f>
        <v>3615780</v>
      </c>
      <c r="F1207" s="91">
        <f>COUNTIF($E$2:$E$7106,E1207)</f>
        <v>9</v>
      </c>
    </row>
    <row r="1208" spans="1:6" x14ac:dyDescent="0.2">
      <c r="A1208">
        <v>2020</v>
      </c>
      <c r="B1208" s="36">
        <v>5403</v>
      </c>
      <c r="C1208" s="90" t="str">
        <f>VLOOKUP(B1208,'All Districts'!$A$3:$B$874,2,FALSE)</f>
        <v>Brookhaven-Comsewogue</v>
      </c>
      <c r="D1208" s="40">
        <v>3463029</v>
      </c>
      <c r="E1208">
        <f>VLOOKUP(C1208,'All Districts'!$B$3:$C$874,2,FALSE)</f>
        <v>3615780</v>
      </c>
      <c r="F1208" s="91">
        <f>COUNTIF($E$2:$E$7106,E1208)</f>
        <v>9</v>
      </c>
    </row>
    <row r="1209" spans="1:6" x14ac:dyDescent="0.2">
      <c r="A1209" s="10">
        <v>2021</v>
      </c>
      <c r="B1209" s="52">
        <v>5403</v>
      </c>
      <c r="C1209" s="90" t="str">
        <f>VLOOKUP(B1209,'All Districts'!$A$3:$B$874,2,FALSE)</f>
        <v>Brookhaven-Comsewogue</v>
      </c>
      <c r="D1209" s="75">
        <v>3792062</v>
      </c>
      <c r="E1209">
        <f>VLOOKUP(C1209,'All Districts'!$B$3:$C$874,2,FALSE)</f>
        <v>3615780</v>
      </c>
      <c r="F1209" s="91">
        <f>COUNTIF($E$2:$E$7106,E1209)</f>
        <v>9</v>
      </c>
    </row>
    <row r="1210" spans="1:6" x14ac:dyDescent="0.2">
      <c r="A1210">
        <v>2022</v>
      </c>
      <c r="B1210" s="36">
        <v>5403</v>
      </c>
      <c r="C1210" s="90" t="str">
        <f>VLOOKUP(B1210,'All Districts'!$A$3:$B$874,2,FALSE)</f>
        <v>Brookhaven-Comsewogue</v>
      </c>
      <c r="D1210" s="82">
        <v>3994896</v>
      </c>
      <c r="E1210">
        <f>VLOOKUP(C1210,'All Districts'!$B$3:$C$874,2,FALSE)</f>
        <v>3615780</v>
      </c>
      <c r="F1210" s="91">
        <f>COUNTIF($E$2:$E$7106,E1210)</f>
        <v>9</v>
      </c>
    </row>
    <row r="1211" spans="1:6" x14ac:dyDescent="0.2">
      <c r="A1211">
        <v>2023</v>
      </c>
      <c r="B1211" s="36">
        <v>5403</v>
      </c>
      <c r="C1211" s="90" t="str">
        <f>VLOOKUP(B1211,'All Districts'!$A$3:$B$874,2,FALSE)</f>
        <v>Brookhaven-Comsewogue</v>
      </c>
      <c r="D1211" s="40">
        <v>4348099</v>
      </c>
      <c r="E1211">
        <f>VLOOKUP(C1211,'All Districts'!$B$3:$C$874,2,FALSE)</f>
        <v>3615780</v>
      </c>
      <c r="F1211" s="91">
        <f>COUNTIF($E$2:$E$7106,E1211)</f>
        <v>9</v>
      </c>
    </row>
    <row r="1212" spans="1:6" x14ac:dyDescent="0.2">
      <c r="A1212">
        <v>2015</v>
      </c>
      <c r="B1212" s="13">
        <v>8110</v>
      </c>
      <c r="C1212" s="90" t="str">
        <f>VLOOKUP(B1212,'All Districts'!$A$3:$B$874,2,FALSE)</f>
        <v>Broome</v>
      </c>
      <c r="D1212" s="15">
        <v>1092399</v>
      </c>
      <c r="E1212">
        <f>VLOOKUP(C1212,'All Districts'!$B$3:$C$874,2,FALSE)</f>
        <v>3601043</v>
      </c>
      <c r="F1212" s="91">
        <f>COUNTIF($E$2:$E$7106,E1212)</f>
        <v>9</v>
      </c>
    </row>
    <row r="1213" spans="1:6" x14ac:dyDescent="0.2">
      <c r="A1213">
        <v>2016</v>
      </c>
      <c r="B1213" s="13">
        <v>8110</v>
      </c>
      <c r="C1213" s="90" t="str">
        <f>VLOOKUP(B1213,'All Districts'!$A$3:$B$874,2,FALSE)</f>
        <v>Broome</v>
      </c>
      <c r="D1213" s="16">
        <v>881584</v>
      </c>
      <c r="E1213">
        <f>VLOOKUP(C1213,'All Districts'!$B$3:$C$874,2,FALSE)</f>
        <v>3601043</v>
      </c>
      <c r="F1213" s="91">
        <f>COUNTIF($E$2:$E$7106,E1213)</f>
        <v>9</v>
      </c>
    </row>
    <row r="1214" spans="1:6" x14ac:dyDescent="0.2">
      <c r="A1214">
        <v>2017</v>
      </c>
      <c r="B1214" s="13">
        <v>8110</v>
      </c>
      <c r="C1214" s="90" t="str">
        <f>VLOOKUP(B1214,'All Districts'!$A$3:$B$874,2,FALSE)</f>
        <v>Broome</v>
      </c>
      <c r="D1214" s="16">
        <v>848508</v>
      </c>
      <c r="E1214">
        <f>VLOOKUP(C1214,'All Districts'!$B$3:$C$874,2,FALSE)</f>
        <v>3601043</v>
      </c>
      <c r="F1214" s="91">
        <f>COUNTIF($E$2:$E$7106,E1214)</f>
        <v>9</v>
      </c>
    </row>
    <row r="1215" spans="1:6" x14ac:dyDescent="0.2">
      <c r="A1215" s="10">
        <v>2018</v>
      </c>
      <c r="B1215" s="13">
        <v>8110</v>
      </c>
      <c r="C1215" s="90" t="str">
        <f>VLOOKUP(B1215,'All Districts'!$A$3:$B$874,2,FALSE)</f>
        <v>Broome</v>
      </c>
      <c r="D1215" s="15">
        <v>731104</v>
      </c>
      <c r="E1215">
        <f>VLOOKUP(C1215,'All Districts'!$B$3:$C$874,2,FALSE)</f>
        <v>3601043</v>
      </c>
      <c r="F1215" s="91">
        <f>COUNTIF($E$2:$E$7106,E1215)</f>
        <v>9</v>
      </c>
    </row>
    <row r="1216" spans="1:6" x14ac:dyDescent="0.2">
      <c r="A1216">
        <v>2019</v>
      </c>
      <c r="B1216" s="36">
        <v>8110</v>
      </c>
      <c r="C1216" s="90" t="str">
        <f>VLOOKUP(B1216,'All Districts'!$A$3:$B$874,2,FALSE)</f>
        <v>Broome</v>
      </c>
      <c r="D1216" s="40">
        <v>789386</v>
      </c>
      <c r="E1216">
        <f>VLOOKUP(C1216,'All Districts'!$B$3:$C$874,2,FALSE)</f>
        <v>3601043</v>
      </c>
      <c r="F1216" s="91">
        <f>COUNTIF($E$2:$E$7106,E1216)</f>
        <v>9</v>
      </c>
    </row>
    <row r="1217" spans="1:6" x14ac:dyDescent="0.2">
      <c r="A1217">
        <v>2020</v>
      </c>
      <c r="B1217" s="36">
        <v>8110</v>
      </c>
      <c r="C1217" s="90" t="str">
        <f>VLOOKUP(B1217,'All Districts'!$A$3:$B$874,2,FALSE)</f>
        <v>Broome</v>
      </c>
      <c r="D1217" s="40">
        <v>661524</v>
      </c>
      <c r="E1217">
        <f>VLOOKUP(C1217,'All Districts'!$B$3:$C$874,2,FALSE)</f>
        <v>3601043</v>
      </c>
      <c r="F1217" s="91">
        <f>COUNTIF($E$2:$E$7106,E1217)</f>
        <v>9</v>
      </c>
    </row>
    <row r="1218" spans="1:6" x14ac:dyDescent="0.2">
      <c r="A1218" s="10">
        <v>2021</v>
      </c>
      <c r="B1218" s="55">
        <v>8110</v>
      </c>
      <c r="C1218" s="90" t="str">
        <f>VLOOKUP(B1218,'All Districts'!$A$3:$B$874,2,FALSE)</f>
        <v>Broome</v>
      </c>
      <c r="D1218" s="75">
        <v>674554</v>
      </c>
      <c r="E1218">
        <f>VLOOKUP(C1218,'All Districts'!$B$3:$C$874,2,FALSE)</f>
        <v>3601043</v>
      </c>
      <c r="F1218" s="91">
        <f>COUNTIF($E$2:$E$7106,E1218)</f>
        <v>9</v>
      </c>
    </row>
    <row r="1219" spans="1:6" x14ac:dyDescent="0.2">
      <c r="A1219">
        <v>2022</v>
      </c>
      <c r="B1219" s="36">
        <v>8110</v>
      </c>
      <c r="C1219" s="90" t="str">
        <f>VLOOKUP(B1219,'All Districts'!$A$3:$B$874,2,FALSE)</f>
        <v>Broome</v>
      </c>
      <c r="D1219" s="82">
        <v>652411</v>
      </c>
      <c r="E1219">
        <f>VLOOKUP(C1219,'All Districts'!$B$3:$C$874,2,FALSE)</f>
        <v>3601043</v>
      </c>
      <c r="F1219" s="91">
        <f>COUNTIF($E$2:$E$7106,E1219)</f>
        <v>9</v>
      </c>
    </row>
    <row r="1220" spans="1:6" x14ac:dyDescent="0.2">
      <c r="A1220">
        <v>2023</v>
      </c>
      <c r="B1220" s="36">
        <v>8110</v>
      </c>
      <c r="C1220" s="90" t="str">
        <f>VLOOKUP(B1220,'All Districts'!$A$3:$B$874,2,FALSE)</f>
        <v>Broome</v>
      </c>
      <c r="D1220" s="40">
        <v>770755</v>
      </c>
      <c r="E1220">
        <f>VLOOKUP(C1220,'All Districts'!$B$3:$C$874,2,FALSE)</f>
        <v>3601043</v>
      </c>
      <c r="F1220" s="91">
        <f>COUNTIF($E$2:$E$7106,E1220)</f>
        <v>9</v>
      </c>
    </row>
    <row r="1221" spans="1:6" x14ac:dyDescent="0.2">
      <c r="A1221">
        <v>2015</v>
      </c>
      <c r="B1221" s="13">
        <v>6005</v>
      </c>
      <c r="C1221" s="90" t="str">
        <f>VLOOKUP(B1221,'All Districts'!$A$3:$B$874,2,FALSE)</f>
        <v>Broome-Delaware-Tioga</v>
      </c>
      <c r="D1221" s="15">
        <v>3030576</v>
      </c>
      <c r="E1221">
        <f>VLOOKUP(C1221,'All Districts'!$B$3:$C$874,2,FALSE)</f>
        <v>3680140</v>
      </c>
      <c r="F1221" s="91">
        <f>COUNTIF($E$2:$E$7106,E1221)</f>
        <v>9</v>
      </c>
    </row>
    <row r="1222" spans="1:6" x14ac:dyDescent="0.2">
      <c r="A1222">
        <v>2016</v>
      </c>
      <c r="B1222" s="13">
        <v>6005</v>
      </c>
      <c r="C1222" s="90" t="str">
        <f>VLOOKUP(B1222,'All Districts'!$A$3:$B$874,2,FALSE)</f>
        <v>Broome-Delaware-Tioga</v>
      </c>
      <c r="D1222" s="16">
        <v>2419476</v>
      </c>
      <c r="E1222">
        <f>VLOOKUP(C1222,'All Districts'!$B$3:$C$874,2,FALSE)</f>
        <v>3680140</v>
      </c>
      <c r="F1222" s="91">
        <f>COUNTIF($E$2:$E$7106,E1222)</f>
        <v>9</v>
      </c>
    </row>
    <row r="1223" spans="1:6" x14ac:dyDescent="0.2">
      <c r="A1223">
        <v>2017</v>
      </c>
      <c r="B1223" s="13">
        <v>6005</v>
      </c>
      <c r="C1223" s="90" t="str">
        <f>VLOOKUP(B1223,'All Districts'!$A$3:$B$874,2,FALSE)</f>
        <v>Broome-Delaware-Tioga</v>
      </c>
      <c r="D1223" s="16">
        <v>2231875</v>
      </c>
      <c r="E1223">
        <f>VLOOKUP(C1223,'All Districts'!$B$3:$C$874,2,FALSE)</f>
        <v>3680140</v>
      </c>
      <c r="F1223" s="91">
        <f>COUNTIF($E$2:$E$7106,E1223)</f>
        <v>9</v>
      </c>
    </row>
    <row r="1224" spans="1:6" x14ac:dyDescent="0.2">
      <c r="A1224" s="10">
        <v>2018</v>
      </c>
      <c r="B1224" s="13">
        <v>6005</v>
      </c>
      <c r="C1224" s="90" t="str">
        <f>VLOOKUP(B1224,'All Districts'!$A$3:$B$874,2,FALSE)</f>
        <v>Broome-Delaware-Tioga</v>
      </c>
      <c r="D1224" s="15">
        <v>1934569</v>
      </c>
      <c r="E1224">
        <f>VLOOKUP(C1224,'All Districts'!$B$3:$C$874,2,FALSE)</f>
        <v>3680140</v>
      </c>
      <c r="F1224" s="91">
        <f>COUNTIF($E$2:$E$7106,E1224)</f>
        <v>9</v>
      </c>
    </row>
    <row r="1225" spans="1:6" x14ac:dyDescent="0.2">
      <c r="A1225">
        <v>2019</v>
      </c>
      <c r="B1225" s="36">
        <v>6005</v>
      </c>
      <c r="C1225" s="90" t="str">
        <f>VLOOKUP(B1225,'All Districts'!$A$3:$B$874,2,FALSE)</f>
        <v>Broome-Delaware-Tioga</v>
      </c>
      <c r="D1225" s="40">
        <v>2192637</v>
      </c>
      <c r="E1225">
        <f>VLOOKUP(C1225,'All Districts'!$B$3:$C$874,2,FALSE)</f>
        <v>3680140</v>
      </c>
      <c r="F1225" s="91">
        <f>COUNTIF($E$2:$E$7106,E1225)</f>
        <v>9</v>
      </c>
    </row>
    <row r="1226" spans="1:6" x14ac:dyDescent="0.2">
      <c r="A1226">
        <v>2020</v>
      </c>
      <c r="B1226" s="36">
        <v>6005</v>
      </c>
      <c r="C1226" s="90" t="str">
        <f>VLOOKUP(B1226,'All Districts'!$A$3:$B$874,2,FALSE)</f>
        <v>Broome-Delaware-Tioga</v>
      </c>
      <c r="D1226" s="40">
        <v>1927760</v>
      </c>
      <c r="E1226">
        <f>VLOOKUP(C1226,'All Districts'!$B$3:$C$874,2,FALSE)</f>
        <v>3680140</v>
      </c>
      <c r="F1226" s="91">
        <f>COUNTIF($E$2:$E$7106,E1226)</f>
        <v>9</v>
      </c>
    </row>
    <row r="1227" spans="1:6" x14ac:dyDescent="0.2">
      <c r="A1227" s="10">
        <v>2021</v>
      </c>
      <c r="B1227" s="52">
        <v>6005</v>
      </c>
      <c r="C1227" s="90" t="str">
        <f>VLOOKUP(B1227,'All Districts'!$A$3:$B$874,2,FALSE)</f>
        <v>Broome-Delaware-Tioga</v>
      </c>
      <c r="D1227" s="76">
        <v>2153126</v>
      </c>
      <c r="E1227">
        <f>VLOOKUP(C1227,'All Districts'!$B$3:$C$874,2,FALSE)</f>
        <v>3680140</v>
      </c>
      <c r="F1227" s="91">
        <f>COUNTIF($E$2:$E$7106,E1227)</f>
        <v>9</v>
      </c>
    </row>
    <row r="1228" spans="1:6" x14ac:dyDescent="0.2">
      <c r="A1228">
        <v>2022</v>
      </c>
      <c r="B1228" s="36">
        <v>6005</v>
      </c>
      <c r="C1228" s="90" t="str">
        <f>VLOOKUP(B1228,'All Districts'!$A$3:$B$874,2,FALSE)</f>
        <v>Broome-Delaware-Tioga</v>
      </c>
      <c r="D1228" s="82">
        <v>2341135</v>
      </c>
      <c r="E1228">
        <f>VLOOKUP(C1228,'All Districts'!$B$3:$C$874,2,FALSE)</f>
        <v>3680140</v>
      </c>
      <c r="F1228" s="91">
        <f>COUNTIF($E$2:$E$7106,E1228)</f>
        <v>9</v>
      </c>
    </row>
    <row r="1229" spans="1:6" x14ac:dyDescent="0.2">
      <c r="A1229">
        <v>2023</v>
      </c>
      <c r="B1229" s="36">
        <v>6005</v>
      </c>
      <c r="C1229" s="90" t="str">
        <f>VLOOKUP(B1229,'All Districts'!$A$3:$B$874,2,FALSE)</f>
        <v>Broome-Delaware-Tioga</v>
      </c>
      <c r="D1229" s="40">
        <v>2586178</v>
      </c>
      <c r="E1229">
        <f>VLOOKUP(C1229,'All Districts'!$B$3:$C$874,2,FALSE)</f>
        <v>3680140</v>
      </c>
      <c r="F1229" s="91">
        <f>COUNTIF($E$2:$E$7106,E1229)</f>
        <v>9</v>
      </c>
    </row>
    <row r="1230" spans="1:6" x14ac:dyDescent="0.2">
      <c r="A1230">
        <v>2015</v>
      </c>
      <c r="B1230" s="13">
        <v>3821</v>
      </c>
      <c r="C1230" s="90" t="str">
        <f>VLOOKUP(B1230,'All Districts'!$A$3:$B$874,2,FALSE)</f>
        <v>Brushton-Moira</v>
      </c>
      <c r="D1230" s="14">
        <v>835957</v>
      </c>
      <c r="E1230">
        <f>VLOOKUP(C1230,'All Districts'!$B$3:$C$874,2,FALSE)</f>
        <v>3605820</v>
      </c>
      <c r="F1230" s="91">
        <f>COUNTIF($E$2:$E$7106,E1230)</f>
        <v>9</v>
      </c>
    </row>
    <row r="1231" spans="1:6" x14ac:dyDescent="0.2">
      <c r="A1231">
        <v>2016</v>
      </c>
      <c r="B1231" s="13">
        <v>3821</v>
      </c>
      <c r="C1231" s="90" t="str">
        <f>VLOOKUP(B1231,'All Districts'!$A$3:$B$874,2,FALSE)</f>
        <v>Brushton-Moira</v>
      </c>
      <c r="D1231" s="16">
        <v>689290</v>
      </c>
      <c r="E1231">
        <f>VLOOKUP(C1231,'All Districts'!$B$3:$C$874,2,FALSE)</f>
        <v>3605820</v>
      </c>
      <c r="F1231" s="91">
        <f>COUNTIF($E$2:$E$7106,E1231)</f>
        <v>9</v>
      </c>
    </row>
    <row r="1232" spans="1:6" x14ac:dyDescent="0.2">
      <c r="A1232">
        <v>2017</v>
      </c>
      <c r="B1232" s="13">
        <v>3821</v>
      </c>
      <c r="C1232" s="90" t="str">
        <f>VLOOKUP(B1232,'All Districts'!$A$3:$B$874,2,FALSE)</f>
        <v>Brushton-Moira</v>
      </c>
      <c r="D1232" s="16">
        <v>625538</v>
      </c>
      <c r="E1232">
        <f>VLOOKUP(C1232,'All Districts'!$B$3:$C$874,2,FALSE)</f>
        <v>3605820</v>
      </c>
      <c r="F1232" s="91">
        <f>COUNTIF($E$2:$E$7106,E1232)</f>
        <v>9</v>
      </c>
    </row>
    <row r="1233" spans="1:6" x14ac:dyDescent="0.2">
      <c r="A1233" s="10">
        <v>2018</v>
      </c>
      <c r="B1233" s="13">
        <v>3821</v>
      </c>
      <c r="C1233" s="90" t="str">
        <f>VLOOKUP(B1233,'All Districts'!$A$3:$B$874,2,FALSE)</f>
        <v>Brushton-Moira</v>
      </c>
      <c r="D1233" s="15">
        <v>584103</v>
      </c>
      <c r="E1233">
        <f>VLOOKUP(C1233,'All Districts'!$B$3:$C$874,2,FALSE)</f>
        <v>3605820</v>
      </c>
      <c r="F1233" s="91">
        <f>COUNTIF($E$2:$E$7106,E1233)</f>
        <v>9</v>
      </c>
    </row>
    <row r="1234" spans="1:6" x14ac:dyDescent="0.2">
      <c r="A1234">
        <v>2019</v>
      </c>
      <c r="B1234" s="36">
        <v>3821</v>
      </c>
      <c r="C1234" s="90" t="str">
        <f>VLOOKUP(B1234,'All Districts'!$A$3:$B$874,2,FALSE)</f>
        <v>Brushton-Moira</v>
      </c>
      <c r="D1234" s="40">
        <v>627518</v>
      </c>
      <c r="E1234">
        <f>VLOOKUP(C1234,'All Districts'!$B$3:$C$874,2,FALSE)</f>
        <v>3605820</v>
      </c>
      <c r="F1234" s="91">
        <f>COUNTIF($E$2:$E$7106,E1234)</f>
        <v>9</v>
      </c>
    </row>
    <row r="1235" spans="1:6" x14ac:dyDescent="0.2">
      <c r="A1235">
        <v>2020</v>
      </c>
      <c r="B1235" s="36">
        <v>3821</v>
      </c>
      <c r="C1235" s="90" t="str">
        <f>VLOOKUP(B1235,'All Districts'!$A$3:$B$874,2,FALSE)</f>
        <v>Brushton-Moira</v>
      </c>
      <c r="D1235" s="40">
        <v>531892</v>
      </c>
      <c r="E1235">
        <f>VLOOKUP(C1235,'All Districts'!$B$3:$C$874,2,FALSE)</f>
        <v>3605820</v>
      </c>
      <c r="F1235" s="91">
        <f>COUNTIF($E$2:$E$7106,E1235)</f>
        <v>9</v>
      </c>
    </row>
    <row r="1236" spans="1:6" x14ac:dyDescent="0.2">
      <c r="A1236" s="10">
        <v>2021</v>
      </c>
      <c r="B1236" s="52">
        <v>3821</v>
      </c>
      <c r="C1236" s="90" t="str">
        <f>VLOOKUP(B1236,'All Districts'!$A$3:$B$874,2,FALSE)</f>
        <v>Brushton-Moira</v>
      </c>
      <c r="D1236" s="76">
        <v>566844</v>
      </c>
      <c r="E1236">
        <f>VLOOKUP(C1236,'All Districts'!$B$3:$C$874,2,FALSE)</f>
        <v>3605820</v>
      </c>
      <c r="F1236" s="91">
        <f>COUNTIF($E$2:$E$7106,E1236)</f>
        <v>9</v>
      </c>
    </row>
    <row r="1237" spans="1:6" x14ac:dyDescent="0.2">
      <c r="A1237">
        <v>2022</v>
      </c>
      <c r="B1237" s="36">
        <v>3821</v>
      </c>
      <c r="C1237" s="90" t="str">
        <f>VLOOKUP(B1237,'All Districts'!$A$3:$B$874,2,FALSE)</f>
        <v>Brushton-Moira</v>
      </c>
      <c r="D1237" s="82">
        <v>652748</v>
      </c>
      <c r="E1237">
        <f>VLOOKUP(C1237,'All Districts'!$B$3:$C$874,2,FALSE)</f>
        <v>3605820</v>
      </c>
      <c r="F1237" s="91">
        <f>COUNTIF($E$2:$E$7106,E1237)</f>
        <v>9</v>
      </c>
    </row>
    <row r="1238" spans="1:6" x14ac:dyDescent="0.2">
      <c r="A1238">
        <v>2023</v>
      </c>
      <c r="B1238" s="36">
        <v>3821</v>
      </c>
      <c r="C1238" s="90" t="str">
        <f>VLOOKUP(B1238,'All Districts'!$A$3:$B$874,2,FALSE)</f>
        <v>Brushton-Moira</v>
      </c>
      <c r="D1238" s="40">
        <v>684146</v>
      </c>
      <c r="E1238">
        <f>VLOOKUP(C1238,'All Districts'!$B$3:$C$874,2,FALSE)</f>
        <v>3605820</v>
      </c>
      <c r="F1238" s="91">
        <f>COUNTIF($E$2:$E$7106,E1238)</f>
        <v>9</v>
      </c>
    </row>
    <row r="1239" spans="1:6" x14ac:dyDescent="0.2">
      <c r="A1239">
        <v>2015</v>
      </c>
      <c r="B1239" s="13">
        <v>1035</v>
      </c>
      <c r="C1239" s="90" t="str">
        <f>VLOOKUP(B1239,'All Districts'!$A$3:$B$874,2,FALSE)</f>
        <v>Buffalo</v>
      </c>
      <c r="D1239" s="14">
        <v>43929028</v>
      </c>
      <c r="E1239">
        <f>VLOOKUP(C1239,'All Districts'!$B$3:$C$874,2,FALSE)</f>
        <v>3605850</v>
      </c>
      <c r="F1239" s="91">
        <f>COUNTIF($E$2:$E$7106,E1239)</f>
        <v>9</v>
      </c>
    </row>
    <row r="1240" spans="1:6" x14ac:dyDescent="0.2">
      <c r="A1240">
        <v>2016</v>
      </c>
      <c r="B1240" s="13">
        <v>1035</v>
      </c>
      <c r="C1240" s="90" t="str">
        <f>VLOOKUP(B1240,'All Districts'!$A$3:$B$874,2,FALSE)</f>
        <v>Buffalo</v>
      </c>
      <c r="D1240" s="16">
        <v>33792153</v>
      </c>
      <c r="E1240">
        <f>VLOOKUP(C1240,'All Districts'!$B$3:$C$874,2,FALSE)</f>
        <v>3605850</v>
      </c>
      <c r="F1240" s="91">
        <f>COUNTIF($E$2:$E$7106,E1240)</f>
        <v>9</v>
      </c>
    </row>
    <row r="1241" spans="1:6" x14ac:dyDescent="0.2">
      <c r="A1241">
        <v>2017</v>
      </c>
      <c r="B1241" s="13">
        <v>1035</v>
      </c>
      <c r="C1241" s="90" t="str">
        <f>VLOOKUP(B1241,'All Districts'!$A$3:$B$874,2,FALSE)</f>
        <v>Buffalo</v>
      </c>
      <c r="D1241" s="16">
        <v>34111982</v>
      </c>
      <c r="E1241">
        <f>VLOOKUP(C1241,'All Districts'!$B$3:$C$874,2,FALSE)</f>
        <v>3605850</v>
      </c>
      <c r="F1241" s="91">
        <f>COUNTIF($E$2:$E$7106,E1241)</f>
        <v>9</v>
      </c>
    </row>
    <row r="1242" spans="1:6" x14ac:dyDescent="0.2">
      <c r="A1242" s="10">
        <v>2018</v>
      </c>
      <c r="B1242" s="13">
        <v>1035</v>
      </c>
      <c r="C1242" s="90" t="str">
        <f>VLOOKUP(B1242,'All Districts'!$A$3:$B$874,2,FALSE)</f>
        <v>Buffalo</v>
      </c>
      <c r="D1242" s="15">
        <v>29085441</v>
      </c>
      <c r="E1242">
        <f>VLOOKUP(C1242,'All Districts'!$B$3:$C$874,2,FALSE)</f>
        <v>3605850</v>
      </c>
      <c r="F1242" s="91">
        <f>COUNTIF($E$2:$E$7106,E1242)</f>
        <v>9</v>
      </c>
    </row>
    <row r="1243" spans="1:6" x14ac:dyDescent="0.2">
      <c r="A1243">
        <v>2019</v>
      </c>
      <c r="B1243" s="36">
        <v>1035</v>
      </c>
      <c r="C1243" s="90" t="str">
        <f>VLOOKUP(B1243,'All Districts'!$A$3:$B$874,2,FALSE)</f>
        <v>Buffalo</v>
      </c>
      <c r="D1243" s="40">
        <v>31671613</v>
      </c>
      <c r="E1243">
        <f>VLOOKUP(C1243,'All Districts'!$B$3:$C$874,2,FALSE)</f>
        <v>3605850</v>
      </c>
      <c r="F1243" s="91">
        <f>COUNTIF($E$2:$E$7106,E1243)</f>
        <v>9</v>
      </c>
    </row>
    <row r="1244" spans="1:6" x14ac:dyDescent="0.2">
      <c r="A1244">
        <v>2020</v>
      </c>
      <c r="B1244" s="36">
        <v>1035</v>
      </c>
      <c r="C1244" s="90" t="str">
        <f>VLOOKUP(B1244,'All Districts'!$A$3:$B$874,2,FALSE)</f>
        <v>Buffalo</v>
      </c>
      <c r="D1244" s="40">
        <v>27346681</v>
      </c>
      <c r="E1244">
        <f>VLOOKUP(C1244,'All Districts'!$B$3:$C$874,2,FALSE)</f>
        <v>3605850</v>
      </c>
      <c r="F1244" s="91">
        <f>COUNTIF($E$2:$E$7106,E1244)</f>
        <v>9</v>
      </c>
    </row>
    <row r="1245" spans="1:6" x14ac:dyDescent="0.2">
      <c r="A1245" s="10">
        <v>2021</v>
      </c>
      <c r="B1245" s="52">
        <v>1035</v>
      </c>
      <c r="C1245" s="90" t="str">
        <f>VLOOKUP(B1245,'All Districts'!$A$3:$B$874,2,FALSE)</f>
        <v>Buffalo</v>
      </c>
      <c r="D1245" s="76">
        <v>28800016</v>
      </c>
      <c r="E1245">
        <f>VLOOKUP(C1245,'All Districts'!$B$3:$C$874,2,FALSE)</f>
        <v>3605850</v>
      </c>
      <c r="F1245" s="91">
        <f>COUNTIF($E$2:$E$7106,E1245)</f>
        <v>9</v>
      </c>
    </row>
    <row r="1246" spans="1:6" x14ac:dyDescent="0.2">
      <c r="A1246">
        <v>2022</v>
      </c>
      <c r="B1246" s="36">
        <v>1035</v>
      </c>
      <c r="C1246" s="90" t="str">
        <f>VLOOKUP(B1246,'All Districts'!$A$3:$B$874,2,FALSE)</f>
        <v>Buffalo</v>
      </c>
      <c r="D1246" s="82">
        <v>31173702</v>
      </c>
      <c r="E1246">
        <f>VLOOKUP(C1246,'All Districts'!$B$3:$C$874,2,FALSE)</f>
        <v>3605850</v>
      </c>
      <c r="F1246" s="91">
        <f>COUNTIF($E$2:$E$7106,E1246)</f>
        <v>9</v>
      </c>
    </row>
    <row r="1247" spans="1:6" x14ac:dyDescent="0.2">
      <c r="A1247">
        <v>2023</v>
      </c>
      <c r="B1247" s="36">
        <v>1035</v>
      </c>
      <c r="C1247" s="90" t="str">
        <f>VLOOKUP(B1247,'All Districts'!$A$3:$B$874,2,FALSE)</f>
        <v>Buffalo</v>
      </c>
      <c r="D1247" s="40">
        <v>37766211</v>
      </c>
      <c r="E1247">
        <f>VLOOKUP(C1247,'All Districts'!$B$3:$C$874,2,FALSE)</f>
        <v>3605850</v>
      </c>
      <c r="F1247" s="91">
        <f>COUNTIF($E$2:$E$7106,E1247)</f>
        <v>9</v>
      </c>
    </row>
    <row r="1248" spans="1:6" x14ac:dyDescent="0.2">
      <c r="A1248">
        <v>2015</v>
      </c>
      <c r="B1248" s="13">
        <v>8419</v>
      </c>
      <c r="C1248" s="90" t="str">
        <f>VLOOKUP(B1248,'All Districts'!$A$3:$B$874,2,FALSE)</f>
        <v>Buffalo Academy of Science</v>
      </c>
      <c r="D1248" s="16">
        <v>353973</v>
      </c>
      <c r="E1248">
        <f>VLOOKUP(C1248,'All Districts'!$B$3:$C$874,2,FALSE)</f>
        <v>3600105</v>
      </c>
      <c r="F1248" s="91">
        <f>COUNTIF($E$2:$E$7106,E1248)</f>
        <v>9</v>
      </c>
    </row>
    <row r="1249" spans="1:6" x14ac:dyDescent="0.2">
      <c r="A1249">
        <v>2016</v>
      </c>
      <c r="B1249" s="13">
        <v>8419</v>
      </c>
      <c r="C1249" s="90" t="str">
        <f>VLOOKUP(B1249,'All Districts'!$A$3:$B$874,2,FALSE)</f>
        <v>Buffalo Academy of Science</v>
      </c>
      <c r="D1249" s="16">
        <v>278880</v>
      </c>
      <c r="E1249">
        <f>VLOOKUP(C1249,'All Districts'!$B$3:$C$874,2,FALSE)</f>
        <v>3600105</v>
      </c>
      <c r="F1249" s="91">
        <f>COUNTIF($E$2:$E$7106,E1249)</f>
        <v>9</v>
      </c>
    </row>
    <row r="1250" spans="1:6" x14ac:dyDescent="0.2">
      <c r="A1250">
        <v>2017</v>
      </c>
      <c r="B1250" s="13">
        <v>8419</v>
      </c>
      <c r="C1250" s="90" t="str">
        <f>VLOOKUP(B1250,'All Districts'!$A$3:$B$874,2,FALSE)</f>
        <v>Buffalo Academy of Science</v>
      </c>
      <c r="D1250" s="16">
        <v>257826</v>
      </c>
      <c r="E1250">
        <f>VLOOKUP(C1250,'All Districts'!$B$3:$C$874,2,FALSE)</f>
        <v>3600105</v>
      </c>
      <c r="F1250" s="91">
        <f>COUNTIF($E$2:$E$7106,E1250)</f>
        <v>9</v>
      </c>
    </row>
    <row r="1251" spans="1:6" x14ac:dyDescent="0.2">
      <c r="A1251" s="10">
        <v>2018</v>
      </c>
      <c r="B1251" s="13">
        <v>8419</v>
      </c>
      <c r="C1251" s="90" t="str">
        <f>VLOOKUP(B1251,'All Districts'!$A$3:$B$874,2,FALSE)</f>
        <v>Buffalo Academy of Science</v>
      </c>
      <c r="D1251" s="15">
        <v>304104</v>
      </c>
      <c r="E1251">
        <f>VLOOKUP(C1251,'All Districts'!$B$3:$C$874,2,FALSE)</f>
        <v>3600105</v>
      </c>
      <c r="F1251" s="91">
        <f>COUNTIF($E$2:$E$7106,E1251)</f>
        <v>9</v>
      </c>
    </row>
    <row r="1252" spans="1:6" x14ac:dyDescent="0.2">
      <c r="A1252">
        <v>2019</v>
      </c>
      <c r="B1252" s="36">
        <v>8419</v>
      </c>
      <c r="C1252" s="90" t="str">
        <f>VLOOKUP(B1252,'All Districts'!$A$3:$B$874,2,FALSE)</f>
        <v>Buffalo Academy of Science</v>
      </c>
      <c r="D1252" s="40">
        <v>435008</v>
      </c>
      <c r="E1252">
        <f>VLOOKUP(C1252,'All Districts'!$B$3:$C$874,2,FALSE)</f>
        <v>3600105</v>
      </c>
      <c r="F1252" s="91">
        <f>COUNTIF($E$2:$E$7106,E1252)</f>
        <v>9</v>
      </c>
    </row>
    <row r="1253" spans="1:6" x14ac:dyDescent="0.2">
      <c r="A1253">
        <v>2020</v>
      </c>
      <c r="B1253" s="36">
        <v>8419</v>
      </c>
      <c r="C1253" s="90" t="str">
        <f>VLOOKUP(B1253,'All Districts'!$A$3:$B$874,2,FALSE)</f>
        <v>Buffalo Academy of Science</v>
      </c>
      <c r="D1253" s="40">
        <v>471036</v>
      </c>
      <c r="E1253">
        <f>VLOOKUP(C1253,'All Districts'!$B$3:$C$874,2,FALSE)</f>
        <v>3600105</v>
      </c>
      <c r="F1253" s="91">
        <f>COUNTIF($E$2:$E$7106,E1253)</f>
        <v>9</v>
      </c>
    </row>
    <row r="1254" spans="1:6" x14ac:dyDescent="0.2">
      <c r="A1254" s="10">
        <v>2021</v>
      </c>
      <c r="B1254" s="55">
        <v>8419</v>
      </c>
      <c r="C1254" s="90" t="str">
        <f>VLOOKUP(B1254,'All Districts'!$A$3:$B$874,2,FALSE)</f>
        <v>Buffalo Academy of Science</v>
      </c>
      <c r="D1254" s="76">
        <v>526070</v>
      </c>
      <c r="E1254">
        <f>VLOOKUP(C1254,'All Districts'!$B$3:$C$874,2,FALSE)</f>
        <v>3600105</v>
      </c>
      <c r="F1254" s="91">
        <f>COUNTIF($E$2:$E$7106,E1254)</f>
        <v>9</v>
      </c>
    </row>
    <row r="1255" spans="1:6" x14ac:dyDescent="0.2">
      <c r="A1255">
        <v>2022</v>
      </c>
      <c r="B1255" s="36">
        <v>8419</v>
      </c>
      <c r="C1255" s="90" t="str">
        <f>VLOOKUP(B1255,'All Districts'!$A$3:$B$874,2,FALSE)</f>
        <v>Buffalo Academy of Science</v>
      </c>
      <c r="D1255" s="82">
        <v>603923</v>
      </c>
      <c r="E1255">
        <f>VLOOKUP(C1255,'All Districts'!$B$3:$C$874,2,FALSE)</f>
        <v>3600105</v>
      </c>
      <c r="F1255" s="91">
        <f>COUNTIF($E$2:$E$7106,E1255)</f>
        <v>9</v>
      </c>
    </row>
    <row r="1256" spans="1:6" x14ac:dyDescent="0.2">
      <c r="A1256">
        <v>2023</v>
      </c>
      <c r="B1256" s="36">
        <v>8419</v>
      </c>
      <c r="C1256" s="90" t="str">
        <f>VLOOKUP(B1256,'All Districts'!$A$3:$B$874,2,FALSE)</f>
        <v>Buffalo Academy of Science</v>
      </c>
      <c r="D1256" s="40">
        <v>997311</v>
      </c>
      <c r="E1256">
        <f>VLOOKUP(C1256,'All Districts'!$B$3:$C$874,2,FALSE)</f>
        <v>3600105</v>
      </c>
      <c r="F1256" s="91">
        <f>COUNTIF($E$2:$E$7106,E1256)</f>
        <v>9</v>
      </c>
    </row>
    <row r="1257" spans="1:6" x14ac:dyDescent="0.2">
      <c r="A1257">
        <v>2015</v>
      </c>
      <c r="B1257" s="13">
        <v>2056</v>
      </c>
      <c r="C1257" s="90" t="str">
        <f>VLOOKUP(B1257,'All Districts'!$A$3:$B$874,2,FALSE)</f>
        <v>Burnt Hills-Ballston Lake</v>
      </c>
      <c r="D1257" s="14">
        <v>4345407</v>
      </c>
      <c r="E1257">
        <f>VLOOKUP(C1257,'All Districts'!$B$3:$C$874,2,FALSE)</f>
        <v>3605940</v>
      </c>
      <c r="F1257" s="91">
        <f>COUNTIF($E$2:$E$7106,E1257)</f>
        <v>9</v>
      </c>
    </row>
    <row r="1258" spans="1:6" x14ac:dyDescent="0.2">
      <c r="A1258">
        <v>2016</v>
      </c>
      <c r="B1258" s="13">
        <v>2056</v>
      </c>
      <c r="C1258" s="90" t="str">
        <f>VLOOKUP(B1258,'All Districts'!$A$3:$B$874,2,FALSE)</f>
        <v>Burnt Hills-Ballston Lake</v>
      </c>
      <c r="D1258" s="16">
        <v>3367144</v>
      </c>
      <c r="E1258">
        <f>VLOOKUP(C1258,'All Districts'!$B$3:$C$874,2,FALSE)</f>
        <v>3605940</v>
      </c>
      <c r="F1258" s="91">
        <f>COUNTIF($E$2:$E$7106,E1258)</f>
        <v>9</v>
      </c>
    </row>
    <row r="1259" spans="1:6" x14ac:dyDescent="0.2">
      <c r="A1259">
        <v>2017</v>
      </c>
      <c r="B1259" s="13">
        <v>2056</v>
      </c>
      <c r="C1259" s="90" t="str">
        <f>VLOOKUP(B1259,'All Districts'!$A$3:$B$874,2,FALSE)</f>
        <v>Burnt Hills-Ballston Lake</v>
      </c>
      <c r="D1259" s="16">
        <v>3107567</v>
      </c>
      <c r="E1259">
        <f>VLOOKUP(C1259,'All Districts'!$B$3:$C$874,2,FALSE)</f>
        <v>3605940</v>
      </c>
      <c r="F1259" s="91">
        <f>COUNTIF($E$2:$E$7106,E1259)</f>
        <v>9</v>
      </c>
    </row>
    <row r="1260" spans="1:6" x14ac:dyDescent="0.2">
      <c r="A1260" s="10">
        <v>2018</v>
      </c>
      <c r="B1260" s="13">
        <v>2056</v>
      </c>
      <c r="C1260" s="90" t="str">
        <f>VLOOKUP(B1260,'All Districts'!$A$3:$B$874,2,FALSE)</f>
        <v>Burnt Hills-Ballston Lake</v>
      </c>
      <c r="D1260" s="15">
        <v>2610367</v>
      </c>
      <c r="E1260">
        <f>VLOOKUP(C1260,'All Districts'!$B$3:$C$874,2,FALSE)</f>
        <v>3605940</v>
      </c>
      <c r="F1260" s="91">
        <f>COUNTIF($E$2:$E$7106,E1260)</f>
        <v>9</v>
      </c>
    </row>
    <row r="1261" spans="1:6" x14ac:dyDescent="0.2">
      <c r="A1261">
        <v>2019</v>
      </c>
      <c r="B1261" s="36">
        <v>2056</v>
      </c>
      <c r="C1261" s="90" t="str">
        <f>VLOOKUP(B1261,'All Districts'!$A$3:$B$874,2,FALSE)</f>
        <v>Burnt Hills-Ballston Lake</v>
      </c>
      <c r="D1261" s="40">
        <v>2884770</v>
      </c>
      <c r="E1261">
        <f>VLOOKUP(C1261,'All Districts'!$B$3:$C$874,2,FALSE)</f>
        <v>3605940</v>
      </c>
      <c r="F1261" s="91">
        <f>COUNTIF($E$2:$E$7106,E1261)</f>
        <v>9</v>
      </c>
    </row>
    <row r="1262" spans="1:6" x14ac:dyDescent="0.2">
      <c r="A1262">
        <v>2020</v>
      </c>
      <c r="B1262" s="36">
        <v>2056</v>
      </c>
      <c r="C1262" s="90" t="str">
        <f>VLOOKUP(B1262,'All Districts'!$A$3:$B$874,2,FALSE)</f>
        <v>Burnt Hills-Ballston Lake</v>
      </c>
      <c r="D1262" s="40">
        <v>2474628</v>
      </c>
      <c r="E1262">
        <f>VLOOKUP(C1262,'All Districts'!$B$3:$C$874,2,FALSE)</f>
        <v>3605940</v>
      </c>
      <c r="F1262" s="91">
        <f>COUNTIF($E$2:$E$7106,E1262)</f>
        <v>9</v>
      </c>
    </row>
    <row r="1263" spans="1:6" x14ac:dyDescent="0.2">
      <c r="A1263" s="10">
        <v>2021</v>
      </c>
      <c r="B1263" s="55">
        <v>2056</v>
      </c>
      <c r="C1263" s="90" t="str">
        <f>VLOOKUP(B1263,'All Districts'!$A$3:$B$874,2,FALSE)</f>
        <v>Burnt Hills-Ballston Lake</v>
      </c>
      <c r="D1263" s="75">
        <v>2692717</v>
      </c>
      <c r="E1263">
        <f>VLOOKUP(C1263,'All Districts'!$B$3:$C$874,2,FALSE)</f>
        <v>3605940</v>
      </c>
      <c r="F1263" s="91">
        <f>COUNTIF($E$2:$E$7106,E1263)</f>
        <v>9</v>
      </c>
    </row>
    <row r="1264" spans="1:6" x14ac:dyDescent="0.2">
      <c r="A1264">
        <v>2022</v>
      </c>
      <c r="B1264" s="36">
        <v>2056</v>
      </c>
      <c r="C1264" s="90" t="str">
        <f>VLOOKUP(B1264,'All Districts'!$A$3:$B$874,2,FALSE)</f>
        <v>Burnt Hills-Ballston Lake</v>
      </c>
      <c r="D1264" s="82">
        <v>2897814</v>
      </c>
      <c r="E1264">
        <f>VLOOKUP(C1264,'All Districts'!$B$3:$C$874,2,FALSE)</f>
        <v>3605940</v>
      </c>
      <c r="F1264" s="91">
        <f>COUNTIF($E$2:$E$7106,E1264)</f>
        <v>9</v>
      </c>
    </row>
    <row r="1265" spans="1:6" x14ac:dyDescent="0.2">
      <c r="A1265">
        <v>2023</v>
      </c>
      <c r="B1265" s="36">
        <v>2056</v>
      </c>
      <c r="C1265" s="90" t="str">
        <f>VLOOKUP(B1265,'All Districts'!$A$3:$B$874,2,FALSE)</f>
        <v>Burnt Hills-Ballston Lake</v>
      </c>
      <c r="D1265" s="40">
        <v>3115906</v>
      </c>
      <c r="E1265">
        <f>VLOOKUP(C1265,'All Districts'!$B$3:$C$874,2,FALSE)</f>
        <v>3605940</v>
      </c>
      <c r="F1265" s="91">
        <f>COUNTIF($E$2:$E$7106,E1265)</f>
        <v>9</v>
      </c>
    </row>
    <row r="1266" spans="1:6" x14ac:dyDescent="0.2">
      <c r="A1266">
        <v>2015</v>
      </c>
      <c r="B1266" s="13">
        <v>2057</v>
      </c>
      <c r="C1266" s="90" t="str">
        <f>VLOOKUP(B1266,'All Districts'!$A$3:$B$874,2,FALSE)</f>
        <v>Byram Hills at Armonk</v>
      </c>
      <c r="D1266" s="14">
        <v>5644231</v>
      </c>
      <c r="E1266">
        <f>VLOOKUP(C1266,'All Districts'!$B$3:$C$874,2,FALSE)</f>
        <v>3606060</v>
      </c>
      <c r="F1266" s="91">
        <f>COUNTIF($E$2:$E$7106,E1266)</f>
        <v>9</v>
      </c>
    </row>
    <row r="1267" spans="1:6" x14ac:dyDescent="0.2">
      <c r="A1267">
        <v>2016</v>
      </c>
      <c r="B1267" s="13">
        <v>2057</v>
      </c>
      <c r="C1267" s="90" t="str">
        <f>VLOOKUP(B1267,'All Districts'!$A$3:$B$874,2,FALSE)</f>
        <v>Byram Hills at Armonk</v>
      </c>
      <c r="D1267" s="16">
        <v>4361657</v>
      </c>
      <c r="E1267">
        <f>VLOOKUP(C1267,'All Districts'!$B$3:$C$874,2,FALSE)</f>
        <v>3606060</v>
      </c>
      <c r="F1267" s="91">
        <f>COUNTIF($E$2:$E$7106,E1267)</f>
        <v>9</v>
      </c>
    </row>
    <row r="1268" spans="1:6" x14ac:dyDescent="0.2">
      <c r="A1268">
        <v>2017</v>
      </c>
      <c r="B1268" s="13">
        <v>2057</v>
      </c>
      <c r="C1268" s="90" t="str">
        <f>VLOOKUP(B1268,'All Districts'!$A$3:$B$874,2,FALSE)</f>
        <v>Byram Hills at Armonk</v>
      </c>
      <c r="D1268" s="16">
        <v>4008670</v>
      </c>
      <c r="E1268">
        <f>VLOOKUP(C1268,'All Districts'!$B$3:$C$874,2,FALSE)</f>
        <v>3606060</v>
      </c>
      <c r="F1268" s="91">
        <f>COUNTIF($E$2:$E$7106,E1268)</f>
        <v>9</v>
      </c>
    </row>
    <row r="1269" spans="1:6" x14ac:dyDescent="0.2">
      <c r="A1269" s="10">
        <v>2018</v>
      </c>
      <c r="B1269" s="13">
        <v>2057</v>
      </c>
      <c r="C1269" s="90" t="str">
        <f>VLOOKUP(B1269,'All Districts'!$A$3:$B$874,2,FALSE)</f>
        <v>Byram Hills at Armonk</v>
      </c>
      <c r="D1269" s="15">
        <v>3351186</v>
      </c>
      <c r="E1269">
        <f>VLOOKUP(C1269,'All Districts'!$B$3:$C$874,2,FALSE)</f>
        <v>3606060</v>
      </c>
      <c r="F1269" s="91">
        <f>COUNTIF($E$2:$E$7106,E1269)</f>
        <v>9</v>
      </c>
    </row>
    <row r="1270" spans="1:6" x14ac:dyDescent="0.2">
      <c r="A1270">
        <v>2019</v>
      </c>
      <c r="B1270" s="36">
        <v>2057</v>
      </c>
      <c r="C1270" s="90" t="str">
        <f>VLOOKUP(B1270,'All Districts'!$A$3:$B$874,2,FALSE)</f>
        <v>Byram Hills at Armonk</v>
      </c>
      <c r="D1270" s="40">
        <v>3644823</v>
      </c>
      <c r="E1270">
        <f>VLOOKUP(C1270,'All Districts'!$B$3:$C$874,2,FALSE)</f>
        <v>3606060</v>
      </c>
      <c r="F1270" s="91">
        <f>COUNTIF($E$2:$E$7106,E1270)</f>
        <v>9</v>
      </c>
    </row>
    <row r="1271" spans="1:6" x14ac:dyDescent="0.2">
      <c r="A1271">
        <v>2020</v>
      </c>
      <c r="B1271" s="36">
        <v>2057</v>
      </c>
      <c r="C1271" s="90" t="str">
        <f>VLOOKUP(B1271,'All Districts'!$A$3:$B$874,2,FALSE)</f>
        <v>Byram Hills at Armonk</v>
      </c>
      <c r="D1271" s="40">
        <v>3128714</v>
      </c>
      <c r="E1271">
        <f>VLOOKUP(C1271,'All Districts'!$B$3:$C$874,2,FALSE)</f>
        <v>3606060</v>
      </c>
      <c r="F1271" s="91">
        <f>COUNTIF($E$2:$E$7106,E1271)</f>
        <v>9</v>
      </c>
    </row>
    <row r="1272" spans="1:6" x14ac:dyDescent="0.2">
      <c r="A1272" s="10">
        <v>2021</v>
      </c>
      <c r="B1272" s="55">
        <v>2057</v>
      </c>
      <c r="C1272" s="90" t="str">
        <f>VLOOKUP(B1272,'All Districts'!$A$3:$B$874,2,FALSE)</f>
        <v>Byram Hills at Armonk</v>
      </c>
      <c r="D1272" s="75">
        <v>3485209</v>
      </c>
      <c r="E1272">
        <f>VLOOKUP(C1272,'All Districts'!$B$3:$C$874,2,FALSE)</f>
        <v>3606060</v>
      </c>
      <c r="F1272" s="91">
        <f>COUNTIF($E$2:$E$7106,E1272)</f>
        <v>9</v>
      </c>
    </row>
    <row r="1273" spans="1:6" x14ac:dyDescent="0.2">
      <c r="A1273">
        <v>2022</v>
      </c>
      <c r="B1273" s="36">
        <v>2057</v>
      </c>
      <c r="C1273" s="90" t="str">
        <f>VLOOKUP(B1273,'All Districts'!$A$3:$B$874,2,FALSE)</f>
        <v>Byram Hills at Armonk</v>
      </c>
      <c r="D1273" s="82">
        <v>3565390</v>
      </c>
      <c r="E1273">
        <f>VLOOKUP(C1273,'All Districts'!$B$3:$C$874,2,FALSE)</f>
        <v>3606060</v>
      </c>
      <c r="F1273" s="91">
        <f>COUNTIF($E$2:$E$7106,E1273)</f>
        <v>9</v>
      </c>
    </row>
    <row r="1274" spans="1:6" x14ac:dyDescent="0.2">
      <c r="A1274">
        <v>2023</v>
      </c>
      <c r="B1274" s="36">
        <v>2057</v>
      </c>
      <c r="C1274" s="90" t="str">
        <f>VLOOKUP(B1274,'All Districts'!$A$3:$B$874,2,FALSE)</f>
        <v>Byram Hills at Armonk</v>
      </c>
      <c r="D1274" s="40">
        <v>3923216</v>
      </c>
      <c r="E1274">
        <f>VLOOKUP(C1274,'All Districts'!$B$3:$C$874,2,FALSE)</f>
        <v>3606060</v>
      </c>
      <c r="F1274" s="91">
        <f>COUNTIF($E$2:$E$7106,E1274)</f>
        <v>9</v>
      </c>
    </row>
    <row r="1275" spans="1:6" x14ac:dyDescent="0.2">
      <c r="A1275">
        <v>2015</v>
      </c>
      <c r="B1275" s="13">
        <v>3927</v>
      </c>
      <c r="C1275" s="90" t="str">
        <f>VLOOKUP(B1275,'All Districts'!$A$3:$B$874,2,FALSE)</f>
        <v>Byron-Bergen</v>
      </c>
      <c r="D1275" s="14">
        <v>1168923</v>
      </c>
      <c r="E1275">
        <f>VLOOKUP(C1275,'All Districts'!$B$3:$C$874,2,FALSE)</f>
        <v>3606090</v>
      </c>
      <c r="F1275" s="91">
        <f>COUNTIF($E$2:$E$7106,E1275)</f>
        <v>9</v>
      </c>
    </row>
    <row r="1276" spans="1:6" x14ac:dyDescent="0.2">
      <c r="A1276">
        <v>2016</v>
      </c>
      <c r="B1276" s="13">
        <v>3927</v>
      </c>
      <c r="C1276" s="90" t="str">
        <f>VLOOKUP(B1276,'All Districts'!$A$3:$B$874,2,FALSE)</f>
        <v>Byron-Bergen</v>
      </c>
      <c r="D1276" s="16">
        <v>903940</v>
      </c>
      <c r="E1276">
        <f>VLOOKUP(C1276,'All Districts'!$B$3:$C$874,2,FALSE)</f>
        <v>3606090</v>
      </c>
      <c r="F1276" s="91">
        <f>COUNTIF($E$2:$E$7106,E1276)</f>
        <v>9</v>
      </c>
    </row>
    <row r="1277" spans="1:6" x14ac:dyDescent="0.2">
      <c r="A1277">
        <v>2017</v>
      </c>
      <c r="B1277" s="13">
        <v>3927</v>
      </c>
      <c r="C1277" s="90" t="str">
        <f>VLOOKUP(B1277,'All Districts'!$A$3:$B$874,2,FALSE)</f>
        <v>Byron-Bergen</v>
      </c>
      <c r="D1277" s="16">
        <v>860175</v>
      </c>
      <c r="E1277">
        <f>VLOOKUP(C1277,'All Districts'!$B$3:$C$874,2,FALSE)</f>
        <v>3606090</v>
      </c>
      <c r="F1277" s="91">
        <f>COUNTIF($E$2:$E$7106,E1277)</f>
        <v>9</v>
      </c>
    </row>
    <row r="1278" spans="1:6" x14ac:dyDescent="0.2">
      <c r="A1278" s="10">
        <v>2018</v>
      </c>
      <c r="B1278" s="13">
        <v>3927</v>
      </c>
      <c r="C1278" s="90" t="str">
        <f>VLOOKUP(B1278,'All Districts'!$A$3:$B$874,2,FALSE)</f>
        <v>Byron-Bergen</v>
      </c>
      <c r="D1278" s="15">
        <v>729723</v>
      </c>
      <c r="E1278">
        <f>VLOOKUP(C1278,'All Districts'!$B$3:$C$874,2,FALSE)</f>
        <v>3606090</v>
      </c>
      <c r="F1278" s="91">
        <f>COUNTIF($E$2:$E$7106,E1278)</f>
        <v>9</v>
      </c>
    </row>
    <row r="1279" spans="1:6" x14ac:dyDescent="0.2">
      <c r="A1279">
        <v>2019</v>
      </c>
      <c r="B1279" s="36">
        <v>3927</v>
      </c>
      <c r="C1279" s="90" t="str">
        <f>VLOOKUP(B1279,'All Districts'!$A$3:$B$874,2,FALSE)</f>
        <v>Byron-Bergen</v>
      </c>
      <c r="D1279" s="40">
        <v>802101</v>
      </c>
      <c r="E1279">
        <f>VLOOKUP(C1279,'All Districts'!$B$3:$C$874,2,FALSE)</f>
        <v>3606090</v>
      </c>
      <c r="F1279" s="91">
        <f>COUNTIF($E$2:$E$7106,E1279)</f>
        <v>9</v>
      </c>
    </row>
    <row r="1280" spans="1:6" x14ac:dyDescent="0.2">
      <c r="A1280">
        <v>2020</v>
      </c>
      <c r="B1280" s="36">
        <v>3927</v>
      </c>
      <c r="C1280" s="90" t="str">
        <f>VLOOKUP(B1280,'All Districts'!$A$3:$B$874,2,FALSE)</f>
        <v>Byron-Bergen</v>
      </c>
      <c r="D1280" s="40">
        <v>670394</v>
      </c>
      <c r="E1280">
        <f>VLOOKUP(C1280,'All Districts'!$B$3:$C$874,2,FALSE)</f>
        <v>3606090</v>
      </c>
      <c r="F1280" s="91">
        <f>COUNTIF($E$2:$E$7106,E1280)</f>
        <v>9</v>
      </c>
    </row>
    <row r="1281" spans="1:6" x14ac:dyDescent="0.2">
      <c r="A1281" s="10">
        <v>2021</v>
      </c>
      <c r="B1281" s="52">
        <v>3927</v>
      </c>
      <c r="C1281" s="90" t="str">
        <f>VLOOKUP(B1281,'All Districts'!$A$3:$B$874,2,FALSE)</f>
        <v>Byron-Bergen</v>
      </c>
      <c r="D1281" s="76">
        <v>682043</v>
      </c>
      <c r="E1281">
        <f>VLOOKUP(C1281,'All Districts'!$B$3:$C$874,2,FALSE)</f>
        <v>3606090</v>
      </c>
      <c r="F1281" s="91">
        <f>COUNTIF($E$2:$E$7106,E1281)</f>
        <v>9</v>
      </c>
    </row>
    <row r="1282" spans="1:6" x14ac:dyDescent="0.2">
      <c r="A1282">
        <v>2022</v>
      </c>
      <c r="B1282" s="36">
        <v>3927</v>
      </c>
      <c r="C1282" s="90" t="str">
        <f>VLOOKUP(B1282,'All Districts'!$A$3:$B$874,2,FALSE)</f>
        <v>Byron-Bergen</v>
      </c>
      <c r="D1282" s="82">
        <v>770718</v>
      </c>
      <c r="E1282">
        <f>VLOOKUP(C1282,'All Districts'!$B$3:$C$874,2,FALSE)</f>
        <v>3606090</v>
      </c>
      <c r="F1282" s="91">
        <f>COUNTIF($E$2:$E$7106,E1282)</f>
        <v>9</v>
      </c>
    </row>
    <row r="1283" spans="1:6" x14ac:dyDescent="0.2">
      <c r="A1283">
        <v>2023</v>
      </c>
      <c r="B1283" s="36">
        <v>3927</v>
      </c>
      <c r="C1283" s="90" t="str">
        <f>VLOOKUP(B1283,'All Districts'!$A$3:$B$874,2,FALSE)</f>
        <v>Byron-Bergen</v>
      </c>
      <c r="D1283" s="40">
        <v>804921</v>
      </c>
      <c r="E1283">
        <f>VLOOKUP(C1283,'All Districts'!$B$3:$C$874,2,FALSE)</f>
        <v>3606090</v>
      </c>
      <c r="F1283" s="91">
        <f>COUNTIF($E$2:$E$7106,E1283)</f>
        <v>9</v>
      </c>
    </row>
    <row r="1284" spans="1:6" x14ac:dyDescent="0.2">
      <c r="A1284">
        <v>2015</v>
      </c>
      <c r="B1284" s="13">
        <v>4892</v>
      </c>
      <c r="C1284" s="90" t="str">
        <f>VLOOKUP(B1284,'All Districts'!$A$3:$B$874,2,FALSE)</f>
        <v>Cairo-Durham</v>
      </c>
      <c r="D1284" s="14">
        <v>1719547</v>
      </c>
      <c r="E1284">
        <f>VLOOKUP(C1284,'All Districts'!$B$3:$C$874,2,FALSE)</f>
        <v>3606160</v>
      </c>
      <c r="F1284" s="91">
        <f>COUNTIF($E$2:$E$7106,E1284)</f>
        <v>9</v>
      </c>
    </row>
    <row r="1285" spans="1:6" x14ac:dyDescent="0.2">
      <c r="A1285">
        <v>2016</v>
      </c>
      <c r="B1285" s="13">
        <v>4892</v>
      </c>
      <c r="C1285" s="90" t="str">
        <f>VLOOKUP(B1285,'All Districts'!$A$3:$B$874,2,FALSE)</f>
        <v>Cairo-Durham</v>
      </c>
      <c r="D1285" s="16">
        <v>1348372</v>
      </c>
      <c r="E1285">
        <f>VLOOKUP(C1285,'All Districts'!$B$3:$C$874,2,FALSE)</f>
        <v>3606160</v>
      </c>
      <c r="F1285" s="91">
        <f>COUNTIF($E$2:$E$7106,E1285)</f>
        <v>9</v>
      </c>
    </row>
    <row r="1286" spans="1:6" x14ac:dyDescent="0.2">
      <c r="A1286">
        <v>2017</v>
      </c>
      <c r="B1286" s="13">
        <v>4892</v>
      </c>
      <c r="C1286" s="90" t="str">
        <f>VLOOKUP(B1286,'All Districts'!$A$3:$B$874,2,FALSE)</f>
        <v>Cairo-Durham</v>
      </c>
      <c r="D1286" s="16">
        <v>1220596</v>
      </c>
      <c r="E1286">
        <f>VLOOKUP(C1286,'All Districts'!$B$3:$C$874,2,FALSE)</f>
        <v>3606160</v>
      </c>
      <c r="F1286" s="91">
        <f>COUNTIF($E$2:$E$7106,E1286)</f>
        <v>9</v>
      </c>
    </row>
    <row r="1287" spans="1:6" x14ac:dyDescent="0.2">
      <c r="A1287" s="10">
        <v>2018</v>
      </c>
      <c r="B1287" s="13">
        <v>4892</v>
      </c>
      <c r="C1287" s="90" t="str">
        <f>VLOOKUP(B1287,'All Districts'!$A$3:$B$874,2,FALSE)</f>
        <v>Cairo-Durham</v>
      </c>
      <c r="D1287" s="15">
        <v>1042583</v>
      </c>
      <c r="E1287">
        <f>VLOOKUP(C1287,'All Districts'!$B$3:$C$874,2,FALSE)</f>
        <v>3606160</v>
      </c>
      <c r="F1287" s="91">
        <f>COUNTIF($E$2:$E$7106,E1287)</f>
        <v>9</v>
      </c>
    </row>
    <row r="1288" spans="1:6" x14ac:dyDescent="0.2">
      <c r="A1288">
        <v>2019</v>
      </c>
      <c r="B1288" s="36">
        <v>4892</v>
      </c>
      <c r="C1288" s="90" t="str">
        <f>VLOOKUP(B1288,'All Districts'!$A$3:$B$874,2,FALSE)</f>
        <v>Cairo-Durham</v>
      </c>
      <c r="D1288" s="40">
        <v>1147031</v>
      </c>
      <c r="E1288">
        <f>VLOOKUP(C1288,'All Districts'!$B$3:$C$874,2,FALSE)</f>
        <v>3606160</v>
      </c>
      <c r="F1288" s="91">
        <f>COUNTIF($E$2:$E$7106,E1288)</f>
        <v>9</v>
      </c>
    </row>
    <row r="1289" spans="1:6" x14ac:dyDescent="0.2">
      <c r="A1289">
        <v>2020</v>
      </c>
      <c r="B1289" s="36">
        <v>4892</v>
      </c>
      <c r="C1289" s="90" t="str">
        <f>VLOOKUP(B1289,'All Districts'!$A$3:$B$874,2,FALSE)</f>
        <v>Cairo-Durham</v>
      </c>
      <c r="D1289" s="40">
        <v>981643</v>
      </c>
      <c r="E1289">
        <f>VLOOKUP(C1289,'All Districts'!$B$3:$C$874,2,FALSE)</f>
        <v>3606160</v>
      </c>
      <c r="F1289" s="91">
        <f>COUNTIF($E$2:$E$7106,E1289)</f>
        <v>9</v>
      </c>
    </row>
    <row r="1290" spans="1:6" x14ac:dyDescent="0.2">
      <c r="A1290" s="10">
        <v>2021</v>
      </c>
      <c r="B1290" s="52">
        <v>4892</v>
      </c>
      <c r="C1290" s="90" t="str">
        <f>VLOOKUP(B1290,'All Districts'!$A$3:$B$874,2,FALSE)</f>
        <v>Cairo-Durham</v>
      </c>
      <c r="D1290" s="76">
        <v>1078560</v>
      </c>
      <c r="E1290">
        <f>VLOOKUP(C1290,'All Districts'!$B$3:$C$874,2,FALSE)</f>
        <v>3606160</v>
      </c>
      <c r="F1290" s="91">
        <f>COUNTIF($E$2:$E$7106,E1290)</f>
        <v>9</v>
      </c>
    </row>
    <row r="1291" spans="1:6" x14ac:dyDescent="0.2">
      <c r="A1291">
        <v>2022</v>
      </c>
      <c r="B1291" s="36">
        <v>4892</v>
      </c>
      <c r="C1291" s="90" t="str">
        <f>VLOOKUP(B1291,'All Districts'!$A$3:$B$874,2,FALSE)</f>
        <v>Cairo-Durham</v>
      </c>
      <c r="D1291" s="82">
        <v>1170578</v>
      </c>
      <c r="E1291">
        <f>VLOOKUP(C1291,'All Districts'!$B$3:$C$874,2,FALSE)</f>
        <v>3606160</v>
      </c>
      <c r="F1291" s="91">
        <f>COUNTIF($E$2:$E$7106,E1291)</f>
        <v>9</v>
      </c>
    </row>
    <row r="1292" spans="1:6" x14ac:dyDescent="0.2">
      <c r="A1292">
        <v>2023</v>
      </c>
      <c r="B1292" s="36">
        <v>4892</v>
      </c>
      <c r="C1292" s="90" t="str">
        <f>VLOOKUP(B1292,'All Districts'!$A$3:$B$874,2,FALSE)</f>
        <v>Cairo-Durham</v>
      </c>
      <c r="D1292" s="40">
        <v>1212115</v>
      </c>
      <c r="E1292">
        <f>VLOOKUP(C1292,'All Districts'!$B$3:$C$874,2,FALSE)</f>
        <v>3606160</v>
      </c>
      <c r="F1292" s="91">
        <f>COUNTIF($E$2:$E$7106,E1292)</f>
        <v>9</v>
      </c>
    </row>
    <row r="1293" spans="1:6" x14ac:dyDescent="0.2">
      <c r="A1293">
        <v>2015</v>
      </c>
      <c r="B1293" s="13">
        <v>4152</v>
      </c>
      <c r="C1293" s="90" t="str">
        <f>VLOOKUP(B1293,'All Districts'!$A$3:$B$874,2,FALSE)</f>
        <v>Caledonia-Mumford</v>
      </c>
      <c r="D1293" s="14">
        <v>1040457</v>
      </c>
      <c r="E1293">
        <f>VLOOKUP(C1293,'All Districts'!$B$3:$C$874,2,FALSE)</f>
        <v>3606180</v>
      </c>
      <c r="F1293" s="91">
        <f>COUNTIF($E$2:$E$7106,E1293)</f>
        <v>9</v>
      </c>
    </row>
    <row r="1294" spans="1:6" x14ac:dyDescent="0.2">
      <c r="A1294">
        <v>2016</v>
      </c>
      <c r="B1294" s="13">
        <v>4152</v>
      </c>
      <c r="C1294" s="90" t="str">
        <f>VLOOKUP(B1294,'All Districts'!$A$3:$B$874,2,FALSE)</f>
        <v>Caledonia-Mumford</v>
      </c>
      <c r="D1294" s="16">
        <v>806169</v>
      </c>
      <c r="E1294">
        <f>VLOOKUP(C1294,'All Districts'!$B$3:$C$874,2,FALSE)</f>
        <v>3606180</v>
      </c>
      <c r="F1294" s="91">
        <f>COUNTIF($E$2:$E$7106,E1294)</f>
        <v>9</v>
      </c>
    </row>
    <row r="1295" spans="1:6" x14ac:dyDescent="0.2">
      <c r="A1295">
        <v>2017</v>
      </c>
      <c r="B1295" s="13">
        <v>4152</v>
      </c>
      <c r="C1295" s="90" t="str">
        <f>VLOOKUP(B1295,'All Districts'!$A$3:$B$874,2,FALSE)</f>
        <v>Caledonia-Mumford</v>
      </c>
      <c r="D1295" s="16">
        <v>735292</v>
      </c>
      <c r="E1295">
        <f>VLOOKUP(C1295,'All Districts'!$B$3:$C$874,2,FALSE)</f>
        <v>3606180</v>
      </c>
      <c r="F1295" s="91">
        <f>COUNTIF($E$2:$E$7106,E1295)</f>
        <v>9</v>
      </c>
    </row>
    <row r="1296" spans="1:6" x14ac:dyDescent="0.2">
      <c r="A1296" s="10">
        <v>2018</v>
      </c>
      <c r="B1296" s="13">
        <v>4152</v>
      </c>
      <c r="C1296" s="90" t="str">
        <f>VLOOKUP(B1296,'All Districts'!$A$3:$B$874,2,FALSE)</f>
        <v>Caledonia-Mumford</v>
      </c>
      <c r="D1296" s="15">
        <v>632585</v>
      </c>
      <c r="E1296">
        <f>VLOOKUP(C1296,'All Districts'!$B$3:$C$874,2,FALSE)</f>
        <v>3606180</v>
      </c>
      <c r="F1296" s="91">
        <f>COUNTIF($E$2:$E$7106,E1296)</f>
        <v>9</v>
      </c>
    </row>
    <row r="1297" spans="1:6" x14ac:dyDescent="0.2">
      <c r="A1297">
        <v>2019</v>
      </c>
      <c r="B1297" s="36">
        <v>4152</v>
      </c>
      <c r="C1297" s="90" t="str">
        <f>VLOOKUP(B1297,'All Districts'!$A$3:$B$874,2,FALSE)</f>
        <v>Caledonia-Mumford</v>
      </c>
      <c r="D1297" s="40">
        <v>695399</v>
      </c>
      <c r="E1297">
        <f>VLOOKUP(C1297,'All Districts'!$B$3:$C$874,2,FALSE)</f>
        <v>3606180</v>
      </c>
      <c r="F1297" s="91">
        <f>COUNTIF($E$2:$E$7106,E1297)</f>
        <v>9</v>
      </c>
    </row>
    <row r="1298" spans="1:6" x14ac:dyDescent="0.2">
      <c r="A1298">
        <v>2020</v>
      </c>
      <c r="B1298" s="36">
        <v>4152</v>
      </c>
      <c r="C1298" s="90" t="str">
        <f>VLOOKUP(B1298,'All Districts'!$A$3:$B$874,2,FALSE)</f>
        <v>Caledonia-Mumford</v>
      </c>
      <c r="D1298" s="40">
        <v>552256</v>
      </c>
      <c r="E1298">
        <f>VLOOKUP(C1298,'All Districts'!$B$3:$C$874,2,FALSE)</f>
        <v>3606180</v>
      </c>
      <c r="F1298" s="91">
        <f>COUNTIF($E$2:$E$7106,E1298)</f>
        <v>9</v>
      </c>
    </row>
    <row r="1299" spans="1:6" x14ac:dyDescent="0.2">
      <c r="A1299" s="10">
        <v>2021</v>
      </c>
      <c r="B1299" s="52">
        <v>4152</v>
      </c>
      <c r="C1299" s="90" t="str">
        <f>VLOOKUP(B1299,'All Districts'!$A$3:$B$874,2,FALSE)</f>
        <v>Caledonia-Mumford</v>
      </c>
      <c r="D1299" s="76">
        <v>576215</v>
      </c>
      <c r="E1299">
        <f>VLOOKUP(C1299,'All Districts'!$B$3:$C$874,2,FALSE)</f>
        <v>3606180</v>
      </c>
      <c r="F1299" s="91">
        <f>COUNTIF($E$2:$E$7106,E1299)</f>
        <v>9</v>
      </c>
    </row>
    <row r="1300" spans="1:6" x14ac:dyDescent="0.2">
      <c r="A1300">
        <v>2022</v>
      </c>
      <c r="B1300" s="36">
        <v>4152</v>
      </c>
      <c r="C1300" s="90" t="str">
        <f>VLOOKUP(B1300,'All Districts'!$A$3:$B$874,2,FALSE)</f>
        <v>Caledonia-Mumford</v>
      </c>
      <c r="D1300" s="82">
        <v>636281</v>
      </c>
      <c r="E1300">
        <f>VLOOKUP(C1300,'All Districts'!$B$3:$C$874,2,FALSE)</f>
        <v>3606180</v>
      </c>
      <c r="F1300" s="91">
        <f>COUNTIF($E$2:$E$7106,E1300)</f>
        <v>9</v>
      </c>
    </row>
    <row r="1301" spans="1:6" x14ac:dyDescent="0.2">
      <c r="A1301">
        <v>2023</v>
      </c>
      <c r="B1301" s="36">
        <v>4152</v>
      </c>
      <c r="C1301" s="90" t="str">
        <f>VLOOKUP(B1301,'All Districts'!$A$3:$B$874,2,FALSE)</f>
        <v>Caledonia-Mumford</v>
      </c>
      <c r="D1301" s="40">
        <v>656530</v>
      </c>
      <c r="E1301">
        <f>VLOOKUP(C1301,'All Districts'!$B$3:$C$874,2,FALSE)</f>
        <v>3606180</v>
      </c>
      <c r="F1301" s="91">
        <f>COUNTIF($E$2:$E$7106,E1301)</f>
        <v>9</v>
      </c>
    </row>
    <row r="1302" spans="1:6" x14ac:dyDescent="0.2">
      <c r="A1302">
        <v>2015</v>
      </c>
      <c r="B1302" s="13">
        <v>5683</v>
      </c>
      <c r="C1302" s="90" t="str">
        <f>VLOOKUP(B1302,'All Districts'!$A$3:$B$874,2,FALSE)</f>
        <v>Cambridge</v>
      </c>
      <c r="D1302" s="14">
        <v>1111613</v>
      </c>
      <c r="E1302">
        <f>VLOOKUP(C1302,'All Districts'!$B$3:$C$874,2,FALSE)</f>
        <v>3606210</v>
      </c>
      <c r="F1302" s="91">
        <f>COUNTIF($E$2:$E$7106,E1302)</f>
        <v>9</v>
      </c>
    </row>
    <row r="1303" spans="1:6" x14ac:dyDescent="0.2">
      <c r="A1303">
        <v>2016</v>
      </c>
      <c r="B1303" s="13">
        <v>5683</v>
      </c>
      <c r="C1303" s="90" t="str">
        <f>VLOOKUP(B1303,'All Districts'!$A$3:$B$874,2,FALSE)</f>
        <v>Cambridge</v>
      </c>
      <c r="D1303" s="16">
        <v>875285</v>
      </c>
      <c r="E1303">
        <f>VLOOKUP(C1303,'All Districts'!$B$3:$C$874,2,FALSE)</f>
        <v>3606210</v>
      </c>
      <c r="F1303" s="91">
        <f>COUNTIF($E$2:$E$7106,E1303)</f>
        <v>9</v>
      </c>
    </row>
    <row r="1304" spans="1:6" x14ac:dyDescent="0.2">
      <c r="A1304">
        <v>2017</v>
      </c>
      <c r="B1304" s="13">
        <v>5683</v>
      </c>
      <c r="C1304" s="90" t="str">
        <f>VLOOKUP(B1304,'All Districts'!$A$3:$B$874,2,FALSE)</f>
        <v>Cambridge</v>
      </c>
      <c r="D1304" s="16">
        <v>789444</v>
      </c>
      <c r="E1304">
        <f>VLOOKUP(C1304,'All Districts'!$B$3:$C$874,2,FALSE)</f>
        <v>3606210</v>
      </c>
      <c r="F1304" s="91">
        <f>COUNTIF($E$2:$E$7106,E1304)</f>
        <v>9</v>
      </c>
    </row>
    <row r="1305" spans="1:6" x14ac:dyDescent="0.2">
      <c r="A1305" s="10">
        <v>2018</v>
      </c>
      <c r="B1305" s="13">
        <v>5683</v>
      </c>
      <c r="C1305" s="90" t="str">
        <f>VLOOKUP(B1305,'All Districts'!$A$3:$B$874,2,FALSE)</f>
        <v>Cambridge</v>
      </c>
      <c r="D1305" s="15">
        <v>675148</v>
      </c>
      <c r="E1305">
        <f>VLOOKUP(C1305,'All Districts'!$B$3:$C$874,2,FALSE)</f>
        <v>3606210</v>
      </c>
      <c r="F1305" s="91">
        <f>COUNTIF($E$2:$E$7106,E1305)</f>
        <v>9</v>
      </c>
    </row>
    <row r="1306" spans="1:6" x14ac:dyDescent="0.2">
      <c r="A1306">
        <v>2019</v>
      </c>
      <c r="B1306" s="36">
        <v>5683</v>
      </c>
      <c r="C1306" s="90" t="str">
        <f>VLOOKUP(B1306,'All Districts'!$A$3:$B$874,2,FALSE)</f>
        <v>Cambridge</v>
      </c>
      <c r="D1306" s="40">
        <v>751875</v>
      </c>
      <c r="E1306">
        <f>VLOOKUP(C1306,'All Districts'!$B$3:$C$874,2,FALSE)</f>
        <v>3606210</v>
      </c>
      <c r="F1306" s="91">
        <f>COUNTIF($E$2:$E$7106,E1306)</f>
        <v>9</v>
      </c>
    </row>
    <row r="1307" spans="1:6" x14ac:dyDescent="0.2">
      <c r="A1307">
        <v>2020</v>
      </c>
      <c r="B1307" s="36">
        <v>5683</v>
      </c>
      <c r="C1307" s="90" t="str">
        <f>VLOOKUP(B1307,'All Districts'!$A$3:$B$874,2,FALSE)</f>
        <v>Cambridge</v>
      </c>
      <c r="D1307" s="40">
        <v>637421</v>
      </c>
      <c r="E1307">
        <f>VLOOKUP(C1307,'All Districts'!$B$3:$C$874,2,FALSE)</f>
        <v>3606210</v>
      </c>
      <c r="F1307" s="91">
        <f>COUNTIF($E$2:$E$7106,E1307)</f>
        <v>9</v>
      </c>
    </row>
    <row r="1308" spans="1:6" x14ac:dyDescent="0.2">
      <c r="A1308" s="10">
        <v>2021</v>
      </c>
      <c r="B1308" s="52">
        <v>5683</v>
      </c>
      <c r="C1308" s="90" t="str">
        <f>VLOOKUP(B1308,'All Districts'!$A$3:$B$874,2,FALSE)</f>
        <v>Cambridge</v>
      </c>
      <c r="D1308" s="75">
        <v>648506</v>
      </c>
      <c r="E1308">
        <f>VLOOKUP(C1308,'All Districts'!$B$3:$C$874,2,FALSE)</f>
        <v>3606210</v>
      </c>
      <c r="F1308" s="91">
        <f>COUNTIF($E$2:$E$7106,E1308)</f>
        <v>9</v>
      </c>
    </row>
    <row r="1309" spans="1:6" x14ac:dyDescent="0.2">
      <c r="A1309">
        <v>2022</v>
      </c>
      <c r="B1309" s="36">
        <v>5683</v>
      </c>
      <c r="C1309" s="90" t="str">
        <f>VLOOKUP(B1309,'All Districts'!$A$3:$B$874,2,FALSE)</f>
        <v>Cambridge</v>
      </c>
      <c r="D1309" s="82">
        <v>724712</v>
      </c>
      <c r="E1309">
        <f>VLOOKUP(C1309,'All Districts'!$B$3:$C$874,2,FALSE)</f>
        <v>3606210</v>
      </c>
      <c r="F1309" s="91">
        <f>COUNTIF($E$2:$E$7106,E1309)</f>
        <v>9</v>
      </c>
    </row>
    <row r="1310" spans="1:6" x14ac:dyDescent="0.2">
      <c r="A1310">
        <v>2023</v>
      </c>
      <c r="B1310" s="36">
        <v>5683</v>
      </c>
      <c r="C1310" s="90" t="str">
        <f>VLOOKUP(B1310,'All Districts'!$A$3:$B$874,2,FALSE)</f>
        <v>Cambridge</v>
      </c>
      <c r="D1310" s="40">
        <v>797838</v>
      </c>
      <c r="E1310">
        <f>VLOOKUP(C1310,'All Districts'!$B$3:$C$874,2,FALSE)</f>
        <v>3606210</v>
      </c>
      <c r="F1310" s="91">
        <f>COUNTIF($E$2:$E$7106,E1310)</f>
        <v>9</v>
      </c>
    </row>
    <row r="1311" spans="1:6" x14ac:dyDescent="0.2">
      <c r="A1311">
        <v>2015</v>
      </c>
      <c r="B1311" s="13">
        <v>4208</v>
      </c>
      <c r="C1311" s="90" t="str">
        <f>VLOOKUP(B1311,'All Districts'!$A$3:$B$874,2,FALSE)</f>
        <v>Camden</v>
      </c>
      <c r="D1311" s="14">
        <v>2663253</v>
      </c>
      <c r="E1311">
        <f>VLOOKUP(C1311,'All Districts'!$B$3:$C$874,2,FALSE)</f>
        <v>3606240</v>
      </c>
      <c r="F1311" s="91">
        <f>COUNTIF($E$2:$E$7106,E1311)</f>
        <v>9</v>
      </c>
    </row>
    <row r="1312" spans="1:6" x14ac:dyDescent="0.2">
      <c r="A1312">
        <v>2016</v>
      </c>
      <c r="B1312" s="13">
        <v>4208</v>
      </c>
      <c r="C1312" s="90" t="str">
        <f>VLOOKUP(B1312,'All Districts'!$A$3:$B$874,2,FALSE)</f>
        <v>Camden</v>
      </c>
      <c r="D1312" s="16">
        <v>2020726</v>
      </c>
      <c r="E1312">
        <f>VLOOKUP(C1312,'All Districts'!$B$3:$C$874,2,FALSE)</f>
        <v>3606240</v>
      </c>
      <c r="F1312" s="91">
        <f>COUNTIF($E$2:$E$7106,E1312)</f>
        <v>9</v>
      </c>
    </row>
    <row r="1313" spans="1:6" x14ac:dyDescent="0.2">
      <c r="A1313">
        <v>2017</v>
      </c>
      <c r="B1313" s="13">
        <v>4208</v>
      </c>
      <c r="C1313" s="90" t="str">
        <f>VLOOKUP(B1313,'All Districts'!$A$3:$B$874,2,FALSE)</f>
        <v>Camden</v>
      </c>
      <c r="D1313" s="16">
        <v>1856240</v>
      </c>
      <c r="E1313">
        <f>VLOOKUP(C1313,'All Districts'!$B$3:$C$874,2,FALSE)</f>
        <v>3606240</v>
      </c>
      <c r="F1313" s="91">
        <f>COUNTIF($E$2:$E$7106,E1313)</f>
        <v>9</v>
      </c>
    </row>
    <row r="1314" spans="1:6" x14ac:dyDescent="0.2">
      <c r="A1314" s="10">
        <v>2018</v>
      </c>
      <c r="B1314" s="13">
        <v>4208</v>
      </c>
      <c r="C1314" s="90" t="str">
        <f>VLOOKUP(B1314,'All Districts'!$A$3:$B$874,2,FALSE)</f>
        <v>Camden</v>
      </c>
      <c r="D1314" s="15">
        <v>1566209</v>
      </c>
      <c r="E1314">
        <f>VLOOKUP(C1314,'All Districts'!$B$3:$C$874,2,FALSE)</f>
        <v>3606240</v>
      </c>
      <c r="F1314" s="91">
        <f>COUNTIF($E$2:$E$7106,E1314)</f>
        <v>9</v>
      </c>
    </row>
    <row r="1315" spans="1:6" x14ac:dyDescent="0.2">
      <c r="A1315">
        <v>2019</v>
      </c>
      <c r="B1315" s="36">
        <v>4208</v>
      </c>
      <c r="C1315" s="90" t="str">
        <f>VLOOKUP(B1315,'All Districts'!$A$3:$B$874,2,FALSE)</f>
        <v>Camden</v>
      </c>
      <c r="D1315" s="40">
        <v>1686173</v>
      </c>
      <c r="E1315">
        <f>VLOOKUP(C1315,'All Districts'!$B$3:$C$874,2,FALSE)</f>
        <v>3606240</v>
      </c>
      <c r="F1315" s="91">
        <f>COUNTIF($E$2:$E$7106,E1315)</f>
        <v>9</v>
      </c>
    </row>
    <row r="1316" spans="1:6" x14ac:dyDescent="0.2">
      <c r="A1316">
        <v>2020</v>
      </c>
      <c r="B1316" s="36">
        <v>4208</v>
      </c>
      <c r="C1316" s="90" t="str">
        <f>VLOOKUP(B1316,'All Districts'!$A$3:$B$874,2,FALSE)</f>
        <v>Camden</v>
      </c>
      <c r="D1316" s="40">
        <v>1404471</v>
      </c>
      <c r="E1316">
        <f>VLOOKUP(C1316,'All Districts'!$B$3:$C$874,2,FALSE)</f>
        <v>3606240</v>
      </c>
      <c r="F1316" s="91">
        <f>COUNTIF($E$2:$E$7106,E1316)</f>
        <v>9</v>
      </c>
    </row>
    <row r="1317" spans="1:6" x14ac:dyDescent="0.2">
      <c r="A1317" s="10">
        <v>2021</v>
      </c>
      <c r="B1317" s="52">
        <v>4208</v>
      </c>
      <c r="C1317" s="90" t="str">
        <f>VLOOKUP(B1317,'All Districts'!$A$3:$B$874,2,FALSE)</f>
        <v>Camden</v>
      </c>
      <c r="D1317" s="75">
        <v>1571715</v>
      </c>
      <c r="E1317">
        <f>VLOOKUP(C1317,'All Districts'!$B$3:$C$874,2,FALSE)</f>
        <v>3606240</v>
      </c>
      <c r="F1317" s="91">
        <f>COUNTIF($E$2:$E$7106,E1317)</f>
        <v>9</v>
      </c>
    </row>
    <row r="1318" spans="1:6" x14ac:dyDescent="0.2">
      <c r="A1318">
        <v>2022</v>
      </c>
      <c r="B1318" s="36">
        <v>4208</v>
      </c>
      <c r="C1318" s="90" t="str">
        <f>VLOOKUP(B1318,'All Districts'!$A$3:$B$874,2,FALSE)</f>
        <v>Camden</v>
      </c>
      <c r="D1318" s="82">
        <v>1690502</v>
      </c>
      <c r="E1318">
        <f>VLOOKUP(C1318,'All Districts'!$B$3:$C$874,2,FALSE)</f>
        <v>3606240</v>
      </c>
      <c r="F1318" s="91">
        <f>COUNTIF($E$2:$E$7106,E1318)</f>
        <v>9</v>
      </c>
    </row>
    <row r="1319" spans="1:6" x14ac:dyDescent="0.2">
      <c r="A1319">
        <v>2023</v>
      </c>
      <c r="B1319" s="36">
        <v>4208</v>
      </c>
      <c r="C1319" s="90" t="str">
        <f>VLOOKUP(B1319,'All Districts'!$A$3:$B$874,2,FALSE)</f>
        <v>Camden</v>
      </c>
      <c r="D1319" s="40">
        <v>1919317</v>
      </c>
      <c r="E1319">
        <f>VLOOKUP(C1319,'All Districts'!$B$3:$C$874,2,FALSE)</f>
        <v>3606240</v>
      </c>
      <c r="F1319" s="91">
        <f>COUNTIF($E$2:$E$7106,E1319)</f>
        <v>9</v>
      </c>
    </row>
    <row r="1320" spans="1:6" x14ac:dyDescent="0.2">
      <c r="A1320">
        <v>2015</v>
      </c>
      <c r="B1320" s="13">
        <v>5307</v>
      </c>
      <c r="C1320" s="90" t="str">
        <f>VLOOKUP(B1320,'All Districts'!$A$3:$B$874,2,FALSE)</f>
        <v>Campbell-Savona</v>
      </c>
      <c r="D1320" s="14">
        <v>1030565</v>
      </c>
      <c r="E1320">
        <f>VLOOKUP(C1320,'All Districts'!$B$3:$C$874,2,FALSE)</f>
        <v>3600020</v>
      </c>
      <c r="F1320" s="91">
        <f>COUNTIF($E$2:$E$7106,E1320)</f>
        <v>9</v>
      </c>
    </row>
    <row r="1321" spans="1:6" x14ac:dyDescent="0.2">
      <c r="A1321">
        <v>2016</v>
      </c>
      <c r="B1321" s="13">
        <v>5307</v>
      </c>
      <c r="C1321" s="90" t="str">
        <f>VLOOKUP(B1321,'All Districts'!$A$3:$B$874,2,FALSE)</f>
        <v>Campbell-Savona</v>
      </c>
      <c r="D1321" s="16">
        <v>783062</v>
      </c>
      <c r="E1321">
        <f>VLOOKUP(C1321,'All Districts'!$B$3:$C$874,2,FALSE)</f>
        <v>3600020</v>
      </c>
      <c r="F1321" s="91">
        <f>COUNTIF($E$2:$E$7106,E1321)</f>
        <v>9</v>
      </c>
    </row>
    <row r="1322" spans="1:6" x14ac:dyDescent="0.2">
      <c r="A1322">
        <v>2017</v>
      </c>
      <c r="B1322" s="13">
        <v>5307</v>
      </c>
      <c r="C1322" s="90" t="str">
        <f>VLOOKUP(B1322,'All Districts'!$A$3:$B$874,2,FALSE)</f>
        <v>Campbell-Savona</v>
      </c>
      <c r="D1322" s="16">
        <v>703743</v>
      </c>
      <c r="E1322">
        <f>VLOOKUP(C1322,'All Districts'!$B$3:$C$874,2,FALSE)</f>
        <v>3600020</v>
      </c>
      <c r="F1322" s="91">
        <f>COUNTIF($E$2:$E$7106,E1322)</f>
        <v>9</v>
      </c>
    </row>
    <row r="1323" spans="1:6" x14ac:dyDescent="0.2">
      <c r="A1323" s="10">
        <v>2018</v>
      </c>
      <c r="B1323" s="13">
        <v>5307</v>
      </c>
      <c r="C1323" s="90" t="str">
        <f>VLOOKUP(B1323,'All Districts'!$A$3:$B$874,2,FALSE)</f>
        <v>Campbell-Savona</v>
      </c>
      <c r="D1323" s="15">
        <v>571123</v>
      </c>
      <c r="E1323">
        <f>VLOOKUP(C1323,'All Districts'!$B$3:$C$874,2,FALSE)</f>
        <v>3600020</v>
      </c>
      <c r="F1323" s="91">
        <f>COUNTIF($E$2:$E$7106,E1323)</f>
        <v>9</v>
      </c>
    </row>
    <row r="1324" spans="1:6" x14ac:dyDescent="0.2">
      <c r="A1324">
        <v>2019</v>
      </c>
      <c r="B1324" s="36">
        <v>5307</v>
      </c>
      <c r="C1324" s="90" t="str">
        <f>VLOOKUP(B1324,'All Districts'!$A$3:$B$874,2,FALSE)</f>
        <v>Campbell-Savona</v>
      </c>
      <c r="D1324" s="40">
        <v>664004</v>
      </c>
      <c r="E1324">
        <f>VLOOKUP(C1324,'All Districts'!$B$3:$C$874,2,FALSE)</f>
        <v>3600020</v>
      </c>
      <c r="F1324" s="91">
        <f>COUNTIF($E$2:$E$7106,E1324)</f>
        <v>9</v>
      </c>
    </row>
    <row r="1325" spans="1:6" x14ac:dyDescent="0.2">
      <c r="A1325">
        <v>2020</v>
      </c>
      <c r="B1325" s="36">
        <v>5307</v>
      </c>
      <c r="C1325" s="90" t="str">
        <f>VLOOKUP(B1325,'All Districts'!$A$3:$B$874,2,FALSE)</f>
        <v>Campbell-Savona</v>
      </c>
      <c r="D1325" s="40">
        <v>565085</v>
      </c>
      <c r="E1325">
        <f>VLOOKUP(C1325,'All Districts'!$B$3:$C$874,2,FALSE)</f>
        <v>3600020</v>
      </c>
      <c r="F1325" s="91">
        <f>COUNTIF($E$2:$E$7106,E1325)</f>
        <v>9</v>
      </c>
    </row>
    <row r="1326" spans="1:6" x14ac:dyDescent="0.2">
      <c r="A1326" s="10">
        <v>2021</v>
      </c>
      <c r="B1326" s="52">
        <v>5307</v>
      </c>
      <c r="C1326" s="90" t="str">
        <f>VLOOKUP(B1326,'All Districts'!$A$3:$B$874,2,FALSE)</f>
        <v>Campbell-Savona</v>
      </c>
      <c r="D1326" s="76">
        <v>633127</v>
      </c>
      <c r="E1326">
        <f>VLOOKUP(C1326,'All Districts'!$B$3:$C$874,2,FALSE)</f>
        <v>3600020</v>
      </c>
      <c r="F1326" s="91">
        <f>COUNTIF($E$2:$E$7106,E1326)</f>
        <v>9</v>
      </c>
    </row>
    <row r="1327" spans="1:6" x14ac:dyDescent="0.2">
      <c r="A1327">
        <v>2022</v>
      </c>
      <c r="B1327" s="36">
        <v>5307</v>
      </c>
      <c r="C1327" s="90" t="str">
        <f>VLOOKUP(B1327,'All Districts'!$A$3:$B$874,2,FALSE)</f>
        <v>Campbell-Savona</v>
      </c>
      <c r="D1327" s="82">
        <v>704798</v>
      </c>
      <c r="E1327">
        <f>VLOOKUP(C1327,'All Districts'!$B$3:$C$874,2,FALSE)</f>
        <v>3600020</v>
      </c>
      <c r="F1327" s="91">
        <f>COUNTIF($E$2:$E$7106,E1327)</f>
        <v>9</v>
      </c>
    </row>
    <row r="1328" spans="1:6" x14ac:dyDescent="0.2">
      <c r="A1328">
        <v>2023</v>
      </c>
      <c r="B1328" s="36">
        <v>5307</v>
      </c>
      <c r="C1328" s="90" t="str">
        <f>VLOOKUP(B1328,'All Districts'!$A$3:$B$874,2,FALSE)</f>
        <v>Campbell-Savona</v>
      </c>
      <c r="D1328" s="40">
        <v>768179</v>
      </c>
      <c r="E1328">
        <f>VLOOKUP(C1328,'All Districts'!$B$3:$C$874,2,FALSE)</f>
        <v>3600020</v>
      </c>
      <c r="F1328" s="91">
        <f>COUNTIF($E$2:$E$7106,E1328)</f>
        <v>9</v>
      </c>
    </row>
    <row r="1329" spans="1:6" x14ac:dyDescent="0.2">
      <c r="A1329">
        <v>2015</v>
      </c>
      <c r="B1329" s="13">
        <v>4020</v>
      </c>
      <c r="C1329" s="90" t="str">
        <f>VLOOKUP(B1329,'All Districts'!$A$3:$B$874,2,FALSE)</f>
        <v>Canajoharie</v>
      </c>
      <c r="D1329" s="14">
        <v>1124157</v>
      </c>
      <c r="E1329">
        <f>VLOOKUP(C1329,'All Districts'!$B$3:$C$874,2,FALSE)</f>
        <v>3606300</v>
      </c>
      <c r="F1329" s="91">
        <f>COUNTIF($E$2:$E$7106,E1329)</f>
        <v>9</v>
      </c>
    </row>
    <row r="1330" spans="1:6" x14ac:dyDescent="0.2">
      <c r="A1330">
        <v>2016</v>
      </c>
      <c r="B1330" s="13">
        <v>4020</v>
      </c>
      <c r="C1330" s="90" t="str">
        <f>VLOOKUP(B1330,'All Districts'!$A$3:$B$874,2,FALSE)</f>
        <v>Canajoharie</v>
      </c>
      <c r="D1330" s="16">
        <v>871673</v>
      </c>
      <c r="E1330">
        <f>VLOOKUP(C1330,'All Districts'!$B$3:$C$874,2,FALSE)</f>
        <v>3606300</v>
      </c>
      <c r="F1330" s="91">
        <f>COUNTIF($E$2:$E$7106,E1330)</f>
        <v>9</v>
      </c>
    </row>
    <row r="1331" spans="1:6" x14ac:dyDescent="0.2">
      <c r="A1331">
        <v>2017</v>
      </c>
      <c r="B1331" s="13">
        <v>4020</v>
      </c>
      <c r="C1331" s="90" t="str">
        <f>VLOOKUP(B1331,'All Districts'!$A$3:$B$874,2,FALSE)</f>
        <v>Canajoharie</v>
      </c>
      <c r="D1331" s="16">
        <v>794449</v>
      </c>
      <c r="E1331">
        <f>VLOOKUP(C1331,'All Districts'!$B$3:$C$874,2,FALSE)</f>
        <v>3606300</v>
      </c>
      <c r="F1331" s="91">
        <f>COUNTIF($E$2:$E$7106,E1331)</f>
        <v>9</v>
      </c>
    </row>
    <row r="1332" spans="1:6" x14ac:dyDescent="0.2">
      <c r="A1332" s="10">
        <v>2018</v>
      </c>
      <c r="B1332" s="13">
        <v>4020</v>
      </c>
      <c r="C1332" s="90" t="str">
        <f>VLOOKUP(B1332,'All Districts'!$A$3:$B$874,2,FALSE)</f>
        <v>Canajoharie</v>
      </c>
      <c r="D1332" s="15">
        <v>668869</v>
      </c>
      <c r="E1332">
        <f>VLOOKUP(C1332,'All Districts'!$B$3:$C$874,2,FALSE)</f>
        <v>3606300</v>
      </c>
      <c r="F1332" s="91">
        <f>COUNTIF($E$2:$E$7106,E1332)</f>
        <v>9</v>
      </c>
    </row>
    <row r="1333" spans="1:6" x14ac:dyDescent="0.2">
      <c r="A1333">
        <v>2019</v>
      </c>
      <c r="B1333" s="36">
        <v>4020</v>
      </c>
      <c r="C1333" s="90" t="str">
        <f>VLOOKUP(B1333,'All Districts'!$A$3:$B$874,2,FALSE)</f>
        <v>Canajoharie</v>
      </c>
      <c r="D1333" s="40">
        <v>751184</v>
      </c>
      <c r="E1333">
        <f>VLOOKUP(C1333,'All Districts'!$B$3:$C$874,2,FALSE)</f>
        <v>3606300</v>
      </c>
      <c r="F1333" s="91">
        <f>COUNTIF($E$2:$E$7106,E1333)</f>
        <v>9</v>
      </c>
    </row>
    <row r="1334" spans="1:6" x14ac:dyDescent="0.2">
      <c r="A1334">
        <v>2020</v>
      </c>
      <c r="B1334" s="36">
        <v>4020</v>
      </c>
      <c r="C1334" s="90" t="str">
        <f>VLOOKUP(B1334,'All Districts'!$A$3:$B$874,2,FALSE)</f>
        <v>Canajoharie</v>
      </c>
      <c r="D1334" s="40">
        <v>606550</v>
      </c>
      <c r="E1334">
        <f>VLOOKUP(C1334,'All Districts'!$B$3:$C$874,2,FALSE)</f>
        <v>3606300</v>
      </c>
      <c r="F1334" s="91">
        <f>COUNTIF($E$2:$E$7106,E1334)</f>
        <v>9</v>
      </c>
    </row>
    <row r="1335" spans="1:6" x14ac:dyDescent="0.2">
      <c r="A1335" s="10">
        <v>2021</v>
      </c>
      <c r="B1335" s="52">
        <v>4020</v>
      </c>
      <c r="C1335" s="90" t="str">
        <f>VLOOKUP(B1335,'All Districts'!$A$3:$B$874,2,FALSE)</f>
        <v>Canajoharie</v>
      </c>
      <c r="D1335" s="76">
        <v>678967</v>
      </c>
      <c r="E1335">
        <f>VLOOKUP(C1335,'All Districts'!$B$3:$C$874,2,FALSE)</f>
        <v>3606300</v>
      </c>
      <c r="F1335" s="91">
        <f>COUNTIF($E$2:$E$7106,E1335)</f>
        <v>9</v>
      </c>
    </row>
    <row r="1336" spans="1:6" x14ac:dyDescent="0.2">
      <c r="A1336">
        <v>2022</v>
      </c>
      <c r="B1336" s="36">
        <v>4020</v>
      </c>
      <c r="C1336" s="90" t="str">
        <f>VLOOKUP(B1336,'All Districts'!$A$3:$B$874,2,FALSE)</f>
        <v>Canajoharie</v>
      </c>
      <c r="D1336" s="82">
        <v>732542</v>
      </c>
      <c r="E1336">
        <f>VLOOKUP(C1336,'All Districts'!$B$3:$C$874,2,FALSE)</f>
        <v>3606300</v>
      </c>
      <c r="F1336" s="91">
        <f>COUNTIF($E$2:$E$7106,E1336)</f>
        <v>9</v>
      </c>
    </row>
    <row r="1337" spans="1:6" x14ac:dyDescent="0.2">
      <c r="A1337">
        <v>2023</v>
      </c>
      <c r="B1337" s="36">
        <v>4020</v>
      </c>
      <c r="C1337" s="90" t="str">
        <f>VLOOKUP(B1337,'All Districts'!$A$3:$B$874,2,FALSE)</f>
        <v>Canajoharie</v>
      </c>
      <c r="D1337" s="40">
        <v>765252</v>
      </c>
      <c r="E1337">
        <f>VLOOKUP(C1337,'All Districts'!$B$3:$C$874,2,FALSE)</f>
        <v>3606300</v>
      </c>
      <c r="F1337" s="91">
        <f>COUNTIF($E$2:$E$7106,E1337)</f>
        <v>9</v>
      </c>
    </row>
    <row r="1338" spans="1:6" x14ac:dyDescent="0.2">
      <c r="A1338">
        <v>2015</v>
      </c>
      <c r="B1338" s="13">
        <v>1040</v>
      </c>
      <c r="C1338" s="90" t="str">
        <f>VLOOKUP(B1338,'All Districts'!$A$3:$B$874,2,FALSE)</f>
        <v>Canandaigua</v>
      </c>
      <c r="D1338" s="14">
        <v>4221331</v>
      </c>
      <c r="E1338">
        <f>VLOOKUP(C1338,'All Districts'!$B$3:$C$874,2,FALSE)</f>
        <v>3606330</v>
      </c>
      <c r="F1338" s="91">
        <f>COUNTIF($E$2:$E$7106,E1338)</f>
        <v>9</v>
      </c>
    </row>
    <row r="1339" spans="1:6" x14ac:dyDescent="0.2">
      <c r="A1339">
        <v>2016</v>
      </c>
      <c r="B1339" s="13">
        <v>1040</v>
      </c>
      <c r="C1339" s="90" t="str">
        <f>VLOOKUP(B1339,'All Districts'!$A$3:$B$874,2,FALSE)</f>
        <v>Canandaigua</v>
      </c>
      <c r="D1339" s="16">
        <v>3209657</v>
      </c>
      <c r="E1339">
        <f>VLOOKUP(C1339,'All Districts'!$B$3:$C$874,2,FALSE)</f>
        <v>3606330</v>
      </c>
      <c r="F1339" s="91">
        <f>COUNTIF($E$2:$E$7106,E1339)</f>
        <v>9</v>
      </c>
    </row>
    <row r="1340" spans="1:6" x14ac:dyDescent="0.2">
      <c r="A1340">
        <v>2017</v>
      </c>
      <c r="B1340" s="13">
        <v>1040</v>
      </c>
      <c r="C1340" s="90" t="str">
        <f>VLOOKUP(B1340,'All Districts'!$A$3:$B$874,2,FALSE)</f>
        <v>Canandaigua</v>
      </c>
      <c r="D1340" s="16">
        <v>2901991</v>
      </c>
      <c r="E1340">
        <f>VLOOKUP(C1340,'All Districts'!$B$3:$C$874,2,FALSE)</f>
        <v>3606330</v>
      </c>
      <c r="F1340" s="91">
        <f>COUNTIF($E$2:$E$7106,E1340)</f>
        <v>9</v>
      </c>
    </row>
    <row r="1341" spans="1:6" x14ac:dyDescent="0.2">
      <c r="A1341" s="10">
        <v>2018</v>
      </c>
      <c r="B1341" s="13">
        <v>1040</v>
      </c>
      <c r="C1341" s="90" t="str">
        <f>VLOOKUP(B1341,'All Districts'!$A$3:$B$874,2,FALSE)</f>
        <v>Canandaigua</v>
      </c>
      <c r="D1341" s="15">
        <v>2513642</v>
      </c>
      <c r="E1341">
        <f>VLOOKUP(C1341,'All Districts'!$B$3:$C$874,2,FALSE)</f>
        <v>3606330</v>
      </c>
      <c r="F1341" s="91">
        <f>COUNTIF($E$2:$E$7106,E1341)</f>
        <v>9</v>
      </c>
    </row>
    <row r="1342" spans="1:6" x14ac:dyDescent="0.2">
      <c r="A1342">
        <v>2019</v>
      </c>
      <c r="B1342" s="36">
        <v>1040</v>
      </c>
      <c r="C1342" s="90" t="str">
        <f>VLOOKUP(B1342,'All Districts'!$A$3:$B$874,2,FALSE)</f>
        <v>Canandaigua</v>
      </c>
      <c r="D1342" s="40">
        <v>2847689</v>
      </c>
      <c r="E1342">
        <f>VLOOKUP(C1342,'All Districts'!$B$3:$C$874,2,FALSE)</f>
        <v>3606330</v>
      </c>
      <c r="F1342" s="91">
        <f>COUNTIF($E$2:$E$7106,E1342)</f>
        <v>9</v>
      </c>
    </row>
    <row r="1343" spans="1:6" x14ac:dyDescent="0.2">
      <c r="A1343">
        <v>2020</v>
      </c>
      <c r="B1343" s="36">
        <v>1040</v>
      </c>
      <c r="C1343" s="90" t="str">
        <f>VLOOKUP(B1343,'All Districts'!$A$3:$B$874,2,FALSE)</f>
        <v>Canandaigua</v>
      </c>
      <c r="D1343" s="40">
        <v>2403079</v>
      </c>
      <c r="E1343">
        <f>VLOOKUP(C1343,'All Districts'!$B$3:$C$874,2,FALSE)</f>
        <v>3606330</v>
      </c>
      <c r="F1343" s="91">
        <f>COUNTIF($E$2:$E$7106,E1343)</f>
        <v>9</v>
      </c>
    </row>
    <row r="1344" spans="1:6" x14ac:dyDescent="0.2">
      <c r="A1344" s="10">
        <v>2021</v>
      </c>
      <c r="B1344" s="52">
        <v>1040</v>
      </c>
      <c r="C1344" s="90" t="str">
        <f>VLOOKUP(B1344,'All Districts'!$A$3:$B$874,2,FALSE)</f>
        <v>Canandaigua</v>
      </c>
      <c r="D1344" s="76">
        <v>2595093</v>
      </c>
      <c r="E1344">
        <f>VLOOKUP(C1344,'All Districts'!$B$3:$C$874,2,FALSE)</f>
        <v>3606330</v>
      </c>
      <c r="F1344" s="91">
        <f>COUNTIF($E$2:$E$7106,E1344)</f>
        <v>9</v>
      </c>
    </row>
    <row r="1345" spans="1:6" x14ac:dyDescent="0.2">
      <c r="A1345">
        <v>2022</v>
      </c>
      <c r="B1345" s="36">
        <v>1040</v>
      </c>
      <c r="C1345" s="90" t="str">
        <f>VLOOKUP(B1345,'All Districts'!$A$3:$B$874,2,FALSE)</f>
        <v>Canandaigua</v>
      </c>
      <c r="D1345" s="82">
        <v>2806692</v>
      </c>
      <c r="E1345">
        <f>VLOOKUP(C1345,'All Districts'!$B$3:$C$874,2,FALSE)</f>
        <v>3606330</v>
      </c>
      <c r="F1345" s="91">
        <f>COUNTIF($E$2:$E$7106,E1345)</f>
        <v>9</v>
      </c>
    </row>
    <row r="1346" spans="1:6" x14ac:dyDescent="0.2">
      <c r="A1346">
        <v>2023</v>
      </c>
      <c r="B1346" s="36">
        <v>1040</v>
      </c>
      <c r="C1346" s="90" t="str">
        <f>VLOOKUP(B1346,'All Districts'!$A$3:$B$874,2,FALSE)</f>
        <v>Canandaigua</v>
      </c>
      <c r="D1346" s="40">
        <v>3018595</v>
      </c>
      <c r="E1346">
        <f>VLOOKUP(C1346,'All Districts'!$B$3:$C$874,2,FALSE)</f>
        <v>3606330</v>
      </c>
      <c r="F1346" s="91">
        <f>COUNTIF($E$2:$E$7106,E1346)</f>
        <v>9</v>
      </c>
    </row>
    <row r="1347" spans="1:6" x14ac:dyDescent="0.2">
      <c r="A1347">
        <v>2015</v>
      </c>
      <c r="B1347" s="13">
        <v>5309</v>
      </c>
      <c r="C1347" s="90" t="str">
        <f>VLOOKUP(B1347,'All Districts'!$A$3:$B$874,2,FALSE)</f>
        <v>Canaseraga</v>
      </c>
      <c r="D1347" s="14">
        <v>319560</v>
      </c>
      <c r="E1347">
        <f>VLOOKUP(C1347,'All Districts'!$B$3:$C$874,2,FALSE)</f>
        <v>3601102</v>
      </c>
      <c r="F1347" s="91">
        <f>COUNTIF($E$2:$E$7106,E1347)</f>
        <v>9</v>
      </c>
    </row>
    <row r="1348" spans="1:6" x14ac:dyDescent="0.2">
      <c r="A1348">
        <v>2016</v>
      </c>
      <c r="B1348" s="13">
        <v>5309</v>
      </c>
      <c r="C1348" s="90" t="str">
        <f>VLOOKUP(B1348,'All Districts'!$A$3:$B$874,2,FALSE)</f>
        <v>Canaseraga</v>
      </c>
      <c r="D1348" s="16">
        <v>250158</v>
      </c>
      <c r="E1348">
        <f>VLOOKUP(C1348,'All Districts'!$B$3:$C$874,2,FALSE)</f>
        <v>3601102</v>
      </c>
      <c r="F1348" s="91">
        <f>COUNTIF($E$2:$E$7106,E1348)</f>
        <v>9</v>
      </c>
    </row>
    <row r="1349" spans="1:6" x14ac:dyDescent="0.2">
      <c r="A1349">
        <v>2017</v>
      </c>
      <c r="B1349" s="13">
        <v>5309</v>
      </c>
      <c r="C1349" s="90" t="str">
        <f>VLOOKUP(B1349,'All Districts'!$A$3:$B$874,2,FALSE)</f>
        <v>Canaseraga</v>
      </c>
      <c r="D1349" s="16">
        <v>230408</v>
      </c>
      <c r="E1349">
        <f>VLOOKUP(C1349,'All Districts'!$B$3:$C$874,2,FALSE)</f>
        <v>3601102</v>
      </c>
      <c r="F1349" s="91">
        <f>COUNTIF($E$2:$E$7106,E1349)</f>
        <v>9</v>
      </c>
    </row>
    <row r="1350" spans="1:6" x14ac:dyDescent="0.2">
      <c r="A1350" s="10">
        <v>2018</v>
      </c>
      <c r="B1350" s="13">
        <v>5309</v>
      </c>
      <c r="C1350" s="90" t="str">
        <f>VLOOKUP(B1350,'All Districts'!$A$3:$B$874,2,FALSE)</f>
        <v>Canaseraga</v>
      </c>
      <c r="D1350" s="15">
        <v>189668</v>
      </c>
      <c r="E1350">
        <f>VLOOKUP(C1350,'All Districts'!$B$3:$C$874,2,FALSE)</f>
        <v>3601102</v>
      </c>
      <c r="F1350" s="91">
        <f>COUNTIF($E$2:$E$7106,E1350)</f>
        <v>9</v>
      </c>
    </row>
    <row r="1351" spans="1:6" x14ac:dyDescent="0.2">
      <c r="A1351">
        <v>2019</v>
      </c>
      <c r="B1351" s="36">
        <v>5309</v>
      </c>
      <c r="C1351" s="90" t="str">
        <f>VLOOKUP(B1351,'All Districts'!$A$3:$B$874,2,FALSE)</f>
        <v>Canaseraga</v>
      </c>
      <c r="D1351" s="40">
        <v>200843</v>
      </c>
      <c r="E1351">
        <f>VLOOKUP(C1351,'All Districts'!$B$3:$C$874,2,FALSE)</f>
        <v>3601102</v>
      </c>
      <c r="F1351" s="91">
        <f>COUNTIF($E$2:$E$7106,E1351)</f>
        <v>9</v>
      </c>
    </row>
    <row r="1352" spans="1:6" x14ac:dyDescent="0.2">
      <c r="A1352">
        <v>2020</v>
      </c>
      <c r="B1352" s="36">
        <v>5309</v>
      </c>
      <c r="C1352" s="90" t="str">
        <f>VLOOKUP(B1352,'All Districts'!$A$3:$B$874,2,FALSE)</f>
        <v>Canaseraga</v>
      </c>
      <c r="D1352" s="40">
        <v>174189</v>
      </c>
      <c r="E1352">
        <f>VLOOKUP(C1352,'All Districts'!$B$3:$C$874,2,FALSE)</f>
        <v>3601102</v>
      </c>
      <c r="F1352" s="91">
        <f>COUNTIF($E$2:$E$7106,E1352)</f>
        <v>9</v>
      </c>
    </row>
    <row r="1353" spans="1:6" x14ac:dyDescent="0.2">
      <c r="A1353" s="10">
        <v>2021</v>
      </c>
      <c r="B1353" s="52">
        <v>5309</v>
      </c>
      <c r="C1353" s="90" t="str">
        <f>VLOOKUP(B1353,'All Districts'!$A$3:$B$874,2,FALSE)</f>
        <v>Canaseraga</v>
      </c>
      <c r="D1353" s="75">
        <v>179343</v>
      </c>
      <c r="E1353">
        <f>VLOOKUP(C1353,'All Districts'!$B$3:$C$874,2,FALSE)</f>
        <v>3601102</v>
      </c>
      <c r="F1353" s="91">
        <f>COUNTIF($E$2:$E$7106,E1353)</f>
        <v>9</v>
      </c>
    </row>
    <row r="1354" spans="1:6" x14ac:dyDescent="0.2">
      <c r="A1354">
        <v>2022</v>
      </c>
      <c r="B1354" s="36">
        <v>5309</v>
      </c>
      <c r="C1354" s="90" t="str">
        <f>VLOOKUP(B1354,'All Districts'!$A$3:$B$874,2,FALSE)</f>
        <v>Canaseraga</v>
      </c>
      <c r="D1354" s="82">
        <v>208025</v>
      </c>
      <c r="E1354">
        <f>VLOOKUP(C1354,'All Districts'!$B$3:$C$874,2,FALSE)</f>
        <v>3601102</v>
      </c>
      <c r="F1354" s="91">
        <f>COUNTIF($E$2:$E$7106,E1354)</f>
        <v>9</v>
      </c>
    </row>
    <row r="1355" spans="1:6" x14ac:dyDescent="0.2">
      <c r="A1355">
        <v>2023</v>
      </c>
      <c r="B1355" s="36">
        <v>5309</v>
      </c>
      <c r="C1355" s="90" t="str">
        <f>VLOOKUP(B1355,'All Districts'!$A$3:$B$874,2,FALSE)</f>
        <v>Canaseraga</v>
      </c>
      <c r="D1355" s="40">
        <v>215327</v>
      </c>
      <c r="E1355">
        <f>VLOOKUP(C1355,'All Districts'!$B$3:$C$874,2,FALSE)</f>
        <v>3601102</v>
      </c>
      <c r="F1355" s="91">
        <f>COUNTIF($E$2:$E$7106,E1355)</f>
        <v>9</v>
      </c>
    </row>
    <row r="1356" spans="1:6" x14ac:dyDescent="0.2">
      <c r="A1356">
        <v>2015</v>
      </c>
      <c r="B1356" s="13">
        <v>2060</v>
      </c>
      <c r="C1356" s="90" t="str">
        <f>VLOOKUP(B1356,'All Districts'!$A$3:$B$874,2,FALSE)</f>
        <v>Canastota</v>
      </c>
      <c r="D1356" s="14">
        <v>1490064</v>
      </c>
      <c r="E1356">
        <f>VLOOKUP(C1356,'All Districts'!$B$3:$C$874,2,FALSE)</f>
        <v>3606390</v>
      </c>
      <c r="F1356" s="91">
        <f>COUNTIF($E$2:$E$7106,E1356)</f>
        <v>9</v>
      </c>
    </row>
    <row r="1357" spans="1:6" x14ac:dyDescent="0.2">
      <c r="A1357">
        <v>2016</v>
      </c>
      <c r="B1357" s="13">
        <v>2060</v>
      </c>
      <c r="C1357" s="90" t="str">
        <f>VLOOKUP(B1357,'All Districts'!$A$3:$B$874,2,FALSE)</f>
        <v>Canastota</v>
      </c>
      <c r="D1357" s="16">
        <v>1180084</v>
      </c>
      <c r="E1357">
        <f>VLOOKUP(C1357,'All Districts'!$B$3:$C$874,2,FALSE)</f>
        <v>3606390</v>
      </c>
      <c r="F1357" s="91">
        <f>COUNTIF($E$2:$E$7106,E1357)</f>
        <v>9</v>
      </c>
    </row>
    <row r="1358" spans="1:6" x14ac:dyDescent="0.2">
      <c r="A1358">
        <v>2017</v>
      </c>
      <c r="B1358" s="13">
        <v>2060</v>
      </c>
      <c r="C1358" s="90" t="str">
        <f>VLOOKUP(B1358,'All Districts'!$A$3:$B$874,2,FALSE)</f>
        <v>Canastota</v>
      </c>
      <c r="D1358" s="16">
        <v>1051769</v>
      </c>
      <c r="E1358">
        <f>VLOOKUP(C1358,'All Districts'!$B$3:$C$874,2,FALSE)</f>
        <v>3606390</v>
      </c>
      <c r="F1358" s="91">
        <f>COUNTIF($E$2:$E$7106,E1358)</f>
        <v>9</v>
      </c>
    </row>
    <row r="1359" spans="1:6" x14ac:dyDescent="0.2">
      <c r="A1359" s="10">
        <v>2018</v>
      </c>
      <c r="B1359" s="13">
        <v>2060</v>
      </c>
      <c r="C1359" s="90" t="str">
        <f>VLOOKUP(B1359,'All Districts'!$A$3:$B$874,2,FALSE)</f>
        <v>Canastota</v>
      </c>
      <c r="D1359" s="15">
        <v>945807</v>
      </c>
      <c r="E1359">
        <f>VLOOKUP(C1359,'All Districts'!$B$3:$C$874,2,FALSE)</f>
        <v>3606390</v>
      </c>
      <c r="F1359" s="91">
        <f>COUNTIF($E$2:$E$7106,E1359)</f>
        <v>9</v>
      </c>
    </row>
    <row r="1360" spans="1:6" x14ac:dyDescent="0.2">
      <c r="A1360">
        <v>2019</v>
      </c>
      <c r="B1360" s="36">
        <v>2060</v>
      </c>
      <c r="C1360" s="90" t="str">
        <f>VLOOKUP(B1360,'All Districts'!$A$3:$B$874,2,FALSE)</f>
        <v>Canastota</v>
      </c>
      <c r="D1360" s="40">
        <v>1047282</v>
      </c>
      <c r="E1360">
        <f>VLOOKUP(C1360,'All Districts'!$B$3:$C$874,2,FALSE)</f>
        <v>3606390</v>
      </c>
      <c r="F1360" s="91">
        <f>COUNTIF($E$2:$E$7106,E1360)</f>
        <v>9</v>
      </c>
    </row>
    <row r="1361" spans="1:6" x14ac:dyDescent="0.2">
      <c r="A1361">
        <v>2020</v>
      </c>
      <c r="B1361" s="36">
        <v>2060</v>
      </c>
      <c r="C1361" s="90" t="str">
        <f>VLOOKUP(B1361,'All Districts'!$A$3:$B$874,2,FALSE)</f>
        <v>Canastota</v>
      </c>
      <c r="D1361" s="40">
        <v>803506</v>
      </c>
      <c r="E1361">
        <f>VLOOKUP(C1361,'All Districts'!$B$3:$C$874,2,FALSE)</f>
        <v>3606390</v>
      </c>
      <c r="F1361" s="91">
        <f>COUNTIF($E$2:$E$7106,E1361)</f>
        <v>9</v>
      </c>
    </row>
    <row r="1362" spans="1:6" x14ac:dyDescent="0.2">
      <c r="A1362" s="10">
        <v>2021</v>
      </c>
      <c r="B1362" s="55">
        <v>2060</v>
      </c>
      <c r="C1362" s="90" t="str">
        <f>VLOOKUP(B1362,'All Districts'!$A$3:$B$874,2,FALSE)</f>
        <v>Canastota</v>
      </c>
      <c r="D1362" s="76">
        <v>902813</v>
      </c>
      <c r="E1362">
        <f>VLOOKUP(C1362,'All Districts'!$B$3:$C$874,2,FALSE)</f>
        <v>3606390</v>
      </c>
      <c r="F1362" s="91">
        <f>COUNTIF($E$2:$E$7106,E1362)</f>
        <v>9</v>
      </c>
    </row>
    <row r="1363" spans="1:6" x14ac:dyDescent="0.2">
      <c r="A1363">
        <v>2022</v>
      </c>
      <c r="B1363" s="36">
        <v>2060</v>
      </c>
      <c r="C1363" s="90" t="str">
        <f>VLOOKUP(B1363,'All Districts'!$A$3:$B$874,2,FALSE)</f>
        <v>Canastota</v>
      </c>
      <c r="D1363" s="82">
        <v>1033904</v>
      </c>
      <c r="E1363">
        <f>VLOOKUP(C1363,'All Districts'!$B$3:$C$874,2,FALSE)</f>
        <v>3606390</v>
      </c>
      <c r="F1363" s="91">
        <f>COUNTIF($E$2:$E$7106,E1363)</f>
        <v>9</v>
      </c>
    </row>
    <row r="1364" spans="1:6" x14ac:dyDescent="0.2">
      <c r="A1364">
        <v>2023</v>
      </c>
      <c r="B1364" s="36">
        <v>2060</v>
      </c>
      <c r="C1364" s="90" t="str">
        <f>VLOOKUP(B1364,'All Districts'!$A$3:$B$874,2,FALSE)</f>
        <v>Canastota</v>
      </c>
      <c r="D1364" s="40">
        <v>1088953</v>
      </c>
      <c r="E1364">
        <f>VLOOKUP(C1364,'All Districts'!$B$3:$C$874,2,FALSE)</f>
        <v>3606390</v>
      </c>
      <c r="F1364" s="91">
        <f>COUNTIF($E$2:$E$7106,E1364)</f>
        <v>9</v>
      </c>
    </row>
    <row r="1365" spans="1:6" x14ac:dyDescent="0.2">
      <c r="A1365">
        <v>2015</v>
      </c>
      <c r="B1365" s="13">
        <v>5541</v>
      </c>
      <c r="C1365" s="90" t="str">
        <f>VLOOKUP(B1365,'All Districts'!$A$3:$B$874,2,FALSE)</f>
        <v>Candor</v>
      </c>
      <c r="D1365" s="14">
        <v>843701</v>
      </c>
      <c r="E1365">
        <f>VLOOKUP(C1365,'All Districts'!$B$3:$C$874,2,FALSE)</f>
        <v>3606420</v>
      </c>
      <c r="F1365" s="91">
        <f>COUNTIF($E$2:$E$7106,E1365)</f>
        <v>9</v>
      </c>
    </row>
    <row r="1366" spans="1:6" x14ac:dyDescent="0.2">
      <c r="A1366">
        <v>2016</v>
      </c>
      <c r="B1366" s="13">
        <v>5541</v>
      </c>
      <c r="C1366" s="90" t="str">
        <f>VLOOKUP(B1366,'All Districts'!$A$3:$B$874,2,FALSE)</f>
        <v>Candor</v>
      </c>
      <c r="D1366" s="16">
        <v>679781</v>
      </c>
      <c r="E1366">
        <f>VLOOKUP(C1366,'All Districts'!$B$3:$C$874,2,FALSE)</f>
        <v>3606420</v>
      </c>
      <c r="F1366" s="91">
        <f>COUNTIF($E$2:$E$7106,E1366)</f>
        <v>9</v>
      </c>
    </row>
    <row r="1367" spans="1:6" x14ac:dyDescent="0.2">
      <c r="A1367">
        <v>2017</v>
      </c>
      <c r="B1367" s="13">
        <v>5541</v>
      </c>
      <c r="C1367" s="90" t="str">
        <f>VLOOKUP(B1367,'All Districts'!$A$3:$B$874,2,FALSE)</f>
        <v>Candor</v>
      </c>
      <c r="D1367" s="16">
        <v>610390</v>
      </c>
      <c r="E1367">
        <f>VLOOKUP(C1367,'All Districts'!$B$3:$C$874,2,FALSE)</f>
        <v>3606420</v>
      </c>
      <c r="F1367" s="91">
        <f>COUNTIF($E$2:$E$7106,E1367)</f>
        <v>9</v>
      </c>
    </row>
    <row r="1368" spans="1:6" x14ac:dyDescent="0.2">
      <c r="A1368" s="10">
        <v>2018</v>
      </c>
      <c r="B1368" s="13">
        <v>5541</v>
      </c>
      <c r="C1368" s="90" t="str">
        <f>VLOOKUP(B1368,'All Districts'!$A$3:$B$874,2,FALSE)</f>
        <v>Candor</v>
      </c>
      <c r="D1368" s="15">
        <v>520084</v>
      </c>
      <c r="E1368">
        <f>VLOOKUP(C1368,'All Districts'!$B$3:$C$874,2,FALSE)</f>
        <v>3606420</v>
      </c>
      <c r="F1368" s="91">
        <f>COUNTIF($E$2:$E$7106,E1368)</f>
        <v>9</v>
      </c>
    </row>
    <row r="1369" spans="1:6" x14ac:dyDescent="0.2">
      <c r="A1369">
        <v>2019</v>
      </c>
      <c r="B1369" s="36">
        <v>5541</v>
      </c>
      <c r="C1369" s="90" t="str">
        <f>VLOOKUP(B1369,'All Districts'!$A$3:$B$874,2,FALSE)</f>
        <v>Candor</v>
      </c>
      <c r="D1369" s="40">
        <v>588297</v>
      </c>
      <c r="E1369">
        <f>VLOOKUP(C1369,'All Districts'!$B$3:$C$874,2,FALSE)</f>
        <v>3606420</v>
      </c>
      <c r="F1369" s="91">
        <f>COUNTIF($E$2:$E$7106,E1369)</f>
        <v>9</v>
      </c>
    </row>
    <row r="1370" spans="1:6" x14ac:dyDescent="0.2">
      <c r="A1370">
        <v>2020</v>
      </c>
      <c r="B1370" s="36">
        <v>5541</v>
      </c>
      <c r="C1370" s="90" t="str">
        <f>VLOOKUP(B1370,'All Districts'!$A$3:$B$874,2,FALSE)</f>
        <v>Candor</v>
      </c>
      <c r="D1370" s="40">
        <v>524955</v>
      </c>
      <c r="E1370">
        <f>VLOOKUP(C1370,'All Districts'!$B$3:$C$874,2,FALSE)</f>
        <v>3606420</v>
      </c>
      <c r="F1370" s="91">
        <f>COUNTIF($E$2:$E$7106,E1370)</f>
        <v>9</v>
      </c>
    </row>
    <row r="1371" spans="1:6" x14ac:dyDescent="0.2">
      <c r="A1371" s="10">
        <v>2021</v>
      </c>
      <c r="B1371" s="52">
        <v>5541</v>
      </c>
      <c r="C1371" s="90" t="str">
        <f>VLOOKUP(B1371,'All Districts'!$A$3:$B$874,2,FALSE)</f>
        <v>Candor</v>
      </c>
      <c r="D1371" s="76">
        <v>534002</v>
      </c>
      <c r="E1371">
        <f>VLOOKUP(C1371,'All Districts'!$B$3:$C$874,2,FALSE)</f>
        <v>3606420</v>
      </c>
      <c r="F1371" s="91">
        <f>COUNTIF($E$2:$E$7106,E1371)</f>
        <v>9</v>
      </c>
    </row>
    <row r="1372" spans="1:6" x14ac:dyDescent="0.2">
      <c r="A1372">
        <v>2022</v>
      </c>
      <c r="B1372" s="36">
        <v>5541</v>
      </c>
      <c r="C1372" s="90" t="str">
        <f>VLOOKUP(B1372,'All Districts'!$A$3:$B$874,2,FALSE)</f>
        <v>Candor</v>
      </c>
      <c r="D1372" s="82">
        <v>610452</v>
      </c>
      <c r="E1372">
        <f>VLOOKUP(C1372,'All Districts'!$B$3:$C$874,2,FALSE)</f>
        <v>3606420</v>
      </c>
      <c r="F1372" s="91">
        <f>COUNTIF($E$2:$E$7106,E1372)</f>
        <v>9</v>
      </c>
    </row>
    <row r="1373" spans="1:6" x14ac:dyDescent="0.2">
      <c r="A1373">
        <v>2023</v>
      </c>
      <c r="B1373" s="36">
        <v>5541</v>
      </c>
      <c r="C1373" s="90" t="str">
        <f>VLOOKUP(B1373,'All Districts'!$A$3:$B$874,2,FALSE)</f>
        <v>Candor</v>
      </c>
      <c r="D1373" s="40">
        <v>626261</v>
      </c>
      <c r="E1373">
        <f>VLOOKUP(C1373,'All Districts'!$B$3:$C$874,2,FALSE)</f>
        <v>3606420</v>
      </c>
      <c r="F1373" s="91">
        <f>COUNTIF($E$2:$E$7106,E1373)</f>
        <v>9</v>
      </c>
    </row>
    <row r="1374" spans="1:6" x14ac:dyDescent="0.2">
      <c r="A1374">
        <v>2015</v>
      </c>
      <c r="B1374" s="13">
        <v>2082</v>
      </c>
      <c r="C1374" s="90" t="str">
        <f>VLOOKUP(B1374,'All Districts'!$A$3:$B$874,2,FALSE)</f>
        <v>Canisteo-Greenwood</v>
      </c>
      <c r="D1374" s="14">
        <v>1215280</v>
      </c>
      <c r="E1374">
        <f>VLOOKUP(C1374,'All Districts'!$B$3:$C$874,2,FALSE)</f>
        <v>3600124</v>
      </c>
      <c r="F1374" s="91">
        <f>COUNTIF($E$2:$E$7106,E1374)</f>
        <v>9</v>
      </c>
    </row>
    <row r="1375" spans="1:6" x14ac:dyDescent="0.2">
      <c r="A1375">
        <v>2016</v>
      </c>
      <c r="B1375" s="13">
        <v>2082</v>
      </c>
      <c r="C1375" s="90" t="str">
        <f>VLOOKUP(B1375,'All Districts'!$A$3:$B$874,2,FALSE)</f>
        <v>Canisteo-Greenwood</v>
      </c>
      <c r="D1375" s="16">
        <v>951124</v>
      </c>
      <c r="E1375">
        <f>VLOOKUP(C1375,'All Districts'!$B$3:$C$874,2,FALSE)</f>
        <v>3600124</v>
      </c>
      <c r="F1375" s="91">
        <f>COUNTIF($E$2:$E$7106,E1375)</f>
        <v>9</v>
      </c>
    </row>
    <row r="1376" spans="1:6" x14ac:dyDescent="0.2">
      <c r="A1376">
        <v>2017</v>
      </c>
      <c r="B1376" s="13">
        <v>2082</v>
      </c>
      <c r="C1376" s="90" t="str">
        <f>VLOOKUP(B1376,'All Districts'!$A$3:$B$874,2,FALSE)</f>
        <v>Canisteo-Greenwood</v>
      </c>
      <c r="D1376" s="16">
        <v>851377</v>
      </c>
      <c r="E1376">
        <f>VLOOKUP(C1376,'All Districts'!$B$3:$C$874,2,FALSE)</f>
        <v>3600124</v>
      </c>
      <c r="F1376" s="91">
        <f>COUNTIF($E$2:$E$7106,E1376)</f>
        <v>9</v>
      </c>
    </row>
    <row r="1377" spans="1:6" x14ac:dyDescent="0.2">
      <c r="A1377" s="10">
        <v>2018</v>
      </c>
      <c r="B1377" s="13">
        <v>2082</v>
      </c>
      <c r="C1377" s="90" t="str">
        <f>VLOOKUP(B1377,'All Districts'!$A$3:$B$874,2,FALSE)</f>
        <v>Canisteo-Greenwood</v>
      </c>
      <c r="D1377" s="15">
        <v>714489</v>
      </c>
      <c r="E1377">
        <f>VLOOKUP(C1377,'All Districts'!$B$3:$C$874,2,FALSE)</f>
        <v>3600124</v>
      </c>
      <c r="F1377" s="91">
        <f>COUNTIF($E$2:$E$7106,E1377)</f>
        <v>9</v>
      </c>
    </row>
    <row r="1378" spans="1:6" x14ac:dyDescent="0.2">
      <c r="A1378">
        <v>2019</v>
      </c>
      <c r="B1378" s="36">
        <v>2082</v>
      </c>
      <c r="C1378" s="90" t="str">
        <f>VLOOKUP(B1378,'All Districts'!$A$3:$B$874,2,FALSE)</f>
        <v>Canisteo-Greenwood</v>
      </c>
      <c r="D1378" s="40">
        <v>788951</v>
      </c>
      <c r="E1378">
        <f>VLOOKUP(C1378,'All Districts'!$B$3:$C$874,2,FALSE)</f>
        <v>3600124</v>
      </c>
      <c r="F1378" s="91">
        <f>COUNTIF($E$2:$E$7106,E1378)</f>
        <v>9</v>
      </c>
    </row>
    <row r="1379" spans="1:6" x14ac:dyDescent="0.2">
      <c r="A1379">
        <v>2020</v>
      </c>
      <c r="B1379" s="36">
        <v>2082</v>
      </c>
      <c r="C1379" s="90" t="str">
        <f>VLOOKUP(B1379,'All Districts'!$A$3:$B$874,2,FALSE)</f>
        <v>Canisteo-Greenwood</v>
      </c>
      <c r="D1379" s="40">
        <v>669673</v>
      </c>
      <c r="E1379">
        <f>VLOOKUP(C1379,'All Districts'!$B$3:$C$874,2,FALSE)</f>
        <v>3600124</v>
      </c>
      <c r="F1379" s="91">
        <f>COUNTIF($E$2:$E$7106,E1379)</f>
        <v>9</v>
      </c>
    </row>
    <row r="1380" spans="1:6" x14ac:dyDescent="0.2">
      <c r="A1380" s="10">
        <v>2021</v>
      </c>
      <c r="B1380" s="52">
        <v>2082</v>
      </c>
      <c r="C1380" s="90" t="str">
        <f>VLOOKUP(B1380,'All Districts'!$A$3:$B$874,2,FALSE)</f>
        <v>Canisteo-Greenwood</v>
      </c>
      <c r="D1380" s="76">
        <v>712432</v>
      </c>
      <c r="E1380">
        <f>VLOOKUP(C1380,'All Districts'!$B$3:$C$874,2,FALSE)</f>
        <v>3600124</v>
      </c>
      <c r="F1380" s="91">
        <f>COUNTIF($E$2:$E$7106,E1380)</f>
        <v>9</v>
      </c>
    </row>
    <row r="1381" spans="1:6" x14ac:dyDescent="0.2">
      <c r="A1381">
        <v>2022</v>
      </c>
      <c r="B1381" s="36">
        <v>2082</v>
      </c>
      <c r="C1381" s="90" t="str">
        <f>VLOOKUP(B1381,'All Districts'!$A$3:$B$874,2,FALSE)</f>
        <v>Canisteo-Greenwood</v>
      </c>
      <c r="D1381" s="82">
        <v>773354</v>
      </c>
      <c r="E1381">
        <f>VLOOKUP(C1381,'All Districts'!$B$3:$C$874,2,FALSE)</f>
        <v>3600124</v>
      </c>
      <c r="F1381" s="91">
        <f>COUNTIF($E$2:$E$7106,E1381)</f>
        <v>9</v>
      </c>
    </row>
    <row r="1382" spans="1:6" x14ac:dyDescent="0.2">
      <c r="A1382">
        <v>2023</v>
      </c>
      <c r="B1382" s="36">
        <v>2082</v>
      </c>
      <c r="C1382" s="90" t="str">
        <f>VLOOKUP(B1382,'All Districts'!$A$3:$B$874,2,FALSE)</f>
        <v>Canisteo-Greenwood</v>
      </c>
      <c r="D1382" s="40">
        <v>812690</v>
      </c>
      <c r="E1382">
        <f>VLOOKUP(C1382,'All Districts'!$B$3:$C$874,2,FALSE)</f>
        <v>3600124</v>
      </c>
      <c r="F1382" s="91">
        <f>COUNTIF($E$2:$E$7106,E1382)</f>
        <v>9</v>
      </c>
    </row>
    <row r="1383" spans="1:6" x14ac:dyDescent="0.2">
      <c r="A1383">
        <v>2015</v>
      </c>
      <c r="B1383" s="13">
        <v>2063</v>
      </c>
      <c r="C1383" s="90" t="str">
        <f>VLOOKUP(B1383,'All Districts'!$A$3:$B$874,2,FALSE)</f>
        <v>Canton</v>
      </c>
      <c r="D1383" s="14">
        <v>1258792</v>
      </c>
      <c r="E1383">
        <f>VLOOKUP(C1383,'All Districts'!$B$3:$C$874,2,FALSE)</f>
        <v>3606470</v>
      </c>
      <c r="F1383" s="91">
        <f>COUNTIF($E$2:$E$7106,E1383)</f>
        <v>9</v>
      </c>
    </row>
    <row r="1384" spans="1:6" x14ac:dyDescent="0.2">
      <c r="A1384">
        <v>2016</v>
      </c>
      <c r="B1384" s="13">
        <v>2063</v>
      </c>
      <c r="C1384" s="90" t="str">
        <f>VLOOKUP(B1384,'All Districts'!$A$3:$B$874,2,FALSE)</f>
        <v>Canton</v>
      </c>
      <c r="D1384" s="16">
        <v>990715</v>
      </c>
      <c r="E1384">
        <f>VLOOKUP(C1384,'All Districts'!$B$3:$C$874,2,FALSE)</f>
        <v>3606470</v>
      </c>
      <c r="F1384" s="91">
        <f>COUNTIF($E$2:$E$7106,E1384)</f>
        <v>9</v>
      </c>
    </row>
    <row r="1385" spans="1:6" x14ac:dyDescent="0.2">
      <c r="A1385">
        <v>2017</v>
      </c>
      <c r="B1385" s="13">
        <v>2063</v>
      </c>
      <c r="C1385" s="90" t="str">
        <f>VLOOKUP(B1385,'All Districts'!$A$3:$B$874,2,FALSE)</f>
        <v>Canton</v>
      </c>
      <c r="D1385" s="16">
        <v>941442</v>
      </c>
      <c r="E1385">
        <f>VLOOKUP(C1385,'All Districts'!$B$3:$C$874,2,FALSE)</f>
        <v>3606470</v>
      </c>
      <c r="F1385" s="91">
        <f>COUNTIF($E$2:$E$7106,E1385)</f>
        <v>9</v>
      </c>
    </row>
    <row r="1386" spans="1:6" x14ac:dyDescent="0.2">
      <c r="A1386" s="10">
        <v>2018</v>
      </c>
      <c r="B1386" s="13">
        <v>2063</v>
      </c>
      <c r="C1386" s="90" t="str">
        <f>VLOOKUP(B1386,'All Districts'!$A$3:$B$874,2,FALSE)</f>
        <v>Canton</v>
      </c>
      <c r="D1386" s="15">
        <v>809899</v>
      </c>
      <c r="E1386">
        <f>VLOOKUP(C1386,'All Districts'!$B$3:$C$874,2,FALSE)</f>
        <v>3606470</v>
      </c>
      <c r="F1386" s="91">
        <f>COUNTIF($E$2:$E$7106,E1386)</f>
        <v>9</v>
      </c>
    </row>
    <row r="1387" spans="1:6" x14ac:dyDescent="0.2">
      <c r="A1387">
        <v>2019</v>
      </c>
      <c r="B1387" s="36">
        <v>2063</v>
      </c>
      <c r="C1387" s="90" t="str">
        <f>VLOOKUP(B1387,'All Districts'!$A$3:$B$874,2,FALSE)</f>
        <v>Canton</v>
      </c>
      <c r="D1387" s="40">
        <v>913581</v>
      </c>
      <c r="E1387">
        <f>VLOOKUP(C1387,'All Districts'!$B$3:$C$874,2,FALSE)</f>
        <v>3606470</v>
      </c>
      <c r="F1387" s="91">
        <f>COUNTIF($E$2:$E$7106,E1387)</f>
        <v>9</v>
      </c>
    </row>
    <row r="1388" spans="1:6" x14ac:dyDescent="0.2">
      <c r="A1388">
        <v>2020</v>
      </c>
      <c r="B1388" s="36">
        <v>2063</v>
      </c>
      <c r="C1388" s="90" t="str">
        <f>VLOOKUP(B1388,'All Districts'!$A$3:$B$874,2,FALSE)</f>
        <v>Canton</v>
      </c>
      <c r="D1388" s="40">
        <v>778829</v>
      </c>
      <c r="E1388">
        <f>VLOOKUP(C1388,'All Districts'!$B$3:$C$874,2,FALSE)</f>
        <v>3606470</v>
      </c>
      <c r="F1388" s="91">
        <f>COUNTIF($E$2:$E$7106,E1388)</f>
        <v>9</v>
      </c>
    </row>
    <row r="1389" spans="1:6" x14ac:dyDescent="0.2">
      <c r="A1389" s="10">
        <v>2021</v>
      </c>
      <c r="B1389" s="52">
        <v>2063</v>
      </c>
      <c r="C1389" s="90" t="str">
        <f>VLOOKUP(B1389,'All Districts'!$A$3:$B$874,2,FALSE)</f>
        <v>Canton</v>
      </c>
      <c r="D1389" s="76">
        <v>866729</v>
      </c>
      <c r="E1389">
        <f>VLOOKUP(C1389,'All Districts'!$B$3:$C$874,2,FALSE)</f>
        <v>3606470</v>
      </c>
      <c r="F1389" s="91">
        <f>COUNTIF($E$2:$E$7106,E1389)</f>
        <v>9</v>
      </c>
    </row>
    <row r="1390" spans="1:6" x14ac:dyDescent="0.2">
      <c r="A1390">
        <v>2022</v>
      </c>
      <c r="B1390" s="36">
        <v>2063</v>
      </c>
      <c r="C1390" s="90" t="str">
        <f>VLOOKUP(B1390,'All Districts'!$A$3:$B$874,2,FALSE)</f>
        <v>Canton</v>
      </c>
      <c r="D1390" s="82">
        <v>1004041</v>
      </c>
      <c r="E1390">
        <f>VLOOKUP(C1390,'All Districts'!$B$3:$C$874,2,FALSE)</f>
        <v>3606470</v>
      </c>
      <c r="F1390" s="91">
        <f>COUNTIF($E$2:$E$7106,E1390)</f>
        <v>9</v>
      </c>
    </row>
    <row r="1391" spans="1:6" x14ac:dyDescent="0.2">
      <c r="A1391">
        <v>2023</v>
      </c>
      <c r="B1391" s="36">
        <v>2063</v>
      </c>
      <c r="C1391" s="90" t="str">
        <f>VLOOKUP(B1391,'All Districts'!$A$3:$B$874,2,FALSE)</f>
        <v>Canton</v>
      </c>
      <c r="D1391" s="40">
        <v>1065590</v>
      </c>
      <c r="E1391">
        <f>VLOOKUP(C1391,'All Districts'!$B$3:$C$874,2,FALSE)</f>
        <v>3606470</v>
      </c>
      <c r="F1391" s="91">
        <f>COUNTIF($E$2:$E$7106,E1391)</f>
        <v>9</v>
      </c>
    </row>
    <row r="1392" spans="1:6" x14ac:dyDescent="0.2">
      <c r="A1392">
        <v>2015</v>
      </c>
      <c r="B1392" s="13">
        <v>2065</v>
      </c>
      <c r="C1392" s="90" t="str">
        <f>VLOOKUP(B1392,'All Districts'!$A$3:$B$874,2,FALSE)</f>
        <v>Carle Place</v>
      </c>
      <c r="D1392" s="14">
        <v>3610176</v>
      </c>
      <c r="E1392">
        <f>VLOOKUP(C1392,'All Districts'!$B$3:$C$874,2,FALSE)</f>
        <v>3606540</v>
      </c>
      <c r="F1392" s="91">
        <f>COUNTIF($E$2:$E$7106,E1392)</f>
        <v>9</v>
      </c>
    </row>
    <row r="1393" spans="1:6" x14ac:dyDescent="0.2">
      <c r="A1393">
        <v>2016</v>
      </c>
      <c r="B1393" s="13">
        <v>2065</v>
      </c>
      <c r="C1393" s="90" t="str">
        <f>VLOOKUP(B1393,'All Districts'!$A$3:$B$874,2,FALSE)</f>
        <v>Carle Place</v>
      </c>
      <c r="D1393" s="16">
        <v>2755007</v>
      </c>
      <c r="E1393">
        <f>VLOOKUP(C1393,'All Districts'!$B$3:$C$874,2,FALSE)</f>
        <v>3606540</v>
      </c>
      <c r="F1393" s="91">
        <f>COUNTIF($E$2:$E$7106,E1393)</f>
        <v>9</v>
      </c>
    </row>
    <row r="1394" spans="1:6" x14ac:dyDescent="0.2">
      <c r="A1394">
        <v>2017</v>
      </c>
      <c r="B1394" s="13">
        <v>2065</v>
      </c>
      <c r="C1394" s="90" t="str">
        <f>VLOOKUP(B1394,'All Districts'!$A$3:$B$874,2,FALSE)</f>
        <v>Carle Place</v>
      </c>
      <c r="D1394" s="16">
        <v>2425158</v>
      </c>
      <c r="E1394">
        <f>VLOOKUP(C1394,'All Districts'!$B$3:$C$874,2,FALSE)</f>
        <v>3606540</v>
      </c>
      <c r="F1394" s="91">
        <f>COUNTIF($E$2:$E$7106,E1394)</f>
        <v>9</v>
      </c>
    </row>
    <row r="1395" spans="1:6" x14ac:dyDescent="0.2">
      <c r="A1395" s="10">
        <v>2018</v>
      </c>
      <c r="B1395" s="13">
        <v>2065</v>
      </c>
      <c r="C1395" s="90" t="str">
        <f>VLOOKUP(B1395,'All Districts'!$A$3:$B$874,2,FALSE)</f>
        <v>Carle Place</v>
      </c>
      <c r="D1395" s="15">
        <v>2077077</v>
      </c>
      <c r="E1395">
        <f>VLOOKUP(C1395,'All Districts'!$B$3:$C$874,2,FALSE)</f>
        <v>3606540</v>
      </c>
      <c r="F1395" s="91">
        <f>COUNTIF($E$2:$E$7106,E1395)</f>
        <v>9</v>
      </c>
    </row>
    <row r="1396" spans="1:6" x14ac:dyDescent="0.2">
      <c r="A1396">
        <v>2019</v>
      </c>
      <c r="B1396" s="36">
        <v>2065</v>
      </c>
      <c r="C1396" s="90" t="str">
        <f>VLOOKUP(B1396,'All Districts'!$A$3:$B$874,2,FALSE)</f>
        <v>Carle Place</v>
      </c>
      <c r="D1396" s="40">
        <v>2288324</v>
      </c>
      <c r="E1396">
        <f>VLOOKUP(C1396,'All Districts'!$B$3:$C$874,2,FALSE)</f>
        <v>3606540</v>
      </c>
      <c r="F1396" s="91">
        <f>COUNTIF($E$2:$E$7106,E1396)</f>
        <v>9</v>
      </c>
    </row>
    <row r="1397" spans="1:6" x14ac:dyDescent="0.2">
      <c r="A1397">
        <v>2020</v>
      </c>
      <c r="B1397" s="36">
        <v>2065</v>
      </c>
      <c r="C1397" s="90" t="str">
        <f>VLOOKUP(B1397,'All Districts'!$A$3:$B$874,2,FALSE)</f>
        <v>Carle Place</v>
      </c>
      <c r="D1397" s="40">
        <v>1943299</v>
      </c>
      <c r="E1397">
        <f>VLOOKUP(C1397,'All Districts'!$B$3:$C$874,2,FALSE)</f>
        <v>3606540</v>
      </c>
      <c r="F1397" s="91">
        <f>COUNTIF($E$2:$E$7106,E1397)</f>
        <v>9</v>
      </c>
    </row>
    <row r="1398" spans="1:6" x14ac:dyDescent="0.2">
      <c r="A1398" s="10">
        <v>2021</v>
      </c>
      <c r="B1398" s="52">
        <v>2065</v>
      </c>
      <c r="C1398" s="90" t="str">
        <f>VLOOKUP(B1398,'All Districts'!$A$3:$B$874,2,FALSE)</f>
        <v>Carle Place</v>
      </c>
      <c r="D1398" s="76">
        <v>2180274</v>
      </c>
      <c r="E1398">
        <f>VLOOKUP(C1398,'All Districts'!$B$3:$C$874,2,FALSE)</f>
        <v>3606540</v>
      </c>
      <c r="F1398" s="91">
        <f>COUNTIF($E$2:$E$7106,E1398)</f>
        <v>9</v>
      </c>
    </row>
    <row r="1399" spans="1:6" x14ac:dyDescent="0.2">
      <c r="A1399">
        <v>2022</v>
      </c>
      <c r="B1399" s="36">
        <v>2065</v>
      </c>
      <c r="C1399" s="90" t="str">
        <f>VLOOKUP(B1399,'All Districts'!$A$3:$B$874,2,FALSE)</f>
        <v>Carle Place</v>
      </c>
      <c r="D1399" s="82">
        <v>2241792</v>
      </c>
      <c r="E1399">
        <f>VLOOKUP(C1399,'All Districts'!$B$3:$C$874,2,FALSE)</f>
        <v>3606540</v>
      </c>
      <c r="F1399" s="91">
        <f>COUNTIF($E$2:$E$7106,E1399)</f>
        <v>9</v>
      </c>
    </row>
    <row r="1400" spans="1:6" x14ac:dyDescent="0.2">
      <c r="A1400">
        <v>2023</v>
      </c>
      <c r="B1400" s="36">
        <v>2065</v>
      </c>
      <c r="C1400" s="90" t="str">
        <f>VLOOKUP(B1400,'All Districts'!$A$3:$B$874,2,FALSE)</f>
        <v>Carle Place</v>
      </c>
      <c r="D1400" s="40">
        <v>2350853</v>
      </c>
      <c r="E1400">
        <f>VLOOKUP(C1400,'All Districts'!$B$3:$C$874,2,FALSE)</f>
        <v>3606540</v>
      </c>
      <c r="F1400" s="91">
        <f>COUNTIF($E$2:$E$7106,E1400)</f>
        <v>9</v>
      </c>
    </row>
    <row r="1401" spans="1:6" x14ac:dyDescent="0.2">
      <c r="A1401">
        <v>2015</v>
      </c>
      <c r="B1401" s="13">
        <v>2066</v>
      </c>
      <c r="C1401" s="90" t="str">
        <f>VLOOKUP(B1401,'All Districts'!$A$3:$B$874,2,FALSE)</f>
        <v>Carmel</v>
      </c>
      <c r="D1401" s="14">
        <v>8671098</v>
      </c>
      <c r="E1401">
        <f>VLOOKUP(C1401,'All Districts'!$B$3:$C$874,2,FALSE)</f>
        <v>3606570</v>
      </c>
      <c r="F1401" s="91">
        <f>COUNTIF($E$2:$E$7106,E1401)</f>
        <v>9</v>
      </c>
    </row>
    <row r="1402" spans="1:6" x14ac:dyDescent="0.2">
      <c r="A1402">
        <v>2016</v>
      </c>
      <c r="B1402" s="13">
        <v>2066</v>
      </c>
      <c r="C1402" s="90" t="str">
        <f>VLOOKUP(B1402,'All Districts'!$A$3:$B$874,2,FALSE)</f>
        <v>Carmel</v>
      </c>
      <c r="D1402" s="16">
        <v>6775864</v>
      </c>
      <c r="E1402">
        <f>VLOOKUP(C1402,'All Districts'!$B$3:$C$874,2,FALSE)</f>
        <v>3606570</v>
      </c>
      <c r="F1402" s="91">
        <f>COUNTIF($E$2:$E$7106,E1402)</f>
        <v>9</v>
      </c>
    </row>
    <row r="1403" spans="1:6" x14ac:dyDescent="0.2">
      <c r="A1403">
        <v>2017</v>
      </c>
      <c r="B1403" s="13">
        <v>2066</v>
      </c>
      <c r="C1403" s="90" t="str">
        <f>VLOOKUP(B1403,'All Districts'!$A$3:$B$874,2,FALSE)</f>
        <v>Carmel</v>
      </c>
      <c r="D1403" s="16">
        <v>6190371</v>
      </c>
      <c r="E1403">
        <f>VLOOKUP(C1403,'All Districts'!$B$3:$C$874,2,FALSE)</f>
        <v>3606570</v>
      </c>
      <c r="F1403" s="91">
        <f>COUNTIF($E$2:$E$7106,E1403)</f>
        <v>9</v>
      </c>
    </row>
    <row r="1404" spans="1:6" x14ac:dyDescent="0.2">
      <c r="A1404" s="10">
        <v>2018</v>
      </c>
      <c r="B1404" s="13">
        <v>2066</v>
      </c>
      <c r="C1404" s="90" t="str">
        <f>VLOOKUP(B1404,'All Districts'!$A$3:$B$874,2,FALSE)</f>
        <v>Carmel</v>
      </c>
      <c r="D1404" s="15">
        <v>5309641</v>
      </c>
      <c r="E1404">
        <f>VLOOKUP(C1404,'All Districts'!$B$3:$C$874,2,FALSE)</f>
        <v>3606570</v>
      </c>
      <c r="F1404" s="91">
        <f>COUNTIF($E$2:$E$7106,E1404)</f>
        <v>9</v>
      </c>
    </row>
    <row r="1405" spans="1:6" x14ac:dyDescent="0.2">
      <c r="A1405">
        <v>2019</v>
      </c>
      <c r="B1405" s="36">
        <v>2066</v>
      </c>
      <c r="C1405" s="90" t="str">
        <f>VLOOKUP(B1405,'All Districts'!$A$3:$B$874,2,FALSE)</f>
        <v>Carmel</v>
      </c>
      <c r="D1405" s="40">
        <v>5772331</v>
      </c>
      <c r="E1405">
        <f>VLOOKUP(C1405,'All Districts'!$B$3:$C$874,2,FALSE)</f>
        <v>3606570</v>
      </c>
      <c r="F1405" s="91">
        <f>COUNTIF($E$2:$E$7106,E1405)</f>
        <v>9</v>
      </c>
    </row>
    <row r="1406" spans="1:6" x14ac:dyDescent="0.2">
      <c r="A1406">
        <v>2020</v>
      </c>
      <c r="B1406" s="36">
        <v>2066</v>
      </c>
      <c r="C1406" s="90" t="str">
        <f>VLOOKUP(B1406,'All Districts'!$A$3:$B$874,2,FALSE)</f>
        <v>Carmel</v>
      </c>
      <c r="D1406" s="40">
        <v>4817946</v>
      </c>
      <c r="E1406">
        <f>VLOOKUP(C1406,'All Districts'!$B$3:$C$874,2,FALSE)</f>
        <v>3606570</v>
      </c>
      <c r="F1406" s="91">
        <f>COUNTIF($E$2:$E$7106,E1406)</f>
        <v>9</v>
      </c>
    </row>
    <row r="1407" spans="1:6" x14ac:dyDescent="0.2">
      <c r="A1407" s="10">
        <v>2021</v>
      </c>
      <c r="B1407" s="52">
        <v>2066</v>
      </c>
      <c r="C1407" s="90" t="str">
        <f>VLOOKUP(B1407,'All Districts'!$A$3:$B$874,2,FALSE)</f>
        <v>Carmel</v>
      </c>
      <c r="D1407" s="75">
        <v>5253345</v>
      </c>
      <c r="E1407">
        <f>VLOOKUP(C1407,'All Districts'!$B$3:$C$874,2,FALSE)</f>
        <v>3606570</v>
      </c>
      <c r="F1407" s="91">
        <f>COUNTIF($E$2:$E$7106,E1407)</f>
        <v>9</v>
      </c>
    </row>
    <row r="1408" spans="1:6" x14ac:dyDescent="0.2">
      <c r="A1408">
        <v>2022</v>
      </c>
      <c r="B1408" s="36">
        <v>2066</v>
      </c>
      <c r="C1408" s="90" t="str">
        <f>VLOOKUP(B1408,'All Districts'!$A$3:$B$874,2,FALSE)</f>
        <v>Carmel</v>
      </c>
      <c r="D1408" s="82">
        <v>5444088</v>
      </c>
      <c r="E1408">
        <f>VLOOKUP(C1408,'All Districts'!$B$3:$C$874,2,FALSE)</f>
        <v>3606570</v>
      </c>
      <c r="F1408" s="91">
        <f>COUNTIF($E$2:$E$7106,E1408)</f>
        <v>9</v>
      </c>
    </row>
    <row r="1409" spans="1:6" x14ac:dyDescent="0.2">
      <c r="A1409">
        <v>2023</v>
      </c>
      <c r="B1409" s="36">
        <v>2066</v>
      </c>
      <c r="C1409" s="90" t="str">
        <f>VLOOKUP(B1409,'All Districts'!$A$3:$B$874,2,FALSE)</f>
        <v>Carmel</v>
      </c>
      <c r="D1409" s="40">
        <v>5641549</v>
      </c>
      <c r="E1409">
        <f>VLOOKUP(C1409,'All Districts'!$B$3:$C$874,2,FALSE)</f>
        <v>3606570</v>
      </c>
      <c r="F1409" s="91">
        <f>COUNTIF($E$2:$E$7106,E1409)</f>
        <v>9</v>
      </c>
    </row>
    <row r="1410" spans="1:6" x14ac:dyDescent="0.2">
      <c r="A1410">
        <v>2015</v>
      </c>
      <c r="B1410" s="13">
        <v>2058</v>
      </c>
      <c r="C1410" s="90" t="str">
        <f>VLOOKUP(B1410,'All Districts'!$A$3:$B$874,2,FALSE)</f>
        <v>Carthage</v>
      </c>
      <c r="D1410" s="14">
        <v>3507999</v>
      </c>
      <c r="E1410">
        <f>VLOOKUP(C1410,'All Districts'!$B$3:$C$874,2,FALSE)</f>
        <v>3606630</v>
      </c>
      <c r="F1410" s="91">
        <f>COUNTIF($E$2:$E$7106,E1410)</f>
        <v>9</v>
      </c>
    </row>
    <row r="1411" spans="1:6" x14ac:dyDescent="0.2">
      <c r="A1411">
        <v>2016</v>
      </c>
      <c r="B1411" s="13">
        <v>2058</v>
      </c>
      <c r="C1411" s="90" t="str">
        <f>VLOOKUP(B1411,'All Districts'!$A$3:$B$874,2,FALSE)</f>
        <v>Carthage</v>
      </c>
      <c r="D1411" s="16">
        <v>2692958</v>
      </c>
      <c r="E1411">
        <f>VLOOKUP(C1411,'All Districts'!$B$3:$C$874,2,FALSE)</f>
        <v>3606630</v>
      </c>
      <c r="F1411" s="91">
        <f>COUNTIF($E$2:$E$7106,E1411)</f>
        <v>9</v>
      </c>
    </row>
    <row r="1412" spans="1:6" x14ac:dyDescent="0.2">
      <c r="A1412">
        <v>2017</v>
      </c>
      <c r="B1412" s="13">
        <v>2058</v>
      </c>
      <c r="C1412" s="90" t="str">
        <f>VLOOKUP(B1412,'All Districts'!$A$3:$B$874,2,FALSE)</f>
        <v>Carthage</v>
      </c>
      <c r="D1412" s="16">
        <v>2465150</v>
      </c>
      <c r="E1412">
        <f>VLOOKUP(C1412,'All Districts'!$B$3:$C$874,2,FALSE)</f>
        <v>3606630</v>
      </c>
      <c r="F1412" s="91">
        <f>COUNTIF($E$2:$E$7106,E1412)</f>
        <v>9</v>
      </c>
    </row>
    <row r="1413" spans="1:6" x14ac:dyDescent="0.2">
      <c r="A1413" s="10">
        <v>2018</v>
      </c>
      <c r="B1413" s="13">
        <v>2058</v>
      </c>
      <c r="C1413" s="90" t="str">
        <f>VLOOKUP(B1413,'All Districts'!$A$3:$B$874,2,FALSE)</f>
        <v>Carthage</v>
      </c>
      <c r="D1413" s="15">
        <v>2113791</v>
      </c>
      <c r="E1413">
        <f>VLOOKUP(C1413,'All Districts'!$B$3:$C$874,2,FALSE)</f>
        <v>3606630</v>
      </c>
      <c r="F1413" s="91">
        <f>COUNTIF($E$2:$E$7106,E1413)</f>
        <v>9</v>
      </c>
    </row>
    <row r="1414" spans="1:6" x14ac:dyDescent="0.2">
      <c r="A1414">
        <v>2019</v>
      </c>
      <c r="B1414" s="36">
        <v>2058</v>
      </c>
      <c r="C1414" s="90" t="str">
        <f>VLOOKUP(B1414,'All Districts'!$A$3:$B$874,2,FALSE)</f>
        <v>Carthage</v>
      </c>
      <c r="D1414" s="40">
        <v>2317227</v>
      </c>
      <c r="E1414">
        <f>VLOOKUP(C1414,'All Districts'!$B$3:$C$874,2,FALSE)</f>
        <v>3606630</v>
      </c>
      <c r="F1414" s="91">
        <f>COUNTIF($E$2:$E$7106,E1414)</f>
        <v>9</v>
      </c>
    </row>
    <row r="1415" spans="1:6" x14ac:dyDescent="0.2">
      <c r="A1415">
        <v>2020</v>
      </c>
      <c r="B1415" s="36">
        <v>2058</v>
      </c>
      <c r="C1415" s="90" t="str">
        <f>VLOOKUP(B1415,'All Districts'!$A$3:$B$874,2,FALSE)</f>
        <v>Carthage</v>
      </c>
      <c r="D1415" s="40">
        <v>1923837</v>
      </c>
      <c r="E1415">
        <f>VLOOKUP(C1415,'All Districts'!$B$3:$C$874,2,FALSE)</f>
        <v>3606630</v>
      </c>
      <c r="F1415" s="91">
        <f>COUNTIF($E$2:$E$7106,E1415)</f>
        <v>9</v>
      </c>
    </row>
    <row r="1416" spans="1:6" x14ac:dyDescent="0.2">
      <c r="A1416" s="10">
        <v>2021</v>
      </c>
      <c r="B1416" s="52">
        <v>2058</v>
      </c>
      <c r="C1416" s="90" t="str">
        <f>VLOOKUP(B1416,'All Districts'!$A$3:$B$874,2,FALSE)</f>
        <v>Carthage</v>
      </c>
      <c r="D1416" s="75">
        <v>2092305</v>
      </c>
      <c r="E1416">
        <f>VLOOKUP(C1416,'All Districts'!$B$3:$C$874,2,FALSE)</f>
        <v>3606630</v>
      </c>
      <c r="F1416" s="91">
        <f>COUNTIF($E$2:$E$7106,E1416)</f>
        <v>9</v>
      </c>
    </row>
    <row r="1417" spans="1:6" x14ac:dyDescent="0.2">
      <c r="A1417">
        <v>2022</v>
      </c>
      <c r="B1417" s="36">
        <v>2058</v>
      </c>
      <c r="C1417" s="90" t="str">
        <f>VLOOKUP(B1417,'All Districts'!$A$3:$B$874,2,FALSE)</f>
        <v>Carthage</v>
      </c>
      <c r="D1417" s="82">
        <v>2245106</v>
      </c>
      <c r="E1417">
        <f>VLOOKUP(C1417,'All Districts'!$B$3:$C$874,2,FALSE)</f>
        <v>3606630</v>
      </c>
      <c r="F1417" s="91">
        <f>COUNTIF($E$2:$E$7106,E1417)</f>
        <v>9</v>
      </c>
    </row>
    <row r="1418" spans="1:6" x14ac:dyDescent="0.2">
      <c r="A1418">
        <v>2023</v>
      </c>
      <c r="B1418" s="36">
        <v>2058</v>
      </c>
      <c r="C1418" s="90" t="str">
        <f>VLOOKUP(B1418,'All Districts'!$A$3:$B$874,2,FALSE)</f>
        <v>Carthage</v>
      </c>
      <c r="D1418" s="40">
        <v>2430883</v>
      </c>
      <c r="E1418">
        <f>VLOOKUP(C1418,'All Districts'!$B$3:$C$874,2,FALSE)</f>
        <v>3606630</v>
      </c>
      <c r="F1418" s="91">
        <f>COUNTIF($E$2:$E$7106,E1418)</f>
        <v>9</v>
      </c>
    </row>
    <row r="1419" spans="1:6" x14ac:dyDescent="0.2">
      <c r="A1419">
        <v>2015</v>
      </c>
      <c r="B1419" s="13">
        <v>3327</v>
      </c>
      <c r="C1419" s="90" t="str">
        <f>VLOOKUP(B1419,'All Districts'!$A$3:$B$874,2,FALSE)</f>
        <v>Cassadaga Valley</v>
      </c>
      <c r="D1419" s="14">
        <v>1263363</v>
      </c>
      <c r="E1419">
        <f>VLOOKUP(C1419,'All Districts'!$B$3:$C$874,2,FALSE)</f>
        <v>3606660</v>
      </c>
      <c r="F1419" s="91">
        <f>COUNTIF($E$2:$E$7106,E1419)</f>
        <v>9</v>
      </c>
    </row>
    <row r="1420" spans="1:6" x14ac:dyDescent="0.2">
      <c r="A1420">
        <v>2016</v>
      </c>
      <c r="B1420" s="13">
        <v>3327</v>
      </c>
      <c r="C1420" s="90" t="str">
        <f>VLOOKUP(B1420,'All Districts'!$A$3:$B$874,2,FALSE)</f>
        <v>Cassadaga Valley</v>
      </c>
      <c r="D1420" s="16">
        <v>951472</v>
      </c>
      <c r="E1420">
        <f>VLOOKUP(C1420,'All Districts'!$B$3:$C$874,2,FALSE)</f>
        <v>3606660</v>
      </c>
      <c r="F1420" s="91">
        <f>COUNTIF($E$2:$E$7106,E1420)</f>
        <v>9</v>
      </c>
    </row>
    <row r="1421" spans="1:6" x14ac:dyDescent="0.2">
      <c r="A1421">
        <v>2017</v>
      </c>
      <c r="B1421" s="13">
        <v>3327</v>
      </c>
      <c r="C1421" s="90" t="str">
        <f>VLOOKUP(B1421,'All Districts'!$A$3:$B$874,2,FALSE)</f>
        <v>Cassadaga Valley</v>
      </c>
      <c r="D1421" s="16">
        <v>846180</v>
      </c>
      <c r="E1421">
        <f>VLOOKUP(C1421,'All Districts'!$B$3:$C$874,2,FALSE)</f>
        <v>3606660</v>
      </c>
      <c r="F1421" s="91">
        <f>COUNTIF($E$2:$E$7106,E1421)</f>
        <v>9</v>
      </c>
    </row>
    <row r="1422" spans="1:6" x14ac:dyDescent="0.2">
      <c r="A1422" s="10">
        <v>2018</v>
      </c>
      <c r="B1422" s="13">
        <v>3327</v>
      </c>
      <c r="C1422" s="90" t="str">
        <f>VLOOKUP(B1422,'All Districts'!$A$3:$B$874,2,FALSE)</f>
        <v>Cassadaga Valley</v>
      </c>
      <c r="D1422" s="15">
        <v>726734</v>
      </c>
      <c r="E1422">
        <f>VLOOKUP(C1422,'All Districts'!$B$3:$C$874,2,FALSE)</f>
        <v>3606660</v>
      </c>
      <c r="F1422" s="91">
        <f>COUNTIF($E$2:$E$7106,E1422)</f>
        <v>9</v>
      </c>
    </row>
    <row r="1423" spans="1:6" x14ac:dyDescent="0.2">
      <c r="A1423">
        <v>2019</v>
      </c>
      <c r="B1423" s="36">
        <v>3327</v>
      </c>
      <c r="C1423" s="90" t="str">
        <f>VLOOKUP(B1423,'All Districts'!$A$3:$B$874,2,FALSE)</f>
        <v>Cassadaga Valley</v>
      </c>
      <c r="D1423" s="40">
        <v>819784</v>
      </c>
      <c r="E1423">
        <f>VLOOKUP(C1423,'All Districts'!$B$3:$C$874,2,FALSE)</f>
        <v>3606660</v>
      </c>
      <c r="F1423" s="91">
        <f>COUNTIF($E$2:$E$7106,E1423)</f>
        <v>9</v>
      </c>
    </row>
    <row r="1424" spans="1:6" x14ac:dyDescent="0.2">
      <c r="A1424">
        <v>2020</v>
      </c>
      <c r="B1424" s="36">
        <v>3327</v>
      </c>
      <c r="C1424" s="90" t="str">
        <f>VLOOKUP(B1424,'All Districts'!$A$3:$B$874,2,FALSE)</f>
        <v>Cassadaga Valley</v>
      </c>
      <c r="D1424" s="40">
        <v>665209</v>
      </c>
      <c r="E1424">
        <f>VLOOKUP(C1424,'All Districts'!$B$3:$C$874,2,FALSE)</f>
        <v>3606660</v>
      </c>
      <c r="F1424" s="91">
        <f>COUNTIF($E$2:$E$7106,E1424)</f>
        <v>9</v>
      </c>
    </row>
    <row r="1425" spans="1:6" x14ac:dyDescent="0.2">
      <c r="A1425" s="10">
        <v>2021</v>
      </c>
      <c r="B1425" s="52">
        <v>3327</v>
      </c>
      <c r="C1425" s="90" t="str">
        <f>VLOOKUP(B1425,'All Districts'!$A$3:$B$874,2,FALSE)</f>
        <v>Cassadaga Valley</v>
      </c>
      <c r="D1425" s="76">
        <v>667982</v>
      </c>
      <c r="E1425">
        <f>VLOOKUP(C1425,'All Districts'!$B$3:$C$874,2,FALSE)</f>
        <v>3606660</v>
      </c>
      <c r="F1425" s="91">
        <f>COUNTIF($E$2:$E$7106,E1425)</f>
        <v>9</v>
      </c>
    </row>
    <row r="1426" spans="1:6" x14ac:dyDescent="0.2">
      <c r="A1426">
        <v>2022</v>
      </c>
      <c r="B1426" s="36">
        <v>3327</v>
      </c>
      <c r="C1426" s="90" t="str">
        <f>VLOOKUP(B1426,'All Districts'!$A$3:$B$874,2,FALSE)</f>
        <v>Cassadaga Valley</v>
      </c>
      <c r="D1426" s="82">
        <v>747742</v>
      </c>
      <c r="E1426">
        <f>VLOOKUP(C1426,'All Districts'!$B$3:$C$874,2,FALSE)</f>
        <v>3606660</v>
      </c>
      <c r="F1426" s="91">
        <f>COUNTIF($E$2:$E$7106,E1426)</f>
        <v>9</v>
      </c>
    </row>
    <row r="1427" spans="1:6" x14ac:dyDescent="0.2">
      <c r="A1427">
        <v>2023</v>
      </c>
      <c r="B1427" s="36">
        <v>3327</v>
      </c>
      <c r="C1427" s="90" t="str">
        <f>VLOOKUP(B1427,'All Districts'!$A$3:$B$874,2,FALSE)</f>
        <v>Cassadaga Valley</v>
      </c>
      <c r="D1427" s="40">
        <v>833556</v>
      </c>
      <c r="E1427">
        <f>VLOOKUP(C1427,'All Districts'!$B$3:$C$874,2,FALSE)</f>
        <v>3606660</v>
      </c>
      <c r="F1427" s="91">
        <f>COUNTIF($E$2:$E$7106,E1427)</f>
        <v>9</v>
      </c>
    </row>
    <row r="1428" spans="1:6" x14ac:dyDescent="0.2">
      <c r="A1428">
        <v>2015</v>
      </c>
      <c r="B1428" s="13">
        <v>3277</v>
      </c>
      <c r="C1428" s="90" t="str">
        <f>VLOOKUP(B1428,'All Districts'!$A$3:$B$874,2,FALSE)</f>
        <v>Cato Meridian</v>
      </c>
      <c r="D1428" s="14">
        <v>1180479</v>
      </c>
      <c r="E1428">
        <f>VLOOKUP(C1428,'All Districts'!$B$3:$C$874,2,FALSE)</f>
        <v>3606690</v>
      </c>
      <c r="F1428" s="91">
        <f>COUNTIF($E$2:$E$7106,E1428)</f>
        <v>9</v>
      </c>
    </row>
    <row r="1429" spans="1:6" x14ac:dyDescent="0.2">
      <c r="A1429">
        <v>2016</v>
      </c>
      <c r="B1429" s="13">
        <v>3277</v>
      </c>
      <c r="C1429" s="90" t="str">
        <f>VLOOKUP(B1429,'All Districts'!$A$3:$B$874,2,FALSE)</f>
        <v>Cato Meridian</v>
      </c>
      <c r="D1429" s="16">
        <v>934691</v>
      </c>
      <c r="E1429">
        <f>VLOOKUP(C1429,'All Districts'!$B$3:$C$874,2,FALSE)</f>
        <v>3606690</v>
      </c>
      <c r="F1429" s="91">
        <f>COUNTIF($E$2:$E$7106,E1429)</f>
        <v>9</v>
      </c>
    </row>
    <row r="1430" spans="1:6" x14ac:dyDescent="0.2">
      <c r="A1430">
        <v>2017</v>
      </c>
      <c r="B1430" s="13">
        <v>3277</v>
      </c>
      <c r="C1430" s="90" t="str">
        <f>VLOOKUP(B1430,'All Districts'!$A$3:$B$874,2,FALSE)</f>
        <v>Cato Meridian</v>
      </c>
      <c r="D1430" s="16">
        <v>852287</v>
      </c>
      <c r="E1430">
        <f>VLOOKUP(C1430,'All Districts'!$B$3:$C$874,2,FALSE)</f>
        <v>3606690</v>
      </c>
      <c r="F1430" s="91">
        <f>COUNTIF($E$2:$E$7106,E1430)</f>
        <v>9</v>
      </c>
    </row>
    <row r="1431" spans="1:6" x14ac:dyDescent="0.2">
      <c r="A1431" s="10">
        <v>2018</v>
      </c>
      <c r="B1431" s="13">
        <v>3277</v>
      </c>
      <c r="C1431" s="90" t="str">
        <f>VLOOKUP(B1431,'All Districts'!$A$3:$B$874,2,FALSE)</f>
        <v>Cato Meridian</v>
      </c>
      <c r="D1431" s="15">
        <v>749737</v>
      </c>
      <c r="E1431">
        <f>VLOOKUP(C1431,'All Districts'!$B$3:$C$874,2,FALSE)</f>
        <v>3606690</v>
      </c>
      <c r="F1431" s="91">
        <f>COUNTIF($E$2:$E$7106,E1431)</f>
        <v>9</v>
      </c>
    </row>
    <row r="1432" spans="1:6" x14ac:dyDescent="0.2">
      <c r="A1432">
        <v>2019</v>
      </c>
      <c r="B1432" s="36">
        <v>3277</v>
      </c>
      <c r="C1432" s="90" t="str">
        <f>VLOOKUP(B1432,'All Districts'!$A$3:$B$874,2,FALSE)</f>
        <v>Cato Meridian</v>
      </c>
      <c r="D1432" s="40">
        <v>819842</v>
      </c>
      <c r="E1432">
        <f>VLOOKUP(C1432,'All Districts'!$B$3:$C$874,2,FALSE)</f>
        <v>3606690</v>
      </c>
      <c r="F1432" s="91">
        <f>COUNTIF($E$2:$E$7106,E1432)</f>
        <v>9</v>
      </c>
    </row>
    <row r="1433" spans="1:6" x14ac:dyDescent="0.2">
      <c r="A1433">
        <v>2020</v>
      </c>
      <c r="B1433" s="36">
        <v>3277</v>
      </c>
      <c r="C1433" s="90" t="str">
        <f>VLOOKUP(B1433,'All Districts'!$A$3:$B$874,2,FALSE)</f>
        <v>Cato Meridian</v>
      </c>
      <c r="D1433" s="40">
        <v>685801</v>
      </c>
      <c r="E1433">
        <f>VLOOKUP(C1433,'All Districts'!$B$3:$C$874,2,FALSE)</f>
        <v>3606690</v>
      </c>
      <c r="F1433" s="91">
        <f>COUNTIF($E$2:$E$7106,E1433)</f>
        <v>9</v>
      </c>
    </row>
    <row r="1434" spans="1:6" x14ac:dyDescent="0.2">
      <c r="A1434" s="10">
        <v>2021</v>
      </c>
      <c r="B1434" s="52">
        <v>3277</v>
      </c>
      <c r="C1434" s="90" t="str">
        <f>VLOOKUP(B1434,'All Districts'!$A$3:$B$874,2,FALSE)</f>
        <v>Cato Meridian</v>
      </c>
      <c r="D1434" s="76">
        <v>683489</v>
      </c>
      <c r="E1434">
        <f>VLOOKUP(C1434,'All Districts'!$B$3:$C$874,2,FALSE)</f>
        <v>3606690</v>
      </c>
      <c r="F1434" s="91">
        <f>COUNTIF($E$2:$E$7106,E1434)</f>
        <v>9</v>
      </c>
    </row>
    <row r="1435" spans="1:6" x14ac:dyDescent="0.2">
      <c r="A1435">
        <v>2022</v>
      </c>
      <c r="B1435" s="36">
        <v>3277</v>
      </c>
      <c r="C1435" s="90" t="str">
        <f>VLOOKUP(B1435,'All Districts'!$A$3:$B$874,2,FALSE)</f>
        <v>Cato Meridian</v>
      </c>
      <c r="D1435" s="82">
        <v>752288</v>
      </c>
      <c r="E1435">
        <f>VLOOKUP(C1435,'All Districts'!$B$3:$C$874,2,FALSE)</f>
        <v>3606690</v>
      </c>
      <c r="F1435" s="91">
        <f>COUNTIF($E$2:$E$7106,E1435)</f>
        <v>9</v>
      </c>
    </row>
    <row r="1436" spans="1:6" x14ac:dyDescent="0.2">
      <c r="A1436">
        <v>2023</v>
      </c>
      <c r="B1436" s="36">
        <v>3277</v>
      </c>
      <c r="C1436" s="90" t="str">
        <f>VLOOKUP(B1436,'All Districts'!$A$3:$B$874,2,FALSE)</f>
        <v>Cato Meridian</v>
      </c>
      <c r="D1436" s="40">
        <v>777540</v>
      </c>
      <c r="E1436">
        <f>VLOOKUP(C1436,'All Districts'!$B$3:$C$874,2,FALSE)</f>
        <v>3606690</v>
      </c>
      <c r="F1436" s="91">
        <f>COUNTIF($E$2:$E$7106,E1436)</f>
        <v>9</v>
      </c>
    </row>
    <row r="1437" spans="1:6" x14ac:dyDescent="0.2">
      <c r="A1437">
        <v>2015</v>
      </c>
      <c r="B1437" s="13">
        <v>2070</v>
      </c>
      <c r="C1437" s="90" t="str">
        <f>VLOOKUP(B1437,'All Districts'!$A$3:$B$874,2,FALSE)</f>
        <v>Catskill</v>
      </c>
      <c r="D1437" s="14">
        <v>2204565</v>
      </c>
      <c r="E1437">
        <f>VLOOKUP(C1437,'All Districts'!$B$3:$C$874,2,FALSE)</f>
        <v>3606720</v>
      </c>
      <c r="F1437" s="91">
        <f>COUNTIF($E$2:$E$7106,E1437)</f>
        <v>9</v>
      </c>
    </row>
    <row r="1438" spans="1:6" x14ac:dyDescent="0.2">
      <c r="A1438">
        <v>2016</v>
      </c>
      <c r="B1438" s="13">
        <v>2070</v>
      </c>
      <c r="C1438" s="90" t="str">
        <f>VLOOKUP(B1438,'All Districts'!$A$3:$B$874,2,FALSE)</f>
        <v>Catskill</v>
      </c>
      <c r="D1438" s="16">
        <v>1710328</v>
      </c>
      <c r="E1438">
        <f>VLOOKUP(C1438,'All Districts'!$B$3:$C$874,2,FALSE)</f>
        <v>3606720</v>
      </c>
      <c r="F1438" s="91">
        <f>COUNTIF($E$2:$E$7106,E1438)</f>
        <v>9</v>
      </c>
    </row>
    <row r="1439" spans="1:6" x14ac:dyDescent="0.2">
      <c r="A1439">
        <v>2017</v>
      </c>
      <c r="B1439" s="13">
        <v>2070</v>
      </c>
      <c r="C1439" s="90" t="str">
        <f>VLOOKUP(B1439,'All Districts'!$A$3:$B$874,2,FALSE)</f>
        <v>Catskill</v>
      </c>
      <c r="D1439" s="16">
        <v>1545559</v>
      </c>
      <c r="E1439">
        <f>VLOOKUP(C1439,'All Districts'!$B$3:$C$874,2,FALSE)</f>
        <v>3606720</v>
      </c>
      <c r="F1439" s="91">
        <f>COUNTIF($E$2:$E$7106,E1439)</f>
        <v>9</v>
      </c>
    </row>
    <row r="1440" spans="1:6" x14ac:dyDescent="0.2">
      <c r="A1440" s="10">
        <v>2018</v>
      </c>
      <c r="B1440" s="13">
        <v>2070</v>
      </c>
      <c r="C1440" s="90" t="str">
        <f>VLOOKUP(B1440,'All Districts'!$A$3:$B$874,2,FALSE)</f>
        <v>Catskill</v>
      </c>
      <c r="D1440" s="15">
        <v>1323450</v>
      </c>
      <c r="E1440">
        <f>VLOOKUP(C1440,'All Districts'!$B$3:$C$874,2,FALSE)</f>
        <v>3606720</v>
      </c>
      <c r="F1440" s="91">
        <f>COUNTIF($E$2:$E$7106,E1440)</f>
        <v>9</v>
      </c>
    </row>
    <row r="1441" spans="1:6" x14ac:dyDescent="0.2">
      <c r="A1441">
        <v>2019</v>
      </c>
      <c r="B1441" s="36">
        <v>2070</v>
      </c>
      <c r="C1441" s="90" t="str">
        <f>VLOOKUP(B1441,'All Districts'!$A$3:$B$874,2,FALSE)</f>
        <v>Catskill</v>
      </c>
      <c r="D1441" s="40">
        <v>1483835</v>
      </c>
      <c r="E1441">
        <f>VLOOKUP(C1441,'All Districts'!$B$3:$C$874,2,FALSE)</f>
        <v>3606720</v>
      </c>
      <c r="F1441" s="91">
        <f>COUNTIF($E$2:$E$7106,E1441)</f>
        <v>9</v>
      </c>
    </row>
    <row r="1442" spans="1:6" x14ac:dyDescent="0.2">
      <c r="A1442">
        <v>2020</v>
      </c>
      <c r="B1442" s="36">
        <v>2070</v>
      </c>
      <c r="C1442" s="90" t="str">
        <f>VLOOKUP(B1442,'All Districts'!$A$3:$B$874,2,FALSE)</f>
        <v>Catskill</v>
      </c>
      <c r="D1442" s="40">
        <v>1225496</v>
      </c>
      <c r="E1442">
        <f>VLOOKUP(C1442,'All Districts'!$B$3:$C$874,2,FALSE)</f>
        <v>3606720</v>
      </c>
      <c r="F1442" s="91">
        <f>COUNTIF($E$2:$E$7106,E1442)</f>
        <v>9</v>
      </c>
    </row>
    <row r="1443" spans="1:6" x14ac:dyDescent="0.2">
      <c r="A1443" s="10">
        <v>2021</v>
      </c>
      <c r="B1443" s="52">
        <v>2070</v>
      </c>
      <c r="C1443" s="90" t="str">
        <f>VLOOKUP(B1443,'All Districts'!$A$3:$B$874,2,FALSE)</f>
        <v>Catskill</v>
      </c>
      <c r="D1443" s="76">
        <v>1319149</v>
      </c>
      <c r="E1443">
        <f>VLOOKUP(C1443,'All Districts'!$B$3:$C$874,2,FALSE)</f>
        <v>3606720</v>
      </c>
      <c r="F1443" s="91">
        <f>COUNTIF($E$2:$E$7106,E1443)</f>
        <v>9</v>
      </c>
    </row>
    <row r="1444" spans="1:6" x14ac:dyDescent="0.2">
      <c r="A1444">
        <v>2022</v>
      </c>
      <c r="B1444" s="36">
        <v>2070</v>
      </c>
      <c r="C1444" s="90" t="str">
        <f>VLOOKUP(B1444,'All Districts'!$A$3:$B$874,2,FALSE)</f>
        <v>Catskill</v>
      </c>
      <c r="D1444" s="82">
        <v>1403896</v>
      </c>
      <c r="E1444">
        <f>VLOOKUP(C1444,'All Districts'!$B$3:$C$874,2,FALSE)</f>
        <v>3606720</v>
      </c>
      <c r="F1444" s="91">
        <f>COUNTIF($E$2:$E$7106,E1444)</f>
        <v>9</v>
      </c>
    </row>
    <row r="1445" spans="1:6" x14ac:dyDescent="0.2">
      <c r="A1445">
        <v>2023</v>
      </c>
      <c r="B1445" s="36">
        <v>2070</v>
      </c>
      <c r="C1445" s="90" t="str">
        <f>VLOOKUP(B1445,'All Districts'!$A$3:$B$874,2,FALSE)</f>
        <v>Catskill</v>
      </c>
      <c r="D1445" s="40">
        <v>1527492</v>
      </c>
      <c r="E1445">
        <f>VLOOKUP(C1445,'All Districts'!$B$3:$C$874,2,FALSE)</f>
        <v>3606720</v>
      </c>
      <c r="F1445" s="91">
        <f>COUNTIF($E$2:$E$7106,E1445)</f>
        <v>9</v>
      </c>
    </row>
    <row r="1446" spans="1:6" x14ac:dyDescent="0.2">
      <c r="A1446">
        <v>2015</v>
      </c>
      <c r="B1446" s="13">
        <v>6008</v>
      </c>
      <c r="C1446" s="90" t="str">
        <f>VLOOKUP(B1446,'All Districts'!$A$3:$B$874,2,FALSE)</f>
        <v>Cattaraugus-Allegany-Erie-Wyoming</v>
      </c>
      <c r="D1446" s="15">
        <v>3001160</v>
      </c>
      <c r="E1446">
        <f>VLOOKUP(C1446,'All Districts'!$B$3:$C$874,2,FALSE)</f>
        <v>3680150</v>
      </c>
      <c r="F1446" s="91">
        <f>COUNTIF($E$2:$E$7106,E1446)</f>
        <v>9</v>
      </c>
    </row>
    <row r="1447" spans="1:6" x14ac:dyDescent="0.2">
      <c r="A1447">
        <v>2016</v>
      </c>
      <c r="B1447" s="13">
        <v>6008</v>
      </c>
      <c r="C1447" s="90" t="str">
        <f>VLOOKUP(B1447,'All Districts'!$A$3:$B$874,2,FALSE)</f>
        <v>Cattaraugus-Allegany-Erie-Wyoming</v>
      </c>
      <c r="D1447" s="16">
        <v>2276670</v>
      </c>
      <c r="E1447">
        <f>VLOOKUP(C1447,'All Districts'!$B$3:$C$874,2,FALSE)</f>
        <v>3680150</v>
      </c>
      <c r="F1447" s="91">
        <f>COUNTIF($E$2:$E$7106,E1447)</f>
        <v>9</v>
      </c>
    </row>
    <row r="1448" spans="1:6" x14ac:dyDescent="0.2">
      <c r="A1448">
        <v>2017</v>
      </c>
      <c r="B1448" s="13">
        <v>6008</v>
      </c>
      <c r="C1448" s="90" t="str">
        <f>VLOOKUP(B1448,'All Districts'!$A$3:$B$874,2,FALSE)</f>
        <v>Cattaraugus-Allegany-Erie-Wyoming</v>
      </c>
      <c r="D1448" s="16">
        <v>2081654</v>
      </c>
      <c r="E1448">
        <f>VLOOKUP(C1448,'All Districts'!$B$3:$C$874,2,FALSE)</f>
        <v>3680150</v>
      </c>
      <c r="F1448" s="91">
        <f>COUNTIF($E$2:$E$7106,E1448)</f>
        <v>9</v>
      </c>
    </row>
    <row r="1449" spans="1:6" x14ac:dyDescent="0.2">
      <c r="A1449" s="10">
        <v>2018</v>
      </c>
      <c r="B1449" s="13">
        <v>6008</v>
      </c>
      <c r="C1449" s="90" t="str">
        <f>VLOOKUP(B1449,'All Districts'!$A$3:$B$874,2,FALSE)</f>
        <v>Cattaraugus-Allegany-Erie-Wyoming</v>
      </c>
      <c r="D1449" s="15">
        <v>1934366</v>
      </c>
      <c r="E1449">
        <f>VLOOKUP(C1449,'All Districts'!$B$3:$C$874,2,FALSE)</f>
        <v>3680150</v>
      </c>
      <c r="F1449" s="91">
        <f>COUNTIF($E$2:$E$7106,E1449)</f>
        <v>9</v>
      </c>
    </row>
    <row r="1450" spans="1:6" x14ac:dyDescent="0.2">
      <c r="A1450">
        <v>2019</v>
      </c>
      <c r="B1450" s="36">
        <v>6008</v>
      </c>
      <c r="C1450" s="90" t="str">
        <f>VLOOKUP(B1450,'All Districts'!$A$3:$B$874,2,FALSE)</f>
        <v>Cattaraugus-Allegany-Erie-Wyoming</v>
      </c>
      <c r="D1450" s="40">
        <v>2141049</v>
      </c>
      <c r="E1450">
        <f>VLOOKUP(C1450,'All Districts'!$B$3:$C$874,2,FALSE)</f>
        <v>3680150</v>
      </c>
      <c r="F1450" s="91">
        <f>COUNTIF($E$2:$E$7106,E1450)</f>
        <v>9</v>
      </c>
    </row>
    <row r="1451" spans="1:6" x14ac:dyDescent="0.2">
      <c r="A1451">
        <v>2020</v>
      </c>
      <c r="B1451" s="36">
        <v>6008</v>
      </c>
      <c r="C1451" s="90" t="str">
        <f>VLOOKUP(B1451,'All Districts'!$A$3:$B$874,2,FALSE)</f>
        <v>Cattaraugus-Allegany-Erie-Wyoming</v>
      </c>
      <c r="D1451" s="40">
        <v>1773513</v>
      </c>
      <c r="E1451">
        <f>VLOOKUP(C1451,'All Districts'!$B$3:$C$874,2,FALSE)</f>
        <v>3680150</v>
      </c>
      <c r="F1451" s="91">
        <f>COUNTIF($E$2:$E$7106,E1451)</f>
        <v>9</v>
      </c>
    </row>
    <row r="1452" spans="1:6" x14ac:dyDescent="0.2">
      <c r="A1452" s="10">
        <v>2021</v>
      </c>
      <c r="B1452" s="52">
        <v>6008</v>
      </c>
      <c r="C1452" s="90" t="str">
        <f>VLOOKUP(B1452,'All Districts'!$A$3:$B$874,2,FALSE)</f>
        <v>Cattaraugus-Allegany-Erie-Wyoming</v>
      </c>
      <c r="D1452" s="76">
        <v>1955211</v>
      </c>
      <c r="E1452">
        <f>VLOOKUP(C1452,'All Districts'!$B$3:$C$874,2,FALSE)</f>
        <v>3680150</v>
      </c>
      <c r="F1452" s="91">
        <f>COUNTIF($E$2:$E$7106,E1452)</f>
        <v>9</v>
      </c>
    </row>
    <row r="1453" spans="1:6" x14ac:dyDescent="0.2">
      <c r="A1453">
        <v>2022</v>
      </c>
      <c r="B1453" s="36">
        <v>6008</v>
      </c>
      <c r="C1453" s="90" t="str">
        <f>VLOOKUP(B1453,'All Districts'!$A$3:$B$874,2,FALSE)</f>
        <v>Cattaraugus-Allegany-Erie-Wyoming</v>
      </c>
      <c r="D1453" s="82">
        <v>2058169</v>
      </c>
      <c r="E1453">
        <f>VLOOKUP(C1453,'All Districts'!$B$3:$C$874,2,FALSE)</f>
        <v>3680150</v>
      </c>
      <c r="F1453" s="91">
        <f>COUNTIF($E$2:$E$7106,E1453)</f>
        <v>9</v>
      </c>
    </row>
    <row r="1454" spans="1:6" x14ac:dyDescent="0.2">
      <c r="A1454">
        <v>2023</v>
      </c>
      <c r="B1454" s="36">
        <v>6008</v>
      </c>
      <c r="C1454" s="90" t="str">
        <f>VLOOKUP(B1454,'All Districts'!$A$3:$B$874,2,FALSE)</f>
        <v>Cattaraugus-Allegany-Erie-Wyoming</v>
      </c>
      <c r="D1454" s="40">
        <v>2151989</v>
      </c>
      <c r="E1454">
        <f>VLOOKUP(C1454,'All Districts'!$B$3:$C$874,2,FALSE)</f>
        <v>3680150</v>
      </c>
      <c r="F1454" s="91">
        <f>COUNTIF($E$2:$E$7106,E1454)</f>
        <v>9</v>
      </c>
    </row>
    <row r="1455" spans="1:6" x14ac:dyDescent="0.2">
      <c r="A1455">
        <v>2015</v>
      </c>
      <c r="B1455" s="13">
        <v>3206</v>
      </c>
      <c r="C1455" s="90" t="str">
        <f>VLOOKUP(B1455,'All Districts'!$A$3:$B$874,2,FALSE)</f>
        <v>Cattaraugus-Little Valley</v>
      </c>
      <c r="D1455" s="14">
        <v>984773</v>
      </c>
      <c r="E1455">
        <f>VLOOKUP(C1455,'All Districts'!$B$3:$C$874,2,FALSE)</f>
        <v>3600024</v>
      </c>
      <c r="F1455" s="91">
        <f>COUNTIF($E$2:$E$7106,E1455)</f>
        <v>9</v>
      </c>
    </row>
    <row r="1456" spans="1:6" x14ac:dyDescent="0.2">
      <c r="A1456">
        <v>2016</v>
      </c>
      <c r="B1456" s="13">
        <v>3206</v>
      </c>
      <c r="C1456" s="90" t="str">
        <f>VLOOKUP(B1456,'All Districts'!$A$3:$B$874,2,FALSE)</f>
        <v>Cattaraugus-Little Valley</v>
      </c>
      <c r="D1456" s="16">
        <v>781711</v>
      </c>
      <c r="E1456">
        <f>VLOOKUP(C1456,'All Districts'!$B$3:$C$874,2,FALSE)</f>
        <v>3600024</v>
      </c>
      <c r="F1456" s="91">
        <f>COUNTIF($E$2:$E$7106,E1456)</f>
        <v>9</v>
      </c>
    </row>
    <row r="1457" spans="1:6" x14ac:dyDescent="0.2">
      <c r="A1457">
        <v>2017</v>
      </c>
      <c r="B1457" s="13">
        <v>3206</v>
      </c>
      <c r="C1457" s="90" t="str">
        <f>VLOOKUP(B1457,'All Districts'!$A$3:$B$874,2,FALSE)</f>
        <v>Cattaraugus-Little Valley</v>
      </c>
      <c r="D1457" s="16">
        <v>711693</v>
      </c>
      <c r="E1457">
        <f>VLOOKUP(C1457,'All Districts'!$B$3:$C$874,2,FALSE)</f>
        <v>3600024</v>
      </c>
      <c r="F1457" s="91">
        <f>COUNTIF($E$2:$E$7106,E1457)</f>
        <v>9</v>
      </c>
    </row>
    <row r="1458" spans="1:6" x14ac:dyDescent="0.2">
      <c r="A1458" s="10">
        <v>2018</v>
      </c>
      <c r="B1458" s="13">
        <v>3206</v>
      </c>
      <c r="C1458" s="90" t="str">
        <f>VLOOKUP(B1458,'All Districts'!$A$3:$B$874,2,FALSE)</f>
        <v>Cattaraugus-Little Valley</v>
      </c>
      <c r="D1458" s="15">
        <v>627672</v>
      </c>
      <c r="E1458">
        <f>VLOOKUP(C1458,'All Districts'!$B$3:$C$874,2,FALSE)</f>
        <v>3600024</v>
      </c>
      <c r="F1458" s="91">
        <f>COUNTIF($E$2:$E$7106,E1458)</f>
        <v>9</v>
      </c>
    </row>
    <row r="1459" spans="1:6" x14ac:dyDescent="0.2">
      <c r="A1459">
        <v>2019</v>
      </c>
      <c r="B1459" s="36">
        <v>3206</v>
      </c>
      <c r="C1459" s="90" t="str">
        <f>VLOOKUP(B1459,'All Districts'!$A$3:$B$874,2,FALSE)</f>
        <v>Cattaraugus-Little Valley</v>
      </c>
      <c r="D1459" s="40">
        <v>685815</v>
      </c>
      <c r="E1459">
        <f>VLOOKUP(C1459,'All Districts'!$B$3:$C$874,2,FALSE)</f>
        <v>3600024</v>
      </c>
      <c r="F1459" s="91">
        <f>COUNTIF($E$2:$E$7106,E1459)</f>
        <v>9</v>
      </c>
    </row>
    <row r="1460" spans="1:6" x14ac:dyDescent="0.2">
      <c r="A1460">
        <v>2020</v>
      </c>
      <c r="B1460" s="36">
        <v>3206</v>
      </c>
      <c r="C1460" s="90" t="str">
        <f>VLOOKUP(B1460,'All Districts'!$A$3:$B$874,2,FALSE)</f>
        <v>Cattaraugus-Little Valley</v>
      </c>
      <c r="D1460" s="40">
        <v>594231</v>
      </c>
      <c r="E1460">
        <f>VLOOKUP(C1460,'All Districts'!$B$3:$C$874,2,FALSE)</f>
        <v>3600024</v>
      </c>
      <c r="F1460" s="91">
        <f>COUNTIF($E$2:$E$7106,E1460)</f>
        <v>9</v>
      </c>
    </row>
    <row r="1461" spans="1:6" x14ac:dyDescent="0.2">
      <c r="A1461" s="10">
        <v>2021</v>
      </c>
      <c r="B1461" s="55">
        <v>3206</v>
      </c>
      <c r="C1461" s="90" t="str">
        <f>VLOOKUP(B1461,'All Districts'!$A$3:$B$874,2,FALSE)</f>
        <v>Cattaraugus-Little Valley</v>
      </c>
      <c r="D1461" s="75">
        <v>644962</v>
      </c>
      <c r="E1461">
        <f>VLOOKUP(C1461,'All Districts'!$B$3:$C$874,2,FALSE)</f>
        <v>3600024</v>
      </c>
      <c r="F1461" s="91">
        <f>COUNTIF($E$2:$E$7106,E1461)</f>
        <v>9</v>
      </c>
    </row>
    <row r="1462" spans="1:6" x14ac:dyDescent="0.2">
      <c r="A1462">
        <v>2022</v>
      </c>
      <c r="B1462" s="36">
        <v>3206</v>
      </c>
      <c r="C1462" s="90" t="str">
        <f>VLOOKUP(B1462,'All Districts'!$A$3:$B$874,2,FALSE)</f>
        <v>Cattaraugus-Little Valley</v>
      </c>
      <c r="D1462" s="82">
        <v>702011</v>
      </c>
      <c r="E1462">
        <f>VLOOKUP(C1462,'All Districts'!$B$3:$C$874,2,FALSE)</f>
        <v>3600024</v>
      </c>
      <c r="F1462" s="91">
        <f>COUNTIF($E$2:$E$7106,E1462)</f>
        <v>9</v>
      </c>
    </row>
    <row r="1463" spans="1:6" x14ac:dyDescent="0.2">
      <c r="A1463">
        <v>2023</v>
      </c>
      <c r="B1463" s="36">
        <v>3206</v>
      </c>
      <c r="C1463" s="90" t="str">
        <f>VLOOKUP(B1463,'All Districts'!$A$3:$B$874,2,FALSE)</f>
        <v>Cattaraugus-Little Valley</v>
      </c>
      <c r="D1463" s="40">
        <v>763907</v>
      </c>
      <c r="E1463">
        <f>VLOOKUP(C1463,'All Districts'!$B$3:$C$874,2,FALSE)</f>
        <v>3600024</v>
      </c>
      <c r="F1463" s="91">
        <f>COUNTIF($E$2:$E$7106,E1463)</f>
        <v>9</v>
      </c>
    </row>
    <row r="1464" spans="1:6" x14ac:dyDescent="0.2">
      <c r="A1464">
        <v>2015</v>
      </c>
      <c r="B1464" s="13">
        <v>6011</v>
      </c>
      <c r="C1464" s="90" t="str">
        <f>VLOOKUP(B1464,'All Districts'!$A$3:$B$874,2,FALSE)</f>
        <v>Cayuga-Onondaga</v>
      </c>
      <c r="D1464" s="15">
        <v>1448969</v>
      </c>
      <c r="E1464">
        <f>VLOOKUP(C1464,'All Districts'!$B$3:$C$874,2,FALSE)</f>
        <v>3680180</v>
      </c>
      <c r="F1464" s="91">
        <f>COUNTIF($E$2:$E$7106,E1464)</f>
        <v>9</v>
      </c>
    </row>
    <row r="1465" spans="1:6" x14ac:dyDescent="0.2">
      <c r="A1465">
        <v>2016</v>
      </c>
      <c r="B1465" s="13">
        <v>6011</v>
      </c>
      <c r="C1465" s="90" t="str">
        <f>VLOOKUP(B1465,'All Districts'!$A$3:$B$874,2,FALSE)</f>
        <v>Cayuga-Onondaga</v>
      </c>
      <c r="D1465" s="16">
        <v>1168542</v>
      </c>
      <c r="E1465">
        <f>VLOOKUP(C1465,'All Districts'!$B$3:$C$874,2,FALSE)</f>
        <v>3680180</v>
      </c>
      <c r="F1465" s="91">
        <f>COUNTIF($E$2:$E$7106,E1465)</f>
        <v>9</v>
      </c>
    </row>
    <row r="1466" spans="1:6" x14ac:dyDescent="0.2">
      <c r="A1466">
        <v>2017</v>
      </c>
      <c r="B1466" s="13">
        <v>6011</v>
      </c>
      <c r="C1466" s="90" t="str">
        <f>VLOOKUP(B1466,'All Districts'!$A$3:$B$874,2,FALSE)</f>
        <v>Cayuga-Onondaga</v>
      </c>
      <c r="D1466" s="16">
        <v>1062975</v>
      </c>
      <c r="E1466">
        <f>VLOOKUP(C1466,'All Districts'!$B$3:$C$874,2,FALSE)</f>
        <v>3680180</v>
      </c>
      <c r="F1466" s="91">
        <f>COUNTIF($E$2:$E$7106,E1466)</f>
        <v>9</v>
      </c>
    </row>
    <row r="1467" spans="1:6" x14ac:dyDescent="0.2">
      <c r="A1467" s="10">
        <v>2018</v>
      </c>
      <c r="B1467" s="13">
        <v>6011</v>
      </c>
      <c r="C1467" s="90" t="str">
        <f>VLOOKUP(B1467,'All Districts'!$A$3:$B$874,2,FALSE)</f>
        <v>Cayuga-Onondaga</v>
      </c>
      <c r="D1467" s="15">
        <v>921138</v>
      </c>
      <c r="E1467">
        <f>VLOOKUP(C1467,'All Districts'!$B$3:$C$874,2,FALSE)</f>
        <v>3680180</v>
      </c>
      <c r="F1467" s="91">
        <f>COUNTIF($E$2:$E$7106,E1467)</f>
        <v>9</v>
      </c>
    </row>
    <row r="1468" spans="1:6" x14ac:dyDescent="0.2">
      <c r="A1468">
        <v>2019</v>
      </c>
      <c r="B1468" s="36">
        <v>6011</v>
      </c>
      <c r="C1468" s="90" t="str">
        <f>VLOOKUP(B1468,'All Districts'!$A$3:$B$874,2,FALSE)</f>
        <v>Cayuga-Onondaga</v>
      </c>
      <c r="D1468" s="40">
        <v>1115817</v>
      </c>
      <c r="E1468">
        <f>VLOOKUP(C1468,'All Districts'!$B$3:$C$874,2,FALSE)</f>
        <v>3680180</v>
      </c>
      <c r="F1468" s="91">
        <f>COUNTIF($E$2:$E$7106,E1468)</f>
        <v>9</v>
      </c>
    </row>
    <row r="1469" spans="1:6" x14ac:dyDescent="0.2">
      <c r="A1469">
        <v>2020</v>
      </c>
      <c r="B1469" s="36">
        <v>6011</v>
      </c>
      <c r="C1469" s="90" t="str">
        <f>VLOOKUP(B1469,'All Districts'!$A$3:$B$874,2,FALSE)</f>
        <v>Cayuga-Onondaga</v>
      </c>
      <c r="D1469" s="40">
        <v>938614</v>
      </c>
      <c r="E1469">
        <f>VLOOKUP(C1469,'All Districts'!$B$3:$C$874,2,FALSE)</f>
        <v>3680180</v>
      </c>
      <c r="F1469" s="91">
        <f>COUNTIF($E$2:$E$7106,E1469)</f>
        <v>9</v>
      </c>
    </row>
    <row r="1470" spans="1:6" x14ac:dyDescent="0.2">
      <c r="A1470" s="10">
        <v>2021</v>
      </c>
      <c r="B1470" s="52">
        <v>6011</v>
      </c>
      <c r="C1470" s="90" t="str">
        <f>VLOOKUP(B1470,'All Districts'!$A$3:$B$874,2,FALSE)</f>
        <v>Cayuga-Onondaga</v>
      </c>
      <c r="D1470" s="76">
        <v>968415</v>
      </c>
      <c r="E1470">
        <f>VLOOKUP(C1470,'All Districts'!$B$3:$C$874,2,FALSE)</f>
        <v>3680180</v>
      </c>
      <c r="F1470" s="91">
        <f>COUNTIF($E$2:$E$7106,E1470)</f>
        <v>9</v>
      </c>
    </row>
    <row r="1471" spans="1:6" x14ac:dyDescent="0.2">
      <c r="A1471">
        <v>2022</v>
      </c>
      <c r="B1471" s="36">
        <v>6011</v>
      </c>
      <c r="C1471" s="90" t="str">
        <f>VLOOKUP(B1471,'All Districts'!$A$3:$B$874,2,FALSE)</f>
        <v>Cayuga-Onondaga</v>
      </c>
      <c r="D1471" s="82">
        <v>1031829</v>
      </c>
      <c r="E1471">
        <f>VLOOKUP(C1471,'All Districts'!$B$3:$C$874,2,FALSE)</f>
        <v>3680180</v>
      </c>
      <c r="F1471" s="91">
        <f>COUNTIF($E$2:$E$7106,E1471)</f>
        <v>9</v>
      </c>
    </row>
    <row r="1472" spans="1:6" x14ac:dyDescent="0.2">
      <c r="A1472">
        <v>2023</v>
      </c>
      <c r="B1472" s="36">
        <v>6011</v>
      </c>
      <c r="C1472" s="90" t="str">
        <f>VLOOKUP(B1472,'All Districts'!$A$3:$B$874,2,FALSE)</f>
        <v>Cayuga-Onondaga</v>
      </c>
      <c r="D1472" s="40">
        <v>1135234</v>
      </c>
      <c r="E1472">
        <f>VLOOKUP(C1472,'All Districts'!$B$3:$C$874,2,FALSE)</f>
        <v>3680180</v>
      </c>
      <c r="F1472" s="91">
        <f>COUNTIF($E$2:$E$7106,E1472)</f>
        <v>9</v>
      </c>
    </row>
    <row r="1473" spans="1:6" x14ac:dyDescent="0.2">
      <c r="A1473">
        <v>2015</v>
      </c>
      <c r="B1473" s="13">
        <v>2061</v>
      </c>
      <c r="C1473" s="90" t="str">
        <f>VLOOKUP(B1473,'All Districts'!$A$3:$B$874,2,FALSE)</f>
        <v>Cazenovia</v>
      </c>
      <c r="D1473" s="14">
        <v>1700223</v>
      </c>
      <c r="E1473">
        <f>VLOOKUP(C1473,'All Districts'!$B$3:$C$874,2,FALSE)</f>
        <v>3606780</v>
      </c>
      <c r="F1473" s="91">
        <f>COUNTIF($E$2:$E$7106,E1473)</f>
        <v>9</v>
      </c>
    </row>
    <row r="1474" spans="1:6" x14ac:dyDescent="0.2">
      <c r="A1474">
        <v>2016</v>
      </c>
      <c r="B1474" s="13">
        <v>2061</v>
      </c>
      <c r="C1474" s="90" t="str">
        <f>VLOOKUP(B1474,'All Districts'!$A$3:$B$874,2,FALSE)</f>
        <v>Cazenovia</v>
      </c>
      <c r="D1474" s="16">
        <v>1287296</v>
      </c>
      <c r="E1474">
        <f>VLOOKUP(C1474,'All Districts'!$B$3:$C$874,2,FALSE)</f>
        <v>3606780</v>
      </c>
      <c r="F1474" s="91">
        <f>COUNTIF($E$2:$E$7106,E1474)</f>
        <v>9</v>
      </c>
    </row>
    <row r="1475" spans="1:6" x14ac:dyDescent="0.2">
      <c r="A1475">
        <v>2017</v>
      </c>
      <c r="B1475" s="13">
        <v>2061</v>
      </c>
      <c r="C1475" s="90" t="str">
        <f>VLOOKUP(B1475,'All Districts'!$A$3:$B$874,2,FALSE)</f>
        <v>Cazenovia</v>
      </c>
      <c r="D1475" s="16">
        <v>1171503</v>
      </c>
      <c r="E1475">
        <f>VLOOKUP(C1475,'All Districts'!$B$3:$C$874,2,FALSE)</f>
        <v>3606780</v>
      </c>
      <c r="F1475" s="91">
        <f>COUNTIF($E$2:$E$7106,E1475)</f>
        <v>9</v>
      </c>
    </row>
    <row r="1476" spans="1:6" x14ac:dyDescent="0.2">
      <c r="A1476" s="10">
        <v>2018</v>
      </c>
      <c r="B1476" s="13">
        <v>2061</v>
      </c>
      <c r="C1476" s="90" t="str">
        <f>VLOOKUP(B1476,'All Districts'!$A$3:$B$874,2,FALSE)</f>
        <v>Cazenovia</v>
      </c>
      <c r="D1476" s="15">
        <v>991781</v>
      </c>
      <c r="E1476">
        <f>VLOOKUP(C1476,'All Districts'!$B$3:$C$874,2,FALSE)</f>
        <v>3606780</v>
      </c>
      <c r="F1476" s="91">
        <f>COUNTIF($E$2:$E$7106,E1476)</f>
        <v>9</v>
      </c>
    </row>
    <row r="1477" spans="1:6" x14ac:dyDescent="0.2">
      <c r="A1477">
        <v>2019</v>
      </c>
      <c r="B1477" s="36">
        <v>2061</v>
      </c>
      <c r="C1477" s="90" t="str">
        <f>VLOOKUP(B1477,'All Districts'!$A$3:$B$874,2,FALSE)</f>
        <v>Cazenovia</v>
      </c>
      <c r="D1477" s="40">
        <v>1120806</v>
      </c>
      <c r="E1477">
        <f>VLOOKUP(C1477,'All Districts'!$B$3:$C$874,2,FALSE)</f>
        <v>3606780</v>
      </c>
      <c r="F1477" s="91">
        <f>COUNTIF($E$2:$E$7106,E1477)</f>
        <v>9</v>
      </c>
    </row>
    <row r="1478" spans="1:6" x14ac:dyDescent="0.2">
      <c r="A1478">
        <v>2020</v>
      </c>
      <c r="B1478" s="36">
        <v>2061</v>
      </c>
      <c r="C1478" s="90" t="str">
        <f>VLOOKUP(B1478,'All Districts'!$A$3:$B$874,2,FALSE)</f>
        <v>Cazenovia</v>
      </c>
      <c r="D1478" s="40">
        <v>930104</v>
      </c>
      <c r="E1478">
        <f>VLOOKUP(C1478,'All Districts'!$B$3:$C$874,2,FALSE)</f>
        <v>3606780</v>
      </c>
      <c r="F1478" s="91">
        <f>COUNTIF($E$2:$E$7106,E1478)</f>
        <v>9</v>
      </c>
    </row>
    <row r="1479" spans="1:6" x14ac:dyDescent="0.2">
      <c r="A1479" s="10">
        <v>2021</v>
      </c>
      <c r="B1479" s="55">
        <v>2061</v>
      </c>
      <c r="C1479" s="90" t="str">
        <f>VLOOKUP(B1479,'All Districts'!$A$3:$B$874,2,FALSE)</f>
        <v>Cazenovia</v>
      </c>
      <c r="D1479" s="75">
        <v>1016255</v>
      </c>
      <c r="E1479">
        <f>VLOOKUP(C1479,'All Districts'!$B$3:$C$874,2,FALSE)</f>
        <v>3606780</v>
      </c>
      <c r="F1479" s="91">
        <f>COUNTIF($E$2:$E$7106,E1479)</f>
        <v>9</v>
      </c>
    </row>
    <row r="1480" spans="1:6" x14ac:dyDescent="0.2">
      <c r="A1480">
        <v>2022</v>
      </c>
      <c r="B1480" s="36">
        <v>2061</v>
      </c>
      <c r="C1480" s="90" t="str">
        <f>VLOOKUP(B1480,'All Districts'!$A$3:$B$874,2,FALSE)</f>
        <v>Cazenovia</v>
      </c>
      <c r="D1480" s="82">
        <v>1101703</v>
      </c>
      <c r="E1480">
        <f>VLOOKUP(C1480,'All Districts'!$B$3:$C$874,2,FALSE)</f>
        <v>3606780</v>
      </c>
      <c r="F1480" s="91">
        <f>COUNTIF($E$2:$E$7106,E1480)</f>
        <v>9</v>
      </c>
    </row>
    <row r="1481" spans="1:6" x14ac:dyDescent="0.2">
      <c r="A1481">
        <v>2023</v>
      </c>
      <c r="B1481" s="36">
        <v>2061</v>
      </c>
      <c r="C1481" s="90" t="str">
        <f>VLOOKUP(B1481,'All Districts'!$A$3:$B$874,2,FALSE)</f>
        <v>Cazenovia</v>
      </c>
      <c r="D1481" s="40">
        <v>1166863</v>
      </c>
      <c r="E1481">
        <f>VLOOKUP(C1481,'All Districts'!$B$3:$C$874,2,FALSE)</f>
        <v>3606780</v>
      </c>
      <c r="F1481" s="91">
        <f>COUNTIF($E$2:$E$7106,E1481)</f>
        <v>9</v>
      </c>
    </row>
    <row r="1482" spans="1:6" x14ac:dyDescent="0.2">
      <c r="A1482">
        <v>2015</v>
      </c>
      <c r="B1482" s="13">
        <v>5415</v>
      </c>
      <c r="C1482" s="90" t="str">
        <f>VLOOKUP(B1482,'All Districts'!$A$3:$B$874,2,FALSE)</f>
        <v>Center Moriches</v>
      </c>
      <c r="D1482" s="14">
        <v>2861762</v>
      </c>
      <c r="E1482">
        <f>VLOOKUP(C1482,'All Districts'!$B$3:$C$874,2,FALSE)</f>
        <v>3606840</v>
      </c>
      <c r="F1482" s="91">
        <f>COUNTIF($E$2:$E$7106,E1482)</f>
        <v>9</v>
      </c>
    </row>
    <row r="1483" spans="1:6" x14ac:dyDescent="0.2">
      <c r="A1483">
        <v>2016</v>
      </c>
      <c r="B1483" s="13">
        <v>5415</v>
      </c>
      <c r="C1483" s="90" t="str">
        <f>VLOOKUP(B1483,'All Districts'!$A$3:$B$874,2,FALSE)</f>
        <v>Center Moriches</v>
      </c>
      <c r="D1483" s="16">
        <v>2204944</v>
      </c>
      <c r="E1483">
        <f>VLOOKUP(C1483,'All Districts'!$B$3:$C$874,2,FALSE)</f>
        <v>3606840</v>
      </c>
      <c r="F1483" s="91">
        <f>COUNTIF($E$2:$E$7106,E1483)</f>
        <v>9</v>
      </c>
    </row>
    <row r="1484" spans="1:6" x14ac:dyDescent="0.2">
      <c r="A1484">
        <v>2017</v>
      </c>
      <c r="B1484" s="13">
        <v>5415</v>
      </c>
      <c r="C1484" s="90" t="str">
        <f>VLOOKUP(B1484,'All Districts'!$A$3:$B$874,2,FALSE)</f>
        <v>Center Moriches</v>
      </c>
      <c r="D1484" s="16">
        <v>1970419</v>
      </c>
      <c r="E1484">
        <f>VLOOKUP(C1484,'All Districts'!$B$3:$C$874,2,FALSE)</f>
        <v>3606840</v>
      </c>
      <c r="F1484" s="91">
        <f>COUNTIF($E$2:$E$7106,E1484)</f>
        <v>9</v>
      </c>
    </row>
    <row r="1485" spans="1:6" x14ac:dyDescent="0.2">
      <c r="A1485" s="10">
        <v>2018</v>
      </c>
      <c r="B1485" s="13">
        <v>5415</v>
      </c>
      <c r="C1485" s="90" t="str">
        <f>VLOOKUP(B1485,'All Districts'!$A$3:$B$874,2,FALSE)</f>
        <v>Center Moriches</v>
      </c>
      <c r="D1485" s="15">
        <v>1701883</v>
      </c>
      <c r="E1485">
        <f>VLOOKUP(C1485,'All Districts'!$B$3:$C$874,2,FALSE)</f>
        <v>3606840</v>
      </c>
      <c r="F1485" s="91">
        <f>COUNTIF($E$2:$E$7106,E1485)</f>
        <v>9</v>
      </c>
    </row>
    <row r="1486" spans="1:6" x14ac:dyDescent="0.2">
      <c r="A1486">
        <v>2019</v>
      </c>
      <c r="B1486" s="36">
        <v>5415</v>
      </c>
      <c r="C1486" s="90" t="str">
        <f>VLOOKUP(B1486,'All Districts'!$A$3:$B$874,2,FALSE)</f>
        <v>Center Moriches</v>
      </c>
      <c r="D1486" s="40">
        <v>1877018</v>
      </c>
      <c r="E1486">
        <f>VLOOKUP(C1486,'All Districts'!$B$3:$C$874,2,FALSE)</f>
        <v>3606840</v>
      </c>
      <c r="F1486" s="91">
        <f>COUNTIF($E$2:$E$7106,E1486)</f>
        <v>9</v>
      </c>
    </row>
    <row r="1487" spans="1:6" x14ac:dyDescent="0.2">
      <c r="A1487">
        <v>2020</v>
      </c>
      <c r="B1487" s="36">
        <v>5415</v>
      </c>
      <c r="C1487" s="90" t="str">
        <f>VLOOKUP(B1487,'All Districts'!$A$3:$B$874,2,FALSE)</f>
        <v>Center Moriches</v>
      </c>
      <c r="D1487" s="40">
        <v>1581029</v>
      </c>
      <c r="E1487">
        <f>VLOOKUP(C1487,'All Districts'!$B$3:$C$874,2,FALSE)</f>
        <v>3606840</v>
      </c>
      <c r="F1487" s="91">
        <f>COUNTIF($E$2:$E$7106,E1487)</f>
        <v>9</v>
      </c>
    </row>
    <row r="1488" spans="1:6" x14ac:dyDescent="0.2">
      <c r="A1488" s="10">
        <v>2021</v>
      </c>
      <c r="B1488" s="52">
        <v>5415</v>
      </c>
      <c r="C1488" s="90" t="str">
        <f>VLOOKUP(B1488,'All Districts'!$A$3:$B$874,2,FALSE)</f>
        <v>Center Moriches</v>
      </c>
      <c r="D1488" s="76">
        <v>1739328</v>
      </c>
      <c r="E1488">
        <f>VLOOKUP(C1488,'All Districts'!$B$3:$C$874,2,FALSE)</f>
        <v>3606840</v>
      </c>
      <c r="F1488" s="91">
        <f>COUNTIF($E$2:$E$7106,E1488)</f>
        <v>9</v>
      </c>
    </row>
    <row r="1489" spans="1:6" x14ac:dyDescent="0.2">
      <c r="A1489">
        <v>2022</v>
      </c>
      <c r="B1489" s="36">
        <v>5415</v>
      </c>
      <c r="C1489" s="90" t="str">
        <f>VLOOKUP(B1489,'All Districts'!$A$3:$B$874,2,FALSE)</f>
        <v>Center Moriches</v>
      </c>
      <c r="D1489" s="82">
        <v>1850316</v>
      </c>
      <c r="E1489">
        <f>VLOOKUP(C1489,'All Districts'!$B$3:$C$874,2,FALSE)</f>
        <v>3606840</v>
      </c>
      <c r="F1489" s="91">
        <f>COUNTIF($E$2:$E$7106,E1489)</f>
        <v>9</v>
      </c>
    </row>
    <row r="1490" spans="1:6" x14ac:dyDescent="0.2">
      <c r="A1490">
        <v>2023</v>
      </c>
      <c r="B1490" s="36">
        <v>5415</v>
      </c>
      <c r="C1490" s="90" t="str">
        <f>VLOOKUP(B1490,'All Districts'!$A$3:$B$874,2,FALSE)</f>
        <v>Center Moriches</v>
      </c>
      <c r="D1490" s="40">
        <v>1982530</v>
      </c>
      <c r="E1490">
        <f>VLOOKUP(C1490,'All Districts'!$B$3:$C$874,2,FALSE)</f>
        <v>3606840</v>
      </c>
      <c r="F1490" s="91">
        <f>COUNTIF($E$2:$E$7106,E1490)</f>
        <v>9</v>
      </c>
    </row>
    <row r="1491" spans="1:6" x14ac:dyDescent="0.2">
      <c r="A1491">
        <v>2015</v>
      </c>
      <c r="B1491" s="13">
        <v>2067</v>
      </c>
      <c r="C1491" s="90" t="str">
        <f>VLOOKUP(B1491,'All Districts'!$A$3:$B$874,2,FALSE)</f>
        <v>Central Islip</v>
      </c>
      <c r="D1491" s="14">
        <v>13185891</v>
      </c>
      <c r="E1491">
        <f>VLOOKUP(C1491,'All Districts'!$B$3:$C$874,2,FALSE)</f>
        <v>3606870</v>
      </c>
      <c r="F1491" s="91">
        <f>COUNTIF($E$2:$E$7106,E1491)</f>
        <v>9</v>
      </c>
    </row>
    <row r="1492" spans="1:6" x14ac:dyDescent="0.2">
      <c r="A1492">
        <v>2016</v>
      </c>
      <c r="B1492" s="13">
        <v>2067</v>
      </c>
      <c r="C1492" s="90" t="str">
        <f>VLOOKUP(B1492,'All Districts'!$A$3:$B$874,2,FALSE)</f>
        <v>Central Islip</v>
      </c>
      <c r="D1492" s="16">
        <v>10084657</v>
      </c>
      <c r="E1492">
        <f>VLOOKUP(C1492,'All Districts'!$B$3:$C$874,2,FALSE)</f>
        <v>3606870</v>
      </c>
      <c r="F1492" s="91">
        <f>COUNTIF($E$2:$E$7106,E1492)</f>
        <v>9</v>
      </c>
    </row>
    <row r="1493" spans="1:6" x14ac:dyDescent="0.2">
      <c r="A1493">
        <v>2017</v>
      </c>
      <c r="B1493" s="13">
        <v>2067</v>
      </c>
      <c r="C1493" s="90" t="str">
        <f>VLOOKUP(B1493,'All Districts'!$A$3:$B$874,2,FALSE)</f>
        <v>Central Islip</v>
      </c>
      <c r="D1493" s="16">
        <v>9406328</v>
      </c>
      <c r="E1493">
        <f>VLOOKUP(C1493,'All Districts'!$B$3:$C$874,2,FALSE)</f>
        <v>3606870</v>
      </c>
      <c r="F1493" s="91">
        <f>COUNTIF($E$2:$E$7106,E1493)</f>
        <v>9</v>
      </c>
    </row>
    <row r="1494" spans="1:6" x14ac:dyDescent="0.2">
      <c r="A1494" s="10">
        <v>2018</v>
      </c>
      <c r="B1494" s="13">
        <v>2067</v>
      </c>
      <c r="C1494" s="90" t="str">
        <f>VLOOKUP(B1494,'All Districts'!$A$3:$B$874,2,FALSE)</f>
        <v>Central Islip</v>
      </c>
      <c r="D1494" s="15">
        <v>8064516</v>
      </c>
      <c r="E1494">
        <f>VLOOKUP(C1494,'All Districts'!$B$3:$C$874,2,FALSE)</f>
        <v>3606870</v>
      </c>
      <c r="F1494" s="91">
        <f>COUNTIF($E$2:$E$7106,E1494)</f>
        <v>9</v>
      </c>
    </row>
    <row r="1495" spans="1:6" x14ac:dyDescent="0.2">
      <c r="A1495">
        <v>2019</v>
      </c>
      <c r="B1495" s="36">
        <v>2067</v>
      </c>
      <c r="C1495" s="90" t="str">
        <f>VLOOKUP(B1495,'All Districts'!$A$3:$B$874,2,FALSE)</f>
        <v>Central Islip</v>
      </c>
      <c r="D1495" s="40">
        <v>9040047</v>
      </c>
      <c r="E1495">
        <f>VLOOKUP(C1495,'All Districts'!$B$3:$C$874,2,FALSE)</f>
        <v>3606870</v>
      </c>
      <c r="F1495" s="91">
        <f>COUNTIF($E$2:$E$7106,E1495)</f>
        <v>9</v>
      </c>
    </row>
    <row r="1496" spans="1:6" x14ac:dyDescent="0.2">
      <c r="A1496">
        <v>2020</v>
      </c>
      <c r="B1496" s="36">
        <v>2067</v>
      </c>
      <c r="C1496" s="90" t="str">
        <f>VLOOKUP(B1496,'All Districts'!$A$3:$B$874,2,FALSE)</f>
        <v>Central Islip</v>
      </c>
      <c r="D1496" s="40">
        <v>7451054</v>
      </c>
      <c r="E1496">
        <f>VLOOKUP(C1496,'All Districts'!$B$3:$C$874,2,FALSE)</f>
        <v>3606870</v>
      </c>
      <c r="F1496" s="91">
        <f>COUNTIF($E$2:$E$7106,E1496)</f>
        <v>9</v>
      </c>
    </row>
    <row r="1497" spans="1:6" x14ac:dyDescent="0.2">
      <c r="A1497" s="10">
        <v>2021</v>
      </c>
      <c r="B1497" s="52">
        <v>2067</v>
      </c>
      <c r="C1497" s="90" t="str">
        <f>VLOOKUP(B1497,'All Districts'!$A$3:$B$874,2,FALSE)</f>
        <v>Central Islip</v>
      </c>
      <c r="D1497" s="76">
        <v>7902239</v>
      </c>
      <c r="E1497">
        <f>VLOOKUP(C1497,'All Districts'!$B$3:$C$874,2,FALSE)</f>
        <v>3606870</v>
      </c>
      <c r="F1497" s="91">
        <f>COUNTIF($E$2:$E$7106,E1497)</f>
        <v>9</v>
      </c>
    </row>
    <row r="1498" spans="1:6" x14ac:dyDescent="0.2">
      <c r="A1498">
        <v>2022</v>
      </c>
      <c r="B1498" s="36">
        <v>2067</v>
      </c>
      <c r="C1498" s="90" t="str">
        <f>VLOOKUP(B1498,'All Districts'!$A$3:$B$874,2,FALSE)</f>
        <v>Central Islip</v>
      </c>
      <c r="D1498" s="82">
        <v>8422500</v>
      </c>
      <c r="E1498">
        <f>VLOOKUP(C1498,'All Districts'!$B$3:$C$874,2,FALSE)</f>
        <v>3606870</v>
      </c>
      <c r="F1498" s="91">
        <f>COUNTIF($E$2:$E$7106,E1498)</f>
        <v>9</v>
      </c>
    </row>
    <row r="1499" spans="1:6" x14ac:dyDescent="0.2">
      <c r="A1499">
        <v>2023</v>
      </c>
      <c r="B1499" s="36">
        <v>2067</v>
      </c>
      <c r="C1499" s="90" t="str">
        <f>VLOOKUP(B1499,'All Districts'!$A$3:$B$874,2,FALSE)</f>
        <v>Central Islip</v>
      </c>
      <c r="D1499" s="40">
        <v>9234266</v>
      </c>
      <c r="E1499">
        <f>VLOOKUP(C1499,'All Districts'!$B$3:$C$874,2,FALSE)</f>
        <v>3606870</v>
      </c>
      <c r="F1499" s="91">
        <f>COUNTIF($E$2:$E$7106,E1499)</f>
        <v>9</v>
      </c>
    </row>
    <row r="1500" spans="1:6" x14ac:dyDescent="0.2">
      <c r="A1500">
        <v>2015</v>
      </c>
      <c r="B1500" s="13">
        <v>2073</v>
      </c>
      <c r="C1500" s="90" t="str">
        <f>VLOOKUP(B1500,'All Districts'!$A$3:$B$874,2,FALSE)</f>
        <v>Central Square</v>
      </c>
      <c r="D1500" s="14">
        <v>4415580</v>
      </c>
      <c r="E1500">
        <f>VLOOKUP(C1500,'All Districts'!$B$3:$C$874,2,FALSE)</f>
        <v>3606900</v>
      </c>
      <c r="F1500" s="91">
        <f>COUNTIF($E$2:$E$7106,E1500)</f>
        <v>9</v>
      </c>
    </row>
    <row r="1501" spans="1:6" x14ac:dyDescent="0.2">
      <c r="A1501">
        <v>2016</v>
      </c>
      <c r="B1501" s="13">
        <v>2073</v>
      </c>
      <c r="C1501" s="90" t="str">
        <f>VLOOKUP(B1501,'All Districts'!$A$3:$B$874,2,FALSE)</f>
        <v>Central Square</v>
      </c>
      <c r="D1501" s="16">
        <v>3318615</v>
      </c>
      <c r="E1501">
        <f>VLOOKUP(C1501,'All Districts'!$B$3:$C$874,2,FALSE)</f>
        <v>3606900</v>
      </c>
      <c r="F1501" s="91">
        <f>COUNTIF($E$2:$E$7106,E1501)</f>
        <v>9</v>
      </c>
    </row>
    <row r="1502" spans="1:6" x14ac:dyDescent="0.2">
      <c r="A1502">
        <v>2017</v>
      </c>
      <c r="B1502" s="13">
        <v>2073</v>
      </c>
      <c r="C1502" s="90" t="str">
        <f>VLOOKUP(B1502,'All Districts'!$A$3:$B$874,2,FALSE)</f>
        <v>Central Square</v>
      </c>
      <c r="D1502" s="16">
        <v>3039899</v>
      </c>
      <c r="E1502">
        <f>VLOOKUP(C1502,'All Districts'!$B$3:$C$874,2,FALSE)</f>
        <v>3606900</v>
      </c>
      <c r="F1502" s="91">
        <f>COUNTIF($E$2:$E$7106,E1502)</f>
        <v>9</v>
      </c>
    </row>
    <row r="1503" spans="1:6" x14ac:dyDescent="0.2">
      <c r="A1503" s="10">
        <v>2018</v>
      </c>
      <c r="B1503" s="13">
        <v>2073</v>
      </c>
      <c r="C1503" s="90" t="str">
        <f>VLOOKUP(B1503,'All Districts'!$A$3:$B$874,2,FALSE)</f>
        <v>Central Square</v>
      </c>
      <c r="D1503" s="15">
        <v>2567728</v>
      </c>
      <c r="E1503">
        <f>VLOOKUP(C1503,'All Districts'!$B$3:$C$874,2,FALSE)</f>
        <v>3606900</v>
      </c>
      <c r="F1503" s="91">
        <f>COUNTIF($E$2:$E$7106,E1503)</f>
        <v>9</v>
      </c>
    </row>
    <row r="1504" spans="1:6" x14ac:dyDescent="0.2">
      <c r="A1504">
        <v>2019</v>
      </c>
      <c r="B1504" s="36">
        <v>2073</v>
      </c>
      <c r="C1504" s="90" t="str">
        <f>VLOOKUP(B1504,'All Districts'!$A$3:$B$874,2,FALSE)</f>
        <v>Central Square</v>
      </c>
      <c r="D1504" s="40">
        <v>2878488</v>
      </c>
      <c r="E1504">
        <f>VLOOKUP(C1504,'All Districts'!$B$3:$C$874,2,FALSE)</f>
        <v>3606900</v>
      </c>
      <c r="F1504" s="91">
        <f>COUNTIF($E$2:$E$7106,E1504)</f>
        <v>9</v>
      </c>
    </row>
    <row r="1505" spans="1:6" x14ac:dyDescent="0.2">
      <c r="A1505">
        <v>2020</v>
      </c>
      <c r="B1505" s="36">
        <v>2073</v>
      </c>
      <c r="C1505" s="90" t="str">
        <f>VLOOKUP(B1505,'All Districts'!$A$3:$B$874,2,FALSE)</f>
        <v>Central Square</v>
      </c>
      <c r="D1505" s="40">
        <v>2479454</v>
      </c>
      <c r="E1505">
        <f>VLOOKUP(C1505,'All Districts'!$B$3:$C$874,2,FALSE)</f>
        <v>3606900</v>
      </c>
      <c r="F1505" s="91">
        <f>COUNTIF($E$2:$E$7106,E1505)</f>
        <v>9</v>
      </c>
    </row>
    <row r="1506" spans="1:6" x14ac:dyDescent="0.2">
      <c r="A1506" s="10">
        <v>2021</v>
      </c>
      <c r="B1506" s="52">
        <v>2073</v>
      </c>
      <c r="C1506" s="90" t="str">
        <f>VLOOKUP(B1506,'All Districts'!$A$3:$B$874,2,FALSE)</f>
        <v>Central Square</v>
      </c>
      <c r="D1506" s="76">
        <v>2622301</v>
      </c>
      <c r="E1506">
        <f>VLOOKUP(C1506,'All Districts'!$B$3:$C$874,2,FALSE)</f>
        <v>3606900</v>
      </c>
      <c r="F1506" s="91">
        <f>COUNTIF($E$2:$E$7106,E1506)</f>
        <v>9</v>
      </c>
    </row>
    <row r="1507" spans="1:6" x14ac:dyDescent="0.2">
      <c r="A1507">
        <v>2022</v>
      </c>
      <c r="B1507" s="36">
        <v>2073</v>
      </c>
      <c r="C1507" s="90" t="str">
        <f>VLOOKUP(B1507,'All Districts'!$A$3:$B$874,2,FALSE)</f>
        <v>Central Square</v>
      </c>
      <c r="D1507" s="82">
        <v>2964095</v>
      </c>
      <c r="E1507">
        <f>VLOOKUP(C1507,'All Districts'!$B$3:$C$874,2,FALSE)</f>
        <v>3606900</v>
      </c>
      <c r="F1507" s="91">
        <f>COUNTIF($E$2:$E$7106,E1507)</f>
        <v>9</v>
      </c>
    </row>
    <row r="1508" spans="1:6" x14ac:dyDescent="0.2">
      <c r="A1508">
        <v>2023</v>
      </c>
      <c r="B1508" s="36">
        <v>2073</v>
      </c>
      <c r="C1508" s="90" t="str">
        <f>VLOOKUP(B1508,'All Districts'!$A$3:$B$874,2,FALSE)</f>
        <v>Central Square</v>
      </c>
      <c r="D1508" s="40">
        <v>3248209</v>
      </c>
      <c r="E1508">
        <f>VLOOKUP(C1508,'All Districts'!$B$3:$C$874,2,FALSE)</f>
        <v>3606900</v>
      </c>
      <c r="F1508" s="91">
        <f>COUNTIF($E$2:$E$7106,E1508)</f>
        <v>9</v>
      </c>
    </row>
    <row r="1509" spans="1:6" x14ac:dyDescent="0.2">
      <c r="A1509">
        <v>2015</v>
      </c>
      <c r="B1509" s="13">
        <v>2268</v>
      </c>
      <c r="C1509" s="90" t="str">
        <f>VLOOKUP(B1509,'All Districts'!$A$3:$B$874,2,FALSE)</f>
        <v>Central Valley</v>
      </c>
      <c r="D1509" s="14">
        <v>2562186</v>
      </c>
      <c r="E1509">
        <f>VLOOKUP(C1509,'All Districts'!$B$3:$C$874,2,FALSE)</f>
        <v>3601087</v>
      </c>
      <c r="F1509" s="91">
        <f>COUNTIF($E$2:$E$7106,E1509)</f>
        <v>9</v>
      </c>
    </row>
    <row r="1510" spans="1:6" x14ac:dyDescent="0.2">
      <c r="A1510">
        <v>2016</v>
      </c>
      <c r="B1510" s="13">
        <v>2268</v>
      </c>
      <c r="C1510" s="90" t="str">
        <f>VLOOKUP(B1510,'All Districts'!$A$3:$B$874,2,FALSE)</f>
        <v>Central Valley</v>
      </c>
      <c r="D1510" s="16">
        <v>1925345</v>
      </c>
      <c r="E1510">
        <f>VLOOKUP(C1510,'All Districts'!$B$3:$C$874,2,FALSE)</f>
        <v>3601087</v>
      </c>
      <c r="F1510" s="91">
        <f>COUNTIF($E$2:$E$7106,E1510)</f>
        <v>9</v>
      </c>
    </row>
    <row r="1511" spans="1:6" x14ac:dyDescent="0.2">
      <c r="A1511">
        <v>2017</v>
      </c>
      <c r="B1511" s="13">
        <v>2268</v>
      </c>
      <c r="C1511" s="90" t="str">
        <f>VLOOKUP(B1511,'All Districts'!$A$3:$B$874,2,FALSE)</f>
        <v>Central Valley</v>
      </c>
      <c r="D1511" s="16">
        <v>1684749</v>
      </c>
      <c r="E1511">
        <f>VLOOKUP(C1511,'All Districts'!$B$3:$C$874,2,FALSE)</f>
        <v>3601087</v>
      </c>
      <c r="F1511" s="91">
        <f>COUNTIF($E$2:$E$7106,E1511)</f>
        <v>9</v>
      </c>
    </row>
    <row r="1512" spans="1:6" x14ac:dyDescent="0.2">
      <c r="A1512" s="10">
        <v>2018</v>
      </c>
      <c r="B1512" s="13">
        <v>2268</v>
      </c>
      <c r="C1512" s="90" t="str">
        <f>VLOOKUP(B1512,'All Districts'!$A$3:$B$874,2,FALSE)</f>
        <v>Central Valley</v>
      </c>
      <c r="D1512" s="15">
        <v>1414700</v>
      </c>
      <c r="E1512">
        <f>VLOOKUP(C1512,'All Districts'!$B$3:$C$874,2,FALSE)</f>
        <v>3601087</v>
      </c>
      <c r="F1512" s="91">
        <f>COUNTIF($E$2:$E$7106,E1512)</f>
        <v>9</v>
      </c>
    </row>
    <row r="1513" spans="1:6" x14ac:dyDescent="0.2">
      <c r="A1513">
        <v>2019</v>
      </c>
      <c r="B1513" s="36">
        <v>2268</v>
      </c>
      <c r="C1513" s="90" t="str">
        <f>VLOOKUP(B1513,'All Districts'!$A$3:$B$874,2,FALSE)</f>
        <v>Central Valley</v>
      </c>
      <c r="D1513" s="40">
        <v>1546639</v>
      </c>
      <c r="E1513">
        <f>VLOOKUP(C1513,'All Districts'!$B$3:$C$874,2,FALSE)</f>
        <v>3601087</v>
      </c>
      <c r="F1513" s="91">
        <f>COUNTIF($E$2:$E$7106,E1513)</f>
        <v>9</v>
      </c>
    </row>
    <row r="1514" spans="1:6" x14ac:dyDescent="0.2">
      <c r="A1514">
        <v>2020</v>
      </c>
      <c r="B1514" s="36">
        <v>2268</v>
      </c>
      <c r="C1514" s="90" t="str">
        <f>VLOOKUP(B1514,'All Districts'!$A$3:$B$874,2,FALSE)</f>
        <v>Central Valley</v>
      </c>
      <c r="D1514" s="40">
        <v>1298794</v>
      </c>
      <c r="E1514">
        <f>VLOOKUP(C1514,'All Districts'!$B$3:$C$874,2,FALSE)</f>
        <v>3601087</v>
      </c>
      <c r="F1514" s="91">
        <f>COUNTIF($E$2:$E$7106,E1514)</f>
        <v>9</v>
      </c>
    </row>
    <row r="1515" spans="1:6" x14ac:dyDescent="0.2">
      <c r="A1515" s="10">
        <v>2021</v>
      </c>
      <c r="B1515" s="55">
        <v>2268</v>
      </c>
      <c r="C1515" s="90" t="str">
        <f>VLOOKUP(B1515,'All Districts'!$A$3:$B$874,2,FALSE)</f>
        <v>Central Valley</v>
      </c>
      <c r="D1515" s="76">
        <v>1316823</v>
      </c>
      <c r="E1515">
        <f>VLOOKUP(C1515,'All Districts'!$B$3:$C$874,2,FALSE)</f>
        <v>3601087</v>
      </c>
      <c r="F1515" s="91">
        <f>COUNTIF($E$2:$E$7106,E1515)</f>
        <v>9</v>
      </c>
    </row>
    <row r="1516" spans="1:6" x14ac:dyDescent="0.2">
      <c r="A1516">
        <v>2022</v>
      </c>
      <c r="B1516" s="36">
        <v>2268</v>
      </c>
      <c r="C1516" s="90" t="str">
        <f>VLOOKUP(B1516,'All Districts'!$A$3:$B$874,2,FALSE)</f>
        <v>Central Valley</v>
      </c>
      <c r="D1516" s="82">
        <v>1440137</v>
      </c>
      <c r="E1516">
        <f>VLOOKUP(C1516,'All Districts'!$B$3:$C$874,2,FALSE)</f>
        <v>3601087</v>
      </c>
      <c r="F1516" s="91">
        <f>COUNTIF($E$2:$E$7106,E1516)</f>
        <v>9</v>
      </c>
    </row>
    <row r="1517" spans="1:6" x14ac:dyDescent="0.2">
      <c r="A1517">
        <v>2023</v>
      </c>
      <c r="B1517" s="36">
        <v>2268</v>
      </c>
      <c r="C1517" s="90" t="str">
        <f>VLOOKUP(B1517,'All Districts'!$A$3:$B$874,2,FALSE)</f>
        <v>Central Valley</v>
      </c>
      <c r="D1517" s="40">
        <v>1545363</v>
      </c>
      <c r="E1517">
        <f>VLOOKUP(C1517,'All Districts'!$B$3:$C$874,2,FALSE)</f>
        <v>3601087</v>
      </c>
      <c r="F1517" s="91">
        <f>COUNTIF($E$2:$E$7106,E1517)</f>
        <v>9</v>
      </c>
    </row>
    <row r="1518" spans="1:6" x14ac:dyDescent="0.2">
      <c r="A1518">
        <v>2015</v>
      </c>
      <c r="B1518" s="13">
        <v>2075</v>
      </c>
      <c r="C1518" s="90" t="str">
        <f>VLOOKUP(B1518,'All Districts'!$A$3:$B$874,2,FALSE)</f>
        <v>Chappaqua</v>
      </c>
      <c r="D1518" s="14">
        <v>8719927</v>
      </c>
      <c r="E1518">
        <f>VLOOKUP(C1518,'All Districts'!$B$3:$C$874,2,FALSE)</f>
        <v>3606990</v>
      </c>
      <c r="F1518" s="91">
        <f>COUNTIF($E$2:$E$7106,E1518)</f>
        <v>9</v>
      </c>
    </row>
    <row r="1519" spans="1:6" x14ac:dyDescent="0.2">
      <c r="A1519">
        <v>2016</v>
      </c>
      <c r="B1519" s="13">
        <v>2075</v>
      </c>
      <c r="C1519" s="90" t="str">
        <f>VLOOKUP(B1519,'All Districts'!$A$3:$B$874,2,FALSE)</f>
        <v>Chappaqua</v>
      </c>
      <c r="D1519" s="16">
        <v>6617817</v>
      </c>
      <c r="E1519">
        <f>VLOOKUP(C1519,'All Districts'!$B$3:$C$874,2,FALSE)</f>
        <v>3606990</v>
      </c>
      <c r="F1519" s="91">
        <f>COUNTIF($E$2:$E$7106,E1519)</f>
        <v>9</v>
      </c>
    </row>
    <row r="1520" spans="1:6" x14ac:dyDescent="0.2">
      <c r="A1520">
        <v>2017</v>
      </c>
      <c r="B1520" s="13">
        <v>2075</v>
      </c>
      <c r="C1520" s="90" t="str">
        <f>VLOOKUP(B1520,'All Districts'!$A$3:$B$874,2,FALSE)</f>
        <v>Chappaqua</v>
      </c>
      <c r="D1520" s="16">
        <v>5881992</v>
      </c>
      <c r="E1520">
        <f>VLOOKUP(C1520,'All Districts'!$B$3:$C$874,2,FALSE)</f>
        <v>3606990</v>
      </c>
      <c r="F1520" s="91">
        <f>COUNTIF($E$2:$E$7106,E1520)</f>
        <v>9</v>
      </c>
    </row>
    <row r="1521" spans="1:6" x14ac:dyDescent="0.2">
      <c r="A1521" s="10">
        <v>2018</v>
      </c>
      <c r="B1521" s="13">
        <v>2075</v>
      </c>
      <c r="C1521" s="90" t="str">
        <f>VLOOKUP(B1521,'All Districts'!$A$3:$B$874,2,FALSE)</f>
        <v>Chappaqua</v>
      </c>
      <c r="D1521" s="15">
        <v>4959357</v>
      </c>
      <c r="E1521">
        <f>VLOOKUP(C1521,'All Districts'!$B$3:$C$874,2,FALSE)</f>
        <v>3606990</v>
      </c>
      <c r="F1521" s="91">
        <f>COUNTIF($E$2:$E$7106,E1521)</f>
        <v>9</v>
      </c>
    </row>
    <row r="1522" spans="1:6" x14ac:dyDescent="0.2">
      <c r="A1522">
        <v>2019</v>
      </c>
      <c r="B1522" s="36">
        <v>2075</v>
      </c>
      <c r="C1522" s="90" t="str">
        <f>VLOOKUP(B1522,'All Districts'!$A$3:$B$874,2,FALSE)</f>
        <v>Chappaqua</v>
      </c>
      <c r="D1522" s="40">
        <v>5577833</v>
      </c>
      <c r="E1522">
        <f>VLOOKUP(C1522,'All Districts'!$B$3:$C$874,2,FALSE)</f>
        <v>3606990</v>
      </c>
      <c r="F1522" s="91">
        <f>COUNTIF($E$2:$E$7106,E1522)</f>
        <v>9</v>
      </c>
    </row>
    <row r="1523" spans="1:6" x14ac:dyDescent="0.2">
      <c r="A1523">
        <v>2020</v>
      </c>
      <c r="B1523" s="36">
        <v>2075</v>
      </c>
      <c r="C1523" s="90" t="str">
        <f>VLOOKUP(B1523,'All Districts'!$A$3:$B$874,2,FALSE)</f>
        <v>Chappaqua</v>
      </c>
      <c r="D1523" s="40">
        <v>4669697</v>
      </c>
      <c r="E1523">
        <f>VLOOKUP(C1523,'All Districts'!$B$3:$C$874,2,FALSE)</f>
        <v>3606990</v>
      </c>
      <c r="F1523" s="91">
        <f>COUNTIF($E$2:$E$7106,E1523)</f>
        <v>9</v>
      </c>
    </row>
    <row r="1524" spans="1:6" x14ac:dyDescent="0.2">
      <c r="A1524" s="10">
        <v>2021</v>
      </c>
      <c r="B1524" s="52">
        <v>2075</v>
      </c>
      <c r="C1524" s="90" t="str">
        <f>VLOOKUP(B1524,'All Districts'!$A$3:$B$874,2,FALSE)</f>
        <v>Chappaqua</v>
      </c>
      <c r="D1524" s="76">
        <v>5112294</v>
      </c>
      <c r="E1524">
        <f>VLOOKUP(C1524,'All Districts'!$B$3:$C$874,2,FALSE)</f>
        <v>3606990</v>
      </c>
      <c r="F1524" s="91">
        <f>COUNTIF($E$2:$E$7106,E1524)</f>
        <v>9</v>
      </c>
    </row>
    <row r="1525" spans="1:6" x14ac:dyDescent="0.2">
      <c r="A1525">
        <v>2022</v>
      </c>
      <c r="B1525" s="36">
        <v>2075</v>
      </c>
      <c r="C1525" s="90" t="str">
        <f>VLOOKUP(B1525,'All Districts'!$A$3:$B$874,2,FALSE)</f>
        <v>Chappaqua</v>
      </c>
      <c r="D1525" s="82">
        <v>5381848</v>
      </c>
      <c r="E1525">
        <f>VLOOKUP(C1525,'All Districts'!$B$3:$C$874,2,FALSE)</f>
        <v>3606990</v>
      </c>
      <c r="F1525" s="91">
        <f>COUNTIF($E$2:$E$7106,E1525)</f>
        <v>9</v>
      </c>
    </row>
    <row r="1526" spans="1:6" x14ac:dyDescent="0.2">
      <c r="A1526">
        <v>2023</v>
      </c>
      <c r="B1526" s="36">
        <v>2075</v>
      </c>
      <c r="C1526" s="90" t="str">
        <f>VLOOKUP(B1526,'All Districts'!$A$3:$B$874,2,FALSE)</f>
        <v>Chappaqua</v>
      </c>
      <c r="D1526" s="40">
        <v>5661486</v>
      </c>
      <c r="E1526">
        <f>VLOOKUP(C1526,'All Districts'!$B$3:$C$874,2,FALSE)</f>
        <v>3606990</v>
      </c>
      <c r="F1526" s="91">
        <f>COUNTIF($E$2:$E$7106,E1526)</f>
        <v>9</v>
      </c>
    </row>
    <row r="1527" spans="1:6" x14ac:dyDescent="0.2">
      <c r="A1527">
        <v>2015</v>
      </c>
      <c r="B1527" s="13">
        <v>3981</v>
      </c>
      <c r="C1527" s="90" t="str">
        <f>VLOOKUP(B1527,'All Districts'!$A$3:$B$874,2,FALSE)</f>
        <v>Charlotte Valley</v>
      </c>
      <c r="D1527" s="14">
        <v>414217</v>
      </c>
      <c r="E1527">
        <f>VLOOKUP(C1527,'All Districts'!$B$3:$C$874,2,FALSE)</f>
        <v>3607050</v>
      </c>
      <c r="F1527" s="91">
        <f>COUNTIF($E$2:$E$7106,E1527)</f>
        <v>9</v>
      </c>
    </row>
    <row r="1528" spans="1:6" x14ac:dyDescent="0.2">
      <c r="A1528">
        <v>2016</v>
      </c>
      <c r="B1528" s="13">
        <v>3981</v>
      </c>
      <c r="C1528" s="90" t="str">
        <f>VLOOKUP(B1528,'All Districts'!$A$3:$B$874,2,FALSE)</f>
        <v>Charlotte Valley</v>
      </c>
      <c r="D1528" s="16">
        <v>334711</v>
      </c>
      <c r="E1528">
        <f>VLOOKUP(C1528,'All Districts'!$B$3:$C$874,2,FALSE)</f>
        <v>3607050</v>
      </c>
      <c r="F1528" s="91">
        <f>COUNTIF($E$2:$E$7106,E1528)</f>
        <v>9</v>
      </c>
    </row>
    <row r="1529" spans="1:6" x14ac:dyDescent="0.2">
      <c r="A1529">
        <v>2017</v>
      </c>
      <c r="B1529" s="13">
        <v>3981</v>
      </c>
      <c r="C1529" s="90" t="str">
        <f>VLOOKUP(B1529,'All Districts'!$A$3:$B$874,2,FALSE)</f>
        <v>Charlotte Valley</v>
      </c>
      <c r="D1529" s="16">
        <v>316120</v>
      </c>
      <c r="E1529">
        <f>VLOOKUP(C1529,'All Districts'!$B$3:$C$874,2,FALSE)</f>
        <v>3607050</v>
      </c>
      <c r="F1529" s="91">
        <f>COUNTIF($E$2:$E$7106,E1529)</f>
        <v>9</v>
      </c>
    </row>
    <row r="1530" spans="1:6" x14ac:dyDescent="0.2">
      <c r="A1530" s="10">
        <v>2018</v>
      </c>
      <c r="B1530" s="13">
        <v>3981</v>
      </c>
      <c r="C1530" s="90" t="str">
        <f>VLOOKUP(B1530,'All Districts'!$A$3:$B$874,2,FALSE)</f>
        <v>Charlotte Valley</v>
      </c>
      <c r="D1530" s="15">
        <v>274361</v>
      </c>
      <c r="E1530">
        <f>VLOOKUP(C1530,'All Districts'!$B$3:$C$874,2,FALSE)</f>
        <v>3607050</v>
      </c>
      <c r="F1530" s="91">
        <f>COUNTIF($E$2:$E$7106,E1530)</f>
        <v>9</v>
      </c>
    </row>
    <row r="1531" spans="1:6" x14ac:dyDescent="0.2">
      <c r="A1531">
        <v>2019</v>
      </c>
      <c r="B1531" s="36">
        <v>3981</v>
      </c>
      <c r="C1531" s="90" t="str">
        <f>VLOOKUP(B1531,'All Districts'!$A$3:$B$874,2,FALSE)</f>
        <v>Charlotte Valley</v>
      </c>
      <c r="D1531" s="40">
        <v>308712</v>
      </c>
      <c r="E1531">
        <f>VLOOKUP(C1531,'All Districts'!$B$3:$C$874,2,FALSE)</f>
        <v>3607050</v>
      </c>
      <c r="F1531" s="91">
        <f>COUNTIF($E$2:$E$7106,E1531)</f>
        <v>9</v>
      </c>
    </row>
    <row r="1532" spans="1:6" x14ac:dyDescent="0.2">
      <c r="A1532">
        <v>2020</v>
      </c>
      <c r="B1532" s="36">
        <v>3981</v>
      </c>
      <c r="C1532" s="90" t="str">
        <f>VLOOKUP(B1532,'All Districts'!$A$3:$B$874,2,FALSE)</f>
        <v>Charlotte Valley</v>
      </c>
      <c r="D1532" s="40">
        <v>275969</v>
      </c>
      <c r="E1532">
        <f>VLOOKUP(C1532,'All Districts'!$B$3:$C$874,2,FALSE)</f>
        <v>3607050</v>
      </c>
      <c r="F1532" s="91">
        <f>COUNTIF($E$2:$E$7106,E1532)</f>
        <v>9</v>
      </c>
    </row>
    <row r="1533" spans="1:6" x14ac:dyDescent="0.2">
      <c r="A1533" s="10">
        <v>2021</v>
      </c>
      <c r="B1533" s="55">
        <v>3981</v>
      </c>
      <c r="C1533" s="90" t="str">
        <f>VLOOKUP(B1533,'All Districts'!$A$3:$B$874,2,FALSE)</f>
        <v>Charlotte Valley</v>
      </c>
      <c r="D1533" s="76">
        <v>314639</v>
      </c>
      <c r="E1533">
        <f>VLOOKUP(C1533,'All Districts'!$B$3:$C$874,2,FALSE)</f>
        <v>3607050</v>
      </c>
      <c r="F1533" s="91">
        <f>COUNTIF($E$2:$E$7106,E1533)</f>
        <v>9</v>
      </c>
    </row>
    <row r="1534" spans="1:6" x14ac:dyDescent="0.2">
      <c r="A1534">
        <v>2022</v>
      </c>
      <c r="B1534" s="36">
        <v>3981</v>
      </c>
      <c r="C1534" s="90" t="str">
        <f>VLOOKUP(B1534,'All Districts'!$A$3:$B$874,2,FALSE)</f>
        <v>Charlotte Valley</v>
      </c>
      <c r="D1534" s="82">
        <v>350010</v>
      </c>
      <c r="E1534">
        <f>VLOOKUP(C1534,'All Districts'!$B$3:$C$874,2,FALSE)</f>
        <v>3607050</v>
      </c>
      <c r="F1534" s="91">
        <f>COUNTIF($E$2:$E$7106,E1534)</f>
        <v>9</v>
      </c>
    </row>
    <row r="1535" spans="1:6" x14ac:dyDescent="0.2">
      <c r="A1535">
        <v>2023</v>
      </c>
      <c r="B1535" s="36">
        <v>3981</v>
      </c>
      <c r="C1535" s="90" t="str">
        <f>VLOOKUP(B1535,'All Districts'!$A$3:$B$874,2,FALSE)</f>
        <v>Charlotte Valley</v>
      </c>
      <c r="D1535" s="40">
        <v>358216</v>
      </c>
      <c r="E1535">
        <f>VLOOKUP(C1535,'All Districts'!$B$3:$C$874,2,FALSE)</f>
        <v>3607050</v>
      </c>
      <c r="F1535" s="91">
        <f>COUNTIF($E$2:$E$7106,E1535)</f>
        <v>9</v>
      </c>
    </row>
    <row r="1536" spans="1:6" x14ac:dyDescent="0.2">
      <c r="A1536">
        <v>2015</v>
      </c>
      <c r="B1536" s="13">
        <v>8428</v>
      </c>
      <c r="C1536" s="90" t="str">
        <f>VLOOKUP(B1536,'All Districts'!$A$3:$B$874,2,FALSE)</f>
        <v>Charter School of Educational Excellence</v>
      </c>
      <c r="D1536" s="16">
        <v>544877</v>
      </c>
      <c r="E1536">
        <f>VLOOKUP(C1536,'All Districts'!$B$3:$C$874,2,FALSE)</f>
        <v>3600155</v>
      </c>
      <c r="F1536" s="91">
        <f>COUNTIF($E$2:$E$7106,E1536)</f>
        <v>9</v>
      </c>
    </row>
    <row r="1537" spans="1:6" x14ac:dyDescent="0.2">
      <c r="A1537">
        <v>2016</v>
      </c>
      <c r="B1537" s="13">
        <v>8428</v>
      </c>
      <c r="C1537" s="90" t="str">
        <f>VLOOKUP(B1537,'All Districts'!$A$3:$B$874,2,FALSE)</f>
        <v>Charter School of Educational Excellence</v>
      </c>
      <c r="D1537" s="16">
        <v>428843</v>
      </c>
      <c r="E1537">
        <f>VLOOKUP(C1537,'All Districts'!$B$3:$C$874,2,FALSE)</f>
        <v>3600155</v>
      </c>
      <c r="F1537" s="91">
        <f>COUNTIF($E$2:$E$7106,E1537)</f>
        <v>9</v>
      </c>
    </row>
    <row r="1538" spans="1:6" x14ac:dyDescent="0.2">
      <c r="A1538">
        <v>2017</v>
      </c>
      <c r="B1538" s="13">
        <v>8428</v>
      </c>
      <c r="C1538" s="90" t="str">
        <f>VLOOKUP(B1538,'All Districts'!$A$3:$B$874,2,FALSE)</f>
        <v>Charter School of Educational Excellence</v>
      </c>
      <c r="D1538" s="16">
        <v>412592</v>
      </c>
      <c r="E1538">
        <f>VLOOKUP(C1538,'All Districts'!$B$3:$C$874,2,FALSE)</f>
        <v>3600155</v>
      </c>
      <c r="F1538" s="91">
        <f>COUNTIF($E$2:$E$7106,E1538)</f>
        <v>9</v>
      </c>
    </row>
    <row r="1539" spans="1:6" x14ac:dyDescent="0.2">
      <c r="A1539" s="10">
        <v>2018</v>
      </c>
      <c r="B1539" s="13">
        <v>8428</v>
      </c>
      <c r="C1539" s="90" t="str">
        <f>VLOOKUP(B1539,'All Districts'!$A$3:$B$874,2,FALSE)</f>
        <v>Charter School of Educational Excellence</v>
      </c>
      <c r="D1539" s="15">
        <v>364853</v>
      </c>
      <c r="E1539">
        <f>VLOOKUP(C1539,'All Districts'!$B$3:$C$874,2,FALSE)</f>
        <v>3600155</v>
      </c>
      <c r="F1539" s="91">
        <f>COUNTIF($E$2:$E$7106,E1539)</f>
        <v>9</v>
      </c>
    </row>
    <row r="1540" spans="1:6" x14ac:dyDescent="0.2">
      <c r="A1540">
        <v>2019</v>
      </c>
      <c r="B1540" s="36">
        <v>8428</v>
      </c>
      <c r="C1540" s="90" t="str">
        <f>VLOOKUP(B1540,'All Districts'!$A$3:$B$874,2,FALSE)</f>
        <v>Charter School of Educational Excellence</v>
      </c>
      <c r="D1540" s="40">
        <v>427475</v>
      </c>
      <c r="E1540">
        <f>VLOOKUP(C1540,'All Districts'!$B$3:$C$874,2,FALSE)</f>
        <v>3600155</v>
      </c>
      <c r="F1540" s="91">
        <f>COUNTIF($E$2:$E$7106,E1540)</f>
        <v>9</v>
      </c>
    </row>
    <row r="1541" spans="1:6" x14ac:dyDescent="0.2">
      <c r="A1541">
        <v>2020</v>
      </c>
      <c r="B1541" s="36">
        <v>8428</v>
      </c>
      <c r="C1541" s="90" t="str">
        <f>VLOOKUP(B1541,'All Districts'!$A$3:$B$874,2,FALSE)</f>
        <v>Charter School of Educational Excellence</v>
      </c>
      <c r="D1541" s="40">
        <v>424263</v>
      </c>
      <c r="E1541">
        <f>VLOOKUP(C1541,'All Districts'!$B$3:$C$874,2,FALSE)</f>
        <v>3600155</v>
      </c>
      <c r="F1541" s="91">
        <f>COUNTIF($E$2:$E$7106,E1541)</f>
        <v>9</v>
      </c>
    </row>
    <row r="1542" spans="1:6" x14ac:dyDescent="0.2">
      <c r="A1542" s="10">
        <v>2021</v>
      </c>
      <c r="B1542" s="55">
        <v>8428</v>
      </c>
      <c r="C1542" s="90" t="str">
        <f>VLOOKUP(B1542,'All Districts'!$A$3:$B$874,2,FALSE)</f>
        <v>Charter School of Educational Excellence</v>
      </c>
      <c r="D1542" s="76">
        <v>557132</v>
      </c>
      <c r="E1542">
        <f>VLOOKUP(C1542,'All Districts'!$B$3:$C$874,2,FALSE)</f>
        <v>3600155</v>
      </c>
      <c r="F1542" s="91">
        <f>COUNTIF($E$2:$E$7106,E1542)</f>
        <v>9</v>
      </c>
    </row>
    <row r="1543" spans="1:6" x14ac:dyDescent="0.2">
      <c r="A1543">
        <v>2022</v>
      </c>
      <c r="B1543" s="36">
        <v>8428</v>
      </c>
      <c r="C1543" s="90" t="str">
        <f>VLOOKUP(B1543,'All Districts'!$A$3:$B$874,2,FALSE)</f>
        <v>Charter School of Educational Excellence</v>
      </c>
      <c r="D1543" s="82">
        <v>603008</v>
      </c>
      <c r="E1543">
        <f>VLOOKUP(C1543,'All Districts'!$B$3:$C$874,2,FALSE)</f>
        <v>3600155</v>
      </c>
      <c r="F1543" s="91">
        <f>COUNTIF($E$2:$E$7106,E1543)</f>
        <v>9</v>
      </c>
    </row>
    <row r="1544" spans="1:6" x14ac:dyDescent="0.2">
      <c r="A1544">
        <v>2023</v>
      </c>
      <c r="B1544" s="36">
        <v>8428</v>
      </c>
      <c r="C1544" s="90" t="str">
        <f>VLOOKUP(B1544,'All Districts'!$A$3:$B$874,2,FALSE)</f>
        <v>Charter School of Educational Excellence</v>
      </c>
      <c r="D1544" s="40">
        <v>812085</v>
      </c>
      <c r="E1544">
        <f>VLOOKUP(C1544,'All Districts'!$B$3:$C$874,2,FALSE)</f>
        <v>3600155</v>
      </c>
      <c r="F1544" s="91">
        <f>COUNTIF($E$2:$E$7106,E1544)</f>
        <v>9</v>
      </c>
    </row>
    <row r="1545" spans="1:6" x14ac:dyDescent="0.2">
      <c r="A1545">
        <v>2015</v>
      </c>
      <c r="B1545" s="13">
        <v>3805</v>
      </c>
      <c r="C1545" s="90" t="str">
        <f>VLOOKUP(B1545,'All Districts'!$A$3:$B$874,2,FALSE)</f>
        <v>Chateaugay</v>
      </c>
      <c r="D1545" s="14">
        <v>624757</v>
      </c>
      <c r="E1545">
        <f>VLOOKUP(C1545,'All Districts'!$B$3:$C$874,2,FALSE)</f>
        <v>3607080</v>
      </c>
      <c r="F1545" s="91">
        <f>COUNTIF($E$2:$E$7106,E1545)</f>
        <v>9</v>
      </c>
    </row>
    <row r="1546" spans="1:6" x14ac:dyDescent="0.2">
      <c r="A1546">
        <v>2016</v>
      </c>
      <c r="B1546" s="13">
        <v>3805</v>
      </c>
      <c r="C1546" s="90" t="str">
        <f>VLOOKUP(B1546,'All Districts'!$A$3:$B$874,2,FALSE)</f>
        <v>Chateaugay</v>
      </c>
      <c r="D1546" s="16">
        <v>475473</v>
      </c>
      <c r="E1546">
        <f>VLOOKUP(C1546,'All Districts'!$B$3:$C$874,2,FALSE)</f>
        <v>3607080</v>
      </c>
      <c r="F1546" s="91">
        <f>COUNTIF($E$2:$E$7106,E1546)</f>
        <v>9</v>
      </c>
    </row>
    <row r="1547" spans="1:6" x14ac:dyDescent="0.2">
      <c r="A1547">
        <v>2017</v>
      </c>
      <c r="B1547" s="13">
        <v>3805</v>
      </c>
      <c r="C1547" s="90" t="str">
        <f>VLOOKUP(B1547,'All Districts'!$A$3:$B$874,2,FALSE)</f>
        <v>Chateaugay</v>
      </c>
      <c r="D1547" s="16">
        <v>434269</v>
      </c>
      <c r="E1547">
        <f>VLOOKUP(C1547,'All Districts'!$B$3:$C$874,2,FALSE)</f>
        <v>3607080</v>
      </c>
      <c r="F1547" s="91">
        <f>COUNTIF($E$2:$E$7106,E1547)</f>
        <v>9</v>
      </c>
    </row>
    <row r="1548" spans="1:6" x14ac:dyDescent="0.2">
      <c r="A1548" s="10">
        <v>2018</v>
      </c>
      <c r="B1548" s="13">
        <v>3805</v>
      </c>
      <c r="C1548" s="90" t="str">
        <f>VLOOKUP(B1548,'All Districts'!$A$3:$B$874,2,FALSE)</f>
        <v>Chateaugay</v>
      </c>
      <c r="D1548" s="15">
        <v>370200</v>
      </c>
      <c r="E1548">
        <f>VLOOKUP(C1548,'All Districts'!$B$3:$C$874,2,FALSE)</f>
        <v>3607080</v>
      </c>
      <c r="F1548" s="91">
        <f>COUNTIF($E$2:$E$7106,E1548)</f>
        <v>9</v>
      </c>
    </row>
    <row r="1549" spans="1:6" x14ac:dyDescent="0.2">
      <c r="A1549">
        <v>2019</v>
      </c>
      <c r="B1549" s="36">
        <v>3805</v>
      </c>
      <c r="C1549" s="90" t="str">
        <f>VLOOKUP(B1549,'All Districts'!$A$3:$B$874,2,FALSE)</f>
        <v>Chateaugay</v>
      </c>
      <c r="D1549" s="40">
        <v>431634</v>
      </c>
      <c r="E1549">
        <f>VLOOKUP(C1549,'All Districts'!$B$3:$C$874,2,FALSE)</f>
        <v>3607080</v>
      </c>
      <c r="F1549" s="91">
        <f>COUNTIF($E$2:$E$7106,E1549)</f>
        <v>9</v>
      </c>
    </row>
    <row r="1550" spans="1:6" x14ac:dyDescent="0.2">
      <c r="A1550">
        <v>2020</v>
      </c>
      <c r="B1550" s="36">
        <v>3805</v>
      </c>
      <c r="C1550" s="90" t="str">
        <f>VLOOKUP(B1550,'All Districts'!$A$3:$B$874,2,FALSE)</f>
        <v>Chateaugay</v>
      </c>
      <c r="D1550" s="40">
        <v>383336</v>
      </c>
      <c r="E1550">
        <f>VLOOKUP(C1550,'All Districts'!$B$3:$C$874,2,FALSE)</f>
        <v>3607080</v>
      </c>
      <c r="F1550" s="91">
        <f>COUNTIF($E$2:$E$7106,E1550)</f>
        <v>9</v>
      </c>
    </row>
    <row r="1551" spans="1:6" x14ac:dyDescent="0.2">
      <c r="A1551" s="10">
        <v>2021</v>
      </c>
      <c r="B1551" s="52">
        <v>3805</v>
      </c>
      <c r="C1551" s="90" t="str">
        <f>VLOOKUP(B1551,'All Districts'!$A$3:$B$874,2,FALSE)</f>
        <v>Chateaugay</v>
      </c>
      <c r="D1551" s="75">
        <v>419477</v>
      </c>
      <c r="E1551">
        <f>VLOOKUP(C1551,'All Districts'!$B$3:$C$874,2,FALSE)</f>
        <v>3607080</v>
      </c>
      <c r="F1551" s="91">
        <f>COUNTIF($E$2:$E$7106,E1551)</f>
        <v>9</v>
      </c>
    </row>
    <row r="1552" spans="1:6" x14ac:dyDescent="0.2">
      <c r="A1552">
        <v>2022</v>
      </c>
      <c r="B1552" s="36">
        <v>3805</v>
      </c>
      <c r="C1552" s="90" t="str">
        <f>VLOOKUP(B1552,'All Districts'!$A$3:$B$874,2,FALSE)</f>
        <v>Chateaugay</v>
      </c>
      <c r="D1552" s="82">
        <v>469330</v>
      </c>
      <c r="E1552">
        <f>VLOOKUP(C1552,'All Districts'!$B$3:$C$874,2,FALSE)</f>
        <v>3607080</v>
      </c>
      <c r="F1552" s="91">
        <f>COUNTIF($E$2:$E$7106,E1552)</f>
        <v>9</v>
      </c>
    </row>
    <row r="1553" spans="1:6" x14ac:dyDescent="0.2">
      <c r="A1553">
        <v>2023</v>
      </c>
      <c r="B1553" s="36">
        <v>3805</v>
      </c>
      <c r="C1553" s="90" t="str">
        <f>VLOOKUP(B1553,'All Districts'!$A$3:$B$874,2,FALSE)</f>
        <v>Chateaugay</v>
      </c>
      <c r="D1553" s="40">
        <v>538510</v>
      </c>
      <c r="E1553">
        <f>VLOOKUP(C1553,'All Districts'!$B$3:$C$874,2,FALSE)</f>
        <v>3607080</v>
      </c>
      <c r="F1553" s="91">
        <f>COUNTIF($E$2:$E$7106,E1553)</f>
        <v>9</v>
      </c>
    </row>
    <row r="1554" spans="1:6" x14ac:dyDescent="0.2">
      <c r="A1554">
        <v>2015</v>
      </c>
      <c r="B1554" s="13">
        <v>4906</v>
      </c>
      <c r="C1554" s="90" t="str">
        <f>VLOOKUP(B1554,'All Districts'!$A$3:$B$874,2,FALSE)</f>
        <v>Chatham</v>
      </c>
      <c r="D1554" s="14">
        <v>1584101</v>
      </c>
      <c r="E1554">
        <f>VLOOKUP(C1554,'All Districts'!$B$3:$C$874,2,FALSE)</f>
        <v>3607110</v>
      </c>
      <c r="F1554" s="91">
        <f>COUNTIF($E$2:$E$7106,E1554)</f>
        <v>9</v>
      </c>
    </row>
    <row r="1555" spans="1:6" x14ac:dyDescent="0.2">
      <c r="A1555">
        <v>2016</v>
      </c>
      <c r="B1555" s="13">
        <v>4906</v>
      </c>
      <c r="C1555" s="90" t="str">
        <f>VLOOKUP(B1555,'All Districts'!$A$3:$B$874,2,FALSE)</f>
        <v>Chatham</v>
      </c>
      <c r="D1555" s="16">
        <v>1217588</v>
      </c>
      <c r="E1555">
        <f>VLOOKUP(C1555,'All Districts'!$B$3:$C$874,2,FALSE)</f>
        <v>3607110</v>
      </c>
      <c r="F1555" s="91">
        <f>COUNTIF($E$2:$E$7106,E1555)</f>
        <v>9</v>
      </c>
    </row>
    <row r="1556" spans="1:6" x14ac:dyDescent="0.2">
      <c r="A1556">
        <v>2017</v>
      </c>
      <c r="B1556" s="13">
        <v>4906</v>
      </c>
      <c r="C1556" s="90" t="str">
        <f>VLOOKUP(B1556,'All Districts'!$A$3:$B$874,2,FALSE)</f>
        <v>Chatham</v>
      </c>
      <c r="D1556" s="16">
        <v>1093716</v>
      </c>
      <c r="E1556">
        <f>VLOOKUP(C1556,'All Districts'!$B$3:$C$874,2,FALSE)</f>
        <v>3607110</v>
      </c>
      <c r="F1556" s="91">
        <f>COUNTIF($E$2:$E$7106,E1556)</f>
        <v>9</v>
      </c>
    </row>
    <row r="1557" spans="1:6" x14ac:dyDescent="0.2">
      <c r="A1557" s="10">
        <v>2018</v>
      </c>
      <c r="B1557" s="13">
        <v>4906</v>
      </c>
      <c r="C1557" s="90" t="str">
        <f>VLOOKUP(B1557,'All Districts'!$A$3:$B$874,2,FALSE)</f>
        <v>Chatham</v>
      </c>
      <c r="D1557" s="15">
        <v>957931</v>
      </c>
      <c r="E1557">
        <f>VLOOKUP(C1557,'All Districts'!$B$3:$C$874,2,FALSE)</f>
        <v>3607110</v>
      </c>
      <c r="F1557" s="91">
        <f>COUNTIF($E$2:$E$7106,E1557)</f>
        <v>9</v>
      </c>
    </row>
    <row r="1558" spans="1:6" x14ac:dyDescent="0.2">
      <c r="A1558">
        <v>2019</v>
      </c>
      <c r="B1558" s="36">
        <v>4906</v>
      </c>
      <c r="C1558" s="90" t="str">
        <f>VLOOKUP(B1558,'All Districts'!$A$3:$B$874,2,FALSE)</f>
        <v>Chatham</v>
      </c>
      <c r="D1558" s="40">
        <v>1049858</v>
      </c>
      <c r="E1558">
        <f>VLOOKUP(C1558,'All Districts'!$B$3:$C$874,2,FALSE)</f>
        <v>3607110</v>
      </c>
      <c r="F1558" s="91">
        <f>COUNTIF($E$2:$E$7106,E1558)</f>
        <v>9</v>
      </c>
    </row>
    <row r="1559" spans="1:6" x14ac:dyDescent="0.2">
      <c r="A1559">
        <v>2020</v>
      </c>
      <c r="B1559" s="36">
        <v>4906</v>
      </c>
      <c r="C1559" s="90" t="str">
        <f>VLOOKUP(B1559,'All Districts'!$A$3:$B$874,2,FALSE)</f>
        <v>Chatham</v>
      </c>
      <c r="D1559" s="40">
        <v>890366</v>
      </c>
      <c r="E1559">
        <f>VLOOKUP(C1559,'All Districts'!$B$3:$C$874,2,FALSE)</f>
        <v>3607110</v>
      </c>
      <c r="F1559" s="91">
        <f>COUNTIF($E$2:$E$7106,E1559)</f>
        <v>9</v>
      </c>
    </row>
    <row r="1560" spans="1:6" x14ac:dyDescent="0.2">
      <c r="A1560" s="10">
        <v>2021</v>
      </c>
      <c r="B1560" s="52">
        <v>4906</v>
      </c>
      <c r="C1560" s="90" t="str">
        <f>VLOOKUP(B1560,'All Districts'!$A$3:$B$874,2,FALSE)</f>
        <v>Chatham</v>
      </c>
      <c r="D1560" s="76">
        <v>986779</v>
      </c>
      <c r="E1560">
        <f>VLOOKUP(C1560,'All Districts'!$B$3:$C$874,2,FALSE)</f>
        <v>3607110</v>
      </c>
      <c r="F1560" s="91">
        <f>COUNTIF($E$2:$E$7106,E1560)</f>
        <v>9</v>
      </c>
    </row>
    <row r="1561" spans="1:6" x14ac:dyDescent="0.2">
      <c r="A1561">
        <v>2022</v>
      </c>
      <c r="B1561" s="36">
        <v>4906</v>
      </c>
      <c r="C1561" s="90" t="str">
        <f>VLOOKUP(B1561,'All Districts'!$A$3:$B$874,2,FALSE)</f>
        <v>Chatham</v>
      </c>
      <c r="D1561" s="82">
        <v>1044959</v>
      </c>
      <c r="E1561">
        <f>VLOOKUP(C1561,'All Districts'!$B$3:$C$874,2,FALSE)</f>
        <v>3607110</v>
      </c>
      <c r="F1561" s="91">
        <f>COUNTIF($E$2:$E$7106,E1561)</f>
        <v>9</v>
      </c>
    </row>
    <row r="1562" spans="1:6" x14ac:dyDescent="0.2">
      <c r="A1562">
        <v>2023</v>
      </c>
      <c r="B1562" s="36">
        <v>4906</v>
      </c>
      <c r="C1562" s="90" t="str">
        <f>VLOOKUP(B1562,'All Districts'!$A$3:$B$874,2,FALSE)</f>
        <v>Chatham</v>
      </c>
      <c r="D1562" s="40">
        <v>1131921</v>
      </c>
      <c r="E1562">
        <f>VLOOKUP(C1562,'All Districts'!$B$3:$C$874,2,FALSE)</f>
        <v>3607110</v>
      </c>
      <c r="F1562" s="91">
        <f>COUNTIF($E$2:$E$7106,E1562)</f>
        <v>9</v>
      </c>
    </row>
    <row r="1563" spans="1:6" x14ac:dyDescent="0.2">
      <c r="A1563">
        <v>2015</v>
      </c>
      <c r="B1563" s="13">
        <v>3303</v>
      </c>
      <c r="C1563" s="90" t="str">
        <f>VLOOKUP(B1563,'All Districts'!$A$3:$B$874,2,FALSE)</f>
        <v>Chautauqua Lake</v>
      </c>
      <c r="D1563" s="14">
        <v>1194436</v>
      </c>
      <c r="E1563">
        <f>VLOOKUP(C1563,'All Districts'!$B$3:$C$874,2,FALSE)</f>
        <v>3600018</v>
      </c>
      <c r="F1563" s="91">
        <f>COUNTIF($E$2:$E$7106,E1563)</f>
        <v>9</v>
      </c>
    </row>
    <row r="1564" spans="1:6" x14ac:dyDescent="0.2">
      <c r="A1564">
        <v>2016</v>
      </c>
      <c r="B1564" s="13">
        <v>3303</v>
      </c>
      <c r="C1564" s="90" t="str">
        <f>VLOOKUP(B1564,'All Districts'!$A$3:$B$874,2,FALSE)</f>
        <v>Chautauqua Lake</v>
      </c>
      <c r="D1564" s="16">
        <v>892230</v>
      </c>
      <c r="E1564">
        <f>VLOOKUP(C1564,'All Districts'!$B$3:$C$874,2,FALSE)</f>
        <v>3600018</v>
      </c>
      <c r="F1564" s="91">
        <f>COUNTIF($E$2:$E$7106,E1564)</f>
        <v>9</v>
      </c>
    </row>
    <row r="1565" spans="1:6" x14ac:dyDescent="0.2">
      <c r="A1565">
        <v>2017</v>
      </c>
      <c r="B1565" s="13">
        <v>3303</v>
      </c>
      <c r="C1565" s="90" t="str">
        <f>VLOOKUP(B1565,'All Districts'!$A$3:$B$874,2,FALSE)</f>
        <v>Chautauqua Lake</v>
      </c>
      <c r="D1565" s="16">
        <v>792334</v>
      </c>
      <c r="E1565">
        <f>VLOOKUP(C1565,'All Districts'!$B$3:$C$874,2,FALSE)</f>
        <v>3600018</v>
      </c>
      <c r="F1565" s="91">
        <f>COUNTIF($E$2:$E$7106,E1565)</f>
        <v>9</v>
      </c>
    </row>
    <row r="1566" spans="1:6" x14ac:dyDescent="0.2">
      <c r="A1566" s="10">
        <v>2018</v>
      </c>
      <c r="B1566" s="13">
        <v>3303</v>
      </c>
      <c r="C1566" s="90" t="str">
        <f>VLOOKUP(B1566,'All Districts'!$A$3:$B$874,2,FALSE)</f>
        <v>Chautauqua Lake</v>
      </c>
      <c r="D1566" s="15">
        <v>682741</v>
      </c>
      <c r="E1566">
        <f>VLOOKUP(C1566,'All Districts'!$B$3:$C$874,2,FALSE)</f>
        <v>3600018</v>
      </c>
      <c r="F1566" s="91">
        <f>COUNTIF($E$2:$E$7106,E1566)</f>
        <v>9</v>
      </c>
    </row>
    <row r="1567" spans="1:6" x14ac:dyDescent="0.2">
      <c r="A1567">
        <v>2019</v>
      </c>
      <c r="B1567" s="36">
        <v>3303</v>
      </c>
      <c r="C1567" s="90" t="str">
        <f>VLOOKUP(B1567,'All Districts'!$A$3:$B$874,2,FALSE)</f>
        <v>Chautauqua Lake</v>
      </c>
      <c r="D1567" s="40">
        <v>744840</v>
      </c>
      <c r="E1567">
        <f>VLOOKUP(C1567,'All Districts'!$B$3:$C$874,2,FALSE)</f>
        <v>3600018</v>
      </c>
      <c r="F1567" s="91">
        <f>COUNTIF($E$2:$E$7106,E1567)</f>
        <v>9</v>
      </c>
    </row>
    <row r="1568" spans="1:6" x14ac:dyDescent="0.2">
      <c r="A1568">
        <v>2020</v>
      </c>
      <c r="B1568" s="36">
        <v>3303</v>
      </c>
      <c r="C1568" s="90" t="str">
        <f>VLOOKUP(B1568,'All Districts'!$A$3:$B$874,2,FALSE)</f>
        <v>Chautauqua Lake</v>
      </c>
      <c r="D1568" s="40">
        <v>628388</v>
      </c>
      <c r="E1568">
        <f>VLOOKUP(C1568,'All Districts'!$B$3:$C$874,2,FALSE)</f>
        <v>3600018</v>
      </c>
      <c r="F1568" s="91">
        <f>COUNTIF($E$2:$E$7106,E1568)</f>
        <v>9</v>
      </c>
    </row>
    <row r="1569" spans="1:6" x14ac:dyDescent="0.2">
      <c r="A1569" s="10">
        <v>2021</v>
      </c>
      <c r="B1569" s="52">
        <v>3303</v>
      </c>
      <c r="C1569" s="90" t="str">
        <f>VLOOKUP(B1569,'All Districts'!$A$3:$B$874,2,FALSE)</f>
        <v>Chautauqua Lake</v>
      </c>
      <c r="D1569" s="76">
        <v>666816</v>
      </c>
      <c r="E1569">
        <f>VLOOKUP(C1569,'All Districts'!$B$3:$C$874,2,FALSE)</f>
        <v>3600018</v>
      </c>
      <c r="F1569" s="91">
        <f>COUNTIF($E$2:$E$7106,E1569)</f>
        <v>9</v>
      </c>
    </row>
    <row r="1570" spans="1:6" x14ac:dyDescent="0.2">
      <c r="A1570">
        <v>2022</v>
      </c>
      <c r="B1570" s="36">
        <v>3303</v>
      </c>
      <c r="C1570" s="90" t="str">
        <f>VLOOKUP(B1570,'All Districts'!$A$3:$B$874,2,FALSE)</f>
        <v>Chautauqua Lake</v>
      </c>
      <c r="D1570" s="82">
        <v>680199</v>
      </c>
      <c r="E1570">
        <f>VLOOKUP(C1570,'All Districts'!$B$3:$C$874,2,FALSE)</f>
        <v>3600018</v>
      </c>
      <c r="F1570" s="91">
        <f>COUNTIF($E$2:$E$7106,E1570)</f>
        <v>9</v>
      </c>
    </row>
    <row r="1571" spans="1:6" x14ac:dyDescent="0.2">
      <c r="A1571">
        <v>2023</v>
      </c>
      <c r="B1571" s="36">
        <v>3303</v>
      </c>
      <c r="C1571" s="90" t="str">
        <f>VLOOKUP(B1571,'All Districts'!$A$3:$B$874,2,FALSE)</f>
        <v>Chautauqua Lake</v>
      </c>
      <c r="D1571" s="40">
        <v>753556</v>
      </c>
      <c r="E1571">
        <f>VLOOKUP(C1571,'All Districts'!$B$3:$C$874,2,FALSE)</f>
        <v>3600018</v>
      </c>
      <c r="F1571" s="91">
        <f>COUNTIF($E$2:$E$7106,E1571)</f>
        <v>9</v>
      </c>
    </row>
    <row r="1572" spans="1:6" x14ac:dyDescent="0.2">
      <c r="A1572">
        <v>2015</v>
      </c>
      <c r="B1572" s="13">
        <v>3453</v>
      </c>
      <c r="C1572" s="90" t="str">
        <f>VLOOKUP(B1572,'All Districts'!$A$3:$B$874,2,FALSE)</f>
        <v>Chazy</v>
      </c>
      <c r="D1572" s="14">
        <v>513522</v>
      </c>
      <c r="E1572">
        <f>VLOOKUP(C1572,'All Districts'!$B$3:$C$874,2,FALSE)</f>
        <v>3607170</v>
      </c>
      <c r="F1572" s="91">
        <f>COUNTIF($E$2:$E$7106,E1572)</f>
        <v>9</v>
      </c>
    </row>
    <row r="1573" spans="1:6" x14ac:dyDescent="0.2">
      <c r="A1573">
        <v>2016</v>
      </c>
      <c r="B1573" s="13">
        <v>3453</v>
      </c>
      <c r="C1573" s="90" t="str">
        <f>VLOOKUP(B1573,'All Districts'!$A$3:$B$874,2,FALSE)</f>
        <v>Chazy</v>
      </c>
      <c r="D1573" s="16">
        <v>390995</v>
      </c>
      <c r="E1573">
        <f>VLOOKUP(C1573,'All Districts'!$B$3:$C$874,2,FALSE)</f>
        <v>3607170</v>
      </c>
      <c r="F1573" s="91">
        <f>COUNTIF($E$2:$E$7106,E1573)</f>
        <v>9</v>
      </c>
    </row>
    <row r="1574" spans="1:6" x14ac:dyDescent="0.2">
      <c r="A1574">
        <v>2017</v>
      </c>
      <c r="B1574" s="13">
        <v>3453</v>
      </c>
      <c r="C1574" s="90" t="str">
        <f>VLOOKUP(B1574,'All Districts'!$A$3:$B$874,2,FALSE)</f>
        <v>Chazy</v>
      </c>
      <c r="D1574" s="16">
        <v>362795</v>
      </c>
      <c r="E1574">
        <f>VLOOKUP(C1574,'All Districts'!$B$3:$C$874,2,FALSE)</f>
        <v>3607170</v>
      </c>
      <c r="F1574" s="91">
        <f>COUNTIF($E$2:$E$7106,E1574)</f>
        <v>9</v>
      </c>
    </row>
    <row r="1575" spans="1:6" x14ac:dyDescent="0.2">
      <c r="A1575" s="10">
        <v>2018</v>
      </c>
      <c r="B1575" s="13">
        <v>3453</v>
      </c>
      <c r="C1575" s="90" t="str">
        <f>VLOOKUP(B1575,'All Districts'!$A$3:$B$874,2,FALSE)</f>
        <v>Chazy</v>
      </c>
      <c r="D1575" s="15">
        <v>316813</v>
      </c>
      <c r="E1575">
        <f>VLOOKUP(C1575,'All Districts'!$B$3:$C$874,2,FALSE)</f>
        <v>3607170</v>
      </c>
      <c r="F1575" s="91">
        <f>COUNTIF($E$2:$E$7106,E1575)</f>
        <v>9</v>
      </c>
    </row>
    <row r="1576" spans="1:6" x14ac:dyDescent="0.2">
      <c r="A1576">
        <v>2019</v>
      </c>
      <c r="B1576" s="36">
        <v>3453</v>
      </c>
      <c r="C1576" s="90" t="str">
        <f>VLOOKUP(B1576,'All Districts'!$A$3:$B$874,2,FALSE)</f>
        <v>Chazy</v>
      </c>
      <c r="D1576" s="40">
        <v>333385</v>
      </c>
      <c r="E1576">
        <f>VLOOKUP(C1576,'All Districts'!$B$3:$C$874,2,FALSE)</f>
        <v>3607170</v>
      </c>
      <c r="F1576" s="91">
        <f>COUNTIF($E$2:$E$7106,E1576)</f>
        <v>9</v>
      </c>
    </row>
    <row r="1577" spans="1:6" x14ac:dyDescent="0.2">
      <c r="A1577">
        <v>2020</v>
      </c>
      <c r="B1577" s="36">
        <v>3453</v>
      </c>
      <c r="C1577" s="90" t="str">
        <f>VLOOKUP(B1577,'All Districts'!$A$3:$B$874,2,FALSE)</f>
        <v>Chazy</v>
      </c>
      <c r="D1577" s="40">
        <v>284583</v>
      </c>
      <c r="E1577">
        <f>VLOOKUP(C1577,'All Districts'!$B$3:$C$874,2,FALSE)</f>
        <v>3607170</v>
      </c>
      <c r="F1577" s="91">
        <f>COUNTIF($E$2:$E$7106,E1577)</f>
        <v>9</v>
      </c>
    </row>
    <row r="1578" spans="1:6" x14ac:dyDescent="0.2">
      <c r="A1578" s="10">
        <v>2021</v>
      </c>
      <c r="B1578" s="52">
        <v>3453</v>
      </c>
      <c r="C1578" s="90" t="str">
        <f>VLOOKUP(B1578,'All Districts'!$A$3:$B$874,2,FALSE)</f>
        <v>Chazy</v>
      </c>
      <c r="D1578" s="76">
        <v>317181</v>
      </c>
      <c r="E1578">
        <f>VLOOKUP(C1578,'All Districts'!$B$3:$C$874,2,FALSE)</f>
        <v>3607170</v>
      </c>
      <c r="F1578" s="91">
        <f>COUNTIF($E$2:$E$7106,E1578)</f>
        <v>9</v>
      </c>
    </row>
    <row r="1579" spans="1:6" x14ac:dyDescent="0.2">
      <c r="A1579">
        <v>2022</v>
      </c>
      <c r="B1579" s="36">
        <v>3453</v>
      </c>
      <c r="C1579" s="90" t="str">
        <f>VLOOKUP(B1579,'All Districts'!$A$3:$B$874,2,FALSE)</f>
        <v>Chazy</v>
      </c>
      <c r="D1579" s="82">
        <v>329706</v>
      </c>
      <c r="E1579">
        <f>VLOOKUP(C1579,'All Districts'!$B$3:$C$874,2,FALSE)</f>
        <v>3607170</v>
      </c>
      <c r="F1579" s="91">
        <f>COUNTIF($E$2:$E$7106,E1579)</f>
        <v>9</v>
      </c>
    </row>
    <row r="1580" spans="1:6" x14ac:dyDescent="0.2">
      <c r="A1580">
        <v>2023</v>
      </c>
      <c r="B1580" s="36">
        <v>3453</v>
      </c>
      <c r="C1580" s="90" t="str">
        <f>VLOOKUP(B1580,'All Districts'!$A$3:$B$874,2,FALSE)</f>
        <v>Chazy</v>
      </c>
      <c r="D1580" s="40">
        <v>374983</v>
      </c>
      <c r="E1580">
        <f>VLOOKUP(C1580,'All Districts'!$B$3:$C$874,2,FALSE)</f>
        <v>3607170</v>
      </c>
      <c r="F1580" s="91">
        <f>COUNTIF($E$2:$E$7106,E1580)</f>
        <v>9</v>
      </c>
    </row>
    <row r="1581" spans="1:6" x14ac:dyDescent="0.2">
      <c r="A1581">
        <v>2015</v>
      </c>
      <c r="B1581" s="13">
        <v>2062</v>
      </c>
      <c r="C1581" s="90" t="str">
        <f>VLOOKUP(B1581,'All Districts'!$A$3:$B$874,2,FALSE)</f>
        <v>Cheektowaga</v>
      </c>
      <c r="D1581" s="14">
        <v>2630801</v>
      </c>
      <c r="E1581">
        <f>VLOOKUP(C1581,'All Districts'!$B$3:$C$874,2,FALSE)</f>
        <v>3607230</v>
      </c>
      <c r="F1581" s="91">
        <f>COUNTIF($E$2:$E$7106,E1581)</f>
        <v>9</v>
      </c>
    </row>
    <row r="1582" spans="1:6" x14ac:dyDescent="0.2">
      <c r="A1582">
        <v>2016</v>
      </c>
      <c r="B1582" s="13">
        <v>2062</v>
      </c>
      <c r="C1582" s="90" t="str">
        <f>VLOOKUP(B1582,'All Districts'!$A$3:$B$874,2,FALSE)</f>
        <v>Cheektowaga</v>
      </c>
      <c r="D1582" s="16">
        <v>2032186</v>
      </c>
      <c r="E1582">
        <f>VLOOKUP(C1582,'All Districts'!$B$3:$C$874,2,FALSE)</f>
        <v>3607230</v>
      </c>
      <c r="F1582" s="91">
        <f>COUNTIF($E$2:$E$7106,E1582)</f>
        <v>9</v>
      </c>
    </row>
    <row r="1583" spans="1:6" x14ac:dyDescent="0.2">
      <c r="A1583">
        <v>2017</v>
      </c>
      <c r="B1583" s="13">
        <v>2062</v>
      </c>
      <c r="C1583" s="90" t="str">
        <f>VLOOKUP(B1583,'All Districts'!$A$3:$B$874,2,FALSE)</f>
        <v>Cheektowaga</v>
      </c>
      <c r="D1583" s="16">
        <v>1891467</v>
      </c>
      <c r="E1583">
        <f>VLOOKUP(C1583,'All Districts'!$B$3:$C$874,2,FALSE)</f>
        <v>3607230</v>
      </c>
      <c r="F1583" s="91">
        <f>COUNTIF($E$2:$E$7106,E1583)</f>
        <v>9</v>
      </c>
    </row>
    <row r="1584" spans="1:6" x14ac:dyDescent="0.2">
      <c r="A1584" s="10">
        <v>2018</v>
      </c>
      <c r="B1584" s="13">
        <v>2062</v>
      </c>
      <c r="C1584" s="90" t="str">
        <f>VLOOKUP(B1584,'All Districts'!$A$3:$B$874,2,FALSE)</f>
        <v>Cheektowaga</v>
      </c>
      <c r="D1584" s="15">
        <v>1530092</v>
      </c>
      <c r="E1584">
        <f>VLOOKUP(C1584,'All Districts'!$B$3:$C$874,2,FALSE)</f>
        <v>3607230</v>
      </c>
      <c r="F1584" s="91">
        <f>COUNTIF($E$2:$E$7106,E1584)</f>
        <v>9</v>
      </c>
    </row>
    <row r="1585" spans="1:6" x14ac:dyDescent="0.2">
      <c r="A1585">
        <v>2019</v>
      </c>
      <c r="B1585" s="36">
        <v>2062</v>
      </c>
      <c r="C1585" s="90" t="str">
        <f>VLOOKUP(B1585,'All Districts'!$A$3:$B$874,2,FALSE)</f>
        <v>Cheektowaga</v>
      </c>
      <c r="D1585" s="40">
        <v>1747730</v>
      </c>
      <c r="E1585">
        <f>VLOOKUP(C1585,'All Districts'!$B$3:$C$874,2,FALSE)</f>
        <v>3607230</v>
      </c>
      <c r="F1585" s="91">
        <f>COUNTIF($E$2:$E$7106,E1585)</f>
        <v>9</v>
      </c>
    </row>
    <row r="1586" spans="1:6" x14ac:dyDescent="0.2">
      <c r="A1586">
        <v>2020</v>
      </c>
      <c r="B1586" s="36">
        <v>2062</v>
      </c>
      <c r="C1586" s="90" t="str">
        <f>VLOOKUP(B1586,'All Districts'!$A$3:$B$874,2,FALSE)</f>
        <v>Cheektowaga</v>
      </c>
      <c r="D1586" s="40">
        <v>1519563</v>
      </c>
      <c r="E1586">
        <f>VLOOKUP(C1586,'All Districts'!$B$3:$C$874,2,FALSE)</f>
        <v>3607230</v>
      </c>
      <c r="F1586" s="91">
        <f>COUNTIF($E$2:$E$7106,E1586)</f>
        <v>9</v>
      </c>
    </row>
    <row r="1587" spans="1:6" x14ac:dyDescent="0.2">
      <c r="A1587" s="10">
        <v>2021</v>
      </c>
      <c r="B1587" s="52">
        <v>2062</v>
      </c>
      <c r="C1587" s="90" t="str">
        <f>VLOOKUP(B1587,'All Districts'!$A$3:$B$874,2,FALSE)</f>
        <v>Cheektowaga</v>
      </c>
      <c r="D1587" s="76">
        <v>1515483</v>
      </c>
      <c r="E1587">
        <f>VLOOKUP(C1587,'All Districts'!$B$3:$C$874,2,FALSE)</f>
        <v>3607230</v>
      </c>
      <c r="F1587" s="91">
        <f>COUNTIF($E$2:$E$7106,E1587)</f>
        <v>9</v>
      </c>
    </row>
    <row r="1588" spans="1:6" x14ac:dyDescent="0.2">
      <c r="A1588">
        <v>2022</v>
      </c>
      <c r="B1588" s="36">
        <v>2062</v>
      </c>
      <c r="C1588" s="90" t="str">
        <f>VLOOKUP(B1588,'All Districts'!$A$3:$B$874,2,FALSE)</f>
        <v>Cheektowaga</v>
      </c>
      <c r="D1588" s="82">
        <v>1667074</v>
      </c>
      <c r="E1588">
        <f>VLOOKUP(C1588,'All Districts'!$B$3:$C$874,2,FALSE)</f>
        <v>3607230</v>
      </c>
      <c r="F1588" s="91">
        <f>COUNTIF($E$2:$E$7106,E1588)</f>
        <v>9</v>
      </c>
    </row>
    <row r="1589" spans="1:6" x14ac:dyDescent="0.2">
      <c r="A1589">
        <v>2023</v>
      </c>
      <c r="B1589" s="36">
        <v>2062</v>
      </c>
      <c r="C1589" s="90" t="str">
        <f>VLOOKUP(B1589,'All Districts'!$A$3:$B$874,2,FALSE)</f>
        <v>Cheektowaga</v>
      </c>
      <c r="D1589" s="40">
        <v>1893701</v>
      </c>
      <c r="E1589">
        <f>VLOOKUP(C1589,'All Districts'!$B$3:$C$874,2,FALSE)</f>
        <v>3607230</v>
      </c>
      <c r="F1589" s="91">
        <f>COUNTIF($E$2:$E$7106,E1589)</f>
        <v>9</v>
      </c>
    </row>
    <row r="1590" spans="1:6" x14ac:dyDescent="0.2">
      <c r="A1590">
        <v>2015</v>
      </c>
      <c r="B1590" s="13">
        <v>2362</v>
      </c>
      <c r="C1590" s="90" t="str">
        <f>VLOOKUP(B1590,'All Districts'!$A$3:$B$874,2,FALSE)</f>
        <v>Cheektowaga-Maryvale</v>
      </c>
      <c r="D1590" s="14">
        <v>2454423</v>
      </c>
      <c r="E1590">
        <f>VLOOKUP(C1590,'All Districts'!$B$3:$C$874,2,FALSE)</f>
        <v>3618600</v>
      </c>
      <c r="F1590" s="91">
        <f>COUNTIF($E$2:$E$7106,E1590)</f>
        <v>9</v>
      </c>
    </row>
    <row r="1591" spans="1:6" x14ac:dyDescent="0.2">
      <c r="A1591">
        <v>2016</v>
      </c>
      <c r="B1591" s="13">
        <v>2362</v>
      </c>
      <c r="C1591" s="90" t="str">
        <f>VLOOKUP(B1591,'All Districts'!$A$3:$B$874,2,FALSE)</f>
        <v>Cheektowaga-Maryvale</v>
      </c>
      <c r="D1591" s="16">
        <v>1887647</v>
      </c>
      <c r="E1591">
        <f>VLOOKUP(C1591,'All Districts'!$B$3:$C$874,2,FALSE)</f>
        <v>3618600</v>
      </c>
      <c r="F1591" s="91">
        <f>COUNTIF($E$2:$E$7106,E1591)</f>
        <v>9</v>
      </c>
    </row>
    <row r="1592" spans="1:6" x14ac:dyDescent="0.2">
      <c r="A1592">
        <v>2017</v>
      </c>
      <c r="B1592" s="13">
        <v>2362</v>
      </c>
      <c r="C1592" s="90" t="str">
        <f>VLOOKUP(B1592,'All Districts'!$A$3:$B$874,2,FALSE)</f>
        <v>Cheektowaga-Maryvale</v>
      </c>
      <c r="D1592" s="16">
        <v>1721387</v>
      </c>
      <c r="E1592">
        <f>VLOOKUP(C1592,'All Districts'!$B$3:$C$874,2,FALSE)</f>
        <v>3618600</v>
      </c>
      <c r="F1592" s="91">
        <f>COUNTIF($E$2:$E$7106,E1592)</f>
        <v>9</v>
      </c>
    </row>
    <row r="1593" spans="1:6" x14ac:dyDescent="0.2">
      <c r="A1593" s="10">
        <v>2018</v>
      </c>
      <c r="B1593" s="13">
        <v>2362</v>
      </c>
      <c r="C1593" s="90" t="str">
        <f>VLOOKUP(B1593,'All Districts'!$A$3:$B$874,2,FALSE)</f>
        <v>Cheektowaga-Maryvale</v>
      </c>
      <c r="D1593" s="15">
        <v>1521584</v>
      </c>
      <c r="E1593">
        <f>VLOOKUP(C1593,'All Districts'!$B$3:$C$874,2,FALSE)</f>
        <v>3618600</v>
      </c>
      <c r="F1593" s="91">
        <f>COUNTIF($E$2:$E$7106,E1593)</f>
        <v>9</v>
      </c>
    </row>
    <row r="1594" spans="1:6" x14ac:dyDescent="0.2">
      <c r="A1594">
        <v>2019</v>
      </c>
      <c r="B1594" s="36">
        <v>2362</v>
      </c>
      <c r="C1594" s="90" t="str">
        <f>VLOOKUP(B1594,'All Districts'!$A$3:$B$874,2,FALSE)</f>
        <v>Cheektowaga-Maryvale</v>
      </c>
      <c r="D1594" s="40">
        <v>1711926</v>
      </c>
      <c r="E1594">
        <f>VLOOKUP(C1594,'All Districts'!$B$3:$C$874,2,FALSE)</f>
        <v>3618600</v>
      </c>
      <c r="F1594" s="91">
        <f>COUNTIF($E$2:$E$7106,E1594)</f>
        <v>9</v>
      </c>
    </row>
    <row r="1595" spans="1:6" x14ac:dyDescent="0.2">
      <c r="A1595">
        <v>2020</v>
      </c>
      <c r="B1595" s="36">
        <v>2362</v>
      </c>
      <c r="C1595" s="90" t="str">
        <f>VLOOKUP(B1595,'All Districts'!$A$3:$B$874,2,FALSE)</f>
        <v>Cheektowaga-Maryvale</v>
      </c>
      <c r="D1595" s="40">
        <v>1457224</v>
      </c>
      <c r="E1595">
        <f>VLOOKUP(C1595,'All Districts'!$B$3:$C$874,2,FALSE)</f>
        <v>3618600</v>
      </c>
      <c r="F1595" s="91">
        <f>COUNTIF($E$2:$E$7106,E1595)</f>
        <v>9</v>
      </c>
    </row>
    <row r="1596" spans="1:6" x14ac:dyDescent="0.2">
      <c r="A1596" s="10">
        <v>2021</v>
      </c>
      <c r="B1596" s="55">
        <v>2362</v>
      </c>
      <c r="C1596" s="90" t="str">
        <f>VLOOKUP(B1596,'All Districts'!$A$3:$B$874,2,FALSE)</f>
        <v>Cheektowaga-Maryvale</v>
      </c>
      <c r="D1596" s="76">
        <v>1567873</v>
      </c>
      <c r="E1596">
        <f>VLOOKUP(C1596,'All Districts'!$B$3:$C$874,2,FALSE)</f>
        <v>3618600</v>
      </c>
      <c r="F1596" s="91">
        <f>COUNTIF($E$2:$E$7106,E1596)</f>
        <v>9</v>
      </c>
    </row>
    <row r="1597" spans="1:6" x14ac:dyDescent="0.2">
      <c r="A1597">
        <v>2022</v>
      </c>
      <c r="B1597" s="36">
        <v>2362</v>
      </c>
      <c r="C1597" s="90" t="str">
        <f>VLOOKUP(B1597,'All Districts'!$A$3:$B$874,2,FALSE)</f>
        <v>Cheektowaga-Maryvale</v>
      </c>
      <c r="D1597" s="82">
        <v>1717895</v>
      </c>
      <c r="E1597">
        <f>VLOOKUP(C1597,'All Districts'!$B$3:$C$874,2,FALSE)</f>
        <v>3618600</v>
      </c>
      <c r="F1597" s="91">
        <f>COUNTIF($E$2:$E$7106,E1597)</f>
        <v>9</v>
      </c>
    </row>
    <row r="1598" spans="1:6" x14ac:dyDescent="0.2">
      <c r="A1598">
        <v>2023</v>
      </c>
      <c r="B1598" s="36">
        <v>2362</v>
      </c>
      <c r="C1598" s="90" t="str">
        <f>VLOOKUP(B1598,'All Districts'!$A$3:$B$874,2,FALSE)</f>
        <v>Cheektowaga-Maryvale</v>
      </c>
      <c r="D1598" s="40">
        <v>1873472</v>
      </c>
      <c r="E1598">
        <f>VLOOKUP(C1598,'All Districts'!$B$3:$C$874,2,FALSE)</f>
        <v>3618600</v>
      </c>
      <c r="F1598" s="91">
        <f>COUNTIF($E$2:$E$7106,E1598)</f>
        <v>9</v>
      </c>
    </row>
    <row r="1599" spans="1:6" x14ac:dyDescent="0.2">
      <c r="A1599">
        <v>2015</v>
      </c>
      <c r="B1599" s="13">
        <v>2555</v>
      </c>
      <c r="C1599" s="90" t="str">
        <f>VLOOKUP(B1599,'All Districts'!$A$3:$B$874,2,FALSE)</f>
        <v>Cheektowaga-Sloan</v>
      </c>
      <c r="D1599" s="14">
        <v>1904513</v>
      </c>
      <c r="E1599">
        <f>VLOOKUP(C1599,'All Districts'!$B$3:$C$874,2,FALSE)</f>
        <v>3627000</v>
      </c>
      <c r="F1599" s="91">
        <f>COUNTIF($E$2:$E$7106,E1599)</f>
        <v>9</v>
      </c>
    </row>
    <row r="1600" spans="1:6" x14ac:dyDescent="0.2">
      <c r="A1600">
        <v>2016</v>
      </c>
      <c r="B1600" s="13">
        <v>2555</v>
      </c>
      <c r="C1600" s="90" t="str">
        <f>VLOOKUP(B1600,'All Districts'!$A$3:$B$874,2,FALSE)</f>
        <v>Cheektowaga-Sloan</v>
      </c>
      <c r="D1600" s="16">
        <v>1482644</v>
      </c>
      <c r="E1600">
        <f>VLOOKUP(C1600,'All Districts'!$B$3:$C$874,2,FALSE)</f>
        <v>3627000</v>
      </c>
      <c r="F1600" s="91">
        <f>COUNTIF($E$2:$E$7106,E1600)</f>
        <v>9</v>
      </c>
    </row>
    <row r="1601" spans="1:6" x14ac:dyDescent="0.2">
      <c r="A1601">
        <v>2017</v>
      </c>
      <c r="B1601" s="13">
        <v>2555</v>
      </c>
      <c r="C1601" s="90" t="str">
        <f>VLOOKUP(B1601,'All Districts'!$A$3:$B$874,2,FALSE)</f>
        <v>Cheektowaga-Sloan</v>
      </c>
      <c r="D1601" s="16">
        <v>1338667</v>
      </c>
      <c r="E1601">
        <f>VLOOKUP(C1601,'All Districts'!$B$3:$C$874,2,FALSE)</f>
        <v>3627000</v>
      </c>
      <c r="F1601" s="91">
        <f>COUNTIF($E$2:$E$7106,E1601)</f>
        <v>9</v>
      </c>
    </row>
    <row r="1602" spans="1:6" x14ac:dyDescent="0.2">
      <c r="A1602" s="10">
        <v>2018</v>
      </c>
      <c r="B1602" s="13">
        <v>2555</v>
      </c>
      <c r="C1602" s="90" t="str">
        <f>VLOOKUP(B1602,'All Districts'!$A$3:$B$874,2,FALSE)</f>
        <v>Cheektowaga-Sloan</v>
      </c>
      <c r="D1602" s="15">
        <v>1131725</v>
      </c>
      <c r="E1602">
        <f>VLOOKUP(C1602,'All Districts'!$B$3:$C$874,2,FALSE)</f>
        <v>3627000</v>
      </c>
      <c r="F1602" s="91">
        <f>COUNTIF($E$2:$E$7106,E1602)</f>
        <v>9</v>
      </c>
    </row>
    <row r="1603" spans="1:6" x14ac:dyDescent="0.2">
      <c r="A1603">
        <v>2019</v>
      </c>
      <c r="B1603" s="36">
        <v>2555</v>
      </c>
      <c r="C1603" s="90" t="str">
        <f>VLOOKUP(B1603,'All Districts'!$A$3:$B$874,2,FALSE)</f>
        <v>Cheektowaga-Sloan</v>
      </c>
      <c r="D1603" s="40">
        <v>1241948</v>
      </c>
      <c r="E1603">
        <f>VLOOKUP(C1603,'All Districts'!$B$3:$C$874,2,FALSE)</f>
        <v>3627000</v>
      </c>
      <c r="F1603" s="91">
        <f>COUNTIF($E$2:$E$7106,E1603)</f>
        <v>9</v>
      </c>
    </row>
    <row r="1604" spans="1:6" x14ac:dyDescent="0.2">
      <c r="A1604">
        <v>2020</v>
      </c>
      <c r="B1604" s="36">
        <v>2555</v>
      </c>
      <c r="C1604" s="90" t="str">
        <f>VLOOKUP(B1604,'All Districts'!$A$3:$B$874,2,FALSE)</f>
        <v>Cheektowaga-Sloan</v>
      </c>
      <c r="D1604" s="40">
        <v>1021055</v>
      </c>
      <c r="E1604">
        <f>VLOOKUP(C1604,'All Districts'!$B$3:$C$874,2,FALSE)</f>
        <v>3627000</v>
      </c>
      <c r="F1604" s="91">
        <f>COUNTIF($E$2:$E$7106,E1604)</f>
        <v>9</v>
      </c>
    </row>
    <row r="1605" spans="1:6" x14ac:dyDescent="0.2">
      <c r="A1605" s="10">
        <v>2021</v>
      </c>
      <c r="B1605" s="52">
        <v>2555</v>
      </c>
      <c r="C1605" s="90" t="str">
        <f>VLOOKUP(B1605,'All Districts'!$A$3:$B$874,2,FALSE)</f>
        <v>Cheektowaga-Sloan</v>
      </c>
      <c r="D1605" s="76">
        <v>1088552</v>
      </c>
      <c r="E1605">
        <f>VLOOKUP(C1605,'All Districts'!$B$3:$C$874,2,FALSE)</f>
        <v>3627000</v>
      </c>
      <c r="F1605" s="91">
        <f>COUNTIF($E$2:$E$7106,E1605)</f>
        <v>9</v>
      </c>
    </row>
    <row r="1606" spans="1:6" x14ac:dyDescent="0.2">
      <c r="A1606">
        <v>2022</v>
      </c>
      <c r="B1606" s="36">
        <v>2555</v>
      </c>
      <c r="C1606" s="90" t="str">
        <f>VLOOKUP(B1606,'All Districts'!$A$3:$B$874,2,FALSE)</f>
        <v>Cheektowaga-Sloan</v>
      </c>
      <c r="D1606" s="82">
        <v>1169626</v>
      </c>
      <c r="E1606">
        <f>VLOOKUP(C1606,'All Districts'!$B$3:$C$874,2,FALSE)</f>
        <v>3627000</v>
      </c>
      <c r="F1606" s="91">
        <f>COUNTIF($E$2:$E$7106,E1606)</f>
        <v>9</v>
      </c>
    </row>
    <row r="1607" spans="1:6" x14ac:dyDescent="0.2">
      <c r="A1607">
        <v>2023</v>
      </c>
      <c r="B1607" s="36">
        <v>2555</v>
      </c>
      <c r="C1607" s="90" t="str">
        <f>VLOOKUP(B1607,'All Districts'!$A$3:$B$874,2,FALSE)</f>
        <v>Cheektowaga-Sloan</v>
      </c>
      <c r="D1607" s="40">
        <v>1255990</v>
      </c>
      <c r="E1607">
        <f>VLOOKUP(C1607,'All Districts'!$B$3:$C$874,2,FALSE)</f>
        <v>3627000</v>
      </c>
      <c r="F1607" s="91">
        <f>COUNTIF($E$2:$E$7106,E1607)</f>
        <v>9</v>
      </c>
    </row>
    <row r="1608" spans="1:6" x14ac:dyDescent="0.2">
      <c r="A1608">
        <v>2015</v>
      </c>
      <c r="B1608" s="13">
        <v>2069</v>
      </c>
      <c r="C1608" s="90" t="str">
        <f>VLOOKUP(B1608,'All Districts'!$A$3:$B$874,2,FALSE)</f>
        <v>Chenango Forks</v>
      </c>
      <c r="D1608" s="14">
        <v>1449867</v>
      </c>
      <c r="E1608">
        <f>VLOOKUP(C1608,'All Districts'!$B$3:$C$874,2,FALSE)</f>
        <v>3607260</v>
      </c>
      <c r="F1608" s="91">
        <f>COUNTIF($E$2:$E$7106,E1608)</f>
        <v>9</v>
      </c>
    </row>
    <row r="1609" spans="1:6" x14ac:dyDescent="0.2">
      <c r="A1609">
        <v>2016</v>
      </c>
      <c r="B1609" s="13">
        <v>2069</v>
      </c>
      <c r="C1609" s="90" t="str">
        <f>VLOOKUP(B1609,'All Districts'!$A$3:$B$874,2,FALSE)</f>
        <v>Chenango Forks</v>
      </c>
      <c r="D1609" s="16">
        <v>1190158</v>
      </c>
      <c r="E1609">
        <f>VLOOKUP(C1609,'All Districts'!$B$3:$C$874,2,FALSE)</f>
        <v>3607260</v>
      </c>
      <c r="F1609" s="91">
        <f>COUNTIF($E$2:$E$7106,E1609)</f>
        <v>9</v>
      </c>
    </row>
    <row r="1610" spans="1:6" x14ac:dyDescent="0.2">
      <c r="A1610">
        <v>2017</v>
      </c>
      <c r="B1610" s="13">
        <v>2069</v>
      </c>
      <c r="C1610" s="90" t="str">
        <f>VLOOKUP(B1610,'All Districts'!$A$3:$B$874,2,FALSE)</f>
        <v>Chenango Forks</v>
      </c>
      <c r="D1610" s="16">
        <v>1140865</v>
      </c>
      <c r="E1610">
        <f>VLOOKUP(C1610,'All Districts'!$B$3:$C$874,2,FALSE)</f>
        <v>3607260</v>
      </c>
      <c r="F1610" s="91">
        <f>COUNTIF($E$2:$E$7106,E1610)</f>
        <v>9</v>
      </c>
    </row>
    <row r="1611" spans="1:6" x14ac:dyDescent="0.2">
      <c r="A1611" s="10">
        <v>2018</v>
      </c>
      <c r="B1611" s="13">
        <v>2069</v>
      </c>
      <c r="C1611" s="90" t="str">
        <f>VLOOKUP(B1611,'All Districts'!$A$3:$B$874,2,FALSE)</f>
        <v>Chenango Forks</v>
      </c>
      <c r="D1611" s="15">
        <v>979797</v>
      </c>
      <c r="E1611">
        <f>VLOOKUP(C1611,'All Districts'!$B$3:$C$874,2,FALSE)</f>
        <v>3607260</v>
      </c>
      <c r="F1611" s="91">
        <f>COUNTIF($E$2:$E$7106,E1611)</f>
        <v>9</v>
      </c>
    </row>
    <row r="1612" spans="1:6" x14ac:dyDescent="0.2">
      <c r="A1612">
        <v>2019</v>
      </c>
      <c r="B1612" s="36">
        <v>2069</v>
      </c>
      <c r="C1612" s="90" t="str">
        <f>VLOOKUP(B1612,'All Districts'!$A$3:$B$874,2,FALSE)</f>
        <v>Chenango Forks</v>
      </c>
      <c r="D1612" s="40">
        <v>1073893</v>
      </c>
      <c r="E1612">
        <f>VLOOKUP(C1612,'All Districts'!$B$3:$C$874,2,FALSE)</f>
        <v>3607260</v>
      </c>
      <c r="F1612" s="91">
        <f>COUNTIF($E$2:$E$7106,E1612)</f>
        <v>9</v>
      </c>
    </row>
    <row r="1613" spans="1:6" x14ac:dyDescent="0.2">
      <c r="A1613">
        <v>2020</v>
      </c>
      <c r="B1613" s="36">
        <v>2069</v>
      </c>
      <c r="C1613" s="90" t="str">
        <f>VLOOKUP(B1613,'All Districts'!$A$3:$B$874,2,FALSE)</f>
        <v>Chenango Forks</v>
      </c>
      <c r="D1613" s="40">
        <v>897604</v>
      </c>
      <c r="E1613">
        <f>VLOOKUP(C1613,'All Districts'!$B$3:$C$874,2,FALSE)</f>
        <v>3607260</v>
      </c>
      <c r="F1613" s="91">
        <f>COUNTIF($E$2:$E$7106,E1613)</f>
        <v>9</v>
      </c>
    </row>
    <row r="1614" spans="1:6" x14ac:dyDescent="0.2">
      <c r="A1614" s="10">
        <v>2021</v>
      </c>
      <c r="B1614" s="55">
        <v>2069</v>
      </c>
      <c r="C1614" s="90" t="str">
        <f>VLOOKUP(B1614,'All Districts'!$A$3:$B$874,2,FALSE)</f>
        <v>Chenango Forks</v>
      </c>
      <c r="D1614" s="76">
        <v>962818</v>
      </c>
      <c r="E1614">
        <f>VLOOKUP(C1614,'All Districts'!$B$3:$C$874,2,FALSE)</f>
        <v>3607260</v>
      </c>
      <c r="F1614" s="91">
        <f>COUNTIF($E$2:$E$7106,E1614)</f>
        <v>9</v>
      </c>
    </row>
    <row r="1615" spans="1:6" x14ac:dyDescent="0.2">
      <c r="A1615">
        <v>2022</v>
      </c>
      <c r="B1615" s="36">
        <v>2069</v>
      </c>
      <c r="C1615" s="90" t="str">
        <f>VLOOKUP(B1615,'All Districts'!$A$3:$B$874,2,FALSE)</f>
        <v>Chenango Forks</v>
      </c>
      <c r="D1615" s="82">
        <v>1024884</v>
      </c>
      <c r="E1615">
        <f>VLOOKUP(C1615,'All Districts'!$B$3:$C$874,2,FALSE)</f>
        <v>3607260</v>
      </c>
      <c r="F1615" s="91">
        <f>COUNTIF($E$2:$E$7106,E1615)</f>
        <v>9</v>
      </c>
    </row>
    <row r="1616" spans="1:6" x14ac:dyDescent="0.2">
      <c r="A1616">
        <v>2023</v>
      </c>
      <c r="B1616" s="36">
        <v>2069</v>
      </c>
      <c r="C1616" s="90" t="str">
        <f>VLOOKUP(B1616,'All Districts'!$A$3:$B$874,2,FALSE)</f>
        <v>Chenango Forks</v>
      </c>
      <c r="D1616" s="40">
        <v>1099677</v>
      </c>
      <c r="E1616">
        <f>VLOOKUP(C1616,'All Districts'!$B$3:$C$874,2,FALSE)</f>
        <v>3607260</v>
      </c>
      <c r="F1616" s="91">
        <f>COUNTIF($E$2:$E$7106,E1616)</f>
        <v>9</v>
      </c>
    </row>
    <row r="1617" spans="1:6" x14ac:dyDescent="0.2">
      <c r="A1617">
        <v>2015</v>
      </c>
      <c r="B1617" s="13">
        <v>2071</v>
      </c>
      <c r="C1617" s="90" t="str">
        <f>VLOOKUP(B1617,'All Districts'!$A$3:$B$874,2,FALSE)</f>
        <v>Chenango Valley</v>
      </c>
      <c r="D1617" s="14">
        <v>1802557</v>
      </c>
      <c r="E1617">
        <f>VLOOKUP(C1617,'All Districts'!$B$3:$C$874,2,FALSE)</f>
        <v>3607290</v>
      </c>
      <c r="F1617" s="91">
        <f>COUNTIF($E$2:$E$7106,E1617)</f>
        <v>9</v>
      </c>
    </row>
    <row r="1618" spans="1:6" x14ac:dyDescent="0.2">
      <c r="A1618">
        <v>2016</v>
      </c>
      <c r="B1618" s="13">
        <v>2071</v>
      </c>
      <c r="C1618" s="90" t="str">
        <f>VLOOKUP(B1618,'All Districts'!$A$3:$B$874,2,FALSE)</f>
        <v>Chenango Valley</v>
      </c>
      <c r="D1618" s="16">
        <v>1443261</v>
      </c>
      <c r="E1618">
        <f>VLOOKUP(C1618,'All Districts'!$B$3:$C$874,2,FALSE)</f>
        <v>3607290</v>
      </c>
      <c r="F1618" s="91">
        <f>COUNTIF($E$2:$E$7106,E1618)</f>
        <v>9</v>
      </c>
    </row>
    <row r="1619" spans="1:6" x14ac:dyDescent="0.2">
      <c r="A1619">
        <v>2017</v>
      </c>
      <c r="B1619" s="13">
        <v>2071</v>
      </c>
      <c r="C1619" s="90" t="str">
        <f>VLOOKUP(B1619,'All Districts'!$A$3:$B$874,2,FALSE)</f>
        <v>Chenango Valley</v>
      </c>
      <c r="D1619" s="16">
        <v>1252965</v>
      </c>
      <c r="E1619">
        <f>VLOOKUP(C1619,'All Districts'!$B$3:$C$874,2,FALSE)</f>
        <v>3607290</v>
      </c>
      <c r="F1619" s="91">
        <f>COUNTIF($E$2:$E$7106,E1619)</f>
        <v>9</v>
      </c>
    </row>
    <row r="1620" spans="1:6" x14ac:dyDescent="0.2">
      <c r="A1620" s="10">
        <v>2018</v>
      </c>
      <c r="B1620" s="13">
        <v>2071</v>
      </c>
      <c r="C1620" s="90" t="str">
        <f>VLOOKUP(B1620,'All Districts'!$A$3:$B$874,2,FALSE)</f>
        <v>Chenango Valley</v>
      </c>
      <c r="D1620" s="15">
        <v>1083552</v>
      </c>
      <c r="E1620">
        <f>VLOOKUP(C1620,'All Districts'!$B$3:$C$874,2,FALSE)</f>
        <v>3607290</v>
      </c>
      <c r="F1620" s="91">
        <f>COUNTIF($E$2:$E$7106,E1620)</f>
        <v>9</v>
      </c>
    </row>
    <row r="1621" spans="1:6" x14ac:dyDescent="0.2">
      <c r="A1621">
        <v>2019</v>
      </c>
      <c r="B1621" s="36">
        <v>2071</v>
      </c>
      <c r="C1621" s="90" t="str">
        <f>VLOOKUP(B1621,'All Districts'!$A$3:$B$874,2,FALSE)</f>
        <v>Chenango Valley</v>
      </c>
      <c r="D1621" s="40">
        <v>1170958</v>
      </c>
      <c r="E1621">
        <f>VLOOKUP(C1621,'All Districts'!$B$3:$C$874,2,FALSE)</f>
        <v>3607290</v>
      </c>
      <c r="F1621" s="91">
        <f>COUNTIF($E$2:$E$7106,E1621)</f>
        <v>9</v>
      </c>
    </row>
    <row r="1622" spans="1:6" x14ac:dyDescent="0.2">
      <c r="A1622">
        <v>2020</v>
      </c>
      <c r="B1622" s="36">
        <v>2071</v>
      </c>
      <c r="C1622" s="90" t="str">
        <f>VLOOKUP(B1622,'All Districts'!$A$3:$B$874,2,FALSE)</f>
        <v>Chenango Valley</v>
      </c>
      <c r="D1622" s="40">
        <v>995693</v>
      </c>
      <c r="E1622">
        <f>VLOOKUP(C1622,'All Districts'!$B$3:$C$874,2,FALSE)</f>
        <v>3607290</v>
      </c>
      <c r="F1622" s="91">
        <f>COUNTIF($E$2:$E$7106,E1622)</f>
        <v>9</v>
      </c>
    </row>
    <row r="1623" spans="1:6" x14ac:dyDescent="0.2">
      <c r="A1623" s="10">
        <v>2021</v>
      </c>
      <c r="B1623" s="52">
        <v>2071</v>
      </c>
      <c r="C1623" s="90" t="str">
        <f>VLOOKUP(B1623,'All Districts'!$A$3:$B$874,2,FALSE)</f>
        <v>Chenango Valley</v>
      </c>
      <c r="D1623" s="76">
        <v>1030411</v>
      </c>
      <c r="E1623">
        <f>VLOOKUP(C1623,'All Districts'!$B$3:$C$874,2,FALSE)</f>
        <v>3607290</v>
      </c>
      <c r="F1623" s="91">
        <f>COUNTIF($E$2:$E$7106,E1623)</f>
        <v>9</v>
      </c>
    </row>
    <row r="1624" spans="1:6" x14ac:dyDescent="0.2">
      <c r="A1624">
        <v>2022</v>
      </c>
      <c r="B1624" s="36">
        <v>2071</v>
      </c>
      <c r="C1624" s="90" t="str">
        <f>VLOOKUP(B1624,'All Districts'!$A$3:$B$874,2,FALSE)</f>
        <v>Chenango Valley</v>
      </c>
      <c r="D1624" s="82">
        <v>1086270</v>
      </c>
      <c r="E1624">
        <f>VLOOKUP(C1624,'All Districts'!$B$3:$C$874,2,FALSE)</f>
        <v>3607290</v>
      </c>
      <c r="F1624" s="91">
        <f>COUNTIF($E$2:$E$7106,E1624)</f>
        <v>9</v>
      </c>
    </row>
    <row r="1625" spans="1:6" x14ac:dyDescent="0.2">
      <c r="A1625">
        <v>2023</v>
      </c>
      <c r="B1625" s="36">
        <v>2071</v>
      </c>
      <c r="C1625" s="90" t="str">
        <f>VLOOKUP(B1625,'All Districts'!$A$3:$B$874,2,FALSE)</f>
        <v>Chenango Valley</v>
      </c>
      <c r="D1625" s="40">
        <v>1196503</v>
      </c>
      <c r="E1625">
        <f>VLOOKUP(C1625,'All Districts'!$B$3:$C$874,2,FALSE)</f>
        <v>3607290</v>
      </c>
      <c r="F1625" s="91">
        <f>COUNTIF($E$2:$E$7106,E1625)</f>
        <v>9</v>
      </c>
    </row>
    <row r="1626" spans="1:6" x14ac:dyDescent="0.2">
      <c r="A1626">
        <v>2015</v>
      </c>
      <c r="B1626" s="13">
        <v>3991</v>
      </c>
      <c r="C1626" s="90" t="str">
        <f>VLOOKUP(B1626,'All Districts'!$A$3:$B$874,2,FALSE)</f>
        <v>Cherry Valley-Springfield</v>
      </c>
      <c r="D1626" s="14">
        <v>580172</v>
      </c>
      <c r="E1626">
        <f>VLOOKUP(C1626,'All Districts'!$B$3:$C$874,2,FALSE)</f>
        <v>3600006</v>
      </c>
      <c r="F1626" s="91">
        <f>COUNTIF($E$2:$E$7106,E1626)</f>
        <v>9</v>
      </c>
    </row>
    <row r="1627" spans="1:6" x14ac:dyDescent="0.2">
      <c r="A1627">
        <v>2016</v>
      </c>
      <c r="B1627" s="13">
        <v>3991</v>
      </c>
      <c r="C1627" s="90" t="str">
        <f>VLOOKUP(B1627,'All Districts'!$A$3:$B$874,2,FALSE)</f>
        <v>Cherry Valley-Springfield</v>
      </c>
      <c r="D1627" s="16">
        <v>447600</v>
      </c>
      <c r="E1627">
        <f>VLOOKUP(C1627,'All Districts'!$B$3:$C$874,2,FALSE)</f>
        <v>3600006</v>
      </c>
      <c r="F1627" s="91">
        <f>COUNTIF($E$2:$E$7106,E1627)</f>
        <v>9</v>
      </c>
    </row>
    <row r="1628" spans="1:6" x14ac:dyDescent="0.2">
      <c r="A1628">
        <v>2017</v>
      </c>
      <c r="B1628" s="13">
        <v>3991</v>
      </c>
      <c r="C1628" s="90" t="str">
        <f>VLOOKUP(B1628,'All Districts'!$A$3:$B$874,2,FALSE)</f>
        <v>Cherry Valley-Springfield</v>
      </c>
      <c r="D1628" s="16">
        <v>404671</v>
      </c>
      <c r="E1628">
        <f>VLOOKUP(C1628,'All Districts'!$B$3:$C$874,2,FALSE)</f>
        <v>3600006</v>
      </c>
      <c r="F1628" s="91">
        <f>COUNTIF($E$2:$E$7106,E1628)</f>
        <v>9</v>
      </c>
    </row>
    <row r="1629" spans="1:6" x14ac:dyDescent="0.2">
      <c r="A1629" s="10">
        <v>2018</v>
      </c>
      <c r="B1629" s="13">
        <v>3991</v>
      </c>
      <c r="C1629" s="90" t="str">
        <f>VLOOKUP(B1629,'All Districts'!$A$3:$B$874,2,FALSE)</f>
        <v>Cherry Valley-Springfield</v>
      </c>
      <c r="D1629" s="15">
        <v>368486</v>
      </c>
      <c r="E1629">
        <f>VLOOKUP(C1629,'All Districts'!$B$3:$C$874,2,FALSE)</f>
        <v>3600006</v>
      </c>
      <c r="F1629" s="91">
        <f>COUNTIF($E$2:$E$7106,E1629)</f>
        <v>9</v>
      </c>
    </row>
    <row r="1630" spans="1:6" x14ac:dyDescent="0.2">
      <c r="A1630">
        <v>2019</v>
      </c>
      <c r="B1630" s="36">
        <v>3991</v>
      </c>
      <c r="C1630" s="90" t="str">
        <f>VLOOKUP(B1630,'All Districts'!$A$3:$B$874,2,FALSE)</f>
        <v>Cherry Valley-Springfield</v>
      </c>
      <c r="D1630" s="40">
        <v>392628</v>
      </c>
      <c r="E1630">
        <f>VLOOKUP(C1630,'All Districts'!$B$3:$C$874,2,FALSE)</f>
        <v>3600006</v>
      </c>
      <c r="F1630" s="91">
        <f>COUNTIF($E$2:$E$7106,E1630)</f>
        <v>9</v>
      </c>
    </row>
    <row r="1631" spans="1:6" x14ac:dyDescent="0.2">
      <c r="A1631">
        <v>2020</v>
      </c>
      <c r="B1631" s="36">
        <v>3991</v>
      </c>
      <c r="C1631" s="90" t="str">
        <f>VLOOKUP(B1631,'All Districts'!$A$3:$B$874,2,FALSE)</f>
        <v>Cherry Valley-Springfield</v>
      </c>
      <c r="D1631" s="40">
        <v>311523</v>
      </c>
      <c r="E1631">
        <f>VLOOKUP(C1631,'All Districts'!$B$3:$C$874,2,FALSE)</f>
        <v>3600006</v>
      </c>
      <c r="F1631" s="91">
        <f>COUNTIF($E$2:$E$7106,E1631)</f>
        <v>9</v>
      </c>
    </row>
    <row r="1632" spans="1:6" x14ac:dyDescent="0.2">
      <c r="A1632" s="10">
        <v>2021</v>
      </c>
      <c r="B1632" s="52">
        <v>3991</v>
      </c>
      <c r="C1632" s="90" t="str">
        <f>VLOOKUP(B1632,'All Districts'!$A$3:$B$874,2,FALSE)</f>
        <v>Cherry Valley-Springfield</v>
      </c>
      <c r="D1632" s="76">
        <v>332727</v>
      </c>
      <c r="E1632">
        <f>VLOOKUP(C1632,'All Districts'!$B$3:$C$874,2,FALSE)</f>
        <v>3600006</v>
      </c>
      <c r="F1632" s="91">
        <f>COUNTIF($E$2:$E$7106,E1632)</f>
        <v>9</v>
      </c>
    </row>
    <row r="1633" spans="1:6" x14ac:dyDescent="0.2">
      <c r="A1633">
        <v>2022</v>
      </c>
      <c r="B1633" s="36">
        <v>3991</v>
      </c>
      <c r="C1633" s="90" t="str">
        <f>VLOOKUP(B1633,'All Districts'!$A$3:$B$874,2,FALSE)</f>
        <v>Cherry Valley-Springfield</v>
      </c>
      <c r="D1633" s="82">
        <v>383382</v>
      </c>
      <c r="E1633">
        <f>VLOOKUP(C1633,'All Districts'!$B$3:$C$874,2,FALSE)</f>
        <v>3600006</v>
      </c>
      <c r="F1633" s="91">
        <f>COUNTIF($E$2:$E$7106,E1633)</f>
        <v>9</v>
      </c>
    </row>
    <row r="1634" spans="1:6" x14ac:dyDescent="0.2">
      <c r="A1634">
        <v>2023</v>
      </c>
      <c r="B1634" s="36">
        <v>3991</v>
      </c>
      <c r="C1634" s="90" t="str">
        <f>VLOOKUP(B1634,'All Districts'!$A$3:$B$874,2,FALSE)</f>
        <v>Cherry Valley-Springfield</v>
      </c>
      <c r="D1634" s="40">
        <v>412637</v>
      </c>
      <c r="E1634">
        <f>VLOOKUP(C1634,'All Districts'!$B$3:$C$874,2,FALSE)</f>
        <v>3600006</v>
      </c>
      <c r="F1634" s="91">
        <f>COUNTIF($E$2:$E$7106,E1634)</f>
        <v>9</v>
      </c>
    </row>
    <row r="1635" spans="1:6" x14ac:dyDescent="0.2">
      <c r="A1635">
        <v>2015</v>
      </c>
      <c r="B1635" s="13">
        <v>4651</v>
      </c>
      <c r="C1635" s="90" t="str">
        <f>VLOOKUP(B1635,'All Districts'!$A$3:$B$874,2,FALSE)</f>
        <v>Chester</v>
      </c>
      <c r="D1635" s="14">
        <v>1278154</v>
      </c>
      <c r="E1635">
        <f>VLOOKUP(C1635,'All Districts'!$B$3:$C$874,2,FALSE)</f>
        <v>3607380</v>
      </c>
      <c r="F1635" s="91">
        <f>COUNTIF($E$2:$E$7106,E1635)</f>
        <v>9</v>
      </c>
    </row>
    <row r="1636" spans="1:6" x14ac:dyDescent="0.2">
      <c r="A1636">
        <v>2016</v>
      </c>
      <c r="B1636" s="13">
        <v>4651</v>
      </c>
      <c r="C1636" s="90" t="str">
        <f>VLOOKUP(B1636,'All Districts'!$A$3:$B$874,2,FALSE)</f>
        <v>Chester</v>
      </c>
      <c r="D1636" s="16">
        <v>1073098</v>
      </c>
      <c r="E1636">
        <f>VLOOKUP(C1636,'All Districts'!$B$3:$C$874,2,FALSE)</f>
        <v>3607380</v>
      </c>
      <c r="F1636" s="91">
        <f>COUNTIF($E$2:$E$7106,E1636)</f>
        <v>9</v>
      </c>
    </row>
    <row r="1637" spans="1:6" x14ac:dyDescent="0.2">
      <c r="A1637">
        <v>2017</v>
      </c>
      <c r="B1637" s="13">
        <v>4651</v>
      </c>
      <c r="C1637" s="90" t="str">
        <f>VLOOKUP(B1637,'All Districts'!$A$3:$B$874,2,FALSE)</f>
        <v>Chester</v>
      </c>
      <c r="D1637" s="16">
        <v>947902</v>
      </c>
      <c r="E1637">
        <f>VLOOKUP(C1637,'All Districts'!$B$3:$C$874,2,FALSE)</f>
        <v>3607380</v>
      </c>
      <c r="F1637" s="91">
        <f>COUNTIF($E$2:$E$7106,E1637)</f>
        <v>9</v>
      </c>
    </row>
    <row r="1638" spans="1:6" x14ac:dyDescent="0.2">
      <c r="A1638" s="10">
        <v>2018</v>
      </c>
      <c r="B1638" s="13">
        <v>4651</v>
      </c>
      <c r="C1638" s="90" t="str">
        <f>VLOOKUP(B1638,'All Districts'!$A$3:$B$874,2,FALSE)</f>
        <v>Chester</v>
      </c>
      <c r="D1638" s="15">
        <v>765900</v>
      </c>
      <c r="E1638">
        <f>VLOOKUP(C1638,'All Districts'!$B$3:$C$874,2,FALSE)</f>
        <v>3607380</v>
      </c>
      <c r="F1638" s="91">
        <f>COUNTIF($E$2:$E$7106,E1638)</f>
        <v>9</v>
      </c>
    </row>
    <row r="1639" spans="1:6" x14ac:dyDescent="0.2">
      <c r="A1639">
        <v>2019</v>
      </c>
      <c r="B1639" s="36">
        <v>4651</v>
      </c>
      <c r="C1639" s="90" t="str">
        <f>VLOOKUP(B1639,'All Districts'!$A$3:$B$874,2,FALSE)</f>
        <v>Chester</v>
      </c>
      <c r="D1639" s="40">
        <v>886474</v>
      </c>
      <c r="E1639">
        <f>VLOOKUP(C1639,'All Districts'!$B$3:$C$874,2,FALSE)</f>
        <v>3607380</v>
      </c>
      <c r="F1639" s="91">
        <f>COUNTIF($E$2:$E$7106,E1639)</f>
        <v>9</v>
      </c>
    </row>
    <row r="1640" spans="1:6" x14ac:dyDescent="0.2">
      <c r="A1640">
        <v>2020</v>
      </c>
      <c r="B1640" s="36">
        <v>4651</v>
      </c>
      <c r="C1640" s="90" t="str">
        <f>VLOOKUP(B1640,'All Districts'!$A$3:$B$874,2,FALSE)</f>
        <v>Chester</v>
      </c>
      <c r="D1640" s="40">
        <v>787035</v>
      </c>
      <c r="E1640">
        <f>VLOOKUP(C1640,'All Districts'!$B$3:$C$874,2,FALSE)</f>
        <v>3607380</v>
      </c>
      <c r="F1640" s="91">
        <f>COUNTIF($E$2:$E$7106,E1640)</f>
        <v>9</v>
      </c>
    </row>
    <row r="1641" spans="1:6" x14ac:dyDescent="0.2">
      <c r="A1641" s="10">
        <v>2021</v>
      </c>
      <c r="B1641" s="52">
        <v>4651</v>
      </c>
      <c r="C1641" s="90" t="str">
        <f>VLOOKUP(B1641,'All Districts'!$A$3:$B$874,2,FALSE)</f>
        <v>Chester</v>
      </c>
      <c r="D1641" s="75">
        <v>822731</v>
      </c>
      <c r="E1641">
        <f>VLOOKUP(C1641,'All Districts'!$B$3:$C$874,2,FALSE)</f>
        <v>3607380</v>
      </c>
      <c r="F1641" s="91">
        <f>COUNTIF($E$2:$E$7106,E1641)</f>
        <v>9</v>
      </c>
    </row>
    <row r="1642" spans="1:6" x14ac:dyDescent="0.2">
      <c r="A1642">
        <v>2022</v>
      </c>
      <c r="B1642" s="36">
        <v>4651</v>
      </c>
      <c r="C1642" s="90" t="str">
        <f>VLOOKUP(B1642,'All Districts'!$A$3:$B$874,2,FALSE)</f>
        <v>Chester</v>
      </c>
      <c r="D1642" s="82">
        <v>952558</v>
      </c>
      <c r="E1642">
        <f>VLOOKUP(C1642,'All Districts'!$B$3:$C$874,2,FALSE)</f>
        <v>3607380</v>
      </c>
      <c r="F1642" s="91">
        <f>COUNTIF($E$2:$E$7106,E1642)</f>
        <v>9</v>
      </c>
    </row>
    <row r="1643" spans="1:6" x14ac:dyDescent="0.2">
      <c r="A1643">
        <v>2023</v>
      </c>
      <c r="B1643" s="36">
        <v>4651</v>
      </c>
      <c r="C1643" s="90" t="str">
        <f>VLOOKUP(B1643,'All Districts'!$A$3:$B$874,2,FALSE)</f>
        <v>Chester</v>
      </c>
      <c r="D1643" s="40">
        <v>1069072</v>
      </c>
      <c r="E1643">
        <f>VLOOKUP(C1643,'All Districts'!$B$3:$C$874,2,FALSE)</f>
        <v>3607380</v>
      </c>
      <c r="F1643" s="91">
        <f>COUNTIF($E$2:$E$7106,E1643)</f>
        <v>9</v>
      </c>
    </row>
    <row r="1644" spans="1:6" x14ac:dyDescent="0.2">
      <c r="A1644">
        <v>2015</v>
      </c>
      <c r="B1644" s="13">
        <v>2072</v>
      </c>
      <c r="C1644" s="90" t="str">
        <f>VLOOKUP(B1644,'All Districts'!$A$3:$B$874,2,FALSE)</f>
        <v>Chittenango</v>
      </c>
      <c r="D1644" s="14">
        <v>2093198</v>
      </c>
      <c r="E1644">
        <f>VLOOKUP(C1644,'All Districts'!$B$3:$C$874,2,FALSE)</f>
        <v>3607470</v>
      </c>
      <c r="F1644" s="91">
        <f>COUNTIF($E$2:$E$7106,E1644)</f>
        <v>9</v>
      </c>
    </row>
    <row r="1645" spans="1:6" x14ac:dyDescent="0.2">
      <c r="A1645">
        <v>2016</v>
      </c>
      <c r="B1645" s="13">
        <v>2072</v>
      </c>
      <c r="C1645" s="90" t="str">
        <f>VLOOKUP(B1645,'All Districts'!$A$3:$B$874,2,FALSE)</f>
        <v>Chittenango</v>
      </c>
      <c r="D1645" s="16">
        <v>1594437</v>
      </c>
      <c r="E1645">
        <f>VLOOKUP(C1645,'All Districts'!$B$3:$C$874,2,FALSE)</f>
        <v>3607470</v>
      </c>
      <c r="F1645" s="91">
        <f>COUNTIF($E$2:$E$7106,E1645)</f>
        <v>9</v>
      </c>
    </row>
    <row r="1646" spans="1:6" x14ac:dyDescent="0.2">
      <c r="A1646">
        <v>2017</v>
      </c>
      <c r="B1646" s="13">
        <v>2072</v>
      </c>
      <c r="C1646" s="90" t="str">
        <f>VLOOKUP(B1646,'All Districts'!$A$3:$B$874,2,FALSE)</f>
        <v>Chittenango</v>
      </c>
      <c r="D1646" s="16">
        <v>1452534</v>
      </c>
      <c r="E1646">
        <f>VLOOKUP(C1646,'All Districts'!$B$3:$C$874,2,FALSE)</f>
        <v>3607470</v>
      </c>
      <c r="F1646" s="91">
        <f>COUNTIF($E$2:$E$7106,E1646)</f>
        <v>9</v>
      </c>
    </row>
    <row r="1647" spans="1:6" x14ac:dyDescent="0.2">
      <c r="A1647" s="10">
        <v>2018</v>
      </c>
      <c r="B1647" s="13">
        <v>2072</v>
      </c>
      <c r="C1647" s="90" t="str">
        <f>VLOOKUP(B1647,'All Districts'!$A$3:$B$874,2,FALSE)</f>
        <v>Chittenango</v>
      </c>
      <c r="D1647" s="15">
        <v>1252446</v>
      </c>
      <c r="E1647">
        <f>VLOOKUP(C1647,'All Districts'!$B$3:$C$874,2,FALSE)</f>
        <v>3607470</v>
      </c>
      <c r="F1647" s="91">
        <f>COUNTIF($E$2:$E$7106,E1647)</f>
        <v>9</v>
      </c>
    </row>
    <row r="1648" spans="1:6" x14ac:dyDescent="0.2">
      <c r="A1648">
        <v>2019</v>
      </c>
      <c r="B1648" s="36">
        <v>2072</v>
      </c>
      <c r="C1648" s="90" t="str">
        <f>VLOOKUP(B1648,'All Districts'!$A$3:$B$874,2,FALSE)</f>
        <v>Chittenango</v>
      </c>
      <c r="D1648" s="40">
        <v>1415192</v>
      </c>
      <c r="E1648">
        <f>VLOOKUP(C1648,'All Districts'!$B$3:$C$874,2,FALSE)</f>
        <v>3607470</v>
      </c>
      <c r="F1648" s="91">
        <f>COUNTIF($E$2:$E$7106,E1648)</f>
        <v>9</v>
      </c>
    </row>
    <row r="1649" spans="1:6" x14ac:dyDescent="0.2">
      <c r="A1649">
        <v>2020</v>
      </c>
      <c r="B1649" s="36">
        <v>2072</v>
      </c>
      <c r="C1649" s="90" t="str">
        <f>VLOOKUP(B1649,'All Districts'!$A$3:$B$874,2,FALSE)</f>
        <v>Chittenango</v>
      </c>
      <c r="D1649" s="40">
        <v>1190390</v>
      </c>
      <c r="E1649">
        <f>VLOOKUP(C1649,'All Districts'!$B$3:$C$874,2,FALSE)</f>
        <v>3607470</v>
      </c>
      <c r="F1649" s="91">
        <f>COUNTIF($E$2:$E$7106,E1649)</f>
        <v>9</v>
      </c>
    </row>
    <row r="1650" spans="1:6" x14ac:dyDescent="0.2">
      <c r="A1650" s="10">
        <v>2021</v>
      </c>
      <c r="B1650" s="52">
        <v>2072</v>
      </c>
      <c r="C1650" s="90" t="str">
        <f>VLOOKUP(B1650,'All Districts'!$A$3:$B$874,2,FALSE)</f>
        <v>Chittenango</v>
      </c>
      <c r="D1650" s="76">
        <v>1307409</v>
      </c>
      <c r="E1650">
        <f>VLOOKUP(C1650,'All Districts'!$B$3:$C$874,2,FALSE)</f>
        <v>3607470</v>
      </c>
      <c r="F1650" s="91">
        <f>COUNTIF($E$2:$E$7106,E1650)</f>
        <v>9</v>
      </c>
    </row>
    <row r="1651" spans="1:6" x14ac:dyDescent="0.2">
      <c r="A1651">
        <v>2022</v>
      </c>
      <c r="B1651" s="36">
        <v>2072</v>
      </c>
      <c r="C1651" s="90" t="str">
        <f>VLOOKUP(B1651,'All Districts'!$A$3:$B$874,2,FALSE)</f>
        <v>Chittenango</v>
      </c>
      <c r="D1651" s="82">
        <v>1441033</v>
      </c>
      <c r="E1651">
        <f>VLOOKUP(C1651,'All Districts'!$B$3:$C$874,2,FALSE)</f>
        <v>3607470</v>
      </c>
      <c r="F1651" s="91">
        <f>COUNTIF($E$2:$E$7106,E1651)</f>
        <v>9</v>
      </c>
    </row>
    <row r="1652" spans="1:6" x14ac:dyDescent="0.2">
      <c r="A1652">
        <v>2023</v>
      </c>
      <c r="B1652" s="36">
        <v>2072</v>
      </c>
      <c r="C1652" s="90" t="str">
        <f>VLOOKUP(B1652,'All Districts'!$A$3:$B$874,2,FALSE)</f>
        <v>Chittenango</v>
      </c>
      <c r="D1652" s="40">
        <v>1578147</v>
      </c>
      <c r="E1652">
        <f>VLOOKUP(C1652,'All Districts'!$B$3:$C$874,2,FALSE)</f>
        <v>3607470</v>
      </c>
      <c r="F1652" s="91">
        <f>COUNTIF($E$2:$E$7106,E1652)</f>
        <v>9</v>
      </c>
    </row>
    <row r="1653" spans="1:6" x14ac:dyDescent="0.2">
      <c r="A1653">
        <v>2015</v>
      </c>
      <c r="B1653" s="13">
        <v>2064</v>
      </c>
      <c r="C1653" s="90" t="str">
        <f>VLOOKUP(B1653,'All Districts'!$A$3:$B$874,2,FALSE)</f>
        <v>Churchville-Chili</v>
      </c>
      <c r="D1653" s="14">
        <v>4279104</v>
      </c>
      <c r="E1653">
        <f>VLOOKUP(C1653,'All Districts'!$B$3:$C$874,2,FALSE)</f>
        <v>3607530</v>
      </c>
      <c r="F1653" s="91">
        <f>COUNTIF($E$2:$E$7106,E1653)</f>
        <v>9</v>
      </c>
    </row>
    <row r="1654" spans="1:6" x14ac:dyDescent="0.2">
      <c r="A1654">
        <v>2016</v>
      </c>
      <c r="B1654" s="13">
        <v>2064</v>
      </c>
      <c r="C1654" s="90" t="str">
        <f>VLOOKUP(B1654,'All Districts'!$A$3:$B$874,2,FALSE)</f>
        <v>Churchville-Chili</v>
      </c>
      <c r="D1654" s="16">
        <v>3262138</v>
      </c>
      <c r="E1654">
        <f>VLOOKUP(C1654,'All Districts'!$B$3:$C$874,2,FALSE)</f>
        <v>3607530</v>
      </c>
      <c r="F1654" s="91">
        <f>COUNTIF($E$2:$E$7106,E1654)</f>
        <v>9</v>
      </c>
    </row>
    <row r="1655" spans="1:6" x14ac:dyDescent="0.2">
      <c r="A1655">
        <v>2017</v>
      </c>
      <c r="B1655" s="13">
        <v>2064</v>
      </c>
      <c r="C1655" s="90" t="str">
        <f>VLOOKUP(B1655,'All Districts'!$A$3:$B$874,2,FALSE)</f>
        <v>Churchville-Chili</v>
      </c>
      <c r="D1655" s="16">
        <v>2938361</v>
      </c>
      <c r="E1655">
        <f>VLOOKUP(C1655,'All Districts'!$B$3:$C$874,2,FALSE)</f>
        <v>3607530</v>
      </c>
      <c r="F1655" s="91">
        <f>COUNTIF($E$2:$E$7106,E1655)</f>
        <v>9</v>
      </c>
    </row>
    <row r="1656" spans="1:6" x14ac:dyDescent="0.2">
      <c r="A1656" s="10">
        <v>2018</v>
      </c>
      <c r="B1656" s="13">
        <v>2064</v>
      </c>
      <c r="C1656" s="90" t="str">
        <f>VLOOKUP(B1656,'All Districts'!$A$3:$B$874,2,FALSE)</f>
        <v>Churchville-Chili</v>
      </c>
      <c r="D1656" s="15">
        <v>2482916</v>
      </c>
      <c r="E1656">
        <f>VLOOKUP(C1656,'All Districts'!$B$3:$C$874,2,FALSE)</f>
        <v>3607530</v>
      </c>
      <c r="F1656" s="91">
        <f>COUNTIF($E$2:$E$7106,E1656)</f>
        <v>9</v>
      </c>
    </row>
    <row r="1657" spans="1:6" x14ac:dyDescent="0.2">
      <c r="A1657">
        <v>2019</v>
      </c>
      <c r="B1657" s="36">
        <v>2064</v>
      </c>
      <c r="C1657" s="90" t="str">
        <f>VLOOKUP(B1657,'All Districts'!$A$3:$B$874,2,FALSE)</f>
        <v>Churchville-Chili</v>
      </c>
      <c r="D1657" s="40">
        <v>2715977</v>
      </c>
      <c r="E1657">
        <f>VLOOKUP(C1657,'All Districts'!$B$3:$C$874,2,FALSE)</f>
        <v>3607530</v>
      </c>
      <c r="F1657" s="91">
        <f>COUNTIF($E$2:$E$7106,E1657)</f>
        <v>9</v>
      </c>
    </row>
    <row r="1658" spans="1:6" x14ac:dyDescent="0.2">
      <c r="A1658">
        <v>2020</v>
      </c>
      <c r="B1658" s="36">
        <v>2064</v>
      </c>
      <c r="C1658" s="90" t="str">
        <f>VLOOKUP(B1658,'All Districts'!$A$3:$B$874,2,FALSE)</f>
        <v>Churchville-Chili</v>
      </c>
      <c r="D1658" s="40">
        <v>2297925</v>
      </c>
      <c r="E1658">
        <f>VLOOKUP(C1658,'All Districts'!$B$3:$C$874,2,FALSE)</f>
        <v>3607530</v>
      </c>
      <c r="F1658" s="91">
        <f>COUNTIF($E$2:$E$7106,E1658)</f>
        <v>9</v>
      </c>
    </row>
    <row r="1659" spans="1:6" x14ac:dyDescent="0.2">
      <c r="A1659" s="10">
        <v>2021</v>
      </c>
      <c r="B1659" s="52">
        <v>2064</v>
      </c>
      <c r="C1659" s="90" t="str">
        <f>VLOOKUP(B1659,'All Districts'!$A$3:$B$874,2,FALSE)</f>
        <v>Churchville-Chili</v>
      </c>
      <c r="D1659" s="75">
        <v>2507468</v>
      </c>
      <c r="E1659">
        <f>VLOOKUP(C1659,'All Districts'!$B$3:$C$874,2,FALSE)</f>
        <v>3607530</v>
      </c>
      <c r="F1659" s="91">
        <f>COUNTIF($E$2:$E$7106,E1659)</f>
        <v>9</v>
      </c>
    </row>
    <row r="1660" spans="1:6" x14ac:dyDescent="0.2">
      <c r="A1660">
        <v>2022</v>
      </c>
      <c r="B1660" s="36">
        <v>2064</v>
      </c>
      <c r="C1660" s="90" t="str">
        <f>VLOOKUP(B1660,'All Districts'!$A$3:$B$874,2,FALSE)</f>
        <v>Churchville-Chili</v>
      </c>
      <c r="D1660" s="82">
        <v>2670204</v>
      </c>
      <c r="E1660">
        <f>VLOOKUP(C1660,'All Districts'!$B$3:$C$874,2,FALSE)</f>
        <v>3607530</v>
      </c>
      <c r="F1660" s="91">
        <f>COUNTIF($E$2:$E$7106,E1660)</f>
        <v>9</v>
      </c>
    </row>
    <row r="1661" spans="1:6" x14ac:dyDescent="0.2">
      <c r="A1661">
        <v>2023</v>
      </c>
      <c r="B1661" s="36">
        <v>2064</v>
      </c>
      <c r="C1661" s="90" t="str">
        <f>VLOOKUP(B1661,'All Districts'!$A$3:$B$874,2,FALSE)</f>
        <v>Churchville-Chili</v>
      </c>
      <c r="D1661" s="40">
        <v>2925492</v>
      </c>
      <c r="E1661">
        <f>VLOOKUP(C1661,'All Districts'!$B$3:$C$874,2,FALSE)</f>
        <v>3607530</v>
      </c>
      <c r="F1661" s="91">
        <f>COUNTIF($E$2:$E$7106,E1661)</f>
        <v>9</v>
      </c>
    </row>
    <row r="1662" spans="1:6" x14ac:dyDescent="0.2">
      <c r="A1662">
        <v>2015</v>
      </c>
      <c r="B1662" s="13">
        <v>3526</v>
      </c>
      <c r="C1662" s="90" t="str">
        <f>VLOOKUP(B1662,'All Districts'!$A$3:$B$874,2,FALSE)</f>
        <v>Cincinnatus</v>
      </c>
      <c r="D1662" s="14">
        <v>805560</v>
      </c>
      <c r="E1662">
        <f>VLOOKUP(C1662,'All Districts'!$B$3:$C$874,2,FALSE)</f>
        <v>3607560</v>
      </c>
      <c r="F1662" s="91">
        <f>COUNTIF($E$2:$E$7106,E1662)</f>
        <v>9</v>
      </c>
    </row>
    <row r="1663" spans="1:6" x14ac:dyDescent="0.2">
      <c r="A1663">
        <v>2016</v>
      </c>
      <c r="B1663" s="13">
        <v>3526</v>
      </c>
      <c r="C1663" s="90" t="str">
        <f>VLOOKUP(B1663,'All Districts'!$A$3:$B$874,2,FALSE)</f>
        <v>Cincinnatus</v>
      </c>
      <c r="D1663" s="16">
        <v>644585</v>
      </c>
      <c r="E1663">
        <f>VLOOKUP(C1663,'All Districts'!$B$3:$C$874,2,FALSE)</f>
        <v>3607560</v>
      </c>
      <c r="F1663" s="91">
        <f>COUNTIF($E$2:$E$7106,E1663)</f>
        <v>9</v>
      </c>
    </row>
    <row r="1664" spans="1:6" x14ac:dyDescent="0.2">
      <c r="A1664">
        <v>2017</v>
      </c>
      <c r="B1664" s="13">
        <v>3526</v>
      </c>
      <c r="C1664" s="90" t="str">
        <f>VLOOKUP(B1664,'All Districts'!$A$3:$B$874,2,FALSE)</f>
        <v>Cincinnatus</v>
      </c>
      <c r="D1664" s="16">
        <v>561914</v>
      </c>
      <c r="E1664">
        <f>VLOOKUP(C1664,'All Districts'!$B$3:$C$874,2,FALSE)</f>
        <v>3607560</v>
      </c>
      <c r="F1664" s="91">
        <f>COUNTIF($E$2:$E$7106,E1664)</f>
        <v>9</v>
      </c>
    </row>
    <row r="1665" spans="1:6" x14ac:dyDescent="0.2">
      <c r="A1665" s="10">
        <v>2018</v>
      </c>
      <c r="B1665" s="13">
        <v>3526</v>
      </c>
      <c r="C1665" s="90" t="str">
        <f>VLOOKUP(B1665,'All Districts'!$A$3:$B$874,2,FALSE)</f>
        <v>Cincinnatus</v>
      </c>
      <c r="D1665" s="15">
        <v>486448</v>
      </c>
      <c r="E1665">
        <f>VLOOKUP(C1665,'All Districts'!$B$3:$C$874,2,FALSE)</f>
        <v>3607560</v>
      </c>
      <c r="F1665" s="91">
        <f>COUNTIF($E$2:$E$7106,E1665)</f>
        <v>9</v>
      </c>
    </row>
    <row r="1666" spans="1:6" x14ac:dyDescent="0.2">
      <c r="A1666">
        <v>2019</v>
      </c>
      <c r="B1666" s="36">
        <v>3526</v>
      </c>
      <c r="C1666" s="90" t="str">
        <f>VLOOKUP(B1666,'All Districts'!$A$3:$B$874,2,FALSE)</f>
        <v>Cincinnatus</v>
      </c>
      <c r="D1666" s="40">
        <v>525335</v>
      </c>
      <c r="E1666">
        <f>VLOOKUP(C1666,'All Districts'!$B$3:$C$874,2,FALSE)</f>
        <v>3607560</v>
      </c>
      <c r="F1666" s="91">
        <f>COUNTIF($E$2:$E$7106,E1666)</f>
        <v>9</v>
      </c>
    </row>
    <row r="1667" spans="1:6" x14ac:dyDescent="0.2">
      <c r="A1667">
        <v>2020</v>
      </c>
      <c r="B1667" s="36">
        <v>3526</v>
      </c>
      <c r="C1667" s="90" t="str">
        <f>VLOOKUP(B1667,'All Districts'!$A$3:$B$874,2,FALSE)</f>
        <v>Cincinnatus</v>
      </c>
      <c r="D1667" s="40">
        <v>435310</v>
      </c>
      <c r="E1667">
        <f>VLOOKUP(C1667,'All Districts'!$B$3:$C$874,2,FALSE)</f>
        <v>3607560</v>
      </c>
      <c r="F1667" s="91">
        <f>COUNTIF($E$2:$E$7106,E1667)</f>
        <v>9</v>
      </c>
    </row>
    <row r="1668" spans="1:6" x14ac:dyDescent="0.2">
      <c r="A1668" s="10">
        <v>2021</v>
      </c>
      <c r="B1668" s="55">
        <v>3526</v>
      </c>
      <c r="C1668" s="90" t="str">
        <f>VLOOKUP(B1668,'All Districts'!$A$3:$B$874,2,FALSE)</f>
        <v>Cincinnatus</v>
      </c>
      <c r="D1668" s="75">
        <v>463014</v>
      </c>
      <c r="E1668">
        <f>VLOOKUP(C1668,'All Districts'!$B$3:$C$874,2,FALSE)</f>
        <v>3607560</v>
      </c>
      <c r="F1668" s="91">
        <f>COUNTIF($E$2:$E$7106,E1668)</f>
        <v>9</v>
      </c>
    </row>
    <row r="1669" spans="1:6" x14ac:dyDescent="0.2">
      <c r="A1669">
        <v>2022</v>
      </c>
      <c r="B1669" s="36">
        <v>3526</v>
      </c>
      <c r="C1669" s="90" t="str">
        <f>VLOOKUP(B1669,'All Districts'!$A$3:$B$874,2,FALSE)</f>
        <v>Cincinnatus</v>
      </c>
      <c r="D1669" s="82">
        <v>493748</v>
      </c>
      <c r="E1669">
        <f>VLOOKUP(C1669,'All Districts'!$B$3:$C$874,2,FALSE)</f>
        <v>3607560</v>
      </c>
      <c r="F1669" s="91">
        <f>COUNTIF($E$2:$E$7106,E1669)</f>
        <v>9</v>
      </c>
    </row>
    <row r="1670" spans="1:6" x14ac:dyDescent="0.2">
      <c r="A1670">
        <v>2023</v>
      </c>
      <c r="B1670" s="36">
        <v>3526</v>
      </c>
      <c r="C1670" s="90" t="str">
        <f>VLOOKUP(B1670,'All Districts'!$A$3:$B$874,2,FALSE)</f>
        <v>Cincinnatus</v>
      </c>
      <c r="D1670" s="40">
        <v>557352</v>
      </c>
      <c r="E1670">
        <f>VLOOKUP(C1670,'All Districts'!$B$3:$C$874,2,FALSE)</f>
        <v>3607560</v>
      </c>
      <c r="F1670" s="91">
        <f>COUNTIF($E$2:$E$7106,E1670)</f>
        <v>9</v>
      </c>
    </row>
    <row r="1671" spans="1:6" x14ac:dyDescent="0.2">
      <c r="A1671">
        <v>2015</v>
      </c>
      <c r="B1671" s="13">
        <v>2076</v>
      </c>
      <c r="C1671" s="90" t="str">
        <f>VLOOKUP(B1671,'All Districts'!$A$3:$B$874,2,FALSE)</f>
        <v>Clarence</v>
      </c>
      <c r="D1671" s="14">
        <v>4932718</v>
      </c>
      <c r="E1671">
        <f>VLOOKUP(C1671,'All Districts'!$B$3:$C$874,2,FALSE)</f>
        <v>3607590</v>
      </c>
      <c r="F1671" s="91">
        <f>COUNTIF($E$2:$E$7106,E1671)</f>
        <v>9</v>
      </c>
    </row>
    <row r="1672" spans="1:6" x14ac:dyDescent="0.2">
      <c r="A1672">
        <v>2016</v>
      </c>
      <c r="B1672" s="13">
        <v>2076</v>
      </c>
      <c r="C1672" s="90" t="str">
        <f>VLOOKUP(B1672,'All Districts'!$A$3:$B$874,2,FALSE)</f>
        <v>Clarence</v>
      </c>
      <c r="D1672" s="16">
        <v>3881421</v>
      </c>
      <c r="E1672">
        <f>VLOOKUP(C1672,'All Districts'!$B$3:$C$874,2,FALSE)</f>
        <v>3607590</v>
      </c>
      <c r="F1672" s="91">
        <f>COUNTIF($E$2:$E$7106,E1672)</f>
        <v>9</v>
      </c>
    </row>
    <row r="1673" spans="1:6" x14ac:dyDescent="0.2">
      <c r="A1673">
        <v>2017</v>
      </c>
      <c r="B1673" s="13">
        <v>2076</v>
      </c>
      <c r="C1673" s="90" t="str">
        <f>VLOOKUP(B1673,'All Districts'!$A$3:$B$874,2,FALSE)</f>
        <v>Clarence</v>
      </c>
      <c r="D1673" s="16">
        <v>3549585</v>
      </c>
      <c r="E1673">
        <f>VLOOKUP(C1673,'All Districts'!$B$3:$C$874,2,FALSE)</f>
        <v>3607590</v>
      </c>
      <c r="F1673" s="91">
        <f>COUNTIF($E$2:$E$7106,E1673)</f>
        <v>9</v>
      </c>
    </row>
    <row r="1674" spans="1:6" x14ac:dyDescent="0.2">
      <c r="A1674" s="10">
        <v>2018</v>
      </c>
      <c r="B1674" s="13">
        <v>2076</v>
      </c>
      <c r="C1674" s="90" t="str">
        <f>VLOOKUP(B1674,'All Districts'!$A$3:$B$874,2,FALSE)</f>
        <v>Clarence</v>
      </c>
      <c r="D1674" s="15">
        <v>3076086</v>
      </c>
      <c r="E1674">
        <f>VLOOKUP(C1674,'All Districts'!$B$3:$C$874,2,FALSE)</f>
        <v>3607590</v>
      </c>
      <c r="F1674" s="91">
        <f>COUNTIF($E$2:$E$7106,E1674)</f>
        <v>9</v>
      </c>
    </row>
    <row r="1675" spans="1:6" x14ac:dyDescent="0.2">
      <c r="A1675">
        <v>2019</v>
      </c>
      <c r="B1675" s="36">
        <v>2076</v>
      </c>
      <c r="C1675" s="90" t="str">
        <f>VLOOKUP(B1675,'All Districts'!$A$3:$B$874,2,FALSE)</f>
        <v>Clarence</v>
      </c>
      <c r="D1675" s="40">
        <v>3358065</v>
      </c>
      <c r="E1675">
        <f>VLOOKUP(C1675,'All Districts'!$B$3:$C$874,2,FALSE)</f>
        <v>3607590</v>
      </c>
      <c r="F1675" s="91">
        <f>COUNTIF($E$2:$E$7106,E1675)</f>
        <v>9</v>
      </c>
    </row>
    <row r="1676" spans="1:6" x14ac:dyDescent="0.2">
      <c r="A1676">
        <v>2020</v>
      </c>
      <c r="B1676" s="36">
        <v>2076</v>
      </c>
      <c r="C1676" s="90" t="str">
        <f>VLOOKUP(B1676,'All Districts'!$A$3:$B$874,2,FALSE)</f>
        <v>Clarence</v>
      </c>
      <c r="D1676" s="40">
        <v>2891166</v>
      </c>
      <c r="E1676">
        <f>VLOOKUP(C1676,'All Districts'!$B$3:$C$874,2,FALSE)</f>
        <v>3607590</v>
      </c>
      <c r="F1676" s="91">
        <f>COUNTIF($E$2:$E$7106,E1676)</f>
        <v>9</v>
      </c>
    </row>
    <row r="1677" spans="1:6" x14ac:dyDescent="0.2">
      <c r="A1677" s="10">
        <v>2021</v>
      </c>
      <c r="B1677" s="52">
        <v>2076</v>
      </c>
      <c r="C1677" s="90" t="str">
        <f>VLOOKUP(B1677,'All Districts'!$A$3:$B$874,2,FALSE)</f>
        <v>Clarence</v>
      </c>
      <c r="D1677" s="75">
        <v>3180397</v>
      </c>
      <c r="E1677">
        <f>VLOOKUP(C1677,'All Districts'!$B$3:$C$874,2,FALSE)</f>
        <v>3607590</v>
      </c>
      <c r="F1677" s="91">
        <f>COUNTIF($E$2:$E$7106,E1677)</f>
        <v>9</v>
      </c>
    </row>
    <row r="1678" spans="1:6" x14ac:dyDescent="0.2">
      <c r="A1678">
        <v>2022</v>
      </c>
      <c r="B1678" s="36">
        <v>2076</v>
      </c>
      <c r="C1678" s="90" t="str">
        <f>VLOOKUP(B1678,'All Districts'!$A$3:$B$874,2,FALSE)</f>
        <v>Clarence</v>
      </c>
      <c r="D1678" s="82">
        <v>3446370</v>
      </c>
      <c r="E1678">
        <f>VLOOKUP(C1678,'All Districts'!$B$3:$C$874,2,FALSE)</f>
        <v>3607590</v>
      </c>
      <c r="F1678" s="91">
        <f>COUNTIF($E$2:$E$7106,E1678)</f>
        <v>9</v>
      </c>
    </row>
    <row r="1679" spans="1:6" x14ac:dyDescent="0.2">
      <c r="A1679">
        <v>2023</v>
      </c>
      <c r="B1679" s="36">
        <v>2076</v>
      </c>
      <c r="C1679" s="90" t="str">
        <f>VLOOKUP(B1679,'All Districts'!$A$3:$B$874,2,FALSE)</f>
        <v>Clarence</v>
      </c>
      <c r="D1679" s="40">
        <v>3765637</v>
      </c>
      <c r="E1679">
        <f>VLOOKUP(C1679,'All Districts'!$B$3:$C$874,2,FALSE)</f>
        <v>3607590</v>
      </c>
      <c r="F1679" s="91">
        <f>COUNTIF($E$2:$E$7106,E1679)</f>
        <v>9</v>
      </c>
    </row>
    <row r="1680" spans="1:6" x14ac:dyDescent="0.2">
      <c r="A1680">
        <v>2015</v>
      </c>
      <c r="B1680" s="13">
        <v>2400</v>
      </c>
      <c r="C1680" s="90" t="str">
        <f>VLOOKUP(B1680,'All Districts'!$A$3:$B$874,2,FALSE)</f>
        <v>Clarkstown</v>
      </c>
      <c r="D1680" s="14">
        <v>14623151</v>
      </c>
      <c r="E1680">
        <f>VLOOKUP(C1680,'All Districts'!$B$3:$C$874,2,FALSE)</f>
        <v>3620340</v>
      </c>
      <c r="F1680" s="91">
        <f>COUNTIF($E$2:$E$7106,E1680)</f>
        <v>9</v>
      </c>
    </row>
    <row r="1681" spans="1:6" x14ac:dyDescent="0.2">
      <c r="A1681">
        <v>2016</v>
      </c>
      <c r="B1681" s="13">
        <v>2400</v>
      </c>
      <c r="C1681" s="90" t="str">
        <f>VLOOKUP(B1681,'All Districts'!$A$3:$B$874,2,FALSE)</f>
        <v>Clarkstown</v>
      </c>
      <c r="D1681" s="16">
        <v>11144532</v>
      </c>
      <c r="E1681">
        <f>VLOOKUP(C1681,'All Districts'!$B$3:$C$874,2,FALSE)</f>
        <v>3620340</v>
      </c>
      <c r="F1681" s="91">
        <f>COUNTIF($E$2:$E$7106,E1681)</f>
        <v>9</v>
      </c>
    </row>
    <row r="1682" spans="1:6" x14ac:dyDescent="0.2">
      <c r="A1682">
        <v>2017</v>
      </c>
      <c r="B1682" s="13">
        <v>2400</v>
      </c>
      <c r="C1682" s="90" t="str">
        <f>VLOOKUP(B1682,'All Districts'!$A$3:$B$874,2,FALSE)</f>
        <v>Clarkstown</v>
      </c>
      <c r="D1682" s="16">
        <v>10068303</v>
      </c>
      <c r="E1682">
        <f>VLOOKUP(C1682,'All Districts'!$B$3:$C$874,2,FALSE)</f>
        <v>3620340</v>
      </c>
      <c r="F1682" s="91">
        <f>COUNTIF($E$2:$E$7106,E1682)</f>
        <v>9</v>
      </c>
    </row>
    <row r="1683" spans="1:6" x14ac:dyDescent="0.2">
      <c r="A1683" s="10">
        <v>2018</v>
      </c>
      <c r="B1683" s="13">
        <v>2400</v>
      </c>
      <c r="C1683" s="90" t="str">
        <f>VLOOKUP(B1683,'All Districts'!$A$3:$B$874,2,FALSE)</f>
        <v>Clarkstown</v>
      </c>
      <c r="D1683" s="15">
        <v>8733723</v>
      </c>
      <c r="E1683">
        <f>VLOOKUP(C1683,'All Districts'!$B$3:$C$874,2,FALSE)</f>
        <v>3620340</v>
      </c>
      <c r="F1683" s="91">
        <f>COUNTIF($E$2:$E$7106,E1683)</f>
        <v>9</v>
      </c>
    </row>
    <row r="1684" spans="1:6" x14ac:dyDescent="0.2">
      <c r="A1684">
        <v>2019</v>
      </c>
      <c r="B1684" s="36">
        <v>2400</v>
      </c>
      <c r="C1684" s="90" t="str">
        <f>VLOOKUP(B1684,'All Districts'!$A$3:$B$874,2,FALSE)</f>
        <v>Clarkstown</v>
      </c>
      <c r="D1684" s="40">
        <v>9894918</v>
      </c>
      <c r="E1684">
        <f>VLOOKUP(C1684,'All Districts'!$B$3:$C$874,2,FALSE)</f>
        <v>3620340</v>
      </c>
      <c r="F1684" s="91">
        <f>COUNTIF($E$2:$E$7106,E1684)</f>
        <v>9</v>
      </c>
    </row>
    <row r="1685" spans="1:6" x14ac:dyDescent="0.2">
      <c r="A1685">
        <v>2020</v>
      </c>
      <c r="B1685" s="36">
        <v>2400</v>
      </c>
      <c r="C1685" s="90" t="str">
        <f>VLOOKUP(B1685,'All Districts'!$A$3:$B$874,2,FALSE)</f>
        <v>Clarkstown</v>
      </c>
      <c r="D1685" s="40">
        <v>8633615</v>
      </c>
      <c r="E1685">
        <f>VLOOKUP(C1685,'All Districts'!$B$3:$C$874,2,FALSE)</f>
        <v>3620340</v>
      </c>
      <c r="F1685" s="91">
        <f>COUNTIF($E$2:$E$7106,E1685)</f>
        <v>9</v>
      </c>
    </row>
    <row r="1686" spans="1:6" x14ac:dyDescent="0.2">
      <c r="A1686" s="10">
        <v>2021</v>
      </c>
      <c r="B1686" s="73">
        <v>2400</v>
      </c>
      <c r="C1686" s="90" t="str">
        <f>VLOOKUP(B1686,'All Districts'!$A$3:$B$874,2,FALSE)</f>
        <v>Clarkstown</v>
      </c>
      <c r="D1686" s="79">
        <v>9476162</v>
      </c>
      <c r="E1686">
        <f>VLOOKUP(C1686,'All Districts'!$B$3:$C$874,2,FALSE)</f>
        <v>3620340</v>
      </c>
      <c r="F1686" s="91">
        <f>COUNTIF($E$2:$E$7106,E1686)</f>
        <v>9</v>
      </c>
    </row>
    <row r="1687" spans="1:6" x14ac:dyDescent="0.2">
      <c r="A1687">
        <v>2022</v>
      </c>
      <c r="B1687" s="36">
        <v>2400</v>
      </c>
      <c r="C1687" s="90" t="str">
        <f>VLOOKUP(B1687,'All Districts'!$A$3:$B$874,2,FALSE)</f>
        <v>Clarkstown</v>
      </c>
      <c r="D1687" s="82">
        <v>10253875</v>
      </c>
      <c r="E1687">
        <f>VLOOKUP(C1687,'All Districts'!$B$3:$C$874,2,FALSE)</f>
        <v>3620340</v>
      </c>
      <c r="F1687" s="91">
        <f>COUNTIF($E$2:$E$7106,E1687)</f>
        <v>9</v>
      </c>
    </row>
    <row r="1688" spans="1:6" x14ac:dyDescent="0.2">
      <c r="A1688">
        <v>2023</v>
      </c>
      <c r="B1688" s="36">
        <v>2400</v>
      </c>
      <c r="C1688" s="90" t="str">
        <f>VLOOKUP(B1688,'All Districts'!$A$3:$B$874,2,FALSE)</f>
        <v>Clarkstown</v>
      </c>
      <c r="D1688" s="40">
        <v>11110250</v>
      </c>
      <c r="E1688">
        <f>VLOOKUP(C1688,'All Districts'!$B$3:$C$874,2,FALSE)</f>
        <v>3620340</v>
      </c>
      <c r="F1688" s="91">
        <f>COUNTIF($E$2:$E$7106,E1688)</f>
        <v>9</v>
      </c>
    </row>
    <row r="1689" spans="1:6" x14ac:dyDescent="0.2">
      <c r="A1689">
        <v>2015</v>
      </c>
      <c r="B1689" s="13">
        <v>3679</v>
      </c>
      <c r="C1689" s="90" t="str">
        <f>VLOOKUP(B1689,'All Districts'!$A$3:$B$874,2,FALSE)</f>
        <v>Cleveland Hill at Cheektowaga</v>
      </c>
      <c r="D1689" s="14">
        <v>1754237</v>
      </c>
      <c r="E1689">
        <f>VLOOKUP(C1689,'All Districts'!$B$3:$C$874,2,FALSE)</f>
        <v>3607680</v>
      </c>
      <c r="F1689" s="91">
        <f>COUNTIF($E$2:$E$7106,E1689)</f>
        <v>9</v>
      </c>
    </row>
    <row r="1690" spans="1:6" x14ac:dyDescent="0.2">
      <c r="A1690">
        <v>2016</v>
      </c>
      <c r="B1690" s="13">
        <v>3679</v>
      </c>
      <c r="C1690" s="90" t="str">
        <f>VLOOKUP(B1690,'All Districts'!$A$3:$B$874,2,FALSE)</f>
        <v>Cleveland Hill at Cheektowaga</v>
      </c>
      <c r="D1690" s="16">
        <v>1354930</v>
      </c>
      <c r="E1690">
        <f>VLOOKUP(C1690,'All Districts'!$B$3:$C$874,2,FALSE)</f>
        <v>3607680</v>
      </c>
      <c r="F1690" s="91">
        <f>COUNTIF($E$2:$E$7106,E1690)</f>
        <v>9</v>
      </c>
    </row>
    <row r="1691" spans="1:6" x14ac:dyDescent="0.2">
      <c r="A1691">
        <v>2017</v>
      </c>
      <c r="B1691" s="13">
        <v>3679</v>
      </c>
      <c r="C1691" s="90" t="str">
        <f>VLOOKUP(B1691,'All Districts'!$A$3:$B$874,2,FALSE)</f>
        <v>Cleveland Hill at Cheektowaga</v>
      </c>
      <c r="D1691" s="16">
        <v>1228532</v>
      </c>
      <c r="E1691">
        <f>VLOOKUP(C1691,'All Districts'!$B$3:$C$874,2,FALSE)</f>
        <v>3607680</v>
      </c>
      <c r="F1691" s="91">
        <f>COUNTIF($E$2:$E$7106,E1691)</f>
        <v>9</v>
      </c>
    </row>
    <row r="1692" spans="1:6" x14ac:dyDescent="0.2">
      <c r="A1692" s="10">
        <v>2018</v>
      </c>
      <c r="B1692" s="13">
        <v>3679</v>
      </c>
      <c r="C1692" s="90" t="str">
        <f>VLOOKUP(B1692,'All Districts'!$A$3:$B$874,2,FALSE)</f>
        <v>Cleveland Hill at Cheektowaga</v>
      </c>
      <c r="D1692" s="15">
        <v>1070457</v>
      </c>
      <c r="E1692">
        <f>VLOOKUP(C1692,'All Districts'!$B$3:$C$874,2,FALSE)</f>
        <v>3607680</v>
      </c>
      <c r="F1692" s="91">
        <f>COUNTIF($E$2:$E$7106,E1692)</f>
        <v>9</v>
      </c>
    </row>
    <row r="1693" spans="1:6" x14ac:dyDescent="0.2">
      <c r="A1693">
        <v>2019</v>
      </c>
      <c r="B1693" s="36">
        <v>3679</v>
      </c>
      <c r="C1693" s="90" t="str">
        <f>VLOOKUP(B1693,'All Districts'!$A$3:$B$874,2,FALSE)</f>
        <v>Cleveland Hill at Cheektowaga</v>
      </c>
      <c r="D1693" s="40">
        <v>1220797</v>
      </c>
      <c r="E1693">
        <f>VLOOKUP(C1693,'All Districts'!$B$3:$C$874,2,FALSE)</f>
        <v>3607680</v>
      </c>
      <c r="F1693" s="91">
        <f>COUNTIF($E$2:$E$7106,E1693)</f>
        <v>9</v>
      </c>
    </row>
    <row r="1694" spans="1:6" x14ac:dyDescent="0.2">
      <c r="A1694">
        <v>2020</v>
      </c>
      <c r="B1694" s="36">
        <v>3679</v>
      </c>
      <c r="C1694" s="90" t="str">
        <f>VLOOKUP(B1694,'All Districts'!$A$3:$B$874,2,FALSE)</f>
        <v>Cleveland Hill at Cheektowaga</v>
      </c>
      <c r="D1694" s="40">
        <v>1042345</v>
      </c>
      <c r="E1694">
        <f>VLOOKUP(C1694,'All Districts'!$B$3:$C$874,2,FALSE)</f>
        <v>3607680</v>
      </c>
      <c r="F1694" s="91">
        <f>COUNTIF($E$2:$E$7106,E1694)</f>
        <v>9</v>
      </c>
    </row>
    <row r="1695" spans="1:6" x14ac:dyDescent="0.2">
      <c r="A1695" s="10">
        <v>2021</v>
      </c>
      <c r="B1695" s="52">
        <v>3679</v>
      </c>
      <c r="C1695" s="90" t="str">
        <f>VLOOKUP(B1695,'All Districts'!$A$3:$B$874,2,FALSE)</f>
        <v>Cleveland Hill at Cheektowaga</v>
      </c>
      <c r="D1695" s="76">
        <v>1129471</v>
      </c>
      <c r="E1695">
        <f>VLOOKUP(C1695,'All Districts'!$B$3:$C$874,2,FALSE)</f>
        <v>3607680</v>
      </c>
      <c r="F1695" s="91">
        <f>COUNTIF($E$2:$E$7106,E1695)</f>
        <v>9</v>
      </c>
    </row>
    <row r="1696" spans="1:6" x14ac:dyDescent="0.2">
      <c r="A1696">
        <v>2022</v>
      </c>
      <c r="B1696" s="36">
        <v>3679</v>
      </c>
      <c r="C1696" s="90" t="str">
        <f>VLOOKUP(B1696,'All Districts'!$A$3:$B$874,2,FALSE)</f>
        <v>Cleveland Hill at Cheektowaga</v>
      </c>
      <c r="D1696" s="82">
        <v>1245512</v>
      </c>
      <c r="E1696">
        <f>VLOOKUP(C1696,'All Districts'!$B$3:$C$874,2,FALSE)</f>
        <v>3607680</v>
      </c>
      <c r="F1696" s="91">
        <f>COUNTIF($E$2:$E$7106,E1696)</f>
        <v>9</v>
      </c>
    </row>
    <row r="1697" spans="1:6" x14ac:dyDescent="0.2">
      <c r="A1697">
        <v>2023</v>
      </c>
      <c r="B1697" s="36">
        <v>3679</v>
      </c>
      <c r="C1697" s="90" t="str">
        <f>VLOOKUP(B1697,'All Districts'!$A$3:$B$874,2,FALSE)</f>
        <v>Cleveland Hill at Cheektowaga</v>
      </c>
      <c r="D1697" s="40">
        <v>1333305</v>
      </c>
      <c r="E1697">
        <f>VLOOKUP(C1697,'All Districts'!$B$3:$C$874,2,FALSE)</f>
        <v>3607680</v>
      </c>
      <c r="F1697" s="91">
        <f>COUNTIF($E$2:$E$7106,E1697)</f>
        <v>9</v>
      </c>
    </row>
    <row r="1698" spans="1:6" x14ac:dyDescent="0.2">
      <c r="A1698">
        <v>2015</v>
      </c>
      <c r="B1698" s="13">
        <v>4976</v>
      </c>
      <c r="C1698" s="90" t="str">
        <f>VLOOKUP(B1698,'All Districts'!$A$3:$B$874,2,FALSE)</f>
        <v>Clifton Fine</v>
      </c>
      <c r="D1698" s="14">
        <v>405476</v>
      </c>
      <c r="E1698">
        <f>VLOOKUP(C1698,'All Districts'!$B$3:$C$874,2,FALSE)</f>
        <v>3607710</v>
      </c>
      <c r="F1698" s="91">
        <f>COUNTIF($E$2:$E$7106,E1698)</f>
        <v>9</v>
      </c>
    </row>
    <row r="1699" spans="1:6" x14ac:dyDescent="0.2">
      <c r="A1699">
        <v>2016</v>
      </c>
      <c r="B1699" s="13">
        <v>4976</v>
      </c>
      <c r="C1699" s="90" t="str">
        <f>VLOOKUP(B1699,'All Districts'!$A$3:$B$874,2,FALSE)</f>
        <v>Clifton Fine</v>
      </c>
      <c r="D1699" s="16">
        <v>322239</v>
      </c>
      <c r="E1699">
        <f>VLOOKUP(C1699,'All Districts'!$B$3:$C$874,2,FALSE)</f>
        <v>3607710</v>
      </c>
      <c r="F1699" s="91">
        <f>COUNTIF($E$2:$E$7106,E1699)</f>
        <v>9</v>
      </c>
    </row>
    <row r="1700" spans="1:6" x14ac:dyDescent="0.2">
      <c r="A1700">
        <v>2017</v>
      </c>
      <c r="B1700" s="13">
        <v>4976</v>
      </c>
      <c r="C1700" s="90" t="str">
        <f>VLOOKUP(B1700,'All Districts'!$A$3:$B$874,2,FALSE)</f>
        <v>Clifton Fine</v>
      </c>
      <c r="D1700" s="16">
        <v>296041</v>
      </c>
      <c r="E1700">
        <f>VLOOKUP(C1700,'All Districts'!$B$3:$C$874,2,FALSE)</f>
        <v>3607710</v>
      </c>
      <c r="F1700" s="91">
        <f>COUNTIF($E$2:$E$7106,E1700)</f>
        <v>9</v>
      </c>
    </row>
    <row r="1701" spans="1:6" x14ac:dyDescent="0.2">
      <c r="A1701" s="10">
        <v>2018</v>
      </c>
      <c r="B1701" s="13">
        <v>4976</v>
      </c>
      <c r="C1701" s="90" t="str">
        <f>VLOOKUP(B1701,'All Districts'!$A$3:$B$874,2,FALSE)</f>
        <v>Clifton Fine</v>
      </c>
      <c r="D1701" s="15">
        <v>250129</v>
      </c>
      <c r="E1701">
        <f>VLOOKUP(C1701,'All Districts'!$B$3:$C$874,2,FALSE)</f>
        <v>3607710</v>
      </c>
      <c r="F1701" s="91">
        <f>COUNTIF($E$2:$E$7106,E1701)</f>
        <v>9</v>
      </c>
    </row>
    <row r="1702" spans="1:6" x14ac:dyDescent="0.2">
      <c r="A1702">
        <v>2019</v>
      </c>
      <c r="B1702" s="36">
        <v>4976</v>
      </c>
      <c r="C1702" s="90" t="str">
        <f>VLOOKUP(B1702,'All Districts'!$A$3:$B$874,2,FALSE)</f>
        <v>Clifton Fine</v>
      </c>
      <c r="D1702" s="40">
        <v>280377</v>
      </c>
      <c r="E1702">
        <f>VLOOKUP(C1702,'All Districts'!$B$3:$C$874,2,FALSE)</f>
        <v>3607710</v>
      </c>
      <c r="F1702" s="91">
        <f>COUNTIF($E$2:$E$7106,E1702)</f>
        <v>9</v>
      </c>
    </row>
    <row r="1703" spans="1:6" x14ac:dyDescent="0.2">
      <c r="A1703">
        <v>2020</v>
      </c>
      <c r="B1703" s="36">
        <v>4976</v>
      </c>
      <c r="C1703" s="90" t="str">
        <f>VLOOKUP(B1703,'All Districts'!$A$3:$B$874,2,FALSE)</f>
        <v>Clifton Fine</v>
      </c>
      <c r="D1703" s="40">
        <v>237091</v>
      </c>
      <c r="E1703">
        <f>VLOOKUP(C1703,'All Districts'!$B$3:$C$874,2,FALSE)</f>
        <v>3607710</v>
      </c>
      <c r="F1703" s="91">
        <f>COUNTIF($E$2:$E$7106,E1703)</f>
        <v>9</v>
      </c>
    </row>
    <row r="1704" spans="1:6" x14ac:dyDescent="0.2">
      <c r="A1704" s="10">
        <v>2021</v>
      </c>
      <c r="B1704" s="55">
        <v>4976</v>
      </c>
      <c r="C1704" s="90" t="str">
        <f>VLOOKUP(B1704,'All Districts'!$A$3:$B$874,2,FALSE)</f>
        <v>Clifton Fine</v>
      </c>
      <c r="D1704" s="75">
        <v>245394</v>
      </c>
      <c r="E1704">
        <f>VLOOKUP(C1704,'All Districts'!$B$3:$C$874,2,FALSE)</f>
        <v>3607710</v>
      </c>
      <c r="F1704" s="91">
        <f>COUNTIF($E$2:$E$7106,E1704)</f>
        <v>9</v>
      </c>
    </row>
    <row r="1705" spans="1:6" x14ac:dyDescent="0.2">
      <c r="A1705">
        <v>2022</v>
      </c>
      <c r="B1705" s="36">
        <v>4976</v>
      </c>
      <c r="C1705" s="90" t="str">
        <f>VLOOKUP(B1705,'All Districts'!$A$3:$B$874,2,FALSE)</f>
        <v>Clifton Fine</v>
      </c>
      <c r="D1705" s="82">
        <v>268169</v>
      </c>
      <c r="E1705">
        <f>VLOOKUP(C1705,'All Districts'!$B$3:$C$874,2,FALSE)</f>
        <v>3607710</v>
      </c>
      <c r="F1705" s="91">
        <f>COUNTIF($E$2:$E$7106,E1705)</f>
        <v>9</v>
      </c>
    </row>
    <row r="1706" spans="1:6" x14ac:dyDescent="0.2">
      <c r="A1706">
        <v>2023</v>
      </c>
      <c r="B1706" s="36">
        <v>4976</v>
      </c>
      <c r="C1706" s="90" t="str">
        <f>VLOOKUP(B1706,'All Districts'!$A$3:$B$874,2,FALSE)</f>
        <v>Clifton Fine</v>
      </c>
      <c r="D1706" s="40">
        <v>274715</v>
      </c>
      <c r="E1706">
        <f>VLOOKUP(C1706,'All Districts'!$B$3:$C$874,2,FALSE)</f>
        <v>3607710</v>
      </c>
      <c r="F1706" s="91">
        <f>COUNTIF($E$2:$E$7106,E1706)</f>
        <v>9</v>
      </c>
    </row>
    <row r="1707" spans="1:6" x14ac:dyDescent="0.2">
      <c r="A1707">
        <v>2015</v>
      </c>
      <c r="B1707" s="13">
        <v>6018</v>
      </c>
      <c r="C1707" s="90" t="str">
        <f>VLOOKUP(B1707,'All Districts'!$A$3:$B$874,2,FALSE)</f>
        <v>Clinton-Essex-Warren-Wash</v>
      </c>
      <c r="D1707" s="15">
        <v>1599002</v>
      </c>
      <c r="E1707">
        <f>VLOOKUP(C1707,'All Districts'!$B$3:$C$874,2,FALSE)</f>
        <v>3680220</v>
      </c>
      <c r="F1707" s="91">
        <f>COUNTIF($E$2:$E$7106,E1707)</f>
        <v>9</v>
      </c>
    </row>
    <row r="1708" spans="1:6" x14ac:dyDescent="0.2">
      <c r="A1708">
        <v>2016</v>
      </c>
      <c r="B1708" s="13">
        <v>6018</v>
      </c>
      <c r="C1708" s="90" t="str">
        <f>VLOOKUP(B1708,'All Districts'!$A$3:$B$874,2,FALSE)</f>
        <v>Clinton-Essex-Warren-Wash</v>
      </c>
      <c r="D1708" s="16">
        <v>1180899</v>
      </c>
      <c r="E1708">
        <f>VLOOKUP(C1708,'All Districts'!$B$3:$C$874,2,FALSE)</f>
        <v>3680220</v>
      </c>
      <c r="F1708" s="91">
        <f>COUNTIF($E$2:$E$7106,E1708)</f>
        <v>9</v>
      </c>
    </row>
    <row r="1709" spans="1:6" x14ac:dyDescent="0.2">
      <c r="A1709">
        <v>2017</v>
      </c>
      <c r="B1709" s="13">
        <v>6018</v>
      </c>
      <c r="C1709" s="90" t="str">
        <f>VLOOKUP(B1709,'All Districts'!$A$3:$B$874,2,FALSE)</f>
        <v>Clinton-Essex-Warren-Wash</v>
      </c>
      <c r="D1709" s="16">
        <v>1144491</v>
      </c>
      <c r="E1709">
        <f>VLOOKUP(C1709,'All Districts'!$B$3:$C$874,2,FALSE)</f>
        <v>3680220</v>
      </c>
      <c r="F1709" s="91">
        <f>COUNTIF($E$2:$E$7106,E1709)</f>
        <v>9</v>
      </c>
    </row>
    <row r="1710" spans="1:6" x14ac:dyDescent="0.2">
      <c r="A1710" s="10">
        <v>2018</v>
      </c>
      <c r="B1710" s="13">
        <v>6018</v>
      </c>
      <c r="C1710" s="90" t="str">
        <f>VLOOKUP(B1710,'All Districts'!$A$3:$B$874,2,FALSE)</f>
        <v>Clinton-Essex-Warren-Wash</v>
      </c>
      <c r="D1710" s="15">
        <v>965896</v>
      </c>
      <c r="E1710">
        <f>VLOOKUP(C1710,'All Districts'!$B$3:$C$874,2,FALSE)</f>
        <v>3680220</v>
      </c>
      <c r="F1710" s="91">
        <f>COUNTIF($E$2:$E$7106,E1710)</f>
        <v>9</v>
      </c>
    </row>
    <row r="1711" spans="1:6" x14ac:dyDescent="0.2">
      <c r="A1711">
        <v>2019</v>
      </c>
      <c r="B1711" s="36">
        <v>6018</v>
      </c>
      <c r="C1711" s="90" t="str">
        <f>VLOOKUP(B1711,'All Districts'!$A$3:$B$874,2,FALSE)</f>
        <v>Clinton-Essex-Warren-Wash</v>
      </c>
      <c r="D1711" s="40">
        <v>1033338</v>
      </c>
      <c r="E1711">
        <f>VLOOKUP(C1711,'All Districts'!$B$3:$C$874,2,FALSE)</f>
        <v>3680220</v>
      </c>
      <c r="F1711" s="91">
        <f>COUNTIF($E$2:$E$7106,E1711)</f>
        <v>9</v>
      </c>
    </row>
    <row r="1712" spans="1:6" x14ac:dyDescent="0.2">
      <c r="A1712">
        <v>2020</v>
      </c>
      <c r="B1712" s="36">
        <v>6018</v>
      </c>
      <c r="C1712" s="90" t="str">
        <f>VLOOKUP(B1712,'All Districts'!$A$3:$B$874,2,FALSE)</f>
        <v>Clinton-Essex-Warren-Wash</v>
      </c>
      <c r="D1712" s="40">
        <v>845878</v>
      </c>
      <c r="E1712">
        <f>VLOOKUP(C1712,'All Districts'!$B$3:$C$874,2,FALSE)</f>
        <v>3680220</v>
      </c>
      <c r="F1712" s="91">
        <f>COUNTIF($E$2:$E$7106,E1712)</f>
        <v>9</v>
      </c>
    </row>
    <row r="1713" spans="1:6" x14ac:dyDescent="0.2">
      <c r="A1713" s="10">
        <v>2021</v>
      </c>
      <c r="B1713" s="52">
        <v>6018</v>
      </c>
      <c r="C1713" s="90" t="str">
        <f>VLOOKUP(B1713,'All Districts'!$A$3:$B$874,2,FALSE)</f>
        <v>Clinton-Essex-Warren-Wash</v>
      </c>
      <c r="D1713" s="76">
        <v>909712</v>
      </c>
      <c r="E1713">
        <f>VLOOKUP(C1713,'All Districts'!$B$3:$C$874,2,FALSE)</f>
        <v>3680220</v>
      </c>
      <c r="F1713" s="91">
        <f>COUNTIF($E$2:$E$7106,E1713)</f>
        <v>9</v>
      </c>
    </row>
    <row r="1714" spans="1:6" x14ac:dyDescent="0.2">
      <c r="A1714">
        <v>2022</v>
      </c>
      <c r="B1714" s="36">
        <v>6018</v>
      </c>
      <c r="C1714" s="90" t="str">
        <f>VLOOKUP(B1714,'All Districts'!$A$3:$B$874,2,FALSE)</f>
        <v>Clinton-Essex-Warren-Wash</v>
      </c>
      <c r="D1714" s="82">
        <v>978163</v>
      </c>
      <c r="E1714">
        <f>VLOOKUP(C1714,'All Districts'!$B$3:$C$874,2,FALSE)</f>
        <v>3680220</v>
      </c>
      <c r="F1714" s="91">
        <f>COUNTIF($E$2:$E$7106,E1714)</f>
        <v>9</v>
      </c>
    </row>
    <row r="1715" spans="1:6" x14ac:dyDescent="0.2">
      <c r="A1715">
        <v>2023</v>
      </c>
      <c r="B1715" s="36">
        <v>6018</v>
      </c>
      <c r="C1715" s="90" t="str">
        <f>VLOOKUP(B1715,'All Districts'!$A$3:$B$874,2,FALSE)</f>
        <v>Clinton-Essex-Warren-Wash</v>
      </c>
      <c r="D1715" s="40">
        <v>1107225</v>
      </c>
      <c r="E1715">
        <f>VLOOKUP(C1715,'All Districts'!$B$3:$C$874,2,FALSE)</f>
        <v>3680220</v>
      </c>
      <c r="F1715" s="91">
        <f>COUNTIF($E$2:$E$7106,E1715)</f>
        <v>9</v>
      </c>
    </row>
    <row r="1716" spans="1:6" x14ac:dyDescent="0.2">
      <c r="A1716">
        <v>2015</v>
      </c>
      <c r="B1716" s="13">
        <v>4593</v>
      </c>
      <c r="C1716" s="90" t="str">
        <f>VLOOKUP(B1716,'All Districts'!$A$3:$B$874,2,FALSE)</f>
        <v>Clyde-Savannah</v>
      </c>
      <c r="D1716" s="14">
        <v>1075000</v>
      </c>
      <c r="E1716">
        <f>VLOOKUP(C1716,'All Districts'!$B$3:$C$874,2,FALSE)</f>
        <v>3607860</v>
      </c>
      <c r="F1716" s="91">
        <f>COUNTIF($E$2:$E$7106,E1716)</f>
        <v>9</v>
      </c>
    </row>
    <row r="1717" spans="1:6" x14ac:dyDescent="0.2">
      <c r="A1717">
        <v>2016</v>
      </c>
      <c r="B1717" s="13">
        <v>4593</v>
      </c>
      <c r="C1717" s="90" t="str">
        <f>VLOOKUP(B1717,'All Districts'!$A$3:$B$874,2,FALSE)</f>
        <v>Clyde-Savannah</v>
      </c>
      <c r="D1717" s="16">
        <v>841657</v>
      </c>
      <c r="E1717">
        <f>VLOOKUP(C1717,'All Districts'!$B$3:$C$874,2,FALSE)</f>
        <v>3607860</v>
      </c>
      <c r="F1717" s="91">
        <f>COUNTIF($E$2:$E$7106,E1717)</f>
        <v>9</v>
      </c>
    </row>
    <row r="1718" spans="1:6" x14ac:dyDescent="0.2">
      <c r="A1718">
        <v>2017</v>
      </c>
      <c r="B1718" s="13">
        <v>4593</v>
      </c>
      <c r="C1718" s="90" t="str">
        <f>VLOOKUP(B1718,'All Districts'!$A$3:$B$874,2,FALSE)</f>
        <v>Clyde-Savannah</v>
      </c>
      <c r="D1718" s="16">
        <v>773757</v>
      </c>
      <c r="E1718">
        <f>VLOOKUP(C1718,'All Districts'!$B$3:$C$874,2,FALSE)</f>
        <v>3607860</v>
      </c>
      <c r="F1718" s="91">
        <f>COUNTIF($E$2:$E$7106,E1718)</f>
        <v>9</v>
      </c>
    </row>
    <row r="1719" spans="1:6" x14ac:dyDescent="0.2">
      <c r="A1719" s="10">
        <v>2018</v>
      </c>
      <c r="B1719" s="13">
        <v>4593</v>
      </c>
      <c r="C1719" s="90" t="str">
        <f>VLOOKUP(B1719,'All Districts'!$A$3:$B$874,2,FALSE)</f>
        <v>Clyde-Savannah</v>
      </c>
      <c r="D1719" s="15">
        <v>647747</v>
      </c>
      <c r="E1719">
        <f>VLOOKUP(C1719,'All Districts'!$B$3:$C$874,2,FALSE)</f>
        <v>3607860</v>
      </c>
      <c r="F1719" s="91">
        <f>COUNTIF($E$2:$E$7106,E1719)</f>
        <v>9</v>
      </c>
    </row>
    <row r="1720" spans="1:6" x14ac:dyDescent="0.2">
      <c r="A1720">
        <v>2019</v>
      </c>
      <c r="B1720" s="36">
        <v>4593</v>
      </c>
      <c r="C1720" s="90" t="str">
        <f>VLOOKUP(B1720,'All Districts'!$A$3:$B$874,2,FALSE)</f>
        <v>Clyde-Savannah</v>
      </c>
      <c r="D1720" s="40">
        <v>710871</v>
      </c>
      <c r="E1720">
        <f>VLOOKUP(C1720,'All Districts'!$B$3:$C$874,2,FALSE)</f>
        <v>3607860</v>
      </c>
      <c r="F1720" s="91">
        <f>COUNTIF($E$2:$E$7106,E1720)</f>
        <v>9</v>
      </c>
    </row>
    <row r="1721" spans="1:6" x14ac:dyDescent="0.2">
      <c r="A1721">
        <v>2020</v>
      </c>
      <c r="B1721" s="36">
        <v>4593</v>
      </c>
      <c r="C1721" s="90" t="str">
        <f>VLOOKUP(B1721,'All Districts'!$A$3:$B$874,2,FALSE)</f>
        <v>Clyde-Savannah</v>
      </c>
      <c r="D1721" s="40">
        <v>607473</v>
      </c>
      <c r="E1721">
        <f>VLOOKUP(C1721,'All Districts'!$B$3:$C$874,2,FALSE)</f>
        <v>3607860</v>
      </c>
      <c r="F1721" s="91">
        <f>COUNTIF($E$2:$E$7106,E1721)</f>
        <v>9</v>
      </c>
    </row>
    <row r="1722" spans="1:6" x14ac:dyDescent="0.2">
      <c r="A1722" s="10">
        <v>2021</v>
      </c>
      <c r="B1722" s="52">
        <v>4593</v>
      </c>
      <c r="C1722" s="90" t="str">
        <f>VLOOKUP(B1722,'All Districts'!$A$3:$B$874,2,FALSE)</f>
        <v>Clyde-Savannah</v>
      </c>
      <c r="D1722" s="75">
        <v>592226</v>
      </c>
      <c r="E1722">
        <f>VLOOKUP(C1722,'All Districts'!$B$3:$C$874,2,FALSE)</f>
        <v>3607860</v>
      </c>
      <c r="F1722" s="91">
        <f>COUNTIF($E$2:$E$7106,E1722)</f>
        <v>9</v>
      </c>
    </row>
    <row r="1723" spans="1:6" x14ac:dyDescent="0.2">
      <c r="A1723">
        <v>2022</v>
      </c>
      <c r="B1723" s="36">
        <v>4593</v>
      </c>
      <c r="C1723" s="90" t="str">
        <f>VLOOKUP(B1723,'All Districts'!$A$3:$B$874,2,FALSE)</f>
        <v>Clyde-Savannah</v>
      </c>
      <c r="D1723" s="82">
        <v>636160</v>
      </c>
      <c r="E1723">
        <f>VLOOKUP(C1723,'All Districts'!$B$3:$C$874,2,FALSE)</f>
        <v>3607860</v>
      </c>
      <c r="F1723" s="91">
        <f>COUNTIF($E$2:$E$7106,E1723)</f>
        <v>9</v>
      </c>
    </row>
    <row r="1724" spans="1:6" x14ac:dyDescent="0.2">
      <c r="A1724">
        <v>2023</v>
      </c>
      <c r="B1724" s="36">
        <v>4593</v>
      </c>
      <c r="C1724" s="90" t="str">
        <f>VLOOKUP(B1724,'All Districts'!$A$3:$B$874,2,FALSE)</f>
        <v>Clyde-Savannah</v>
      </c>
      <c r="D1724" s="40">
        <v>678281</v>
      </c>
      <c r="E1724">
        <f>VLOOKUP(C1724,'All Districts'!$B$3:$C$874,2,FALSE)</f>
        <v>3607860</v>
      </c>
      <c r="F1724" s="91">
        <f>COUNTIF($E$2:$E$7106,E1724)</f>
        <v>9</v>
      </c>
    </row>
    <row r="1725" spans="1:6" x14ac:dyDescent="0.2">
      <c r="A1725">
        <v>2015</v>
      </c>
      <c r="B1725" s="13">
        <v>3304</v>
      </c>
      <c r="C1725" s="90" t="str">
        <f>VLOOKUP(B1725,'All Districts'!$A$3:$B$874,2,FALSE)</f>
        <v>Clymer</v>
      </c>
      <c r="D1725" s="14">
        <v>588944</v>
      </c>
      <c r="E1725">
        <f>VLOOKUP(C1725,'All Districts'!$B$3:$C$874,2,FALSE)</f>
        <v>3607890</v>
      </c>
      <c r="F1725" s="91">
        <f>COUNTIF($E$2:$E$7106,E1725)</f>
        <v>9</v>
      </c>
    </row>
    <row r="1726" spans="1:6" x14ac:dyDescent="0.2">
      <c r="A1726">
        <v>2016</v>
      </c>
      <c r="B1726" s="13">
        <v>3304</v>
      </c>
      <c r="C1726" s="90" t="str">
        <f>VLOOKUP(B1726,'All Districts'!$A$3:$B$874,2,FALSE)</f>
        <v>Clymer</v>
      </c>
      <c r="D1726" s="16">
        <v>462301</v>
      </c>
      <c r="E1726">
        <f>VLOOKUP(C1726,'All Districts'!$B$3:$C$874,2,FALSE)</f>
        <v>3607890</v>
      </c>
      <c r="F1726" s="91">
        <f>COUNTIF($E$2:$E$7106,E1726)</f>
        <v>9</v>
      </c>
    </row>
    <row r="1727" spans="1:6" x14ac:dyDescent="0.2">
      <c r="A1727">
        <v>2017</v>
      </c>
      <c r="B1727" s="13">
        <v>3304</v>
      </c>
      <c r="C1727" s="90" t="str">
        <f>VLOOKUP(B1727,'All Districts'!$A$3:$B$874,2,FALSE)</f>
        <v>Clymer</v>
      </c>
      <c r="D1727" s="16">
        <v>412084</v>
      </c>
      <c r="E1727">
        <f>VLOOKUP(C1727,'All Districts'!$B$3:$C$874,2,FALSE)</f>
        <v>3607890</v>
      </c>
      <c r="F1727" s="91">
        <f>COUNTIF($E$2:$E$7106,E1727)</f>
        <v>9</v>
      </c>
    </row>
    <row r="1728" spans="1:6" x14ac:dyDescent="0.2">
      <c r="A1728" s="10">
        <v>2018</v>
      </c>
      <c r="B1728" s="13">
        <v>3304</v>
      </c>
      <c r="C1728" s="90" t="str">
        <f>VLOOKUP(B1728,'All Districts'!$A$3:$B$874,2,FALSE)</f>
        <v>Clymer</v>
      </c>
      <c r="D1728" s="15">
        <v>347343</v>
      </c>
      <c r="E1728">
        <f>VLOOKUP(C1728,'All Districts'!$B$3:$C$874,2,FALSE)</f>
        <v>3607890</v>
      </c>
      <c r="F1728" s="91">
        <f>COUNTIF($E$2:$E$7106,E1728)</f>
        <v>9</v>
      </c>
    </row>
    <row r="1729" spans="1:6" x14ac:dyDescent="0.2">
      <c r="A1729">
        <v>2019</v>
      </c>
      <c r="B1729" s="36">
        <v>3304</v>
      </c>
      <c r="C1729" s="90" t="str">
        <f>VLOOKUP(B1729,'All Districts'!$A$3:$B$874,2,FALSE)</f>
        <v>Clymer</v>
      </c>
      <c r="D1729" s="40">
        <v>370658</v>
      </c>
      <c r="E1729">
        <f>VLOOKUP(C1729,'All Districts'!$B$3:$C$874,2,FALSE)</f>
        <v>3607890</v>
      </c>
      <c r="F1729" s="91">
        <f>COUNTIF($E$2:$E$7106,E1729)</f>
        <v>9</v>
      </c>
    </row>
    <row r="1730" spans="1:6" x14ac:dyDescent="0.2">
      <c r="A1730">
        <v>2020</v>
      </c>
      <c r="B1730" s="36">
        <v>3304</v>
      </c>
      <c r="C1730" s="90" t="str">
        <f>VLOOKUP(B1730,'All Districts'!$A$3:$B$874,2,FALSE)</f>
        <v>Clymer</v>
      </c>
      <c r="D1730" s="40">
        <v>315753</v>
      </c>
      <c r="E1730">
        <f>VLOOKUP(C1730,'All Districts'!$B$3:$C$874,2,FALSE)</f>
        <v>3607890</v>
      </c>
      <c r="F1730" s="91">
        <f>COUNTIF($E$2:$E$7106,E1730)</f>
        <v>9</v>
      </c>
    </row>
    <row r="1731" spans="1:6" x14ac:dyDescent="0.2">
      <c r="A1731" s="10">
        <v>2021</v>
      </c>
      <c r="B1731" s="55">
        <v>3304</v>
      </c>
      <c r="C1731" s="90" t="str">
        <f>VLOOKUP(B1731,'All Districts'!$A$3:$B$874,2,FALSE)</f>
        <v>Clymer</v>
      </c>
      <c r="D1731" s="75">
        <v>293493</v>
      </c>
      <c r="E1731">
        <f>VLOOKUP(C1731,'All Districts'!$B$3:$C$874,2,FALSE)</f>
        <v>3607890</v>
      </c>
      <c r="F1731" s="91">
        <f>COUNTIF($E$2:$E$7106,E1731)</f>
        <v>9</v>
      </c>
    </row>
    <row r="1732" spans="1:6" x14ac:dyDescent="0.2">
      <c r="A1732">
        <v>2022</v>
      </c>
      <c r="B1732" s="36">
        <v>3304</v>
      </c>
      <c r="C1732" s="90" t="str">
        <f>VLOOKUP(B1732,'All Districts'!$A$3:$B$874,2,FALSE)</f>
        <v>Clymer</v>
      </c>
      <c r="D1732" s="82">
        <v>356041</v>
      </c>
      <c r="E1732">
        <f>VLOOKUP(C1732,'All Districts'!$B$3:$C$874,2,FALSE)</f>
        <v>3607890</v>
      </c>
      <c r="F1732" s="91">
        <f>COUNTIF($E$2:$E$7106,E1732)</f>
        <v>9</v>
      </c>
    </row>
    <row r="1733" spans="1:6" x14ac:dyDescent="0.2">
      <c r="A1733">
        <v>2023</v>
      </c>
      <c r="B1733" s="36">
        <v>3304</v>
      </c>
      <c r="C1733" s="90" t="str">
        <f>VLOOKUP(B1733,'All Districts'!$A$3:$B$874,2,FALSE)</f>
        <v>Clymer</v>
      </c>
      <c r="D1733" s="40">
        <v>366972</v>
      </c>
      <c r="E1733">
        <f>VLOOKUP(C1733,'All Districts'!$B$3:$C$874,2,FALSE)</f>
        <v>3607890</v>
      </c>
      <c r="F1733" s="91">
        <f>COUNTIF($E$2:$E$7106,E1733)</f>
        <v>9</v>
      </c>
    </row>
    <row r="1734" spans="1:6" x14ac:dyDescent="0.2">
      <c r="A1734">
        <v>2015</v>
      </c>
      <c r="B1734" s="13">
        <v>2081</v>
      </c>
      <c r="C1734" s="90" t="str">
        <f>VLOOKUP(B1734,'All Districts'!$A$3:$B$874,2,FALSE)</f>
        <v>Cobleskill-Richmondville</v>
      </c>
      <c r="D1734" s="14">
        <v>2127780</v>
      </c>
      <c r="E1734">
        <f>VLOOKUP(C1734,'All Districts'!$B$3:$C$874,2,FALSE)</f>
        <v>3600010</v>
      </c>
      <c r="F1734" s="91">
        <f>COUNTIF($E$2:$E$7106,E1734)</f>
        <v>9</v>
      </c>
    </row>
    <row r="1735" spans="1:6" x14ac:dyDescent="0.2">
      <c r="A1735">
        <v>2016</v>
      </c>
      <c r="B1735" s="13">
        <v>2081</v>
      </c>
      <c r="C1735" s="90" t="str">
        <f>VLOOKUP(B1735,'All Districts'!$A$3:$B$874,2,FALSE)</f>
        <v>Cobleskill-Richmondville</v>
      </c>
      <c r="D1735" s="16">
        <v>1628622</v>
      </c>
      <c r="E1735">
        <f>VLOOKUP(C1735,'All Districts'!$B$3:$C$874,2,FALSE)</f>
        <v>3600010</v>
      </c>
      <c r="F1735" s="91">
        <f>COUNTIF($E$2:$E$7106,E1735)</f>
        <v>9</v>
      </c>
    </row>
    <row r="1736" spans="1:6" x14ac:dyDescent="0.2">
      <c r="A1736">
        <v>2017</v>
      </c>
      <c r="B1736" s="13">
        <v>2081</v>
      </c>
      <c r="C1736" s="90" t="str">
        <f>VLOOKUP(B1736,'All Districts'!$A$3:$B$874,2,FALSE)</f>
        <v>Cobleskill-Richmondville</v>
      </c>
      <c r="D1736" s="16">
        <v>1515586</v>
      </c>
      <c r="E1736">
        <f>VLOOKUP(C1736,'All Districts'!$B$3:$C$874,2,FALSE)</f>
        <v>3600010</v>
      </c>
      <c r="F1736" s="91">
        <f>COUNTIF($E$2:$E$7106,E1736)</f>
        <v>9</v>
      </c>
    </row>
    <row r="1737" spans="1:6" x14ac:dyDescent="0.2">
      <c r="A1737" s="10">
        <v>2018</v>
      </c>
      <c r="B1737" s="13">
        <v>2081</v>
      </c>
      <c r="C1737" s="90" t="str">
        <f>VLOOKUP(B1737,'All Districts'!$A$3:$B$874,2,FALSE)</f>
        <v>Cobleskill-Richmondville</v>
      </c>
      <c r="D1737" s="15">
        <v>1292754</v>
      </c>
      <c r="E1737">
        <f>VLOOKUP(C1737,'All Districts'!$B$3:$C$874,2,FALSE)</f>
        <v>3600010</v>
      </c>
      <c r="F1737" s="91">
        <f>COUNTIF($E$2:$E$7106,E1737)</f>
        <v>9</v>
      </c>
    </row>
    <row r="1738" spans="1:6" x14ac:dyDescent="0.2">
      <c r="A1738">
        <v>2019</v>
      </c>
      <c r="B1738" s="36">
        <v>2081</v>
      </c>
      <c r="C1738" s="90" t="str">
        <f>VLOOKUP(B1738,'All Districts'!$A$3:$B$874,2,FALSE)</f>
        <v>Cobleskill-Richmondville</v>
      </c>
      <c r="D1738" s="40">
        <v>1432212</v>
      </c>
      <c r="E1738">
        <f>VLOOKUP(C1738,'All Districts'!$B$3:$C$874,2,FALSE)</f>
        <v>3600010</v>
      </c>
      <c r="F1738" s="91">
        <f>COUNTIF($E$2:$E$7106,E1738)</f>
        <v>9</v>
      </c>
    </row>
    <row r="1739" spans="1:6" x14ac:dyDescent="0.2">
      <c r="A1739">
        <v>2020</v>
      </c>
      <c r="B1739" s="36">
        <v>2081</v>
      </c>
      <c r="C1739" s="90" t="str">
        <f>VLOOKUP(B1739,'All Districts'!$A$3:$B$874,2,FALSE)</f>
        <v>Cobleskill-Richmondville</v>
      </c>
      <c r="D1739" s="40">
        <v>1226056</v>
      </c>
      <c r="E1739">
        <f>VLOOKUP(C1739,'All Districts'!$B$3:$C$874,2,FALSE)</f>
        <v>3600010</v>
      </c>
      <c r="F1739" s="91">
        <f>COUNTIF($E$2:$E$7106,E1739)</f>
        <v>9</v>
      </c>
    </row>
    <row r="1740" spans="1:6" x14ac:dyDescent="0.2">
      <c r="A1740" s="10">
        <v>2021</v>
      </c>
      <c r="B1740" s="52">
        <v>2081</v>
      </c>
      <c r="C1740" s="90" t="str">
        <f>VLOOKUP(B1740,'All Districts'!$A$3:$B$874,2,FALSE)</f>
        <v>Cobleskill-Richmondville</v>
      </c>
      <c r="D1740" s="76">
        <v>1307827</v>
      </c>
      <c r="E1740">
        <f>VLOOKUP(C1740,'All Districts'!$B$3:$C$874,2,FALSE)</f>
        <v>3600010</v>
      </c>
      <c r="F1740" s="91">
        <f>COUNTIF($E$2:$E$7106,E1740)</f>
        <v>9</v>
      </c>
    </row>
    <row r="1741" spans="1:6" x14ac:dyDescent="0.2">
      <c r="A1741">
        <v>2022</v>
      </c>
      <c r="B1741" s="36">
        <v>2081</v>
      </c>
      <c r="C1741" s="90" t="str">
        <f>VLOOKUP(B1741,'All Districts'!$A$3:$B$874,2,FALSE)</f>
        <v>Cobleskill-Richmondville</v>
      </c>
      <c r="D1741" s="82">
        <v>1487850</v>
      </c>
      <c r="E1741">
        <f>VLOOKUP(C1741,'All Districts'!$B$3:$C$874,2,FALSE)</f>
        <v>3600010</v>
      </c>
      <c r="F1741" s="91">
        <f>COUNTIF($E$2:$E$7106,E1741)</f>
        <v>9</v>
      </c>
    </row>
    <row r="1742" spans="1:6" x14ac:dyDescent="0.2">
      <c r="A1742">
        <v>2023</v>
      </c>
      <c r="B1742" s="36">
        <v>2081</v>
      </c>
      <c r="C1742" s="90" t="str">
        <f>VLOOKUP(B1742,'All Districts'!$A$3:$B$874,2,FALSE)</f>
        <v>Cobleskill-Richmondville</v>
      </c>
      <c r="D1742" s="40">
        <v>1630436</v>
      </c>
      <c r="E1742">
        <f>VLOOKUP(C1742,'All Districts'!$B$3:$C$874,2,FALSE)</f>
        <v>3600010</v>
      </c>
      <c r="F1742" s="91">
        <f>COUNTIF($E$2:$E$7106,E1742)</f>
        <v>9</v>
      </c>
    </row>
    <row r="1743" spans="1:6" x14ac:dyDescent="0.2">
      <c r="A1743">
        <v>2015</v>
      </c>
      <c r="B1743" s="13">
        <v>1045</v>
      </c>
      <c r="C1743" s="90" t="str">
        <f>VLOOKUP(B1743,'All Districts'!$A$3:$B$874,2,FALSE)</f>
        <v>Cohoes</v>
      </c>
      <c r="D1743" s="14">
        <v>2379542</v>
      </c>
      <c r="E1743">
        <f>VLOOKUP(C1743,'All Districts'!$B$3:$C$874,2,FALSE)</f>
        <v>3607980</v>
      </c>
      <c r="F1743" s="91">
        <f>COUNTIF($E$2:$E$7106,E1743)</f>
        <v>9</v>
      </c>
    </row>
    <row r="1744" spans="1:6" x14ac:dyDescent="0.2">
      <c r="A1744">
        <v>2016</v>
      </c>
      <c r="B1744" s="13">
        <v>1045</v>
      </c>
      <c r="C1744" s="90" t="str">
        <f>VLOOKUP(B1744,'All Districts'!$A$3:$B$874,2,FALSE)</f>
        <v>Cohoes</v>
      </c>
      <c r="D1744" s="16">
        <v>1860173</v>
      </c>
      <c r="E1744">
        <f>VLOOKUP(C1744,'All Districts'!$B$3:$C$874,2,FALSE)</f>
        <v>3607980</v>
      </c>
      <c r="F1744" s="91">
        <f>COUNTIF($E$2:$E$7106,E1744)</f>
        <v>9</v>
      </c>
    </row>
    <row r="1745" spans="1:6" x14ac:dyDescent="0.2">
      <c r="A1745">
        <v>2017</v>
      </c>
      <c r="B1745" s="13">
        <v>1045</v>
      </c>
      <c r="C1745" s="90" t="str">
        <f>VLOOKUP(B1745,'All Districts'!$A$3:$B$874,2,FALSE)</f>
        <v>Cohoes</v>
      </c>
      <c r="D1745" s="16">
        <v>1661418</v>
      </c>
      <c r="E1745">
        <f>VLOOKUP(C1745,'All Districts'!$B$3:$C$874,2,FALSE)</f>
        <v>3607980</v>
      </c>
      <c r="F1745" s="91">
        <f>COUNTIF($E$2:$E$7106,E1745)</f>
        <v>9</v>
      </c>
    </row>
    <row r="1746" spans="1:6" x14ac:dyDescent="0.2">
      <c r="A1746" s="10">
        <v>2018</v>
      </c>
      <c r="B1746" s="13">
        <v>1045</v>
      </c>
      <c r="C1746" s="90" t="str">
        <f>VLOOKUP(B1746,'All Districts'!$A$3:$B$874,2,FALSE)</f>
        <v>Cohoes</v>
      </c>
      <c r="D1746" s="15">
        <v>1460880</v>
      </c>
      <c r="E1746">
        <f>VLOOKUP(C1746,'All Districts'!$B$3:$C$874,2,FALSE)</f>
        <v>3607980</v>
      </c>
      <c r="F1746" s="91">
        <f>COUNTIF($E$2:$E$7106,E1746)</f>
        <v>9</v>
      </c>
    </row>
    <row r="1747" spans="1:6" x14ac:dyDescent="0.2">
      <c r="A1747">
        <v>2019</v>
      </c>
      <c r="B1747" s="36">
        <v>1045</v>
      </c>
      <c r="C1747" s="90" t="str">
        <f>VLOOKUP(B1747,'All Districts'!$A$3:$B$874,2,FALSE)</f>
        <v>Cohoes</v>
      </c>
      <c r="D1747" s="40">
        <v>1686229</v>
      </c>
      <c r="E1747">
        <f>VLOOKUP(C1747,'All Districts'!$B$3:$C$874,2,FALSE)</f>
        <v>3607980</v>
      </c>
      <c r="F1747" s="91">
        <f>COUNTIF($E$2:$E$7106,E1747)</f>
        <v>9</v>
      </c>
    </row>
    <row r="1748" spans="1:6" x14ac:dyDescent="0.2">
      <c r="A1748">
        <v>2020</v>
      </c>
      <c r="B1748" s="36">
        <v>1045</v>
      </c>
      <c r="C1748" s="90" t="str">
        <f>VLOOKUP(B1748,'All Districts'!$A$3:$B$874,2,FALSE)</f>
        <v>Cohoes</v>
      </c>
      <c r="D1748" s="40">
        <v>1406580</v>
      </c>
      <c r="E1748">
        <f>VLOOKUP(C1748,'All Districts'!$B$3:$C$874,2,FALSE)</f>
        <v>3607980</v>
      </c>
      <c r="F1748" s="91">
        <f>COUNTIF($E$2:$E$7106,E1748)</f>
        <v>9</v>
      </c>
    </row>
    <row r="1749" spans="1:6" x14ac:dyDescent="0.2">
      <c r="A1749" s="10">
        <v>2021</v>
      </c>
      <c r="B1749" s="52">
        <v>1045</v>
      </c>
      <c r="C1749" s="90" t="str">
        <f>VLOOKUP(B1749,'All Districts'!$A$3:$B$874,2,FALSE)</f>
        <v>Cohoes</v>
      </c>
      <c r="D1749" s="76">
        <v>1430894</v>
      </c>
      <c r="E1749">
        <f>VLOOKUP(C1749,'All Districts'!$B$3:$C$874,2,FALSE)</f>
        <v>3607980</v>
      </c>
      <c r="F1749" s="91">
        <f>COUNTIF($E$2:$E$7106,E1749)</f>
        <v>9</v>
      </c>
    </row>
    <row r="1750" spans="1:6" x14ac:dyDescent="0.2">
      <c r="A1750">
        <v>2022</v>
      </c>
      <c r="B1750" s="36">
        <v>1045</v>
      </c>
      <c r="C1750" s="90" t="str">
        <f>VLOOKUP(B1750,'All Districts'!$A$3:$B$874,2,FALSE)</f>
        <v>Cohoes</v>
      </c>
      <c r="D1750" s="82">
        <v>1550759</v>
      </c>
      <c r="E1750">
        <f>VLOOKUP(C1750,'All Districts'!$B$3:$C$874,2,FALSE)</f>
        <v>3607980</v>
      </c>
      <c r="F1750" s="91">
        <f>COUNTIF($E$2:$E$7106,E1750)</f>
        <v>9</v>
      </c>
    </row>
    <row r="1751" spans="1:6" x14ac:dyDescent="0.2">
      <c r="A1751">
        <v>2023</v>
      </c>
      <c r="B1751" s="36">
        <v>1045</v>
      </c>
      <c r="C1751" s="90" t="str">
        <f>VLOOKUP(B1751,'All Districts'!$A$3:$B$874,2,FALSE)</f>
        <v>Cohoes</v>
      </c>
      <c r="D1751" s="40">
        <v>1700236</v>
      </c>
      <c r="E1751">
        <f>VLOOKUP(C1751,'All Districts'!$B$3:$C$874,2,FALSE)</f>
        <v>3607980</v>
      </c>
      <c r="F1751" s="91">
        <f>COUNTIF($E$2:$E$7106,E1751)</f>
        <v>9</v>
      </c>
    </row>
    <row r="1752" spans="1:6" x14ac:dyDescent="0.2">
      <c r="A1752">
        <v>2015</v>
      </c>
      <c r="B1752" s="13">
        <v>2074</v>
      </c>
      <c r="C1752" s="90" t="str">
        <f>VLOOKUP(B1752,'All Districts'!$A$3:$B$874,2,FALSE)</f>
        <v>Cold Spring Harbor</v>
      </c>
      <c r="D1752" s="14">
        <v>4542025</v>
      </c>
      <c r="E1752">
        <f>VLOOKUP(C1752,'All Districts'!$B$3:$C$874,2,FALSE)</f>
        <v>3608010</v>
      </c>
      <c r="F1752" s="91">
        <f>COUNTIF($E$2:$E$7106,E1752)</f>
        <v>9</v>
      </c>
    </row>
    <row r="1753" spans="1:6" x14ac:dyDescent="0.2">
      <c r="A1753">
        <v>2016</v>
      </c>
      <c r="B1753" s="13">
        <v>2074</v>
      </c>
      <c r="C1753" s="90" t="str">
        <f>VLOOKUP(B1753,'All Districts'!$A$3:$B$874,2,FALSE)</f>
        <v>Cold Spring Harbor</v>
      </c>
      <c r="D1753" s="16">
        <v>3535967</v>
      </c>
      <c r="E1753">
        <f>VLOOKUP(C1753,'All Districts'!$B$3:$C$874,2,FALSE)</f>
        <v>3608010</v>
      </c>
      <c r="F1753" s="91">
        <f>COUNTIF($E$2:$E$7106,E1753)</f>
        <v>9</v>
      </c>
    </row>
    <row r="1754" spans="1:6" x14ac:dyDescent="0.2">
      <c r="A1754">
        <v>2017</v>
      </c>
      <c r="B1754" s="13">
        <v>2074</v>
      </c>
      <c r="C1754" s="90" t="str">
        <f>VLOOKUP(B1754,'All Districts'!$A$3:$B$874,2,FALSE)</f>
        <v>Cold Spring Harbor</v>
      </c>
      <c r="D1754" s="16">
        <v>3222083</v>
      </c>
      <c r="E1754">
        <f>VLOOKUP(C1754,'All Districts'!$B$3:$C$874,2,FALSE)</f>
        <v>3608010</v>
      </c>
      <c r="F1754" s="91">
        <f>COUNTIF($E$2:$E$7106,E1754)</f>
        <v>9</v>
      </c>
    </row>
    <row r="1755" spans="1:6" x14ac:dyDescent="0.2">
      <c r="A1755" s="10">
        <v>2018</v>
      </c>
      <c r="B1755" s="13">
        <v>2074</v>
      </c>
      <c r="C1755" s="90" t="str">
        <f>VLOOKUP(B1755,'All Districts'!$A$3:$B$874,2,FALSE)</f>
        <v>Cold Spring Harbor</v>
      </c>
      <c r="D1755" s="15">
        <v>2685792</v>
      </c>
      <c r="E1755">
        <f>VLOOKUP(C1755,'All Districts'!$B$3:$C$874,2,FALSE)</f>
        <v>3608010</v>
      </c>
      <c r="F1755" s="91">
        <f>COUNTIF($E$2:$E$7106,E1755)</f>
        <v>9</v>
      </c>
    </row>
    <row r="1756" spans="1:6" x14ac:dyDescent="0.2">
      <c r="A1756">
        <v>2019</v>
      </c>
      <c r="B1756" s="36">
        <v>2074</v>
      </c>
      <c r="C1756" s="90" t="str">
        <f>VLOOKUP(B1756,'All Districts'!$A$3:$B$874,2,FALSE)</f>
        <v>Cold Spring Harbor</v>
      </c>
      <c r="D1756" s="40">
        <v>2905203</v>
      </c>
      <c r="E1756">
        <f>VLOOKUP(C1756,'All Districts'!$B$3:$C$874,2,FALSE)</f>
        <v>3608010</v>
      </c>
      <c r="F1756" s="91">
        <f>COUNTIF($E$2:$E$7106,E1756)</f>
        <v>9</v>
      </c>
    </row>
    <row r="1757" spans="1:6" x14ac:dyDescent="0.2">
      <c r="A1757">
        <v>2020</v>
      </c>
      <c r="B1757" s="36">
        <v>2074</v>
      </c>
      <c r="C1757" s="90" t="str">
        <f>VLOOKUP(B1757,'All Districts'!$A$3:$B$874,2,FALSE)</f>
        <v>Cold Spring Harbor</v>
      </c>
      <c r="D1757" s="40">
        <v>2372679</v>
      </c>
      <c r="E1757">
        <f>VLOOKUP(C1757,'All Districts'!$B$3:$C$874,2,FALSE)</f>
        <v>3608010</v>
      </c>
      <c r="F1757" s="91">
        <f>COUNTIF($E$2:$E$7106,E1757)</f>
        <v>9</v>
      </c>
    </row>
    <row r="1758" spans="1:6" x14ac:dyDescent="0.2">
      <c r="A1758" s="10">
        <v>2021</v>
      </c>
      <c r="B1758" s="55">
        <v>2074</v>
      </c>
      <c r="C1758" s="90" t="str">
        <f>VLOOKUP(B1758,'All Districts'!$A$3:$B$874,2,FALSE)</f>
        <v>Cold Spring Harbor</v>
      </c>
      <c r="D1758" s="76">
        <v>2524869</v>
      </c>
      <c r="E1758">
        <f>VLOOKUP(C1758,'All Districts'!$B$3:$C$874,2,FALSE)</f>
        <v>3608010</v>
      </c>
      <c r="F1758" s="91">
        <f>COUNTIF($E$2:$E$7106,E1758)</f>
        <v>9</v>
      </c>
    </row>
    <row r="1759" spans="1:6" x14ac:dyDescent="0.2">
      <c r="A1759">
        <v>2022</v>
      </c>
      <c r="B1759" s="36">
        <v>2074</v>
      </c>
      <c r="C1759" s="90" t="str">
        <f>VLOOKUP(B1759,'All Districts'!$A$3:$B$874,2,FALSE)</f>
        <v>Cold Spring Harbor</v>
      </c>
      <c r="D1759" s="82">
        <v>2689465</v>
      </c>
      <c r="E1759">
        <f>VLOOKUP(C1759,'All Districts'!$B$3:$C$874,2,FALSE)</f>
        <v>3608010</v>
      </c>
      <c r="F1759" s="91">
        <f>COUNTIF($E$2:$E$7106,E1759)</f>
        <v>9</v>
      </c>
    </row>
    <row r="1760" spans="1:6" x14ac:dyDescent="0.2">
      <c r="A1760">
        <v>2023</v>
      </c>
      <c r="B1760" s="36">
        <v>2074</v>
      </c>
      <c r="C1760" s="90" t="str">
        <f>VLOOKUP(B1760,'All Districts'!$A$3:$B$874,2,FALSE)</f>
        <v>Cold Spring Harbor</v>
      </c>
      <c r="D1760" s="40">
        <v>2898153</v>
      </c>
      <c r="E1760">
        <f>VLOOKUP(C1760,'All Districts'!$B$3:$C$874,2,FALSE)</f>
        <v>3608010</v>
      </c>
      <c r="F1760" s="91">
        <f>COUNTIF($E$2:$E$7106,E1760)</f>
        <v>9</v>
      </c>
    </row>
    <row r="1761" spans="1:6" x14ac:dyDescent="0.2">
      <c r="A1761">
        <v>2015</v>
      </c>
      <c r="B1761" s="13">
        <v>5026</v>
      </c>
      <c r="C1761" s="90" t="str">
        <f>VLOOKUP(B1761,'All Districts'!$A$3:$B$874,2,FALSE)</f>
        <v>Colton-Pierrepont</v>
      </c>
      <c r="D1761" s="14">
        <v>532333</v>
      </c>
      <c r="E1761">
        <f>VLOOKUP(C1761,'All Districts'!$B$3:$C$874,2,FALSE)</f>
        <v>3608100</v>
      </c>
      <c r="F1761" s="91">
        <f>COUNTIF($E$2:$E$7106,E1761)</f>
        <v>9</v>
      </c>
    </row>
    <row r="1762" spans="1:6" x14ac:dyDescent="0.2">
      <c r="A1762">
        <v>2016</v>
      </c>
      <c r="B1762" s="13">
        <v>5026</v>
      </c>
      <c r="C1762" s="90" t="str">
        <f>VLOOKUP(B1762,'All Districts'!$A$3:$B$874,2,FALSE)</f>
        <v>Colton-Pierrepont</v>
      </c>
      <c r="D1762" s="16">
        <v>400737</v>
      </c>
      <c r="E1762">
        <f>VLOOKUP(C1762,'All Districts'!$B$3:$C$874,2,FALSE)</f>
        <v>3608100</v>
      </c>
      <c r="F1762" s="91">
        <f>COUNTIF($E$2:$E$7106,E1762)</f>
        <v>9</v>
      </c>
    </row>
    <row r="1763" spans="1:6" x14ac:dyDescent="0.2">
      <c r="A1763">
        <v>2017</v>
      </c>
      <c r="B1763" s="13">
        <v>5026</v>
      </c>
      <c r="C1763" s="90" t="str">
        <f>VLOOKUP(B1763,'All Districts'!$A$3:$B$874,2,FALSE)</f>
        <v>Colton-Pierrepont</v>
      </c>
      <c r="D1763" s="16">
        <v>362049</v>
      </c>
      <c r="E1763">
        <f>VLOOKUP(C1763,'All Districts'!$B$3:$C$874,2,FALSE)</f>
        <v>3608100</v>
      </c>
      <c r="F1763" s="91">
        <f>COUNTIF($E$2:$E$7106,E1763)</f>
        <v>9</v>
      </c>
    </row>
    <row r="1764" spans="1:6" x14ac:dyDescent="0.2">
      <c r="A1764" s="10">
        <v>2018</v>
      </c>
      <c r="B1764" s="13">
        <v>5026</v>
      </c>
      <c r="C1764" s="90" t="str">
        <f>VLOOKUP(B1764,'All Districts'!$A$3:$B$874,2,FALSE)</f>
        <v>Colton-Pierrepont</v>
      </c>
      <c r="D1764" s="15">
        <v>314674</v>
      </c>
      <c r="E1764">
        <f>VLOOKUP(C1764,'All Districts'!$B$3:$C$874,2,FALSE)</f>
        <v>3608100</v>
      </c>
      <c r="F1764" s="91">
        <f>COUNTIF($E$2:$E$7106,E1764)</f>
        <v>9</v>
      </c>
    </row>
    <row r="1765" spans="1:6" x14ac:dyDescent="0.2">
      <c r="A1765">
        <v>2019</v>
      </c>
      <c r="B1765" s="36">
        <v>5026</v>
      </c>
      <c r="C1765" s="90" t="str">
        <f>VLOOKUP(B1765,'All Districts'!$A$3:$B$874,2,FALSE)</f>
        <v>Colton-Pierrepont</v>
      </c>
      <c r="D1765" s="40">
        <v>363071</v>
      </c>
      <c r="E1765">
        <f>VLOOKUP(C1765,'All Districts'!$B$3:$C$874,2,FALSE)</f>
        <v>3608100</v>
      </c>
      <c r="F1765" s="91">
        <f>COUNTIF($E$2:$E$7106,E1765)</f>
        <v>9</v>
      </c>
    </row>
    <row r="1766" spans="1:6" x14ac:dyDescent="0.2">
      <c r="A1766">
        <v>2020</v>
      </c>
      <c r="B1766" s="36">
        <v>5026</v>
      </c>
      <c r="C1766" s="90" t="str">
        <f>VLOOKUP(B1766,'All Districts'!$A$3:$B$874,2,FALSE)</f>
        <v>Colton-Pierrepont</v>
      </c>
      <c r="D1766" s="40">
        <v>303941</v>
      </c>
      <c r="E1766">
        <f>VLOOKUP(C1766,'All Districts'!$B$3:$C$874,2,FALSE)</f>
        <v>3608100</v>
      </c>
      <c r="F1766" s="91">
        <f>COUNTIF($E$2:$E$7106,E1766)</f>
        <v>9</v>
      </c>
    </row>
    <row r="1767" spans="1:6" x14ac:dyDescent="0.2">
      <c r="A1767" s="10">
        <v>2021</v>
      </c>
      <c r="B1767" s="52">
        <v>5026</v>
      </c>
      <c r="C1767" s="90" t="str">
        <f>VLOOKUP(B1767,'All Districts'!$A$3:$B$874,2,FALSE)</f>
        <v>Colton-Pierrepont</v>
      </c>
      <c r="D1767" s="75">
        <v>312916</v>
      </c>
      <c r="E1767">
        <f>VLOOKUP(C1767,'All Districts'!$B$3:$C$874,2,FALSE)</f>
        <v>3608100</v>
      </c>
      <c r="F1767" s="91">
        <f>COUNTIF($E$2:$E$7106,E1767)</f>
        <v>9</v>
      </c>
    </row>
    <row r="1768" spans="1:6" x14ac:dyDescent="0.2">
      <c r="A1768">
        <v>2022</v>
      </c>
      <c r="B1768" s="36">
        <v>5026</v>
      </c>
      <c r="C1768" s="90" t="str">
        <f>VLOOKUP(B1768,'All Districts'!$A$3:$B$874,2,FALSE)</f>
        <v>Colton-Pierrepont</v>
      </c>
      <c r="D1768" s="82">
        <v>343057</v>
      </c>
      <c r="E1768">
        <f>VLOOKUP(C1768,'All Districts'!$B$3:$C$874,2,FALSE)</f>
        <v>3608100</v>
      </c>
      <c r="F1768" s="91">
        <f>COUNTIF($E$2:$E$7106,E1768)</f>
        <v>9</v>
      </c>
    </row>
    <row r="1769" spans="1:6" x14ac:dyDescent="0.2">
      <c r="A1769">
        <v>2023</v>
      </c>
      <c r="B1769" s="36">
        <v>5026</v>
      </c>
      <c r="C1769" s="90" t="str">
        <f>VLOOKUP(B1769,'All Districts'!$A$3:$B$874,2,FALSE)</f>
        <v>Colton-Pierrepont</v>
      </c>
      <c r="D1769" s="40">
        <v>379381</v>
      </c>
      <c r="E1769">
        <f>VLOOKUP(C1769,'All Districts'!$B$3:$C$874,2,FALSE)</f>
        <v>3608100</v>
      </c>
      <c r="F1769" s="91">
        <f>COUNTIF($E$2:$E$7106,E1769)</f>
        <v>9</v>
      </c>
    </row>
    <row r="1770" spans="1:6" x14ac:dyDescent="0.2">
      <c r="A1770">
        <v>2015</v>
      </c>
      <c r="B1770" s="13">
        <v>2078</v>
      </c>
      <c r="C1770" s="90" t="str">
        <f>VLOOKUP(B1770,'All Districts'!$A$3:$B$874,2,FALSE)</f>
        <v>Commack</v>
      </c>
      <c r="D1770" s="14">
        <v>13681619</v>
      </c>
      <c r="E1770">
        <f>VLOOKUP(C1770,'All Districts'!$B$3:$C$874,2,FALSE)</f>
        <v>3608130</v>
      </c>
      <c r="F1770" s="91">
        <f>COUNTIF($E$2:$E$7106,E1770)</f>
        <v>9</v>
      </c>
    </row>
    <row r="1771" spans="1:6" x14ac:dyDescent="0.2">
      <c r="A1771">
        <v>2016</v>
      </c>
      <c r="B1771" s="13">
        <v>2078</v>
      </c>
      <c r="C1771" s="90" t="str">
        <f>VLOOKUP(B1771,'All Districts'!$A$3:$B$874,2,FALSE)</f>
        <v>Commack</v>
      </c>
      <c r="D1771" s="16">
        <v>10753816</v>
      </c>
      <c r="E1771">
        <f>VLOOKUP(C1771,'All Districts'!$B$3:$C$874,2,FALSE)</f>
        <v>3608130</v>
      </c>
      <c r="F1771" s="91">
        <f>COUNTIF($E$2:$E$7106,E1771)</f>
        <v>9</v>
      </c>
    </row>
    <row r="1772" spans="1:6" x14ac:dyDescent="0.2">
      <c r="A1772">
        <v>2017</v>
      </c>
      <c r="B1772" s="13">
        <v>2078</v>
      </c>
      <c r="C1772" s="90" t="str">
        <f>VLOOKUP(B1772,'All Districts'!$A$3:$B$874,2,FALSE)</f>
        <v>Commack</v>
      </c>
      <c r="D1772" s="16">
        <v>9533321</v>
      </c>
      <c r="E1772">
        <f>VLOOKUP(C1772,'All Districts'!$B$3:$C$874,2,FALSE)</f>
        <v>3608130</v>
      </c>
      <c r="F1772" s="91">
        <f>COUNTIF($E$2:$E$7106,E1772)</f>
        <v>9</v>
      </c>
    </row>
    <row r="1773" spans="1:6" x14ac:dyDescent="0.2">
      <c r="A1773" s="10">
        <v>2018</v>
      </c>
      <c r="B1773" s="13">
        <v>2078</v>
      </c>
      <c r="C1773" s="90" t="str">
        <f>VLOOKUP(B1773,'All Districts'!$A$3:$B$874,2,FALSE)</f>
        <v>Commack</v>
      </c>
      <c r="D1773" s="15">
        <v>8033921</v>
      </c>
      <c r="E1773">
        <f>VLOOKUP(C1773,'All Districts'!$B$3:$C$874,2,FALSE)</f>
        <v>3608130</v>
      </c>
      <c r="F1773" s="91">
        <f>COUNTIF($E$2:$E$7106,E1773)</f>
        <v>9</v>
      </c>
    </row>
    <row r="1774" spans="1:6" x14ac:dyDescent="0.2">
      <c r="A1774">
        <v>2019</v>
      </c>
      <c r="B1774" s="36">
        <v>2078</v>
      </c>
      <c r="C1774" s="90" t="str">
        <f>VLOOKUP(B1774,'All Districts'!$A$3:$B$874,2,FALSE)</f>
        <v>Commack</v>
      </c>
      <c r="D1774" s="40">
        <v>8815507</v>
      </c>
      <c r="E1774">
        <f>VLOOKUP(C1774,'All Districts'!$B$3:$C$874,2,FALSE)</f>
        <v>3608130</v>
      </c>
      <c r="F1774" s="91">
        <f>COUNTIF($E$2:$E$7106,E1774)</f>
        <v>9</v>
      </c>
    </row>
    <row r="1775" spans="1:6" x14ac:dyDescent="0.2">
      <c r="A1775">
        <v>2020</v>
      </c>
      <c r="B1775" s="36">
        <v>2078</v>
      </c>
      <c r="C1775" s="90" t="str">
        <f>VLOOKUP(B1775,'All Districts'!$A$3:$B$874,2,FALSE)</f>
        <v>Commack</v>
      </c>
      <c r="D1775" s="40">
        <v>7214698</v>
      </c>
      <c r="E1775">
        <f>VLOOKUP(C1775,'All Districts'!$B$3:$C$874,2,FALSE)</f>
        <v>3608130</v>
      </c>
      <c r="F1775" s="91">
        <f>COUNTIF($E$2:$E$7106,E1775)</f>
        <v>9</v>
      </c>
    </row>
    <row r="1776" spans="1:6" x14ac:dyDescent="0.2">
      <c r="A1776" s="10">
        <v>2021</v>
      </c>
      <c r="B1776" s="52">
        <v>2078</v>
      </c>
      <c r="C1776" s="90" t="str">
        <f>VLOOKUP(B1776,'All Districts'!$A$3:$B$874,2,FALSE)</f>
        <v>Commack</v>
      </c>
      <c r="D1776" s="76">
        <v>7765568</v>
      </c>
      <c r="E1776">
        <f>VLOOKUP(C1776,'All Districts'!$B$3:$C$874,2,FALSE)</f>
        <v>3608130</v>
      </c>
      <c r="F1776" s="91">
        <f>COUNTIF($E$2:$E$7106,E1776)</f>
        <v>9</v>
      </c>
    </row>
    <row r="1777" spans="1:6" x14ac:dyDescent="0.2">
      <c r="A1777">
        <v>2022</v>
      </c>
      <c r="B1777" s="36">
        <v>2078</v>
      </c>
      <c r="C1777" s="90" t="str">
        <f>VLOOKUP(B1777,'All Districts'!$A$3:$B$874,2,FALSE)</f>
        <v>Commack</v>
      </c>
      <c r="D1777" s="82">
        <v>8218104</v>
      </c>
      <c r="E1777">
        <f>VLOOKUP(C1777,'All Districts'!$B$3:$C$874,2,FALSE)</f>
        <v>3608130</v>
      </c>
      <c r="F1777" s="91">
        <f>COUNTIF($E$2:$E$7106,E1777)</f>
        <v>9</v>
      </c>
    </row>
    <row r="1778" spans="1:6" x14ac:dyDescent="0.2">
      <c r="A1778">
        <v>2023</v>
      </c>
      <c r="B1778" s="36">
        <v>2078</v>
      </c>
      <c r="C1778" s="90" t="str">
        <f>VLOOKUP(B1778,'All Districts'!$A$3:$B$874,2,FALSE)</f>
        <v>Commack</v>
      </c>
      <c r="D1778" s="40">
        <v>8675026</v>
      </c>
      <c r="E1778">
        <f>VLOOKUP(C1778,'All Districts'!$B$3:$C$874,2,FALSE)</f>
        <v>3608130</v>
      </c>
      <c r="F1778" s="91">
        <f>COUNTIF($E$2:$E$7106,E1778)</f>
        <v>9</v>
      </c>
    </row>
    <row r="1779" spans="1:6" x14ac:dyDescent="0.2">
      <c r="A1779">
        <v>2015</v>
      </c>
      <c r="B1779" s="13">
        <v>2068</v>
      </c>
      <c r="C1779" s="90" t="str">
        <f>VLOOKUP(B1779,'All Districts'!$A$3:$B$874,2,FALSE)</f>
        <v>Connetquot</v>
      </c>
      <c r="D1779" s="14">
        <v>11572420</v>
      </c>
      <c r="E1779">
        <f>VLOOKUP(C1779,'All Districts'!$B$3:$C$874,2,FALSE)</f>
        <v>3608160</v>
      </c>
      <c r="F1779" s="91">
        <f>COUNTIF($E$2:$E$7106,E1779)</f>
        <v>9</v>
      </c>
    </row>
    <row r="1780" spans="1:6" x14ac:dyDescent="0.2">
      <c r="A1780">
        <v>2016</v>
      </c>
      <c r="B1780" s="13">
        <v>2068</v>
      </c>
      <c r="C1780" s="90" t="str">
        <f>VLOOKUP(B1780,'All Districts'!$A$3:$B$874,2,FALSE)</f>
        <v>Connetquot</v>
      </c>
      <c r="D1780" s="16">
        <v>9133581</v>
      </c>
      <c r="E1780">
        <f>VLOOKUP(C1780,'All Districts'!$B$3:$C$874,2,FALSE)</f>
        <v>3608160</v>
      </c>
      <c r="F1780" s="91">
        <f>COUNTIF($E$2:$E$7106,E1780)</f>
        <v>9</v>
      </c>
    </row>
    <row r="1781" spans="1:6" x14ac:dyDescent="0.2">
      <c r="A1781">
        <v>2017</v>
      </c>
      <c r="B1781" s="13">
        <v>2068</v>
      </c>
      <c r="C1781" s="90" t="str">
        <f>VLOOKUP(B1781,'All Districts'!$A$3:$B$874,2,FALSE)</f>
        <v>Connetquot</v>
      </c>
      <c r="D1781" s="16">
        <v>8252116</v>
      </c>
      <c r="E1781">
        <f>VLOOKUP(C1781,'All Districts'!$B$3:$C$874,2,FALSE)</f>
        <v>3608160</v>
      </c>
      <c r="F1781" s="91">
        <f>COUNTIF($E$2:$E$7106,E1781)</f>
        <v>9</v>
      </c>
    </row>
    <row r="1782" spans="1:6" x14ac:dyDescent="0.2">
      <c r="A1782" s="10">
        <v>2018</v>
      </c>
      <c r="B1782" s="13">
        <v>2068</v>
      </c>
      <c r="C1782" s="90" t="str">
        <f>VLOOKUP(B1782,'All Districts'!$A$3:$B$874,2,FALSE)</f>
        <v>Connetquot</v>
      </c>
      <c r="D1782" s="15">
        <v>7032142</v>
      </c>
      <c r="E1782">
        <f>VLOOKUP(C1782,'All Districts'!$B$3:$C$874,2,FALSE)</f>
        <v>3608160</v>
      </c>
      <c r="F1782" s="91">
        <f>COUNTIF($E$2:$E$7106,E1782)</f>
        <v>9</v>
      </c>
    </row>
    <row r="1783" spans="1:6" x14ac:dyDescent="0.2">
      <c r="A1783">
        <v>2019</v>
      </c>
      <c r="B1783" s="36">
        <v>2068</v>
      </c>
      <c r="C1783" s="90" t="str">
        <f>VLOOKUP(B1783,'All Districts'!$A$3:$B$874,2,FALSE)</f>
        <v>Connetquot</v>
      </c>
      <c r="D1783" s="40">
        <v>7990685</v>
      </c>
      <c r="E1783">
        <f>VLOOKUP(C1783,'All Districts'!$B$3:$C$874,2,FALSE)</f>
        <v>3608160</v>
      </c>
      <c r="F1783" s="91">
        <f>COUNTIF($E$2:$E$7106,E1783)</f>
        <v>9</v>
      </c>
    </row>
    <row r="1784" spans="1:6" x14ac:dyDescent="0.2">
      <c r="A1784">
        <v>2020</v>
      </c>
      <c r="B1784" s="36">
        <v>2068</v>
      </c>
      <c r="C1784" s="90" t="str">
        <f>VLOOKUP(B1784,'All Districts'!$A$3:$B$874,2,FALSE)</f>
        <v>Connetquot</v>
      </c>
      <c r="D1784" s="40">
        <v>6673649</v>
      </c>
      <c r="E1784">
        <f>VLOOKUP(C1784,'All Districts'!$B$3:$C$874,2,FALSE)</f>
        <v>3608160</v>
      </c>
      <c r="F1784" s="91">
        <f>COUNTIF($E$2:$E$7106,E1784)</f>
        <v>9</v>
      </c>
    </row>
    <row r="1785" spans="1:6" x14ac:dyDescent="0.2">
      <c r="A1785" s="10">
        <v>2021</v>
      </c>
      <c r="B1785" s="52">
        <v>2068</v>
      </c>
      <c r="C1785" s="90" t="str">
        <f>VLOOKUP(B1785,'All Districts'!$A$3:$B$874,2,FALSE)</f>
        <v>Connetquot</v>
      </c>
      <c r="D1785" s="76">
        <v>7360257</v>
      </c>
      <c r="E1785">
        <f>VLOOKUP(C1785,'All Districts'!$B$3:$C$874,2,FALSE)</f>
        <v>3608160</v>
      </c>
      <c r="F1785" s="91">
        <f>COUNTIF($E$2:$E$7106,E1785)</f>
        <v>9</v>
      </c>
    </row>
    <row r="1786" spans="1:6" x14ac:dyDescent="0.2">
      <c r="A1786">
        <v>2022</v>
      </c>
      <c r="B1786" s="36">
        <v>2068</v>
      </c>
      <c r="C1786" s="90" t="str">
        <f>VLOOKUP(B1786,'All Districts'!$A$3:$B$874,2,FALSE)</f>
        <v>Connetquot</v>
      </c>
      <c r="D1786" s="82">
        <v>7663574</v>
      </c>
      <c r="E1786">
        <f>VLOOKUP(C1786,'All Districts'!$B$3:$C$874,2,FALSE)</f>
        <v>3608160</v>
      </c>
      <c r="F1786" s="91">
        <f>COUNTIF($E$2:$E$7106,E1786)</f>
        <v>9</v>
      </c>
    </row>
    <row r="1787" spans="1:6" x14ac:dyDescent="0.2">
      <c r="A1787">
        <v>2023</v>
      </c>
      <c r="B1787" s="36">
        <v>2068</v>
      </c>
      <c r="C1787" s="90" t="str">
        <f>VLOOKUP(B1787,'All Districts'!$A$3:$B$874,2,FALSE)</f>
        <v>Connetquot</v>
      </c>
      <c r="D1787" s="40">
        <v>8125748</v>
      </c>
      <c r="E1787">
        <f>VLOOKUP(C1787,'All Districts'!$B$3:$C$874,2,FALSE)</f>
        <v>3608160</v>
      </c>
      <c r="F1787" s="91">
        <f>COUNTIF($E$2:$E$7106,E1787)</f>
        <v>9</v>
      </c>
    </row>
    <row r="1788" spans="1:6" x14ac:dyDescent="0.2">
      <c r="A1788">
        <v>2015</v>
      </c>
      <c r="B1788" s="13">
        <v>3994</v>
      </c>
      <c r="C1788" s="90" t="str">
        <f>VLOOKUP(B1788,'All Districts'!$A$3:$B$874,2,FALSE)</f>
        <v>Cooperstown</v>
      </c>
      <c r="D1788" s="14">
        <v>951683</v>
      </c>
      <c r="E1788">
        <f>VLOOKUP(C1788,'All Districts'!$B$3:$C$874,2,FALSE)</f>
        <v>3608250</v>
      </c>
      <c r="F1788" s="91">
        <f>COUNTIF($E$2:$E$7106,E1788)</f>
        <v>9</v>
      </c>
    </row>
    <row r="1789" spans="1:6" x14ac:dyDescent="0.2">
      <c r="A1789">
        <v>2016</v>
      </c>
      <c r="B1789" s="13">
        <v>3994</v>
      </c>
      <c r="C1789" s="90" t="str">
        <f>VLOOKUP(B1789,'All Districts'!$A$3:$B$874,2,FALSE)</f>
        <v>Cooperstown</v>
      </c>
      <c r="D1789" s="16">
        <v>739191</v>
      </c>
      <c r="E1789">
        <f>VLOOKUP(C1789,'All Districts'!$B$3:$C$874,2,FALSE)</f>
        <v>3608250</v>
      </c>
      <c r="F1789" s="91">
        <f>COUNTIF($E$2:$E$7106,E1789)</f>
        <v>9</v>
      </c>
    </row>
    <row r="1790" spans="1:6" x14ac:dyDescent="0.2">
      <c r="A1790">
        <v>2017</v>
      </c>
      <c r="B1790" s="13">
        <v>3994</v>
      </c>
      <c r="C1790" s="90" t="str">
        <f>VLOOKUP(B1790,'All Districts'!$A$3:$B$874,2,FALSE)</f>
        <v>Cooperstown</v>
      </c>
      <c r="D1790" s="16">
        <v>658547</v>
      </c>
      <c r="E1790">
        <f>VLOOKUP(C1790,'All Districts'!$B$3:$C$874,2,FALSE)</f>
        <v>3608250</v>
      </c>
      <c r="F1790" s="91">
        <f>COUNTIF($E$2:$E$7106,E1790)</f>
        <v>9</v>
      </c>
    </row>
    <row r="1791" spans="1:6" x14ac:dyDescent="0.2">
      <c r="A1791" s="10">
        <v>2018</v>
      </c>
      <c r="B1791" s="13">
        <v>3994</v>
      </c>
      <c r="C1791" s="90" t="str">
        <f>VLOOKUP(B1791,'All Districts'!$A$3:$B$874,2,FALSE)</f>
        <v>Cooperstown</v>
      </c>
      <c r="D1791" s="15">
        <v>595153</v>
      </c>
      <c r="E1791">
        <f>VLOOKUP(C1791,'All Districts'!$B$3:$C$874,2,FALSE)</f>
        <v>3608250</v>
      </c>
      <c r="F1791" s="91">
        <f>COUNTIF($E$2:$E$7106,E1791)</f>
        <v>9</v>
      </c>
    </row>
    <row r="1792" spans="1:6" x14ac:dyDescent="0.2">
      <c r="A1792">
        <v>2019</v>
      </c>
      <c r="B1792" s="36">
        <v>3994</v>
      </c>
      <c r="C1792" s="90" t="str">
        <f>VLOOKUP(B1792,'All Districts'!$A$3:$B$874,2,FALSE)</f>
        <v>Cooperstown</v>
      </c>
      <c r="D1792" s="40">
        <v>649944</v>
      </c>
      <c r="E1792">
        <f>VLOOKUP(C1792,'All Districts'!$B$3:$C$874,2,FALSE)</f>
        <v>3608250</v>
      </c>
      <c r="F1792" s="91">
        <f>COUNTIF($E$2:$E$7106,E1792)</f>
        <v>9</v>
      </c>
    </row>
    <row r="1793" spans="1:6" x14ac:dyDescent="0.2">
      <c r="A1793">
        <v>2020</v>
      </c>
      <c r="B1793" s="36">
        <v>3994</v>
      </c>
      <c r="C1793" s="90" t="str">
        <f>VLOOKUP(B1793,'All Districts'!$A$3:$B$874,2,FALSE)</f>
        <v>Cooperstown</v>
      </c>
      <c r="D1793" s="40">
        <v>535150</v>
      </c>
      <c r="E1793">
        <f>VLOOKUP(C1793,'All Districts'!$B$3:$C$874,2,FALSE)</f>
        <v>3608250</v>
      </c>
      <c r="F1793" s="91">
        <f>COUNTIF($E$2:$E$7106,E1793)</f>
        <v>9</v>
      </c>
    </row>
    <row r="1794" spans="1:6" x14ac:dyDescent="0.2">
      <c r="A1794" s="10">
        <v>2021</v>
      </c>
      <c r="B1794" s="55">
        <v>3994</v>
      </c>
      <c r="C1794" s="90" t="str">
        <f>VLOOKUP(B1794,'All Districts'!$A$3:$B$874,2,FALSE)</f>
        <v>Cooperstown</v>
      </c>
      <c r="D1794" s="76">
        <v>549173</v>
      </c>
      <c r="E1794">
        <f>VLOOKUP(C1794,'All Districts'!$B$3:$C$874,2,FALSE)</f>
        <v>3608250</v>
      </c>
      <c r="F1794" s="91">
        <f>COUNTIF($E$2:$E$7106,E1794)</f>
        <v>9</v>
      </c>
    </row>
    <row r="1795" spans="1:6" x14ac:dyDescent="0.2">
      <c r="A1795">
        <v>2022</v>
      </c>
      <c r="B1795" s="36">
        <v>3994</v>
      </c>
      <c r="C1795" s="90" t="str">
        <f>VLOOKUP(B1795,'All Districts'!$A$3:$B$874,2,FALSE)</f>
        <v>Cooperstown</v>
      </c>
      <c r="D1795" s="82">
        <v>567388</v>
      </c>
      <c r="E1795">
        <f>VLOOKUP(C1795,'All Districts'!$B$3:$C$874,2,FALSE)</f>
        <v>3608250</v>
      </c>
      <c r="F1795" s="91">
        <f>COUNTIF($E$2:$E$7106,E1795)</f>
        <v>9</v>
      </c>
    </row>
    <row r="1796" spans="1:6" x14ac:dyDescent="0.2">
      <c r="A1796">
        <v>2023</v>
      </c>
      <c r="B1796" s="36">
        <v>3994</v>
      </c>
      <c r="C1796" s="90" t="str">
        <f>VLOOKUP(B1796,'All Districts'!$A$3:$B$874,2,FALSE)</f>
        <v>Cooperstown</v>
      </c>
      <c r="D1796" s="40">
        <v>610204</v>
      </c>
      <c r="E1796">
        <f>VLOOKUP(C1796,'All Districts'!$B$3:$C$874,2,FALSE)</f>
        <v>3608250</v>
      </c>
      <c r="F1796" s="91">
        <f>COUNTIF($E$2:$E$7106,E1796)</f>
        <v>9</v>
      </c>
    </row>
    <row r="1797" spans="1:6" x14ac:dyDescent="0.2">
      <c r="A1797">
        <v>2015</v>
      </c>
      <c r="B1797" s="13">
        <v>4137</v>
      </c>
      <c r="C1797" s="90" t="str">
        <f>VLOOKUP(B1797,'All Districts'!$A$3:$B$874,2,FALSE)</f>
        <v>Copenhagen</v>
      </c>
      <c r="D1797" s="14">
        <v>509361</v>
      </c>
      <c r="E1797">
        <f>VLOOKUP(C1797,'All Districts'!$B$3:$C$874,2,FALSE)</f>
        <v>3608280</v>
      </c>
      <c r="F1797" s="91">
        <f>COUNTIF($E$2:$E$7106,E1797)</f>
        <v>9</v>
      </c>
    </row>
    <row r="1798" spans="1:6" x14ac:dyDescent="0.2">
      <c r="A1798">
        <v>2016</v>
      </c>
      <c r="B1798" s="13">
        <v>4137</v>
      </c>
      <c r="C1798" s="90" t="str">
        <f>VLOOKUP(B1798,'All Districts'!$A$3:$B$874,2,FALSE)</f>
        <v>Copenhagen</v>
      </c>
      <c r="D1798" s="16">
        <v>391706</v>
      </c>
      <c r="E1798">
        <f>VLOOKUP(C1798,'All Districts'!$B$3:$C$874,2,FALSE)</f>
        <v>3608280</v>
      </c>
      <c r="F1798" s="91">
        <f>COUNTIF($E$2:$E$7106,E1798)</f>
        <v>9</v>
      </c>
    </row>
    <row r="1799" spans="1:6" x14ac:dyDescent="0.2">
      <c r="A1799">
        <v>2017</v>
      </c>
      <c r="B1799" s="13">
        <v>4137</v>
      </c>
      <c r="C1799" s="90" t="str">
        <f>VLOOKUP(B1799,'All Districts'!$A$3:$B$874,2,FALSE)</f>
        <v>Copenhagen</v>
      </c>
      <c r="D1799" s="16">
        <v>361353</v>
      </c>
      <c r="E1799">
        <f>VLOOKUP(C1799,'All Districts'!$B$3:$C$874,2,FALSE)</f>
        <v>3608280</v>
      </c>
      <c r="F1799" s="91">
        <f>COUNTIF($E$2:$E$7106,E1799)</f>
        <v>9</v>
      </c>
    </row>
    <row r="1800" spans="1:6" x14ac:dyDescent="0.2">
      <c r="A1800" s="10">
        <v>2018</v>
      </c>
      <c r="B1800" s="13">
        <v>4137</v>
      </c>
      <c r="C1800" s="90" t="str">
        <f>VLOOKUP(B1800,'All Districts'!$A$3:$B$874,2,FALSE)</f>
        <v>Copenhagen</v>
      </c>
      <c r="D1800" s="15">
        <v>312069</v>
      </c>
      <c r="E1800">
        <f>VLOOKUP(C1800,'All Districts'!$B$3:$C$874,2,FALSE)</f>
        <v>3608280</v>
      </c>
      <c r="F1800" s="91">
        <f>COUNTIF($E$2:$E$7106,E1800)</f>
        <v>9</v>
      </c>
    </row>
    <row r="1801" spans="1:6" x14ac:dyDescent="0.2">
      <c r="A1801">
        <v>2019</v>
      </c>
      <c r="B1801" s="36">
        <v>4137</v>
      </c>
      <c r="C1801" s="90" t="str">
        <f>VLOOKUP(B1801,'All Districts'!$A$3:$B$874,2,FALSE)</f>
        <v>Copenhagen</v>
      </c>
      <c r="D1801" s="40">
        <v>341995</v>
      </c>
      <c r="E1801">
        <f>VLOOKUP(C1801,'All Districts'!$B$3:$C$874,2,FALSE)</f>
        <v>3608280</v>
      </c>
      <c r="F1801" s="91">
        <f>COUNTIF($E$2:$E$7106,E1801)</f>
        <v>9</v>
      </c>
    </row>
    <row r="1802" spans="1:6" x14ac:dyDescent="0.2">
      <c r="A1802">
        <v>2020</v>
      </c>
      <c r="B1802" s="36">
        <v>4137</v>
      </c>
      <c r="C1802" s="90" t="str">
        <f>VLOOKUP(B1802,'All Districts'!$A$3:$B$874,2,FALSE)</f>
        <v>Copenhagen</v>
      </c>
      <c r="D1802" s="40">
        <v>286924</v>
      </c>
      <c r="E1802">
        <f>VLOOKUP(C1802,'All Districts'!$B$3:$C$874,2,FALSE)</f>
        <v>3608280</v>
      </c>
      <c r="F1802" s="91">
        <f>COUNTIF($E$2:$E$7106,E1802)</f>
        <v>9</v>
      </c>
    </row>
    <row r="1803" spans="1:6" x14ac:dyDescent="0.2">
      <c r="A1803" s="10">
        <v>2021</v>
      </c>
      <c r="B1803" s="52">
        <v>4137</v>
      </c>
      <c r="C1803" s="90" t="str">
        <f>VLOOKUP(B1803,'All Districts'!$A$3:$B$874,2,FALSE)</f>
        <v>Copenhagen</v>
      </c>
      <c r="D1803" s="75">
        <v>327086</v>
      </c>
      <c r="E1803">
        <f>VLOOKUP(C1803,'All Districts'!$B$3:$C$874,2,FALSE)</f>
        <v>3608280</v>
      </c>
      <c r="F1803" s="91">
        <f>COUNTIF($E$2:$E$7106,E1803)</f>
        <v>9</v>
      </c>
    </row>
    <row r="1804" spans="1:6" x14ac:dyDescent="0.2">
      <c r="A1804">
        <v>2022</v>
      </c>
      <c r="B1804" s="36">
        <v>4137</v>
      </c>
      <c r="C1804" s="90" t="str">
        <f>VLOOKUP(B1804,'All Districts'!$A$3:$B$874,2,FALSE)</f>
        <v>Copenhagen</v>
      </c>
      <c r="D1804" s="82">
        <v>375935</v>
      </c>
      <c r="E1804">
        <f>VLOOKUP(C1804,'All Districts'!$B$3:$C$874,2,FALSE)</f>
        <v>3608280</v>
      </c>
      <c r="F1804" s="91">
        <f>COUNTIF($E$2:$E$7106,E1804)</f>
        <v>9</v>
      </c>
    </row>
    <row r="1805" spans="1:6" x14ac:dyDescent="0.2">
      <c r="A1805">
        <v>2023</v>
      </c>
      <c r="B1805" s="36">
        <v>4137</v>
      </c>
      <c r="C1805" s="90" t="str">
        <f>VLOOKUP(B1805,'All Districts'!$A$3:$B$874,2,FALSE)</f>
        <v>Copenhagen</v>
      </c>
      <c r="D1805" s="40">
        <v>389851</v>
      </c>
      <c r="E1805">
        <f>VLOOKUP(C1805,'All Districts'!$B$3:$C$874,2,FALSE)</f>
        <v>3608280</v>
      </c>
      <c r="F1805" s="91">
        <f>COUNTIF($E$2:$E$7106,E1805)</f>
        <v>9</v>
      </c>
    </row>
    <row r="1806" spans="1:6" x14ac:dyDescent="0.2">
      <c r="A1806">
        <v>2015</v>
      </c>
      <c r="B1806" s="13">
        <v>2079</v>
      </c>
      <c r="C1806" s="90" t="str">
        <f>VLOOKUP(B1806,'All Districts'!$A$3:$B$874,2,FALSE)</f>
        <v>Copiague</v>
      </c>
      <c r="D1806" s="14">
        <v>7321142</v>
      </c>
      <c r="E1806">
        <f>VLOOKUP(C1806,'All Districts'!$B$3:$C$874,2,FALSE)</f>
        <v>3608310</v>
      </c>
      <c r="F1806" s="91">
        <f>COUNTIF($E$2:$E$7106,E1806)</f>
        <v>9</v>
      </c>
    </row>
    <row r="1807" spans="1:6" x14ac:dyDescent="0.2">
      <c r="A1807">
        <v>2016</v>
      </c>
      <c r="B1807" s="13">
        <v>2079</v>
      </c>
      <c r="C1807" s="90" t="str">
        <f>VLOOKUP(B1807,'All Districts'!$A$3:$B$874,2,FALSE)</f>
        <v>Copiague</v>
      </c>
      <c r="D1807" s="16">
        <v>5772852</v>
      </c>
      <c r="E1807">
        <f>VLOOKUP(C1807,'All Districts'!$B$3:$C$874,2,FALSE)</f>
        <v>3608310</v>
      </c>
      <c r="F1807" s="91">
        <f>COUNTIF($E$2:$E$7106,E1807)</f>
        <v>9</v>
      </c>
    </row>
    <row r="1808" spans="1:6" x14ac:dyDescent="0.2">
      <c r="A1808">
        <v>2017</v>
      </c>
      <c r="B1808" s="13">
        <v>2079</v>
      </c>
      <c r="C1808" s="90" t="str">
        <f>VLOOKUP(B1808,'All Districts'!$A$3:$B$874,2,FALSE)</f>
        <v>Copiague</v>
      </c>
      <c r="D1808" s="16">
        <v>5262535</v>
      </c>
      <c r="E1808">
        <f>VLOOKUP(C1808,'All Districts'!$B$3:$C$874,2,FALSE)</f>
        <v>3608310</v>
      </c>
      <c r="F1808" s="91">
        <f>COUNTIF($E$2:$E$7106,E1808)</f>
        <v>9</v>
      </c>
    </row>
    <row r="1809" spans="1:6" x14ac:dyDescent="0.2">
      <c r="A1809" s="10">
        <v>2018</v>
      </c>
      <c r="B1809" s="13">
        <v>2079</v>
      </c>
      <c r="C1809" s="90" t="str">
        <f>VLOOKUP(B1809,'All Districts'!$A$3:$B$874,2,FALSE)</f>
        <v>Copiague</v>
      </c>
      <c r="D1809" s="15">
        <v>4606381</v>
      </c>
      <c r="E1809">
        <f>VLOOKUP(C1809,'All Districts'!$B$3:$C$874,2,FALSE)</f>
        <v>3608310</v>
      </c>
      <c r="F1809" s="91">
        <f>COUNTIF($E$2:$E$7106,E1809)</f>
        <v>9</v>
      </c>
    </row>
    <row r="1810" spans="1:6" x14ac:dyDescent="0.2">
      <c r="A1810">
        <v>2019</v>
      </c>
      <c r="B1810" s="36">
        <v>2079</v>
      </c>
      <c r="C1810" s="90" t="str">
        <f>VLOOKUP(B1810,'All Districts'!$A$3:$B$874,2,FALSE)</f>
        <v>Copiague</v>
      </c>
      <c r="D1810" s="40">
        <v>5191676</v>
      </c>
      <c r="E1810">
        <f>VLOOKUP(C1810,'All Districts'!$B$3:$C$874,2,FALSE)</f>
        <v>3608310</v>
      </c>
      <c r="F1810" s="91">
        <f>COUNTIF($E$2:$E$7106,E1810)</f>
        <v>9</v>
      </c>
    </row>
    <row r="1811" spans="1:6" x14ac:dyDescent="0.2">
      <c r="A1811">
        <v>2020</v>
      </c>
      <c r="B1811" s="36">
        <v>2079</v>
      </c>
      <c r="C1811" s="90" t="str">
        <f>VLOOKUP(B1811,'All Districts'!$A$3:$B$874,2,FALSE)</f>
        <v>Copiague</v>
      </c>
      <c r="D1811" s="40">
        <v>4394480</v>
      </c>
      <c r="E1811">
        <f>VLOOKUP(C1811,'All Districts'!$B$3:$C$874,2,FALSE)</f>
        <v>3608310</v>
      </c>
      <c r="F1811" s="91">
        <f>COUNTIF($E$2:$E$7106,E1811)</f>
        <v>9</v>
      </c>
    </row>
    <row r="1812" spans="1:6" x14ac:dyDescent="0.2">
      <c r="A1812" s="10">
        <v>2021</v>
      </c>
      <c r="B1812" s="52">
        <v>2079</v>
      </c>
      <c r="C1812" s="90" t="str">
        <f>VLOOKUP(B1812,'All Districts'!$A$3:$B$874,2,FALSE)</f>
        <v>Copiague</v>
      </c>
      <c r="D1812" s="76">
        <v>4401362</v>
      </c>
      <c r="E1812">
        <f>VLOOKUP(C1812,'All Districts'!$B$3:$C$874,2,FALSE)</f>
        <v>3608310</v>
      </c>
      <c r="F1812" s="91">
        <f>COUNTIF($E$2:$E$7106,E1812)</f>
        <v>9</v>
      </c>
    </row>
    <row r="1813" spans="1:6" x14ac:dyDescent="0.2">
      <c r="A1813">
        <v>2022</v>
      </c>
      <c r="B1813" s="36">
        <v>2079</v>
      </c>
      <c r="C1813" s="90" t="str">
        <f>VLOOKUP(B1813,'All Districts'!$A$3:$B$874,2,FALSE)</f>
        <v>Copiague</v>
      </c>
      <c r="D1813" s="82">
        <v>5225798</v>
      </c>
      <c r="E1813">
        <f>VLOOKUP(C1813,'All Districts'!$B$3:$C$874,2,FALSE)</f>
        <v>3608310</v>
      </c>
      <c r="F1813" s="91">
        <f>COUNTIF($E$2:$E$7106,E1813)</f>
        <v>9</v>
      </c>
    </row>
    <row r="1814" spans="1:6" x14ac:dyDescent="0.2">
      <c r="A1814">
        <v>2023</v>
      </c>
      <c r="B1814" s="36">
        <v>2079</v>
      </c>
      <c r="C1814" s="90" t="str">
        <f>VLOOKUP(B1814,'All Districts'!$A$3:$B$874,2,FALSE)</f>
        <v>Copiague</v>
      </c>
      <c r="D1814" s="40">
        <v>5936150</v>
      </c>
      <c r="E1814">
        <f>VLOOKUP(C1814,'All Districts'!$B$3:$C$874,2,FALSE)</f>
        <v>3608310</v>
      </c>
      <c r="F1814" s="91">
        <f>COUNTIF($E$2:$E$7106,E1814)</f>
        <v>9</v>
      </c>
    </row>
    <row r="1815" spans="1:6" x14ac:dyDescent="0.2">
      <c r="A1815">
        <v>2015</v>
      </c>
      <c r="B1815" s="13">
        <v>5076</v>
      </c>
      <c r="C1815" s="90" t="str">
        <f>VLOOKUP(B1815,'All Districts'!$A$3:$B$874,2,FALSE)</f>
        <v>Corinth</v>
      </c>
      <c r="D1815" s="14">
        <v>1429107</v>
      </c>
      <c r="E1815">
        <f>VLOOKUP(C1815,'All Districts'!$B$3:$C$874,2,FALSE)</f>
        <v>3608370</v>
      </c>
      <c r="F1815" s="91">
        <f>COUNTIF($E$2:$E$7106,E1815)</f>
        <v>9</v>
      </c>
    </row>
    <row r="1816" spans="1:6" x14ac:dyDescent="0.2">
      <c r="A1816">
        <v>2016</v>
      </c>
      <c r="B1816" s="13">
        <v>5076</v>
      </c>
      <c r="C1816" s="90" t="str">
        <f>VLOOKUP(B1816,'All Districts'!$A$3:$B$874,2,FALSE)</f>
        <v>Corinth</v>
      </c>
      <c r="D1816" s="16">
        <v>1073388</v>
      </c>
      <c r="E1816">
        <f>VLOOKUP(C1816,'All Districts'!$B$3:$C$874,2,FALSE)</f>
        <v>3608370</v>
      </c>
      <c r="F1816" s="91">
        <f>COUNTIF($E$2:$E$7106,E1816)</f>
        <v>9</v>
      </c>
    </row>
    <row r="1817" spans="1:6" x14ac:dyDescent="0.2">
      <c r="A1817">
        <v>2017</v>
      </c>
      <c r="B1817" s="13">
        <v>5076</v>
      </c>
      <c r="C1817" s="90" t="str">
        <f>VLOOKUP(B1817,'All Districts'!$A$3:$B$874,2,FALSE)</f>
        <v>Corinth</v>
      </c>
      <c r="D1817" s="16">
        <v>964133</v>
      </c>
      <c r="E1817">
        <f>VLOOKUP(C1817,'All Districts'!$B$3:$C$874,2,FALSE)</f>
        <v>3608370</v>
      </c>
      <c r="F1817" s="91">
        <f>COUNTIF($E$2:$E$7106,E1817)</f>
        <v>9</v>
      </c>
    </row>
    <row r="1818" spans="1:6" x14ac:dyDescent="0.2">
      <c r="A1818" s="10">
        <v>2018</v>
      </c>
      <c r="B1818" s="13">
        <v>5076</v>
      </c>
      <c r="C1818" s="90" t="str">
        <f>VLOOKUP(B1818,'All Districts'!$A$3:$B$874,2,FALSE)</f>
        <v>Corinth</v>
      </c>
      <c r="D1818" s="15">
        <v>822024</v>
      </c>
      <c r="E1818">
        <f>VLOOKUP(C1818,'All Districts'!$B$3:$C$874,2,FALSE)</f>
        <v>3608370</v>
      </c>
      <c r="F1818" s="91">
        <f>COUNTIF($E$2:$E$7106,E1818)</f>
        <v>9</v>
      </c>
    </row>
    <row r="1819" spans="1:6" x14ac:dyDescent="0.2">
      <c r="A1819">
        <v>2019</v>
      </c>
      <c r="B1819" s="36">
        <v>5076</v>
      </c>
      <c r="C1819" s="90" t="str">
        <f>VLOOKUP(B1819,'All Districts'!$A$3:$B$874,2,FALSE)</f>
        <v>Corinth</v>
      </c>
      <c r="D1819" s="40">
        <v>904903</v>
      </c>
      <c r="E1819">
        <f>VLOOKUP(C1819,'All Districts'!$B$3:$C$874,2,FALSE)</f>
        <v>3608370</v>
      </c>
      <c r="F1819" s="91">
        <f>COUNTIF($E$2:$E$7106,E1819)</f>
        <v>9</v>
      </c>
    </row>
    <row r="1820" spans="1:6" x14ac:dyDescent="0.2">
      <c r="A1820">
        <v>2020</v>
      </c>
      <c r="B1820" s="36">
        <v>5076</v>
      </c>
      <c r="C1820" s="90" t="str">
        <f>VLOOKUP(B1820,'All Districts'!$A$3:$B$874,2,FALSE)</f>
        <v>Corinth</v>
      </c>
      <c r="D1820" s="40">
        <v>771764</v>
      </c>
      <c r="E1820">
        <f>VLOOKUP(C1820,'All Districts'!$B$3:$C$874,2,FALSE)</f>
        <v>3608370</v>
      </c>
      <c r="F1820" s="91">
        <f>COUNTIF($E$2:$E$7106,E1820)</f>
        <v>9</v>
      </c>
    </row>
    <row r="1821" spans="1:6" x14ac:dyDescent="0.2">
      <c r="A1821" s="10">
        <v>2021</v>
      </c>
      <c r="B1821" s="55">
        <v>5076</v>
      </c>
      <c r="C1821" s="90" t="str">
        <f>VLOOKUP(B1821,'All Districts'!$A$3:$B$874,2,FALSE)</f>
        <v>Corinth</v>
      </c>
      <c r="D1821" s="75">
        <v>824762</v>
      </c>
      <c r="E1821">
        <f>VLOOKUP(C1821,'All Districts'!$B$3:$C$874,2,FALSE)</f>
        <v>3608370</v>
      </c>
      <c r="F1821" s="91">
        <f>COUNTIF($E$2:$E$7106,E1821)</f>
        <v>9</v>
      </c>
    </row>
    <row r="1822" spans="1:6" x14ac:dyDescent="0.2">
      <c r="A1822">
        <v>2022</v>
      </c>
      <c r="B1822" s="36">
        <v>5076</v>
      </c>
      <c r="C1822" s="90" t="str">
        <f>VLOOKUP(B1822,'All Districts'!$A$3:$B$874,2,FALSE)</f>
        <v>Corinth</v>
      </c>
      <c r="D1822" s="82">
        <v>939223</v>
      </c>
      <c r="E1822">
        <f>VLOOKUP(C1822,'All Districts'!$B$3:$C$874,2,FALSE)</f>
        <v>3608370</v>
      </c>
      <c r="F1822" s="91">
        <f>COUNTIF($E$2:$E$7106,E1822)</f>
        <v>9</v>
      </c>
    </row>
    <row r="1823" spans="1:6" x14ac:dyDescent="0.2">
      <c r="A1823">
        <v>2023</v>
      </c>
      <c r="B1823" s="36">
        <v>5076</v>
      </c>
      <c r="C1823" s="90" t="str">
        <f>VLOOKUP(B1823,'All Districts'!$A$3:$B$874,2,FALSE)</f>
        <v>Corinth</v>
      </c>
      <c r="D1823" s="40">
        <v>971099</v>
      </c>
      <c r="E1823">
        <f>VLOOKUP(C1823,'All Districts'!$B$3:$C$874,2,FALSE)</f>
        <v>3608370</v>
      </c>
      <c r="F1823" s="91">
        <f>COUNTIF($E$2:$E$7106,E1823)</f>
        <v>9</v>
      </c>
    </row>
    <row r="1824" spans="1:6" x14ac:dyDescent="0.2">
      <c r="A1824">
        <v>2015</v>
      </c>
      <c r="B1824" s="13">
        <v>8115</v>
      </c>
      <c r="C1824" s="90" t="str">
        <f>VLOOKUP(B1824,'All Districts'!$A$3:$B$874,2,FALSE)</f>
        <v>Corning</v>
      </c>
      <c r="D1824" s="15">
        <v>353314</v>
      </c>
      <c r="E1824">
        <f>VLOOKUP(C1824,'All Districts'!$B$3:$C$874,2,FALSE)</f>
        <v>3608400</v>
      </c>
      <c r="F1824" s="91">
        <f>COUNTIF($E$2:$E$7106,E1824)</f>
        <v>9</v>
      </c>
    </row>
    <row r="1825" spans="1:6" x14ac:dyDescent="0.2">
      <c r="A1825">
        <v>2016</v>
      </c>
      <c r="B1825" s="13">
        <v>8115</v>
      </c>
      <c r="C1825" s="90" t="str">
        <f>VLOOKUP(B1825,'All Districts'!$A$3:$B$874,2,FALSE)</f>
        <v>Corning</v>
      </c>
      <c r="D1825" s="16">
        <v>251032</v>
      </c>
      <c r="E1825">
        <f>VLOOKUP(C1825,'All Districts'!$B$3:$C$874,2,FALSE)</f>
        <v>3608400</v>
      </c>
      <c r="F1825" s="91">
        <f>COUNTIF($E$2:$E$7106,E1825)</f>
        <v>9</v>
      </c>
    </row>
    <row r="1826" spans="1:6" x14ac:dyDescent="0.2">
      <c r="A1826">
        <v>2017</v>
      </c>
      <c r="B1826" s="13">
        <v>8115</v>
      </c>
      <c r="C1826" s="90" t="str">
        <f>VLOOKUP(B1826,'All Districts'!$A$3:$B$874,2,FALSE)</f>
        <v>Corning</v>
      </c>
      <c r="D1826" s="16">
        <v>225291</v>
      </c>
      <c r="E1826">
        <f>VLOOKUP(C1826,'All Districts'!$B$3:$C$874,2,FALSE)</f>
        <v>3608400</v>
      </c>
      <c r="F1826" s="91">
        <f>COUNTIF($E$2:$E$7106,E1826)</f>
        <v>9</v>
      </c>
    </row>
    <row r="1827" spans="1:6" x14ac:dyDescent="0.2">
      <c r="A1827" s="10">
        <v>2018</v>
      </c>
      <c r="B1827" s="13">
        <v>8115</v>
      </c>
      <c r="C1827" s="90" t="str">
        <f>VLOOKUP(B1827,'All Districts'!$A$3:$B$874,2,FALSE)</f>
        <v>Corning</v>
      </c>
      <c r="D1827" s="15">
        <v>179325</v>
      </c>
      <c r="E1827">
        <f>VLOOKUP(C1827,'All Districts'!$B$3:$C$874,2,FALSE)</f>
        <v>3608400</v>
      </c>
      <c r="F1827" s="91">
        <f>COUNTIF($E$2:$E$7106,E1827)</f>
        <v>9</v>
      </c>
    </row>
    <row r="1828" spans="1:6" x14ac:dyDescent="0.2">
      <c r="A1828">
        <v>2019</v>
      </c>
      <c r="B1828" s="36">
        <v>8115</v>
      </c>
      <c r="C1828" s="90" t="str">
        <f>VLOOKUP(B1828,'All Districts'!$A$3:$B$874,2,FALSE)</f>
        <v>Corning</v>
      </c>
      <c r="D1828" s="40">
        <v>206393</v>
      </c>
      <c r="E1828">
        <f>VLOOKUP(C1828,'All Districts'!$B$3:$C$874,2,FALSE)</f>
        <v>3608400</v>
      </c>
      <c r="F1828" s="91">
        <f>COUNTIF($E$2:$E$7106,E1828)</f>
        <v>9</v>
      </c>
    </row>
    <row r="1829" spans="1:6" x14ac:dyDescent="0.2">
      <c r="A1829">
        <v>2020</v>
      </c>
      <c r="B1829" s="36">
        <v>8115</v>
      </c>
      <c r="C1829" s="90" t="str">
        <f>VLOOKUP(B1829,'All Districts'!$A$3:$B$874,2,FALSE)</f>
        <v>Corning</v>
      </c>
      <c r="D1829" s="40">
        <v>166522</v>
      </c>
      <c r="E1829">
        <f>VLOOKUP(C1829,'All Districts'!$B$3:$C$874,2,FALSE)</f>
        <v>3608400</v>
      </c>
      <c r="F1829" s="91">
        <f>COUNTIF($E$2:$E$7106,E1829)</f>
        <v>9</v>
      </c>
    </row>
    <row r="1830" spans="1:6" x14ac:dyDescent="0.2">
      <c r="A1830" s="10">
        <v>2021</v>
      </c>
      <c r="B1830" s="55">
        <v>8115</v>
      </c>
      <c r="C1830" s="90" t="str">
        <f>VLOOKUP(B1830,'All Districts'!$A$3:$B$874,2,FALSE)</f>
        <v>Corning</v>
      </c>
      <c r="D1830" s="76">
        <v>145400</v>
      </c>
      <c r="E1830">
        <f>VLOOKUP(C1830,'All Districts'!$B$3:$C$874,2,FALSE)</f>
        <v>3608400</v>
      </c>
      <c r="F1830" s="91">
        <f>COUNTIF($E$2:$E$7106,E1830)</f>
        <v>9</v>
      </c>
    </row>
    <row r="1831" spans="1:6" x14ac:dyDescent="0.2">
      <c r="A1831">
        <v>2022</v>
      </c>
      <c r="B1831" s="36">
        <v>8115</v>
      </c>
      <c r="C1831" s="90" t="str">
        <f>VLOOKUP(B1831,'All Districts'!$A$3:$B$874,2,FALSE)</f>
        <v>Corning</v>
      </c>
      <c r="D1831" s="82">
        <v>153754</v>
      </c>
      <c r="E1831">
        <f>VLOOKUP(C1831,'All Districts'!$B$3:$C$874,2,FALSE)</f>
        <v>3608400</v>
      </c>
      <c r="F1831" s="91">
        <f>COUNTIF($E$2:$E$7106,E1831)</f>
        <v>9</v>
      </c>
    </row>
    <row r="1832" spans="1:6" x14ac:dyDescent="0.2">
      <c r="A1832">
        <v>2023</v>
      </c>
      <c r="B1832" s="36">
        <v>8115</v>
      </c>
      <c r="C1832" s="90" t="str">
        <f>VLOOKUP(B1832,'All Districts'!$A$3:$B$874,2,FALSE)</f>
        <v>Corning</v>
      </c>
      <c r="D1832" s="40">
        <v>168003</v>
      </c>
      <c r="E1832">
        <f>VLOOKUP(C1832,'All Districts'!$B$3:$C$874,2,FALSE)</f>
        <v>3608400</v>
      </c>
      <c r="F1832" s="91">
        <f>COUNTIF($E$2:$E$7106,E1832)</f>
        <v>9</v>
      </c>
    </row>
    <row r="1833" spans="1:6" x14ac:dyDescent="0.2">
      <c r="A1833">
        <v>2015</v>
      </c>
      <c r="B1833" s="13">
        <v>1055</v>
      </c>
      <c r="C1833" s="90" t="str">
        <f>VLOOKUP(B1833,'All Districts'!$A$3:$B$874,2,FALSE)</f>
        <v>Cortland</v>
      </c>
      <c r="D1833" s="14">
        <v>2913063</v>
      </c>
      <c r="E1833">
        <f>VLOOKUP(C1833,'All Districts'!$B$3:$C$874,2,FALSE)</f>
        <v>3608460</v>
      </c>
      <c r="F1833" s="91">
        <f>COUNTIF($E$2:$E$7106,E1833)</f>
        <v>9</v>
      </c>
    </row>
    <row r="1834" spans="1:6" x14ac:dyDescent="0.2">
      <c r="A1834">
        <v>2016</v>
      </c>
      <c r="B1834" s="13">
        <v>1055</v>
      </c>
      <c r="C1834" s="90" t="str">
        <f>VLOOKUP(B1834,'All Districts'!$A$3:$B$874,2,FALSE)</f>
        <v>Cortland</v>
      </c>
      <c r="D1834" s="16">
        <v>2309646</v>
      </c>
      <c r="E1834">
        <f>VLOOKUP(C1834,'All Districts'!$B$3:$C$874,2,FALSE)</f>
        <v>3608460</v>
      </c>
      <c r="F1834" s="91">
        <f>COUNTIF($E$2:$E$7106,E1834)</f>
        <v>9</v>
      </c>
    </row>
    <row r="1835" spans="1:6" x14ac:dyDescent="0.2">
      <c r="A1835">
        <v>2017</v>
      </c>
      <c r="B1835" s="13">
        <v>1055</v>
      </c>
      <c r="C1835" s="90" t="str">
        <f>VLOOKUP(B1835,'All Districts'!$A$3:$B$874,2,FALSE)</f>
        <v>Cortland</v>
      </c>
      <c r="D1835" s="16">
        <v>2090133</v>
      </c>
      <c r="E1835">
        <f>VLOOKUP(C1835,'All Districts'!$B$3:$C$874,2,FALSE)</f>
        <v>3608460</v>
      </c>
      <c r="F1835" s="91">
        <f>COUNTIF($E$2:$E$7106,E1835)</f>
        <v>9</v>
      </c>
    </row>
    <row r="1836" spans="1:6" x14ac:dyDescent="0.2">
      <c r="A1836" s="10">
        <v>2018</v>
      </c>
      <c r="B1836" s="13">
        <v>1055</v>
      </c>
      <c r="C1836" s="90" t="str">
        <f>VLOOKUP(B1836,'All Districts'!$A$3:$B$874,2,FALSE)</f>
        <v>Cortland</v>
      </c>
      <c r="D1836" s="15">
        <v>1750776</v>
      </c>
      <c r="E1836">
        <f>VLOOKUP(C1836,'All Districts'!$B$3:$C$874,2,FALSE)</f>
        <v>3608460</v>
      </c>
      <c r="F1836" s="91">
        <f>COUNTIF($E$2:$E$7106,E1836)</f>
        <v>9</v>
      </c>
    </row>
    <row r="1837" spans="1:6" x14ac:dyDescent="0.2">
      <c r="A1837">
        <v>2019</v>
      </c>
      <c r="B1837" s="36">
        <v>1055</v>
      </c>
      <c r="C1837" s="90" t="str">
        <f>VLOOKUP(B1837,'All Districts'!$A$3:$B$874,2,FALSE)</f>
        <v>Cortland</v>
      </c>
      <c r="D1837" s="40">
        <v>1881349</v>
      </c>
      <c r="E1837">
        <f>VLOOKUP(C1837,'All Districts'!$B$3:$C$874,2,FALSE)</f>
        <v>3608460</v>
      </c>
      <c r="F1837" s="91">
        <f>COUNTIF($E$2:$E$7106,E1837)</f>
        <v>9</v>
      </c>
    </row>
    <row r="1838" spans="1:6" x14ac:dyDescent="0.2">
      <c r="A1838">
        <v>2020</v>
      </c>
      <c r="B1838" s="36">
        <v>1055</v>
      </c>
      <c r="C1838" s="90" t="str">
        <f>VLOOKUP(B1838,'All Districts'!$A$3:$B$874,2,FALSE)</f>
        <v>Cortland</v>
      </c>
      <c r="D1838" s="40">
        <v>1539122</v>
      </c>
      <c r="E1838">
        <f>VLOOKUP(C1838,'All Districts'!$B$3:$C$874,2,FALSE)</f>
        <v>3608460</v>
      </c>
      <c r="F1838" s="91">
        <f>COUNTIF($E$2:$E$7106,E1838)</f>
        <v>9</v>
      </c>
    </row>
    <row r="1839" spans="1:6" x14ac:dyDescent="0.2">
      <c r="A1839" s="10">
        <v>2021</v>
      </c>
      <c r="B1839" s="52">
        <v>1055</v>
      </c>
      <c r="C1839" s="90" t="str">
        <f>VLOOKUP(B1839,'All Districts'!$A$3:$B$874,2,FALSE)</f>
        <v>Cortland</v>
      </c>
      <c r="D1839" s="76">
        <v>1553195</v>
      </c>
      <c r="E1839">
        <f>VLOOKUP(C1839,'All Districts'!$B$3:$C$874,2,FALSE)</f>
        <v>3608460</v>
      </c>
      <c r="F1839" s="91">
        <f>COUNTIF($E$2:$E$7106,E1839)</f>
        <v>9</v>
      </c>
    </row>
    <row r="1840" spans="1:6" x14ac:dyDescent="0.2">
      <c r="A1840">
        <v>2022</v>
      </c>
      <c r="B1840" s="36">
        <v>1055</v>
      </c>
      <c r="C1840" s="90" t="str">
        <f>VLOOKUP(B1840,'All Districts'!$A$3:$B$874,2,FALSE)</f>
        <v>Cortland</v>
      </c>
      <c r="D1840" s="82">
        <v>1625898</v>
      </c>
      <c r="E1840">
        <f>VLOOKUP(C1840,'All Districts'!$B$3:$C$874,2,FALSE)</f>
        <v>3608460</v>
      </c>
      <c r="F1840" s="91">
        <f>COUNTIF($E$2:$E$7106,E1840)</f>
        <v>9</v>
      </c>
    </row>
    <row r="1841" spans="1:6" x14ac:dyDescent="0.2">
      <c r="A1841">
        <v>2023</v>
      </c>
      <c r="B1841" s="36">
        <v>1055</v>
      </c>
      <c r="C1841" s="90" t="str">
        <f>VLOOKUP(B1841,'All Districts'!$A$3:$B$874,2,FALSE)</f>
        <v>Cortland</v>
      </c>
      <c r="D1841" s="40">
        <v>1837060</v>
      </c>
      <c r="E1841">
        <f>VLOOKUP(C1841,'All Districts'!$B$3:$C$874,2,FALSE)</f>
        <v>3608460</v>
      </c>
      <c r="F1841" s="91">
        <f>COUNTIF($E$2:$E$7106,E1841)</f>
        <v>9</v>
      </c>
    </row>
    <row r="1842" spans="1:6" x14ac:dyDescent="0.2">
      <c r="A1842">
        <v>2015</v>
      </c>
      <c r="B1842" s="13">
        <v>4890</v>
      </c>
      <c r="C1842" s="90" t="str">
        <f>VLOOKUP(B1842,'All Districts'!$A$3:$B$874,2,FALSE)</f>
        <v>Coxsackie-Athens</v>
      </c>
      <c r="D1842" s="14">
        <v>1956845</v>
      </c>
      <c r="E1842">
        <f>VLOOKUP(C1842,'All Districts'!$B$3:$C$874,2,FALSE)</f>
        <v>3608490</v>
      </c>
      <c r="F1842" s="91">
        <f>COUNTIF($E$2:$E$7106,E1842)</f>
        <v>9</v>
      </c>
    </row>
    <row r="1843" spans="1:6" x14ac:dyDescent="0.2">
      <c r="A1843">
        <v>2016</v>
      </c>
      <c r="B1843" s="13">
        <v>4890</v>
      </c>
      <c r="C1843" s="90" t="str">
        <f>VLOOKUP(B1843,'All Districts'!$A$3:$B$874,2,FALSE)</f>
        <v>Coxsackie-Athens</v>
      </c>
      <c r="D1843" s="16">
        <v>1476556</v>
      </c>
      <c r="E1843">
        <f>VLOOKUP(C1843,'All Districts'!$B$3:$C$874,2,FALSE)</f>
        <v>3608490</v>
      </c>
      <c r="F1843" s="91">
        <f>COUNTIF($E$2:$E$7106,E1843)</f>
        <v>9</v>
      </c>
    </row>
    <row r="1844" spans="1:6" x14ac:dyDescent="0.2">
      <c r="A1844">
        <v>2017</v>
      </c>
      <c r="B1844" s="13">
        <v>4890</v>
      </c>
      <c r="C1844" s="90" t="str">
        <f>VLOOKUP(B1844,'All Districts'!$A$3:$B$874,2,FALSE)</f>
        <v>Coxsackie-Athens</v>
      </c>
      <c r="D1844" s="16">
        <v>1335077</v>
      </c>
      <c r="E1844">
        <f>VLOOKUP(C1844,'All Districts'!$B$3:$C$874,2,FALSE)</f>
        <v>3608490</v>
      </c>
      <c r="F1844" s="91">
        <f>COUNTIF($E$2:$E$7106,E1844)</f>
        <v>9</v>
      </c>
    </row>
    <row r="1845" spans="1:6" x14ac:dyDescent="0.2">
      <c r="A1845" s="10">
        <v>2018</v>
      </c>
      <c r="B1845" s="13">
        <v>4890</v>
      </c>
      <c r="C1845" s="90" t="str">
        <f>VLOOKUP(B1845,'All Districts'!$A$3:$B$874,2,FALSE)</f>
        <v>Coxsackie-Athens</v>
      </c>
      <c r="D1845" s="15">
        <v>1129103</v>
      </c>
      <c r="E1845">
        <f>VLOOKUP(C1845,'All Districts'!$B$3:$C$874,2,FALSE)</f>
        <v>3608490</v>
      </c>
      <c r="F1845" s="91">
        <f>COUNTIF($E$2:$E$7106,E1845)</f>
        <v>9</v>
      </c>
    </row>
    <row r="1846" spans="1:6" x14ac:dyDescent="0.2">
      <c r="A1846">
        <v>2019</v>
      </c>
      <c r="B1846" s="36">
        <v>4890</v>
      </c>
      <c r="C1846" s="90" t="str">
        <f>VLOOKUP(B1846,'All Districts'!$A$3:$B$874,2,FALSE)</f>
        <v>Coxsackie-Athens</v>
      </c>
      <c r="D1846" s="40">
        <v>1271252</v>
      </c>
      <c r="E1846">
        <f>VLOOKUP(C1846,'All Districts'!$B$3:$C$874,2,FALSE)</f>
        <v>3608490</v>
      </c>
      <c r="F1846" s="91">
        <f>COUNTIF($E$2:$E$7106,E1846)</f>
        <v>9</v>
      </c>
    </row>
    <row r="1847" spans="1:6" x14ac:dyDescent="0.2">
      <c r="A1847">
        <v>2020</v>
      </c>
      <c r="B1847" s="36">
        <v>4890</v>
      </c>
      <c r="C1847" s="90" t="str">
        <f>VLOOKUP(B1847,'All Districts'!$A$3:$B$874,2,FALSE)</f>
        <v>Coxsackie-Athens</v>
      </c>
      <c r="D1847" s="40">
        <v>1071415</v>
      </c>
      <c r="E1847">
        <f>VLOOKUP(C1847,'All Districts'!$B$3:$C$874,2,FALSE)</f>
        <v>3608490</v>
      </c>
      <c r="F1847" s="91">
        <f>COUNTIF($E$2:$E$7106,E1847)</f>
        <v>9</v>
      </c>
    </row>
    <row r="1848" spans="1:6" x14ac:dyDescent="0.2">
      <c r="A1848" s="10">
        <v>2021</v>
      </c>
      <c r="B1848" s="52">
        <v>4890</v>
      </c>
      <c r="C1848" s="90" t="str">
        <f>VLOOKUP(B1848,'All Districts'!$A$3:$B$874,2,FALSE)</f>
        <v>Coxsackie-Athens</v>
      </c>
      <c r="D1848" s="76">
        <v>1151695</v>
      </c>
      <c r="E1848">
        <f>VLOOKUP(C1848,'All Districts'!$B$3:$C$874,2,FALSE)</f>
        <v>3608490</v>
      </c>
      <c r="F1848" s="91">
        <f>COUNTIF($E$2:$E$7106,E1848)</f>
        <v>9</v>
      </c>
    </row>
    <row r="1849" spans="1:6" x14ac:dyDescent="0.2">
      <c r="A1849">
        <v>2022</v>
      </c>
      <c r="B1849" s="36">
        <v>4890</v>
      </c>
      <c r="C1849" s="90" t="str">
        <f>VLOOKUP(B1849,'All Districts'!$A$3:$B$874,2,FALSE)</f>
        <v>Coxsackie-Athens</v>
      </c>
      <c r="D1849" s="82">
        <v>1233707</v>
      </c>
      <c r="E1849">
        <f>VLOOKUP(C1849,'All Districts'!$B$3:$C$874,2,FALSE)</f>
        <v>3608490</v>
      </c>
      <c r="F1849" s="91">
        <f>COUNTIF($E$2:$E$7106,E1849)</f>
        <v>9</v>
      </c>
    </row>
    <row r="1850" spans="1:6" x14ac:dyDescent="0.2">
      <c r="A1850">
        <v>2023</v>
      </c>
      <c r="B1850" s="36">
        <v>4890</v>
      </c>
      <c r="C1850" s="90" t="str">
        <f>VLOOKUP(B1850,'All Districts'!$A$3:$B$874,2,FALSE)</f>
        <v>Coxsackie-Athens</v>
      </c>
      <c r="D1850" s="40">
        <v>1328479</v>
      </c>
      <c r="E1850">
        <f>VLOOKUP(C1850,'All Districts'!$B$3:$C$874,2,FALSE)</f>
        <v>3608490</v>
      </c>
      <c r="F1850" s="91">
        <f>COUNTIF($E$2:$E$7106,E1850)</f>
        <v>9</v>
      </c>
    </row>
    <row r="1851" spans="1:6" x14ac:dyDescent="0.2">
      <c r="A1851">
        <v>2015</v>
      </c>
      <c r="B1851" s="13">
        <v>2083</v>
      </c>
      <c r="C1851" s="90" t="str">
        <f>VLOOKUP(B1851,'All Districts'!$A$3:$B$874,2,FALSE)</f>
        <v>Croton-Harmon</v>
      </c>
      <c r="D1851" s="14">
        <v>2811218</v>
      </c>
      <c r="E1851">
        <f>VLOOKUP(C1851,'All Districts'!$B$3:$C$874,2,FALSE)</f>
        <v>3608580</v>
      </c>
      <c r="F1851" s="91">
        <f>COUNTIF($E$2:$E$7106,E1851)</f>
        <v>9</v>
      </c>
    </row>
    <row r="1852" spans="1:6" x14ac:dyDescent="0.2">
      <c r="A1852">
        <v>2016</v>
      </c>
      <c r="B1852" s="13">
        <v>2083</v>
      </c>
      <c r="C1852" s="90" t="str">
        <f>VLOOKUP(B1852,'All Districts'!$A$3:$B$874,2,FALSE)</f>
        <v>Croton-Harmon</v>
      </c>
      <c r="D1852" s="16">
        <v>2218570</v>
      </c>
      <c r="E1852">
        <f>VLOOKUP(C1852,'All Districts'!$B$3:$C$874,2,FALSE)</f>
        <v>3608580</v>
      </c>
      <c r="F1852" s="91">
        <f>COUNTIF($E$2:$E$7106,E1852)</f>
        <v>9</v>
      </c>
    </row>
    <row r="1853" spans="1:6" x14ac:dyDescent="0.2">
      <c r="A1853">
        <v>2017</v>
      </c>
      <c r="B1853" s="13">
        <v>2083</v>
      </c>
      <c r="C1853" s="90" t="str">
        <f>VLOOKUP(B1853,'All Districts'!$A$3:$B$874,2,FALSE)</f>
        <v>Croton-Harmon</v>
      </c>
      <c r="D1853" s="16">
        <v>1995559</v>
      </c>
      <c r="E1853">
        <f>VLOOKUP(C1853,'All Districts'!$B$3:$C$874,2,FALSE)</f>
        <v>3608580</v>
      </c>
      <c r="F1853" s="91">
        <f>COUNTIF($E$2:$E$7106,E1853)</f>
        <v>9</v>
      </c>
    </row>
    <row r="1854" spans="1:6" x14ac:dyDescent="0.2">
      <c r="A1854" s="10">
        <v>2018</v>
      </c>
      <c r="B1854" s="13">
        <v>2083</v>
      </c>
      <c r="C1854" s="90" t="str">
        <f>VLOOKUP(B1854,'All Districts'!$A$3:$B$874,2,FALSE)</f>
        <v>Croton-Harmon</v>
      </c>
      <c r="D1854" s="15">
        <v>1747688</v>
      </c>
      <c r="E1854">
        <f>VLOOKUP(C1854,'All Districts'!$B$3:$C$874,2,FALSE)</f>
        <v>3608580</v>
      </c>
      <c r="F1854" s="91">
        <f>COUNTIF($E$2:$E$7106,E1854)</f>
        <v>9</v>
      </c>
    </row>
    <row r="1855" spans="1:6" x14ac:dyDescent="0.2">
      <c r="A1855">
        <v>2019</v>
      </c>
      <c r="B1855" s="36">
        <v>2083</v>
      </c>
      <c r="C1855" s="90" t="str">
        <f>VLOOKUP(B1855,'All Districts'!$A$3:$B$874,2,FALSE)</f>
        <v>Croton-Harmon</v>
      </c>
      <c r="D1855" s="40">
        <v>1926359</v>
      </c>
      <c r="E1855">
        <f>VLOOKUP(C1855,'All Districts'!$B$3:$C$874,2,FALSE)</f>
        <v>3608580</v>
      </c>
      <c r="F1855" s="91">
        <f>COUNTIF($E$2:$E$7106,E1855)</f>
        <v>9</v>
      </c>
    </row>
    <row r="1856" spans="1:6" x14ac:dyDescent="0.2">
      <c r="A1856">
        <v>2020</v>
      </c>
      <c r="B1856" s="36">
        <v>2083</v>
      </c>
      <c r="C1856" s="90" t="str">
        <f>VLOOKUP(B1856,'All Districts'!$A$3:$B$874,2,FALSE)</f>
        <v>Croton-Harmon</v>
      </c>
      <c r="D1856" s="40">
        <v>1636792</v>
      </c>
      <c r="E1856">
        <f>VLOOKUP(C1856,'All Districts'!$B$3:$C$874,2,FALSE)</f>
        <v>3608580</v>
      </c>
      <c r="F1856" s="91">
        <f>COUNTIF($E$2:$E$7106,E1856)</f>
        <v>9</v>
      </c>
    </row>
    <row r="1857" spans="1:6" x14ac:dyDescent="0.2">
      <c r="A1857" s="10">
        <v>2021</v>
      </c>
      <c r="B1857" s="55">
        <v>2083</v>
      </c>
      <c r="C1857" s="90" t="str">
        <f>VLOOKUP(B1857,'All Districts'!$A$3:$B$874,2,FALSE)</f>
        <v>Croton-Harmon</v>
      </c>
      <c r="D1857" s="76">
        <v>1781554</v>
      </c>
      <c r="E1857">
        <f>VLOOKUP(C1857,'All Districts'!$B$3:$C$874,2,FALSE)</f>
        <v>3608580</v>
      </c>
      <c r="F1857" s="91">
        <f>COUNTIF($E$2:$E$7106,E1857)</f>
        <v>9</v>
      </c>
    </row>
    <row r="1858" spans="1:6" x14ac:dyDescent="0.2">
      <c r="A1858">
        <v>2022</v>
      </c>
      <c r="B1858" s="36">
        <v>2083</v>
      </c>
      <c r="C1858" s="90" t="str">
        <f>VLOOKUP(B1858,'All Districts'!$A$3:$B$874,2,FALSE)</f>
        <v>Croton-Harmon</v>
      </c>
      <c r="D1858" s="82">
        <v>1856570</v>
      </c>
      <c r="E1858">
        <f>VLOOKUP(C1858,'All Districts'!$B$3:$C$874,2,FALSE)</f>
        <v>3608580</v>
      </c>
      <c r="F1858" s="91">
        <f>COUNTIF($E$2:$E$7106,E1858)</f>
        <v>9</v>
      </c>
    </row>
    <row r="1859" spans="1:6" x14ac:dyDescent="0.2">
      <c r="A1859">
        <v>2023</v>
      </c>
      <c r="B1859" s="36">
        <v>2083</v>
      </c>
      <c r="C1859" s="90" t="str">
        <f>VLOOKUP(B1859,'All Districts'!$A$3:$B$874,2,FALSE)</f>
        <v>Croton-Harmon</v>
      </c>
      <c r="D1859" s="40">
        <v>2031682</v>
      </c>
      <c r="E1859">
        <f>VLOOKUP(C1859,'All Districts'!$B$3:$C$874,2,FALSE)</f>
        <v>3608580</v>
      </c>
      <c r="F1859" s="91">
        <f>COUNTIF($E$2:$E$7106,E1859)</f>
        <v>9</v>
      </c>
    </row>
    <row r="1860" spans="1:6" x14ac:dyDescent="0.2">
      <c r="A1860">
        <v>2015</v>
      </c>
      <c r="B1860" s="13">
        <v>3465</v>
      </c>
      <c r="C1860" s="90" t="str">
        <f>VLOOKUP(B1860,'All Districts'!$A$3:$B$874,2,FALSE)</f>
        <v>Crown Point</v>
      </c>
      <c r="D1860" s="14">
        <v>293660</v>
      </c>
      <c r="E1860">
        <f>VLOOKUP(C1860,'All Districts'!$B$3:$C$874,2,FALSE)</f>
        <v>3608610</v>
      </c>
      <c r="F1860" s="91">
        <f>COUNTIF($E$2:$E$7106,E1860)</f>
        <v>9</v>
      </c>
    </row>
    <row r="1861" spans="1:6" x14ac:dyDescent="0.2">
      <c r="A1861">
        <v>2016</v>
      </c>
      <c r="B1861" s="13">
        <v>3465</v>
      </c>
      <c r="C1861" s="90" t="str">
        <f>VLOOKUP(B1861,'All Districts'!$A$3:$B$874,2,FALSE)</f>
        <v>Crown Point</v>
      </c>
      <c r="D1861" s="16">
        <v>243934</v>
      </c>
      <c r="E1861">
        <f>VLOOKUP(C1861,'All Districts'!$B$3:$C$874,2,FALSE)</f>
        <v>3608610</v>
      </c>
      <c r="F1861" s="91">
        <f>COUNTIF($E$2:$E$7106,E1861)</f>
        <v>9</v>
      </c>
    </row>
    <row r="1862" spans="1:6" x14ac:dyDescent="0.2">
      <c r="A1862">
        <v>2017</v>
      </c>
      <c r="B1862" s="13">
        <v>3465</v>
      </c>
      <c r="C1862" s="90" t="str">
        <f>VLOOKUP(B1862,'All Districts'!$A$3:$B$874,2,FALSE)</f>
        <v>Crown Point</v>
      </c>
      <c r="D1862" s="16">
        <v>226096</v>
      </c>
      <c r="E1862">
        <f>VLOOKUP(C1862,'All Districts'!$B$3:$C$874,2,FALSE)</f>
        <v>3608610</v>
      </c>
      <c r="F1862" s="91">
        <f>COUNTIF($E$2:$E$7106,E1862)</f>
        <v>9</v>
      </c>
    </row>
    <row r="1863" spans="1:6" x14ac:dyDescent="0.2">
      <c r="A1863" s="10">
        <v>2018</v>
      </c>
      <c r="B1863" s="13">
        <v>3465</v>
      </c>
      <c r="C1863" s="90" t="str">
        <f>VLOOKUP(B1863,'All Districts'!$A$3:$B$874,2,FALSE)</f>
        <v>Crown Point</v>
      </c>
      <c r="D1863" s="15">
        <v>195096</v>
      </c>
      <c r="E1863">
        <f>VLOOKUP(C1863,'All Districts'!$B$3:$C$874,2,FALSE)</f>
        <v>3608610</v>
      </c>
      <c r="F1863" s="91">
        <f>COUNTIF($E$2:$E$7106,E1863)</f>
        <v>9</v>
      </c>
    </row>
    <row r="1864" spans="1:6" x14ac:dyDescent="0.2">
      <c r="A1864">
        <v>2019</v>
      </c>
      <c r="B1864" s="36">
        <v>3465</v>
      </c>
      <c r="C1864" s="90" t="str">
        <f>VLOOKUP(B1864,'All Districts'!$A$3:$B$874,2,FALSE)</f>
        <v>Crown Point</v>
      </c>
      <c r="D1864" s="40">
        <v>222162</v>
      </c>
      <c r="E1864">
        <f>VLOOKUP(C1864,'All Districts'!$B$3:$C$874,2,FALSE)</f>
        <v>3608610</v>
      </c>
      <c r="F1864" s="91">
        <f>COUNTIF($E$2:$E$7106,E1864)</f>
        <v>9</v>
      </c>
    </row>
    <row r="1865" spans="1:6" x14ac:dyDescent="0.2">
      <c r="A1865">
        <v>2020</v>
      </c>
      <c r="B1865" s="36">
        <v>3465</v>
      </c>
      <c r="C1865" s="90" t="str">
        <f>VLOOKUP(B1865,'All Districts'!$A$3:$B$874,2,FALSE)</f>
        <v>Crown Point</v>
      </c>
      <c r="D1865" s="40">
        <v>172790</v>
      </c>
      <c r="E1865">
        <f>VLOOKUP(C1865,'All Districts'!$B$3:$C$874,2,FALSE)</f>
        <v>3608610</v>
      </c>
      <c r="F1865" s="91">
        <f>COUNTIF($E$2:$E$7106,E1865)</f>
        <v>9</v>
      </c>
    </row>
    <row r="1866" spans="1:6" x14ac:dyDescent="0.2">
      <c r="A1866" s="10">
        <v>2021</v>
      </c>
      <c r="B1866" s="55">
        <v>3465</v>
      </c>
      <c r="C1866" s="90" t="str">
        <f>VLOOKUP(B1866,'All Districts'!$A$3:$B$874,2,FALSE)</f>
        <v>Crown Point</v>
      </c>
      <c r="D1866" s="76">
        <v>157330</v>
      </c>
      <c r="E1866">
        <f>VLOOKUP(C1866,'All Districts'!$B$3:$C$874,2,FALSE)</f>
        <v>3608610</v>
      </c>
      <c r="F1866" s="91">
        <f>COUNTIF($E$2:$E$7106,E1866)</f>
        <v>9</v>
      </c>
    </row>
    <row r="1867" spans="1:6" x14ac:dyDescent="0.2">
      <c r="A1867">
        <v>2022</v>
      </c>
      <c r="B1867" s="36">
        <v>3465</v>
      </c>
      <c r="C1867" s="90" t="str">
        <f>VLOOKUP(B1867,'All Districts'!$A$3:$B$874,2,FALSE)</f>
        <v>Crown Point</v>
      </c>
      <c r="D1867" s="82">
        <v>189425</v>
      </c>
      <c r="E1867">
        <f>VLOOKUP(C1867,'All Districts'!$B$3:$C$874,2,FALSE)</f>
        <v>3608610</v>
      </c>
      <c r="F1867" s="91">
        <f>COUNTIF($E$2:$E$7106,E1867)</f>
        <v>9</v>
      </c>
    </row>
    <row r="1868" spans="1:6" x14ac:dyDescent="0.2">
      <c r="A1868">
        <v>2023</v>
      </c>
      <c r="B1868" s="36">
        <v>3465</v>
      </c>
      <c r="C1868" s="90" t="str">
        <f>VLOOKUP(B1868,'All Districts'!$A$3:$B$874,2,FALSE)</f>
        <v>Crown Point</v>
      </c>
      <c r="D1868" s="40">
        <v>202344</v>
      </c>
      <c r="E1868">
        <f>VLOOKUP(C1868,'All Districts'!$B$3:$C$874,2,FALSE)</f>
        <v>3608610</v>
      </c>
      <c r="F1868" s="91">
        <f>COUNTIF($E$2:$E$7106,E1868)</f>
        <v>9</v>
      </c>
    </row>
    <row r="1869" spans="1:6" x14ac:dyDescent="0.2">
      <c r="A1869">
        <v>2015</v>
      </c>
      <c r="B1869" s="13">
        <v>3077</v>
      </c>
      <c r="C1869" s="90" t="str">
        <f>VLOOKUP(B1869,'All Districts'!$A$3:$B$874,2,FALSE)</f>
        <v>Cuba-Rushford</v>
      </c>
      <c r="D1869" s="14">
        <v>1030148</v>
      </c>
      <c r="E1869">
        <f>VLOOKUP(C1869,'All Districts'!$B$3:$C$874,2,FALSE)</f>
        <v>3632010</v>
      </c>
      <c r="F1869" s="91">
        <f>COUNTIF($E$2:$E$7106,E1869)</f>
        <v>9</v>
      </c>
    </row>
    <row r="1870" spans="1:6" x14ac:dyDescent="0.2">
      <c r="A1870">
        <v>2016</v>
      </c>
      <c r="B1870" s="13">
        <v>3077</v>
      </c>
      <c r="C1870" s="90" t="str">
        <f>VLOOKUP(B1870,'All Districts'!$A$3:$B$874,2,FALSE)</f>
        <v>Cuba-Rushford</v>
      </c>
      <c r="D1870" s="16">
        <v>789447</v>
      </c>
      <c r="E1870">
        <f>VLOOKUP(C1870,'All Districts'!$B$3:$C$874,2,FALSE)</f>
        <v>3632010</v>
      </c>
      <c r="F1870" s="91">
        <f>COUNTIF($E$2:$E$7106,E1870)</f>
        <v>9</v>
      </c>
    </row>
    <row r="1871" spans="1:6" x14ac:dyDescent="0.2">
      <c r="A1871">
        <v>2017</v>
      </c>
      <c r="B1871" s="13">
        <v>3077</v>
      </c>
      <c r="C1871" s="90" t="str">
        <f>VLOOKUP(B1871,'All Districts'!$A$3:$B$874,2,FALSE)</f>
        <v>Cuba-Rushford</v>
      </c>
      <c r="D1871" s="16">
        <v>703647</v>
      </c>
      <c r="E1871">
        <f>VLOOKUP(C1871,'All Districts'!$B$3:$C$874,2,FALSE)</f>
        <v>3632010</v>
      </c>
      <c r="F1871" s="91">
        <f>COUNTIF($E$2:$E$7106,E1871)</f>
        <v>9</v>
      </c>
    </row>
    <row r="1872" spans="1:6" x14ac:dyDescent="0.2">
      <c r="A1872" s="10">
        <v>2018</v>
      </c>
      <c r="B1872" s="13">
        <v>3077</v>
      </c>
      <c r="C1872" s="90" t="str">
        <f>VLOOKUP(B1872,'All Districts'!$A$3:$B$874,2,FALSE)</f>
        <v>Cuba-Rushford</v>
      </c>
      <c r="D1872" s="15">
        <v>608062</v>
      </c>
      <c r="E1872">
        <f>VLOOKUP(C1872,'All Districts'!$B$3:$C$874,2,FALSE)</f>
        <v>3632010</v>
      </c>
      <c r="F1872" s="91">
        <f>COUNTIF($E$2:$E$7106,E1872)</f>
        <v>9</v>
      </c>
    </row>
    <row r="1873" spans="1:6" x14ac:dyDescent="0.2">
      <c r="A1873">
        <v>2019</v>
      </c>
      <c r="B1873" s="36">
        <v>3077</v>
      </c>
      <c r="C1873" s="90" t="str">
        <f>VLOOKUP(B1873,'All Districts'!$A$3:$B$874,2,FALSE)</f>
        <v>Cuba-Rushford</v>
      </c>
      <c r="D1873" s="40">
        <v>672689</v>
      </c>
      <c r="E1873">
        <f>VLOOKUP(C1873,'All Districts'!$B$3:$C$874,2,FALSE)</f>
        <v>3632010</v>
      </c>
      <c r="F1873" s="91">
        <f>COUNTIF($E$2:$E$7106,E1873)</f>
        <v>9</v>
      </c>
    </row>
    <row r="1874" spans="1:6" x14ac:dyDescent="0.2">
      <c r="A1874">
        <v>2020</v>
      </c>
      <c r="B1874" s="36">
        <v>3077</v>
      </c>
      <c r="C1874" s="90" t="str">
        <f>VLOOKUP(B1874,'All Districts'!$A$3:$B$874,2,FALSE)</f>
        <v>Cuba-Rushford</v>
      </c>
      <c r="D1874" s="40">
        <v>570467</v>
      </c>
      <c r="E1874">
        <f>VLOOKUP(C1874,'All Districts'!$B$3:$C$874,2,FALSE)</f>
        <v>3632010</v>
      </c>
      <c r="F1874" s="91">
        <f>COUNTIF($E$2:$E$7106,E1874)</f>
        <v>9</v>
      </c>
    </row>
    <row r="1875" spans="1:6" x14ac:dyDescent="0.2">
      <c r="A1875" s="10">
        <v>2021</v>
      </c>
      <c r="B1875" s="52">
        <v>3077</v>
      </c>
      <c r="C1875" s="90" t="str">
        <f>VLOOKUP(B1875,'All Districts'!$A$3:$B$874,2,FALSE)</f>
        <v>Cuba-Rushford</v>
      </c>
      <c r="D1875" s="75">
        <v>612758</v>
      </c>
      <c r="E1875">
        <f>VLOOKUP(C1875,'All Districts'!$B$3:$C$874,2,FALSE)</f>
        <v>3632010</v>
      </c>
      <c r="F1875" s="91">
        <f>COUNTIF($E$2:$E$7106,E1875)</f>
        <v>9</v>
      </c>
    </row>
    <row r="1876" spans="1:6" x14ac:dyDescent="0.2">
      <c r="A1876">
        <v>2022</v>
      </c>
      <c r="B1876" s="36">
        <v>3077</v>
      </c>
      <c r="C1876" s="90" t="str">
        <f>VLOOKUP(B1876,'All Districts'!$A$3:$B$874,2,FALSE)</f>
        <v>Cuba-Rushford</v>
      </c>
      <c r="D1876" s="82">
        <v>668947</v>
      </c>
      <c r="E1876">
        <f>VLOOKUP(C1876,'All Districts'!$B$3:$C$874,2,FALSE)</f>
        <v>3632010</v>
      </c>
      <c r="F1876" s="91">
        <f>COUNTIF($E$2:$E$7106,E1876)</f>
        <v>9</v>
      </c>
    </row>
    <row r="1877" spans="1:6" x14ac:dyDescent="0.2">
      <c r="A1877">
        <v>2023</v>
      </c>
      <c r="B1877" s="36">
        <v>3077</v>
      </c>
      <c r="C1877" s="90" t="str">
        <f>VLOOKUP(B1877,'All Districts'!$A$3:$B$874,2,FALSE)</f>
        <v>Cuba-Rushford</v>
      </c>
      <c r="D1877" s="40">
        <v>754336</v>
      </c>
      <c r="E1877">
        <f>VLOOKUP(C1877,'All Districts'!$B$3:$C$874,2,FALSE)</f>
        <v>3632010</v>
      </c>
      <c r="F1877" s="91">
        <f>COUNTIF($E$2:$E$7106,E1877)</f>
        <v>9</v>
      </c>
    </row>
    <row r="1878" spans="1:6" x14ac:dyDescent="0.2">
      <c r="A1878">
        <v>2015</v>
      </c>
      <c r="B1878" s="13">
        <v>4178</v>
      </c>
      <c r="C1878" s="90" t="str">
        <f>VLOOKUP(B1878,'All Districts'!$A$3:$B$874,2,FALSE)</f>
        <v>Dalton-Nunda (Keshequa)</v>
      </c>
      <c r="D1878" s="14">
        <v>869672</v>
      </c>
      <c r="E1878">
        <f>VLOOKUP(C1878,'All Districts'!$B$3:$C$874,2,FALSE)</f>
        <v>3621450</v>
      </c>
      <c r="F1878" s="91">
        <f>COUNTIF($E$2:$E$7106,E1878)</f>
        <v>9</v>
      </c>
    </row>
    <row r="1879" spans="1:6" x14ac:dyDescent="0.2">
      <c r="A1879">
        <v>2016</v>
      </c>
      <c r="B1879" s="13">
        <v>4178</v>
      </c>
      <c r="C1879" s="90" t="str">
        <f>VLOOKUP(B1879,'All Districts'!$A$3:$B$874,2,FALSE)</f>
        <v>Dalton-Nunda (Keshequa)</v>
      </c>
      <c r="D1879" s="16">
        <v>662861</v>
      </c>
      <c r="E1879">
        <f>VLOOKUP(C1879,'All Districts'!$B$3:$C$874,2,FALSE)</f>
        <v>3621450</v>
      </c>
      <c r="F1879" s="91">
        <f>COUNTIF($E$2:$E$7106,E1879)</f>
        <v>9</v>
      </c>
    </row>
    <row r="1880" spans="1:6" x14ac:dyDescent="0.2">
      <c r="A1880">
        <v>2017</v>
      </c>
      <c r="B1880" s="13">
        <v>4178</v>
      </c>
      <c r="C1880" s="90" t="str">
        <f>VLOOKUP(B1880,'All Districts'!$A$3:$B$874,2,FALSE)</f>
        <v>Dalton-Nunda (Keshequa)</v>
      </c>
      <c r="D1880" s="16">
        <v>613776</v>
      </c>
      <c r="E1880">
        <f>VLOOKUP(C1880,'All Districts'!$B$3:$C$874,2,FALSE)</f>
        <v>3621450</v>
      </c>
      <c r="F1880" s="91">
        <f>COUNTIF($E$2:$E$7106,E1880)</f>
        <v>9</v>
      </c>
    </row>
    <row r="1881" spans="1:6" x14ac:dyDescent="0.2">
      <c r="A1881" s="10">
        <v>2018</v>
      </c>
      <c r="B1881" s="13">
        <v>4178</v>
      </c>
      <c r="C1881" s="90" t="str">
        <f>VLOOKUP(B1881,'All Districts'!$A$3:$B$874,2,FALSE)</f>
        <v>Dalton-Nunda (Keshequa)</v>
      </c>
      <c r="D1881" s="15">
        <v>518088</v>
      </c>
      <c r="E1881">
        <f>VLOOKUP(C1881,'All Districts'!$B$3:$C$874,2,FALSE)</f>
        <v>3621450</v>
      </c>
      <c r="F1881" s="91">
        <f>COUNTIF($E$2:$E$7106,E1881)</f>
        <v>9</v>
      </c>
    </row>
    <row r="1882" spans="1:6" x14ac:dyDescent="0.2">
      <c r="A1882">
        <v>2019</v>
      </c>
      <c r="B1882" s="36">
        <v>4178</v>
      </c>
      <c r="C1882" s="90" t="str">
        <f>VLOOKUP(B1882,'All Districts'!$A$3:$B$874,2,FALSE)</f>
        <v>Dalton-Nunda (Keshequa)</v>
      </c>
      <c r="D1882" s="40">
        <v>565456</v>
      </c>
      <c r="E1882">
        <f>VLOOKUP(C1882,'All Districts'!$B$3:$C$874,2,FALSE)</f>
        <v>3621450</v>
      </c>
      <c r="F1882" s="91">
        <f>COUNTIF($E$2:$E$7106,E1882)</f>
        <v>9</v>
      </c>
    </row>
    <row r="1883" spans="1:6" x14ac:dyDescent="0.2">
      <c r="A1883">
        <v>2020</v>
      </c>
      <c r="B1883" s="36">
        <v>4178</v>
      </c>
      <c r="C1883" s="90" t="str">
        <f>VLOOKUP(B1883,'All Districts'!$A$3:$B$874,2,FALSE)</f>
        <v>Dalton-Nunda (Keshequa)</v>
      </c>
      <c r="D1883" s="40">
        <v>467141</v>
      </c>
      <c r="E1883">
        <f>VLOOKUP(C1883,'All Districts'!$B$3:$C$874,2,FALSE)</f>
        <v>3621450</v>
      </c>
      <c r="F1883" s="91">
        <f>COUNTIF($E$2:$E$7106,E1883)</f>
        <v>9</v>
      </c>
    </row>
    <row r="1884" spans="1:6" x14ac:dyDescent="0.2">
      <c r="A1884" s="10">
        <v>2021</v>
      </c>
      <c r="B1884" s="52">
        <v>4178</v>
      </c>
      <c r="C1884" s="90" t="str">
        <f>VLOOKUP(B1884,'All Districts'!$A$3:$B$874,2,FALSE)</f>
        <v>Dalton-Nunda (Keshequa)</v>
      </c>
      <c r="D1884" s="76">
        <v>509390</v>
      </c>
      <c r="E1884">
        <f>VLOOKUP(C1884,'All Districts'!$B$3:$C$874,2,FALSE)</f>
        <v>3621450</v>
      </c>
      <c r="F1884" s="91">
        <f>COUNTIF($E$2:$E$7106,E1884)</f>
        <v>9</v>
      </c>
    </row>
    <row r="1885" spans="1:6" x14ac:dyDescent="0.2">
      <c r="A1885">
        <v>2022</v>
      </c>
      <c r="B1885" s="36">
        <v>4178</v>
      </c>
      <c r="C1885" s="90" t="str">
        <f>VLOOKUP(B1885,'All Districts'!$A$3:$B$874,2,FALSE)</f>
        <v>Dalton-Nunda (Keshequa)</v>
      </c>
      <c r="D1885" s="82">
        <v>543231</v>
      </c>
      <c r="E1885">
        <f>VLOOKUP(C1885,'All Districts'!$B$3:$C$874,2,FALSE)</f>
        <v>3621450</v>
      </c>
      <c r="F1885" s="91">
        <f>COUNTIF($E$2:$E$7106,E1885)</f>
        <v>9</v>
      </c>
    </row>
    <row r="1886" spans="1:6" x14ac:dyDescent="0.2">
      <c r="A1886">
        <v>2023</v>
      </c>
      <c r="B1886" s="36">
        <v>4178</v>
      </c>
      <c r="C1886" s="90" t="str">
        <f>VLOOKUP(B1886,'All Districts'!$A$3:$B$874,2,FALSE)</f>
        <v>Dalton-Nunda (Keshequa)</v>
      </c>
      <c r="D1886" s="40">
        <v>587735</v>
      </c>
      <c r="E1886">
        <f>VLOOKUP(C1886,'All Districts'!$B$3:$C$874,2,FALSE)</f>
        <v>3621450</v>
      </c>
      <c r="F1886" s="91">
        <f>COUNTIF($E$2:$E$7106,E1886)</f>
        <v>9</v>
      </c>
    </row>
    <row r="1887" spans="1:6" x14ac:dyDescent="0.2">
      <c r="A1887">
        <v>2015</v>
      </c>
      <c r="B1887" s="13">
        <v>2080</v>
      </c>
      <c r="C1887" s="90" t="str">
        <f>VLOOKUP(B1887,'All Districts'!$A$3:$B$874,2,FALSE)</f>
        <v>Dansville</v>
      </c>
      <c r="D1887" s="14">
        <v>1779490</v>
      </c>
      <c r="E1887">
        <f>VLOOKUP(C1887,'All Districts'!$B$3:$C$874,2,FALSE)</f>
        <v>3608790</v>
      </c>
      <c r="F1887" s="91">
        <f>COUNTIF($E$2:$E$7106,E1887)</f>
        <v>9</v>
      </c>
    </row>
    <row r="1888" spans="1:6" x14ac:dyDescent="0.2">
      <c r="A1888">
        <v>2016</v>
      </c>
      <c r="B1888" s="13">
        <v>2080</v>
      </c>
      <c r="C1888" s="90" t="str">
        <f>VLOOKUP(B1888,'All Districts'!$A$3:$B$874,2,FALSE)</f>
        <v>Dansville</v>
      </c>
      <c r="D1888" s="16">
        <v>1326878</v>
      </c>
      <c r="E1888">
        <f>VLOOKUP(C1888,'All Districts'!$B$3:$C$874,2,FALSE)</f>
        <v>3608790</v>
      </c>
      <c r="F1888" s="91">
        <f>COUNTIF($E$2:$E$7106,E1888)</f>
        <v>9</v>
      </c>
    </row>
    <row r="1889" spans="1:6" x14ac:dyDescent="0.2">
      <c r="A1889">
        <v>2017</v>
      </c>
      <c r="B1889" s="13">
        <v>2080</v>
      </c>
      <c r="C1889" s="90" t="str">
        <f>VLOOKUP(B1889,'All Districts'!$A$3:$B$874,2,FALSE)</f>
        <v>Dansville</v>
      </c>
      <c r="D1889" s="16">
        <v>1199192</v>
      </c>
      <c r="E1889">
        <f>VLOOKUP(C1889,'All Districts'!$B$3:$C$874,2,FALSE)</f>
        <v>3608790</v>
      </c>
      <c r="F1889" s="91">
        <f>COUNTIF($E$2:$E$7106,E1889)</f>
        <v>9</v>
      </c>
    </row>
    <row r="1890" spans="1:6" x14ac:dyDescent="0.2">
      <c r="A1890" s="10">
        <v>2018</v>
      </c>
      <c r="B1890" s="13">
        <v>2080</v>
      </c>
      <c r="C1890" s="90" t="str">
        <f>VLOOKUP(B1890,'All Districts'!$A$3:$B$874,2,FALSE)</f>
        <v>Dansville</v>
      </c>
      <c r="D1890" s="15">
        <v>1021795</v>
      </c>
      <c r="E1890">
        <f>VLOOKUP(C1890,'All Districts'!$B$3:$C$874,2,FALSE)</f>
        <v>3608790</v>
      </c>
      <c r="F1890" s="91">
        <f>COUNTIF($E$2:$E$7106,E1890)</f>
        <v>9</v>
      </c>
    </row>
    <row r="1891" spans="1:6" x14ac:dyDescent="0.2">
      <c r="A1891">
        <v>2019</v>
      </c>
      <c r="B1891" s="36">
        <v>2080</v>
      </c>
      <c r="C1891" s="90" t="str">
        <f>VLOOKUP(B1891,'All Districts'!$A$3:$B$874,2,FALSE)</f>
        <v>Dansville</v>
      </c>
      <c r="D1891" s="40">
        <v>1074060</v>
      </c>
      <c r="E1891">
        <f>VLOOKUP(C1891,'All Districts'!$B$3:$C$874,2,FALSE)</f>
        <v>3608790</v>
      </c>
      <c r="F1891" s="91">
        <f>COUNTIF($E$2:$E$7106,E1891)</f>
        <v>9</v>
      </c>
    </row>
    <row r="1892" spans="1:6" x14ac:dyDescent="0.2">
      <c r="A1892">
        <v>2020</v>
      </c>
      <c r="B1892" s="36">
        <v>2080</v>
      </c>
      <c r="C1892" s="90" t="str">
        <f>VLOOKUP(B1892,'All Districts'!$A$3:$B$874,2,FALSE)</f>
        <v>Dansville</v>
      </c>
      <c r="D1892" s="40">
        <v>913694</v>
      </c>
      <c r="E1892">
        <f>VLOOKUP(C1892,'All Districts'!$B$3:$C$874,2,FALSE)</f>
        <v>3608790</v>
      </c>
      <c r="F1892" s="91">
        <f>COUNTIF($E$2:$E$7106,E1892)</f>
        <v>9</v>
      </c>
    </row>
    <row r="1893" spans="1:6" x14ac:dyDescent="0.2">
      <c r="A1893" s="10">
        <v>2021</v>
      </c>
      <c r="B1893" s="52">
        <v>2080</v>
      </c>
      <c r="C1893" s="90" t="str">
        <f>VLOOKUP(B1893,'All Districts'!$A$3:$B$874,2,FALSE)</f>
        <v>Dansville</v>
      </c>
      <c r="D1893" s="76">
        <v>977063</v>
      </c>
      <c r="E1893">
        <f>VLOOKUP(C1893,'All Districts'!$B$3:$C$874,2,FALSE)</f>
        <v>3608790</v>
      </c>
      <c r="F1893" s="91">
        <f>COUNTIF($E$2:$E$7106,E1893)</f>
        <v>9</v>
      </c>
    </row>
    <row r="1894" spans="1:6" x14ac:dyDescent="0.2">
      <c r="A1894">
        <v>2022</v>
      </c>
      <c r="B1894" s="36">
        <v>2080</v>
      </c>
      <c r="C1894" s="90" t="str">
        <f>VLOOKUP(B1894,'All Districts'!$A$3:$B$874,2,FALSE)</f>
        <v>Dansville</v>
      </c>
      <c r="D1894" s="82">
        <v>1074178</v>
      </c>
      <c r="E1894">
        <f>VLOOKUP(C1894,'All Districts'!$B$3:$C$874,2,FALSE)</f>
        <v>3608790</v>
      </c>
      <c r="F1894" s="91">
        <f>COUNTIF($E$2:$E$7106,E1894)</f>
        <v>9</v>
      </c>
    </row>
    <row r="1895" spans="1:6" x14ac:dyDescent="0.2">
      <c r="A1895">
        <v>2023</v>
      </c>
      <c r="B1895" s="36">
        <v>2080</v>
      </c>
      <c r="C1895" s="90" t="str">
        <f>VLOOKUP(B1895,'All Districts'!$A$3:$B$874,2,FALSE)</f>
        <v>Dansville</v>
      </c>
      <c r="D1895" s="40">
        <v>1136373</v>
      </c>
      <c r="E1895">
        <f>VLOOKUP(C1895,'All Districts'!$B$3:$C$874,2,FALSE)</f>
        <v>3608790</v>
      </c>
      <c r="F1895" s="91">
        <f>COUNTIF($E$2:$E$7106,E1895)</f>
        <v>9</v>
      </c>
    </row>
    <row r="1896" spans="1:6" x14ac:dyDescent="0.2">
      <c r="A1896">
        <v>2015</v>
      </c>
      <c r="B1896" s="13">
        <v>3528</v>
      </c>
      <c r="C1896" s="90" t="str">
        <f>VLOOKUP(B1896,'All Districts'!$A$3:$B$874,2,FALSE)</f>
        <v>De Ruyter</v>
      </c>
      <c r="D1896" s="14">
        <v>648885</v>
      </c>
      <c r="E1896">
        <f>VLOOKUP(C1896,'All Districts'!$B$3:$C$874,2,FALSE)</f>
        <v>3608850</v>
      </c>
      <c r="F1896" s="91">
        <f>COUNTIF($E$2:$E$7106,E1896)</f>
        <v>9</v>
      </c>
    </row>
    <row r="1897" spans="1:6" x14ac:dyDescent="0.2">
      <c r="A1897">
        <v>2016</v>
      </c>
      <c r="B1897" s="13">
        <v>3528</v>
      </c>
      <c r="C1897" s="90" t="str">
        <f>VLOOKUP(B1897,'All Districts'!$A$3:$B$874,2,FALSE)</f>
        <v>De Ruyter</v>
      </c>
      <c r="D1897" s="16">
        <v>499735</v>
      </c>
      <c r="E1897">
        <f>VLOOKUP(C1897,'All Districts'!$B$3:$C$874,2,FALSE)</f>
        <v>3608850</v>
      </c>
      <c r="F1897" s="91">
        <f>COUNTIF($E$2:$E$7106,E1897)</f>
        <v>9</v>
      </c>
    </row>
    <row r="1898" spans="1:6" x14ac:dyDescent="0.2">
      <c r="A1898">
        <v>2017</v>
      </c>
      <c r="B1898" s="13">
        <v>3528</v>
      </c>
      <c r="C1898" s="90" t="str">
        <f>VLOOKUP(B1898,'All Districts'!$A$3:$B$874,2,FALSE)</f>
        <v>De Ruyter</v>
      </c>
      <c r="D1898" s="16">
        <v>462061</v>
      </c>
      <c r="E1898">
        <f>VLOOKUP(C1898,'All Districts'!$B$3:$C$874,2,FALSE)</f>
        <v>3608850</v>
      </c>
      <c r="F1898" s="91">
        <f>COUNTIF($E$2:$E$7106,E1898)</f>
        <v>9</v>
      </c>
    </row>
    <row r="1899" spans="1:6" x14ac:dyDescent="0.2">
      <c r="A1899" s="10">
        <v>2018</v>
      </c>
      <c r="B1899" s="13">
        <v>3528</v>
      </c>
      <c r="C1899" s="90" t="str">
        <f>VLOOKUP(B1899,'All Districts'!$A$3:$B$874,2,FALSE)</f>
        <v>De Ruyter</v>
      </c>
      <c r="D1899" s="15">
        <v>359398</v>
      </c>
      <c r="E1899">
        <f>VLOOKUP(C1899,'All Districts'!$B$3:$C$874,2,FALSE)</f>
        <v>3608850</v>
      </c>
      <c r="F1899" s="91">
        <f>COUNTIF($E$2:$E$7106,E1899)</f>
        <v>9</v>
      </c>
    </row>
    <row r="1900" spans="1:6" x14ac:dyDescent="0.2">
      <c r="A1900">
        <v>2019</v>
      </c>
      <c r="B1900" s="36">
        <v>3528</v>
      </c>
      <c r="C1900" s="90" t="str">
        <f>VLOOKUP(B1900,'All Districts'!$A$3:$B$874,2,FALSE)</f>
        <v>De Ruyter</v>
      </c>
      <c r="D1900" s="40">
        <v>400234</v>
      </c>
      <c r="E1900">
        <f>VLOOKUP(C1900,'All Districts'!$B$3:$C$874,2,FALSE)</f>
        <v>3608850</v>
      </c>
      <c r="F1900" s="91">
        <f>COUNTIF($E$2:$E$7106,E1900)</f>
        <v>9</v>
      </c>
    </row>
    <row r="1901" spans="1:6" x14ac:dyDescent="0.2">
      <c r="A1901">
        <v>2020</v>
      </c>
      <c r="B1901" s="36">
        <v>3528</v>
      </c>
      <c r="C1901" s="90" t="str">
        <f>VLOOKUP(B1901,'All Districts'!$A$3:$B$874,2,FALSE)</f>
        <v>De Ruyter</v>
      </c>
      <c r="D1901" s="40">
        <v>352428</v>
      </c>
      <c r="E1901">
        <f>VLOOKUP(C1901,'All Districts'!$B$3:$C$874,2,FALSE)</f>
        <v>3608850</v>
      </c>
      <c r="F1901" s="91">
        <f>COUNTIF($E$2:$E$7106,E1901)</f>
        <v>9</v>
      </c>
    </row>
    <row r="1902" spans="1:6" x14ac:dyDescent="0.2">
      <c r="A1902" s="10">
        <v>2021</v>
      </c>
      <c r="B1902" s="55">
        <v>3528</v>
      </c>
      <c r="C1902" s="90" t="str">
        <f>VLOOKUP(B1902,'All Districts'!$A$3:$B$874,2,FALSE)</f>
        <v>De Ruyter</v>
      </c>
      <c r="D1902" s="75">
        <v>388071</v>
      </c>
      <c r="E1902">
        <f>VLOOKUP(C1902,'All Districts'!$B$3:$C$874,2,FALSE)</f>
        <v>3608850</v>
      </c>
      <c r="F1902" s="91">
        <f>COUNTIF($E$2:$E$7106,E1902)</f>
        <v>9</v>
      </c>
    </row>
    <row r="1903" spans="1:6" x14ac:dyDescent="0.2">
      <c r="A1903">
        <v>2022</v>
      </c>
      <c r="B1903" s="36">
        <v>3528</v>
      </c>
      <c r="C1903" s="90" t="str">
        <f>VLOOKUP(B1903,'All Districts'!$A$3:$B$874,2,FALSE)</f>
        <v>De Ruyter</v>
      </c>
      <c r="D1903" s="82">
        <v>416502</v>
      </c>
      <c r="E1903">
        <f>VLOOKUP(C1903,'All Districts'!$B$3:$C$874,2,FALSE)</f>
        <v>3608850</v>
      </c>
      <c r="F1903" s="91">
        <f>COUNTIF($E$2:$E$7106,E1903)</f>
        <v>9</v>
      </c>
    </row>
    <row r="1904" spans="1:6" x14ac:dyDescent="0.2">
      <c r="A1904">
        <v>2023</v>
      </c>
      <c r="B1904" s="36">
        <v>3528</v>
      </c>
      <c r="C1904" s="90" t="str">
        <f>VLOOKUP(B1904,'All Districts'!$A$3:$B$874,2,FALSE)</f>
        <v>De Ruyter</v>
      </c>
      <c r="D1904" s="40">
        <v>454937</v>
      </c>
      <c r="E1904">
        <f>VLOOKUP(C1904,'All Districts'!$B$3:$C$874,2,FALSE)</f>
        <v>3608850</v>
      </c>
      <c r="F1904" s="91">
        <f>COUNTIF($E$2:$E$7106,E1904)</f>
        <v>9</v>
      </c>
    </row>
    <row r="1905" spans="1:6" x14ac:dyDescent="0.2">
      <c r="A1905">
        <v>2015</v>
      </c>
      <c r="B1905" s="13">
        <v>2086</v>
      </c>
      <c r="C1905" s="90" t="str">
        <f>VLOOKUP(B1905,'All Districts'!$A$3:$B$874,2,FALSE)</f>
        <v>Deer Park</v>
      </c>
      <c r="D1905" s="14">
        <v>7966456</v>
      </c>
      <c r="E1905">
        <f>VLOOKUP(C1905,'All Districts'!$B$3:$C$874,2,FALSE)</f>
        <v>3608880</v>
      </c>
      <c r="F1905" s="91">
        <f>COUNTIF($E$2:$E$7106,E1905)</f>
        <v>9</v>
      </c>
    </row>
    <row r="1906" spans="1:6" x14ac:dyDescent="0.2">
      <c r="A1906">
        <v>2016</v>
      </c>
      <c r="B1906" s="13">
        <v>2086</v>
      </c>
      <c r="C1906" s="90" t="str">
        <f>VLOOKUP(B1906,'All Districts'!$A$3:$B$874,2,FALSE)</f>
        <v>Deer Park</v>
      </c>
      <c r="D1906" s="16">
        <v>6273981</v>
      </c>
      <c r="E1906">
        <f>VLOOKUP(C1906,'All Districts'!$B$3:$C$874,2,FALSE)</f>
        <v>3608880</v>
      </c>
      <c r="F1906" s="91">
        <f>COUNTIF($E$2:$E$7106,E1906)</f>
        <v>9</v>
      </c>
    </row>
    <row r="1907" spans="1:6" x14ac:dyDescent="0.2">
      <c r="A1907">
        <v>2017</v>
      </c>
      <c r="B1907" s="13">
        <v>2086</v>
      </c>
      <c r="C1907" s="90" t="str">
        <f>VLOOKUP(B1907,'All Districts'!$A$3:$B$874,2,FALSE)</f>
        <v>Deer Park</v>
      </c>
      <c r="D1907" s="16">
        <v>5639571</v>
      </c>
      <c r="E1907">
        <f>VLOOKUP(C1907,'All Districts'!$B$3:$C$874,2,FALSE)</f>
        <v>3608880</v>
      </c>
      <c r="F1907" s="91">
        <f>COUNTIF($E$2:$E$7106,E1907)</f>
        <v>9</v>
      </c>
    </row>
    <row r="1908" spans="1:6" x14ac:dyDescent="0.2">
      <c r="A1908" s="10">
        <v>2018</v>
      </c>
      <c r="B1908" s="13">
        <v>2086</v>
      </c>
      <c r="C1908" s="90" t="str">
        <f>VLOOKUP(B1908,'All Districts'!$A$3:$B$874,2,FALSE)</f>
        <v>Deer Park</v>
      </c>
      <c r="D1908" s="15">
        <v>4828630</v>
      </c>
      <c r="E1908">
        <f>VLOOKUP(C1908,'All Districts'!$B$3:$C$874,2,FALSE)</f>
        <v>3608880</v>
      </c>
      <c r="F1908" s="91">
        <f>COUNTIF($E$2:$E$7106,E1908)</f>
        <v>9</v>
      </c>
    </row>
    <row r="1909" spans="1:6" x14ac:dyDescent="0.2">
      <c r="A1909">
        <v>2019</v>
      </c>
      <c r="B1909" s="36">
        <v>2086</v>
      </c>
      <c r="C1909" s="90" t="str">
        <f>VLOOKUP(B1909,'All Districts'!$A$3:$B$874,2,FALSE)</f>
        <v>Deer Park</v>
      </c>
      <c r="D1909" s="40">
        <v>5284085</v>
      </c>
      <c r="E1909">
        <f>VLOOKUP(C1909,'All Districts'!$B$3:$C$874,2,FALSE)</f>
        <v>3608880</v>
      </c>
      <c r="F1909" s="91">
        <f>COUNTIF($E$2:$E$7106,E1909)</f>
        <v>9</v>
      </c>
    </row>
    <row r="1910" spans="1:6" x14ac:dyDescent="0.2">
      <c r="A1910">
        <v>2020</v>
      </c>
      <c r="B1910" s="36">
        <v>2086</v>
      </c>
      <c r="C1910" s="90" t="str">
        <f>VLOOKUP(B1910,'All Districts'!$A$3:$B$874,2,FALSE)</f>
        <v>Deer Park</v>
      </c>
      <c r="D1910" s="40">
        <v>4455128</v>
      </c>
      <c r="E1910">
        <f>VLOOKUP(C1910,'All Districts'!$B$3:$C$874,2,FALSE)</f>
        <v>3608880</v>
      </c>
      <c r="F1910" s="91">
        <f>COUNTIF($E$2:$E$7106,E1910)</f>
        <v>9</v>
      </c>
    </row>
    <row r="1911" spans="1:6" x14ac:dyDescent="0.2">
      <c r="A1911" s="10">
        <v>2021</v>
      </c>
      <c r="B1911" s="52">
        <v>2086</v>
      </c>
      <c r="C1911" s="90" t="str">
        <f>VLOOKUP(B1911,'All Districts'!$A$3:$B$874,2,FALSE)</f>
        <v>Deer Park</v>
      </c>
      <c r="D1911" s="76">
        <v>4782449</v>
      </c>
      <c r="E1911">
        <f>VLOOKUP(C1911,'All Districts'!$B$3:$C$874,2,FALSE)</f>
        <v>3608880</v>
      </c>
      <c r="F1911" s="91">
        <f>COUNTIF($E$2:$E$7106,E1911)</f>
        <v>9</v>
      </c>
    </row>
    <row r="1912" spans="1:6" x14ac:dyDescent="0.2">
      <c r="A1912">
        <v>2022</v>
      </c>
      <c r="B1912" s="36">
        <v>2086</v>
      </c>
      <c r="C1912" s="90" t="str">
        <f>VLOOKUP(B1912,'All Districts'!$A$3:$B$874,2,FALSE)</f>
        <v>Deer Park</v>
      </c>
      <c r="D1912" s="82">
        <v>5131178</v>
      </c>
      <c r="E1912">
        <f>VLOOKUP(C1912,'All Districts'!$B$3:$C$874,2,FALSE)</f>
        <v>3608880</v>
      </c>
      <c r="F1912" s="91">
        <f>COUNTIF($E$2:$E$7106,E1912)</f>
        <v>9</v>
      </c>
    </row>
    <row r="1913" spans="1:6" x14ac:dyDescent="0.2">
      <c r="A1913">
        <v>2023</v>
      </c>
      <c r="B1913" s="36">
        <v>2086</v>
      </c>
      <c r="C1913" s="90" t="str">
        <f>VLOOKUP(B1913,'All Districts'!$A$3:$B$874,2,FALSE)</f>
        <v>Deer Park</v>
      </c>
      <c r="D1913" s="40">
        <v>5512188</v>
      </c>
      <c r="E1913">
        <f>VLOOKUP(C1913,'All Districts'!$B$3:$C$874,2,FALSE)</f>
        <v>3608880</v>
      </c>
      <c r="F1913" s="91">
        <f>COUNTIF($E$2:$E$7106,E1913)</f>
        <v>9</v>
      </c>
    </row>
    <row r="1914" spans="1:6" x14ac:dyDescent="0.2">
      <c r="A1914">
        <v>2015</v>
      </c>
      <c r="B1914" s="13">
        <v>3577</v>
      </c>
      <c r="C1914" s="90" t="str">
        <f>VLOOKUP(B1914,'All Districts'!$A$3:$B$874,2,FALSE)</f>
        <v>Delaware Academy Central School District at Delhi</v>
      </c>
      <c r="D1914" s="14">
        <v>873812</v>
      </c>
      <c r="E1914">
        <f>VLOOKUP(C1914,'All Districts'!$B$3:$C$874,2,FALSE)</f>
        <v>3608910</v>
      </c>
      <c r="F1914" s="91">
        <f>COUNTIF($E$2:$E$7106,E1914)</f>
        <v>9</v>
      </c>
    </row>
    <row r="1915" spans="1:6" x14ac:dyDescent="0.2">
      <c r="A1915">
        <v>2016</v>
      </c>
      <c r="B1915" s="13">
        <v>3577</v>
      </c>
      <c r="C1915" s="90" t="str">
        <f>VLOOKUP(B1915,'All Districts'!$A$3:$B$874,2,FALSE)</f>
        <v>Delaware Academy Central School District at Delhi</v>
      </c>
      <c r="D1915" s="16">
        <v>685573</v>
      </c>
      <c r="E1915">
        <f>VLOOKUP(C1915,'All Districts'!$B$3:$C$874,2,FALSE)</f>
        <v>3608910</v>
      </c>
      <c r="F1915" s="91">
        <f>COUNTIF($E$2:$E$7106,E1915)</f>
        <v>9</v>
      </c>
    </row>
    <row r="1916" spans="1:6" x14ac:dyDescent="0.2">
      <c r="A1916">
        <v>2017</v>
      </c>
      <c r="B1916" s="13">
        <v>3577</v>
      </c>
      <c r="C1916" s="90" t="str">
        <f>VLOOKUP(B1916,'All Districts'!$A$3:$B$874,2,FALSE)</f>
        <v>Delaware Academy Central School District at Delhi</v>
      </c>
      <c r="D1916" s="16">
        <v>645754</v>
      </c>
      <c r="E1916">
        <f>VLOOKUP(C1916,'All Districts'!$B$3:$C$874,2,FALSE)</f>
        <v>3608910</v>
      </c>
      <c r="F1916" s="91">
        <f>COUNTIF($E$2:$E$7106,E1916)</f>
        <v>9</v>
      </c>
    </row>
    <row r="1917" spans="1:6" x14ac:dyDescent="0.2">
      <c r="A1917" s="10">
        <v>2018</v>
      </c>
      <c r="B1917" s="13">
        <v>3577</v>
      </c>
      <c r="C1917" s="90" t="str">
        <f>VLOOKUP(B1917,'All Districts'!$A$3:$B$874,2,FALSE)</f>
        <v>Delaware Academy Central School District at Delhi</v>
      </c>
      <c r="D1917" s="15">
        <v>554507</v>
      </c>
      <c r="E1917">
        <f>VLOOKUP(C1917,'All Districts'!$B$3:$C$874,2,FALSE)</f>
        <v>3608910</v>
      </c>
      <c r="F1917" s="91">
        <f>COUNTIF($E$2:$E$7106,E1917)</f>
        <v>9</v>
      </c>
    </row>
    <row r="1918" spans="1:6" x14ac:dyDescent="0.2">
      <c r="A1918">
        <v>2019</v>
      </c>
      <c r="B1918" s="36">
        <v>3577</v>
      </c>
      <c r="C1918" s="90" t="str">
        <f>VLOOKUP(B1918,'All Districts'!$A$3:$B$874,2,FALSE)</f>
        <v>Delaware Academy Central School District at Delhi</v>
      </c>
      <c r="D1918" s="40">
        <v>606523</v>
      </c>
      <c r="E1918">
        <f>VLOOKUP(C1918,'All Districts'!$B$3:$C$874,2,FALSE)</f>
        <v>3608910</v>
      </c>
      <c r="F1918" s="91">
        <f>COUNTIF($E$2:$E$7106,E1918)</f>
        <v>9</v>
      </c>
    </row>
    <row r="1919" spans="1:6" x14ac:dyDescent="0.2">
      <c r="A1919">
        <v>2020</v>
      </c>
      <c r="B1919" s="36">
        <v>3577</v>
      </c>
      <c r="C1919" s="90" t="str">
        <f>VLOOKUP(B1919,'All Districts'!$A$3:$B$874,2,FALSE)</f>
        <v>Delaware Academy Central School District at Delhi</v>
      </c>
      <c r="D1919" s="40">
        <v>514166</v>
      </c>
      <c r="E1919">
        <f>VLOOKUP(C1919,'All Districts'!$B$3:$C$874,2,FALSE)</f>
        <v>3608910</v>
      </c>
      <c r="F1919" s="91">
        <f>COUNTIF($E$2:$E$7106,E1919)</f>
        <v>9</v>
      </c>
    </row>
    <row r="1920" spans="1:6" x14ac:dyDescent="0.2">
      <c r="A1920" s="10">
        <v>2021</v>
      </c>
      <c r="B1920" s="55">
        <v>3577</v>
      </c>
      <c r="C1920" s="90" t="str">
        <f>VLOOKUP(B1920,'All Districts'!$A$3:$B$874,2,FALSE)</f>
        <v>Delaware Academy Central School District at Delhi</v>
      </c>
      <c r="D1920" s="76">
        <v>575913</v>
      </c>
      <c r="E1920">
        <f>VLOOKUP(C1920,'All Districts'!$B$3:$C$874,2,FALSE)</f>
        <v>3608910</v>
      </c>
      <c r="F1920" s="91">
        <f>COUNTIF($E$2:$E$7106,E1920)</f>
        <v>9</v>
      </c>
    </row>
    <row r="1921" spans="1:6" x14ac:dyDescent="0.2">
      <c r="A1921">
        <v>2022</v>
      </c>
      <c r="B1921" s="36">
        <v>3577</v>
      </c>
      <c r="C1921" s="90" t="str">
        <f>VLOOKUP(B1921,'All Districts'!$A$3:$B$874,2,FALSE)</f>
        <v>Delaware Academy Central School District at Delhi</v>
      </c>
      <c r="D1921" s="82">
        <v>591104</v>
      </c>
      <c r="E1921">
        <f>VLOOKUP(C1921,'All Districts'!$B$3:$C$874,2,FALSE)</f>
        <v>3608910</v>
      </c>
      <c r="F1921" s="91">
        <f>COUNTIF($E$2:$E$7106,E1921)</f>
        <v>9</v>
      </c>
    </row>
    <row r="1922" spans="1:6" x14ac:dyDescent="0.2">
      <c r="A1922">
        <v>2023</v>
      </c>
      <c r="B1922" s="36">
        <v>3577</v>
      </c>
      <c r="C1922" s="90" t="str">
        <f>VLOOKUP(B1922,'All Districts'!$A$3:$B$874,2,FALSE)</f>
        <v>Delaware Academy Central School District at Delhi</v>
      </c>
      <c r="D1922" s="40">
        <v>645688</v>
      </c>
      <c r="E1922">
        <f>VLOOKUP(C1922,'All Districts'!$B$3:$C$874,2,FALSE)</f>
        <v>3608910</v>
      </c>
      <c r="F1922" s="91">
        <f>COUNTIF($E$2:$E$7106,E1922)</f>
        <v>9</v>
      </c>
    </row>
    <row r="1923" spans="1:6" x14ac:dyDescent="0.2">
      <c r="A1923">
        <v>2015</v>
      </c>
      <c r="B1923" s="13">
        <v>6022</v>
      </c>
      <c r="C1923" s="90" t="str">
        <f>VLOOKUP(B1923,'All Districts'!$A$3:$B$874,2,FALSE)</f>
        <v>Delaware-Chenango-Madison-Otsego</v>
      </c>
      <c r="D1923" s="15">
        <v>1680494</v>
      </c>
      <c r="E1923">
        <f>VLOOKUP(C1923,'All Districts'!$B$3:$C$874,2,FALSE)</f>
        <v>3680260</v>
      </c>
      <c r="F1923" s="91">
        <f>COUNTIF($E$2:$E$7106,E1923)</f>
        <v>9</v>
      </c>
    </row>
    <row r="1924" spans="1:6" x14ac:dyDescent="0.2">
      <c r="A1924">
        <v>2016</v>
      </c>
      <c r="B1924" s="13">
        <v>6022</v>
      </c>
      <c r="C1924" s="90" t="str">
        <f>VLOOKUP(B1924,'All Districts'!$A$3:$B$874,2,FALSE)</f>
        <v>Delaware-Chenango-Madison-Otsego</v>
      </c>
      <c r="D1924" s="16">
        <v>1345104</v>
      </c>
      <c r="E1924">
        <f>VLOOKUP(C1924,'All Districts'!$B$3:$C$874,2,FALSE)</f>
        <v>3680260</v>
      </c>
      <c r="F1924" s="91">
        <f>COUNTIF($E$2:$E$7106,E1924)</f>
        <v>9</v>
      </c>
    </row>
    <row r="1925" spans="1:6" x14ac:dyDescent="0.2">
      <c r="A1925">
        <v>2017</v>
      </c>
      <c r="B1925" s="13">
        <v>6022</v>
      </c>
      <c r="C1925" s="90" t="str">
        <f>VLOOKUP(B1925,'All Districts'!$A$3:$B$874,2,FALSE)</f>
        <v>Delaware-Chenango-Madison-Otsego</v>
      </c>
      <c r="D1925" s="16">
        <v>1142381</v>
      </c>
      <c r="E1925">
        <f>VLOOKUP(C1925,'All Districts'!$B$3:$C$874,2,FALSE)</f>
        <v>3680260</v>
      </c>
      <c r="F1925" s="91">
        <f>COUNTIF($E$2:$E$7106,E1925)</f>
        <v>9</v>
      </c>
    </row>
    <row r="1926" spans="1:6" x14ac:dyDescent="0.2">
      <c r="A1926" s="10">
        <v>2018</v>
      </c>
      <c r="B1926" s="13">
        <v>6022</v>
      </c>
      <c r="C1926" s="90" t="str">
        <f>VLOOKUP(B1926,'All Districts'!$A$3:$B$874,2,FALSE)</f>
        <v>Delaware-Chenango-Madison-Otsego</v>
      </c>
      <c r="D1926" s="15">
        <v>937792</v>
      </c>
      <c r="E1926">
        <f>VLOOKUP(C1926,'All Districts'!$B$3:$C$874,2,FALSE)</f>
        <v>3680260</v>
      </c>
      <c r="F1926" s="91">
        <f>COUNTIF($E$2:$E$7106,E1926)</f>
        <v>9</v>
      </c>
    </row>
    <row r="1927" spans="1:6" x14ac:dyDescent="0.2">
      <c r="A1927">
        <v>2019</v>
      </c>
      <c r="B1927" s="36">
        <v>6022</v>
      </c>
      <c r="C1927" s="90" t="str">
        <f>VLOOKUP(B1927,'All Districts'!$A$3:$B$874,2,FALSE)</f>
        <v>Delaware-Chenango-Madison-Otsego</v>
      </c>
      <c r="D1927" s="40">
        <v>1067667</v>
      </c>
      <c r="E1927">
        <f>VLOOKUP(C1927,'All Districts'!$B$3:$C$874,2,FALSE)</f>
        <v>3680260</v>
      </c>
      <c r="F1927" s="91">
        <f>COUNTIF($E$2:$E$7106,E1927)</f>
        <v>9</v>
      </c>
    </row>
    <row r="1928" spans="1:6" x14ac:dyDescent="0.2">
      <c r="A1928">
        <v>2020</v>
      </c>
      <c r="B1928" s="36">
        <v>6022</v>
      </c>
      <c r="C1928" s="90" t="str">
        <f>VLOOKUP(B1928,'All Districts'!$A$3:$B$874,2,FALSE)</f>
        <v>Delaware-Chenango-Madison-Otsego</v>
      </c>
      <c r="D1928" s="40">
        <v>874387</v>
      </c>
      <c r="E1928">
        <f>VLOOKUP(C1928,'All Districts'!$B$3:$C$874,2,FALSE)</f>
        <v>3680260</v>
      </c>
      <c r="F1928" s="91">
        <f>COUNTIF($E$2:$E$7106,E1928)</f>
        <v>9</v>
      </c>
    </row>
    <row r="1929" spans="1:6" x14ac:dyDescent="0.2">
      <c r="A1929" s="10">
        <v>2021</v>
      </c>
      <c r="B1929" s="52">
        <v>6022</v>
      </c>
      <c r="C1929" s="90" t="str">
        <f>VLOOKUP(B1929,'All Districts'!$A$3:$B$874,2,FALSE)</f>
        <v>Delaware-Chenango-Madison-Otsego</v>
      </c>
      <c r="D1929" s="76">
        <v>922966</v>
      </c>
      <c r="E1929">
        <f>VLOOKUP(C1929,'All Districts'!$B$3:$C$874,2,FALSE)</f>
        <v>3680260</v>
      </c>
      <c r="F1929" s="91">
        <f>COUNTIF($E$2:$E$7106,E1929)</f>
        <v>9</v>
      </c>
    </row>
    <row r="1930" spans="1:6" x14ac:dyDescent="0.2">
      <c r="A1930">
        <v>2022</v>
      </c>
      <c r="B1930" s="36">
        <v>6022</v>
      </c>
      <c r="C1930" s="90" t="str">
        <f>VLOOKUP(B1930,'All Districts'!$A$3:$B$874,2,FALSE)</f>
        <v>Delaware-Chenango-Madison-Otsego</v>
      </c>
      <c r="D1930" s="82">
        <v>992779</v>
      </c>
      <c r="E1930">
        <f>VLOOKUP(C1930,'All Districts'!$B$3:$C$874,2,FALSE)</f>
        <v>3680260</v>
      </c>
      <c r="F1930" s="91">
        <f>COUNTIF($E$2:$E$7106,E1930)</f>
        <v>9</v>
      </c>
    </row>
    <row r="1931" spans="1:6" x14ac:dyDescent="0.2">
      <c r="A1931">
        <v>2023</v>
      </c>
      <c r="B1931" s="36">
        <v>6022</v>
      </c>
      <c r="C1931" s="90" t="str">
        <f>VLOOKUP(B1931,'All Districts'!$A$3:$B$874,2,FALSE)</f>
        <v>Delaware-Chenango-Madison-Otsego</v>
      </c>
      <c r="D1931" s="40">
        <v>1034095</v>
      </c>
      <c r="E1931">
        <f>VLOOKUP(C1931,'All Districts'!$B$3:$C$874,2,FALSE)</f>
        <v>3680260</v>
      </c>
      <c r="F1931" s="91">
        <f>COUNTIF($E$2:$E$7106,E1931)</f>
        <v>9</v>
      </c>
    </row>
    <row r="1932" spans="1:6" x14ac:dyDescent="0.2">
      <c r="A1932">
        <v>2015</v>
      </c>
      <c r="B1932" s="13">
        <v>2085</v>
      </c>
      <c r="C1932" s="90" t="str">
        <f>VLOOKUP(B1932,'All Districts'!$A$3:$B$874,2,FALSE)</f>
        <v>Depew</v>
      </c>
      <c r="D1932" s="14">
        <v>2306072</v>
      </c>
      <c r="E1932">
        <f>VLOOKUP(C1932,'All Districts'!$B$3:$C$874,2,FALSE)</f>
        <v>3609030</v>
      </c>
      <c r="F1932" s="91">
        <f>COUNTIF($E$2:$E$7106,E1932)</f>
        <v>9</v>
      </c>
    </row>
    <row r="1933" spans="1:6" x14ac:dyDescent="0.2">
      <c r="A1933">
        <v>2016</v>
      </c>
      <c r="B1933" s="13">
        <v>2085</v>
      </c>
      <c r="C1933" s="90" t="str">
        <f>VLOOKUP(B1933,'All Districts'!$A$3:$B$874,2,FALSE)</f>
        <v>Depew</v>
      </c>
      <c r="D1933" s="16">
        <v>1790307</v>
      </c>
      <c r="E1933">
        <f>VLOOKUP(C1933,'All Districts'!$B$3:$C$874,2,FALSE)</f>
        <v>3609030</v>
      </c>
      <c r="F1933" s="91">
        <f>COUNTIF($E$2:$E$7106,E1933)</f>
        <v>9</v>
      </c>
    </row>
    <row r="1934" spans="1:6" x14ac:dyDescent="0.2">
      <c r="A1934">
        <v>2017</v>
      </c>
      <c r="B1934" s="13">
        <v>2085</v>
      </c>
      <c r="C1934" s="90" t="str">
        <f>VLOOKUP(B1934,'All Districts'!$A$3:$B$874,2,FALSE)</f>
        <v>Depew</v>
      </c>
      <c r="D1934" s="16">
        <v>1613117</v>
      </c>
      <c r="E1934">
        <f>VLOOKUP(C1934,'All Districts'!$B$3:$C$874,2,FALSE)</f>
        <v>3609030</v>
      </c>
      <c r="F1934" s="91">
        <f>COUNTIF($E$2:$E$7106,E1934)</f>
        <v>9</v>
      </c>
    </row>
    <row r="1935" spans="1:6" x14ac:dyDescent="0.2">
      <c r="A1935" s="10">
        <v>2018</v>
      </c>
      <c r="B1935" s="13">
        <v>2085</v>
      </c>
      <c r="C1935" s="90" t="str">
        <f>VLOOKUP(B1935,'All Districts'!$A$3:$B$874,2,FALSE)</f>
        <v>Depew</v>
      </c>
      <c r="D1935" s="15">
        <v>1397678</v>
      </c>
      <c r="E1935">
        <f>VLOOKUP(C1935,'All Districts'!$B$3:$C$874,2,FALSE)</f>
        <v>3609030</v>
      </c>
      <c r="F1935" s="91">
        <f>COUNTIF($E$2:$E$7106,E1935)</f>
        <v>9</v>
      </c>
    </row>
    <row r="1936" spans="1:6" x14ac:dyDescent="0.2">
      <c r="A1936">
        <v>2019</v>
      </c>
      <c r="B1936" s="36">
        <v>2085</v>
      </c>
      <c r="C1936" s="90" t="str">
        <f>VLOOKUP(B1936,'All Districts'!$A$3:$B$874,2,FALSE)</f>
        <v>Depew</v>
      </c>
      <c r="D1936" s="40">
        <v>1578263</v>
      </c>
      <c r="E1936">
        <f>VLOOKUP(C1936,'All Districts'!$B$3:$C$874,2,FALSE)</f>
        <v>3609030</v>
      </c>
      <c r="F1936" s="91">
        <f>COUNTIF($E$2:$E$7106,E1936)</f>
        <v>9</v>
      </c>
    </row>
    <row r="1937" spans="1:6" x14ac:dyDescent="0.2">
      <c r="A1937">
        <v>2020</v>
      </c>
      <c r="B1937" s="36">
        <v>2085</v>
      </c>
      <c r="C1937" s="90" t="str">
        <f>VLOOKUP(B1937,'All Districts'!$A$3:$B$874,2,FALSE)</f>
        <v>Depew</v>
      </c>
      <c r="D1937" s="40">
        <v>1348355</v>
      </c>
      <c r="E1937">
        <f>VLOOKUP(C1937,'All Districts'!$B$3:$C$874,2,FALSE)</f>
        <v>3609030</v>
      </c>
      <c r="F1937" s="91">
        <f>COUNTIF($E$2:$E$7106,E1937)</f>
        <v>9</v>
      </c>
    </row>
    <row r="1938" spans="1:6" x14ac:dyDescent="0.2">
      <c r="A1938" s="10">
        <v>2021</v>
      </c>
      <c r="B1938" s="55">
        <v>2085</v>
      </c>
      <c r="C1938" s="90" t="str">
        <f>VLOOKUP(B1938,'All Districts'!$A$3:$B$874,2,FALSE)</f>
        <v>Depew</v>
      </c>
      <c r="D1938" s="76">
        <v>1479404</v>
      </c>
      <c r="E1938">
        <f>VLOOKUP(C1938,'All Districts'!$B$3:$C$874,2,FALSE)</f>
        <v>3609030</v>
      </c>
      <c r="F1938" s="91">
        <f>COUNTIF($E$2:$E$7106,E1938)</f>
        <v>9</v>
      </c>
    </row>
    <row r="1939" spans="1:6" x14ac:dyDescent="0.2">
      <c r="A1939">
        <v>2022</v>
      </c>
      <c r="B1939" s="36">
        <v>2085</v>
      </c>
      <c r="C1939" s="90" t="str">
        <f>VLOOKUP(B1939,'All Districts'!$A$3:$B$874,2,FALSE)</f>
        <v>Depew</v>
      </c>
      <c r="D1939" s="82">
        <v>1557571</v>
      </c>
      <c r="E1939">
        <f>VLOOKUP(C1939,'All Districts'!$B$3:$C$874,2,FALSE)</f>
        <v>3609030</v>
      </c>
      <c r="F1939" s="91">
        <f>COUNTIF($E$2:$E$7106,E1939)</f>
        <v>9</v>
      </c>
    </row>
    <row r="1940" spans="1:6" x14ac:dyDescent="0.2">
      <c r="A1940">
        <v>2023</v>
      </c>
      <c r="B1940" s="36">
        <v>2085</v>
      </c>
      <c r="C1940" s="90" t="str">
        <f>VLOOKUP(B1940,'All Districts'!$A$3:$B$874,2,FALSE)</f>
        <v>Depew</v>
      </c>
      <c r="D1940" s="40">
        <v>1786270</v>
      </c>
      <c r="E1940">
        <f>VLOOKUP(C1940,'All Districts'!$B$3:$C$874,2,FALSE)</f>
        <v>3609030</v>
      </c>
      <c r="F1940" s="91">
        <f>COUNTIF($E$2:$E$7106,E1940)</f>
        <v>9</v>
      </c>
    </row>
    <row r="1941" spans="1:6" x14ac:dyDescent="0.2">
      <c r="A1941">
        <v>2015</v>
      </c>
      <c r="B1941" s="13">
        <v>3128</v>
      </c>
      <c r="C1941" s="90" t="str">
        <f>VLOOKUP(B1941,'All Districts'!$A$3:$B$874,2,FALSE)</f>
        <v>Deposit</v>
      </c>
      <c r="D1941" s="14">
        <v>742227</v>
      </c>
      <c r="E1941">
        <f>VLOOKUP(C1941,'All Districts'!$B$3:$C$874,2,FALSE)</f>
        <v>3609060</v>
      </c>
      <c r="F1941" s="91">
        <f>COUNTIF($E$2:$E$7106,E1941)</f>
        <v>9</v>
      </c>
    </row>
    <row r="1942" spans="1:6" x14ac:dyDescent="0.2">
      <c r="A1942">
        <v>2016</v>
      </c>
      <c r="B1942" s="13">
        <v>3128</v>
      </c>
      <c r="C1942" s="90" t="str">
        <f>VLOOKUP(B1942,'All Districts'!$A$3:$B$874,2,FALSE)</f>
        <v>Deposit</v>
      </c>
      <c r="D1942" s="16">
        <v>561032</v>
      </c>
      <c r="E1942">
        <f>VLOOKUP(C1942,'All Districts'!$B$3:$C$874,2,FALSE)</f>
        <v>3609060</v>
      </c>
      <c r="F1942" s="91">
        <f>COUNTIF($E$2:$E$7106,E1942)</f>
        <v>9</v>
      </c>
    </row>
    <row r="1943" spans="1:6" x14ac:dyDescent="0.2">
      <c r="A1943">
        <v>2017</v>
      </c>
      <c r="B1943" s="13">
        <v>3128</v>
      </c>
      <c r="C1943" s="90" t="str">
        <f>VLOOKUP(B1943,'All Districts'!$A$3:$B$874,2,FALSE)</f>
        <v>Deposit</v>
      </c>
      <c r="D1943" s="16">
        <v>525834</v>
      </c>
      <c r="E1943">
        <f>VLOOKUP(C1943,'All Districts'!$B$3:$C$874,2,FALSE)</f>
        <v>3609060</v>
      </c>
      <c r="F1943" s="91">
        <f>COUNTIF($E$2:$E$7106,E1943)</f>
        <v>9</v>
      </c>
    </row>
    <row r="1944" spans="1:6" x14ac:dyDescent="0.2">
      <c r="A1944" s="10">
        <v>2018</v>
      </c>
      <c r="B1944" s="13">
        <v>3128</v>
      </c>
      <c r="C1944" s="90" t="str">
        <f>VLOOKUP(B1944,'All Districts'!$A$3:$B$874,2,FALSE)</f>
        <v>Deposit</v>
      </c>
      <c r="D1944" s="15">
        <v>436379</v>
      </c>
      <c r="E1944">
        <f>VLOOKUP(C1944,'All Districts'!$B$3:$C$874,2,FALSE)</f>
        <v>3609060</v>
      </c>
      <c r="F1944" s="91">
        <f>COUNTIF($E$2:$E$7106,E1944)</f>
        <v>9</v>
      </c>
    </row>
    <row r="1945" spans="1:6" x14ac:dyDescent="0.2">
      <c r="A1945">
        <v>2019</v>
      </c>
      <c r="B1945" s="36">
        <v>3128</v>
      </c>
      <c r="C1945" s="90" t="str">
        <f>VLOOKUP(B1945,'All Districts'!$A$3:$B$874,2,FALSE)</f>
        <v>Deposit</v>
      </c>
      <c r="D1945" s="40">
        <v>465593</v>
      </c>
      <c r="E1945">
        <f>VLOOKUP(C1945,'All Districts'!$B$3:$C$874,2,FALSE)</f>
        <v>3609060</v>
      </c>
      <c r="F1945" s="91">
        <f>COUNTIF($E$2:$E$7106,E1945)</f>
        <v>9</v>
      </c>
    </row>
    <row r="1946" spans="1:6" x14ac:dyDescent="0.2">
      <c r="A1946">
        <v>2020</v>
      </c>
      <c r="B1946" s="36">
        <v>3128</v>
      </c>
      <c r="C1946" s="90" t="str">
        <f>VLOOKUP(B1946,'All Districts'!$A$3:$B$874,2,FALSE)</f>
        <v>Deposit</v>
      </c>
      <c r="D1946" s="40">
        <v>392215</v>
      </c>
      <c r="E1946">
        <f>VLOOKUP(C1946,'All Districts'!$B$3:$C$874,2,FALSE)</f>
        <v>3609060</v>
      </c>
      <c r="F1946" s="91">
        <f>COUNTIF($E$2:$E$7106,E1946)</f>
        <v>9</v>
      </c>
    </row>
    <row r="1947" spans="1:6" x14ac:dyDescent="0.2">
      <c r="A1947" s="10">
        <v>2021</v>
      </c>
      <c r="B1947" s="55">
        <v>3128</v>
      </c>
      <c r="C1947" s="90" t="str">
        <f>VLOOKUP(B1947,'All Districts'!$A$3:$B$874,2,FALSE)</f>
        <v>Deposit</v>
      </c>
      <c r="D1947" s="76">
        <v>424995</v>
      </c>
      <c r="E1947">
        <f>VLOOKUP(C1947,'All Districts'!$B$3:$C$874,2,FALSE)</f>
        <v>3609060</v>
      </c>
      <c r="F1947" s="91">
        <f>COUNTIF($E$2:$E$7106,E1947)</f>
        <v>9</v>
      </c>
    </row>
    <row r="1948" spans="1:6" x14ac:dyDescent="0.2">
      <c r="A1948">
        <v>2022</v>
      </c>
      <c r="B1948" s="36">
        <v>3128</v>
      </c>
      <c r="C1948" s="90" t="str">
        <f>VLOOKUP(B1948,'All Districts'!$A$3:$B$874,2,FALSE)</f>
        <v>Deposit</v>
      </c>
      <c r="D1948" s="82">
        <v>466055</v>
      </c>
      <c r="E1948">
        <f>VLOOKUP(C1948,'All Districts'!$B$3:$C$874,2,FALSE)</f>
        <v>3609060</v>
      </c>
      <c r="F1948" s="91">
        <f>COUNTIF($E$2:$E$7106,E1948)</f>
        <v>9</v>
      </c>
    </row>
    <row r="1949" spans="1:6" x14ac:dyDescent="0.2">
      <c r="A1949">
        <v>2023</v>
      </c>
      <c r="B1949" s="36">
        <v>3128</v>
      </c>
      <c r="C1949" s="90" t="str">
        <f>VLOOKUP(B1949,'All Districts'!$A$3:$B$874,2,FALSE)</f>
        <v>Deposit</v>
      </c>
      <c r="D1949" s="40">
        <v>541400</v>
      </c>
      <c r="E1949">
        <f>VLOOKUP(C1949,'All Districts'!$B$3:$C$874,2,FALSE)</f>
        <v>3609060</v>
      </c>
      <c r="F1949" s="91">
        <f>COUNTIF($E$2:$E$7106,E1949)</f>
        <v>9</v>
      </c>
    </row>
    <row r="1950" spans="1:6" x14ac:dyDescent="0.2">
      <c r="A1950">
        <v>2015</v>
      </c>
      <c r="B1950" s="13">
        <v>8429</v>
      </c>
      <c r="C1950" s="90" t="str">
        <f>VLOOKUP(B1950,'All Districts'!$A$3:$B$874,2,FALSE)</f>
        <v>Discovery</v>
      </c>
      <c r="D1950" s="16">
        <v>276971</v>
      </c>
      <c r="E1950">
        <f>VLOOKUP(C1950,'All Districts'!$B$3:$C$874,2,FALSE)</f>
        <v>3601046</v>
      </c>
      <c r="F1950" s="91">
        <f>COUNTIF($E$2:$E$7106,E1950)</f>
        <v>9</v>
      </c>
    </row>
    <row r="1951" spans="1:6" x14ac:dyDescent="0.2">
      <c r="A1951">
        <v>2016</v>
      </c>
      <c r="B1951" s="13">
        <v>8429</v>
      </c>
      <c r="C1951" s="90" t="str">
        <f>VLOOKUP(B1951,'All Districts'!$A$3:$B$874,2,FALSE)</f>
        <v>Discovery</v>
      </c>
      <c r="D1951" s="16">
        <v>236672</v>
      </c>
      <c r="E1951">
        <f>VLOOKUP(C1951,'All Districts'!$B$3:$C$874,2,FALSE)</f>
        <v>3601046</v>
      </c>
      <c r="F1951" s="91">
        <f>COUNTIF($E$2:$E$7106,E1951)</f>
        <v>9</v>
      </c>
    </row>
    <row r="1952" spans="1:6" x14ac:dyDescent="0.2">
      <c r="A1952">
        <v>2017</v>
      </c>
      <c r="B1952" s="13">
        <v>8429</v>
      </c>
      <c r="C1952" s="90" t="str">
        <f>VLOOKUP(B1952,'All Districts'!$A$3:$B$874,2,FALSE)</f>
        <v>Discovery</v>
      </c>
      <c r="D1952" s="16">
        <v>190019</v>
      </c>
      <c r="E1952">
        <f>VLOOKUP(C1952,'All Districts'!$B$3:$C$874,2,FALSE)</f>
        <v>3601046</v>
      </c>
      <c r="F1952" s="91">
        <f>COUNTIF($E$2:$E$7106,E1952)</f>
        <v>9</v>
      </c>
    </row>
    <row r="1953" spans="1:6" x14ac:dyDescent="0.2">
      <c r="A1953" s="10">
        <v>2018</v>
      </c>
      <c r="B1953" s="13">
        <v>8429</v>
      </c>
      <c r="C1953" s="90" t="str">
        <f>VLOOKUP(B1953,'All Districts'!$A$3:$B$874,2,FALSE)</f>
        <v>Discovery</v>
      </c>
      <c r="D1953" s="15">
        <v>224210</v>
      </c>
      <c r="E1953">
        <f>VLOOKUP(C1953,'All Districts'!$B$3:$C$874,2,FALSE)</f>
        <v>3601046</v>
      </c>
      <c r="F1953" s="91">
        <f>COUNTIF($E$2:$E$7106,E1953)</f>
        <v>9</v>
      </c>
    </row>
    <row r="1954" spans="1:6" x14ac:dyDescent="0.2">
      <c r="A1954">
        <v>2019</v>
      </c>
      <c r="B1954" s="36">
        <v>8429</v>
      </c>
      <c r="C1954" s="90" t="str">
        <f>VLOOKUP(B1954,'All Districts'!$A$3:$B$874,2,FALSE)</f>
        <v>Discovery</v>
      </c>
      <c r="D1954" s="40">
        <v>250756</v>
      </c>
      <c r="E1954">
        <f>VLOOKUP(C1954,'All Districts'!$B$3:$C$874,2,FALSE)</f>
        <v>3601046</v>
      </c>
      <c r="F1954" s="91">
        <f>COUNTIF($E$2:$E$7106,E1954)</f>
        <v>9</v>
      </c>
    </row>
    <row r="1955" spans="1:6" x14ac:dyDescent="0.2">
      <c r="A1955">
        <v>2020</v>
      </c>
      <c r="B1955" s="36">
        <v>8429</v>
      </c>
      <c r="C1955" s="90" t="str">
        <f>VLOOKUP(B1955,'All Districts'!$A$3:$B$874,2,FALSE)</f>
        <v>Discovery</v>
      </c>
      <c r="D1955" s="40">
        <v>198475</v>
      </c>
      <c r="E1955">
        <f>VLOOKUP(C1955,'All Districts'!$B$3:$C$874,2,FALSE)</f>
        <v>3601046</v>
      </c>
      <c r="F1955" s="91">
        <f>COUNTIF($E$2:$E$7106,E1955)</f>
        <v>9</v>
      </c>
    </row>
    <row r="1956" spans="1:6" x14ac:dyDescent="0.2">
      <c r="A1956" s="10">
        <v>2021</v>
      </c>
      <c r="B1956" s="55">
        <v>8429</v>
      </c>
      <c r="C1956" s="90" t="str">
        <f>VLOOKUP(B1956,'All Districts'!$A$3:$B$874,2,FALSE)</f>
        <v>Discovery</v>
      </c>
      <c r="D1956" s="75">
        <v>188321</v>
      </c>
      <c r="E1956">
        <f>VLOOKUP(C1956,'All Districts'!$B$3:$C$874,2,FALSE)</f>
        <v>3601046</v>
      </c>
      <c r="F1956" s="91">
        <f>COUNTIF($E$2:$E$7106,E1956)</f>
        <v>9</v>
      </c>
    </row>
    <row r="1957" spans="1:6" x14ac:dyDescent="0.2">
      <c r="A1957">
        <v>2022</v>
      </c>
      <c r="B1957" s="36">
        <v>8429</v>
      </c>
      <c r="C1957" s="90" t="str">
        <f>VLOOKUP(B1957,'All Districts'!$A$3:$B$874,2,FALSE)</f>
        <v>Discovery</v>
      </c>
      <c r="D1957" s="82">
        <v>226392</v>
      </c>
      <c r="E1957">
        <f>VLOOKUP(C1957,'All Districts'!$B$3:$C$874,2,FALSE)</f>
        <v>3601046</v>
      </c>
      <c r="F1957" s="91">
        <f>COUNTIF($E$2:$E$7106,E1957)</f>
        <v>9</v>
      </c>
    </row>
    <row r="1958" spans="1:6" x14ac:dyDescent="0.2">
      <c r="A1958">
        <v>2023</v>
      </c>
      <c r="B1958" s="36">
        <v>8429</v>
      </c>
      <c r="C1958" s="90" t="str">
        <f>VLOOKUP(B1958,'All Districts'!$A$3:$B$874,2,FALSE)</f>
        <v>Discovery</v>
      </c>
      <c r="D1958" s="40">
        <v>233975</v>
      </c>
      <c r="E1958">
        <f>VLOOKUP(C1958,'All Districts'!$B$3:$C$874,2,FALSE)</f>
        <v>3601046</v>
      </c>
      <c r="F1958" s="91">
        <f>COUNTIF($E$2:$E$7106,E1958)</f>
        <v>9</v>
      </c>
    </row>
    <row r="1959" spans="1:6" x14ac:dyDescent="0.2">
      <c r="A1959">
        <v>2015</v>
      </c>
      <c r="B1959" s="13">
        <v>2095</v>
      </c>
      <c r="C1959" s="90" t="str">
        <f>VLOOKUP(B1959,'All Districts'!$A$3:$B$874,2,FALSE)</f>
        <v>Dobbs Ferry</v>
      </c>
      <c r="D1959" s="14">
        <v>3330899</v>
      </c>
      <c r="E1959">
        <f>VLOOKUP(C1959,'All Districts'!$B$3:$C$874,2,FALSE)</f>
        <v>3609120</v>
      </c>
      <c r="F1959" s="91">
        <f>COUNTIF($E$2:$E$7106,E1959)</f>
        <v>9</v>
      </c>
    </row>
    <row r="1960" spans="1:6" x14ac:dyDescent="0.2">
      <c r="A1960">
        <v>2016</v>
      </c>
      <c r="B1960" s="13">
        <v>2095</v>
      </c>
      <c r="C1960" s="90" t="str">
        <f>VLOOKUP(B1960,'All Districts'!$A$3:$B$874,2,FALSE)</f>
        <v>Dobbs Ferry</v>
      </c>
      <c r="D1960" s="16">
        <v>2591924</v>
      </c>
      <c r="E1960">
        <f>VLOOKUP(C1960,'All Districts'!$B$3:$C$874,2,FALSE)</f>
        <v>3609120</v>
      </c>
      <c r="F1960" s="91">
        <f>COUNTIF($E$2:$E$7106,E1960)</f>
        <v>9</v>
      </c>
    </row>
    <row r="1961" spans="1:6" x14ac:dyDescent="0.2">
      <c r="A1961">
        <v>2017</v>
      </c>
      <c r="B1961" s="13">
        <v>2095</v>
      </c>
      <c r="C1961" s="90" t="str">
        <f>VLOOKUP(B1961,'All Districts'!$A$3:$B$874,2,FALSE)</f>
        <v>Dobbs Ferry</v>
      </c>
      <c r="D1961" s="16">
        <v>2392548</v>
      </c>
      <c r="E1961">
        <f>VLOOKUP(C1961,'All Districts'!$B$3:$C$874,2,FALSE)</f>
        <v>3609120</v>
      </c>
      <c r="F1961" s="91">
        <f>COUNTIF($E$2:$E$7106,E1961)</f>
        <v>9</v>
      </c>
    </row>
    <row r="1962" spans="1:6" x14ac:dyDescent="0.2">
      <c r="A1962" s="10">
        <v>2018</v>
      </c>
      <c r="B1962" s="13">
        <v>2095</v>
      </c>
      <c r="C1962" s="90" t="str">
        <f>VLOOKUP(B1962,'All Districts'!$A$3:$B$874,2,FALSE)</f>
        <v>Dobbs Ferry</v>
      </c>
      <c r="D1962" s="15">
        <v>2074993</v>
      </c>
      <c r="E1962">
        <f>VLOOKUP(C1962,'All Districts'!$B$3:$C$874,2,FALSE)</f>
        <v>3609120</v>
      </c>
      <c r="F1962" s="91">
        <f>COUNTIF($E$2:$E$7106,E1962)</f>
        <v>9</v>
      </c>
    </row>
    <row r="1963" spans="1:6" x14ac:dyDescent="0.2">
      <c r="A1963">
        <v>2019</v>
      </c>
      <c r="B1963" s="36">
        <v>2095</v>
      </c>
      <c r="C1963" s="90" t="str">
        <f>VLOOKUP(B1963,'All Districts'!$A$3:$B$874,2,FALSE)</f>
        <v>Dobbs Ferry</v>
      </c>
      <c r="D1963" s="40">
        <v>2357016</v>
      </c>
      <c r="E1963">
        <f>VLOOKUP(C1963,'All Districts'!$B$3:$C$874,2,FALSE)</f>
        <v>3609120</v>
      </c>
      <c r="F1963" s="91">
        <f>COUNTIF($E$2:$E$7106,E1963)</f>
        <v>9</v>
      </c>
    </row>
    <row r="1964" spans="1:6" x14ac:dyDescent="0.2">
      <c r="A1964">
        <v>2020</v>
      </c>
      <c r="B1964" s="36">
        <v>2095</v>
      </c>
      <c r="C1964" s="90" t="str">
        <f>VLOOKUP(B1964,'All Districts'!$A$3:$B$874,2,FALSE)</f>
        <v>Dobbs Ferry</v>
      </c>
      <c r="D1964" s="40">
        <v>2044384</v>
      </c>
      <c r="E1964">
        <f>VLOOKUP(C1964,'All Districts'!$B$3:$C$874,2,FALSE)</f>
        <v>3609120</v>
      </c>
      <c r="F1964" s="91">
        <f>COUNTIF($E$2:$E$7106,E1964)</f>
        <v>9</v>
      </c>
    </row>
    <row r="1965" spans="1:6" x14ac:dyDescent="0.2">
      <c r="A1965" s="10">
        <v>2021</v>
      </c>
      <c r="B1965" s="52">
        <v>2095</v>
      </c>
      <c r="C1965" s="90" t="str">
        <f>VLOOKUP(B1965,'All Districts'!$A$3:$B$874,2,FALSE)</f>
        <v>Dobbs Ferry</v>
      </c>
      <c r="D1965" s="76">
        <v>2207006</v>
      </c>
      <c r="E1965">
        <f>VLOOKUP(C1965,'All Districts'!$B$3:$C$874,2,FALSE)</f>
        <v>3609120</v>
      </c>
      <c r="F1965" s="91">
        <f>COUNTIF($E$2:$E$7106,E1965)</f>
        <v>9</v>
      </c>
    </row>
    <row r="1966" spans="1:6" x14ac:dyDescent="0.2">
      <c r="A1966">
        <v>2022</v>
      </c>
      <c r="B1966" s="36">
        <v>2095</v>
      </c>
      <c r="C1966" s="90" t="str">
        <f>VLOOKUP(B1966,'All Districts'!$A$3:$B$874,2,FALSE)</f>
        <v>Dobbs Ferry</v>
      </c>
      <c r="D1966" s="82">
        <v>2387338</v>
      </c>
      <c r="E1966">
        <f>VLOOKUP(C1966,'All Districts'!$B$3:$C$874,2,FALSE)</f>
        <v>3609120</v>
      </c>
      <c r="F1966" s="91">
        <f>COUNTIF($E$2:$E$7106,E1966)</f>
        <v>9</v>
      </c>
    </row>
    <row r="1967" spans="1:6" x14ac:dyDescent="0.2">
      <c r="A1967">
        <v>2023</v>
      </c>
      <c r="B1967" s="36">
        <v>2095</v>
      </c>
      <c r="C1967" s="90" t="str">
        <f>VLOOKUP(B1967,'All Districts'!$A$3:$B$874,2,FALSE)</f>
        <v>Dobbs Ferry</v>
      </c>
      <c r="D1967" s="40">
        <v>2564878</v>
      </c>
      <c r="E1967">
        <f>VLOOKUP(C1967,'All Districts'!$B$3:$C$874,2,FALSE)</f>
        <v>3609120</v>
      </c>
      <c r="F1967" s="91">
        <f>COUNTIF($E$2:$E$7106,E1967)</f>
        <v>9</v>
      </c>
    </row>
    <row r="1968" spans="1:6" x14ac:dyDescent="0.2">
      <c r="A1968">
        <v>2015</v>
      </c>
      <c r="B1968" s="13">
        <v>4027</v>
      </c>
      <c r="C1968" s="90" t="str">
        <f>VLOOKUP(B1968,'All Districts'!$A$3:$B$874,2,FALSE)</f>
        <v>Dolgeville</v>
      </c>
      <c r="D1968" s="14">
        <v>1142095</v>
      </c>
      <c r="E1968">
        <f>VLOOKUP(C1968,'All Districts'!$B$3:$C$874,2,FALSE)</f>
        <v>3600001</v>
      </c>
      <c r="F1968" s="91">
        <f>COUNTIF($E$2:$E$7106,E1968)</f>
        <v>9</v>
      </c>
    </row>
    <row r="1969" spans="1:6" x14ac:dyDescent="0.2">
      <c r="A1969">
        <v>2016</v>
      </c>
      <c r="B1969" s="13">
        <v>4027</v>
      </c>
      <c r="C1969" s="90" t="str">
        <f>VLOOKUP(B1969,'All Districts'!$A$3:$B$874,2,FALSE)</f>
        <v>Dolgeville</v>
      </c>
      <c r="D1969" s="16">
        <v>872478</v>
      </c>
      <c r="E1969">
        <f>VLOOKUP(C1969,'All Districts'!$B$3:$C$874,2,FALSE)</f>
        <v>3600001</v>
      </c>
      <c r="F1969" s="91">
        <f>COUNTIF($E$2:$E$7106,E1969)</f>
        <v>9</v>
      </c>
    </row>
    <row r="1970" spans="1:6" x14ac:dyDescent="0.2">
      <c r="A1970">
        <v>2017</v>
      </c>
      <c r="B1970" s="13">
        <v>4027</v>
      </c>
      <c r="C1970" s="90" t="str">
        <f>VLOOKUP(B1970,'All Districts'!$A$3:$B$874,2,FALSE)</f>
        <v>Dolgeville</v>
      </c>
      <c r="D1970" s="16">
        <v>775929</v>
      </c>
      <c r="E1970">
        <f>VLOOKUP(C1970,'All Districts'!$B$3:$C$874,2,FALSE)</f>
        <v>3600001</v>
      </c>
      <c r="F1970" s="91">
        <f>COUNTIF($E$2:$E$7106,E1970)</f>
        <v>9</v>
      </c>
    </row>
    <row r="1971" spans="1:6" x14ac:dyDescent="0.2">
      <c r="A1971" s="10">
        <v>2018</v>
      </c>
      <c r="B1971" s="13">
        <v>4027</v>
      </c>
      <c r="C1971" s="90" t="str">
        <f>VLOOKUP(B1971,'All Districts'!$A$3:$B$874,2,FALSE)</f>
        <v>Dolgeville</v>
      </c>
      <c r="D1971" s="15">
        <v>693984</v>
      </c>
      <c r="E1971">
        <f>VLOOKUP(C1971,'All Districts'!$B$3:$C$874,2,FALSE)</f>
        <v>3600001</v>
      </c>
      <c r="F1971" s="91">
        <f>COUNTIF($E$2:$E$7106,E1971)</f>
        <v>9</v>
      </c>
    </row>
    <row r="1972" spans="1:6" x14ac:dyDescent="0.2">
      <c r="A1972">
        <v>2019</v>
      </c>
      <c r="B1972" s="36">
        <v>4027</v>
      </c>
      <c r="C1972" s="90" t="str">
        <f>VLOOKUP(B1972,'All Districts'!$A$3:$B$874,2,FALSE)</f>
        <v>Dolgeville</v>
      </c>
      <c r="D1972" s="40">
        <v>772985</v>
      </c>
      <c r="E1972">
        <f>VLOOKUP(C1972,'All Districts'!$B$3:$C$874,2,FALSE)</f>
        <v>3600001</v>
      </c>
      <c r="F1972" s="91">
        <f>COUNTIF($E$2:$E$7106,E1972)</f>
        <v>9</v>
      </c>
    </row>
    <row r="1973" spans="1:6" x14ac:dyDescent="0.2">
      <c r="A1973">
        <v>2020</v>
      </c>
      <c r="B1973" s="36">
        <v>4027</v>
      </c>
      <c r="C1973" s="90" t="str">
        <f>VLOOKUP(B1973,'All Districts'!$A$3:$B$874,2,FALSE)</f>
        <v>Dolgeville</v>
      </c>
      <c r="D1973" s="40">
        <v>552277</v>
      </c>
      <c r="E1973">
        <f>VLOOKUP(C1973,'All Districts'!$B$3:$C$874,2,FALSE)</f>
        <v>3600001</v>
      </c>
      <c r="F1973" s="91">
        <f>COUNTIF($E$2:$E$7106,E1973)</f>
        <v>9</v>
      </c>
    </row>
    <row r="1974" spans="1:6" x14ac:dyDescent="0.2">
      <c r="A1974" s="10">
        <v>2021</v>
      </c>
      <c r="B1974" s="52">
        <v>4027</v>
      </c>
      <c r="C1974" s="90" t="str">
        <f>VLOOKUP(B1974,'All Districts'!$A$3:$B$874,2,FALSE)</f>
        <v>Dolgeville</v>
      </c>
      <c r="D1974" s="76">
        <v>571362</v>
      </c>
      <c r="E1974">
        <f>VLOOKUP(C1974,'All Districts'!$B$3:$C$874,2,FALSE)</f>
        <v>3600001</v>
      </c>
      <c r="F1974" s="91">
        <f>COUNTIF($E$2:$E$7106,E1974)</f>
        <v>9</v>
      </c>
    </row>
    <row r="1975" spans="1:6" x14ac:dyDescent="0.2">
      <c r="A1975">
        <v>2022</v>
      </c>
      <c r="B1975" s="36">
        <v>4027</v>
      </c>
      <c r="C1975" s="90" t="str">
        <f>VLOOKUP(B1975,'All Districts'!$A$3:$B$874,2,FALSE)</f>
        <v>Dolgeville</v>
      </c>
      <c r="D1975" s="82">
        <v>646191</v>
      </c>
      <c r="E1975">
        <f>VLOOKUP(C1975,'All Districts'!$B$3:$C$874,2,FALSE)</f>
        <v>3600001</v>
      </c>
      <c r="F1975" s="91">
        <f>COUNTIF($E$2:$E$7106,E1975)</f>
        <v>9</v>
      </c>
    </row>
    <row r="1976" spans="1:6" x14ac:dyDescent="0.2">
      <c r="A1976">
        <v>2023</v>
      </c>
      <c r="B1976" s="36">
        <v>4027</v>
      </c>
      <c r="C1976" s="90" t="str">
        <f>VLOOKUP(B1976,'All Districts'!$A$3:$B$874,2,FALSE)</f>
        <v>Dolgeville</v>
      </c>
      <c r="D1976" s="40">
        <v>665800</v>
      </c>
      <c r="E1976">
        <f>VLOOKUP(C1976,'All Districts'!$B$3:$C$874,2,FALSE)</f>
        <v>3600001</v>
      </c>
      <c r="F1976" s="91">
        <f>COUNTIF($E$2:$E$7106,E1976)</f>
        <v>9</v>
      </c>
    </row>
    <row r="1977" spans="1:6" x14ac:dyDescent="0.2">
      <c r="A1977">
        <v>2015</v>
      </c>
      <c r="B1977" s="13">
        <v>3626</v>
      </c>
      <c r="C1977" s="90" t="str">
        <f>VLOOKUP(B1977,'All Districts'!$A$3:$B$874,2,FALSE)</f>
        <v>Dover</v>
      </c>
      <c r="D1977" s="14">
        <v>1975675</v>
      </c>
      <c r="E1977">
        <f>VLOOKUP(C1977,'All Districts'!$B$3:$C$874,2,FALSE)</f>
        <v>3609210</v>
      </c>
      <c r="F1977" s="91">
        <f>COUNTIF($E$2:$E$7106,E1977)</f>
        <v>9</v>
      </c>
    </row>
    <row r="1978" spans="1:6" x14ac:dyDescent="0.2">
      <c r="A1978">
        <v>2016</v>
      </c>
      <c r="B1978" s="13">
        <v>3626</v>
      </c>
      <c r="C1978" s="90" t="str">
        <f>VLOOKUP(B1978,'All Districts'!$A$3:$B$874,2,FALSE)</f>
        <v>Dover</v>
      </c>
      <c r="D1978" s="16">
        <v>1530473</v>
      </c>
      <c r="E1978">
        <f>VLOOKUP(C1978,'All Districts'!$B$3:$C$874,2,FALSE)</f>
        <v>3609210</v>
      </c>
      <c r="F1978" s="91">
        <f>COUNTIF($E$2:$E$7106,E1978)</f>
        <v>9</v>
      </c>
    </row>
    <row r="1979" spans="1:6" x14ac:dyDescent="0.2">
      <c r="A1979">
        <v>2017</v>
      </c>
      <c r="B1979" s="13">
        <v>3626</v>
      </c>
      <c r="C1979" s="90" t="str">
        <f>VLOOKUP(B1979,'All Districts'!$A$3:$B$874,2,FALSE)</f>
        <v>Dover</v>
      </c>
      <c r="D1979" s="16">
        <v>1374287</v>
      </c>
      <c r="E1979">
        <f>VLOOKUP(C1979,'All Districts'!$B$3:$C$874,2,FALSE)</f>
        <v>3609210</v>
      </c>
      <c r="F1979" s="91">
        <f>COUNTIF($E$2:$E$7106,E1979)</f>
        <v>9</v>
      </c>
    </row>
    <row r="1980" spans="1:6" x14ac:dyDescent="0.2">
      <c r="A1980" s="10">
        <v>2018</v>
      </c>
      <c r="B1980" s="13">
        <v>3626</v>
      </c>
      <c r="C1980" s="90" t="str">
        <f>VLOOKUP(B1980,'All Districts'!$A$3:$B$874,2,FALSE)</f>
        <v>Dover</v>
      </c>
      <c r="D1980" s="15">
        <v>1168485</v>
      </c>
      <c r="E1980">
        <f>VLOOKUP(C1980,'All Districts'!$B$3:$C$874,2,FALSE)</f>
        <v>3609210</v>
      </c>
      <c r="F1980" s="91">
        <f>COUNTIF($E$2:$E$7106,E1980)</f>
        <v>9</v>
      </c>
    </row>
    <row r="1981" spans="1:6" x14ac:dyDescent="0.2">
      <c r="A1981">
        <v>2019</v>
      </c>
      <c r="B1981" s="36">
        <v>3626</v>
      </c>
      <c r="C1981" s="90" t="str">
        <f>VLOOKUP(B1981,'All Districts'!$A$3:$B$874,2,FALSE)</f>
        <v>Dover</v>
      </c>
      <c r="D1981" s="40">
        <v>1331588</v>
      </c>
      <c r="E1981">
        <f>VLOOKUP(C1981,'All Districts'!$B$3:$C$874,2,FALSE)</f>
        <v>3609210</v>
      </c>
      <c r="F1981" s="91">
        <f>COUNTIF($E$2:$E$7106,E1981)</f>
        <v>9</v>
      </c>
    </row>
    <row r="1982" spans="1:6" x14ac:dyDescent="0.2">
      <c r="A1982">
        <v>2020</v>
      </c>
      <c r="B1982" s="36">
        <v>3626</v>
      </c>
      <c r="C1982" s="90" t="str">
        <f>VLOOKUP(B1982,'All Districts'!$A$3:$B$874,2,FALSE)</f>
        <v>Dover</v>
      </c>
      <c r="D1982" s="40">
        <v>1129839</v>
      </c>
      <c r="E1982">
        <f>VLOOKUP(C1982,'All Districts'!$B$3:$C$874,2,FALSE)</f>
        <v>3609210</v>
      </c>
      <c r="F1982" s="91">
        <f>COUNTIF($E$2:$E$7106,E1982)</f>
        <v>9</v>
      </c>
    </row>
    <row r="1983" spans="1:6" x14ac:dyDescent="0.2">
      <c r="A1983" s="10">
        <v>2021</v>
      </c>
      <c r="B1983" s="52">
        <v>3626</v>
      </c>
      <c r="C1983" s="90" t="str">
        <f>VLOOKUP(B1983,'All Districts'!$A$3:$B$874,2,FALSE)</f>
        <v>Dover</v>
      </c>
      <c r="D1983" s="76">
        <v>1240950</v>
      </c>
      <c r="E1983">
        <f>VLOOKUP(C1983,'All Districts'!$B$3:$C$874,2,FALSE)</f>
        <v>3609210</v>
      </c>
      <c r="F1983" s="91">
        <f>COUNTIF($E$2:$E$7106,E1983)</f>
        <v>9</v>
      </c>
    </row>
    <row r="1984" spans="1:6" x14ac:dyDescent="0.2">
      <c r="A1984">
        <v>2022</v>
      </c>
      <c r="B1984" s="36">
        <v>3626</v>
      </c>
      <c r="C1984" s="90" t="str">
        <f>VLOOKUP(B1984,'All Districts'!$A$3:$B$874,2,FALSE)</f>
        <v>Dover</v>
      </c>
      <c r="D1984" s="82">
        <v>1400485</v>
      </c>
      <c r="E1984">
        <f>VLOOKUP(C1984,'All Districts'!$B$3:$C$874,2,FALSE)</f>
        <v>3609210</v>
      </c>
      <c r="F1984" s="91">
        <f>COUNTIF($E$2:$E$7106,E1984)</f>
        <v>9</v>
      </c>
    </row>
    <row r="1985" spans="1:6" x14ac:dyDescent="0.2">
      <c r="A1985">
        <v>2023</v>
      </c>
      <c r="B1985" s="36">
        <v>3626</v>
      </c>
      <c r="C1985" s="90" t="str">
        <f>VLOOKUP(B1985,'All Districts'!$A$3:$B$874,2,FALSE)</f>
        <v>Dover</v>
      </c>
      <c r="D1985" s="40">
        <v>1567035</v>
      </c>
      <c r="E1985">
        <f>VLOOKUP(C1985,'All Districts'!$B$3:$C$874,2,FALSE)</f>
        <v>3609210</v>
      </c>
      <c r="F1985" s="91">
        <f>COUNTIF($E$2:$E$7106,E1985)</f>
        <v>9</v>
      </c>
    </row>
    <row r="1986" spans="1:6" x14ac:dyDescent="0.2">
      <c r="A1986">
        <v>2015</v>
      </c>
      <c r="B1986" s="13">
        <v>3576</v>
      </c>
      <c r="C1986" s="90" t="str">
        <f>VLOOKUP(B1986,'All Districts'!$A$3:$B$874,2,FALSE)</f>
        <v>Downsville</v>
      </c>
      <c r="D1986" s="14">
        <v>418481</v>
      </c>
      <c r="E1986">
        <f>VLOOKUP(C1986,'All Districts'!$B$3:$C$874,2,FALSE)</f>
        <v>3609240</v>
      </c>
      <c r="F1986" s="91">
        <f>COUNTIF($E$2:$E$7106,E1986)</f>
        <v>9</v>
      </c>
    </row>
    <row r="1987" spans="1:6" x14ac:dyDescent="0.2">
      <c r="A1987">
        <v>2016</v>
      </c>
      <c r="B1987" s="13">
        <v>3576</v>
      </c>
      <c r="C1987" s="90" t="str">
        <f>VLOOKUP(B1987,'All Districts'!$A$3:$B$874,2,FALSE)</f>
        <v>Downsville</v>
      </c>
      <c r="D1987" s="16">
        <v>317054</v>
      </c>
      <c r="E1987">
        <f>VLOOKUP(C1987,'All Districts'!$B$3:$C$874,2,FALSE)</f>
        <v>3609240</v>
      </c>
      <c r="F1987" s="91">
        <f>COUNTIF($E$2:$E$7106,E1987)</f>
        <v>9</v>
      </c>
    </row>
    <row r="1988" spans="1:6" x14ac:dyDescent="0.2">
      <c r="A1988">
        <v>2017</v>
      </c>
      <c r="B1988" s="13">
        <v>3576</v>
      </c>
      <c r="C1988" s="90" t="str">
        <f>VLOOKUP(B1988,'All Districts'!$A$3:$B$874,2,FALSE)</f>
        <v>Downsville</v>
      </c>
      <c r="D1988" s="16">
        <v>294999</v>
      </c>
      <c r="E1988">
        <f>VLOOKUP(C1988,'All Districts'!$B$3:$C$874,2,FALSE)</f>
        <v>3609240</v>
      </c>
      <c r="F1988" s="91">
        <f>COUNTIF($E$2:$E$7106,E1988)</f>
        <v>9</v>
      </c>
    </row>
    <row r="1989" spans="1:6" x14ac:dyDescent="0.2">
      <c r="A1989" s="10">
        <v>2018</v>
      </c>
      <c r="B1989" s="13">
        <v>3576</v>
      </c>
      <c r="C1989" s="90" t="str">
        <f>VLOOKUP(B1989,'All Districts'!$A$3:$B$874,2,FALSE)</f>
        <v>Downsville</v>
      </c>
      <c r="D1989" s="15">
        <v>244343</v>
      </c>
      <c r="E1989">
        <f>VLOOKUP(C1989,'All Districts'!$B$3:$C$874,2,FALSE)</f>
        <v>3609240</v>
      </c>
      <c r="F1989" s="91">
        <f>COUNTIF($E$2:$E$7106,E1989)</f>
        <v>9</v>
      </c>
    </row>
    <row r="1990" spans="1:6" x14ac:dyDescent="0.2">
      <c r="A1990">
        <v>2019</v>
      </c>
      <c r="B1990" s="36">
        <v>3576</v>
      </c>
      <c r="C1990" s="90" t="str">
        <f>VLOOKUP(B1990,'All Districts'!$A$3:$B$874,2,FALSE)</f>
        <v>Downsville</v>
      </c>
      <c r="D1990" s="40">
        <v>274298</v>
      </c>
      <c r="E1990">
        <f>VLOOKUP(C1990,'All Districts'!$B$3:$C$874,2,FALSE)</f>
        <v>3609240</v>
      </c>
      <c r="F1990" s="91">
        <f>COUNTIF($E$2:$E$7106,E1990)</f>
        <v>9</v>
      </c>
    </row>
    <row r="1991" spans="1:6" x14ac:dyDescent="0.2">
      <c r="A1991">
        <v>2020</v>
      </c>
      <c r="B1991" s="36">
        <v>3576</v>
      </c>
      <c r="C1991" s="90" t="str">
        <f>VLOOKUP(B1991,'All Districts'!$A$3:$B$874,2,FALSE)</f>
        <v>Downsville</v>
      </c>
      <c r="D1991" s="40">
        <v>224293</v>
      </c>
      <c r="E1991">
        <f>VLOOKUP(C1991,'All Districts'!$B$3:$C$874,2,FALSE)</f>
        <v>3609240</v>
      </c>
      <c r="F1991" s="91">
        <f>COUNTIF($E$2:$E$7106,E1991)</f>
        <v>9</v>
      </c>
    </row>
    <row r="1992" spans="1:6" x14ac:dyDescent="0.2">
      <c r="A1992" s="10">
        <v>2021</v>
      </c>
      <c r="B1992" s="55">
        <v>3576</v>
      </c>
      <c r="C1992" s="90" t="str">
        <f>VLOOKUP(B1992,'All Districts'!$A$3:$B$874,2,FALSE)</f>
        <v>Downsville</v>
      </c>
      <c r="D1992" s="75">
        <v>244022</v>
      </c>
      <c r="E1992">
        <f>VLOOKUP(C1992,'All Districts'!$B$3:$C$874,2,FALSE)</f>
        <v>3609240</v>
      </c>
      <c r="F1992" s="91">
        <f>COUNTIF($E$2:$E$7106,E1992)</f>
        <v>9</v>
      </c>
    </row>
    <row r="1993" spans="1:6" x14ac:dyDescent="0.2">
      <c r="A1993">
        <v>2022</v>
      </c>
      <c r="B1993" s="36">
        <v>3576</v>
      </c>
      <c r="C1993" s="90" t="str">
        <f>VLOOKUP(B1993,'All Districts'!$A$3:$B$874,2,FALSE)</f>
        <v>Downsville</v>
      </c>
      <c r="D1993" s="82">
        <v>280752</v>
      </c>
      <c r="E1993">
        <f>VLOOKUP(C1993,'All Districts'!$B$3:$C$874,2,FALSE)</f>
        <v>3609240</v>
      </c>
      <c r="F1993" s="91">
        <f>COUNTIF($E$2:$E$7106,E1993)</f>
        <v>9</v>
      </c>
    </row>
    <row r="1994" spans="1:6" x14ac:dyDescent="0.2">
      <c r="A1994">
        <v>2023</v>
      </c>
      <c r="B1994" s="36">
        <v>3576</v>
      </c>
      <c r="C1994" s="90" t="str">
        <f>VLOOKUP(B1994,'All Districts'!$A$3:$B$874,2,FALSE)</f>
        <v>Downsville</v>
      </c>
      <c r="D1994" s="40">
        <v>295585</v>
      </c>
      <c r="E1994">
        <f>VLOOKUP(C1994,'All Districts'!$B$3:$C$874,2,FALSE)</f>
        <v>3609240</v>
      </c>
      <c r="F1994" s="91">
        <f>COUNTIF($E$2:$E$7106,E1994)</f>
        <v>9</v>
      </c>
    </row>
    <row r="1995" spans="1:6" x14ac:dyDescent="0.2">
      <c r="A1995">
        <v>2015</v>
      </c>
      <c r="B1995" s="13">
        <v>2104</v>
      </c>
      <c r="C1995" s="90" t="str">
        <f>VLOOKUP(B1995,'All Districts'!$A$3:$B$874,2,FALSE)</f>
        <v>Dryden</v>
      </c>
      <c r="D1995" s="14">
        <v>2026480</v>
      </c>
      <c r="E1995">
        <f>VLOOKUP(C1995,'All Districts'!$B$3:$C$874,2,FALSE)</f>
        <v>3609330</v>
      </c>
      <c r="F1995" s="91">
        <f>COUNTIF($E$2:$E$7106,E1995)</f>
        <v>9</v>
      </c>
    </row>
    <row r="1996" spans="1:6" x14ac:dyDescent="0.2">
      <c r="A1996">
        <v>2016</v>
      </c>
      <c r="B1996" s="13">
        <v>2104</v>
      </c>
      <c r="C1996" s="90" t="str">
        <f>VLOOKUP(B1996,'All Districts'!$A$3:$B$874,2,FALSE)</f>
        <v>Dryden</v>
      </c>
      <c r="D1996" s="16">
        <v>1558937</v>
      </c>
      <c r="E1996">
        <f>VLOOKUP(C1996,'All Districts'!$B$3:$C$874,2,FALSE)</f>
        <v>3609330</v>
      </c>
      <c r="F1996" s="91">
        <f>COUNTIF($E$2:$E$7106,E1996)</f>
        <v>9</v>
      </c>
    </row>
    <row r="1997" spans="1:6" x14ac:dyDescent="0.2">
      <c r="A1997">
        <v>2017</v>
      </c>
      <c r="B1997" s="13">
        <v>2104</v>
      </c>
      <c r="C1997" s="90" t="str">
        <f>VLOOKUP(B1997,'All Districts'!$A$3:$B$874,2,FALSE)</f>
        <v>Dryden</v>
      </c>
      <c r="D1997" s="16">
        <v>1385370</v>
      </c>
      <c r="E1997">
        <f>VLOOKUP(C1997,'All Districts'!$B$3:$C$874,2,FALSE)</f>
        <v>3609330</v>
      </c>
      <c r="F1997" s="91">
        <f>COUNTIF($E$2:$E$7106,E1997)</f>
        <v>9</v>
      </c>
    </row>
    <row r="1998" spans="1:6" x14ac:dyDescent="0.2">
      <c r="A1998" s="10">
        <v>2018</v>
      </c>
      <c r="B1998" s="13">
        <v>2104</v>
      </c>
      <c r="C1998" s="90" t="str">
        <f>VLOOKUP(B1998,'All Districts'!$A$3:$B$874,2,FALSE)</f>
        <v>Dryden</v>
      </c>
      <c r="D1998" s="15">
        <v>1125809</v>
      </c>
      <c r="E1998">
        <f>VLOOKUP(C1998,'All Districts'!$B$3:$C$874,2,FALSE)</f>
        <v>3609330</v>
      </c>
      <c r="F1998" s="91">
        <f>COUNTIF($E$2:$E$7106,E1998)</f>
        <v>9</v>
      </c>
    </row>
    <row r="1999" spans="1:6" x14ac:dyDescent="0.2">
      <c r="A1999">
        <v>2019</v>
      </c>
      <c r="B1999" s="36">
        <v>2104</v>
      </c>
      <c r="C1999" s="90" t="str">
        <f>VLOOKUP(B1999,'All Districts'!$A$3:$B$874,2,FALSE)</f>
        <v>Dryden</v>
      </c>
      <c r="D1999" s="40">
        <v>1301161</v>
      </c>
      <c r="E1999">
        <f>VLOOKUP(C1999,'All Districts'!$B$3:$C$874,2,FALSE)</f>
        <v>3609330</v>
      </c>
      <c r="F1999" s="91">
        <f>COUNTIF($E$2:$E$7106,E1999)</f>
        <v>9</v>
      </c>
    </row>
    <row r="2000" spans="1:6" x14ac:dyDescent="0.2">
      <c r="A2000">
        <v>2020</v>
      </c>
      <c r="B2000" s="36">
        <v>2104</v>
      </c>
      <c r="C2000" s="90" t="str">
        <f>VLOOKUP(B2000,'All Districts'!$A$3:$B$874,2,FALSE)</f>
        <v>Dryden</v>
      </c>
      <c r="D2000" s="40">
        <v>1158702</v>
      </c>
      <c r="E2000">
        <f>VLOOKUP(C2000,'All Districts'!$B$3:$C$874,2,FALSE)</f>
        <v>3609330</v>
      </c>
      <c r="F2000" s="91">
        <f>COUNTIF($E$2:$E$7106,E2000)</f>
        <v>9</v>
      </c>
    </row>
    <row r="2001" spans="1:6" x14ac:dyDescent="0.2">
      <c r="A2001" s="10">
        <v>2021</v>
      </c>
      <c r="B2001" s="55">
        <v>2104</v>
      </c>
      <c r="C2001" s="90" t="str">
        <f>VLOOKUP(B2001,'All Districts'!$A$3:$B$874,2,FALSE)</f>
        <v>Dryden</v>
      </c>
      <c r="D2001" s="76">
        <v>1273493</v>
      </c>
      <c r="E2001">
        <f>VLOOKUP(C2001,'All Districts'!$B$3:$C$874,2,FALSE)</f>
        <v>3609330</v>
      </c>
      <c r="F2001" s="91">
        <f>COUNTIF($E$2:$E$7106,E2001)</f>
        <v>9</v>
      </c>
    </row>
    <row r="2002" spans="1:6" x14ac:dyDescent="0.2">
      <c r="A2002">
        <v>2022</v>
      </c>
      <c r="B2002" s="36">
        <v>2104</v>
      </c>
      <c r="C2002" s="90" t="str">
        <f>VLOOKUP(B2002,'All Districts'!$A$3:$B$874,2,FALSE)</f>
        <v>Dryden</v>
      </c>
      <c r="D2002" s="82">
        <v>1315252</v>
      </c>
      <c r="E2002">
        <f>VLOOKUP(C2002,'All Districts'!$B$3:$C$874,2,FALSE)</f>
        <v>3609330</v>
      </c>
      <c r="F2002" s="91">
        <f>COUNTIF($E$2:$E$7106,E2002)</f>
        <v>9</v>
      </c>
    </row>
    <row r="2003" spans="1:6" x14ac:dyDescent="0.2">
      <c r="A2003">
        <v>2023</v>
      </c>
      <c r="B2003" s="36">
        <v>2104</v>
      </c>
      <c r="C2003" s="90" t="str">
        <f>VLOOKUP(B2003,'All Districts'!$A$3:$B$874,2,FALSE)</f>
        <v>Dryden</v>
      </c>
      <c r="D2003" s="40">
        <v>1499706</v>
      </c>
      <c r="E2003">
        <f>VLOOKUP(C2003,'All Districts'!$B$3:$C$874,2,FALSE)</f>
        <v>3609330</v>
      </c>
      <c r="F2003" s="91">
        <f>COUNTIF($E$2:$E$7106,E2003)</f>
        <v>9</v>
      </c>
    </row>
    <row r="2004" spans="1:6" x14ac:dyDescent="0.2">
      <c r="A2004">
        <v>2015</v>
      </c>
      <c r="B2004" s="13">
        <v>3044</v>
      </c>
      <c r="C2004" s="90" t="str">
        <f>VLOOKUP(B2004,'All Districts'!$A$3:$B$874,2,FALSE)</f>
        <v>Duanesburg</v>
      </c>
      <c r="D2004" s="14">
        <v>866348</v>
      </c>
      <c r="E2004">
        <f>VLOOKUP(C2004,'All Districts'!$B$3:$C$874,2,FALSE)</f>
        <v>3609360</v>
      </c>
      <c r="F2004" s="91">
        <f>COUNTIF($E$2:$E$7106,E2004)</f>
        <v>9</v>
      </c>
    </row>
    <row r="2005" spans="1:6" x14ac:dyDescent="0.2">
      <c r="A2005">
        <v>2016</v>
      </c>
      <c r="B2005" s="13">
        <v>3044</v>
      </c>
      <c r="C2005" s="90" t="str">
        <f>VLOOKUP(B2005,'All Districts'!$A$3:$B$874,2,FALSE)</f>
        <v>Duanesburg</v>
      </c>
      <c r="D2005" s="16">
        <v>667443</v>
      </c>
      <c r="E2005">
        <f>VLOOKUP(C2005,'All Districts'!$B$3:$C$874,2,FALSE)</f>
        <v>3609360</v>
      </c>
      <c r="F2005" s="91">
        <f>COUNTIF($E$2:$E$7106,E2005)</f>
        <v>9</v>
      </c>
    </row>
    <row r="2006" spans="1:6" x14ac:dyDescent="0.2">
      <c r="A2006">
        <v>2017</v>
      </c>
      <c r="B2006" s="13">
        <v>3044</v>
      </c>
      <c r="C2006" s="90" t="str">
        <f>VLOOKUP(B2006,'All Districts'!$A$3:$B$874,2,FALSE)</f>
        <v>Duanesburg</v>
      </c>
      <c r="D2006" s="16">
        <v>553406</v>
      </c>
      <c r="E2006">
        <f>VLOOKUP(C2006,'All Districts'!$B$3:$C$874,2,FALSE)</f>
        <v>3609360</v>
      </c>
      <c r="F2006" s="91">
        <f>COUNTIF($E$2:$E$7106,E2006)</f>
        <v>9</v>
      </c>
    </row>
    <row r="2007" spans="1:6" x14ac:dyDescent="0.2">
      <c r="A2007" s="10">
        <v>2018</v>
      </c>
      <c r="B2007" s="13">
        <v>3044</v>
      </c>
      <c r="C2007" s="90" t="str">
        <f>VLOOKUP(B2007,'All Districts'!$A$3:$B$874,2,FALSE)</f>
        <v>Duanesburg</v>
      </c>
      <c r="D2007" s="15">
        <v>487870</v>
      </c>
      <c r="E2007">
        <f>VLOOKUP(C2007,'All Districts'!$B$3:$C$874,2,FALSE)</f>
        <v>3609360</v>
      </c>
      <c r="F2007" s="91">
        <f>COUNTIF($E$2:$E$7106,E2007)</f>
        <v>9</v>
      </c>
    </row>
    <row r="2008" spans="1:6" x14ac:dyDescent="0.2">
      <c r="A2008">
        <v>2019</v>
      </c>
      <c r="B2008" s="36">
        <v>3044</v>
      </c>
      <c r="C2008" s="90" t="str">
        <f>VLOOKUP(B2008,'All Districts'!$A$3:$B$874,2,FALSE)</f>
        <v>Duanesburg</v>
      </c>
      <c r="D2008" s="40">
        <v>540681</v>
      </c>
      <c r="E2008">
        <f>VLOOKUP(C2008,'All Districts'!$B$3:$C$874,2,FALSE)</f>
        <v>3609360</v>
      </c>
      <c r="F2008" s="91">
        <f>COUNTIF($E$2:$E$7106,E2008)</f>
        <v>9</v>
      </c>
    </row>
    <row r="2009" spans="1:6" x14ac:dyDescent="0.2">
      <c r="A2009">
        <v>2020</v>
      </c>
      <c r="B2009" s="36">
        <v>3044</v>
      </c>
      <c r="C2009" s="90" t="str">
        <f>VLOOKUP(B2009,'All Districts'!$A$3:$B$874,2,FALSE)</f>
        <v>Duanesburg</v>
      </c>
      <c r="D2009" s="40">
        <v>456777</v>
      </c>
      <c r="E2009">
        <f>VLOOKUP(C2009,'All Districts'!$B$3:$C$874,2,FALSE)</f>
        <v>3609360</v>
      </c>
      <c r="F2009" s="91">
        <f>COUNTIF($E$2:$E$7106,E2009)</f>
        <v>9</v>
      </c>
    </row>
    <row r="2010" spans="1:6" x14ac:dyDescent="0.2">
      <c r="A2010" s="10">
        <v>2021</v>
      </c>
      <c r="B2010" s="55">
        <v>3044</v>
      </c>
      <c r="C2010" s="90" t="str">
        <f>VLOOKUP(B2010,'All Districts'!$A$3:$B$874,2,FALSE)</f>
        <v>Duanesburg</v>
      </c>
      <c r="D2010" s="76">
        <v>466378</v>
      </c>
      <c r="E2010">
        <f>VLOOKUP(C2010,'All Districts'!$B$3:$C$874,2,FALSE)</f>
        <v>3609360</v>
      </c>
      <c r="F2010" s="91">
        <f>COUNTIF($E$2:$E$7106,E2010)</f>
        <v>9</v>
      </c>
    </row>
    <row r="2011" spans="1:6" x14ac:dyDescent="0.2">
      <c r="A2011">
        <v>2022</v>
      </c>
      <c r="B2011" s="36">
        <v>3044</v>
      </c>
      <c r="C2011" s="90" t="str">
        <f>VLOOKUP(B2011,'All Districts'!$A$3:$B$874,2,FALSE)</f>
        <v>Duanesburg</v>
      </c>
      <c r="D2011" s="82">
        <v>501865</v>
      </c>
      <c r="E2011">
        <f>VLOOKUP(C2011,'All Districts'!$B$3:$C$874,2,FALSE)</f>
        <v>3609360</v>
      </c>
      <c r="F2011" s="91">
        <f>COUNTIF($E$2:$E$7106,E2011)</f>
        <v>9</v>
      </c>
    </row>
    <row r="2012" spans="1:6" x14ac:dyDescent="0.2">
      <c r="A2012">
        <v>2023</v>
      </c>
      <c r="B2012" s="36">
        <v>3044</v>
      </c>
      <c r="C2012" s="90" t="str">
        <f>VLOOKUP(B2012,'All Districts'!$A$3:$B$874,2,FALSE)</f>
        <v>Duanesburg</v>
      </c>
      <c r="D2012" s="40">
        <v>545089</v>
      </c>
      <c r="E2012">
        <f>VLOOKUP(C2012,'All Districts'!$B$3:$C$874,2,FALSE)</f>
        <v>3609360</v>
      </c>
      <c r="F2012" s="91">
        <f>COUNTIF($E$2:$E$7106,E2012)</f>
        <v>9</v>
      </c>
    </row>
    <row r="2013" spans="1:6" x14ac:dyDescent="0.2">
      <c r="A2013">
        <v>2015</v>
      </c>
      <c r="B2013" s="13">
        <v>4588</v>
      </c>
      <c r="C2013" s="90" t="str">
        <f>VLOOKUP(B2013,'All Districts'!$A$3:$B$874,2,FALSE)</f>
        <v>Dundee</v>
      </c>
      <c r="D2013" s="14">
        <v>913901</v>
      </c>
      <c r="E2013">
        <f>VLOOKUP(C2013,'All Districts'!$B$3:$C$874,2,FALSE)</f>
        <v>3609390</v>
      </c>
      <c r="F2013" s="91">
        <f>COUNTIF($E$2:$E$7106,E2013)</f>
        <v>9</v>
      </c>
    </row>
    <row r="2014" spans="1:6" x14ac:dyDescent="0.2">
      <c r="A2014">
        <v>2016</v>
      </c>
      <c r="B2014" s="13">
        <v>4588</v>
      </c>
      <c r="C2014" s="90" t="str">
        <f>VLOOKUP(B2014,'All Districts'!$A$3:$B$874,2,FALSE)</f>
        <v>Dundee</v>
      </c>
      <c r="D2014" s="16">
        <v>710835</v>
      </c>
      <c r="E2014">
        <f>VLOOKUP(C2014,'All Districts'!$B$3:$C$874,2,FALSE)</f>
        <v>3609390</v>
      </c>
      <c r="F2014" s="91">
        <f>COUNTIF($E$2:$E$7106,E2014)</f>
        <v>9</v>
      </c>
    </row>
    <row r="2015" spans="1:6" x14ac:dyDescent="0.2">
      <c r="A2015">
        <v>2017</v>
      </c>
      <c r="B2015" s="13">
        <v>4588</v>
      </c>
      <c r="C2015" s="90" t="str">
        <f>VLOOKUP(B2015,'All Districts'!$A$3:$B$874,2,FALSE)</f>
        <v>Dundee</v>
      </c>
      <c r="D2015" s="16">
        <v>638452</v>
      </c>
      <c r="E2015">
        <f>VLOOKUP(C2015,'All Districts'!$B$3:$C$874,2,FALSE)</f>
        <v>3609390</v>
      </c>
      <c r="F2015" s="91">
        <f>COUNTIF($E$2:$E$7106,E2015)</f>
        <v>9</v>
      </c>
    </row>
    <row r="2016" spans="1:6" x14ac:dyDescent="0.2">
      <c r="A2016" s="10">
        <v>2018</v>
      </c>
      <c r="B2016" s="13">
        <v>4588</v>
      </c>
      <c r="C2016" s="90" t="str">
        <f>VLOOKUP(B2016,'All Districts'!$A$3:$B$874,2,FALSE)</f>
        <v>Dundee</v>
      </c>
      <c r="D2016" s="15">
        <v>499841</v>
      </c>
      <c r="E2016">
        <f>VLOOKUP(C2016,'All Districts'!$B$3:$C$874,2,FALSE)</f>
        <v>3609390</v>
      </c>
      <c r="F2016" s="91">
        <f>COUNTIF($E$2:$E$7106,E2016)</f>
        <v>9</v>
      </c>
    </row>
    <row r="2017" spans="1:6" x14ac:dyDescent="0.2">
      <c r="A2017">
        <v>2019</v>
      </c>
      <c r="B2017" s="36">
        <v>4588</v>
      </c>
      <c r="C2017" s="90" t="str">
        <f>VLOOKUP(B2017,'All Districts'!$A$3:$B$874,2,FALSE)</f>
        <v>Dundee</v>
      </c>
      <c r="D2017" s="40">
        <v>572778</v>
      </c>
      <c r="E2017">
        <f>VLOOKUP(C2017,'All Districts'!$B$3:$C$874,2,FALSE)</f>
        <v>3609390</v>
      </c>
      <c r="F2017" s="91">
        <f>COUNTIF($E$2:$E$7106,E2017)</f>
        <v>9</v>
      </c>
    </row>
    <row r="2018" spans="1:6" x14ac:dyDescent="0.2">
      <c r="A2018">
        <v>2020</v>
      </c>
      <c r="B2018" s="36">
        <v>4588</v>
      </c>
      <c r="C2018" s="90" t="str">
        <f>VLOOKUP(B2018,'All Districts'!$A$3:$B$874,2,FALSE)</f>
        <v>Dundee</v>
      </c>
      <c r="D2018" s="40">
        <v>499795</v>
      </c>
      <c r="E2018">
        <f>VLOOKUP(C2018,'All Districts'!$B$3:$C$874,2,FALSE)</f>
        <v>3609390</v>
      </c>
      <c r="F2018" s="91">
        <f>COUNTIF($E$2:$E$7106,E2018)</f>
        <v>9</v>
      </c>
    </row>
    <row r="2019" spans="1:6" x14ac:dyDescent="0.2">
      <c r="A2019" s="10">
        <v>2021</v>
      </c>
      <c r="B2019" s="52">
        <v>4588</v>
      </c>
      <c r="C2019" s="90" t="str">
        <f>VLOOKUP(B2019,'All Districts'!$A$3:$B$874,2,FALSE)</f>
        <v>Dundee</v>
      </c>
      <c r="D2019" s="76">
        <v>557709</v>
      </c>
      <c r="E2019">
        <f>VLOOKUP(C2019,'All Districts'!$B$3:$C$874,2,FALSE)</f>
        <v>3609390</v>
      </c>
      <c r="F2019" s="91">
        <f>COUNTIF($E$2:$E$7106,E2019)</f>
        <v>9</v>
      </c>
    </row>
    <row r="2020" spans="1:6" x14ac:dyDescent="0.2">
      <c r="A2020">
        <v>2022</v>
      </c>
      <c r="B2020" s="36">
        <v>4588</v>
      </c>
      <c r="C2020" s="90" t="str">
        <f>VLOOKUP(B2020,'All Districts'!$A$3:$B$874,2,FALSE)</f>
        <v>Dundee</v>
      </c>
      <c r="D2020" s="82">
        <v>566693</v>
      </c>
      <c r="E2020">
        <f>VLOOKUP(C2020,'All Districts'!$B$3:$C$874,2,FALSE)</f>
        <v>3609390</v>
      </c>
      <c r="F2020" s="91">
        <f>COUNTIF($E$2:$E$7106,E2020)</f>
        <v>9</v>
      </c>
    </row>
    <row r="2021" spans="1:6" x14ac:dyDescent="0.2">
      <c r="A2021">
        <v>2023</v>
      </c>
      <c r="B2021" s="36">
        <v>4588</v>
      </c>
      <c r="C2021" s="90" t="str">
        <f>VLOOKUP(B2021,'All Districts'!$A$3:$B$874,2,FALSE)</f>
        <v>Dundee</v>
      </c>
      <c r="D2021" s="40">
        <v>605227</v>
      </c>
      <c r="E2021">
        <f>VLOOKUP(C2021,'All Districts'!$B$3:$C$874,2,FALSE)</f>
        <v>3609390</v>
      </c>
      <c r="F2021" s="91">
        <f>COUNTIF($E$2:$E$7106,E2021)</f>
        <v>9</v>
      </c>
    </row>
    <row r="2022" spans="1:6" x14ac:dyDescent="0.2">
      <c r="A2022">
        <v>2015</v>
      </c>
      <c r="B2022" s="13">
        <v>1060</v>
      </c>
      <c r="C2022" s="90" t="str">
        <f>VLOOKUP(B2022,'All Districts'!$A$3:$B$874,2,FALSE)</f>
        <v>Dunkirk</v>
      </c>
      <c r="D2022" s="14">
        <v>2826746</v>
      </c>
      <c r="E2022">
        <f>VLOOKUP(C2022,'All Districts'!$B$3:$C$874,2,FALSE)</f>
        <v>3609420</v>
      </c>
      <c r="F2022" s="91">
        <f>COUNTIF($E$2:$E$7106,E2022)</f>
        <v>9</v>
      </c>
    </row>
    <row r="2023" spans="1:6" x14ac:dyDescent="0.2">
      <c r="A2023">
        <v>2016</v>
      </c>
      <c r="B2023" s="13">
        <v>1060</v>
      </c>
      <c r="C2023" s="90" t="str">
        <f>VLOOKUP(B2023,'All Districts'!$A$3:$B$874,2,FALSE)</f>
        <v>Dunkirk</v>
      </c>
      <c r="D2023" s="16">
        <v>2232164</v>
      </c>
      <c r="E2023">
        <f>VLOOKUP(C2023,'All Districts'!$B$3:$C$874,2,FALSE)</f>
        <v>3609420</v>
      </c>
      <c r="F2023" s="91">
        <f>COUNTIF($E$2:$E$7106,E2023)</f>
        <v>9</v>
      </c>
    </row>
    <row r="2024" spans="1:6" x14ac:dyDescent="0.2">
      <c r="A2024">
        <v>2017</v>
      </c>
      <c r="B2024" s="13">
        <v>1060</v>
      </c>
      <c r="C2024" s="90" t="str">
        <f>VLOOKUP(B2024,'All Districts'!$A$3:$B$874,2,FALSE)</f>
        <v>Dunkirk</v>
      </c>
      <c r="D2024" s="16">
        <v>1943555</v>
      </c>
      <c r="E2024">
        <f>VLOOKUP(C2024,'All Districts'!$B$3:$C$874,2,FALSE)</f>
        <v>3609420</v>
      </c>
      <c r="F2024" s="91">
        <f>COUNTIF($E$2:$E$7106,E2024)</f>
        <v>9</v>
      </c>
    </row>
    <row r="2025" spans="1:6" x14ac:dyDescent="0.2">
      <c r="A2025" s="10">
        <v>2018</v>
      </c>
      <c r="B2025" s="13">
        <v>1060</v>
      </c>
      <c r="C2025" s="90" t="str">
        <f>VLOOKUP(B2025,'All Districts'!$A$3:$B$874,2,FALSE)</f>
        <v>Dunkirk</v>
      </c>
      <c r="D2025" s="15">
        <v>1761333</v>
      </c>
      <c r="E2025">
        <f>VLOOKUP(C2025,'All Districts'!$B$3:$C$874,2,FALSE)</f>
        <v>3609420</v>
      </c>
      <c r="F2025" s="91">
        <f>COUNTIF($E$2:$E$7106,E2025)</f>
        <v>9</v>
      </c>
    </row>
    <row r="2026" spans="1:6" x14ac:dyDescent="0.2">
      <c r="A2026">
        <v>2019</v>
      </c>
      <c r="B2026" s="36">
        <v>1060</v>
      </c>
      <c r="C2026" s="90" t="str">
        <f>VLOOKUP(B2026,'All Districts'!$A$3:$B$874,2,FALSE)</f>
        <v>Dunkirk</v>
      </c>
      <c r="D2026" s="40">
        <v>1957360</v>
      </c>
      <c r="E2026">
        <f>VLOOKUP(C2026,'All Districts'!$B$3:$C$874,2,FALSE)</f>
        <v>3609420</v>
      </c>
      <c r="F2026" s="91">
        <f>COUNTIF($E$2:$E$7106,E2026)</f>
        <v>9</v>
      </c>
    </row>
    <row r="2027" spans="1:6" x14ac:dyDescent="0.2">
      <c r="A2027">
        <v>2020</v>
      </c>
      <c r="B2027" s="36">
        <v>1060</v>
      </c>
      <c r="C2027" s="90" t="str">
        <f>VLOOKUP(B2027,'All Districts'!$A$3:$B$874,2,FALSE)</f>
        <v>Dunkirk</v>
      </c>
      <c r="D2027" s="40">
        <v>1614834</v>
      </c>
      <c r="E2027">
        <f>VLOOKUP(C2027,'All Districts'!$B$3:$C$874,2,FALSE)</f>
        <v>3609420</v>
      </c>
      <c r="F2027" s="91">
        <f>COUNTIF($E$2:$E$7106,E2027)</f>
        <v>9</v>
      </c>
    </row>
    <row r="2028" spans="1:6" x14ac:dyDescent="0.2">
      <c r="A2028" s="10">
        <v>2021</v>
      </c>
      <c r="B2028" s="52">
        <v>1060</v>
      </c>
      <c r="C2028" s="90" t="str">
        <f>VLOOKUP(B2028,'All Districts'!$A$3:$B$874,2,FALSE)</f>
        <v>Dunkirk</v>
      </c>
      <c r="D2028" s="76">
        <v>1746223</v>
      </c>
      <c r="E2028">
        <f>VLOOKUP(C2028,'All Districts'!$B$3:$C$874,2,FALSE)</f>
        <v>3609420</v>
      </c>
      <c r="F2028" s="91">
        <f>COUNTIF($E$2:$E$7106,E2028)</f>
        <v>9</v>
      </c>
    </row>
    <row r="2029" spans="1:6" x14ac:dyDescent="0.2">
      <c r="A2029">
        <v>2022</v>
      </c>
      <c r="B2029" s="36">
        <v>1060</v>
      </c>
      <c r="C2029" s="90" t="str">
        <f>VLOOKUP(B2029,'All Districts'!$A$3:$B$874,2,FALSE)</f>
        <v>Dunkirk</v>
      </c>
      <c r="D2029" s="82">
        <v>1936370</v>
      </c>
      <c r="E2029">
        <f>VLOOKUP(C2029,'All Districts'!$B$3:$C$874,2,FALSE)</f>
        <v>3609420</v>
      </c>
      <c r="F2029" s="91">
        <f>COUNTIF($E$2:$E$7106,E2029)</f>
        <v>9</v>
      </c>
    </row>
    <row r="2030" spans="1:6" x14ac:dyDescent="0.2">
      <c r="A2030">
        <v>2023</v>
      </c>
      <c r="B2030" s="36">
        <v>1060</v>
      </c>
      <c r="C2030" s="90" t="str">
        <f>VLOOKUP(B2030,'All Districts'!$A$3:$B$874,2,FALSE)</f>
        <v>Dunkirk</v>
      </c>
      <c r="D2030" s="40">
        <v>2084118</v>
      </c>
      <c r="E2030">
        <f>VLOOKUP(C2030,'All Districts'!$B$3:$C$874,2,FALSE)</f>
        <v>3609420</v>
      </c>
      <c r="F2030" s="91">
        <f>COUNTIF($E$2:$E$7106,E2030)</f>
        <v>9</v>
      </c>
    </row>
    <row r="2031" spans="1:6" x14ac:dyDescent="0.2">
      <c r="A2031">
        <v>2015</v>
      </c>
      <c r="B2031" s="13">
        <v>1085</v>
      </c>
      <c r="C2031" s="90" t="str">
        <f>VLOOKUP(B2031,'All Districts'!$A$3:$B$874,2,FALSE)</f>
        <v>Glens Falls</v>
      </c>
      <c r="D2031" s="14">
        <v>2383482</v>
      </c>
      <c r="E2031">
        <f>VLOOKUP(C2031,'All Districts'!$B$3:$C$874,2,FALSE)</f>
        <v>3612240</v>
      </c>
      <c r="F2031" s="91">
        <f>COUNTIF($E$2:$E$7106,E2031)</f>
        <v>9</v>
      </c>
    </row>
    <row r="2032" spans="1:6" x14ac:dyDescent="0.2">
      <c r="A2032">
        <v>2016</v>
      </c>
      <c r="B2032" s="13">
        <v>1085</v>
      </c>
      <c r="C2032" s="90" t="str">
        <f>VLOOKUP(B2032,'All Districts'!$A$3:$B$874,2,FALSE)</f>
        <v>Glens Falls</v>
      </c>
      <c r="D2032" s="16">
        <v>1903010</v>
      </c>
      <c r="E2032">
        <f>VLOOKUP(C2032,'All Districts'!$B$3:$C$874,2,FALSE)</f>
        <v>3612240</v>
      </c>
      <c r="F2032" s="91">
        <f>COUNTIF($E$2:$E$7106,E2032)</f>
        <v>9</v>
      </c>
    </row>
    <row r="2033" spans="1:6" x14ac:dyDescent="0.2">
      <c r="A2033">
        <v>2017</v>
      </c>
      <c r="B2033" s="13">
        <v>1085</v>
      </c>
      <c r="C2033" s="90" t="str">
        <f>VLOOKUP(B2033,'All Districts'!$A$3:$B$874,2,FALSE)</f>
        <v>Glens Falls</v>
      </c>
      <c r="D2033" s="16">
        <v>1727991</v>
      </c>
      <c r="E2033">
        <f>VLOOKUP(C2033,'All Districts'!$B$3:$C$874,2,FALSE)</f>
        <v>3612240</v>
      </c>
      <c r="F2033" s="91">
        <f>COUNTIF($E$2:$E$7106,E2033)</f>
        <v>9</v>
      </c>
    </row>
    <row r="2034" spans="1:6" x14ac:dyDescent="0.2">
      <c r="A2034" s="10">
        <v>2018</v>
      </c>
      <c r="B2034" s="13">
        <v>1085</v>
      </c>
      <c r="C2034" s="90" t="str">
        <f>VLOOKUP(B2034,'All Districts'!$A$3:$B$874,2,FALSE)</f>
        <v>Glens Falls</v>
      </c>
      <c r="D2034" s="15">
        <v>1554368</v>
      </c>
      <c r="E2034">
        <f>VLOOKUP(C2034,'All Districts'!$B$3:$C$874,2,FALSE)</f>
        <v>3612240</v>
      </c>
      <c r="F2034" s="91">
        <f>COUNTIF($E$2:$E$7106,E2034)</f>
        <v>9</v>
      </c>
    </row>
    <row r="2035" spans="1:6" x14ac:dyDescent="0.2">
      <c r="A2035">
        <v>2019</v>
      </c>
      <c r="B2035" s="36">
        <v>1085</v>
      </c>
      <c r="C2035" s="90" t="str">
        <f>VLOOKUP(B2035,'All Districts'!$A$3:$B$874,2,FALSE)</f>
        <v>Glens Falls</v>
      </c>
      <c r="D2035" s="40">
        <v>1688362</v>
      </c>
      <c r="E2035">
        <f>VLOOKUP(C2035,'All Districts'!$B$3:$C$874,2,FALSE)</f>
        <v>3612240</v>
      </c>
      <c r="F2035" s="91">
        <f>COUNTIF($E$2:$E$7106,E2035)</f>
        <v>9</v>
      </c>
    </row>
    <row r="2036" spans="1:6" x14ac:dyDescent="0.2">
      <c r="A2036">
        <v>2020</v>
      </c>
      <c r="B2036" s="36">
        <v>1085</v>
      </c>
      <c r="C2036" s="90" t="str">
        <f>VLOOKUP(B2036,'All Districts'!$A$3:$B$874,2,FALSE)</f>
        <v>Glens Falls</v>
      </c>
      <c r="D2036" s="40">
        <v>1432904</v>
      </c>
      <c r="E2036">
        <f>VLOOKUP(C2036,'All Districts'!$B$3:$C$874,2,FALSE)</f>
        <v>3612240</v>
      </c>
      <c r="F2036" s="91">
        <f>COUNTIF($E$2:$E$7106,E2036)</f>
        <v>9</v>
      </c>
    </row>
    <row r="2037" spans="1:6" x14ac:dyDescent="0.2">
      <c r="A2037" s="10">
        <v>2021</v>
      </c>
      <c r="B2037" s="52">
        <v>1085</v>
      </c>
      <c r="C2037" s="90" t="str">
        <f>VLOOKUP(B2037,'All Districts'!$A$3:$B$874,2,FALSE)</f>
        <v>Glens Falls</v>
      </c>
      <c r="D2037" s="75">
        <v>1552451</v>
      </c>
      <c r="E2037">
        <f>VLOOKUP(C2037,'All Districts'!$B$3:$C$874,2,FALSE)</f>
        <v>3612240</v>
      </c>
      <c r="F2037" s="91">
        <f>COUNTIF($E$2:$E$7106,E2037)</f>
        <v>9</v>
      </c>
    </row>
    <row r="2038" spans="1:6" x14ac:dyDescent="0.2">
      <c r="A2038">
        <v>2022</v>
      </c>
      <c r="B2038" s="36">
        <v>1085</v>
      </c>
      <c r="C2038" s="90" t="str">
        <f>VLOOKUP(B2038,'All Districts'!$A$3:$B$874,2,FALSE)</f>
        <v>Glens Falls</v>
      </c>
      <c r="D2038" s="82">
        <v>1684283</v>
      </c>
      <c r="E2038">
        <f>VLOOKUP(C2038,'All Districts'!$B$3:$C$874,2,FALSE)</f>
        <v>3612240</v>
      </c>
      <c r="F2038" s="91">
        <f>COUNTIF($E$2:$E$7106,E2038)</f>
        <v>9</v>
      </c>
    </row>
    <row r="2039" spans="1:6" x14ac:dyDescent="0.2">
      <c r="A2039">
        <v>2023</v>
      </c>
      <c r="B2039" s="36">
        <v>1085</v>
      </c>
      <c r="C2039" s="90" t="str">
        <f>VLOOKUP(B2039,'All Districts'!$A$3:$B$874,2,FALSE)</f>
        <v>Glens Falls</v>
      </c>
      <c r="D2039" s="40">
        <v>1947456</v>
      </c>
      <c r="E2039">
        <f>VLOOKUP(C2039,'All Districts'!$B$3:$C$874,2,FALSE)</f>
        <v>3612240</v>
      </c>
      <c r="F2039" s="91">
        <f>COUNTIF($E$2:$E$7106,E2039)</f>
        <v>9</v>
      </c>
    </row>
    <row r="2040" spans="1:6" x14ac:dyDescent="0.2">
      <c r="A2040">
        <v>2015</v>
      </c>
      <c r="B2040" s="13">
        <v>2105</v>
      </c>
      <c r="C2040" s="90" t="str">
        <f>VLOOKUP(B2040,'All Districts'!$A$3:$B$874,2,FALSE)</f>
        <v>East Aurora</v>
      </c>
      <c r="D2040" s="14">
        <v>1797632</v>
      </c>
      <c r="E2040">
        <f>VLOOKUP(C2040,'All Districts'!$B$3:$C$874,2,FALSE)</f>
        <v>3609540</v>
      </c>
      <c r="F2040" s="91">
        <f>COUNTIF($E$2:$E$7106,E2040)</f>
        <v>9</v>
      </c>
    </row>
    <row r="2041" spans="1:6" x14ac:dyDescent="0.2">
      <c r="A2041">
        <v>2016</v>
      </c>
      <c r="B2041" s="13">
        <v>2105</v>
      </c>
      <c r="C2041" s="90" t="str">
        <f>VLOOKUP(B2041,'All Districts'!$A$3:$B$874,2,FALSE)</f>
        <v>East Aurora</v>
      </c>
      <c r="D2041" s="16">
        <v>1370369</v>
      </c>
      <c r="E2041">
        <f>VLOOKUP(C2041,'All Districts'!$B$3:$C$874,2,FALSE)</f>
        <v>3609540</v>
      </c>
      <c r="F2041" s="91">
        <f>COUNTIF($E$2:$E$7106,E2041)</f>
        <v>9</v>
      </c>
    </row>
    <row r="2042" spans="1:6" x14ac:dyDescent="0.2">
      <c r="A2042">
        <v>2017</v>
      </c>
      <c r="B2042" s="13">
        <v>2105</v>
      </c>
      <c r="C2042" s="90" t="str">
        <f>VLOOKUP(B2042,'All Districts'!$A$3:$B$874,2,FALSE)</f>
        <v>East Aurora</v>
      </c>
      <c r="D2042" s="16">
        <v>1259298</v>
      </c>
      <c r="E2042">
        <f>VLOOKUP(C2042,'All Districts'!$B$3:$C$874,2,FALSE)</f>
        <v>3609540</v>
      </c>
      <c r="F2042" s="91">
        <f>COUNTIF($E$2:$E$7106,E2042)</f>
        <v>9</v>
      </c>
    </row>
    <row r="2043" spans="1:6" x14ac:dyDescent="0.2">
      <c r="A2043" s="10">
        <v>2018</v>
      </c>
      <c r="B2043" s="13">
        <v>2105</v>
      </c>
      <c r="C2043" s="90" t="str">
        <f>VLOOKUP(B2043,'All Districts'!$A$3:$B$874,2,FALSE)</f>
        <v>East Aurora</v>
      </c>
      <c r="D2043" s="15">
        <v>1040726</v>
      </c>
      <c r="E2043">
        <f>VLOOKUP(C2043,'All Districts'!$B$3:$C$874,2,FALSE)</f>
        <v>3609540</v>
      </c>
      <c r="F2043" s="91">
        <f>COUNTIF($E$2:$E$7106,E2043)</f>
        <v>9</v>
      </c>
    </row>
    <row r="2044" spans="1:6" x14ac:dyDescent="0.2">
      <c r="A2044">
        <v>2019</v>
      </c>
      <c r="B2044" s="36">
        <v>2105</v>
      </c>
      <c r="C2044" s="90" t="str">
        <f>VLOOKUP(B2044,'All Districts'!$A$3:$B$874,2,FALSE)</f>
        <v>East Aurora</v>
      </c>
      <c r="D2044" s="40">
        <v>1207018</v>
      </c>
      <c r="E2044">
        <f>VLOOKUP(C2044,'All Districts'!$B$3:$C$874,2,FALSE)</f>
        <v>3609540</v>
      </c>
      <c r="F2044" s="91">
        <f>COUNTIF($E$2:$E$7106,E2044)</f>
        <v>9</v>
      </c>
    </row>
    <row r="2045" spans="1:6" x14ac:dyDescent="0.2">
      <c r="A2045">
        <v>2020</v>
      </c>
      <c r="B2045" s="36">
        <v>2105</v>
      </c>
      <c r="C2045" s="90" t="str">
        <f>VLOOKUP(B2045,'All Districts'!$A$3:$B$874,2,FALSE)</f>
        <v>East Aurora</v>
      </c>
      <c r="D2045" s="40">
        <v>1072206</v>
      </c>
      <c r="E2045">
        <f>VLOOKUP(C2045,'All Districts'!$B$3:$C$874,2,FALSE)</f>
        <v>3609540</v>
      </c>
      <c r="F2045" s="91">
        <f>COUNTIF($E$2:$E$7106,E2045)</f>
        <v>9</v>
      </c>
    </row>
    <row r="2046" spans="1:6" x14ac:dyDescent="0.2">
      <c r="A2046" s="10">
        <v>2021</v>
      </c>
      <c r="B2046" s="52">
        <v>2105</v>
      </c>
      <c r="C2046" s="90" t="str">
        <f>VLOOKUP(B2046,'All Districts'!$A$3:$B$874,2,FALSE)</f>
        <v>East Aurora</v>
      </c>
      <c r="D2046" s="75">
        <v>1185127</v>
      </c>
      <c r="E2046">
        <f>VLOOKUP(C2046,'All Districts'!$B$3:$C$874,2,FALSE)</f>
        <v>3609540</v>
      </c>
      <c r="F2046" s="91">
        <f>COUNTIF($E$2:$E$7106,E2046)</f>
        <v>9</v>
      </c>
    </row>
    <row r="2047" spans="1:6" x14ac:dyDescent="0.2">
      <c r="A2047">
        <v>2022</v>
      </c>
      <c r="B2047" s="36">
        <v>2105</v>
      </c>
      <c r="C2047" s="90" t="str">
        <f>VLOOKUP(B2047,'All Districts'!$A$3:$B$874,2,FALSE)</f>
        <v>East Aurora</v>
      </c>
      <c r="D2047" s="82">
        <v>1362529</v>
      </c>
      <c r="E2047">
        <f>VLOOKUP(C2047,'All Districts'!$B$3:$C$874,2,FALSE)</f>
        <v>3609540</v>
      </c>
      <c r="F2047" s="91">
        <f>COUNTIF($E$2:$E$7106,E2047)</f>
        <v>9</v>
      </c>
    </row>
    <row r="2048" spans="1:6" x14ac:dyDescent="0.2">
      <c r="A2048">
        <v>2023</v>
      </c>
      <c r="B2048" s="36">
        <v>2105</v>
      </c>
      <c r="C2048" s="90" t="str">
        <f>VLOOKUP(B2048,'All Districts'!$A$3:$B$874,2,FALSE)</f>
        <v>East Aurora</v>
      </c>
      <c r="D2048" s="40">
        <v>1543054</v>
      </c>
      <c r="E2048">
        <f>VLOOKUP(C2048,'All Districts'!$B$3:$C$874,2,FALSE)</f>
        <v>3609540</v>
      </c>
      <c r="F2048" s="91">
        <f>COUNTIF($E$2:$E$7106,E2048)</f>
        <v>9</v>
      </c>
    </row>
    <row r="2049" spans="1:6" x14ac:dyDescent="0.2">
      <c r="A2049">
        <v>2015</v>
      </c>
      <c r="B2049" s="13">
        <v>2110</v>
      </c>
      <c r="C2049" s="90" t="str">
        <f>VLOOKUP(B2049,'All Districts'!$A$3:$B$874,2,FALSE)</f>
        <v>East Greenbush</v>
      </c>
      <c r="D2049" s="14">
        <v>5351604</v>
      </c>
      <c r="E2049">
        <f>VLOOKUP(C2049,'All Districts'!$B$3:$C$874,2,FALSE)</f>
        <v>3609630</v>
      </c>
      <c r="F2049" s="91">
        <f>COUNTIF($E$2:$E$7106,E2049)</f>
        <v>9</v>
      </c>
    </row>
    <row r="2050" spans="1:6" x14ac:dyDescent="0.2">
      <c r="A2050">
        <v>2016</v>
      </c>
      <c r="B2050" s="13">
        <v>2110</v>
      </c>
      <c r="C2050" s="90" t="str">
        <f>VLOOKUP(B2050,'All Districts'!$A$3:$B$874,2,FALSE)</f>
        <v>East Greenbush</v>
      </c>
      <c r="D2050" s="16">
        <v>4082442</v>
      </c>
      <c r="E2050">
        <f>VLOOKUP(C2050,'All Districts'!$B$3:$C$874,2,FALSE)</f>
        <v>3609630</v>
      </c>
      <c r="F2050" s="91">
        <f>COUNTIF($E$2:$E$7106,E2050)</f>
        <v>9</v>
      </c>
    </row>
    <row r="2051" spans="1:6" x14ac:dyDescent="0.2">
      <c r="A2051">
        <v>2017</v>
      </c>
      <c r="B2051" s="13">
        <v>2110</v>
      </c>
      <c r="C2051" s="90" t="str">
        <f>VLOOKUP(B2051,'All Districts'!$A$3:$B$874,2,FALSE)</f>
        <v>East Greenbush</v>
      </c>
      <c r="D2051" s="16">
        <v>3785207</v>
      </c>
      <c r="E2051">
        <f>VLOOKUP(C2051,'All Districts'!$B$3:$C$874,2,FALSE)</f>
        <v>3609630</v>
      </c>
      <c r="F2051" s="91">
        <f>COUNTIF($E$2:$E$7106,E2051)</f>
        <v>9</v>
      </c>
    </row>
    <row r="2052" spans="1:6" x14ac:dyDescent="0.2">
      <c r="A2052" s="10">
        <v>2018</v>
      </c>
      <c r="B2052" s="13">
        <v>2110</v>
      </c>
      <c r="C2052" s="90" t="str">
        <f>VLOOKUP(B2052,'All Districts'!$A$3:$B$874,2,FALSE)</f>
        <v>East Greenbush</v>
      </c>
      <c r="D2052" s="15">
        <v>3242332</v>
      </c>
      <c r="E2052">
        <f>VLOOKUP(C2052,'All Districts'!$B$3:$C$874,2,FALSE)</f>
        <v>3609630</v>
      </c>
      <c r="F2052" s="91">
        <f>COUNTIF($E$2:$E$7106,E2052)</f>
        <v>9</v>
      </c>
    </row>
    <row r="2053" spans="1:6" x14ac:dyDescent="0.2">
      <c r="A2053">
        <v>2019</v>
      </c>
      <c r="B2053" s="36">
        <v>2110</v>
      </c>
      <c r="C2053" s="90" t="str">
        <f>VLOOKUP(B2053,'All Districts'!$A$3:$B$874,2,FALSE)</f>
        <v>East Greenbush</v>
      </c>
      <c r="D2053" s="40">
        <v>3599584</v>
      </c>
      <c r="E2053">
        <f>VLOOKUP(C2053,'All Districts'!$B$3:$C$874,2,FALSE)</f>
        <v>3609630</v>
      </c>
      <c r="F2053" s="91">
        <f>COUNTIF($E$2:$E$7106,E2053)</f>
        <v>9</v>
      </c>
    </row>
    <row r="2054" spans="1:6" x14ac:dyDescent="0.2">
      <c r="A2054">
        <v>2020</v>
      </c>
      <c r="B2054" s="36">
        <v>2110</v>
      </c>
      <c r="C2054" s="90" t="str">
        <f>VLOOKUP(B2054,'All Districts'!$A$3:$B$874,2,FALSE)</f>
        <v>East Greenbush</v>
      </c>
      <c r="D2054" s="40">
        <v>3026269</v>
      </c>
      <c r="E2054">
        <f>VLOOKUP(C2054,'All Districts'!$B$3:$C$874,2,FALSE)</f>
        <v>3609630</v>
      </c>
      <c r="F2054" s="91">
        <f>COUNTIF($E$2:$E$7106,E2054)</f>
        <v>9</v>
      </c>
    </row>
    <row r="2055" spans="1:6" x14ac:dyDescent="0.2">
      <c r="A2055" s="10">
        <v>2021</v>
      </c>
      <c r="B2055" s="52">
        <v>2110</v>
      </c>
      <c r="C2055" s="90" t="str">
        <f>VLOOKUP(B2055,'All Districts'!$A$3:$B$874,2,FALSE)</f>
        <v>East Greenbush</v>
      </c>
      <c r="D2055" s="76">
        <v>3459835</v>
      </c>
      <c r="E2055">
        <f>VLOOKUP(C2055,'All Districts'!$B$3:$C$874,2,FALSE)</f>
        <v>3609630</v>
      </c>
      <c r="F2055" s="91">
        <f>COUNTIF($E$2:$E$7106,E2055)</f>
        <v>9</v>
      </c>
    </row>
    <row r="2056" spans="1:6" x14ac:dyDescent="0.2">
      <c r="A2056">
        <v>2022</v>
      </c>
      <c r="B2056" s="36">
        <v>2110</v>
      </c>
      <c r="C2056" s="90" t="str">
        <f>VLOOKUP(B2056,'All Districts'!$A$3:$B$874,2,FALSE)</f>
        <v>East Greenbush</v>
      </c>
      <c r="D2056" s="82">
        <v>3707426</v>
      </c>
      <c r="E2056">
        <f>VLOOKUP(C2056,'All Districts'!$B$3:$C$874,2,FALSE)</f>
        <v>3609630</v>
      </c>
      <c r="F2056" s="91">
        <f>COUNTIF($E$2:$E$7106,E2056)</f>
        <v>9</v>
      </c>
    </row>
    <row r="2057" spans="1:6" x14ac:dyDescent="0.2">
      <c r="A2057">
        <v>2023</v>
      </c>
      <c r="B2057" s="36">
        <v>2110</v>
      </c>
      <c r="C2057" s="90" t="str">
        <f>VLOOKUP(B2057,'All Districts'!$A$3:$B$874,2,FALSE)</f>
        <v>East Greenbush</v>
      </c>
      <c r="D2057" s="40">
        <v>3964124</v>
      </c>
      <c r="E2057">
        <f>VLOOKUP(C2057,'All Districts'!$B$3:$C$874,2,FALSE)</f>
        <v>3609630</v>
      </c>
      <c r="F2057" s="91">
        <f>COUNTIF($E$2:$E$7106,E2057)</f>
        <v>9</v>
      </c>
    </row>
    <row r="2058" spans="1:6" x14ac:dyDescent="0.2">
      <c r="A2058">
        <v>2015</v>
      </c>
      <c r="B2058" s="13">
        <v>5351</v>
      </c>
      <c r="C2058" s="90" t="str">
        <f>VLOOKUP(B2058,'All Districts'!$A$3:$B$874,2,FALSE)</f>
        <v>East Hampton</v>
      </c>
      <c r="D2058" s="14">
        <v>4423033</v>
      </c>
      <c r="E2058">
        <f>VLOOKUP(C2058,'All Districts'!$B$3:$C$874,2,FALSE)</f>
        <v>3609660</v>
      </c>
      <c r="F2058" s="91">
        <f>COUNTIF($E$2:$E$7106,E2058)</f>
        <v>9</v>
      </c>
    </row>
    <row r="2059" spans="1:6" x14ac:dyDescent="0.2">
      <c r="A2059">
        <v>2016</v>
      </c>
      <c r="B2059" s="13">
        <v>5351</v>
      </c>
      <c r="C2059" s="90" t="str">
        <f>VLOOKUP(B2059,'All Districts'!$A$3:$B$874,2,FALSE)</f>
        <v>East Hampton</v>
      </c>
      <c r="D2059" s="16">
        <v>3441887</v>
      </c>
      <c r="E2059">
        <f>VLOOKUP(C2059,'All Districts'!$B$3:$C$874,2,FALSE)</f>
        <v>3609660</v>
      </c>
      <c r="F2059" s="91">
        <f>COUNTIF($E$2:$E$7106,E2059)</f>
        <v>9</v>
      </c>
    </row>
    <row r="2060" spans="1:6" x14ac:dyDescent="0.2">
      <c r="A2060">
        <v>2017</v>
      </c>
      <c r="B2060" s="13">
        <v>5351</v>
      </c>
      <c r="C2060" s="90" t="str">
        <f>VLOOKUP(B2060,'All Districts'!$A$3:$B$874,2,FALSE)</f>
        <v>East Hampton</v>
      </c>
      <c r="D2060" s="16">
        <v>3032860</v>
      </c>
      <c r="E2060">
        <f>VLOOKUP(C2060,'All Districts'!$B$3:$C$874,2,FALSE)</f>
        <v>3609660</v>
      </c>
      <c r="F2060" s="91">
        <f>COUNTIF($E$2:$E$7106,E2060)</f>
        <v>9</v>
      </c>
    </row>
    <row r="2061" spans="1:6" x14ac:dyDescent="0.2">
      <c r="A2061" s="10">
        <v>2018</v>
      </c>
      <c r="B2061" s="13">
        <v>5351</v>
      </c>
      <c r="C2061" s="90" t="str">
        <f>VLOOKUP(B2061,'All Districts'!$A$3:$B$874,2,FALSE)</f>
        <v>East Hampton</v>
      </c>
      <c r="D2061" s="15">
        <v>2631528</v>
      </c>
      <c r="E2061">
        <f>VLOOKUP(C2061,'All Districts'!$B$3:$C$874,2,FALSE)</f>
        <v>3609660</v>
      </c>
      <c r="F2061" s="91">
        <f>COUNTIF($E$2:$E$7106,E2061)</f>
        <v>9</v>
      </c>
    </row>
    <row r="2062" spans="1:6" x14ac:dyDescent="0.2">
      <c r="A2062">
        <v>2019</v>
      </c>
      <c r="B2062" s="36">
        <v>5351</v>
      </c>
      <c r="C2062" s="90" t="str">
        <f>VLOOKUP(B2062,'All Districts'!$A$3:$B$874,2,FALSE)</f>
        <v>East Hampton</v>
      </c>
      <c r="D2062" s="40">
        <v>2917916</v>
      </c>
      <c r="E2062">
        <f>VLOOKUP(C2062,'All Districts'!$B$3:$C$874,2,FALSE)</f>
        <v>3609660</v>
      </c>
      <c r="F2062" s="91">
        <f>COUNTIF($E$2:$E$7106,E2062)</f>
        <v>9</v>
      </c>
    </row>
    <row r="2063" spans="1:6" x14ac:dyDescent="0.2">
      <c r="A2063">
        <v>2020</v>
      </c>
      <c r="B2063" s="36">
        <v>5351</v>
      </c>
      <c r="C2063" s="90" t="str">
        <f>VLOOKUP(B2063,'All Districts'!$A$3:$B$874,2,FALSE)</f>
        <v>East Hampton</v>
      </c>
      <c r="D2063" s="40">
        <v>2451253</v>
      </c>
      <c r="E2063">
        <f>VLOOKUP(C2063,'All Districts'!$B$3:$C$874,2,FALSE)</f>
        <v>3609660</v>
      </c>
      <c r="F2063" s="91">
        <f>COUNTIF($E$2:$E$7106,E2063)</f>
        <v>9</v>
      </c>
    </row>
    <row r="2064" spans="1:6" x14ac:dyDescent="0.2">
      <c r="A2064" s="10">
        <v>2021</v>
      </c>
      <c r="B2064" s="52">
        <v>5351</v>
      </c>
      <c r="C2064" s="90" t="str">
        <f>VLOOKUP(B2064,'All Districts'!$A$3:$B$874,2,FALSE)</f>
        <v>East Hampton</v>
      </c>
      <c r="D2064" s="76">
        <v>2631569</v>
      </c>
      <c r="E2064">
        <f>VLOOKUP(C2064,'All Districts'!$B$3:$C$874,2,FALSE)</f>
        <v>3609660</v>
      </c>
      <c r="F2064" s="91">
        <f>COUNTIF($E$2:$E$7106,E2064)</f>
        <v>9</v>
      </c>
    </row>
    <row r="2065" spans="1:6" x14ac:dyDescent="0.2">
      <c r="A2065">
        <v>2022</v>
      </c>
      <c r="B2065" s="36">
        <v>5351</v>
      </c>
      <c r="C2065" s="90" t="str">
        <f>VLOOKUP(B2065,'All Districts'!$A$3:$B$874,2,FALSE)</f>
        <v>East Hampton</v>
      </c>
      <c r="D2065" s="82">
        <v>2870322</v>
      </c>
      <c r="E2065">
        <f>VLOOKUP(C2065,'All Districts'!$B$3:$C$874,2,FALSE)</f>
        <v>3609660</v>
      </c>
      <c r="F2065" s="91">
        <f>COUNTIF($E$2:$E$7106,E2065)</f>
        <v>9</v>
      </c>
    </row>
    <row r="2066" spans="1:6" x14ac:dyDescent="0.2">
      <c r="A2066">
        <v>2023</v>
      </c>
      <c r="B2066" s="36">
        <v>5351</v>
      </c>
      <c r="C2066" s="90" t="str">
        <f>VLOOKUP(B2066,'All Districts'!$A$3:$B$874,2,FALSE)</f>
        <v>East Hampton</v>
      </c>
      <c r="D2066" s="40">
        <v>3095179</v>
      </c>
      <c r="E2066">
        <f>VLOOKUP(C2066,'All Districts'!$B$3:$C$874,2,FALSE)</f>
        <v>3609660</v>
      </c>
      <c r="F2066" s="91">
        <f>COUNTIF($E$2:$E$7106,E2066)</f>
        <v>9</v>
      </c>
    </row>
    <row r="2067" spans="1:6" x14ac:dyDescent="0.2">
      <c r="A2067">
        <v>2015</v>
      </c>
      <c r="B2067" s="13">
        <v>2112</v>
      </c>
      <c r="C2067" s="90" t="str">
        <f>VLOOKUP(B2067,'All Districts'!$A$3:$B$874,2,FALSE)</f>
        <v>East Irondequoit</v>
      </c>
      <c r="D2067" s="14">
        <v>3771804</v>
      </c>
      <c r="E2067">
        <f>VLOOKUP(C2067,'All Districts'!$B$3:$C$874,2,FALSE)</f>
        <v>3609690</v>
      </c>
      <c r="F2067" s="91">
        <f>COUNTIF($E$2:$E$7106,E2067)</f>
        <v>9</v>
      </c>
    </row>
    <row r="2068" spans="1:6" x14ac:dyDescent="0.2">
      <c r="A2068">
        <v>2016</v>
      </c>
      <c r="B2068" s="13">
        <v>2112</v>
      </c>
      <c r="C2068" s="90" t="str">
        <f>VLOOKUP(B2068,'All Districts'!$A$3:$B$874,2,FALSE)</f>
        <v>East Irondequoit</v>
      </c>
      <c r="D2068" s="16">
        <v>2874477</v>
      </c>
      <c r="E2068">
        <f>VLOOKUP(C2068,'All Districts'!$B$3:$C$874,2,FALSE)</f>
        <v>3609690</v>
      </c>
      <c r="F2068" s="91">
        <f>COUNTIF($E$2:$E$7106,E2068)</f>
        <v>9</v>
      </c>
    </row>
    <row r="2069" spans="1:6" x14ac:dyDescent="0.2">
      <c r="A2069">
        <v>2017</v>
      </c>
      <c r="B2069" s="13">
        <v>2112</v>
      </c>
      <c r="C2069" s="90" t="str">
        <f>VLOOKUP(B2069,'All Districts'!$A$3:$B$874,2,FALSE)</f>
        <v>East Irondequoit</v>
      </c>
      <c r="D2069" s="16">
        <v>2580759</v>
      </c>
      <c r="E2069">
        <f>VLOOKUP(C2069,'All Districts'!$B$3:$C$874,2,FALSE)</f>
        <v>3609690</v>
      </c>
      <c r="F2069" s="91">
        <f>COUNTIF($E$2:$E$7106,E2069)</f>
        <v>9</v>
      </c>
    </row>
    <row r="2070" spans="1:6" x14ac:dyDescent="0.2">
      <c r="A2070" s="10">
        <v>2018</v>
      </c>
      <c r="B2070" s="13">
        <v>2112</v>
      </c>
      <c r="C2070" s="90" t="str">
        <f>VLOOKUP(B2070,'All Districts'!$A$3:$B$874,2,FALSE)</f>
        <v>East Irondequoit</v>
      </c>
      <c r="D2070" s="15">
        <v>2195680</v>
      </c>
      <c r="E2070">
        <f>VLOOKUP(C2070,'All Districts'!$B$3:$C$874,2,FALSE)</f>
        <v>3609690</v>
      </c>
      <c r="F2070" s="91">
        <f>COUNTIF($E$2:$E$7106,E2070)</f>
        <v>9</v>
      </c>
    </row>
    <row r="2071" spans="1:6" x14ac:dyDescent="0.2">
      <c r="A2071">
        <v>2019</v>
      </c>
      <c r="B2071" s="36">
        <v>2112</v>
      </c>
      <c r="C2071" s="90" t="str">
        <f>VLOOKUP(B2071,'All Districts'!$A$3:$B$874,2,FALSE)</f>
        <v>East Irondequoit</v>
      </c>
      <c r="D2071" s="40">
        <v>2412027</v>
      </c>
      <c r="E2071">
        <f>VLOOKUP(C2071,'All Districts'!$B$3:$C$874,2,FALSE)</f>
        <v>3609690</v>
      </c>
      <c r="F2071" s="91">
        <f>COUNTIF($E$2:$E$7106,E2071)</f>
        <v>9</v>
      </c>
    </row>
    <row r="2072" spans="1:6" x14ac:dyDescent="0.2">
      <c r="A2072">
        <v>2020</v>
      </c>
      <c r="B2072" s="36">
        <v>2112</v>
      </c>
      <c r="C2072" s="90" t="str">
        <f>VLOOKUP(B2072,'All Districts'!$A$3:$B$874,2,FALSE)</f>
        <v>East Irondequoit</v>
      </c>
      <c r="D2072" s="40">
        <v>2094734</v>
      </c>
      <c r="E2072">
        <f>VLOOKUP(C2072,'All Districts'!$B$3:$C$874,2,FALSE)</f>
        <v>3609690</v>
      </c>
      <c r="F2072" s="91">
        <f>COUNTIF($E$2:$E$7106,E2072)</f>
        <v>9</v>
      </c>
    </row>
    <row r="2073" spans="1:6" x14ac:dyDescent="0.2">
      <c r="A2073" s="10">
        <v>2021</v>
      </c>
      <c r="B2073" s="55">
        <v>2112</v>
      </c>
      <c r="C2073" s="90" t="str">
        <f>VLOOKUP(B2073,'All Districts'!$A$3:$B$874,2,FALSE)</f>
        <v>East Irondequoit</v>
      </c>
      <c r="D2073" s="76">
        <v>2244925</v>
      </c>
      <c r="E2073">
        <f>VLOOKUP(C2073,'All Districts'!$B$3:$C$874,2,FALSE)</f>
        <v>3609690</v>
      </c>
      <c r="F2073" s="91">
        <f>COUNTIF($E$2:$E$7106,E2073)</f>
        <v>9</v>
      </c>
    </row>
    <row r="2074" spans="1:6" x14ac:dyDescent="0.2">
      <c r="A2074">
        <v>2022</v>
      </c>
      <c r="B2074" s="36">
        <v>2112</v>
      </c>
      <c r="C2074" s="90" t="str">
        <f>VLOOKUP(B2074,'All Districts'!$A$3:$B$874,2,FALSE)</f>
        <v>East Irondequoit</v>
      </c>
      <c r="D2074" s="82">
        <v>2519423</v>
      </c>
      <c r="E2074">
        <f>VLOOKUP(C2074,'All Districts'!$B$3:$C$874,2,FALSE)</f>
        <v>3609690</v>
      </c>
      <c r="F2074" s="91">
        <f>COUNTIF($E$2:$E$7106,E2074)</f>
        <v>9</v>
      </c>
    </row>
    <row r="2075" spans="1:6" x14ac:dyDescent="0.2">
      <c r="A2075">
        <v>2023</v>
      </c>
      <c r="B2075" s="36">
        <v>2112</v>
      </c>
      <c r="C2075" s="90" t="str">
        <f>VLOOKUP(B2075,'All Districts'!$A$3:$B$874,2,FALSE)</f>
        <v>East Irondequoit</v>
      </c>
      <c r="D2075" s="40">
        <v>2728661</v>
      </c>
      <c r="E2075">
        <f>VLOOKUP(C2075,'All Districts'!$B$3:$C$874,2,FALSE)</f>
        <v>3609690</v>
      </c>
      <c r="F2075" s="91">
        <f>COUNTIF($E$2:$E$7106,E2075)</f>
        <v>9</v>
      </c>
    </row>
    <row r="2076" spans="1:6" x14ac:dyDescent="0.2">
      <c r="A2076">
        <v>2015</v>
      </c>
      <c r="B2076" s="13">
        <v>2115</v>
      </c>
      <c r="C2076" s="90" t="str">
        <f>VLOOKUP(B2076,'All Districts'!$A$3:$B$874,2,FALSE)</f>
        <v>East Islip</v>
      </c>
      <c r="D2076" s="14">
        <v>8115100</v>
      </c>
      <c r="E2076">
        <f>VLOOKUP(C2076,'All Districts'!$B$3:$C$874,2,FALSE)</f>
        <v>3609720</v>
      </c>
      <c r="F2076" s="91">
        <f>COUNTIF($E$2:$E$7106,E2076)</f>
        <v>9</v>
      </c>
    </row>
    <row r="2077" spans="1:6" x14ac:dyDescent="0.2">
      <c r="A2077">
        <v>2016</v>
      </c>
      <c r="B2077" s="13">
        <v>2115</v>
      </c>
      <c r="C2077" s="90" t="str">
        <f>VLOOKUP(B2077,'All Districts'!$A$3:$B$874,2,FALSE)</f>
        <v>East Islip</v>
      </c>
      <c r="D2077" s="16">
        <v>6219105</v>
      </c>
      <c r="E2077">
        <f>VLOOKUP(C2077,'All Districts'!$B$3:$C$874,2,FALSE)</f>
        <v>3609720</v>
      </c>
      <c r="F2077" s="91">
        <f>COUNTIF($E$2:$E$7106,E2077)</f>
        <v>9</v>
      </c>
    </row>
    <row r="2078" spans="1:6" x14ac:dyDescent="0.2">
      <c r="A2078">
        <v>2017</v>
      </c>
      <c r="B2078" s="13">
        <v>2115</v>
      </c>
      <c r="C2078" s="90" t="str">
        <f>VLOOKUP(B2078,'All Districts'!$A$3:$B$874,2,FALSE)</f>
        <v>East Islip</v>
      </c>
      <c r="D2078" s="16">
        <v>5406083</v>
      </c>
      <c r="E2078">
        <f>VLOOKUP(C2078,'All Districts'!$B$3:$C$874,2,FALSE)</f>
        <v>3609720</v>
      </c>
      <c r="F2078" s="91">
        <f>COUNTIF($E$2:$E$7106,E2078)</f>
        <v>9</v>
      </c>
    </row>
    <row r="2079" spans="1:6" x14ac:dyDescent="0.2">
      <c r="A2079" s="10">
        <v>2018</v>
      </c>
      <c r="B2079" s="13">
        <v>2115</v>
      </c>
      <c r="C2079" s="90" t="str">
        <f>VLOOKUP(B2079,'All Districts'!$A$3:$B$874,2,FALSE)</f>
        <v>East Islip</v>
      </c>
      <c r="D2079" s="15">
        <v>4411327</v>
      </c>
      <c r="E2079">
        <f>VLOOKUP(C2079,'All Districts'!$B$3:$C$874,2,FALSE)</f>
        <v>3609720</v>
      </c>
      <c r="F2079" s="91">
        <f>COUNTIF($E$2:$E$7106,E2079)</f>
        <v>9</v>
      </c>
    </row>
    <row r="2080" spans="1:6" x14ac:dyDescent="0.2">
      <c r="A2080">
        <v>2019</v>
      </c>
      <c r="B2080" s="36">
        <v>2115</v>
      </c>
      <c r="C2080" s="90" t="str">
        <f>VLOOKUP(B2080,'All Districts'!$A$3:$B$874,2,FALSE)</f>
        <v>East Islip</v>
      </c>
      <c r="D2080" s="40">
        <v>4809937</v>
      </c>
      <c r="E2080">
        <f>VLOOKUP(C2080,'All Districts'!$B$3:$C$874,2,FALSE)</f>
        <v>3609720</v>
      </c>
      <c r="F2080" s="91">
        <f>COUNTIF($E$2:$E$7106,E2080)</f>
        <v>9</v>
      </c>
    </row>
    <row r="2081" spans="1:6" x14ac:dyDescent="0.2">
      <c r="A2081">
        <v>2020</v>
      </c>
      <c r="B2081" s="36">
        <v>2115</v>
      </c>
      <c r="C2081" s="90" t="str">
        <f>VLOOKUP(B2081,'All Districts'!$A$3:$B$874,2,FALSE)</f>
        <v>East Islip</v>
      </c>
      <c r="D2081" s="40">
        <v>3959218</v>
      </c>
      <c r="E2081">
        <f>VLOOKUP(C2081,'All Districts'!$B$3:$C$874,2,FALSE)</f>
        <v>3609720</v>
      </c>
      <c r="F2081" s="91">
        <f>COUNTIF($E$2:$E$7106,E2081)</f>
        <v>9</v>
      </c>
    </row>
    <row r="2082" spans="1:6" x14ac:dyDescent="0.2">
      <c r="A2082" s="10">
        <v>2021</v>
      </c>
      <c r="B2082" s="55">
        <v>2115</v>
      </c>
      <c r="C2082" s="90" t="str">
        <f>VLOOKUP(B2082,'All Districts'!$A$3:$B$874,2,FALSE)</f>
        <v>East Islip</v>
      </c>
      <c r="D2082" s="76">
        <v>4364782</v>
      </c>
      <c r="E2082">
        <f>VLOOKUP(C2082,'All Districts'!$B$3:$C$874,2,FALSE)</f>
        <v>3609720</v>
      </c>
      <c r="F2082" s="91">
        <f>COUNTIF($E$2:$E$7106,E2082)</f>
        <v>9</v>
      </c>
    </row>
    <row r="2083" spans="1:6" x14ac:dyDescent="0.2">
      <c r="A2083">
        <v>2022</v>
      </c>
      <c r="B2083" s="36">
        <v>2115</v>
      </c>
      <c r="C2083" s="90" t="str">
        <f>VLOOKUP(B2083,'All Districts'!$A$3:$B$874,2,FALSE)</f>
        <v>East Islip</v>
      </c>
      <c r="D2083" s="82">
        <v>4558814</v>
      </c>
      <c r="E2083">
        <f>VLOOKUP(C2083,'All Districts'!$B$3:$C$874,2,FALSE)</f>
        <v>3609720</v>
      </c>
      <c r="F2083" s="91">
        <f>COUNTIF($E$2:$E$7106,E2083)</f>
        <v>9</v>
      </c>
    </row>
    <row r="2084" spans="1:6" x14ac:dyDescent="0.2">
      <c r="A2084">
        <v>2023</v>
      </c>
      <c r="B2084" s="36">
        <v>2115</v>
      </c>
      <c r="C2084" s="90" t="str">
        <f>VLOOKUP(B2084,'All Districts'!$A$3:$B$874,2,FALSE)</f>
        <v>East Islip</v>
      </c>
      <c r="D2084" s="40">
        <v>4937268</v>
      </c>
      <c r="E2084">
        <f>VLOOKUP(C2084,'All Districts'!$B$3:$C$874,2,FALSE)</f>
        <v>3609720</v>
      </c>
      <c r="F2084" s="91">
        <f>COUNTIF($E$2:$E$7106,E2084)</f>
        <v>9</v>
      </c>
    </row>
    <row r="2085" spans="1:6" x14ac:dyDescent="0.2">
      <c r="A2085">
        <v>2015</v>
      </c>
      <c r="B2085" s="13">
        <v>2120</v>
      </c>
      <c r="C2085" s="90" t="str">
        <f>VLOOKUP(B2085,'All Districts'!$A$3:$B$874,2,FALSE)</f>
        <v>East Meadow</v>
      </c>
      <c r="D2085" s="14">
        <v>13680878</v>
      </c>
      <c r="E2085">
        <f>VLOOKUP(C2085,'All Districts'!$B$3:$C$874,2,FALSE)</f>
        <v>3609840</v>
      </c>
      <c r="F2085" s="91">
        <f>COUNTIF($E$2:$E$7106,E2085)</f>
        <v>9</v>
      </c>
    </row>
    <row r="2086" spans="1:6" x14ac:dyDescent="0.2">
      <c r="A2086">
        <v>2016</v>
      </c>
      <c r="B2086" s="13">
        <v>2120</v>
      </c>
      <c r="C2086" s="90" t="str">
        <f>VLOOKUP(B2086,'All Districts'!$A$3:$B$874,2,FALSE)</f>
        <v>East Meadow</v>
      </c>
      <c r="D2086" s="16">
        <v>10656844</v>
      </c>
      <c r="E2086">
        <f>VLOOKUP(C2086,'All Districts'!$B$3:$C$874,2,FALSE)</f>
        <v>3609840</v>
      </c>
      <c r="F2086" s="91">
        <f>COUNTIF($E$2:$E$7106,E2086)</f>
        <v>9</v>
      </c>
    </row>
    <row r="2087" spans="1:6" x14ac:dyDescent="0.2">
      <c r="A2087">
        <v>2017</v>
      </c>
      <c r="B2087" s="13">
        <v>2120</v>
      </c>
      <c r="C2087" s="90" t="str">
        <f>VLOOKUP(B2087,'All Districts'!$A$3:$B$874,2,FALSE)</f>
        <v>East Meadow</v>
      </c>
      <c r="D2087" s="16">
        <v>9696355</v>
      </c>
      <c r="E2087">
        <f>VLOOKUP(C2087,'All Districts'!$B$3:$C$874,2,FALSE)</f>
        <v>3609840</v>
      </c>
      <c r="F2087" s="91">
        <f>COUNTIF($E$2:$E$7106,E2087)</f>
        <v>9</v>
      </c>
    </row>
    <row r="2088" spans="1:6" x14ac:dyDescent="0.2">
      <c r="A2088" s="10">
        <v>2018</v>
      </c>
      <c r="B2088" s="13">
        <v>2120</v>
      </c>
      <c r="C2088" s="90" t="str">
        <f>VLOOKUP(B2088,'All Districts'!$A$3:$B$874,2,FALSE)</f>
        <v>East Meadow</v>
      </c>
      <c r="D2088" s="15">
        <v>8356157</v>
      </c>
      <c r="E2088">
        <f>VLOOKUP(C2088,'All Districts'!$B$3:$C$874,2,FALSE)</f>
        <v>3609840</v>
      </c>
      <c r="F2088" s="91">
        <f>COUNTIF($E$2:$E$7106,E2088)</f>
        <v>9</v>
      </c>
    </row>
    <row r="2089" spans="1:6" x14ac:dyDescent="0.2">
      <c r="A2089">
        <v>2019</v>
      </c>
      <c r="B2089" s="36">
        <v>2120</v>
      </c>
      <c r="C2089" s="90" t="str">
        <f>VLOOKUP(B2089,'All Districts'!$A$3:$B$874,2,FALSE)</f>
        <v>East Meadow</v>
      </c>
      <c r="D2089" s="40">
        <v>9192882</v>
      </c>
      <c r="E2089">
        <f>VLOOKUP(C2089,'All Districts'!$B$3:$C$874,2,FALSE)</f>
        <v>3609840</v>
      </c>
      <c r="F2089" s="91">
        <f>COUNTIF($E$2:$E$7106,E2089)</f>
        <v>9</v>
      </c>
    </row>
    <row r="2090" spans="1:6" x14ac:dyDescent="0.2">
      <c r="A2090">
        <v>2020</v>
      </c>
      <c r="B2090" s="36">
        <v>2120</v>
      </c>
      <c r="C2090" s="90" t="str">
        <f>VLOOKUP(B2090,'All Districts'!$A$3:$B$874,2,FALSE)</f>
        <v>East Meadow</v>
      </c>
      <c r="D2090" s="40">
        <v>7823406</v>
      </c>
      <c r="E2090">
        <f>VLOOKUP(C2090,'All Districts'!$B$3:$C$874,2,FALSE)</f>
        <v>3609840</v>
      </c>
      <c r="F2090" s="91">
        <f>COUNTIF($E$2:$E$7106,E2090)</f>
        <v>9</v>
      </c>
    </row>
    <row r="2091" spans="1:6" x14ac:dyDescent="0.2">
      <c r="A2091" s="10">
        <v>2021</v>
      </c>
      <c r="B2091" s="55">
        <v>2120</v>
      </c>
      <c r="C2091" s="90" t="str">
        <f>VLOOKUP(B2091,'All Districts'!$A$3:$B$874,2,FALSE)</f>
        <v>East Meadow</v>
      </c>
      <c r="D2091" s="75">
        <v>8402518</v>
      </c>
      <c r="E2091">
        <f>VLOOKUP(C2091,'All Districts'!$B$3:$C$874,2,FALSE)</f>
        <v>3609840</v>
      </c>
      <c r="F2091" s="91">
        <f>COUNTIF($E$2:$E$7106,E2091)</f>
        <v>9</v>
      </c>
    </row>
    <row r="2092" spans="1:6" x14ac:dyDescent="0.2">
      <c r="A2092">
        <v>2022</v>
      </c>
      <c r="B2092" s="36">
        <v>2120</v>
      </c>
      <c r="C2092" s="90" t="str">
        <f>VLOOKUP(B2092,'All Districts'!$A$3:$B$874,2,FALSE)</f>
        <v>East Meadow</v>
      </c>
      <c r="D2092" s="82">
        <v>8911892</v>
      </c>
      <c r="E2092">
        <f>VLOOKUP(C2092,'All Districts'!$B$3:$C$874,2,FALSE)</f>
        <v>3609840</v>
      </c>
      <c r="F2092" s="91">
        <f>COUNTIF($E$2:$E$7106,E2092)</f>
        <v>9</v>
      </c>
    </row>
    <row r="2093" spans="1:6" x14ac:dyDescent="0.2">
      <c r="A2093">
        <v>2023</v>
      </c>
      <c r="B2093" s="36">
        <v>2120</v>
      </c>
      <c r="C2093" s="90" t="str">
        <f>VLOOKUP(B2093,'All Districts'!$A$3:$B$874,2,FALSE)</f>
        <v>East Meadow</v>
      </c>
      <c r="D2093" s="40">
        <v>10095201</v>
      </c>
      <c r="E2093">
        <f>VLOOKUP(C2093,'All Districts'!$B$3:$C$874,2,FALSE)</f>
        <v>3609840</v>
      </c>
      <c r="F2093" s="91">
        <f>COUNTIF($E$2:$E$7106,E2093)</f>
        <v>9</v>
      </c>
    </row>
    <row r="2094" spans="1:6" x14ac:dyDescent="0.2">
      <c r="A2094">
        <v>2015</v>
      </c>
      <c r="B2094" s="13">
        <v>5416</v>
      </c>
      <c r="C2094" s="90" t="str">
        <f>VLOOKUP(B2094,'All Districts'!$A$3:$B$874,2,FALSE)</f>
        <v>East Moriches</v>
      </c>
      <c r="D2094" s="14">
        <v>1091915</v>
      </c>
      <c r="E2094">
        <f>VLOOKUP(C2094,'All Districts'!$B$3:$C$874,2,FALSE)</f>
        <v>3609870</v>
      </c>
      <c r="F2094" s="91">
        <f>COUNTIF($E$2:$E$7106,E2094)</f>
        <v>9</v>
      </c>
    </row>
    <row r="2095" spans="1:6" x14ac:dyDescent="0.2">
      <c r="A2095">
        <v>2016</v>
      </c>
      <c r="B2095" s="13">
        <v>5416</v>
      </c>
      <c r="C2095" s="90" t="str">
        <f>VLOOKUP(B2095,'All Districts'!$A$3:$B$874,2,FALSE)</f>
        <v>East Moriches</v>
      </c>
      <c r="D2095" s="16">
        <v>838485</v>
      </c>
      <c r="E2095">
        <f>VLOOKUP(C2095,'All Districts'!$B$3:$C$874,2,FALSE)</f>
        <v>3609870</v>
      </c>
      <c r="F2095" s="91">
        <f>COUNTIF($E$2:$E$7106,E2095)</f>
        <v>9</v>
      </c>
    </row>
    <row r="2096" spans="1:6" x14ac:dyDescent="0.2">
      <c r="A2096">
        <v>2017</v>
      </c>
      <c r="B2096" s="13">
        <v>5416</v>
      </c>
      <c r="C2096" s="90" t="str">
        <f>VLOOKUP(B2096,'All Districts'!$A$3:$B$874,2,FALSE)</f>
        <v>East Moriches</v>
      </c>
      <c r="D2096" s="16">
        <v>743093</v>
      </c>
      <c r="E2096">
        <f>VLOOKUP(C2096,'All Districts'!$B$3:$C$874,2,FALSE)</f>
        <v>3609870</v>
      </c>
      <c r="F2096" s="91">
        <f>COUNTIF($E$2:$E$7106,E2096)</f>
        <v>9</v>
      </c>
    </row>
    <row r="2097" spans="1:6" x14ac:dyDescent="0.2">
      <c r="A2097" s="10">
        <v>2018</v>
      </c>
      <c r="B2097" s="13">
        <v>5416</v>
      </c>
      <c r="C2097" s="90" t="str">
        <f>VLOOKUP(B2097,'All Districts'!$A$3:$B$874,2,FALSE)</f>
        <v>East Moriches</v>
      </c>
      <c r="D2097" s="15">
        <v>631421</v>
      </c>
      <c r="E2097">
        <f>VLOOKUP(C2097,'All Districts'!$B$3:$C$874,2,FALSE)</f>
        <v>3609870</v>
      </c>
      <c r="F2097" s="91">
        <f>COUNTIF($E$2:$E$7106,E2097)</f>
        <v>9</v>
      </c>
    </row>
    <row r="2098" spans="1:6" x14ac:dyDescent="0.2">
      <c r="A2098">
        <v>2019</v>
      </c>
      <c r="B2098" s="36">
        <v>5416</v>
      </c>
      <c r="C2098" s="90" t="str">
        <f>VLOOKUP(B2098,'All Districts'!$A$3:$B$874,2,FALSE)</f>
        <v>East Moriches</v>
      </c>
      <c r="D2098" s="40">
        <v>730312</v>
      </c>
      <c r="E2098">
        <f>VLOOKUP(C2098,'All Districts'!$B$3:$C$874,2,FALSE)</f>
        <v>3609870</v>
      </c>
      <c r="F2098" s="91">
        <f>COUNTIF($E$2:$E$7106,E2098)</f>
        <v>9</v>
      </c>
    </row>
    <row r="2099" spans="1:6" x14ac:dyDescent="0.2">
      <c r="A2099">
        <v>2020</v>
      </c>
      <c r="B2099" s="36">
        <v>5416</v>
      </c>
      <c r="C2099" s="90" t="str">
        <f>VLOOKUP(B2099,'All Districts'!$A$3:$B$874,2,FALSE)</f>
        <v>East Moriches</v>
      </c>
      <c r="D2099" s="40">
        <v>626678</v>
      </c>
      <c r="E2099">
        <f>VLOOKUP(C2099,'All Districts'!$B$3:$C$874,2,FALSE)</f>
        <v>3609870</v>
      </c>
      <c r="F2099" s="91">
        <f>COUNTIF($E$2:$E$7106,E2099)</f>
        <v>9</v>
      </c>
    </row>
    <row r="2100" spans="1:6" x14ac:dyDescent="0.2">
      <c r="A2100" s="10">
        <v>2021</v>
      </c>
      <c r="B2100" s="55">
        <v>5416</v>
      </c>
      <c r="C2100" s="90" t="str">
        <f>VLOOKUP(B2100,'All Districts'!$A$3:$B$874,2,FALSE)</f>
        <v>East Moriches</v>
      </c>
      <c r="D2100" s="75">
        <v>705863</v>
      </c>
      <c r="E2100">
        <f>VLOOKUP(C2100,'All Districts'!$B$3:$C$874,2,FALSE)</f>
        <v>3609870</v>
      </c>
      <c r="F2100" s="91">
        <f>COUNTIF($E$2:$E$7106,E2100)</f>
        <v>9</v>
      </c>
    </row>
    <row r="2101" spans="1:6" x14ac:dyDescent="0.2">
      <c r="A2101">
        <v>2022</v>
      </c>
      <c r="B2101" s="36">
        <v>5416</v>
      </c>
      <c r="C2101" s="90" t="str">
        <f>VLOOKUP(B2101,'All Districts'!$A$3:$B$874,2,FALSE)</f>
        <v>East Moriches</v>
      </c>
      <c r="D2101" s="82">
        <v>752455</v>
      </c>
      <c r="E2101">
        <f>VLOOKUP(C2101,'All Districts'!$B$3:$C$874,2,FALSE)</f>
        <v>3609870</v>
      </c>
      <c r="F2101" s="91">
        <f>COUNTIF($E$2:$E$7106,E2101)</f>
        <v>9</v>
      </c>
    </row>
    <row r="2102" spans="1:6" x14ac:dyDescent="0.2">
      <c r="A2102">
        <v>2023</v>
      </c>
      <c r="B2102" s="36">
        <v>5416</v>
      </c>
      <c r="C2102" s="90" t="str">
        <f>VLOOKUP(B2102,'All Districts'!$A$3:$B$874,2,FALSE)</f>
        <v>East Moriches</v>
      </c>
      <c r="D2102" s="40">
        <v>826500</v>
      </c>
      <c r="E2102">
        <f>VLOOKUP(C2102,'All Districts'!$B$3:$C$874,2,FALSE)</f>
        <v>3609870</v>
      </c>
      <c r="F2102" s="91">
        <f>COUNTIF($E$2:$E$7106,E2102)</f>
        <v>9</v>
      </c>
    </row>
    <row r="2103" spans="1:6" x14ac:dyDescent="0.2">
      <c r="A2103">
        <v>2015</v>
      </c>
      <c r="B2103" s="13">
        <v>5368</v>
      </c>
      <c r="C2103" s="90" t="str">
        <f>VLOOKUP(B2103,'All Districts'!$A$3:$B$874,2,FALSE)</f>
        <v>East Quogue</v>
      </c>
      <c r="D2103" s="14">
        <v>750694</v>
      </c>
      <c r="E2103">
        <f>VLOOKUP(C2103,'All Districts'!$B$3:$C$874,2,FALSE)</f>
        <v>3609900</v>
      </c>
      <c r="F2103" s="91">
        <f>COUNTIF($E$2:$E$7106,E2103)</f>
        <v>9</v>
      </c>
    </row>
    <row r="2104" spans="1:6" x14ac:dyDescent="0.2">
      <c r="A2104">
        <v>2016</v>
      </c>
      <c r="B2104" s="13">
        <v>5368</v>
      </c>
      <c r="C2104" s="90" t="str">
        <f>VLOOKUP(B2104,'All Districts'!$A$3:$B$874,2,FALSE)</f>
        <v>East Quogue</v>
      </c>
      <c r="D2104" s="16">
        <v>567021</v>
      </c>
      <c r="E2104">
        <f>VLOOKUP(C2104,'All Districts'!$B$3:$C$874,2,FALSE)</f>
        <v>3609900</v>
      </c>
      <c r="F2104" s="91">
        <f>COUNTIF($E$2:$E$7106,E2104)</f>
        <v>9</v>
      </c>
    </row>
    <row r="2105" spans="1:6" x14ac:dyDescent="0.2">
      <c r="A2105">
        <v>2017</v>
      </c>
      <c r="B2105" s="13">
        <v>5368</v>
      </c>
      <c r="C2105" s="90" t="str">
        <f>VLOOKUP(B2105,'All Districts'!$A$3:$B$874,2,FALSE)</f>
        <v>East Quogue</v>
      </c>
      <c r="D2105" s="16">
        <v>509987</v>
      </c>
      <c r="E2105">
        <f>VLOOKUP(C2105,'All Districts'!$B$3:$C$874,2,FALSE)</f>
        <v>3609900</v>
      </c>
      <c r="F2105" s="91">
        <f>COUNTIF($E$2:$E$7106,E2105)</f>
        <v>9</v>
      </c>
    </row>
    <row r="2106" spans="1:6" x14ac:dyDescent="0.2">
      <c r="A2106" s="10">
        <v>2018</v>
      </c>
      <c r="B2106" s="13">
        <v>5368</v>
      </c>
      <c r="C2106" s="90" t="str">
        <f>VLOOKUP(B2106,'All Districts'!$A$3:$B$874,2,FALSE)</f>
        <v>East Quogue</v>
      </c>
      <c r="D2106" s="15">
        <v>439559</v>
      </c>
      <c r="E2106">
        <f>VLOOKUP(C2106,'All Districts'!$B$3:$C$874,2,FALSE)</f>
        <v>3609900</v>
      </c>
      <c r="F2106" s="91">
        <f>COUNTIF($E$2:$E$7106,E2106)</f>
        <v>9</v>
      </c>
    </row>
    <row r="2107" spans="1:6" x14ac:dyDescent="0.2">
      <c r="A2107">
        <v>2019</v>
      </c>
      <c r="B2107" s="36">
        <v>5368</v>
      </c>
      <c r="C2107" s="90" t="str">
        <f>VLOOKUP(B2107,'All Districts'!$A$3:$B$874,2,FALSE)</f>
        <v>East Quogue</v>
      </c>
      <c r="D2107" s="40">
        <v>515771</v>
      </c>
      <c r="E2107">
        <f>VLOOKUP(C2107,'All Districts'!$B$3:$C$874,2,FALSE)</f>
        <v>3609900</v>
      </c>
      <c r="F2107" s="91">
        <f>COUNTIF($E$2:$E$7106,E2107)</f>
        <v>9</v>
      </c>
    </row>
    <row r="2108" spans="1:6" x14ac:dyDescent="0.2">
      <c r="A2108">
        <v>2020</v>
      </c>
      <c r="B2108" s="36">
        <v>5368</v>
      </c>
      <c r="C2108" s="90" t="str">
        <f>VLOOKUP(B2108,'All Districts'!$A$3:$B$874,2,FALSE)</f>
        <v>East Quogue</v>
      </c>
      <c r="D2108" s="40">
        <v>447988</v>
      </c>
      <c r="E2108">
        <f>VLOOKUP(C2108,'All Districts'!$B$3:$C$874,2,FALSE)</f>
        <v>3609900</v>
      </c>
      <c r="F2108" s="91">
        <f>COUNTIF($E$2:$E$7106,E2108)</f>
        <v>9</v>
      </c>
    </row>
    <row r="2109" spans="1:6" x14ac:dyDescent="0.2">
      <c r="A2109" s="10">
        <v>2021</v>
      </c>
      <c r="B2109" s="55">
        <v>5368</v>
      </c>
      <c r="C2109" s="90" t="str">
        <f>VLOOKUP(B2109,'All Districts'!$A$3:$B$874,2,FALSE)</f>
        <v>East Quogue</v>
      </c>
      <c r="D2109" s="76">
        <v>484706</v>
      </c>
      <c r="E2109">
        <f>VLOOKUP(C2109,'All Districts'!$B$3:$C$874,2,FALSE)</f>
        <v>3609900</v>
      </c>
      <c r="F2109" s="91">
        <f>COUNTIF($E$2:$E$7106,E2109)</f>
        <v>9</v>
      </c>
    </row>
    <row r="2110" spans="1:6" x14ac:dyDescent="0.2">
      <c r="A2110">
        <v>2022</v>
      </c>
      <c r="B2110" s="36">
        <v>5368</v>
      </c>
      <c r="C2110" s="90" t="str">
        <f>VLOOKUP(B2110,'All Districts'!$A$3:$B$874,2,FALSE)</f>
        <v>East Quogue</v>
      </c>
      <c r="D2110" s="82">
        <v>514310</v>
      </c>
      <c r="E2110">
        <f>VLOOKUP(C2110,'All Districts'!$B$3:$C$874,2,FALSE)</f>
        <v>3609900</v>
      </c>
      <c r="F2110" s="91">
        <f>COUNTIF($E$2:$E$7106,E2110)</f>
        <v>9</v>
      </c>
    </row>
    <row r="2111" spans="1:6" x14ac:dyDescent="0.2">
      <c r="A2111">
        <v>2023</v>
      </c>
      <c r="B2111" s="36">
        <v>5368</v>
      </c>
      <c r="C2111" s="90" t="str">
        <f>VLOOKUP(B2111,'All Districts'!$A$3:$B$874,2,FALSE)</f>
        <v>East Quogue</v>
      </c>
      <c r="D2111" s="40">
        <v>565393</v>
      </c>
      <c r="E2111">
        <f>VLOOKUP(C2111,'All Districts'!$B$3:$C$874,2,FALSE)</f>
        <v>3609900</v>
      </c>
      <c r="F2111" s="91">
        <f>COUNTIF($E$2:$E$7106,E2111)</f>
        <v>9</v>
      </c>
    </row>
    <row r="2112" spans="1:6" x14ac:dyDescent="0.2">
      <c r="A2112">
        <v>2015</v>
      </c>
      <c r="B2112" s="13">
        <v>2575</v>
      </c>
      <c r="C2112" s="90" t="str">
        <f>VLOOKUP(B2112,'All Districts'!$A$3:$B$874,2,FALSE)</f>
        <v>East Ramapo</v>
      </c>
      <c r="D2112" s="14">
        <v>14483831</v>
      </c>
      <c r="E2112">
        <f>VLOOKUP(C2112,'All Districts'!$B$3:$C$874,2,FALSE)</f>
        <v>3627810</v>
      </c>
      <c r="F2112" s="91">
        <f>COUNTIF($E$2:$E$7106,E2112)</f>
        <v>9</v>
      </c>
    </row>
    <row r="2113" spans="1:6" x14ac:dyDescent="0.2">
      <c r="A2113">
        <v>2016</v>
      </c>
      <c r="B2113" s="13">
        <v>2575</v>
      </c>
      <c r="C2113" s="90" t="str">
        <f>VLOOKUP(B2113,'All Districts'!$A$3:$B$874,2,FALSE)</f>
        <v>East Ramapo</v>
      </c>
      <c r="D2113" s="16">
        <v>11583393</v>
      </c>
      <c r="E2113">
        <f>VLOOKUP(C2113,'All Districts'!$B$3:$C$874,2,FALSE)</f>
        <v>3627810</v>
      </c>
      <c r="F2113" s="91">
        <f>COUNTIF($E$2:$E$7106,E2113)</f>
        <v>9</v>
      </c>
    </row>
    <row r="2114" spans="1:6" x14ac:dyDescent="0.2">
      <c r="A2114">
        <v>2017</v>
      </c>
      <c r="B2114" s="13">
        <v>2575</v>
      </c>
      <c r="C2114" s="90" t="str">
        <f>VLOOKUP(B2114,'All Districts'!$A$3:$B$874,2,FALSE)</f>
        <v>East Ramapo</v>
      </c>
      <c r="D2114" s="16">
        <v>10579578</v>
      </c>
      <c r="E2114">
        <f>VLOOKUP(C2114,'All Districts'!$B$3:$C$874,2,FALSE)</f>
        <v>3627810</v>
      </c>
      <c r="F2114" s="91">
        <f>COUNTIF($E$2:$E$7106,E2114)</f>
        <v>9</v>
      </c>
    </row>
    <row r="2115" spans="1:6" x14ac:dyDescent="0.2">
      <c r="A2115" s="10">
        <v>2018</v>
      </c>
      <c r="B2115" s="13">
        <v>2575</v>
      </c>
      <c r="C2115" s="90" t="str">
        <f>VLOOKUP(B2115,'All Districts'!$A$3:$B$874,2,FALSE)</f>
        <v>East Ramapo</v>
      </c>
      <c r="D2115" s="15">
        <v>9420314</v>
      </c>
      <c r="E2115">
        <f>VLOOKUP(C2115,'All Districts'!$B$3:$C$874,2,FALSE)</f>
        <v>3627810</v>
      </c>
      <c r="F2115" s="91">
        <f>COUNTIF($E$2:$E$7106,E2115)</f>
        <v>9</v>
      </c>
    </row>
    <row r="2116" spans="1:6" x14ac:dyDescent="0.2">
      <c r="A2116">
        <v>2019</v>
      </c>
      <c r="B2116" s="36">
        <v>2575</v>
      </c>
      <c r="C2116" s="90" t="str">
        <f>VLOOKUP(B2116,'All Districts'!$A$3:$B$874,2,FALSE)</f>
        <v>East Ramapo</v>
      </c>
      <c r="D2116" s="40">
        <v>10357487</v>
      </c>
      <c r="E2116">
        <f>VLOOKUP(C2116,'All Districts'!$B$3:$C$874,2,FALSE)</f>
        <v>3627810</v>
      </c>
      <c r="F2116" s="91">
        <f>COUNTIF($E$2:$E$7106,E2116)</f>
        <v>9</v>
      </c>
    </row>
    <row r="2117" spans="1:6" x14ac:dyDescent="0.2">
      <c r="A2117">
        <v>2020</v>
      </c>
      <c r="B2117" s="36">
        <v>2575</v>
      </c>
      <c r="C2117" s="90" t="str">
        <f>VLOOKUP(B2117,'All Districts'!$A$3:$B$874,2,FALSE)</f>
        <v>East Ramapo</v>
      </c>
      <c r="D2117" s="40">
        <v>9040301</v>
      </c>
      <c r="E2117">
        <f>VLOOKUP(C2117,'All Districts'!$B$3:$C$874,2,FALSE)</f>
        <v>3627810</v>
      </c>
      <c r="F2117" s="91">
        <f>COUNTIF($E$2:$E$7106,E2117)</f>
        <v>9</v>
      </c>
    </row>
    <row r="2118" spans="1:6" x14ac:dyDescent="0.2">
      <c r="A2118" s="10">
        <v>2021</v>
      </c>
      <c r="B2118" s="55">
        <v>2575</v>
      </c>
      <c r="C2118" s="90" t="str">
        <f>VLOOKUP(B2118,'All Districts'!$A$3:$B$874,2,FALSE)</f>
        <v>East Ramapo</v>
      </c>
      <c r="D2118" s="75">
        <v>9790115</v>
      </c>
      <c r="E2118">
        <f>VLOOKUP(C2118,'All Districts'!$B$3:$C$874,2,FALSE)</f>
        <v>3627810</v>
      </c>
      <c r="F2118" s="91">
        <f>COUNTIF($E$2:$E$7106,E2118)</f>
        <v>9</v>
      </c>
    </row>
    <row r="2119" spans="1:6" x14ac:dyDescent="0.2">
      <c r="A2119">
        <v>2022</v>
      </c>
      <c r="B2119" s="36">
        <v>2575</v>
      </c>
      <c r="C2119" s="90" t="str">
        <f>VLOOKUP(B2119,'All Districts'!$A$3:$B$874,2,FALSE)</f>
        <v>East Ramapo</v>
      </c>
      <c r="D2119" s="82">
        <v>10208424</v>
      </c>
      <c r="E2119">
        <f>VLOOKUP(C2119,'All Districts'!$B$3:$C$874,2,FALSE)</f>
        <v>3627810</v>
      </c>
      <c r="F2119" s="91">
        <f>COUNTIF($E$2:$E$7106,E2119)</f>
        <v>9</v>
      </c>
    </row>
    <row r="2120" spans="1:6" x14ac:dyDescent="0.2">
      <c r="A2120">
        <v>2023</v>
      </c>
      <c r="B2120" s="36">
        <v>2575</v>
      </c>
      <c r="C2120" s="90" t="str">
        <f>VLOOKUP(B2120,'All Districts'!$A$3:$B$874,2,FALSE)</f>
        <v>East Ramapo</v>
      </c>
      <c r="D2120" s="40">
        <v>11087885</v>
      </c>
      <c r="E2120">
        <f>VLOOKUP(C2120,'All Districts'!$B$3:$C$874,2,FALSE)</f>
        <v>3627810</v>
      </c>
      <c r="F2120" s="91">
        <f>COUNTIF($E$2:$E$7106,E2120)</f>
        <v>9</v>
      </c>
    </row>
    <row r="2121" spans="1:6" x14ac:dyDescent="0.2">
      <c r="A2121">
        <v>2015</v>
      </c>
      <c r="B2121" s="13">
        <v>2125</v>
      </c>
      <c r="C2121" s="90" t="str">
        <f>VLOOKUP(B2121,'All Districts'!$A$3:$B$874,2,FALSE)</f>
        <v>East Rochester</v>
      </c>
      <c r="D2121" s="14">
        <v>1384186</v>
      </c>
      <c r="E2121">
        <f>VLOOKUP(C2121,'All Districts'!$B$3:$C$874,2,FALSE)</f>
        <v>3609930</v>
      </c>
      <c r="F2121" s="91">
        <f>COUNTIF($E$2:$E$7106,E2121)</f>
        <v>9</v>
      </c>
    </row>
    <row r="2122" spans="1:6" x14ac:dyDescent="0.2">
      <c r="A2122">
        <v>2016</v>
      </c>
      <c r="B2122" s="13">
        <v>2125</v>
      </c>
      <c r="C2122" s="90" t="str">
        <f>VLOOKUP(B2122,'All Districts'!$A$3:$B$874,2,FALSE)</f>
        <v>East Rochester</v>
      </c>
      <c r="D2122" s="16">
        <v>1129313</v>
      </c>
      <c r="E2122">
        <f>VLOOKUP(C2122,'All Districts'!$B$3:$C$874,2,FALSE)</f>
        <v>3609930</v>
      </c>
      <c r="F2122" s="91">
        <f>COUNTIF($E$2:$E$7106,E2122)</f>
        <v>9</v>
      </c>
    </row>
    <row r="2123" spans="1:6" x14ac:dyDescent="0.2">
      <c r="A2123">
        <v>2017</v>
      </c>
      <c r="B2123" s="13">
        <v>2125</v>
      </c>
      <c r="C2123" s="90" t="str">
        <f>VLOOKUP(B2123,'All Districts'!$A$3:$B$874,2,FALSE)</f>
        <v>East Rochester</v>
      </c>
      <c r="D2123" s="16">
        <v>1012743</v>
      </c>
      <c r="E2123">
        <f>VLOOKUP(C2123,'All Districts'!$B$3:$C$874,2,FALSE)</f>
        <v>3609930</v>
      </c>
      <c r="F2123" s="91">
        <f>COUNTIF($E$2:$E$7106,E2123)</f>
        <v>9</v>
      </c>
    </row>
    <row r="2124" spans="1:6" x14ac:dyDescent="0.2">
      <c r="A2124" s="10">
        <v>2018</v>
      </c>
      <c r="B2124" s="13">
        <v>2125</v>
      </c>
      <c r="C2124" s="90" t="str">
        <f>VLOOKUP(B2124,'All Districts'!$A$3:$B$874,2,FALSE)</f>
        <v>East Rochester</v>
      </c>
      <c r="D2124" s="15">
        <v>845996</v>
      </c>
      <c r="E2124">
        <f>VLOOKUP(C2124,'All Districts'!$B$3:$C$874,2,FALSE)</f>
        <v>3609930</v>
      </c>
      <c r="F2124" s="91">
        <f>COUNTIF($E$2:$E$7106,E2124)</f>
        <v>9</v>
      </c>
    </row>
    <row r="2125" spans="1:6" x14ac:dyDescent="0.2">
      <c r="A2125">
        <v>2019</v>
      </c>
      <c r="B2125" s="36">
        <v>2125</v>
      </c>
      <c r="C2125" s="90" t="str">
        <f>VLOOKUP(B2125,'All Districts'!$A$3:$B$874,2,FALSE)</f>
        <v>East Rochester</v>
      </c>
      <c r="D2125" s="40">
        <v>940898</v>
      </c>
      <c r="E2125">
        <f>VLOOKUP(C2125,'All Districts'!$B$3:$C$874,2,FALSE)</f>
        <v>3609930</v>
      </c>
      <c r="F2125" s="91">
        <f>COUNTIF($E$2:$E$7106,E2125)</f>
        <v>9</v>
      </c>
    </row>
    <row r="2126" spans="1:6" x14ac:dyDescent="0.2">
      <c r="A2126">
        <v>2020</v>
      </c>
      <c r="B2126" s="36">
        <v>2125</v>
      </c>
      <c r="C2126" s="90" t="str">
        <f>VLOOKUP(B2126,'All Districts'!$A$3:$B$874,2,FALSE)</f>
        <v>East Rochester</v>
      </c>
      <c r="D2126" s="40">
        <v>763268</v>
      </c>
      <c r="E2126">
        <f>VLOOKUP(C2126,'All Districts'!$B$3:$C$874,2,FALSE)</f>
        <v>3609930</v>
      </c>
      <c r="F2126" s="91">
        <f>COUNTIF($E$2:$E$7106,E2126)</f>
        <v>9</v>
      </c>
    </row>
    <row r="2127" spans="1:6" x14ac:dyDescent="0.2">
      <c r="A2127" s="10">
        <v>2021</v>
      </c>
      <c r="B2127" s="52">
        <v>2125</v>
      </c>
      <c r="C2127" s="90" t="str">
        <f>VLOOKUP(B2127,'All Districts'!$A$3:$B$874,2,FALSE)</f>
        <v>East Rochester</v>
      </c>
      <c r="D2127" s="76">
        <v>799009</v>
      </c>
      <c r="E2127">
        <f>VLOOKUP(C2127,'All Districts'!$B$3:$C$874,2,FALSE)</f>
        <v>3609930</v>
      </c>
      <c r="F2127" s="91">
        <f>COUNTIF($E$2:$E$7106,E2127)</f>
        <v>9</v>
      </c>
    </row>
    <row r="2128" spans="1:6" x14ac:dyDescent="0.2">
      <c r="A2128">
        <v>2022</v>
      </c>
      <c r="B2128" s="36">
        <v>2125</v>
      </c>
      <c r="C2128" s="90" t="str">
        <f>VLOOKUP(B2128,'All Districts'!$A$3:$B$874,2,FALSE)</f>
        <v>East Rochester</v>
      </c>
      <c r="D2128" s="82">
        <v>909437</v>
      </c>
      <c r="E2128">
        <f>VLOOKUP(C2128,'All Districts'!$B$3:$C$874,2,FALSE)</f>
        <v>3609930</v>
      </c>
      <c r="F2128" s="91">
        <f>COUNTIF($E$2:$E$7106,E2128)</f>
        <v>9</v>
      </c>
    </row>
    <row r="2129" spans="1:6" x14ac:dyDescent="0.2">
      <c r="A2129">
        <v>2023</v>
      </c>
      <c r="B2129" s="36">
        <v>2125</v>
      </c>
      <c r="C2129" s="90" t="str">
        <f>VLOOKUP(B2129,'All Districts'!$A$3:$B$874,2,FALSE)</f>
        <v>East Rochester</v>
      </c>
      <c r="D2129" s="40">
        <v>960651</v>
      </c>
      <c r="E2129">
        <f>VLOOKUP(C2129,'All Districts'!$B$3:$C$874,2,FALSE)</f>
        <v>3609930</v>
      </c>
      <c r="F2129" s="91">
        <f>COUNTIF($E$2:$E$7106,E2129)</f>
        <v>9</v>
      </c>
    </row>
    <row r="2130" spans="1:6" x14ac:dyDescent="0.2">
      <c r="A2130">
        <v>2015</v>
      </c>
      <c r="B2130" s="13">
        <v>2130</v>
      </c>
      <c r="C2130" s="90" t="str">
        <f>VLOOKUP(B2130,'All Districts'!$A$3:$B$874,2,FALSE)</f>
        <v>East Rockaway</v>
      </c>
      <c r="D2130" s="14">
        <v>2659146</v>
      </c>
      <c r="E2130">
        <f>VLOOKUP(C2130,'All Districts'!$B$3:$C$874,2,FALSE)</f>
        <v>3609960</v>
      </c>
      <c r="F2130" s="91">
        <f>COUNTIF($E$2:$E$7106,E2130)</f>
        <v>9</v>
      </c>
    </row>
    <row r="2131" spans="1:6" x14ac:dyDescent="0.2">
      <c r="A2131">
        <v>2016</v>
      </c>
      <c r="B2131" s="13">
        <v>2130</v>
      </c>
      <c r="C2131" s="90" t="str">
        <f>VLOOKUP(B2131,'All Districts'!$A$3:$B$874,2,FALSE)</f>
        <v>East Rockaway</v>
      </c>
      <c r="D2131" s="16">
        <v>2053321</v>
      </c>
      <c r="E2131">
        <f>VLOOKUP(C2131,'All Districts'!$B$3:$C$874,2,FALSE)</f>
        <v>3609960</v>
      </c>
      <c r="F2131" s="91">
        <f>COUNTIF($E$2:$E$7106,E2131)</f>
        <v>9</v>
      </c>
    </row>
    <row r="2132" spans="1:6" x14ac:dyDescent="0.2">
      <c r="A2132">
        <v>2017</v>
      </c>
      <c r="B2132" s="13">
        <v>2130</v>
      </c>
      <c r="C2132" s="90" t="str">
        <f>VLOOKUP(B2132,'All Districts'!$A$3:$B$874,2,FALSE)</f>
        <v>East Rockaway</v>
      </c>
      <c r="D2132" s="16">
        <v>1834641</v>
      </c>
      <c r="E2132">
        <f>VLOOKUP(C2132,'All Districts'!$B$3:$C$874,2,FALSE)</f>
        <v>3609960</v>
      </c>
      <c r="F2132" s="91">
        <f>COUNTIF($E$2:$E$7106,E2132)</f>
        <v>9</v>
      </c>
    </row>
    <row r="2133" spans="1:6" x14ac:dyDescent="0.2">
      <c r="A2133" s="10">
        <v>2018</v>
      </c>
      <c r="B2133" s="13">
        <v>2130</v>
      </c>
      <c r="C2133" s="90" t="str">
        <f>VLOOKUP(B2133,'All Districts'!$A$3:$B$874,2,FALSE)</f>
        <v>East Rockaway</v>
      </c>
      <c r="D2133" s="15">
        <v>1531006</v>
      </c>
      <c r="E2133">
        <f>VLOOKUP(C2133,'All Districts'!$B$3:$C$874,2,FALSE)</f>
        <v>3609960</v>
      </c>
      <c r="F2133" s="91">
        <f>COUNTIF($E$2:$E$7106,E2133)</f>
        <v>9</v>
      </c>
    </row>
    <row r="2134" spans="1:6" x14ac:dyDescent="0.2">
      <c r="A2134">
        <v>2019</v>
      </c>
      <c r="B2134" s="36">
        <v>2130</v>
      </c>
      <c r="C2134" s="90" t="str">
        <f>VLOOKUP(B2134,'All Districts'!$A$3:$B$874,2,FALSE)</f>
        <v>East Rockaway</v>
      </c>
      <c r="D2134" s="40">
        <v>1685533</v>
      </c>
      <c r="E2134">
        <f>VLOOKUP(C2134,'All Districts'!$B$3:$C$874,2,FALSE)</f>
        <v>3609960</v>
      </c>
      <c r="F2134" s="91">
        <f>COUNTIF($E$2:$E$7106,E2134)</f>
        <v>9</v>
      </c>
    </row>
    <row r="2135" spans="1:6" x14ac:dyDescent="0.2">
      <c r="A2135">
        <v>2020</v>
      </c>
      <c r="B2135" s="36">
        <v>2130</v>
      </c>
      <c r="C2135" s="90" t="str">
        <f>VLOOKUP(B2135,'All Districts'!$A$3:$B$874,2,FALSE)</f>
        <v>East Rockaway</v>
      </c>
      <c r="D2135" s="40">
        <v>1418915</v>
      </c>
      <c r="E2135">
        <f>VLOOKUP(C2135,'All Districts'!$B$3:$C$874,2,FALSE)</f>
        <v>3609960</v>
      </c>
      <c r="F2135" s="91">
        <f>COUNTIF($E$2:$E$7106,E2135)</f>
        <v>9</v>
      </c>
    </row>
    <row r="2136" spans="1:6" x14ac:dyDescent="0.2">
      <c r="A2136" s="10">
        <v>2021</v>
      </c>
      <c r="B2136" s="71">
        <v>2130</v>
      </c>
      <c r="C2136" s="90" t="str">
        <f>VLOOKUP(B2136,'All Districts'!$A$3:$B$874,2,FALSE)</f>
        <v>East Rockaway</v>
      </c>
      <c r="D2136" s="76">
        <v>1571597</v>
      </c>
      <c r="E2136">
        <f>VLOOKUP(C2136,'All Districts'!$B$3:$C$874,2,FALSE)</f>
        <v>3609960</v>
      </c>
      <c r="F2136" s="91">
        <f>COUNTIF($E$2:$E$7106,E2136)</f>
        <v>9</v>
      </c>
    </row>
    <row r="2137" spans="1:6" x14ac:dyDescent="0.2">
      <c r="A2137">
        <v>2022</v>
      </c>
      <c r="B2137" s="36">
        <v>2130</v>
      </c>
      <c r="C2137" s="90" t="str">
        <f>VLOOKUP(B2137,'All Districts'!$A$3:$B$874,2,FALSE)</f>
        <v>East Rockaway</v>
      </c>
      <c r="D2137" s="82">
        <v>1668249</v>
      </c>
      <c r="E2137">
        <f>VLOOKUP(C2137,'All Districts'!$B$3:$C$874,2,FALSE)</f>
        <v>3609960</v>
      </c>
      <c r="F2137" s="91">
        <f>COUNTIF($E$2:$E$7106,E2137)</f>
        <v>9</v>
      </c>
    </row>
    <row r="2138" spans="1:6" x14ac:dyDescent="0.2">
      <c r="A2138">
        <v>2023</v>
      </c>
      <c r="B2138" s="36">
        <v>2130</v>
      </c>
      <c r="C2138" s="90" t="str">
        <f>VLOOKUP(B2138,'All Districts'!$A$3:$B$874,2,FALSE)</f>
        <v>East Rockaway</v>
      </c>
      <c r="D2138" s="40">
        <v>1809329</v>
      </c>
      <c r="E2138">
        <f>VLOOKUP(C2138,'All Districts'!$B$3:$C$874,2,FALSE)</f>
        <v>3609960</v>
      </c>
      <c r="F2138" s="91">
        <f>COUNTIF($E$2:$E$7106,E2138)</f>
        <v>9</v>
      </c>
    </row>
    <row r="2139" spans="1:6" x14ac:dyDescent="0.2">
      <c r="A2139">
        <v>2015</v>
      </c>
      <c r="B2139" s="13">
        <v>2135</v>
      </c>
      <c r="C2139" s="90" t="str">
        <f>VLOOKUP(B2139,'All Districts'!$A$3:$B$874,2,FALSE)</f>
        <v>East Syracuse-Minoa</v>
      </c>
      <c r="D2139" s="14">
        <v>4885480</v>
      </c>
      <c r="E2139">
        <f>VLOOKUP(C2139,'All Districts'!$B$3:$C$874,2,FALSE)</f>
        <v>3609990</v>
      </c>
      <c r="F2139" s="91">
        <f>COUNTIF($E$2:$E$7106,E2139)</f>
        <v>9</v>
      </c>
    </row>
    <row r="2140" spans="1:6" x14ac:dyDescent="0.2">
      <c r="A2140">
        <v>2016</v>
      </c>
      <c r="B2140" s="13">
        <v>2135</v>
      </c>
      <c r="C2140" s="90" t="str">
        <f>VLOOKUP(B2140,'All Districts'!$A$3:$B$874,2,FALSE)</f>
        <v>East Syracuse-Minoa</v>
      </c>
      <c r="D2140" s="16">
        <v>3712962</v>
      </c>
      <c r="E2140">
        <f>VLOOKUP(C2140,'All Districts'!$B$3:$C$874,2,FALSE)</f>
        <v>3609990</v>
      </c>
      <c r="F2140" s="91">
        <f>COUNTIF($E$2:$E$7106,E2140)</f>
        <v>9</v>
      </c>
    </row>
    <row r="2141" spans="1:6" x14ac:dyDescent="0.2">
      <c r="A2141">
        <v>2017</v>
      </c>
      <c r="B2141" s="13">
        <v>2135</v>
      </c>
      <c r="C2141" s="90" t="str">
        <f>VLOOKUP(B2141,'All Districts'!$A$3:$B$874,2,FALSE)</f>
        <v>East Syracuse-Minoa</v>
      </c>
      <c r="D2141" s="16">
        <v>3404868</v>
      </c>
      <c r="E2141">
        <f>VLOOKUP(C2141,'All Districts'!$B$3:$C$874,2,FALSE)</f>
        <v>3609990</v>
      </c>
      <c r="F2141" s="91">
        <f>COUNTIF($E$2:$E$7106,E2141)</f>
        <v>9</v>
      </c>
    </row>
    <row r="2142" spans="1:6" x14ac:dyDescent="0.2">
      <c r="A2142" s="10">
        <v>2018</v>
      </c>
      <c r="B2142" s="13">
        <v>2135</v>
      </c>
      <c r="C2142" s="90" t="str">
        <f>VLOOKUP(B2142,'All Districts'!$A$3:$B$874,2,FALSE)</f>
        <v>East Syracuse-Minoa</v>
      </c>
      <c r="D2142" s="15">
        <v>2995695</v>
      </c>
      <c r="E2142">
        <f>VLOOKUP(C2142,'All Districts'!$B$3:$C$874,2,FALSE)</f>
        <v>3609990</v>
      </c>
      <c r="F2142" s="91">
        <f>COUNTIF($E$2:$E$7106,E2142)</f>
        <v>9</v>
      </c>
    </row>
    <row r="2143" spans="1:6" x14ac:dyDescent="0.2">
      <c r="A2143">
        <v>2019</v>
      </c>
      <c r="B2143" s="36">
        <v>2135</v>
      </c>
      <c r="C2143" s="90" t="str">
        <f>VLOOKUP(B2143,'All Districts'!$A$3:$B$874,2,FALSE)</f>
        <v>East Syracuse-Minoa</v>
      </c>
      <c r="D2143" s="40">
        <v>3343183</v>
      </c>
      <c r="E2143">
        <f>VLOOKUP(C2143,'All Districts'!$B$3:$C$874,2,FALSE)</f>
        <v>3609990</v>
      </c>
      <c r="F2143" s="91">
        <f>COUNTIF($E$2:$E$7106,E2143)</f>
        <v>9</v>
      </c>
    </row>
    <row r="2144" spans="1:6" x14ac:dyDescent="0.2">
      <c r="A2144">
        <v>2020</v>
      </c>
      <c r="B2144" s="36">
        <v>2135</v>
      </c>
      <c r="C2144" s="90" t="str">
        <f>VLOOKUP(B2144,'All Districts'!$A$3:$B$874,2,FALSE)</f>
        <v>East Syracuse-Minoa</v>
      </c>
      <c r="D2144" s="40">
        <v>2821901</v>
      </c>
      <c r="E2144">
        <f>VLOOKUP(C2144,'All Districts'!$B$3:$C$874,2,FALSE)</f>
        <v>3609990</v>
      </c>
      <c r="F2144" s="91">
        <f>COUNTIF($E$2:$E$7106,E2144)</f>
        <v>9</v>
      </c>
    </row>
    <row r="2145" spans="1:6" x14ac:dyDescent="0.2">
      <c r="A2145" s="10">
        <v>2021</v>
      </c>
      <c r="B2145" s="52">
        <v>2135</v>
      </c>
      <c r="C2145" s="90" t="str">
        <f>VLOOKUP(B2145,'All Districts'!$A$3:$B$874,2,FALSE)</f>
        <v>East Syracuse-Minoa</v>
      </c>
      <c r="D2145" s="75">
        <v>3060569</v>
      </c>
      <c r="E2145">
        <f>VLOOKUP(C2145,'All Districts'!$B$3:$C$874,2,FALSE)</f>
        <v>3609990</v>
      </c>
      <c r="F2145" s="91">
        <f>COUNTIF($E$2:$E$7106,E2145)</f>
        <v>9</v>
      </c>
    </row>
    <row r="2146" spans="1:6" x14ac:dyDescent="0.2">
      <c r="A2146">
        <v>2022</v>
      </c>
      <c r="B2146" s="36">
        <v>2135</v>
      </c>
      <c r="C2146" s="90" t="str">
        <f>VLOOKUP(B2146,'All Districts'!$A$3:$B$874,2,FALSE)</f>
        <v>East Syracuse-Minoa</v>
      </c>
      <c r="D2146" s="82">
        <v>3273315</v>
      </c>
      <c r="E2146">
        <f>VLOOKUP(C2146,'All Districts'!$B$3:$C$874,2,FALSE)</f>
        <v>3609990</v>
      </c>
      <c r="F2146" s="91">
        <f>COUNTIF($E$2:$E$7106,E2146)</f>
        <v>9</v>
      </c>
    </row>
    <row r="2147" spans="1:6" x14ac:dyDescent="0.2">
      <c r="A2147">
        <v>2023</v>
      </c>
      <c r="B2147" s="36">
        <v>2135</v>
      </c>
      <c r="C2147" s="90" t="str">
        <f>VLOOKUP(B2147,'All Districts'!$A$3:$B$874,2,FALSE)</f>
        <v>East Syracuse-Minoa</v>
      </c>
      <c r="D2147" s="40">
        <v>3520399</v>
      </c>
      <c r="E2147">
        <f>VLOOKUP(C2147,'All Districts'!$B$3:$C$874,2,FALSE)</f>
        <v>3609990</v>
      </c>
      <c r="F2147" s="91">
        <f>COUNTIF($E$2:$E$7106,E2147)</f>
        <v>9</v>
      </c>
    </row>
    <row r="2148" spans="1:6" x14ac:dyDescent="0.2">
      <c r="A2148">
        <v>2015</v>
      </c>
      <c r="B2148" s="13">
        <v>2140</v>
      </c>
      <c r="C2148" s="90" t="str">
        <f>VLOOKUP(B2148,'All Districts'!$A$3:$B$874,2,FALSE)</f>
        <v>East Williston</v>
      </c>
      <c r="D2148" s="14">
        <v>4174764</v>
      </c>
      <c r="E2148">
        <f>VLOOKUP(C2148,'All Districts'!$B$3:$C$874,2,FALSE)</f>
        <v>3610050</v>
      </c>
      <c r="F2148" s="91">
        <f>COUNTIF($E$2:$E$7106,E2148)</f>
        <v>9</v>
      </c>
    </row>
    <row r="2149" spans="1:6" x14ac:dyDescent="0.2">
      <c r="A2149">
        <v>2016</v>
      </c>
      <c r="B2149" s="13">
        <v>2140</v>
      </c>
      <c r="C2149" s="90" t="str">
        <f>VLOOKUP(B2149,'All Districts'!$A$3:$B$874,2,FALSE)</f>
        <v>East Williston</v>
      </c>
      <c r="D2149" s="16">
        <v>3270594</v>
      </c>
      <c r="E2149">
        <f>VLOOKUP(C2149,'All Districts'!$B$3:$C$874,2,FALSE)</f>
        <v>3610050</v>
      </c>
      <c r="F2149" s="91">
        <f>COUNTIF($E$2:$E$7106,E2149)</f>
        <v>9</v>
      </c>
    </row>
    <row r="2150" spans="1:6" x14ac:dyDescent="0.2">
      <c r="A2150">
        <v>2017</v>
      </c>
      <c r="B2150" s="13">
        <v>2140</v>
      </c>
      <c r="C2150" s="90" t="str">
        <f>VLOOKUP(B2150,'All Districts'!$A$3:$B$874,2,FALSE)</f>
        <v>East Williston</v>
      </c>
      <c r="D2150" s="16">
        <v>2994462</v>
      </c>
      <c r="E2150">
        <f>VLOOKUP(C2150,'All Districts'!$B$3:$C$874,2,FALSE)</f>
        <v>3610050</v>
      </c>
      <c r="F2150" s="91">
        <f>COUNTIF($E$2:$E$7106,E2150)</f>
        <v>9</v>
      </c>
    </row>
    <row r="2151" spans="1:6" x14ac:dyDescent="0.2">
      <c r="A2151" s="10">
        <v>2018</v>
      </c>
      <c r="B2151" s="13">
        <v>2140</v>
      </c>
      <c r="C2151" s="90" t="str">
        <f>VLOOKUP(B2151,'All Districts'!$A$3:$B$874,2,FALSE)</f>
        <v>East Williston</v>
      </c>
      <c r="D2151" s="15">
        <v>2612847</v>
      </c>
      <c r="E2151">
        <f>VLOOKUP(C2151,'All Districts'!$B$3:$C$874,2,FALSE)</f>
        <v>3610050</v>
      </c>
      <c r="F2151" s="91">
        <f>COUNTIF($E$2:$E$7106,E2151)</f>
        <v>9</v>
      </c>
    </row>
    <row r="2152" spans="1:6" x14ac:dyDescent="0.2">
      <c r="A2152">
        <v>2019</v>
      </c>
      <c r="B2152" s="36">
        <v>2140</v>
      </c>
      <c r="C2152" s="90" t="str">
        <f>VLOOKUP(B2152,'All Districts'!$A$3:$B$874,2,FALSE)</f>
        <v>East Williston</v>
      </c>
      <c r="D2152" s="40">
        <v>2922046</v>
      </c>
      <c r="E2152">
        <f>VLOOKUP(C2152,'All Districts'!$B$3:$C$874,2,FALSE)</f>
        <v>3610050</v>
      </c>
      <c r="F2152" s="91">
        <f>COUNTIF($E$2:$E$7106,E2152)</f>
        <v>9</v>
      </c>
    </row>
    <row r="2153" spans="1:6" x14ac:dyDescent="0.2">
      <c r="A2153">
        <v>2020</v>
      </c>
      <c r="B2153" s="36">
        <v>2140</v>
      </c>
      <c r="C2153" s="90" t="str">
        <f>VLOOKUP(B2153,'All Districts'!$A$3:$B$874,2,FALSE)</f>
        <v>East Williston</v>
      </c>
      <c r="D2153" s="40">
        <v>2454499</v>
      </c>
      <c r="E2153">
        <f>VLOOKUP(C2153,'All Districts'!$B$3:$C$874,2,FALSE)</f>
        <v>3610050</v>
      </c>
      <c r="F2153" s="91">
        <f>COUNTIF($E$2:$E$7106,E2153)</f>
        <v>9</v>
      </c>
    </row>
    <row r="2154" spans="1:6" x14ac:dyDescent="0.2">
      <c r="A2154" s="10">
        <v>2021</v>
      </c>
      <c r="B2154" s="55">
        <v>2140</v>
      </c>
      <c r="C2154" s="90" t="str">
        <f>VLOOKUP(B2154,'All Districts'!$A$3:$B$874,2,FALSE)</f>
        <v>East Williston</v>
      </c>
      <c r="D2154" s="75">
        <v>2866439</v>
      </c>
      <c r="E2154">
        <f>VLOOKUP(C2154,'All Districts'!$B$3:$C$874,2,FALSE)</f>
        <v>3610050</v>
      </c>
      <c r="F2154" s="91">
        <f>COUNTIF($E$2:$E$7106,E2154)</f>
        <v>9</v>
      </c>
    </row>
    <row r="2155" spans="1:6" x14ac:dyDescent="0.2">
      <c r="A2155">
        <v>2022</v>
      </c>
      <c r="B2155" s="36">
        <v>2140</v>
      </c>
      <c r="C2155" s="90" t="str">
        <f>VLOOKUP(B2155,'All Districts'!$A$3:$B$874,2,FALSE)</f>
        <v>East Williston</v>
      </c>
      <c r="D2155" s="82">
        <v>2913882</v>
      </c>
      <c r="E2155">
        <f>VLOOKUP(C2155,'All Districts'!$B$3:$C$874,2,FALSE)</f>
        <v>3610050</v>
      </c>
      <c r="F2155" s="91">
        <f>COUNTIF($E$2:$E$7106,E2155)</f>
        <v>9</v>
      </c>
    </row>
    <row r="2156" spans="1:6" x14ac:dyDescent="0.2">
      <c r="A2156">
        <v>2023</v>
      </c>
      <c r="B2156" s="36">
        <v>2140</v>
      </c>
      <c r="C2156" s="90" t="str">
        <f>VLOOKUP(B2156,'All Districts'!$A$3:$B$874,2,FALSE)</f>
        <v>East Williston</v>
      </c>
      <c r="D2156" s="40">
        <v>3113722</v>
      </c>
      <c r="E2156">
        <f>VLOOKUP(C2156,'All Districts'!$B$3:$C$874,2,FALSE)</f>
        <v>3610050</v>
      </c>
      <c r="F2156" s="91">
        <f>COUNTIF($E$2:$E$7106,E2156)</f>
        <v>9</v>
      </c>
    </row>
    <row r="2157" spans="1:6" x14ac:dyDescent="0.2">
      <c r="A2157">
        <v>2015</v>
      </c>
      <c r="B2157" s="13">
        <v>2145</v>
      </c>
      <c r="C2157" s="90" t="str">
        <f>VLOOKUP(B2157,'All Districts'!$A$3:$B$874,2,FALSE)</f>
        <v>Eastchester</v>
      </c>
      <c r="D2157" s="14">
        <v>6198776</v>
      </c>
      <c r="E2157">
        <f>VLOOKUP(C2157,'All Districts'!$B$3:$C$874,2,FALSE)</f>
        <v>3610080</v>
      </c>
      <c r="F2157" s="91">
        <f>COUNTIF($E$2:$E$7106,E2157)</f>
        <v>9</v>
      </c>
    </row>
    <row r="2158" spans="1:6" x14ac:dyDescent="0.2">
      <c r="A2158">
        <v>2016</v>
      </c>
      <c r="B2158" s="13">
        <v>2145</v>
      </c>
      <c r="C2158" s="90" t="str">
        <f>VLOOKUP(B2158,'All Districts'!$A$3:$B$874,2,FALSE)</f>
        <v>Eastchester</v>
      </c>
      <c r="D2158" s="16">
        <v>4797936</v>
      </c>
      <c r="E2158">
        <f>VLOOKUP(C2158,'All Districts'!$B$3:$C$874,2,FALSE)</f>
        <v>3610080</v>
      </c>
      <c r="F2158" s="91">
        <f>COUNTIF($E$2:$E$7106,E2158)</f>
        <v>9</v>
      </c>
    </row>
    <row r="2159" spans="1:6" x14ac:dyDescent="0.2">
      <c r="A2159">
        <v>2017</v>
      </c>
      <c r="B2159" s="13">
        <v>2145</v>
      </c>
      <c r="C2159" s="90" t="str">
        <f>VLOOKUP(B2159,'All Districts'!$A$3:$B$874,2,FALSE)</f>
        <v>Eastchester</v>
      </c>
      <c r="D2159" s="16">
        <v>4381944</v>
      </c>
      <c r="E2159">
        <f>VLOOKUP(C2159,'All Districts'!$B$3:$C$874,2,FALSE)</f>
        <v>3610080</v>
      </c>
      <c r="F2159" s="91">
        <f>COUNTIF($E$2:$E$7106,E2159)</f>
        <v>9</v>
      </c>
    </row>
    <row r="2160" spans="1:6" x14ac:dyDescent="0.2">
      <c r="A2160" s="10">
        <v>2018</v>
      </c>
      <c r="B2160" s="13">
        <v>2145</v>
      </c>
      <c r="C2160" s="90" t="str">
        <f>VLOOKUP(B2160,'All Districts'!$A$3:$B$874,2,FALSE)</f>
        <v>Eastchester</v>
      </c>
      <c r="D2160" s="15">
        <v>3720588</v>
      </c>
      <c r="E2160">
        <f>VLOOKUP(C2160,'All Districts'!$B$3:$C$874,2,FALSE)</f>
        <v>3610080</v>
      </c>
      <c r="F2160" s="91">
        <f>COUNTIF($E$2:$E$7106,E2160)</f>
        <v>9</v>
      </c>
    </row>
    <row r="2161" spans="1:6" x14ac:dyDescent="0.2">
      <c r="A2161">
        <v>2019</v>
      </c>
      <c r="B2161" s="36">
        <v>2145</v>
      </c>
      <c r="C2161" s="90" t="str">
        <f>VLOOKUP(B2161,'All Districts'!$A$3:$B$874,2,FALSE)</f>
        <v>Eastchester</v>
      </c>
      <c r="D2161" s="40">
        <v>4151736</v>
      </c>
      <c r="E2161">
        <f>VLOOKUP(C2161,'All Districts'!$B$3:$C$874,2,FALSE)</f>
        <v>3610080</v>
      </c>
      <c r="F2161" s="91">
        <f>COUNTIF($E$2:$E$7106,E2161)</f>
        <v>9</v>
      </c>
    </row>
    <row r="2162" spans="1:6" x14ac:dyDescent="0.2">
      <c r="A2162">
        <v>2020</v>
      </c>
      <c r="B2162" s="36">
        <v>2145</v>
      </c>
      <c r="C2162" s="90" t="str">
        <f>VLOOKUP(B2162,'All Districts'!$A$3:$B$874,2,FALSE)</f>
        <v>Eastchester</v>
      </c>
      <c r="D2162" s="40">
        <v>3506896</v>
      </c>
      <c r="E2162">
        <f>VLOOKUP(C2162,'All Districts'!$B$3:$C$874,2,FALSE)</f>
        <v>3610080</v>
      </c>
      <c r="F2162" s="91">
        <f>COUNTIF($E$2:$E$7106,E2162)</f>
        <v>9</v>
      </c>
    </row>
    <row r="2163" spans="1:6" x14ac:dyDescent="0.2">
      <c r="A2163" s="10">
        <v>2021</v>
      </c>
      <c r="B2163" s="52">
        <v>2145</v>
      </c>
      <c r="C2163" s="90" t="str">
        <f>VLOOKUP(B2163,'All Districts'!$A$3:$B$874,2,FALSE)</f>
        <v>Eastchester</v>
      </c>
      <c r="D2163" s="75">
        <v>3730087</v>
      </c>
      <c r="E2163">
        <f>VLOOKUP(C2163,'All Districts'!$B$3:$C$874,2,FALSE)</f>
        <v>3610080</v>
      </c>
      <c r="F2163" s="91">
        <f>COUNTIF($E$2:$E$7106,E2163)</f>
        <v>9</v>
      </c>
    </row>
    <row r="2164" spans="1:6" x14ac:dyDescent="0.2">
      <c r="A2164">
        <v>2022</v>
      </c>
      <c r="B2164" s="36">
        <v>2145</v>
      </c>
      <c r="C2164" s="90" t="str">
        <f>VLOOKUP(B2164,'All Districts'!$A$3:$B$874,2,FALSE)</f>
        <v>Eastchester</v>
      </c>
      <c r="D2164" s="82">
        <v>3976074</v>
      </c>
      <c r="E2164">
        <f>VLOOKUP(C2164,'All Districts'!$B$3:$C$874,2,FALSE)</f>
        <v>3610080</v>
      </c>
      <c r="F2164" s="91">
        <f>COUNTIF($E$2:$E$7106,E2164)</f>
        <v>9</v>
      </c>
    </row>
    <row r="2165" spans="1:6" x14ac:dyDescent="0.2">
      <c r="A2165">
        <v>2023</v>
      </c>
      <c r="B2165" s="36">
        <v>2145</v>
      </c>
      <c r="C2165" s="90" t="str">
        <f>VLOOKUP(B2165,'All Districts'!$A$3:$B$874,2,FALSE)</f>
        <v>Eastchester</v>
      </c>
      <c r="D2165" s="40">
        <v>4373418</v>
      </c>
      <c r="E2165">
        <f>VLOOKUP(C2165,'All Districts'!$B$3:$C$874,2,FALSE)</f>
        <v>3610080</v>
      </c>
      <c r="F2165" s="91">
        <f>COUNTIF($E$2:$E$7106,E2165)</f>
        <v>9</v>
      </c>
    </row>
    <row r="2166" spans="1:6" x14ac:dyDescent="0.2">
      <c r="A2166">
        <v>2015</v>
      </c>
      <c r="B2166" s="13">
        <v>5691</v>
      </c>
      <c r="C2166" s="90" t="str">
        <f>VLOOKUP(B2166,'All Districts'!$A$3:$B$874,2,FALSE)</f>
        <v>Glens Falls Common</v>
      </c>
      <c r="D2166" s="15">
        <v>190395</v>
      </c>
      <c r="E2166">
        <f>VLOOKUP(C2166,'All Districts'!$B$3:$C$874,2,FALSE)</f>
        <v>3602310</v>
      </c>
      <c r="F2166" s="91">
        <f>COUNTIF($E$2:$E$7106,E2166)</f>
        <v>9</v>
      </c>
    </row>
    <row r="2167" spans="1:6" x14ac:dyDescent="0.2">
      <c r="A2167">
        <v>2016</v>
      </c>
      <c r="B2167" s="13">
        <v>5691</v>
      </c>
      <c r="C2167" s="90" t="str">
        <f>VLOOKUP(B2167,'All Districts'!$A$3:$B$874,2,FALSE)</f>
        <v>Glens Falls Common</v>
      </c>
      <c r="D2167" s="16">
        <v>147502</v>
      </c>
      <c r="E2167">
        <f>VLOOKUP(C2167,'All Districts'!$B$3:$C$874,2,FALSE)</f>
        <v>3602310</v>
      </c>
      <c r="F2167" s="91">
        <f>COUNTIF($E$2:$E$7106,E2167)</f>
        <v>9</v>
      </c>
    </row>
    <row r="2168" spans="1:6" x14ac:dyDescent="0.2">
      <c r="A2168">
        <v>2017</v>
      </c>
      <c r="B2168" s="13">
        <v>5691</v>
      </c>
      <c r="C2168" s="90" t="str">
        <f>VLOOKUP(B2168,'All Districts'!$A$3:$B$874,2,FALSE)</f>
        <v>Glens Falls Common</v>
      </c>
      <c r="D2168" s="16">
        <v>144542</v>
      </c>
      <c r="E2168">
        <f>VLOOKUP(C2168,'All Districts'!$B$3:$C$874,2,FALSE)</f>
        <v>3602310</v>
      </c>
      <c r="F2168" s="91">
        <f>COUNTIF($E$2:$E$7106,E2168)</f>
        <v>9</v>
      </c>
    </row>
    <row r="2169" spans="1:6" x14ac:dyDescent="0.2">
      <c r="A2169" s="10">
        <v>2018</v>
      </c>
      <c r="B2169" s="13">
        <v>5691</v>
      </c>
      <c r="C2169" s="90" t="str">
        <f>VLOOKUP(B2169,'All Districts'!$A$3:$B$874,2,FALSE)</f>
        <v>Glens Falls Common</v>
      </c>
      <c r="D2169" s="15">
        <v>123343</v>
      </c>
      <c r="E2169">
        <f>VLOOKUP(C2169,'All Districts'!$B$3:$C$874,2,FALSE)</f>
        <v>3602310</v>
      </c>
      <c r="F2169" s="91">
        <f>COUNTIF($E$2:$E$7106,E2169)</f>
        <v>9</v>
      </c>
    </row>
    <row r="2170" spans="1:6" x14ac:dyDescent="0.2">
      <c r="A2170">
        <v>2019</v>
      </c>
      <c r="B2170" s="36">
        <v>5691</v>
      </c>
      <c r="C2170" s="90" t="str">
        <f>VLOOKUP(B2170,'All Districts'!$A$3:$B$874,2,FALSE)</f>
        <v>Glens Falls Common</v>
      </c>
      <c r="D2170" s="40">
        <v>147883</v>
      </c>
      <c r="E2170">
        <f>VLOOKUP(C2170,'All Districts'!$B$3:$C$874,2,FALSE)</f>
        <v>3602310</v>
      </c>
      <c r="F2170" s="91">
        <f>COUNTIF($E$2:$E$7106,E2170)</f>
        <v>9</v>
      </c>
    </row>
    <row r="2171" spans="1:6" x14ac:dyDescent="0.2">
      <c r="A2171">
        <v>2020</v>
      </c>
      <c r="B2171" s="36">
        <v>5691</v>
      </c>
      <c r="C2171" s="90" t="str">
        <f>VLOOKUP(B2171,'All Districts'!$A$3:$B$874,2,FALSE)</f>
        <v>Glens Falls Common</v>
      </c>
      <c r="D2171" s="40">
        <v>120319</v>
      </c>
      <c r="E2171">
        <f>VLOOKUP(C2171,'All Districts'!$B$3:$C$874,2,FALSE)</f>
        <v>3602310</v>
      </c>
      <c r="F2171" s="91">
        <f>COUNTIF($E$2:$E$7106,E2171)</f>
        <v>9</v>
      </c>
    </row>
    <row r="2172" spans="1:6" x14ac:dyDescent="0.2">
      <c r="A2172" s="10">
        <v>2021</v>
      </c>
      <c r="B2172" s="52">
        <v>5691</v>
      </c>
      <c r="C2172" s="90" t="str">
        <f>VLOOKUP(B2172,'All Districts'!$A$3:$B$874,2,FALSE)</f>
        <v>Glens Falls Common</v>
      </c>
      <c r="D2172" s="75">
        <v>116660</v>
      </c>
      <c r="E2172">
        <f>VLOOKUP(C2172,'All Districts'!$B$3:$C$874,2,FALSE)</f>
        <v>3602310</v>
      </c>
      <c r="F2172" s="91">
        <f>COUNTIF($E$2:$E$7106,E2172)</f>
        <v>9</v>
      </c>
    </row>
    <row r="2173" spans="1:6" x14ac:dyDescent="0.2">
      <c r="A2173">
        <v>2022</v>
      </c>
      <c r="B2173" s="36">
        <v>5691</v>
      </c>
      <c r="C2173" s="90" t="str">
        <f>VLOOKUP(B2173,'All Districts'!$A$3:$B$874,2,FALSE)</f>
        <v>Glens Falls Common</v>
      </c>
      <c r="D2173" s="82">
        <v>122033</v>
      </c>
      <c r="E2173">
        <f>VLOOKUP(C2173,'All Districts'!$B$3:$C$874,2,FALSE)</f>
        <v>3602310</v>
      </c>
      <c r="F2173" s="91">
        <f>COUNTIF($E$2:$E$7106,E2173)</f>
        <v>9</v>
      </c>
    </row>
    <row r="2174" spans="1:6" x14ac:dyDescent="0.2">
      <c r="A2174">
        <v>2023</v>
      </c>
      <c r="B2174" s="36">
        <v>5691</v>
      </c>
      <c r="C2174" s="90" t="str">
        <f>VLOOKUP(B2174,'All Districts'!$A$3:$B$874,2,FALSE)</f>
        <v>Glens Falls Common</v>
      </c>
      <c r="D2174" s="40">
        <v>131692</v>
      </c>
      <c r="E2174">
        <f>VLOOKUP(C2174,'All Districts'!$B$3:$C$874,2,FALSE)</f>
        <v>3602310</v>
      </c>
      <c r="F2174" s="91">
        <f>COUNTIF($E$2:$E$7106,E2174)</f>
        <v>9</v>
      </c>
    </row>
    <row r="2175" spans="1:6" x14ac:dyDescent="0.2">
      <c r="A2175">
        <v>2015</v>
      </c>
      <c r="B2175" s="13">
        <v>2146</v>
      </c>
      <c r="C2175" s="90" t="str">
        <f>VLOOKUP(B2175,'All Districts'!$A$3:$B$874,2,FALSE)</f>
        <v>Eastport-South Manor</v>
      </c>
      <c r="D2175" s="14">
        <v>6820635</v>
      </c>
      <c r="E2175">
        <f>VLOOKUP(C2175,'All Districts'!$B$3:$C$874,2,FALSE)</f>
        <v>3600125</v>
      </c>
      <c r="F2175" s="91">
        <f>COUNTIF($E$2:$E$7106,E2175)</f>
        <v>9</v>
      </c>
    </row>
    <row r="2176" spans="1:6" x14ac:dyDescent="0.2">
      <c r="A2176">
        <v>2016</v>
      </c>
      <c r="B2176" s="13">
        <v>2146</v>
      </c>
      <c r="C2176" s="90" t="str">
        <f>VLOOKUP(B2176,'All Districts'!$A$3:$B$874,2,FALSE)</f>
        <v>Eastport-South Manor</v>
      </c>
      <c r="D2176" s="16">
        <v>5181340</v>
      </c>
      <c r="E2176">
        <f>VLOOKUP(C2176,'All Districts'!$B$3:$C$874,2,FALSE)</f>
        <v>3600125</v>
      </c>
      <c r="F2176" s="91">
        <f>COUNTIF($E$2:$E$7106,E2176)</f>
        <v>9</v>
      </c>
    </row>
    <row r="2177" spans="1:6" x14ac:dyDescent="0.2">
      <c r="A2177">
        <v>2017</v>
      </c>
      <c r="B2177" s="13">
        <v>2146</v>
      </c>
      <c r="C2177" s="90" t="str">
        <f>VLOOKUP(B2177,'All Districts'!$A$3:$B$874,2,FALSE)</f>
        <v>Eastport-South Manor</v>
      </c>
      <c r="D2177" s="16">
        <v>4503455</v>
      </c>
      <c r="E2177">
        <f>VLOOKUP(C2177,'All Districts'!$B$3:$C$874,2,FALSE)</f>
        <v>3600125</v>
      </c>
      <c r="F2177" s="91">
        <f>COUNTIF($E$2:$E$7106,E2177)</f>
        <v>9</v>
      </c>
    </row>
    <row r="2178" spans="1:6" x14ac:dyDescent="0.2">
      <c r="A2178" s="10">
        <v>2018</v>
      </c>
      <c r="B2178" s="13">
        <v>2146</v>
      </c>
      <c r="C2178" s="90" t="str">
        <f>VLOOKUP(B2178,'All Districts'!$A$3:$B$874,2,FALSE)</f>
        <v>Eastport-South Manor</v>
      </c>
      <c r="D2178" s="15">
        <v>3738580</v>
      </c>
      <c r="E2178">
        <f>VLOOKUP(C2178,'All Districts'!$B$3:$C$874,2,FALSE)</f>
        <v>3600125</v>
      </c>
      <c r="F2178" s="91">
        <f>COUNTIF($E$2:$E$7106,E2178)</f>
        <v>9</v>
      </c>
    </row>
    <row r="2179" spans="1:6" x14ac:dyDescent="0.2">
      <c r="A2179">
        <v>2019</v>
      </c>
      <c r="B2179" s="36">
        <v>2146</v>
      </c>
      <c r="C2179" s="90" t="str">
        <f>VLOOKUP(B2179,'All Districts'!$A$3:$B$874,2,FALSE)</f>
        <v>Eastport-South Manor</v>
      </c>
      <c r="D2179" s="40">
        <v>3783346</v>
      </c>
      <c r="E2179">
        <f>VLOOKUP(C2179,'All Districts'!$B$3:$C$874,2,FALSE)</f>
        <v>3600125</v>
      </c>
      <c r="F2179" s="91">
        <f>COUNTIF($E$2:$E$7106,E2179)</f>
        <v>9</v>
      </c>
    </row>
    <row r="2180" spans="1:6" x14ac:dyDescent="0.2">
      <c r="A2180">
        <v>2020</v>
      </c>
      <c r="B2180" s="36">
        <v>2146</v>
      </c>
      <c r="C2180" s="90" t="str">
        <f>VLOOKUP(B2180,'All Districts'!$A$3:$B$874,2,FALSE)</f>
        <v>Eastport-South Manor</v>
      </c>
      <c r="D2180" s="40">
        <v>3249225</v>
      </c>
      <c r="E2180">
        <f>VLOOKUP(C2180,'All Districts'!$B$3:$C$874,2,FALSE)</f>
        <v>3600125</v>
      </c>
      <c r="F2180" s="91">
        <f>COUNTIF($E$2:$E$7106,E2180)</f>
        <v>9</v>
      </c>
    </row>
    <row r="2181" spans="1:6" x14ac:dyDescent="0.2">
      <c r="A2181" s="10">
        <v>2021</v>
      </c>
      <c r="B2181" s="55">
        <v>2146</v>
      </c>
      <c r="C2181" s="90" t="str">
        <f>VLOOKUP(B2181,'All Districts'!$A$3:$B$874,2,FALSE)</f>
        <v>Eastport-South Manor</v>
      </c>
      <c r="D2181" s="75">
        <v>3478947</v>
      </c>
      <c r="E2181">
        <f>VLOOKUP(C2181,'All Districts'!$B$3:$C$874,2,FALSE)</f>
        <v>3600125</v>
      </c>
      <c r="F2181" s="91">
        <f>COUNTIF($E$2:$E$7106,E2181)</f>
        <v>9</v>
      </c>
    </row>
    <row r="2182" spans="1:6" x14ac:dyDescent="0.2">
      <c r="A2182">
        <v>2022</v>
      </c>
      <c r="B2182" s="36">
        <v>2146</v>
      </c>
      <c r="C2182" s="90" t="str">
        <f>VLOOKUP(B2182,'All Districts'!$A$3:$B$874,2,FALSE)</f>
        <v>Eastport-South Manor</v>
      </c>
      <c r="D2182" s="82">
        <v>3930298</v>
      </c>
      <c r="E2182">
        <f>VLOOKUP(C2182,'All Districts'!$B$3:$C$874,2,FALSE)</f>
        <v>3600125</v>
      </c>
      <c r="F2182" s="91">
        <f>COUNTIF($E$2:$E$7106,E2182)</f>
        <v>9</v>
      </c>
    </row>
    <row r="2183" spans="1:6" x14ac:dyDescent="0.2">
      <c r="A2183">
        <v>2023</v>
      </c>
      <c r="B2183" s="36">
        <v>2146</v>
      </c>
      <c r="C2183" s="90" t="str">
        <f>VLOOKUP(B2183,'All Districts'!$A$3:$B$874,2,FALSE)</f>
        <v>Eastport-South Manor</v>
      </c>
      <c r="D2183" s="40">
        <v>4064206</v>
      </c>
      <c r="E2183">
        <f>VLOOKUP(C2183,'All Districts'!$B$3:$C$874,2,FALSE)</f>
        <v>3600125</v>
      </c>
      <c r="F2183" s="91">
        <f>COUNTIF($E$2:$E$7106,E2183)</f>
        <v>9</v>
      </c>
    </row>
    <row r="2184" spans="1:6" x14ac:dyDescent="0.2">
      <c r="A2184">
        <v>2015</v>
      </c>
      <c r="B2184" s="13">
        <v>2147</v>
      </c>
      <c r="C2184" s="90" t="str">
        <f>VLOOKUP(B2184,'All Districts'!$A$3:$B$874,2,FALSE)</f>
        <v>Eden</v>
      </c>
      <c r="D2184" s="14">
        <v>1673930</v>
      </c>
      <c r="E2184">
        <f>VLOOKUP(C2184,'All Districts'!$B$3:$C$874,2,FALSE)</f>
        <v>3610170</v>
      </c>
      <c r="F2184" s="91">
        <f>COUNTIF($E$2:$E$7106,E2184)</f>
        <v>9</v>
      </c>
    </row>
    <row r="2185" spans="1:6" x14ac:dyDescent="0.2">
      <c r="A2185">
        <v>2016</v>
      </c>
      <c r="B2185" s="13">
        <v>2147</v>
      </c>
      <c r="C2185" s="90" t="str">
        <f>VLOOKUP(B2185,'All Districts'!$A$3:$B$874,2,FALSE)</f>
        <v>Eden</v>
      </c>
      <c r="D2185" s="16">
        <v>1284332</v>
      </c>
      <c r="E2185">
        <f>VLOOKUP(C2185,'All Districts'!$B$3:$C$874,2,FALSE)</f>
        <v>3610170</v>
      </c>
      <c r="F2185" s="91">
        <f>COUNTIF($E$2:$E$7106,E2185)</f>
        <v>9</v>
      </c>
    </row>
    <row r="2186" spans="1:6" x14ac:dyDescent="0.2">
      <c r="A2186">
        <v>2017</v>
      </c>
      <c r="B2186" s="13">
        <v>2147</v>
      </c>
      <c r="C2186" s="90" t="str">
        <f>VLOOKUP(B2186,'All Districts'!$A$3:$B$874,2,FALSE)</f>
        <v>Eden</v>
      </c>
      <c r="D2186" s="16">
        <v>1154407</v>
      </c>
      <c r="E2186">
        <f>VLOOKUP(C2186,'All Districts'!$B$3:$C$874,2,FALSE)</f>
        <v>3610170</v>
      </c>
      <c r="F2186" s="91">
        <f>COUNTIF($E$2:$E$7106,E2186)</f>
        <v>9</v>
      </c>
    </row>
    <row r="2187" spans="1:6" x14ac:dyDescent="0.2">
      <c r="A2187" s="10">
        <v>2018</v>
      </c>
      <c r="B2187" s="13">
        <v>2147</v>
      </c>
      <c r="C2187" s="90" t="str">
        <f>VLOOKUP(B2187,'All Districts'!$A$3:$B$874,2,FALSE)</f>
        <v>Eden</v>
      </c>
      <c r="D2187" s="15">
        <v>952179</v>
      </c>
      <c r="E2187">
        <f>VLOOKUP(C2187,'All Districts'!$B$3:$C$874,2,FALSE)</f>
        <v>3610170</v>
      </c>
      <c r="F2187" s="91">
        <f>COUNTIF($E$2:$E$7106,E2187)</f>
        <v>9</v>
      </c>
    </row>
    <row r="2188" spans="1:6" x14ac:dyDescent="0.2">
      <c r="A2188">
        <v>2019</v>
      </c>
      <c r="B2188" s="36">
        <v>2147</v>
      </c>
      <c r="C2188" s="90" t="str">
        <f>VLOOKUP(B2188,'All Districts'!$A$3:$B$874,2,FALSE)</f>
        <v>Eden</v>
      </c>
      <c r="D2188" s="40">
        <v>1074097</v>
      </c>
      <c r="E2188">
        <f>VLOOKUP(C2188,'All Districts'!$B$3:$C$874,2,FALSE)</f>
        <v>3610170</v>
      </c>
      <c r="F2188" s="91">
        <f>COUNTIF($E$2:$E$7106,E2188)</f>
        <v>9</v>
      </c>
    </row>
    <row r="2189" spans="1:6" x14ac:dyDescent="0.2">
      <c r="A2189">
        <v>2020</v>
      </c>
      <c r="B2189" s="36">
        <v>2147</v>
      </c>
      <c r="C2189" s="90" t="str">
        <f>VLOOKUP(B2189,'All Districts'!$A$3:$B$874,2,FALSE)</f>
        <v>Eden</v>
      </c>
      <c r="D2189" s="40">
        <v>906106</v>
      </c>
      <c r="E2189">
        <f>VLOOKUP(C2189,'All Districts'!$B$3:$C$874,2,FALSE)</f>
        <v>3610170</v>
      </c>
      <c r="F2189" s="91">
        <f>COUNTIF($E$2:$E$7106,E2189)</f>
        <v>9</v>
      </c>
    </row>
    <row r="2190" spans="1:6" x14ac:dyDescent="0.2">
      <c r="A2190" s="10">
        <v>2021</v>
      </c>
      <c r="B2190" s="52">
        <v>2147</v>
      </c>
      <c r="C2190" s="90" t="str">
        <f>VLOOKUP(B2190,'All Districts'!$A$3:$B$874,2,FALSE)</f>
        <v>Eden</v>
      </c>
      <c r="D2190" s="76">
        <v>992077</v>
      </c>
      <c r="E2190">
        <f>VLOOKUP(C2190,'All Districts'!$B$3:$C$874,2,FALSE)</f>
        <v>3610170</v>
      </c>
      <c r="F2190" s="91">
        <f>COUNTIF($E$2:$E$7106,E2190)</f>
        <v>9</v>
      </c>
    </row>
    <row r="2191" spans="1:6" x14ac:dyDescent="0.2">
      <c r="A2191">
        <v>2022</v>
      </c>
      <c r="B2191" s="36">
        <v>2147</v>
      </c>
      <c r="C2191" s="90" t="str">
        <f>VLOOKUP(B2191,'All Districts'!$A$3:$B$874,2,FALSE)</f>
        <v>Eden</v>
      </c>
      <c r="D2191" s="82">
        <v>1075407</v>
      </c>
      <c r="E2191">
        <f>VLOOKUP(C2191,'All Districts'!$B$3:$C$874,2,FALSE)</f>
        <v>3610170</v>
      </c>
      <c r="F2191" s="91">
        <f>COUNTIF($E$2:$E$7106,E2191)</f>
        <v>9</v>
      </c>
    </row>
    <row r="2192" spans="1:6" x14ac:dyDescent="0.2">
      <c r="A2192">
        <v>2023</v>
      </c>
      <c r="B2192" s="36">
        <v>2147</v>
      </c>
      <c r="C2192" s="90" t="str">
        <f>VLOOKUP(B2192,'All Districts'!$A$3:$B$874,2,FALSE)</f>
        <v>Eden</v>
      </c>
      <c r="D2192" s="40">
        <v>1195834</v>
      </c>
      <c r="E2192">
        <f>VLOOKUP(C2192,'All Districts'!$B$3:$C$874,2,FALSE)</f>
        <v>3610170</v>
      </c>
      <c r="F2192" s="91">
        <f>COUNTIF($E$2:$E$7106,E2192)</f>
        <v>9</v>
      </c>
    </row>
    <row r="2193" spans="1:6" x14ac:dyDescent="0.2">
      <c r="A2193">
        <v>2015</v>
      </c>
      <c r="B2193" s="13">
        <v>2148</v>
      </c>
      <c r="C2193" s="90" t="str">
        <f>VLOOKUP(B2193,'All Districts'!$A$3:$B$874,2,FALSE)</f>
        <v>Edgemont at Greenburgh</v>
      </c>
      <c r="D2193" s="14">
        <v>3825468</v>
      </c>
      <c r="E2193">
        <f>VLOOKUP(C2193,'All Districts'!$B$3:$C$874,2,FALSE)</f>
        <v>3610200</v>
      </c>
      <c r="F2193" s="91">
        <f>COUNTIF($E$2:$E$7106,E2193)</f>
        <v>9</v>
      </c>
    </row>
    <row r="2194" spans="1:6" x14ac:dyDescent="0.2">
      <c r="A2194">
        <v>2016</v>
      </c>
      <c r="B2194" s="13">
        <v>2148</v>
      </c>
      <c r="C2194" s="90" t="str">
        <f>VLOOKUP(B2194,'All Districts'!$A$3:$B$874,2,FALSE)</f>
        <v>Edgemont at Greenburgh</v>
      </c>
      <c r="D2194" s="16">
        <v>3007451</v>
      </c>
      <c r="E2194">
        <f>VLOOKUP(C2194,'All Districts'!$B$3:$C$874,2,FALSE)</f>
        <v>3610200</v>
      </c>
      <c r="F2194" s="91">
        <f>COUNTIF($E$2:$E$7106,E2194)</f>
        <v>9</v>
      </c>
    </row>
    <row r="2195" spans="1:6" x14ac:dyDescent="0.2">
      <c r="A2195">
        <v>2017</v>
      </c>
      <c r="B2195" s="13">
        <v>2148</v>
      </c>
      <c r="C2195" s="90" t="str">
        <f>VLOOKUP(B2195,'All Districts'!$A$3:$B$874,2,FALSE)</f>
        <v>Edgemont at Greenburgh</v>
      </c>
      <c r="D2195" s="16">
        <v>2750399</v>
      </c>
      <c r="E2195">
        <f>VLOOKUP(C2195,'All Districts'!$B$3:$C$874,2,FALSE)</f>
        <v>3610200</v>
      </c>
      <c r="F2195" s="91">
        <f>COUNTIF($E$2:$E$7106,E2195)</f>
        <v>9</v>
      </c>
    </row>
    <row r="2196" spans="1:6" x14ac:dyDescent="0.2">
      <c r="A2196" s="10">
        <v>2018</v>
      </c>
      <c r="B2196" s="13">
        <v>2148</v>
      </c>
      <c r="C2196" s="90" t="str">
        <f>VLOOKUP(B2196,'All Districts'!$A$3:$B$874,2,FALSE)</f>
        <v>Edgemont at Greenburgh</v>
      </c>
      <c r="D2196" s="15">
        <v>2375667</v>
      </c>
      <c r="E2196">
        <f>VLOOKUP(C2196,'All Districts'!$B$3:$C$874,2,FALSE)</f>
        <v>3610200</v>
      </c>
      <c r="F2196" s="91">
        <f>COUNTIF($E$2:$E$7106,E2196)</f>
        <v>9</v>
      </c>
    </row>
    <row r="2197" spans="1:6" x14ac:dyDescent="0.2">
      <c r="A2197">
        <v>2019</v>
      </c>
      <c r="B2197" s="36">
        <v>2148</v>
      </c>
      <c r="C2197" s="90" t="str">
        <f>VLOOKUP(B2197,'All Districts'!$A$3:$B$874,2,FALSE)</f>
        <v>Edgemont at Greenburgh</v>
      </c>
      <c r="D2197" s="40">
        <v>2712964</v>
      </c>
      <c r="E2197">
        <f>VLOOKUP(C2197,'All Districts'!$B$3:$C$874,2,FALSE)</f>
        <v>3610200</v>
      </c>
      <c r="F2197" s="91">
        <f>COUNTIF($E$2:$E$7106,E2197)</f>
        <v>9</v>
      </c>
    </row>
    <row r="2198" spans="1:6" x14ac:dyDescent="0.2">
      <c r="A2198">
        <v>2020</v>
      </c>
      <c r="B2198" s="36">
        <v>2148</v>
      </c>
      <c r="C2198" s="90" t="str">
        <f>VLOOKUP(B2198,'All Districts'!$A$3:$B$874,2,FALSE)</f>
        <v>Edgemont at Greenburgh</v>
      </c>
      <c r="D2198" s="40">
        <v>2326050</v>
      </c>
      <c r="E2198">
        <f>VLOOKUP(C2198,'All Districts'!$B$3:$C$874,2,FALSE)</f>
        <v>3610200</v>
      </c>
      <c r="F2198" s="91">
        <f>COUNTIF($E$2:$E$7106,E2198)</f>
        <v>9</v>
      </c>
    </row>
    <row r="2199" spans="1:6" x14ac:dyDescent="0.2">
      <c r="A2199" s="10">
        <v>2021</v>
      </c>
      <c r="B2199" s="55">
        <v>2148</v>
      </c>
      <c r="C2199" s="90" t="str">
        <f>VLOOKUP(B2199,'All Districts'!$A$3:$B$874,2,FALSE)</f>
        <v>Edgemont at Greenburgh</v>
      </c>
      <c r="D2199" s="75">
        <v>2558920</v>
      </c>
      <c r="E2199">
        <f>VLOOKUP(C2199,'All Districts'!$B$3:$C$874,2,FALSE)</f>
        <v>3610200</v>
      </c>
      <c r="F2199" s="91">
        <f>COUNTIF($E$2:$E$7106,E2199)</f>
        <v>9</v>
      </c>
    </row>
    <row r="2200" spans="1:6" x14ac:dyDescent="0.2">
      <c r="A2200">
        <v>2022</v>
      </c>
      <c r="B2200" s="36">
        <v>2148</v>
      </c>
      <c r="C2200" s="90" t="str">
        <f>VLOOKUP(B2200,'All Districts'!$A$3:$B$874,2,FALSE)</f>
        <v>Edgemont at Greenburgh</v>
      </c>
      <c r="D2200" s="82">
        <v>2650463</v>
      </c>
      <c r="E2200">
        <f>VLOOKUP(C2200,'All Districts'!$B$3:$C$874,2,FALSE)</f>
        <v>3610200</v>
      </c>
      <c r="F2200" s="91">
        <f>COUNTIF($E$2:$E$7106,E2200)</f>
        <v>9</v>
      </c>
    </row>
    <row r="2201" spans="1:6" x14ac:dyDescent="0.2">
      <c r="A2201">
        <v>2023</v>
      </c>
      <c r="B2201" s="36">
        <v>2148</v>
      </c>
      <c r="C2201" s="90" t="str">
        <f>VLOOKUP(B2201,'All Districts'!$A$3:$B$874,2,FALSE)</f>
        <v>Edgemont at Greenburgh</v>
      </c>
      <c r="D2201" s="40">
        <v>2848692</v>
      </c>
      <c r="E2201">
        <f>VLOOKUP(C2201,'All Districts'!$B$3:$C$874,2,FALSE)</f>
        <v>3610200</v>
      </c>
      <c r="F2201" s="91">
        <f>COUNTIF($E$2:$E$7106,E2201)</f>
        <v>9</v>
      </c>
    </row>
    <row r="2202" spans="1:6" x14ac:dyDescent="0.2">
      <c r="A2202">
        <v>2015</v>
      </c>
      <c r="B2202" s="13">
        <v>4008</v>
      </c>
      <c r="C2202" s="90" t="str">
        <f>VLOOKUP(B2202,'All Districts'!$A$3:$B$874,2,FALSE)</f>
        <v>Edinburg</v>
      </c>
      <c r="D2202" s="14">
        <v>128332</v>
      </c>
      <c r="E2202">
        <f>VLOOKUP(C2202,'All Districts'!$B$3:$C$874,2,FALSE)</f>
        <v>3610230</v>
      </c>
      <c r="F2202" s="91">
        <f>COUNTIF($E$2:$E$7106,E2202)</f>
        <v>9</v>
      </c>
    </row>
    <row r="2203" spans="1:6" x14ac:dyDescent="0.2">
      <c r="A2203">
        <v>2016</v>
      </c>
      <c r="B2203" s="13">
        <v>4008</v>
      </c>
      <c r="C2203" s="90" t="str">
        <f>VLOOKUP(B2203,'All Districts'!$A$3:$B$874,2,FALSE)</f>
        <v>Edinburg</v>
      </c>
      <c r="D2203" s="16">
        <v>92748</v>
      </c>
      <c r="E2203">
        <f>VLOOKUP(C2203,'All Districts'!$B$3:$C$874,2,FALSE)</f>
        <v>3610230</v>
      </c>
      <c r="F2203" s="91">
        <f>COUNTIF($E$2:$E$7106,E2203)</f>
        <v>9</v>
      </c>
    </row>
    <row r="2204" spans="1:6" x14ac:dyDescent="0.2">
      <c r="A2204">
        <v>2017</v>
      </c>
      <c r="B2204" s="13">
        <v>4008</v>
      </c>
      <c r="C2204" s="90" t="str">
        <f>VLOOKUP(B2204,'All Districts'!$A$3:$B$874,2,FALSE)</f>
        <v>Edinburg</v>
      </c>
      <c r="D2204" s="16">
        <v>84230</v>
      </c>
      <c r="E2204">
        <f>VLOOKUP(C2204,'All Districts'!$B$3:$C$874,2,FALSE)</f>
        <v>3610230</v>
      </c>
      <c r="F2204" s="91">
        <f>COUNTIF($E$2:$E$7106,E2204)</f>
        <v>9</v>
      </c>
    </row>
    <row r="2205" spans="1:6" x14ac:dyDescent="0.2">
      <c r="A2205" s="10">
        <v>2018</v>
      </c>
      <c r="B2205" s="13">
        <v>4008</v>
      </c>
      <c r="C2205" s="90" t="str">
        <f>VLOOKUP(B2205,'All Districts'!$A$3:$B$874,2,FALSE)</f>
        <v>Edinburg</v>
      </c>
      <c r="D2205" s="15">
        <v>72489</v>
      </c>
      <c r="E2205">
        <f>VLOOKUP(C2205,'All Districts'!$B$3:$C$874,2,FALSE)</f>
        <v>3610230</v>
      </c>
      <c r="F2205" s="91">
        <f>COUNTIF($E$2:$E$7106,E2205)</f>
        <v>9</v>
      </c>
    </row>
    <row r="2206" spans="1:6" x14ac:dyDescent="0.2">
      <c r="A2206">
        <v>2019</v>
      </c>
      <c r="B2206" s="36">
        <v>4008</v>
      </c>
      <c r="C2206" s="90" t="str">
        <f>VLOOKUP(B2206,'All Districts'!$A$3:$B$874,2,FALSE)</f>
        <v>Edinburg</v>
      </c>
      <c r="D2206" s="40">
        <v>77515</v>
      </c>
      <c r="E2206">
        <f>VLOOKUP(C2206,'All Districts'!$B$3:$C$874,2,FALSE)</f>
        <v>3610230</v>
      </c>
      <c r="F2206" s="91">
        <f>COUNTIF($E$2:$E$7106,E2206)</f>
        <v>9</v>
      </c>
    </row>
    <row r="2207" spans="1:6" x14ac:dyDescent="0.2">
      <c r="A2207">
        <v>2020</v>
      </c>
      <c r="B2207" s="36">
        <v>4008</v>
      </c>
      <c r="C2207" s="90" t="str">
        <f>VLOOKUP(B2207,'All Districts'!$A$3:$B$874,2,FALSE)</f>
        <v>Edinburg</v>
      </c>
      <c r="D2207" s="40">
        <v>75149</v>
      </c>
      <c r="E2207">
        <f>VLOOKUP(C2207,'All Districts'!$B$3:$C$874,2,FALSE)</f>
        <v>3610230</v>
      </c>
      <c r="F2207" s="91">
        <f>COUNTIF($E$2:$E$7106,E2207)</f>
        <v>9</v>
      </c>
    </row>
    <row r="2208" spans="1:6" x14ac:dyDescent="0.2">
      <c r="A2208" s="10">
        <v>2021</v>
      </c>
      <c r="B2208" s="52">
        <v>4008</v>
      </c>
      <c r="C2208" s="90" t="str">
        <f>VLOOKUP(B2208,'All Districts'!$A$3:$B$874,2,FALSE)</f>
        <v>Edinburg</v>
      </c>
      <c r="D2208" s="76">
        <v>64099</v>
      </c>
      <c r="E2208">
        <f>VLOOKUP(C2208,'All Districts'!$B$3:$C$874,2,FALSE)</f>
        <v>3610230</v>
      </c>
      <c r="F2208" s="91">
        <f>COUNTIF($E$2:$E$7106,E2208)</f>
        <v>9</v>
      </c>
    </row>
    <row r="2209" spans="1:6" x14ac:dyDescent="0.2">
      <c r="A2209">
        <v>2022</v>
      </c>
      <c r="B2209" s="36">
        <v>4008</v>
      </c>
      <c r="C2209" s="90" t="str">
        <f>VLOOKUP(B2209,'All Districts'!$A$3:$B$874,2,FALSE)</f>
        <v>Edinburg</v>
      </c>
      <c r="D2209" s="82">
        <v>58263</v>
      </c>
      <c r="E2209">
        <f>VLOOKUP(C2209,'All Districts'!$B$3:$C$874,2,FALSE)</f>
        <v>3610230</v>
      </c>
      <c r="F2209" s="91">
        <f>COUNTIF($E$2:$E$7106,E2209)</f>
        <v>9</v>
      </c>
    </row>
    <row r="2210" spans="1:6" x14ac:dyDescent="0.2">
      <c r="A2210">
        <v>2023</v>
      </c>
      <c r="B2210" s="36">
        <v>4008</v>
      </c>
      <c r="C2210" s="90" t="str">
        <f>VLOOKUP(B2210,'All Districts'!$A$3:$B$874,2,FALSE)</f>
        <v>Edinburg</v>
      </c>
      <c r="D2210" s="40">
        <v>64835</v>
      </c>
      <c r="E2210">
        <f>VLOOKUP(C2210,'All Districts'!$B$3:$C$874,2,FALSE)</f>
        <v>3610230</v>
      </c>
      <c r="F2210" s="91">
        <f>COUNTIF($E$2:$E$7106,E2210)</f>
        <v>9</v>
      </c>
    </row>
    <row r="2211" spans="1:6" x14ac:dyDescent="0.2">
      <c r="A2211">
        <v>2015</v>
      </c>
      <c r="B2211" s="13">
        <v>3992</v>
      </c>
      <c r="C2211" s="90" t="str">
        <f>VLOOKUP(B2211,'All Districts'!$A$3:$B$874,2,FALSE)</f>
        <v>Edmeston</v>
      </c>
      <c r="D2211" s="14">
        <v>507537</v>
      </c>
      <c r="E2211">
        <f>VLOOKUP(C2211,'All Districts'!$B$3:$C$874,2,FALSE)</f>
        <v>3610260</v>
      </c>
      <c r="F2211" s="91">
        <f>COUNTIF($E$2:$E$7106,E2211)</f>
        <v>9</v>
      </c>
    </row>
    <row r="2212" spans="1:6" x14ac:dyDescent="0.2">
      <c r="A2212">
        <v>2016</v>
      </c>
      <c r="B2212" s="13">
        <v>3992</v>
      </c>
      <c r="C2212" s="90" t="str">
        <f>VLOOKUP(B2212,'All Districts'!$A$3:$B$874,2,FALSE)</f>
        <v>Edmeston</v>
      </c>
      <c r="D2212" s="16">
        <v>401440</v>
      </c>
      <c r="E2212">
        <f>VLOOKUP(C2212,'All Districts'!$B$3:$C$874,2,FALSE)</f>
        <v>3610260</v>
      </c>
      <c r="F2212" s="91">
        <f>COUNTIF($E$2:$E$7106,E2212)</f>
        <v>9</v>
      </c>
    </row>
    <row r="2213" spans="1:6" x14ac:dyDescent="0.2">
      <c r="A2213">
        <v>2017</v>
      </c>
      <c r="B2213" s="13">
        <v>3992</v>
      </c>
      <c r="C2213" s="90" t="str">
        <f>VLOOKUP(B2213,'All Districts'!$A$3:$B$874,2,FALSE)</f>
        <v>Edmeston</v>
      </c>
      <c r="D2213" s="16">
        <v>372670</v>
      </c>
      <c r="E2213">
        <f>VLOOKUP(C2213,'All Districts'!$B$3:$C$874,2,FALSE)</f>
        <v>3610260</v>
      </c>
      <c r="F2213" s="91">
        <f>COUNTIF($E$2:$E$7106,E2213)</f>
        <v>9</v>
      </c>
    </row>
    <row r="2214" spans="1:6" x14ac:dyDescent="0.2">
      <c r="A2214" s="10">
        <v>2018</v>
      </c>
      <c r="B2214" s="13">
        <v>3992</v>
      </c>
      <c r="C2214" s="90" t="str">
        <f>VLOOKUP(B2214,'All Districts'!$A$3:$B$874,2,FALSE)</f>
        <v>Edmeston</v>
      </c>
      <c r="D2214" s="15">
        <v>310199</v>
      </c>
      <c r="E2214">
        <f>VLOOKUP(C2214,'All Districts'!$B$3:$C$874,2,FALSE)</f>
        <v>3610260</v>
      </c>
      <c r="F2214" s="91">
        <f>COUNTIF($E$2:$E$7106,E2214)</f>
        <v>9</v>
      </c>
    </row>
    <row r="2215" spans="1:6" x14ac:dyDescent="0.2">
      <c r="A2215">
        <v>2019</v>
      </c>
      <c r="B2215" s="36">
        <v>3992</v>
      </c>
      <c r="C2215" s="90" t="str">
        <f>VLOOKUP(B2215,'All Districts'!$A$3:$B$874,2,FALSE)</f>
        <v>Edmeston</v>
      </c>
      <c r="D2215" s="40">
        <v>340027</v>
      </c>
      <c r="E2215">
        <f>VLOOKUP(C2215,'All Districts'!$B$3:$C$874,2,FALSE)</f>
        <v>3610260</v>
      </c>
      <c r="F2215" s="91">
        <f>COUNTIF($E$2:$E$7106,E2215)</f>
        <v>9</v>
      </c>
    </row>
    <row r="2216" spans="1:6" x14ac:dyDescent="0.2">
      <c r="A2216">
        <v>2020</v>
      </c>
      <c r="B2216" s="36">
        <v>3992</v>
      </c>
      <c r="C2216" s="90" t="str">
        <f>VLOOKUP(B2216,'All Districts'!$A$3:$B$874,2,FALSE)</f>
        <v>Edmeston</v>
      </c>
      <c r="D2216" s="40">
        <v>282147</v>
      </c>
      <c r="E2216">
        <f>VLOOKUP(C2216,'All Districts'!$B$3:$C$874,2,FALSE)</f>
        <v>3610260</v>
      </c>
      <c r="F2216" s="91">
        <f>COUNTIF($E$2:$E$7106,E2216)</f>
        <v>9</v>
      </c>
    </row>
    <row r="2217" spans="1:6" x14ac:dyDescent="0.2">
      <c r="A2217" s="10">
        <v>2021</v>
      </c>
      <c r="B2217" s="55">
        <v>3992</v>
      </c>
      <c r="C2217" s="90" t="str">
        <f>VLOOKUP(B2217,'All Districts'!$A$3:$B$874,2,FALSE)</f>
        <v>Edmeston</v>
      </c>
      <c r="D2217" s="75">
        <v>303005</v>
      </c>
      <c r="E2217">
        <f>VLOOKUP(C2217,'All Districts'!$B$3:$C$874,2,FALSE)</f>
        <v>3610260</v>
      </c>
      <c r="F2217" s="91">
        <f>COUNTIF($E$2:$E$7106,E2217)</f>
        <v>9</v>
      </c>
    </row>
    <row r="2218" spans="1:6" x14ac:dyDescent="0.2">
      <c r="A2218">
        <v>2022</v>
      </c>
      <c r="B2218" s="36">
        <v>3992</v>
      </c>
      <c r="C2218" s="90" t="str">
        <f>VLOOKUP(B2218,'All Districts'!$A$3:$B$874,2,FALSE)</f>
        <v>Edmeston</v>
      </c>
      <c r="D2218" s="82">
        <v>328652</v>
      </c>
      <c r="E2218">
        <f>VLOOKUP(C2218,'All Districts'!$B$3:$C$874,2,FALSE)</f>
        <v>3610260</v>
      </c>
      <c r="F2218" s="91">
        <f>COUNTIF($E$2:$E$7106,E2218)</f>
        <v>9</v>
      </c>
    </row>
    <row r="2219" spans="1:6" x14ac:dyDescent="0.2">
      <c r="A2219">
        <v>2023</v>
      </c>
      <c r="B2219" s="36">
        <v>3992</v>
      </c>
      <c r="C2219" s="90" t="str">
        <f>VLOOKUP(B2219,'All Districts'!$A$3:$B$874,2,FALSE)</f>
        <v>Edmeston</v>
      </c>
      <c r="D2219" s="40">
        <v>343096</v>
      </c>
      <c r="E2219">
        <f>VLOOKUP(C2219,'All Districts'!$B$3:$C$874,2,FALSE)</f>
        <v>3610260</v>
      </c>
      <c r="F2219" s="91">
        <f>COUNTIF($E$2:$E$7106,E2219)</f>
        <v>9</v>
      </c>
    </row>
    <row r="2220" spans="1:6" x14ac:dyDescent="0.2">
      <c r="A2220">
        <v>2015</v>
      </c>
      <c r="B2220" s="13">
        <v>4979</v>
      </c>
      <c r="C2220" s="90" t="str">
        <f>VLOOKUP(B2220,'All Districts'!$A$3:$B$874,2,FALSE)</f>
        <v>Edwards-Knox</v>
      </c>
      <c r="D2220" s="14">
        <v>651273</v>
      </c>
      <c r="E2220">
        <f>VLOOKUP(C2220,'All Districts'!$B$3:$C$874,2,FALSE)</f>
        <v>3600003</v>
      </c>
      <c r="F2220" s="91">
        <f>COUNTIF($E$2:$E$7106,E2220)</f>
        <v>9</v>
      </c>
    </row>
    <row r="2221" spans="1:6" x14ac:dyDescent="0.2">
      <c r="A2221">
        <v>2016</v>
      </c>
      <c r="B2221" s="13">
        <v>4979</v>
      </c>
      <c r="C2221" s="90" t="str">
        <f>VLOOKUP(B2221,'All Districts'!$A$3:$B$874,2,FALSE)</f>
        <v>Edwards-Knox</v>
      </c>
      <c r="D2221" s="16">
        <v>513901</v>
      </c>
      <c r="E2221">
        <f>VLOOKUP(C2221,'All Districts'!$B$3:$C$874,2,FALSE)</f>
        <v>3600003</v>
      </c>
      <c r="F2221" s="91">
        <f>COUNTIF($E$2:$E$7106,E2221)</f>
        <v>9</v>
      </c>
    </row>
    <row r="2222" spans="1:6" x14ac:dyDescent="0.2">
      <c r="A2222">
        <v>2017</v>
      </c>
      <c r="B2222" s="13">
        <v>4979</v>
      </c>
      <c r="C2222" s="90" t="str">
        <f>VLOOKUP(B2222,'All Districts'!$A$3:$B$874,2,FALSE)</f>
        <v>Edwards-Knox</v>
      </c>
      <c r="D2222" s="16">
        <v>466325</v>
      </c>
      <c r="E2222">
        <f>VLOOKUP(C2222,'All Districts'!$B$3:$C$874,2,FALSE)</f>
        <v>3600003</v>
      </c>
      <c r="F2222" s="91">
        <f>COUNTIF($E$2:$E$7106,E2222)</f>
        <v>9</v>
      </c>
    </row>
    <row r="2223" spans="1:6" x14ac:dyDescent="0.2">
      <c r="A2223" s="10">
        <v>2018</v>
      </c>
      <c r="B2223" s="13">
        <v>4979</v>
      </c>
      <c r="C2223" s="90" t="str">
        <f>VLOOKUP(B2223,'All Districts'!$A$3:$B$874,2,FALSE)</f>
        <v>Edwards-Knox</v>
      </c>
      <c r="D2223" s="15">
        <v>397646</v>
      </c>
      <c r="E2223">
        <f>VLOOKUP(C2223,'All Districts'!$B$3:$C$874,2,FALSE)</f>
        <v>3600003</v>
      </c>
      <c r="F2223" s="91">
        <f>COUNTIF($E$2:$E$7106,E2223)</f>
        <v>9</v>
      </c>
    </row>
    <row r="2224" spans="1:6" x14ac:dyDescent="0.2">
      <c r="A2224">
        <v>2019</v>
      </c>
      <c r="B2224" s="36">
        <v>4979</v>
      </c>
      <c r="C2224" s="90" t="str">
        <f>VLOOKUP(B2224,'All Districts'!$A$3:$B$874,2,FALSE)</f>
        <v>Edwards-Knox</v>
      </c>
      <c r="D2224" s="40">
        <v>428975</v>
      </c>
      <c r="E2224">
        <f>VLOOKUP(C2224,'All Districts'!$B$3:$C$874,2,FALSE)</f>
        <v>3600003</v>
      </c>
      <c r="F2224" s="91">
        <f>COUNTIF($E$2:$E$7106,E2224)</f>
        <v>9</v>
      </c>
    </row>
    <row r="2225" spans="1:6" x14ac:dyDescent="0.2">
      <c r="A2225">
        <v>2020</v>
      </c>
      <c r="B2225" s="36">
        <v>4979</v>
      </c>
      <c r="C2225" s="90" t="str">
        <f>VLOOKUP(B2225,'All Districts'!$A$3:$B$874,2,FALSE)</f>
        <v>Edwards-Knox</v>
      </c>
      <c r="D2225" s="40">
        <v>367204</v>
      </c>
      <c r="E2225">
        <f>VLOOKUP(C2225,'All Districts'!$B$3:$C$874,2,FALSE)</f>
        <v>3600003</v>
      </c>
      <c r="F2225" s="91">
        <f>COUNTIF($E$2:$E$7106,E2225)</f>
        <v>9</v>
      </c>
    </row>
    <row r="2226" spans="1:6" x14ac:dyDescent="0.2">
      <c r="A2226" s="10">
        <v>2021</v>
      </c>
      <c r="B2226" s="52">
        <v>4979</v>
      </c>
      <c r="C2226" s="90" t="str">
        <f>VLOOKUP(B2226,'All Districts'!$A$3:$B$874,2,FALSE)</f>
        <v>Edwards-Knox</v>
      </c>
      <c r="D2226" s="75">
        <v>398238</v>
      </c>
      <c r="E2226">
        <f>VLOOKUP(C2226,'All Districts'!$B$3:$C$874,2,FALSE)</f>
        <v>3600003</v>
      </c>
      <c r="F2226" s="91">
        <f>COUNTIF($E$2:$E$7106,E2226)</f>
        <v>9</v>
      </c>
    </row>
    <row r="2227" spans="1:6" x14ac:dyDescent="0.2">
      <c r="A2227">
        <v>2022</v>
      </c>
      <c r="B2227" s="36">
        <v>4979</v>
      </c>
      <c r="C2227" s="90" t="str">
        <f>VLOOKUP(B2227,'All Districts'!$A$3:$B$874,2,FALSE)</f>
        <v>Edwards-Knox</v>
      </c>
      <c r="D2227" s="82">
        <v>428965</v>
      </c>
      <c r="E2227">
        <f>VLOOKUP(C2227,'All Districts'!$B$3:$C$874,2,FALSE)</f>
        <v>3600003</v>
      </c>
      <c r="F2227" s="91">
        <f>COUNTIF($E$2:$E$7106,E2227)</f>
        <v>9</v>
      </c>
    </row>
    <row r="2228" spans="1:6" x14ac:dyDescent="0.2">
      <c r="A2228">
        <v>2023</v>
      </c>
      <c r="B2228" s="36">
        <v>4979</v>
      </c>
      <c r="C2228" s="90" t="str">
        <f>VLOOKUP(B2228,'All Districts'!$A$3:$B$874,2,FALSE)</f>
        <v>Edwards-Knox</v>
      </c>
      <c r="D2228" s="40">
        <v>474740</v>
      </c>
      <c r="E2228">
        <f>VLOOKUP(C2228,'All Districts'!$B$3:$C$874,2,FALSE)</f>
        <v>3600003</v>
      </c>
      <c r="F2228" s="91">
        <f>COUNTIF($E$2:$E$7106,E2228)</f>
        <v>9</v>
      </c>
    </row>
    <row r="2229" spans="1:6" x14ac:dyDescent="0.2">
      <c r="A2229">
        <v>2015</v>
      </c>
      <c r="B2229" s="13">
        <v>3928</v>
      </c>
      <c r="C2229" s="90" t="str">
        <f>VLOOKUP(B2229,'All Districts'!$A$3:$B$874,2,FALSE)</f>
        <v>Elba</v>
      </c>
      <c r="D2229" s="14">
        <v>598901</v>
      </c>
      <c r="E2229">
        <f>VLOOKUP(C2229,'All Districts'!$B$3:$C$874,2,FALSE)</f>
        <v>3610380</v>
      </c>
      <c r="F2229" s="91">
        <f>COUNTIF($E$2:$E$7106,E2229)</f>
        <v>9</v>
      </c>
    </row>
    <row r="2230" spans="1:6" x14ac:dyDescent="0.2">
      <c r="A2230">
        <v>2016</v>
      </c>
      <c r="B2230" s="13">
        <v>3928</v>
      </c>
      <c r="C2230" s="90" t="str">
        <f>VLOOKUP(B2230,'All Districts'!$A$3:$B$874,2,FALSE)</f>
        <v>Elba</v>
      </c>
      <c r="D2230" s="16">
        <v>421377</v>
      </c>
      <c r="E2230">
        <f>VLOOKUP(C2230,'All Districts'!$B$3:$C$874,2,FALSE)</f>
        <v>3610380</v>
      </c>
      <c r="F2230" s="91">
        <f>COUNTIF($E$2:$E$7106,E2230)</f>
        <v>9</v>
      </c>
    </row>
    <row r="2231" spans="1:6" x14ac:dyDescent="0.2">
      <c r="A2231">
        <v>2017</v>
      </c>
      <c r="B2231" s="13">
        <v>3928</v>
      </c>
      <c r="C2231" s="90" t="str">
        <f>VLOOKUP(B2231,'All Districts'!$A$3:$B$874,2,FALSE)</f>
        <v>Elba</v>
      </c>
      <c r="D2231" s="16">
        <v>376578</v>
      </c>
      <c r="E2231">
        <f>VLOOKUP(C2231,'All Districts'!$B$3:$C$874,2,FALSE)</f>
        <v>3610380</v>
      </c>
      <c r="F2231" s="91">
        <f>COUNTIF($E$2:$E$7106,E2231)</f>
        <v>9</v>
      </c>
    </row>
    <row r="2232" spans="1:6" x14ac:dyDescent="0.2">
      <c r="A2232" s="10">
        <v>2018</v>
      </c>
      <c r="B2232" s="13">
        <v>3928</v>
      </c>
      <c r="C2232" s="90" t="str">
        <f>VLOOKUP(B2232,'All Districts'!$A$3:$B$874,2,FALSE)</f>
        <v>Elba</v>
      </c>
      <c r="D2232" s="15">
        <v>364153</v>
      </c>
      <c r="E2232">
        <f>VLOOKUP(C2232,'All Districts'!$B$3:$C$874,2,FALSE)</f>
        <v>3610380</v>
      </c>
      <c r="F2232" s="91">
        <f>COUNTIF($E$2:$E$7106,E2232)</f>
        <v>9</v>
      </c>
    </row>
    <row r="2233" spans="1:6" x14ac:dyDescent="0.2">
      <c r="A2233">
        <v>2019</v>
      </c>
      <c r="B2233" s="36">
        <v>3928</v>
      </c>
      <c r="C2233" s="90" t="str">
        <f>VLOOKUP(B2233,'All Districts'!$A$3:$B$874,2,FALSE)</f>
        <v>Elba</v>
      </c>
      <c r="D2233" s="40">
        <v>379896</v>
      </c>
      <c r="E2233">
        <f>VLOOKUP(C2233,'All Districts'!$B$3:$C$874,2,FALSE)</f>
        <v>3610380</v>
      </c>
      <c r="F2233" s="91">
        <f>COUNTIF($E$2:$E$7106,E2233)</f>
        <v>9</v>
      </c>
    </row>
    <row r="2234" spans="1:6" x14ac:dyDescent="0.2">
      <c r="A2234">
        <v>2020</v>
      </c>
      <c r="B2234" s="36">
        <v>3928</v>
      </c>
      <c r="C2234" s="90" t="str">
        <f>VLOOKUP(B2234,'All Districts'!$A$3:$B$874,2,FALSE)</f>
        <v>Elba</v>
      </c>
      <c r="D2234" s="40">
        <v>298338</v>
      </c>
      <c r="E2234">
        <f>VLOOKUP(C2234,'All Districts'!$B$3:$C$874,2,FALSE)</f>
        <v>3610380</v>
      </c>
      <c r="F2234" s="91">
        <f>COUNTIF($E$2:$E$7106,E2234)</f>
        <v>9</v>
      </c>
    </row>
    <row r="2235" spans="1:6" x14ac:dyDescent="0.2">
      <c r="A2235" s="10">
        <v>2021</v>
      </c>
      <c r="B2235" s="52">
        <v>3928</v>
      </c>
      <c r="C2235" s="90" t="str">
        <f>VLOOKUP(B2235,'All Districts'!$A$3:$B$874,2,FALSE)</f>
        <v>Elba</v>
      </c>
      <c r="D2235" s="76">
        <v>323201</v>
      </c>
      <c r="E2235">
        <f>VLOOKUP(C2235,'All Districts'!$B$3:$C$874,2,FALSE)</f>
        <v>3610380</v>
      </c>
      <c r="F2235" s="91">
        <f>COUNTIF($E$2:$E$7106,E2235)</f>
        <v>9</v>
      </c>
    </row>
    <row r="2236" spans="1:6" x14ac:dyDescent="0.2">
      <c r="A2236">
        <v>2022</v>
      </c>
      <c r="B2236" s="36">
        <v>3928</v>
      </c>
      <c r="C2236" s="90" t="str">
        <f>VLOOKUP(B2236,'All Districts'!$A$3:$B$874,2,FALSE)</f>
        <v>Elba</v>
      </c>
      <c r="D2236" s="82">
        <v>365740</v>
      </c>
      <c r="E2236">
        <f>VLOOKUP(C2236,'All Districts'!$B$3:$C$874,2,FALSE)</f>
        <v>3610380</v>
      </c>
      <c r="F2236" s="91">
        <f>COUNTIF($E$2:$E$7106,E2236)</f>
        <v>9</v>
      </c>
    </row>
    <row r="2237" spans="1:6" x14ac:dyDescent="0.2">
      <c r="A2237">
        <v>2023</v>
      </c>
      <c r="B2237" s="36">
        <v>3928</v>
      </c>
      <c r="C2237" s="90" t="str">
        <f>VLOOKUP(B2237,'All Districts'!$A$3:$B$874,2,FALSE)</f>
        <v>Elba</v>
      </c>
      <c r="D2237" s="40">
        <v>391303</v>
      </c>
      <c r="E2237">
        <f>VLOOKUP(C2237,'All Districts'!$B$3:$C$874,2,FALSE)</f>
        <v>3610380</v>
      </c>
      <c r="F2237" s="91">
        <f>COUNTIF($E$2:$E$7106,E2237)</f>
        <v>9</v>
      </c>
    </row>
    <row r="2238" spans="1:6" x14ac:dyDescent="0.2">
      <c r="A2238">
        <v>2015</v>
      </c>
      <c r="B2238" s="13">
        <v>5507</v>
      </c>
      <c r="C2238" s="90" t="str">
        <f>VLOOKUP(B2238,'All Districts'!$A$3:$B$874,2,FALSE)</f>
        <v>Eldred</v>
      </c>
      <c r="D2238" s="14">
        <v>860649</v>
      </c>
      <c r="E2238">
        <f>VLOOKUP(C2238,'All Districts'!$B$3:$C$874,2,FALSE)</f>
        <v>3610410</v>
      </c>
      <c r="F2238" s="91">
        <f>COUNTIF($E$2:$E$7106,E2238)</f>
        <v>9</v>
      </c>
    </row>
    <row r="2239" spans="1:6" x14ac:dyDescent="0.2">
      <c r="A2239">
        <v>2016</v>
      </c>
      <c r="B2239" s="13">
        <v>5507</v>
      </c>
      <c r="C2239" s="90" t="str">
        <f>VLOOKUP(B2239,'All Districts'!$A$3:$B$874,2,FALSE)</f>
        <v>Eldred</v>
      </c>
      <c r="D2239" s="16">
        <v>664442</v>
      </c>
      <c r="E2239">
        <f>VLOOKUP(C2239,'All Districts'!$B$3:$C$874,2,FALSE)</f>
        <v>3610410</v>
      </c>
      <c r="F2239" s="91">
        <f>COUNTIF($E$2:$E$7106,E2239)</f>
        <v>9</v>
      </c>
    </row>
    <row r="2240" spans="1:6" x14ac:dyDescent="0.2">
      <c r="A2240">
        <v>2017</v>
      </c>
      <c r="B2240" s="13">
        <v>5507</v>
      </c>
      <c r="C2240" s="90" t="str">
        <f>VLOOKUP(B2240,'All Districts'!$A$3:$B$874,2,FALSE)</f>
        <v>Eldred</v>
      </c>
      <c r="D2240" s="16">
        <v>611419</v>
      </c>
      <c r="E2240">
        <f>VLOOKUP(C2240,'All Districts'!$B$3:$C$874,2,FALSE)</f>
        <v>3610410</v>
      </c>
      <c r="F2240" s="91">
        <f>COUNTIF($E$2:$E$7106,E2240)</f>
        <v>9</v>
      </c>
    </row>
    <row r="2241" spans="1:6" x14ac:dyDescent="0.2">
      <c r="A2241" s="10">
        <v>2018</v>
      </c>
      <c r="B2241" s="13">
        <v>5507</v>
      </c>
      <c r="C2241" s="90" t="str">
        <f>VLOOKUP(B2241,'All Districts'!$A$3:$B$874,2,FALSE)</f>
        <v>Eldred</v>
      </c>
      <c r="D2241" s="15">
        <v>495307</v>
      </c>
      <c r="E2241">
        <f>VLOOKUP(C2241,'All Districts'!$B$3:$C$874,2,FALSE)</f>
        <v>3610410</v>
      </c>
      <c r="F2241" s="91">
        <f>COUNTIF($E$2:$E$7106,E2241)</f>
        <v>9</v>
      </c>
    </row>
    <row r="2242" spans="1:6" x14ac:dyDescent="0.2">
      <c r="A2242">
        <v>2019</v>
      </c>
      <c r="B2242" s="36">
        <v>5507</v>
      </c>
      <c r="C2242" s="90" t="str">
        <f>VLOOKUP(B2242,'All Districts'!$A$3:$B$874,2,FALSE)</f>
        <v>Eldred</v>
      </c>
      <c r="D2242" s="40">
        <v>467613</v>
      </c>
      <c r="E2242">
        <f>VLOOKUP(C2242,'All Districts'!$B$3:$C$874,2,FALSE)</f>
        <v>3610410</v>
      </c>
      <c r="F2242" s="91">
        <f>COUNTIF($E$2:$E$7106,E2242)</f>
        <v>9</v>
      </c>
    </row>
    <row r="2243" spans="1:6" x14ac:dyDescent="0.2">
      <c r="A2243">
        <v>2020</v>
      </c>
      <c r="B2243" s="36">
        <v>5507</v>
      </c>
      <c r="C2243" s="90" t="str">
        <f>VLOOKUP(B2243,'All Districts'!$A$3:$B$874,2,FALSE)</f>
        <v>Eldred</v>
      </c>
      <c r="D2243" s="40">
        <v>429853</v>
      </c>
      <c r="E2243">
        <f>VLOOKUP(C2243,'All Districts'!$B$3:$C$874,2,FALSE)</f>
        <v>3610410</v>
      </c>
      <c r="F2243" s="91">
        <f>COUNTIF($E$2:$E$7106,E2243)</f>
        <v>9</v>
      </c>
    </row>
    <row r="2244" spans="1:6" x14ac:dyDescent="0.2">
      <c r="A2244" s="10">
        <v>2021</v>
      </c>
      <c r="B2244" s="52">
        <v>5507</v>
      </c>
      <c r="C2244" s="90" t="str">
        <f>VLOOKUP(B2244,'All Districts'!$A$3:$B$874,2,FALSE)</f>
        <v>Eldred</v>
      </c>
      <c r="D2244" s="76">
        <v>484690</v>
      </c>
      <c r="E2244">
        <f>VLOOKUP(C2244,'All Districts'!$B$3:$C$874,2,FALSE)</f>
        <v>3610410</v>
      </c>
      <c r="F2244" s="91">
        <f>COUNTIF($E$2:$E$7106,E2244)</f>
        <v>9</v>
      </c>
    </row>
    <row r="2245" spans="1:6" x14ac:dyDescent="0.2">
      <c r="A2245">
        <v>2022</v>
      </c>
      <c r="B2245" s="36">
        <v>5507</v>
      </c>
      <c r="C2245" s="90" t="str">
        <f>VLOOKUP(B2245,'All Districts'!$A$3:$B$874,2,FALSE)</f>
        <v>Eldred</v>
      </c>
      <c r="D2245" s="82">
        <v>593773</v>
      </c>
      <c r="E2245">
        <f>VLOOKUP(C2245,'All Districts'!$B$3:$C$874,2,FALSE)</f>
        <v>3610410</v>
      </c>
      <c r="F2245" s="91">
        <f>COUNTIF($E$2:$E$7106,E2245)</f>
        <v>9</v>
      </c>
    </row>
    <row r="2246" spans="1:6" x14ac:dyDescent="0.2">
      <c r="A2246">
        <v>2023</v>
      </c>
      <c r="B2246" s="36">
        <v>5507</v>
      </c>
      <c r="C2246" s="90" t="str">
        <f>VLOOKUP(B2246,'All Districts'!$A$3:$B$874,2,FALSE)</f>
        <v>Eldred</v>
      </c>
      <c r="D2246" s="40">
        <v>658006</v>
      </c>
      <c r="E2246">
        <f>VLOOKUP(C2246,'All Districts'!$B$3:$C$874,2,FALSE)</f>
        <v>3610410</v>
      </c>
      <c r="F2246" s="91">
        <f>COUNTIF($E$2:$E$7106,E2246)</f>
        <v>9</v>
      </c>
    </row>
    <row r="2247" spans="1:6" x14ac:dyDescent="0.2">
      <c r="A2247">
        <v>2015</v>
      </c>
      <c r="B2247" s="13">
        <v>2149</v>
      </c>
      <c r="C2247" s="90" t="str">
        <f>VLOOKUP(B2247,'All Districts'!$A$3:$B$874,2,FALSE)</f>
        <v>Ellenville</v>
      </c>
      <c r="D2247" s="14">
        <v>2695870</v>
      </c>
      <c r="E2247">
        <f>VLOOKUP(C2247,'All Districts'!$B$3:$C$874,2,FALSE)</f>
        <v>3610500</v>
      </c>
      <c r="F2247" s="91">
        <f>COUNTIF($E$2:$E$7106,E2247)</f>
        <v>9</v>
      </c>
    </row>
    <row r="2248" spans="1:6" x14ac:dyDescent="0.2">
      <c r="A2248">
        <v>2016</v>
      </c>
      <c r="B2248" s="13">
        <v>2149</v>
      </c>
      <c r="C2248" s="90" t="str">
        <f>VLOOKUP(B2248,'All Districts'!$A$3:$B$874,2,FALSE)</f>
        <v>Ellenville</v>
      </c>
      <c r="D2248" s="16">
        <v>2015421</v>
      </c>
      <c r="E2248">
        <f>VLOOKUP(C2248,'All Districts'!$B$3:$C$874,2,FALSE)</f>
        <v>3610500</v>
      </c>
      <c r="F2248" s="91">
        <f>COUNTIF($E$2:$E$7106,E2248)</f>
        <v>9</v>
      </c>
    </row>
    <row r="2249" spans="1:6" x14ac:dyDescent="0.2">
      <c r="A2249">
        <v>2017</v>
      </c>
      <c r="B2249" s="13">
        <v>2149</v>
      </c>
      <c r="C2249" s="90" t="str">
        <f>VLOOKUP(B2249,'All Districts'!$A$3:$B$874,2,FALSE)</f>
        <v>Ellenville</v>
      </c>
      <c r="D2249" s="16">
        <v>1839651</v>
      </c>
      <c r="E2249">
        <f>VLOOKUP(C2249,'All Districts'!$B$3:$C$874,2,FALSE)</f>
        <v>3610500</v>
      </c>
      <c r="F2249" s="91">
        <f>COUNTIF($E$2:$E$7106,E2249)</f>
        <v>9</v>
      </c>
    </row>
    <row r="2250" spans="1:6" x14ac:dyDescent="0.2">
      <c r="A2250" s="10">
        <v>2018</v>
      </c>
      <c r="B2250" s="13">
        <v>2149</v>
      </c>
      <c r="C2250" s="90" t="str">
        <f>VLOOKUP(B2250,'All Districts'!$A$3:$B$874,2,FALSE)</f>
        <v>Ellenville</v>
      </c>
      <c r="D2250" s="15">
        <v>1591529</v>
      </c>
      <c r="E2250">
        <f>VLOOKUP(C2250,'All Districts'!$B$3:$C$874,2,FALSE)</f>
        <v>3610500</v>
      </c>
      <c r="F2250" s="91">
        <f>COUNTIF($E$2:$E$7106,E2250)</f>
        <v>9</v>
      </c>
    </row>
    <row r="2251" spans="1:6" x14ac:dyDescent="0.2">
      <c r="A2251">
        <v>2019</v>
      </c>
      <c r="B2251" s="36">
        <v>2149</v>
      </c>
      <c r="C2251" s="90" t="str">
        <f>VLOOKUP(B2251,'All Districts'!$A$3:$B$874,2,FALSE)</f>
        <v>Ellenville</v>
      </c>
      <c r="D2251" s="40">
        <v>1763240</v>
      </c>
      <c r="E2251">
        <f>VLOOKUP(C2251,'All Districts'!$B$3:$C$874,2,FALSE)</f>
        <v>3610500</v>
      </c>
      <c r="F2251" s="91">
        <f>COUNTIF($E$2:$E$7106,E2251)</f>
        <v>9</v>
      </c>
    </row>
    <row r="2252" spans="1:6" x14ac:dyDescent="0.2">
      <c r="A2252">
        <v>2020</v>
      </c>
      <c r="B2252" s="36">
        <v>2149</v>
      </c>
      <c r="C2252" s="90" t="str">
        <f>VLOOKUP(B2252,'All Districts'!$A$3:$B$874,2,FALSE)</f>
        <v>Ellenville</v>
      </c>
      <c r="D2252" s="40">
        <v>1506029</v>
      </c>
      <c r="E2252">
        <f>VLOOKUP(C2252,'All Districts'!$B$3:$C$874,2,FALSE)</f>
        <v>3610500</v>
      </c>
      <c r="F2252" s="91">
        <f>COUNTIF($E$2:$E$7106,E2252)</f>
        <v>9</v>
      </c>
    </row>
    <row r="2253" spans="1:6" x14ac:dyDescent="0.2">
      <c r="A2253" s="10">
        <v>2021</v>
      </c>
      <c r="B2253" s="55">
        <v>2149</v>
      </c>
      <c r="C2253" s="90" t="str">
        <f>VLOOKUP(B2253,'All Districts'!$A$3:$B$874,2,FALSE)</f>
        <v>Ellenville</v>
      </c>
      <c r="D2253" s="76">
        <v>1467604</v>
      </c>
      <c r="E2253">
        <f>VLOOKUP(C2253,'All Districts'!$B$3:$C$874,2,FALSE)</f>
        <v>3610500</v>
      </c>
      <c r="F2253" s="91">
        <f>COUNTIF($E$2:$E$7106,E2253)</f>
        <v>9</v>
      </c>
    </row>
    <row r="2254" spans="1:6" x14ac:dyDescent="0.2">
      <c r="A2254">
        <v>2022</v>
      </c>
      <c r="B2254" s="36">
        <v>2149</v>
      </c>
      <c r="C2254" s="90" t="str">
        <f>VLOOKUP(B2254,'All Districts'!$A$3:$B$874,2,FALSE)</f>
        <v>Ellenville</v>
      </c>
      <c r="D2254" s="82">
        <v>1652357</v>
      </c>
      <c r="E2254">
        <f>VLOOKUP(C2254,'All Districts'!$B$3:$C$874,2,FALSE)</f>
        <v>3610500</v>
      </c>
      <c r="F2254" s="91">
        <f>COUNTIF($E$2:$E$7106,E2254)</f>
        <v>9</v>
      </c>
    </row>
    <row r="2255" spans="1:6" x14ac:dyDescent="0.2">
      <c r="A2255">
        <v>2023</v>
      </c>
      <c r="B2255" s="36">
        <v>2149</v>
      </c>
      <c r="C2255" s="90" t="str">
        <f>VLOOKUP(B2255,'All Districts'!$A$3:$B$874,2,FALSE)</f>
        <v>Ellenville</v>
      </c>
      <c r="D2255" s="40">
        <v>1791558</v>
      </c>
      <c r="E2255">
        <f>VLOOKUP(C2255,'All Districts'!$B$3:$C$874,2,FALSE)</f>
        <v>3610500</v>
      </c>
      <c r="F2255" s="91">
        <f>COUNTIF($E$2:$E$7106,E2255)</f>
        <v>9</v>
      </c>
    </row>
    <row r="2256" spans="1:6" x14ac:dyDescent="0.2">
      <c r="A2256">
        <v>2015</v>
      </c>
      <c r="B2256" s="13">
        <v>3229</v>
      </c>
      <c r="C2256" s="90" t="str">
        <f>VLOOKUP(B2256,'All Districts'!$A$3:$B$874,2,FALSE)</f>
        <v>Ellicottville</v>
      </c>
      <c r="D2256" s="14">
        <v>703164</v>
      </c>
      <c r="E2256">
        <f>VLOOKUP(C2256,'All Districts'!$B$3:$C$874,2,FALSE)</f>
        <v>3610530</v>
      </c>
      <c r="F2256" s="91">
        <f>COUNTIF($E$2:$E$7106,E2256)</f>
        <v>9</v>
      </c>
    </row>
    <row r="2257" spans="1:6" x14ac:dyDescent="0.2">
      <c r="A2257">
        <v>2016</v>
      </c>
      <c r="B2257" s="13">
        <v>3229</v>
      </c>
      <c r="C2257" s="90" t="str">
        <f>VLOOKUP(B2257,'All Districts'!$A$3:$B$874,2,FALSE)</f>
        <v>Ellicottville</v>
      </c>
      <c r="D2257" s="16">
        <v>581918</v>
      </c>
      <c r="E2257">
        <f>VLOOKUP(C2257,'All Districts'!$B$3:$C$874,2,FALSE)</f>
        <v>3610530</v>
      </c>
      <c r="F2257" s="91">
        <f>COUNTIF($E$2:$E$7106,E2257)</f>
        <v>9</v>
      </c>
    </row>
    <row r="2258" spans="1:6" x14ac:dyDescent="0.2">
      <c r="A2258">
        <v>2017</v>
      </c>
      <c r="B2258" s="13">
        <v>3229</v>
      </c>
      <c r="C2258" s="90" t="str">
        <f>VLOOKUP(B2258,'All Districts'!$A$3:$B$874,2,FALSE)</f>
        <v>Ellicottville</v>
      </c>
      <c r="D2258" s="16">
        <v>532733</v>
      </c>
      <c r="E2258">
        <f>VLOOKUP(C2258,'All Districts'!$B$3:$C$874,2,FALSE)</f>
        <v>3610530</v>
      </c>
      <c r="F2258" s="91">
        <f>COUNTIF($E$2:$E$7106,E2258)</f>
        <v>9</v>
      </c>
    </row>
    <row r="2259" spans="1:6" x14ac:dyDescent="0.2">
      <c r="A2259" s="10">
        <v>2018</v>
      </c>
      <c r="B2259" s="13">
        <v>3229</v>
      </c>
      <c r="C2259" s="90" t="str">
        <f>VLOOKUP(B2259,'All Districts'!$A$3:$B$874,2,FALSE)</f>
        <v>Ellicottville</v>
      </c>
      <c r="D2259" s="15">
        <v>449711</v>
      </c>
      <c r="E2259">
        <f>VLOOKUP(C2259,'All Districts'!$B$3:$C$874,2,FALSE)</f>
        <v>3610530</v>
      </c>
      <c r="F2259" s="91">
        <f>COUNTIF($E$2:$E$7106,E2259)</f>
        <v>9</v>
      </c>
    </row>
    <row r="2260" spans="1:6" x14ac:dyDescent="0.2">
      <c r="A2260">
        <v>2019</v>
      </c>
      <c r="B2260" s="36">
        <v>3229</v>
      </c>
      <c r="C2260" s="90" t="str">
        <f>VLOOKUP(B2260,'All Districts'!$A$3:$B$874,2,FALSE)</f>
        <v>Ellicottville</v>
      </c>
      <c r="D2260" s="40">
        <v>496879</v>
      </c>
      <c r="E2260">
        <f>VLOOKUP(C2260,'All Districts'!$B$3:$C$874,2,FALSE)</f>
        <v>3610530</v>
      </c>
      <c r="F2260" s="91">
        <f>COUNTIF($E$2:$E$7106,E2260)</f>
        <v>9</v>
      </c>
    </row>
    <row r="2261" spans="1:6" x14ac:dyDescent="0.2">
      <c r="A2261">
        <v>2020</v>
      </c>
      <c r="B2261" s="36">
        <v>3229</v>
      </c>
      <c r="C2261" s="90" t="str">
        <f>VLOOKUP(B2261,'All Districts'!$A$3:$B$874,2,FALSE)</f>
        <v>Ellicottville</v>
      </c>
      <c r="D2261" s="40">
        <v>419844</v>
      </c>
      <c r="E2261">
        <f>VLOOKUP(C2261,'All Districts'!$B$3:$C$874,2,FALSE)</f>
        <v>3610530</v>
      </c>
      <c r="F2261" s="91">
        <f>COUNTIF($E$2:$E$7106,E2261)</f>
        <v>9</v>
      </c>
    </row>
    <row r="2262" spans="1:6" x14ac:dyDescent="0.2">
      <c r="A2262" s="10">
        <v>2021</v>
      </c>
      <c r="B2262" s="71">
        <v>3229</v>
      </c>
      <c r="C2262" s="90" t="str">
        <f>VLOOKUP(B2262,'All Districts'!$A$3:$B$874,2,FALSE)</f>
        <v>Ellicottville</v>
      </c>
      <c r="D2262" s="76">
        <v>439631</v>
      </c>
      <c r="E2262">
        <f>VLOOKUP(C2262,'All Districts'!$B$3:$C$874,2,FALSE)</f>
        <v>3610530</v>
      </c>
      <c r="F2262" s="91">
        <f>COUNTIF($E$2:$E$7106,E2262)</f>
        <v>9</v>
      </c>
    </row>
    <row r="2263" spans="1:6" x14ac:dyDescent="0.2">
      <c r="A2263">
        <v>2022</v>
      </c>
      <c r="B2263" s="36">
        <v>3229</v>
      </c>
      <c r="C2263" s="90" t="str">
        <f>VLOOKUP(B2263,'All Districts'!$A$3:$B$874,2,FALSE)</f>
        <v>Ellicottville</v>
      </c>
      <c r="D2263" s="82">
        <v>485960</v>
      </c>
      <c r="E2263">
        <f>VLOOKUP(C2263,'All Districts'!$B$3:$C$874,2,FALSE)</f>
        <v>3610530</v>
      </c>
      <c r="F2263" s="91">
        <f>COUNTIF($E$2:$E$7106,E2263)</f>
        <v>9</v>
      </c>
    </row>
    <row r="2264" spans="1:6" x14ac:dyDescent="0.2">
      <c r="A2264">
        <v>2023</v>
      </c>
      <c r="B2264" s="36">
        <v>3229</v>
      </c>
      <c r="C2264" s="90" t="str">
        <f>VLOOKUP(B2264,'All Districts'!$A$3:$B$874,2,FALSE)</f>
        <v>Ellicottville</v>
      </c>
      <c r="D2264" s="40">
        <v>519687</v>
      </c>
      <c r="E2264">
        <f>VLOOKUP(C2264,'All Districts'!$B$3:$C$874,2,FALSE)</f>
        <v>3610530</v>
      </c>
      <c r="F2264" s="91">
        <f>COUNTIF($E$2:$E$7106,E2264)</f>
        <v>9</v>
      </c>
    </row>
    <row r="2265" spans="1:6" x14ac:dyDescent="0.2">
      <c r="A2265">
        <v>2015</v>
      </c>
      <c r="B2265" s="13">
        <v>1065</v>
      </c>
      <c r="C2265" s="90" t="str">
        <f>VLOOKUP(B2265,'All Districts'!$A$3:$B$874,2,FALSE)</f>
        <v>Elmira</v>
      </c>
      <c r="D2265" s="14">
        <v>5974257</v>
      </c>
      <c r="E2265">
        <f>VLOOKUP(C2265,'All Districts'!$B$3:$C$874,2,FALSE)</f>
        <v>3610560</v>
      </c>
      <c r="F2265" s="91">
        <f>COUNTIF($E$2:$E$7106,E2265)</f>
        <v>9</v>
      </c>
    </row>
    <row r="2266" spans="1:6" x14ac:dyDescent="0.2">
      <c r="A2266">
        <v>2016</v>
      </c>
      <c r="B2266" s="13">
        <v>1065</v>
      </c>
      <c r="C2266" s="90" t="str">
        <f>VLOOKUP(B2266,'All Districts'!$A$3:$B$874,2,FALSE)</f>
        <v>Elmira</v>
      </c>
      <c r="D2266" s="16">
        <v>4545078</v>
      </c>
      <c r="E2266">
        <f>VLOOKUP(C2266,'All Districts'!$B$3:$C$874,2,FALSE)</f>
        <v>3610560</v>
      </c>
      <c r="F2266" s="91">
        <f>COUNTIF($E$2:$E$7106,E2266)</f>
        <v>9</v>
      </c>
    </row>
    <row r="2267" spans="1:6" x14ac:dyDescent="0.2">
      <c r="A2267">
        <v>2017</v>
      </c>
      <c r="B2267" s="13">
        <v>1065</v>
      </c>
      <c r="C2267" s="90" t="str">
        <f>VLOOKUP(B2267,'All Districts'!$A$3:$B$874,2,FALSE)</f>
        <v>Elmira</v>
      </c>
      <c r="D2267" s="16">
        <v>4033081</v>
      </c>
      <c r="E2267">
        <f>VLOOKUP(C2267,'All Districts'!$B$3:$C$874,2,FALSE)</f>
        <v>3610560</v>
      </c>
      <c r="F2267" s="91">
        <f>COUNTIF($E$2:$E$7106,E2267)</f>
        <v>9</v>
      </c>
    </row>
    <row r="2268" spans="1:6" x14ac:dyDescent="0.2">
      <c r="A2268" s="10">
        <v>2018</v>
      </c>
      <c r="B2268" s="13">
        <v>1065</v>
      </c>
      <c r="C2268" s="90" t="str">
        <f>VLOOKUP(B2268,'All Districts'!$A$3:$B$874,2,FALSE)</f>
        <v>Elmira</v>
      </c>
      <c r="D2268" s="15">
        <v>3425115</v>
      </c>
      <c r="E2268">
        <f>VLOOKUP(C2268,'All Districts'!$B$3:$C$874,2,FALSE)</f>
        <v>3610560</v>
      </c>
      <c r="F2268" s="91">
        <f>COUNTIF($E$2:$E$7106,E2268)</f>
        <v>9</v>
      </c>
    </row>
    <row r="2269" spans="1:6" x14ac:dyDescent="0.2">
      <c r="A2269">
        <v>2019</v>
      </c>
      <c r="B2269" s="36">
        <v>1065</v>
      </c>
      <c r="C2269" s="90" t="str">
        <f>VLOOKUP(B2269,'All Districts'!$A$3:$B$874,2,FALSE)</f>
        <v>Elmira</v>
      </c>
      <c r="D2269" s="40">
        <v>3824839</v>
      </c>
      <c r="E2269">
        <f>VLOOKUP(C2269,'All Districts'!$B$3:$C$874,2,FALSE)</f>
        <v>3610560</v>
      </c>
      <c r="F2269" s="91">
        <f>COUNTIF($E$2:$E$7106,E2269)</f>
        <v>9</v>
      </c>
    </row>
    <row r="2270" spans="1:6" x14ac:dyDescent="0.2">
      <c r="A2270">
        <v>2020</v>
      </c>
      <c r="B2270" s="36">
        <v>1065</v>
      </c>
      <c r="C2270" s="90" t="str">
        <f>VLOOKUP(B2270,'All Districts'!$A$3:$B$874,2,FALSE)</f>
        <v>Elmira</v>
      </c>
      <c r="D2270" s="40">
        <v>3208633</v>
      </c>
      <c r="E2270">
        <f>VLOOKUP(C2270,'All Districts'!$B$3:$C$874,2,FALSE)</f>
        <v>3610560</v>
      </c>
      <c r="F2270" s="91">
        <f>COUNTIF($E$2:$E$7106,E2270)</f>
        <v>9</v>
      </c>
    </row>
    <row r="2271" spans="1:6" x14ac:dyDescent="0.2">
      <c r="A2271" s="10">
        <v>2021</v>
      </c>
      <c r="B2271" s="52">
        <v>1065</v>
      </c>
      <c r="C2271" s="90" t="str">
        <f>VLOOKUP(B2271,'All Districts'!$A$3:$B$874,2,FALSE)</f>
        <v>Elmira</v>
      </c>
      <c r="D2271" s="76">
        <v>3434860</v>
      </c>
      <c r="E2271">
        <f>VLOOKUP(C2271,'All Districts'!$B$3:$C$874,2,FALSE)</f>
        <v>3610560</v>
      </c>
      <c r="F2271" s="91">
        <f>COUNTIF($E$2:$E$7106,E2271)</f>
        <v>9</v>
      </c>
    </row>
    <row r="2272" spans="1:6" x14ac:dyDescent="0.2">
      <c r="A2272">
        <v>2022</v>
      </c>
      <c r="B2272" s="36">
        <v>1065</v>
      </c>
      <c r="C2272" s="90" t="str">
        <f>VLOOKUP(B2272,'All Districts'!$A$3:$B$874,2,FALSE)</f>
        <v>Elmira</v>
      </c>
      <c r="D2272" s="82">
        <v>3742044</v>
      </c>
      <c r="E2272">
        <f>VLOOKUP(C2272,'All Districts'!$B$3:$C$874,2,FALSE)</f>
        <v>3610560</v>
      </c>
      <c r="F2272" s="91">
        <f>COUNTIF($E$2:$E$7106,E2272)</f>
        <v>9</v>
      </c>
    </row>
    <row r="2273" spans="1:6" x14ac:dyDescent="0.2">
      <c r="A2273">
        <v>2023</v>
      </c>
      <c r="B2273" s="36">
        <v>1065</v>
      </c>
      <c r="C2273" s="90" t="str">
        <f>VLOOKUP(B2273,'All Districts'!$A$3:$B$874,2,FALSE)</f>
        <v>Elmira</v>
      </c>
      <c r="D2273" s="40">
        <v>4051186</v>
      </c>
      <c r="E2273">
        <f>VLOOKUP(C2273,'All Districts'!$B$3:$C$874,2,FALSE)</f>
        <v>3610560</v>
      </c>
      <c r="F2273" s="91">
        <f>COUNTIF($E$2:$E$7106,E2273)</f>
        <v>9</v>
      </c>
    </row>
    <row r="2274" spans="1:6" x14ac:dyDescent="0.2">
      <c r="A2274">
        <v>2015</v>
      </c>
      <c r="B2274" s="13">
        <v>2150</v>
      </c>
      <c r="C2274" s="90" t="str">
        <f>VLOOKUP(B2274,'All Districts'!$A$3:$B$874,2,FALSE)</f>
        <v>Elmira Heights</v>
      </c>
      <c r="D2274" s="14">
        <v>1048977</v>
      </c>
      <c r="E2274">
        <f>VLOOKUP(C2274,'All Districts'!$B$3:$C$874,2,FALSE)</f>
        <v>3610590</v>
      </c>
      <c r="F2274" s="91">
        <f>COUNTIF($E$2:$E$7106,E2274)</f>
        <v>9</v>
      </c>
    </row>
    <row r="2275" spans="1:6" x14ac:dyDescent="0.2">
      <c r="A2275">
        <v>2016</v>
      </c>
      <c r="B2275" s="13">
        <v>2150</v>
      </c>
      <c r="C2275" s="90" t="str">
        <f>VLOOKUP(B2275,'All Districts'!$A$3:$B$874,2,FALSE)</f>
        <v>Elmira Heights</v>
      </c>
      <c r="D2275" s="16">
        <v>805935</v>
      </c>
      <c r="E2275">
        <f>VLOOKUP(C2275,'All Districts'!$B$3:$C$874,2,FALSE)</f>
        <v>3610590</v>
      </c>
      <c r="F2275" s="91">
        <f>COUNTIF($E$2:$E$7106,E2275)</f>
        <v>9</v>
      </c>
    </row>
    <row r="2276" spans="1:6" x14ac:dyDescent="0.2">
      <c r="A2276">
        <v>2017</v>
      </c>
      <c r="B2276" s="13">
        <v>2150</v>
      </c>
      <c r="C2276" s="90" t="str">
        <f>VLOOKUP(B2276,'All Districts'!$A$3:$B$874,2,FALSE)</f>
        <v>Elmira Heights</v>
      </c>
      <c r="D2276" s="16">
        <v>732477</v>
      </c>
      <c r="E2276">
        <f>VLOOKUP(C2276,'All Districts'!$B$3:$C$874,2,FALSE)</f>
        <v>3610590</v>
      </c>
      <c r="F2276" s="91">
        <f>COUNTIF($E$2:$E$7106,E2276)</f>
        <v>9</v>
      </c>
    </row>
    <row r="2277" spans="1:6" x14ac:dyDescent="0.2">
      <c r="A2277" s="10">
        <v>2018</v>
      </c>
      <c r="B2277" s="13">
        <v>2150</v>
      </c>
      <c r="C2277" s="90" t="str">
        <f>VLOOKUP(B2277,'All Districts'!$A$3:$B$874,2,FALSE)</f>
        <v>Elmira Heights</v>
      </c>
      <c r="D2277" s="15">
        <v>635472</v>
      </c>
      <c r="E2277">
        <f>VLOOKUP(C2277,'All Districts'!$B$3:$C$874,2,FALSE)</f>
        <v>3610590</v>
      </c>
      <c r="F2277" s="91">
        <f>COUNTIF($E$2:$E$7106,E2277)</f>
        <v>9</v>
      </c>
    </row>
    <row r="2278" spans="1:6" x14ac:dyDescent="0.2">
      <c r="A2278">
        <v>2019</v>
      </c>
      <c r="B2278" s="36">
        <v>2150</v>
      </c>
      <c r="C2278" s="90" t="str">
        <f>VLOOKUP(B2278,'All Districts'!$A$3:$B$874,2,FALSE)</f>
        <v>Elmira Heights</v>
      </c>
      <c r="D2278" s="40">
        <v>719975</v>
      </c>
      <c r="E2278">
        <f>VLOOKUP(C2278,'All Districts'!$B$3:$C$874,2,FALSE)</f>
        <v>3610590</v>
      </c>
      <c r="F2278" s="91">
        <f>COUNTIF($E$2:$E$7106,E2278)</f>
        <v>9</v>
      </c>
    </row>
    <row r="2279" spans="1:6" x14ac:dyDescent="0.2">
      <c r="A2279">
        <v>2020</v>
      </c>
      <c r="B2279" s="36">
        <v>2150</v>
      </c>
      <c r="C2279" s="90" t="str">
        <f>VLOOKUP(B2279,'All Districts'!$A$3:$B$874,2,FALSE)</f>
        <v>Elmira Heights</v>
      </c>
      <c r="D2279" s="40">
        <v>616517</v>
      </c>
      <c r="E2279">
        <f>VLOOKUP(C2279,'All Districts'!$B$3:$C$874,2,FALSE)</f>
        <v>3610590</v>
      </c>
      <c r="F2279" s="91">
        <f>COUNTIF($E$2:$E$7106,E2279)</f>
        <v>9</v>
      </c>
    </row>
    <row r="2280" spans="1:6" x14ac:dyDescent="0.2">
      <c r="A2280" s="10">
        <v>2021</v>
      </c>
      <c r="B2280" s="52">
        <v>2150</v>
      </c>
      <c r="C2280" s="90" t="str">
        <f>VLOOKUP(B2280,'All Districts'!$A$3:$B$874,2,FALSE)</f>
        <v>Elmira Heights</v>
      </c>
      <c r="D2280" s="75">
        <v>652154</v>
      </c>
      <c r="E2280">
        <f>VLOOKUP(C2280,'All Districts'!$B$3:$C$874,2,FALSE)</f>
        <v>3610590</v>
      </c>
      <c r="F2280" s="91">
        <f>COUNTIF($E$2:$E$7106,E2280)</f>
        <v>9</v>
      </c>
    </row>
    <row r="2281" spans="1:6" x14ac:dyDescent="0.2">
      <c r="A2281">
        <v>2022</v>
      </c>
      <c r="B2281" s="36">
        <v>2150</v>
      </c>
      <c r="C2281" s="90" t="str">
        <f>VLOOKUP(B2281,'All Districts'!$A$3:$B$874,2,FALSE)</f>
        <v>Elmira Heights</v>
      </c>
      <c r="D2281" s="82">
        <v>748887</v>
      </c>
      <c r="E2281">
        <f>VLOOKUP(C2281,'All Districts'!$B$3:$C$874,2,FALSE)</f>
        <v>3610590</v>
      </c>
      <c r="F2281" s="91">
        <f>COUNTIF($E$2:$E$7106,E2281)</f>
        <v>9</v>
      </c>
    </row>
    <row r="2282" spans="1:6" x14ac:dyDescent="0.2">
      <c r="A2282">
        <v>2023</v>
      </c>
      <c r="B2282" s="36">
        <v>2150</v>
      </c>
      <c r="C2282" s="90" t="str">
        <f>VLOOKUP(B2282,'All Districts'!$A$3:$B$874,2,FALSE)</f>
        <v>Elmira Heights</v>
      </c>
      <c r="D2282" s="40">
        <v>799984</v>
      </c>
      <c r="E2282">
        <f>VLOOKUP(C2282,'All Districts'!$B$3:$C$874,2,FALSE)</f>
        <v>3610590</v>
      </c>
      <c r="F2282" s="91">
        <f>COUNTIF($E$2:$E$7106,E2282)</f>
        <v>9</v>
      </c>
    </row>
    <row r="2283" spans="1:6" x14ac:dyDescent="0.2">
      <c r="A2283">
        <v>2015</v>
      </c>
      <c r="B2283" s="13">
        <v>4356</v>
      </c>
      <c r="C2283" s="90" t="str">
        <f>VLOOKUP(B2283,'All Districts'!$A$3:$B$874,2,FALSE)</f>
        <v>Elmont</v>
      </c>
      <c r="D2283" s="14">
        <v>6066787</v>
      </c>
      <c r="E2283">
        <f>VLOOKUP(C2283,'All Districts'!$B$3:$C$874,2,FALSE)</f>
        <v>3610620</v>
      </c>
      <c r="F2283" s="91">
        <f>COUNTIF($E$2:$E$7106,E2283)</f>
        <v>9</v>
      </c>
    </row>
    <row r="2284" spans="1:6" x14ac:dyDescent="0.2">
      <c r="A2284">
        <v>2016</v>
      </c>
      <c r="B2284" s="13">
        <v>4356</v>
      </c>
      <c r="C2284" s="90" t="str">
        <f>VLOOKUP(B2284,'All Districts'!$A$3:$B$874,2,FALSE)</f>
        <v>Elmont</v>
      </c>
      <c r="D2284" s="16">
        <v>4700900</v>
      </c>
      <c r="E2284">
        <f>VLOOKUP(C2284,'All Districts'!$B$3:$C$874,2,FALSE)</f>
        <v>3610620</v>
      </c>
      <c r="F2284" s="91">
        <f>COUNTIF($E$2:$E$7106,E2284)</f>
        <v>9</v>
      </c>
    </row>
    <row r="2285" spans="1:6" x14ac:dyDescent="0.2">
      <c r="A2285">
        <v>2017</v>
      </c>
      <c r="B2285" s="13">
        <v>4356</v>
      </c>
      <c r="C2285" s="90" t="str">
        <f>VLOOKUP(B2285,'All Districts'!$A$3:$B$874,2,FALSE)</f>
        <v>Elmont</v>
      </c>
      <c r="D2285" s="16">
        <v>4208882</v>
      </c>
      <c r="E2285">
        <f>VLOOKUP(C2285,'All Districts'!$B$3:$C$874,2,FALSE)</f>
        <v>3610620</v>
      </c>
      <c r="F2285" s="91">
        <f>COUNTIF($E$2:$E$7106,E2285)</f>
        <v>9</v>
      </c>
    </row>
    <row r="2286" spans="1:6" x14ac:dyDescent="0.2">
      <c r="A2286" s="10">
        <v>2018</v>
      </c>
      <c r="B2286" s="13">
        <v>4356</v>
      </c>
      <c r="C2286" s="90" t="str">
        <f>VLOOKUP(B2286,'All Districts'!$A$3:$B$874,2,FALSE)</f>
        <v>Elmont</v>
      </c>
      <c r="D2286" s="15">
        <v>3755402</v>
      </c>
      <c r="E2286">
        <f>VLOOKUP(C2286,'All Districts'!$B$3:$C$874,2,FALSE)</f>
        <v>3610620</v>
      </c>
      <c r="F2286" s="91">
        <f>COUNTIF($E$2:$E$7106,E2286)</f>
        <v>9</v>
      </c>
    </row>
    <row r="2287" spans="1:6" x14ac:dyDescent="0.2">
      <c r="A2287">
        <v>2019</v>
      </c>
      <c r="B2287" s="36">
        <v>4356</v>
      </c>
      <c r="C2287" s="90" t="str">
        <f>VLOOKUP(B2287,'All Districts'!$A$3:$B$874,2,FALSE)</f>
        <v>Elmont</v>
      </c>
      <c r="D2287" s="40">
        <v>4042629</v>
      </c>
      <c r="E2287">
        <f>VLOOKUP(C2287,'All Districts'!$B$3:$C$874,2,FALSE)</f>
        <v>3610620</v>
      </c>
      <c r="F2287" s="91">
        <f>COUNTIF($E$2:$E$7106,E2287)</f>
        <v>9</v>
      </c>
    </row>
    <row r="2288" spans="1:6" x14ac:dyDescent="0.2">
      <c r="A2288">
        <v>2020</v>
      </c>
      <c r="B2288" s="36">
        <v>4356</v>
      </c>
      <c r="C2288" s="90" t="str">
        <f>VLOOKUP(B2288,'All Districts'!$A$3:$B$874,2,FALSE)</f>
        <v>Elmont</v>
      </c>
      <c r="D2288" s="40">
        <v>3410725</v>
      </c>
      <c r="E2288">
        <f>VLOOKUP(C2288,'All Districts'!$B$3:$C$874,2,FALSE)</f>
        <v>3610620</v>
      </c>
      <c r="F2288" s="91">
        <f>COUNTIF($E$2:$E$7106,E2288)</f>
        <v>9</v>
      </c>
    </row>
    <row r="2289" spans="1:6" x14ac:dyDescent="0.2">
      <c r="A2289" s="10">
        <v>2021</v>
      </c>
      <c r="B2289" s="52">
        <v>4356</v>
      </c>
      <c r="C2289" s="90" t="str">
        <f>VLOOKUP(B2289,'All Districts'!$A$3:$B$874,2,FALSE)</f>
        <v>Elmont</v>
      </c>
      <c r="D2289" s="76">
        <v>3588575</v>
      </c>
      <c r="E2289">
        <f>VLOOKUP(C2289,'All Districts'!$B$3:$C$874,2,FALSE)</f>
        <v>3610620</v>
      </c>
      <c r="F2289" s="91">
        <f>COUNTIF($E$2:$E$7106,E2289)</f>
        <v>9</v>
      </c>
    </row>
    <row r="2290" spans="1:6" x14ac:dyDescent="0.2">
      <c r="A2290">
        <v>2022</v>
      </c>
      <c r="B2290" s="36">
        <v>4356</v>
      </c>
      <c r="C2290" s="90" t="str">
        <f>VLOOKUP(B2290,'All Districts'!$A$3:$B$874,2,FALSE)</f>
        <v>Elmont</v>
      </c>
      <c r="D2290" s="82">
        <v>3905286</v>
      </c>
      <c r="E2290">
        <f>VLOOKUP(C2290,'All Districts'!$B$3:$C$874,2,FALSE)</f>
        <v>3610620</v>
      </c>
      <c r="F2290" s="91">
        <f>COUNTIF($E$2:$E$7106,E2290)</f>
        <v>9</v>
      </c>
    </row>
    <row r="2291" spans="1:6" x14ac:dyDescent="0.2">
      <c r="A2291">
        <v>2023</v>
      </c>
      <c r="B2291" s="36">
        <v>4356</v>
      </c>
      <c r="C2291" s="90" t="str">
        <f>VLOOKUP(B2291,'All Districts'!$A$3:$B$874,2,FALSE)</f>
        <v>Elmont</v>
      </c>
      <c r="D2291" s="40">
        <v>4290790</v>
      </c>
      <c r="E2291">
        <f>VLOOKUP(C2291,'All Districts'!$B$3:$C$874,2,FALSE)</f>
        <v>3610620</v>
      </c>
      <c r="F2291" s="91">
        <f>COUNTIF($E$2:$E$7106,E2291)</f>
        <v>9</v>
      </c>
    </row>
    <row r="2292" spans="1:6" x14ac:dyDescent="0.2">
      <c r="A2292">
        <v>2015</v>
      </c>
      <c r="B2292" s="13">
        <v>5806</v>
      </c>
      <c r="C2292" s="90" t="str">
        <f>VLOOKUP(B2292,'All Districts'!$A$3:$B$874,2,FALSE)</f>
        <v>Elmsford</v>
      </c>
      <c r="D2292" s="15">
        <v>2210557</v>
      </c>
      <c r="E2292">
        <f>VLOOKUP(C2292,'All Districts'!$B$3:$C$874,2,FALSE)</f>
        <v>3610650</v>
      </c>
      <c r="F2292" s="91">
        <f>COUNTIF($E$2:$E$7106,E2292)</f>
        <v>9</v>
      </c>
    </row>
    <row r="2293" spans="1:6" x14ac:dyDescent="0.2">
      <c r="A2293">
        <v>2016</v>
      </c>
      <c r="B2293" s="13">
        <v>5806</v>
      </c>
      <c r="C2293" s="90" t="str">
        <f>VLOOKUP(B2293,'All Districts'!$A$3:$B$874,2,FALSE)</f>
        <v>Elmsford</v>
      </c>
      <c r="D2293" s="16">
        <v>1686530</v>
      </c>
      <c r="E2293">
        <f>VLOOKUP(C2293,'All Districts'!$B$3:$C$874,2,FALSE)</f>
        <v>3610650</v>
      </c>
      <c r="F2293" s="91">
        <f>COUNTIF($E$2:$E$7106,E2293)</f>
        <v>9</v>
      </c>
    </row>
    <row r="2294" spans="1:6" x14ac:dyDescent="0.2">
      <c r="A2294">
        <v>2017</v>
      </c>
      <c r="B2294" s="13">
        <v>5806</v>
      </c>
      <c r="C2294" s="90" t="str">
        <f>VLOOKUP(B2294,'All Districts'!$A$3:$B$874,2,FALSE)</f>
        <v>Elmsford</v>
      </c>
      <c r="D2294" s="16">
        <v>1561891</v>
      </c>
      <c r="E2294">
        <f>VLOOKUP(C2294,'All Districts'!$B$3:$C$874,2,FALSE)</f>
        <v>3610650</v>
      </c>
      <c r="F2294" s="91">
        <f>COUNTIF($E$2:$E$7106,E2294)</f>
        <v>9</v>
      </c>
    </row>
    <row r="2295" spans="1:6" x14ac:dyDescent="0.2">
      <c r="A2295" s="10">
        <v>2018</v>
      </c>
      <c r="B2295" s="13">
        <v>5806</v>
      </c>
      <c r="C2295" s="90" t="str">
        <f>VLOOKUP(B2295,'All Districts'!$A$3:$B$874,2,FALSE)</f>
        <v>Elmsford</v>
      </c>
      <c r="D2295" s="15">
        <v>1356856</v>
      </c>
      <c r="E2295">
        <f>VLOOKUP(C2295,'All Districts'!$B$3:$C$874,2,FALSE)</f>
        <v>3610650</v>
      </c>
      <c r="F2295" s="91">
        <f>COUNTIF($E$2:$E$7106,E2295)</f>
        <v>9</v>
      </c>
    </row>
    <row r="2296" spans="1:6" x14ac:dyDescent="0.2">
      <c r="A2296">
        <v>2019</v>
      </c>
      <c r="B2296" s="36">
        <v>5806</v>
      </c>
      <c r="C2296" s="90" t="str">
        <f>VLOOKUP(B2296,'All Districts'!$A$3:$B$874,2,FALSE)</f>
        <v>Elmsford</v>
      </c>
      <c r="D2296" s="40">
        <v>1509898</v>
      </c>
      <c r="E2296">
        <f>VLOOKUP(C2296,'All Districts'!$B$3:$C$874,2,FALSE)</f>
        <v>3610650</v>
      </c>
      <c r="F2296" s="91">
        <f>COUNTIF($E$2:$E$7106,E2296)</f>
        <v>9</v>
      </c>
    </row>
    <row r="2297" spans="1:6" x14ac:dyDescent="0.2">
      <c r="A2297">
        <v>2020</v>
      </c>
      <c r="B2297" s="36">
        <v>5806</v>
      </c>
      <c r="C2297" s="90" t="str">
        <f>VLOOKUP(B2297,'All Districts'!$A$3:$B$874,2,FALSE)</f>
        <v>Elmsford</v>
      </c>
      <c r="D2297" s="40">
        <v>1271634</v>
      </c>
      <c r="E2297">
        <f>VLOOKUP(C2297,'All Districts'!$B$3:$C$874,2,FALSE)</f>
        <v>3610650</v>
      </c>
      <c r="F2297" s="91">
        <f>COUNTIF($E$2:$E$7106,E2297)</f>
        <v>9</v>
      </c>
    </row>
    <row r="2298" spans="1:6" x14ac:dyDescent="0.2">
      <c r="A2298" s="10">
        <v>2021</v>
      </c>
      <c r="B2298" s="55">
        <v>5806</v>
      </c>
      <c r="C2298" s="90" t="str">
        <f>VLOOKUP(B2298,'All Districts'!$A$3:$B$874,2,FALSE)</f>
        <v>Elmsford</v>
      </c>
      <c r="D2298" s="76">
        <v>1382815</v>
      </c>
      <c r="E2298">
        <f>VLOOKUP(C2298,'All Districts'!$B$3:$C$874,2,FALSE)</f>
        <v>3610650</v>
      </c>
      <c r="F2298" s="91">
        <f>COUNTIF($E$2:$E$7106,E2298)</f>
        <v>9</v>
      </c>
    </row>
    <row r="2299" spans="1:6" x14ac:dyDescent="0.2">
      <c r="A2299">
        <v>2022</v>
      </c>
      <c r="B2299" s="36">
        <v>5806</v>
      </c>
      <c r="C2299" s="90" t="str">
        <f>VLOOKUP(B2299,'All Districts'!$A$3:$B$874,2,FALSE)</f>
        <v>Elmsford</v>
      </c>
      <c r="D2299" s="82">
        <v>1471663</v>
      </c>
      <c r="E2299">
        <f>VLOOKUP(C2299,'All Districts'!$B$3:$C$874,2,FALSE)</f>
        <v>3610650</v>
      </c>
      <c r="F2299" s="91">
        <f>COUNTIF($E$2:$E$7106,E2299)</f>
        <v>9</v>
      </c>
    </row>
    <row r="2300" spans="1:6" x14ac:dyDescent="0.2">
      <c r="A2300">
        <v>2023</v>
      </c>
      <c r="B2300" s="36">
        <v>5806</v>
      </c>
      <c r="C2300" s="90" t="str">
        <f>VLOOKUP(B2300,'All Districts'!$A$3:$B$874,2,FALSE)</f>
        <v>Elmsford</v>
      </c>
      <c r="D2300" s="40">
        <v>1566380</v>
      </c>
      <c r="E2300">
        <f>VLOOKUP(C2300,'All Districts'!$B$3:$C$874,2,FALSE)</f>
        <v>3610650</v>
      </c>
      <c r="F2300" s="91">
        <f>COUNTIF($E$2:$E$7106,E2300)</f>
        <v>9</v>
      </c>
    </row>
    <row r="2301" spans="1:6" x14ac:dyDescent="0.2">
      <c r="A2301">
        <v>2015</v>
      </c>
      <c r="B2301" s="13">
        <v>5458</v>
      </c>
      <c r="C2301" s="90" t="str">
        <f>VLOOKUP(B2301,'All Districts'!$A$3:$B$874,2,FALSE)</f>
        <v>Elwood</v>
      </c>
      <c r="D2301" s="14">
        <v>4284761</v>
      </c>
      <c r="E2301">
        <f>VLOOKUP(C2301,'All Districts'!$B$3:$C$874,2,FALSE)</f>
        <v>3610680</v>
      </c>
      <c r="F2301" s="91">
        <f>COUNTIF($E$2:$E$7106,E2301)</f>
        <v>9</v>
      </c>
    </row>
    <row r="2302" spans="1:6" x14ac:dyDescent="0.2">
      <c r="A2302">
        <v>2016</v>
      </c>
      <c r="B2302" s="13">
        <v>5458</v>
      </c>
      <c r="C2302" s="90" t="str">
        <f>VLOOKUP(B2302,'All Districts'!$A$3:$B$874,2,FALSE)</f>
        <v>Elwood</v>
      </c>
      <c r="D2302" s="16">
        <v>3280771</v>
      </c>
      <c r="E2302">
        <f>VLOOKUP(C2302,'All Districts'!$B$3:$C$874,2,FALSE)</f>
        <v>3610680</v>
      </c>
      <c r="F2302" s="91">
        <f>COUNTIF($E$2:$E$7106,E2302)</f>
        <v>9</v>
      </c>
    </row>
    <row r="2303" spans="1:6" x14ac:dyDescent="0.2">
      <c r="A2303">
        <v>2017</v>
      </c>
      <c r="B2303" s="13">
        <v>5458</v>
      </c>
      <c r="C2303" s="90" t="str">
        <f>VLOOKUP(B2303,'All Districts'!$A$3:$B$874,2,FALSE)</f>
        <v>Elwood</v>
      </c>
      <c r="D2303" s="16">
        <v>2929483</v>
      </c>
      <c r="E2303">
        <f>VLOOKUP(C2303,'All Districts'!$B$3:$C$874,2,FALSE)</f>
        <v>3610680</v>
      </c>
      <c r="F2303" s="91">
        <f>COUNTIF($E$2:$E$7106,E2303)</f>
        <v>9</v>
      </c>
    </row>
    <row r="2304" spans="1:6" x14ac:dyDescent="0.2">
      <c r="A2304" s="10">
        <v>2018</v>
      </c>
      <c r="B2304" s="13">
        <v>5458</v>
      </c>
      <c r="C2304" s="90" t="str">
        <f>VLOOKUP(B2304,'All Districts'!$A$3:$B$874,2,FALSE)</f>
        <v>Elwood</v>
      </c>
      <c r="D2304" s="15">
        <v>2553394</v>
      </c>
      <c r="E2304">
        <f>VLOOKUP(C2304,'All Districts'!$B$3:$C$874,2,FALSE)</f>
        <v>3610680</v>
      </c>
      <c r="F2304" s="91">
        <f>COUNTIF($E$2:$E$7106,E2304)</f>
        <v>9</v>
      </c>
    </row>
    <row r="2305" spans="1:6" x14ac:dyDescent="0.2">
      <c r="A2305">
        <v>2019</v>
      </c>
      <c r="B2305" s="36">
        <v>5458</v>
      </c>
      <c r="C2305" s="90" t="str">
        <f>VLOOKUP(B2305,'All Districts'!$A$3:$B$874,2,FALSE)</f>
        <v>Elwood</v>
      </c>
      <c r="D2305" s="40">
        <v>2774583</v>
      </c>
      <c r="E2305">
        <f>VLOOKUP(C2305,'All Districts'!$B$3:$C$874,2,FALSE)</f>
        <v>3610680</v>
      </c>
      <c r="F2305" s="91">
        <f>COUNTIF($E$2:$E$7106,E2305)</f>
        <v>9</v>
      </c>
    </row>
    <row r="2306" spans="1:6" x14ac:dyDescent="0.2">
      <c r="A2306">
        <v>2020</v>
      </c>
      <c r="B2306" s="36">
        <v>5458</v>
      </c>
      <c r="C2306" s="90" t="str">
        <f>VLOOKUP(B2306,'All Districts'!$A$3:$B$874,2,FALSE)</f>
        <v>Elwood</v>
      </c>
      <c r="D2306" s="40">
        <v>2295991</v>
      </c>
      <c r="E2306">
        <f>VLOOKUP(C2306,'All Districts'!$B$3:$C$874,2,FALSE)</f>
        <v>3610680</v>
      </c>
      <c r="F2306" s="91">
        <f>COUNTIF($E$2:$E$7106,E2306)</f>
        <v>9</v>
      </c>
    </row>
    <row r="2307" spans="1:6" x14ac:dyDescent="0.2">
      <c r="A2307" s="10">
        <v>2021</v>
      </c>
      <c r="B2307" s="52">
        <v>5458</v>
      </c>
      <c r="C2307" s="90" t="str">
        <f>VLOOKUP(B2307,'All Districts'!$A$3:$B$874,2,FALSE)</f>
        <v>Elwood</v>
      </c>
      <c r="D2307" s="75">
        <v>2417891</v>
      </c>
      <c r="E2307">
        <f>VLOOKUP(C2307,'All Districts'!$B$3:$C$874,2,FALSE)</f>
        <v>3610680</v>
      </c>
      <c r="F2307" s="91">
        <f>COUNTIF($E$2:$E$7106,E2307)</f>
        <v>9</v>
      </c>
    </row>
    <row r="2308" spans="1:6" x14ac:dyDescent="0.2">
      <c r="A2308">
        <v>2022</v>
      </c>
      <c r="B2308" s="36">
        <v>5458</v>
      </c>
      <c r="C2308" s="90" t="str">
        <f>VLOOKUP(B2308,'All Districts'!$A$3:$B$874,2,FALSE)</f>
        <v>Elwood</v>
      </c>
      <c r="D2308" s="82">
        <v>2610620</v>
      </c>
      <c r="E2308">
        <f>VLOOKUP(C2308,'All Districts'!$B$3:$C$874,2,FALSE)</f>
        <v>3610680</v>
      </c>
      <c r="F2308" s="91">
        <f>COUNTIF($E$2:$E$7106,E2308)</f>
        <v>9</v>
      </c>
    </row>
    <row r="2309" spans="1:6" x14ac:dyDescent="0.2">
      <c r="A2309">
        <v>2023</v>
      </c>
      <c r="B2309" s="36">
        <v>5458</v>
      </c>
      <c r="C2309" s="90" t="str">
        <f>VLOOKUP(B2309,'All Districts'!$A$3:$B$874,2,FALSE)</f>
        <v>Elwood</v>
      </c>
      <c r="D2309" s="40">
        <v>2785777</v>
      </c>
      <c r="E2309">
        <f>VLOOKUP(C2309,'All Districts'!$B$3:$C$874,2,FALSE)</f>
        <v>3610680</v>
      </c>
      <c r="F2309" s="91">
        <f>COUNTIF($E$2:$E$7106,E2309)</f>
        <v>9</v>
      </c>
    </row>
    <row r="2310" spans="1:6" x14ac:dyDescent="0.2">
      <c r="A2310">
        <v>2015</v>
      </c>
      <c r="B2310" s="13">
        <v>8416</v>
      </c>
      <c r="C2310" s="90" t="str">
        <f>VLOOKUP(B2310,'All Districts'!$A$3:$B$874,2,FALSE)</f>
        <v>Enterprise</v>
      </c>
      <c r="D2310" s="16">
        <v>352834</v>
      </c>
      <c r="E2310">
        <f>VLOOKUP(C2310,'All Districts'!$B$3:$C$874,2,FALSE)</f>
        <v>3600073</v>
      </c>
      <c r="F2310" s="91">
        <f>COUNTIF($E$2:$E$7106,E2310)</f>
        <v>9</v>
      </c>
    </row>
    <row r="2311" spans="1:6" x14ac:dyDescent="0.2">
      <c r="A2311">
        <v>2016</v>
      </c>
      <c r="B2311" s="13">
        <v>8416</v>
      </c>
      <c r="C2311" s="90" t="str">
        <f>VLOOKUP(B2311,'All Districts'!$A$3:$B$874,2,FALSE)</f>
        <v>Enterprise</v>
      </c>
      <c r="D2311" s="16">
        <v>265812</v>
      </c>
      <c r="E2311">
        <f>VLOOKUP(C2311,'All Districts'!$B$3:$C$874,2,FALSE)</f>
        <v>3600073</v>
      </c>
      <c r="F2311" s="91">
        <f>COUNTIF($E$2:$E$7106,E2311)</f>
        <v>9</v>
      </c>
    </row>
    <row r="2312" spans="1:6" x14ac:dyDescent="0.2">
      <c r="A2312">
        <v>2017</v>
      </c>
      <c r="B2312" s="13">
        <v>8416</v>
      </c>
      <c r="C2312" s="90" t="str">
        <f>VLOOKUP(B2312,'All Districts'!$A$3:$B$874,2,FALSE)</f>
        <v>Enterprise</v>
      </c>
      <c r="D2312" s="16">
        <v>307781</v>
      </c>
      <c r="E2312">
        <f>VLOOKUP(C2312,'All Districts'!$B$3:$C$874,2,FALSE)</f>
        <v>3600073</v>
      </c>
      <c r="F2312" s="91">
        <f>COUNTIF($E$2:$E$7106,E2312)</f>
        <v>9</v>
      </c>
    </row>
    <row r="2313" spans="1:6" x14ac:dyDescent="0.2">
      <c r="A2313" s="10">
        <v>2018</v>
      </c>
      <c r="B2313" s="13">
        <v>8416</v>
      </c>
      <c r="C2313" s="90" t="str">
        <f>VLOOKUP(B2313,'All Districts'!$A$3:$B$874,2,FALSE)</f>
        <v>Enterprise</v>
      </c>
      <c r="D2313" s="15">
        <v>229068</v>
      </c>
      <c r="E2313">
        <f>VLOOKUP(C2313,'All Districts'!$B$3:$C$874,2,FALSE)</f>
        <v>3600073</v>
      </c>
      <c r="F2313" s="91">
        <f>COUNTIF($E$2:$E$7106,E2313)</f>
        <v>9</v>
      </c>
    </row>
    <row r="2314" spans="1:6" x14ac:dyDescent="0.2">
      <c r="A2314">
        <v>2019</v>
      </c>
      <c r="B2314" s="36">
        <v>8416</v>
      </c>
      <c r="C2314" s="90" t="str">
        <f>VLOOKUP(B2314,'All Districts'!$A$3:$B$874,2,FALSE)</f>
        <v>Enterprise</v>
      </c>
      <c r="D2314" s="40">
        <v>248831</v>
      </c>
      <c r="E2314">
        <f>VLOOKUP(C2314,'All Districts'!$B$3:$C$874,2,FALSE)</f>
        <v>3600073</v>
      </c>
      <c r="F2314" s="91">
        <f>COUNTIF($E$2:$E$7106,E2314)</f>
        <v>9</v>
      </c>
    </row>
    <row r="2315" spans="1:6" x14ac:dyDescent="0.2">
      <c r="A2315">
        <v>2020</v>
      </c>
      <c r="B2315" s="36">
        <v>8416</v>
      </c>
      <c r="C2315" s="90" t="str">
        <f>VLOOKUP(B2315,'All Districts'!$A$3:$B$874,2,FALSE)</f>
        <v>Enterprise</v>
      </c>
      <c r="D2315" s="40">
        <v>181107</v>
      </c>
      <c r="E2315">
        <f>VLOOKUP(C2315,'All Districts'!$B$3:$C$874,2,FALSE)</f>
        <v>3600073</v>
      </c>
      <c r="F2315" s="91">
        <f>COUNTIF($E$2:$E$7106,E2315)</f>
        <v>9</v>
      </c>
    </row>
    <row r="2316" spans="1:6" x14ac:dyDescent="0.2">
      <c r="A2316" s="10">
        <v>2021</v>
      </c>
      <c r="B2316" s="55">
        <v>8416</v>
      </c>
      <c r="C2316" s="90" t="str">
        <f>VLOOKUP(B2316,'All Districts'!$A$3:$B$874,2,FALSE)</f>
        <v>Enterprise</v>
      </c>
      <c r="D2316" s="75">
        <v>186240</v>
      </c>
      <c r="E2316">
        <f>VLOOKUP(C2316,'All Districts'!$B$3:$C$874,2,FALSE)</f>
        <v>3600073</v>
      </c>
      <c r="F2316" s="91">
        <f>COUNTIF($E$2:$E$7106,E2316)</f>
        <v>9</v>
      </c>
    </row>
    <row r="2317" spans="1:6" x14ac:dyDescent="0.2">
      <c r="A2317">
        <v>2022</v>
      </c>
      <c r="B2317" s="36">
        <v>8416</v>
      </c>
      <c r="C2317" s="90" t="str">
        <f>VLOOKUP(B2317,'All Districts'!$A$3:$B$874,2,FALSE)</f>
        <v>Enterprise</v>
      </c>
      <c r="D2317" s="82">
        <v>221481</v>
      </c>
      <c r="E2317">
        <f>VLOOKUP(C2317,'All Districts'!$B$3:$C$874,2,FALSE)</f>
        <v>3600073</v>
      </c>
      <c r="F2317" s="91">
        <f>COUNTIF($E$2:$E$7106,E2317)</f>
        <v>9</v>
      </c>
    </row>
    <row r="2318" spans="1:6" x14ac:dyDescent="0.2">
      <c r="A2318">
        <v>2023</v>
      </c>
      <c r="B2318" s="36">
        <v>8416</v>
      </c>
      <c r="C2318" s="90" t="str">
        <f>VLOOKUP(B2318,'All Districts'!$A$3:$B$874,2,FALSE)</f>
        <v>Enterprise</v>
      </c>
      <c r="D2318" s="40">
        <v>245408</v>
      </c>
      <c r="E2318">
        <f>VLOOKUP(C2318,'All Districts'!$B$3:$C$874,2,FALSE)</f>
        <v>3600073</v>
      </c>
      <c r="F2318" s="91">
        <f>COUNTIF($E$2:$E$7106,E2318)</f>
        <v>9</v>
      </c>
    </row>
    <row r="2319" spans="1:6" x14ac:dyDescent="0.2">
      <c r="A2319">
        <v>2015</v>
      </c>
      <c r="B2319" s="13">
        <v>6027</v>
      </c>
      <c r="C2319" s="90" t="str">
        <f>VLOOKUP(B2319,'All Districts'!$A$3:$B$874,2,FALSE)</f>
        <v>Erie 1</v>
      </c>
      <c r="D2319" s="15">
        <v>4508459</v>
      </c>
      <c r="E2319">
        <f>VLOOKUP(C2319,'All Districts'!$B$3:$C$874,2,FALSE)</f>
        <v>3680300</v>
      </c>
      <c r="F2319" s="91">
        <f>COUNTIF($E$2:$E$7106,E2319)</f>
        <v>9</v>
      </c>
    </row>
    <row r="2320" spans="1:6" x14ac:dyDescent="0.2">
      <c r="A2320">
        <v>2016</v>
      </c>
      <c r="B2320" s="13">
        <v>6027</v>
      </c>
      <c r="C2320" s="90" t="str">
        <f>VLOOKUP(B2320,'All Districts'!$A$3:$B$874,2,FALSE)</f>
        <v>Erie 1</v>
      </c>
      <c r="D2320" s="16">
        <v>3517643</v>
      </c>
      <c r="E2320">
        <f>VLOOKUP(C2320,'All Districts'!$B$3:$C$874,2,FALSE)</f>
        <v>3680300</v>
      </c>
      <c r="F2320" s="91">
        <f>COUNTIF($E$2:$E$7106,E2320)</f>
        <v>9</v>
      </c>
    </row>
    <row r="2321" spans="1:6" x14ac:dyDescent="0.2">
      <c r="A2321">
        <v>2017</v>
      </c>
      <c r="B2321" s="13">
        <v>6027</v>
      </c>
      <c r="C2321" s="90" t="str">
        <f>VLOOKUP(B2321,'All Districts'!$A$3:$B$874,2,FALSE)</f>
        <v>Erie 1</v>
      </c>
      <c r="D2321" s="16">
        <v>3125896</v>
      </c>
      <c r="E2321">
        <f>VLOOKUP(C2321,'All Districts'!$B$3:$C$874,2,FALSE)</f>
        <v>3680300</v>
      </c>
      <c r="F2321" s="91">
        <f>COUNTIF($E$2:$E$7106,E2321)</f>
        <v>9</v>
      </c>
    </row>
    <row r="2322" spans="1:6" x14ac:dyDescent="0.2">
      <c r="A2322" s="10">
        <v>2018</v>
      </c>
      <c r="B2322" s="13">
        <v>6027</v>
      </c>
      <c r="C2322" s="90" t="str">
        <f>VLOOKUP(B2322,'All Districts'!$A$3:$B$874,2,FALSE)</f>
        <v>Erie 1</v>
      </c>
      <c r="D2322" s="15">
        <v>2667039</v>
      </c>
      <c r="E2322">
        <f>VLOOKUP(C2322,'All Districts'!$B$3:$C$874,2,FALSE)</f>
        <v>3680300</v>
      </c>
      <c r="F2322" s="91">
        <f>COUNTIF($E$2:$E$7106,E2322)</f>
        <v>9</v>
      </c>
    </row>
    <row r="2323" spans="1:6" x14ac:dyDescent="0.2">
      <c r="A2323">
        <v>2019</v>
      </c>
      <c r="B2323" s="36">
        <v>6027</v>
      </c>
      <c r="C2323" s="90" t="str">
        <f>VLOOKUP(B2323,'All Districts'!$A$3:$B$874,2,FALSE)</f>
        <v>Erie 1</v>
      </c>
      <c r="D2323" s="40">
        <v>2966240</v>
      </c>
      <c r="E2323">
        <f>VLOOKUP(C2323,'All Districts'!$B$3:$C$874,2,FALSE)</f>
        <v>3680300</v>
      </c>
      <c r="F2323" s="91">
        <f>COUNTIF($E$2:$E$7106,E2323)</f>
        <v>9</v>
      </c>
    </row>
    <row r="2324" spans="1:6" x14ac:dyDescent="0.2">
      <c r="A2324">
        <v>2020</v>
      </c>
      <c r="B2324" s="36">
        <v>6027</v>
      </c>
      <c r="C2324" s="90" t="str">
        <f>VLOOKUP(B2324,'All Districts'!$A$3:$B$874,2,FALSE)</f>
        <v>Erie 1</v>
      </c>
      <c r="D2324" s="40">
        <v>2609594</v>
      </c>
      <c r="E2324">
        <f>VLOOKUP(C2324,'All Districts'!$B$3:$C$874,2,FALSE)</f>
        <v>3680300</v>
      </c>
      <c r="F2324" s="91">
        <f>COUNTIF($E$2:$E$7106,E2324)</f>
        <v>9</v>
      </c>
    </row>
    <row r="2325" spans="1:6" x14ac:dyDescent="0.2">
      <c r="A2325" s="10">
        <v>2021</v>
      </c>
      <c r="B2325" s="52">
        <v>6027</v>
      </c>
      <c r="C2325" s="90" t="str">
        <f>VLOOKUP(B2325,'All Districts'!$A$3:$B$874,2,FALSE)</f>
        <v>Erie 1</v>
      </c>
      <c r="D2325" s="76">
        <v>2807123</v>
      </c>
      <c r="E2325">
        <f>VLOOKUP(C2325,'All Districts'!$B$3:$C$874,2,FALSE)</f>
        <v>3680300</v>
      </c>
      <c r="F2325" s="91">
        <f>COUNTIF($E$2:$E$7106,E2325)</f>
        <v>9</v>
      </c>
    </row>
    <row r="2326" spans="1:6" x14ac:dyDescent="0.2">
      <c r="A2326">
        <v>2022</v>
      </c>
      <c r="B2326" s="36">
        <v>6027</v>
      </c>
      <c r="C2326" s="90" t="str">
        <f>VLOOKUP(B2326,'All Districts'!$A$3:$B$874,2,FALSE)</f>
        <v>Erie 1</v>
      </c>
      <c r="D2326" s="82">
        <v>3110113</v>
      </c>
      <c r="E2326">
        <f>VLOOKUP(C2326,'All Districts'!$B$3:$C$874,2,FALSE)</f>
        <v>3680300</v>
      </c>
      <c r="F2326" s="91">
        <f>COUNTIF($E$2:$E$7106,E2326)</f>
        <v>9</v>
      </c>
    </row>
    <row r="2327" spans="1:6" x14ac:dyDescent="0.2">
      <c r="A2327">
        <v>2023</v>
      </c>
      <c r="B2327" s="36">
        <v>6027</v>
      </c>
      <c r="C2327" s="90" t="str">
        <f>VLOOKUP(B2327,'All Districts'!$A$3:$B$874,2,FALSE)</f>
        <v>Erie 1</v>
      </c>
      <c r="D2327" s="40">
        <v>3264284</v>
      </c>
      <c r="E2327">
        <f>VLOOKUP(C2327,'All Districts'!$B$3:$C$874,2,FALSE)</f>
        <v>3680300</v>
      </c>
      <c r="F2327" s="91">
        <f>COUNTIF($E$2:$E$7106,E2327)</f>
        <v>9</v>
      </c>
    </row>
    <row r="2328" spans="1:6" x14ac:dyDescent="0.2">
      <c r="A2328">
        <v>2015</v>
      </c>
      <c r="B2328" s="13">
        <v>6028</v>
      </c>
      <c r="C2328" s="90" t="str">
        <f>VLOOKUP(B2328,'All Districts'!$A$3:$B$874,2,FALSE)</f>
        <v>Erie 2-Chautauqua-Cattaraugus</v>
      </c>
      <c r="D2328" s="15">
        <v>3614498</v>
      </c>
      <c r="E2328">
        <f>VLOOKUP(C2328,'All Districts'!$B$3:$C$874,2,FALSE)</f>
        <v>3680320</v>
      </c>
      <c r="F2328" s="91">
        <f>COUNTIF($E$2:$E$7106,E2328)</f>
        <v>9</v>
      </c>
    </row>
    <row r="2329" spans="1:6" x14ac:dyDescent="0.2">
      <c r="A2329">
        <v>2016</v>
      </c>
      <c r="B2329" s="13">
        <v>6028</v>
      </c>
      <c r="C2329" s="90" t="str">
        <f>VLOOKUP(B2329,'All Districts'!$A$3:$B$874,2,FALSE)</f>
        <v>Erie 2-Chautauqua-Cattaraugus</v>
      </c>
      <c r="D2329" s="16">
        <v>2804770</v>
      </c>
      <c r="E2329">
        <f>VLOOKUP(C2329,'All Districts'!$B$3:$C$874,2,FALSE)</f>
        <v>3680320</v>
      </c>
      <c r="F2329" s="91">
        <f>COUNTIF($E$2:$E$7106,E2329)</f>
        <v>9</v>
      </c>
    </row>
    <row r="2330" spans="1:6" x14ac:dyDescent="0.2">
      <c r="A2330">
        <v>2017</v>
      </c>
      <c r="B2330" s="13">
        <v>6028</v>
      </c>
      <c r="C2330" s="90" t="str">
        <f>VLOOKUP(B2330,'All Districts'!$A$3:$B$874,2,FALSE)</f>
        <v>Erie 2-Chautauqua-Cattaraugus</v>
      </c>
      <c r="D2330" s="16">
        <v>2506000</v>
      </c>
      <c r="E2330">
        <f>VLOOKUP(C2330,'All Districts'!$B$3:$C$874,2,FALSE)</f>
        <v>3680320</v>
      </c>
      <c r="F2330" s="91">
        <f>COUNTIF($E$2:$E$7106,E2330)</f>
        <v>9</v>
      </c>
    </row>
    <row r="2331" spans="1:6" x14ac:dyDescent="0.2">
      <c r="A2331" s="10">
        <v>2018</v>
      </c>
      <c r="B2331" s="13">
        <v>6028</v>
      </c>
      <c r="C2331" s="90" t="str">
        <f>VLOOKUP(B2331,'All Districts'!$A$3:$B$874,2,FALSE)</f>
        <v>Erie 2-Chautauqua-Cattaraugus</v>
      </c>
      <c r="D2331" s="15">
        <v>2234357</v>
      </c>
      <c r="E2331">
        <f>VLOOKUP(C2331,'All Districts'!$B$3:$C$874,2,FALSE)</f>
        <v>3680320</v>
      </c>
      <c r="F2331" s="91">
        <f>COUNTIF($E$2:$E$7106,E2331)</f>
        <v>9</v>
      </c>
    </row>
    <row r="2332" spans="1:6" x14ac:dyDescent="0.2">
      <c r="A2332">
        <v>2019</v>
      </c>
      <c r="B2332" s="36">
        <v>6028</v>
      </c>
      <c r="C2332" s="90" t="str">
        <f>VLOOKUP(B2332,'All Districts'!$A$3:$B$874,2,FALSE)</f>
        <v>Erie 2-Chautauqua-Cattaraugus</v>
      </c>
      <c r="D2332" s="40">
        <v>2540774</v>
      </c>
      <c r="E2332">
        <f>VLOOKUP(C2332,'All Districts'!$B$3:$C$874,2,FALSE)</f>
        <v>3680320</v>
      </c>
      <c r="F2332" s="91">
        <f>COUNTIF($E$2:$E$7106,E2332)</f>
        <v>9</v>
      </c>
    </row>
    <row r="2333" spans="1:6" x14ac:dyDescent="0.2">
      <c r="A2333">
        <v>2020</v>
      </c>
      <c r="B2333" s="36">
        <v>6028</v>
      </c>
      <c r="C2333" s="90" t="str">
        <f>VLOOKUP(B2333,'All Districts'!$A$3:$B$874,2,FALSE)</f>
        <v>Erie 2-Chautauqua-Cattaraugus</v>
      </c>
      <c r="D2333" s="40">
        <v>2224845</v>
      </c>
      <c r="E2333">
        <f>VLOOKUP(C2333,'All Districts'!$B$3:$C$874,2,FALSE)</f>
        <v>3680320</v>
      </c>
      <c r="F2333" s="91">
        <f>COUNTIF($E$2:$E$7106,E2333)</f>
        <v>9</v>
      </c>
    </row>
    <row r="2334" spans="1:6" x14ac:dyDescent="0.2">
      <c r="A2334" s="10">
        <v>2021</v>
      </c>
      <c r="B2334" s="52">
        <v>6028</v>
      </c>
      <c r="C2334" s="90" t="str">
        <f>VLOOKUP(B2334,'All Districts'!$A$3:$B$874,2,FALSE)</f>
        <v>Erie 2-Chautauqua-Cattaraugus</v>
      </c>
      <c r="D2334" s="76">
        <v>2459727</v>
      </c>
      <c r="E2334">
        <f>VLOOKUP(C2334,'All Districts'!$B$3:$C$874,2,FALSE)</f>
        <v>3680320</v>
      </c>
      <c r="F2334" s="91">
        <f>COUNTIF($E$2:$E$7106,E2334)</f>
        <v>9</v>
      </c>
    </row>
    <row r="2335" spans="1:6" x14ac:dyDescent="0.2">
      <c r="A2335">
        <v>2022</v>
      </c>
      <c r="B2335" s="36">
        <v>6028</v>
      </c>
      <c r="C2335" s="90" t="str">
        <f>VLOOKUP(B2335,'All Districts'!$A$3:$B$874,2,FALSE)</f>
        <v>Erie 2-Chautauqua-Cattaraugus</v>
      </c>
      <c r="D2335" s="82">
        <v>2410556</v>
      </c>
      <c r="E2335">
        <f>VLOOKUP(C2335,'All Districts'!$B$3:$C$874,2,FALSE)</f>
        <v>3680320</v>
      </c>
      <c r="F2335" s="91">
        <f>COUNTIF($E$2:$E$7106,E2335)</f>
        <v>9</v>
      </c>
    </row>
    <row r="2336" spans="1:6" x14ac:dyDescent="0.2">
      <c r="A2336">
        <v>2023</v>
      </c>
      <c r="B2336" s="36">
        <v>6028</v>
      </c>
      <c r="C2336" s="90" t="str">
        <f>VLOOKUP(B2336,'All Districts'!$A$3:$B$874,2,FALSE)</f>
        <v>Erie 2-Chautauqua-Cattaraugus</v>
      </c>
      <c r="D2336" s="40">
        <v>2537776</v>
      </c>
      <c r="E2336">
        <f>VLOOKUP(C2336,'All Districts'!$B$3:$C$874,2,FALSE)</f>
        <v>3680320</v>
      </c>
      <c r="F2336" s="91">
        <f>COUNTIF($E$2:$E$7106,E2336)</f>
        <v>9</v>
      </c>
    </row>
    <row r="2337" spans="1:6" x14ac:dyDescent="0.2">
      <c r="A2337">
        <v>2015</v>
      </c>
      <c r="B2337" s="13">
        <v>8402</v>
      </c>
      <c r="C2337" s="90" t="str">
        <f>VLOOKUP(B2337,'All Districts'!$A$3:$B$874,2,FALSE)</f>
        <v>Eugenio Maria De Hostas</v>
      </c>
      <c r="D2337" s="15">
        <v>335039</v>
      </c>
      <c r="E2337">
        <f>VLOOKUP(C2337,'All Districts'!$B$3:$C$874,2,FALSE)</f>
        <v>3600026</v>
      </c>
      <c r="F2337" s="91">
        <f>COUNTIF($E$2:$E$7106,E2337)</f>
        <v>9</v>
      </c>
    </row>
    <row r="2338" spans="1:6" x14ac:dyDescent="0.2">
      <c r="A2338">
        <v>2016</v>
      </c>
      <c r="B2338" s="13">
        <v>8402</v>
      </c>
      <c r="C2338" s="90" t="str">
        <f>VLOOKUP(B2338,'All Districts'!$A$3:$B$874,2,FALSE)</f>
        <v>Eugenio Maria De Hostas</v>
      </c>
      <c r="D2338" s="16">
        <v>231312</v>
      </c>
      <c r="E2338">
        <f>VLOOKUP(C2338,'All Districts'!$B$3:$C$874,2,FALSE)</f>
        <v>3600026</v>
      </c>
      <c r="F2338" s="91">
        <f>COUNTIF($E$2:$E$7106,E2338)</f>
        <v>9</v>
      </c>
    </row>
    <row r="2339" spans="1:6" x14ac:dyDescent="0.2">
      <c r="A2339">
        <v>2017</v>
      </c>
      <c r="B2339" s="13">
        <v>8402</v>
      </c>
      <c r="C2339" s="90" t="str">
        <f>VLOOKUP(B2339,'All Districts'!$A$3:$B$874,2,FALSE)</f>
        <v>Eugenio Maria De Hostas</v>
      </c>
      <c r="D2339" s="16">
        <v>316699</v>
      </c>
      <c r="E2339">
        <f>VLOOKUP(C2339,'All Districts'!$B$3:$C$874,2,FALSE)</f>
        <v>3600026</v>
      </c>
      <c r="F2339" s="91">
        <f>COUNTIF($E$2:$E$7106,E2339)</f>
        <v>9</v>
      </c>
    </row>
    <row r="2340" spans="1:6" x14ac:dyDescent="0.2">
      <c r="A2340" s="10">
        <v>2018</v>
      </c>
      <c r="B2340" s="13">
        <v>8402</v>
      </c>
      <c r="C2340" s="90" t="str">
        <f>VLOOKUP(B2340,'All Districts'!$A$3:$B$874,2,FALSE)</f>
        <v>Eugenio Maria De Hostas</v>
      </c>
      <c r="D2340" s="15">
        <v>288490</v>
      </c>
      <c r="E2340">
        <f>VLOOKUP(C2340,'All Districts'!$B$3:$C$874,2,FALSE)</f>
        <v>3600026</v>
      </c>
      <c r="F2340" s="91">
        <f>COUNTIF($E$2:$E$7106,E2340)</f>
        <v>9</v>
      </c>
    </row>
    <row r="2341" spans="1:6" x14ac:dyDescent="0.2">
      <c r="A2341">
        <v>2019</v>
      </c>
      <c r="B2341" s="36">
        <v>8402</v>
      </c>
      <c r="C2341" s="90" t="str">
        <f>VLOOKUP(B2341,'All Districts'!$A$3:$B$874,2,FALSE)</f>
        <v>Eugenio Maria De Hostas</v>
      </c>
      <c r="D2341" s="40">
        <v>344673</v>
      </c>
      <c r="E2341">
        <f>VLOOKUP(C2341,'All Districts'!$B$3:$C$874,2,FALSE)</f>
        <v>3600026</v>
      </c>
      <c r="F2341" s="91">
        <f>COUNTIF($E$2:$E$7106,E2341)</f>
        <v>9</v>
      </c>
    </row>
    <row r="2342" spans="1:6" x14ac:dyDescent="0.2">
      <c r="A2342">
        <v>2020</v>
      </c>
      <c r="B2342" s="36">
        <v>8402</v>
      </c>
      <c r="C2342" s="90" t="str">
        <f>VLOOKUP(B2342,'All Districts'!$A$3:$B$874,2,FALSE)</f>
        <v>Eugenio Maria De Hostas</v>
      </c>
      <c r="D2342" s="40">
        <v>516791</v>
      </c>
      <c r="E2342">
        <f>VLOOKUP(C2342,'All Districts'!$B$3:$C$874,2,FALSE)</f>
        <v>3600026</v>
      </c>
      <c r="F2342" s="91">
        <f>COUNTIF($E$2:$E$7106,E2342)</f>
        <v>9</v>
      </c>
    </row>
    <row r="2343" spans="1:6" x14ac:dyDescent="0.2">
      <c r="A2343" s="10">
        <v>2021</v>
      </c>
      <c r="B2343" s="52">
        <v>8402</v>
      </c>
      <c r="C2343" s="90" t="str">
        <f>VLOOKUP(B2343,'All Districts'!$A$3:$B$874,2,FALSE)</f>
        <v>Eugenio Maria De Hostas</v>
      </c>
      <c r="D2343" s="75">
        <v>621146</v>
      </c>
      <c r="E2343">
        <f>VLOOKUP(C2343,'All Districts'!$B$3:$C$874,2,FALSE)</f>
        <v>3600026</v>
      </c>
      <c r="F2343" s="91">
        <f>COUNTIF($E$2:$E$7106,E2343)</f>
        <v>9</v>
      </c>
    </row>
    <row r="2344" spans="1:6" x14ac:dyDescent="0.2">
      <c r="A2344">
        <v>2022</v>
      </c>
      <c r="B2344" s="36">
        <v>8402</v>
      </c>
      <c r="C2344" s="90" t="str">
        <f>VLOOKUP(B2344,'All Districts'!$A$3:$B$874,2,FALSE)</f>
        <v>Eugenio Maria De Hostas</v>
      </c>
      <c r="D2344" s="82">
        <v>660733</v>
      </c>
      <c r="E2344">
        <f>VLOOKUP(C2344,'All Districts'!$B$3:$C$874,2,FALSE)</f>
        <v>3600026</v>
      </c>
      <c r="F2344" s="91">
        <f>COUNTIF($E$2:$E$7106,E2344)</f>
        <v>9</v>
      </c>
    </row>
    <row r="2345" spans="1:6" x14ac:dyDescent="0.2">
      <c r="A2345">
        <v>2023</v>
      </c>
      <c r="B2345" s="36">
        <v>8402</v>
      </c>
      <c r="C2345" s="90" t="str">
        <f>VLOOKUP(B2345,'All Districts'!$A$3:$B$874,2,FALSE)</f>
        <v>Eugenio Maria De Hostas</v>
      </c>
      <c r="D2345" s="40">
        <v>662662</v>
      </c>
      <c r="E2345">
        <f>VLOOKUP(C2345,'All Districts'!$B$3:$C$874,2,FALSE)</f>
        <v>3600026</v>
      </c>
      <c r="F2345" s="91">
        <f>COUNTIF($E$2:$E$7106,E2345)</f>
        <v>9</v>
      </c>
    </row>
    <row r="2346" spans="1:6" x14ac:dyDescent="0.2">
      <c r="A2346">
        <v>2015</v>
      </c>
      <c r="B2346" s="13">
        <v>4531</v>
      </c>
      <c r="C2346" s="90" t="str">
        <f>VLOOKUP(B2346,'All Districts'!$A$3:$B$874,2,FALSE)</f>
        <v>Fabius-Pompey</v>
      </c>
      <c r="D2346" s="14">
        <v>1010700</v>
      </c>
      <c r="E2346">
        <f>VLOOKUP(C2346,'All Districts'!$B$3:$C$874,2,FALSE)</f>
        <v>3610860</v>
      </c>
      <c r="F2346" s="91">
        <f>COUNTIF($E$2:$E$7106,E2346)</f>
        <v>9</v>
      </c>
    </row>
    <row r="2347" spans="1:6" x14ac:dyDescent="0.2">
      <c r="A2347">
        <v>2016</v>
      </c>
      <c r="B2347" s="13">
        <v>4531</v>
      </c>
      <c r="C2347" s="90" t="str">
        <f>VLOOKUP(B2347,'All Districts'!$A$3:$B$874,2,FALSE)</f>
        <v>Fabius-Pompey</v>
      </c>
      <c r="D2347" s="16">
        <v>784801</v>
      </c>
      <c r="E2347">
        <f>VLOOKUP(C2347,'All Districts'!$B$3:$C$874,2,FALSE)</f>
        <v>3610860</v>
      </c>
      <c r="F2347" s="91">
        <f>COUNTIF($E$2:$E$7106,E2347)</f>
        <v>9</v>
      </c>
    </row>
    <row r="2348" spans="1:6" x14ac:dyDescent="0.2">
      <c r="A2348">
        <v>2017</v>
      </c>
      <c r="B2348" s="13">
        <v>4531</v>
      </c>
      <c r="C2348" s="90" t="str">
        <f>VLOOKUP(B2348,'All Districts'!$A$3:$B$874,2,FALSE)</f>
        <v>Fabius-Pompey</v>
      </c>
      <c r="D2348" s="16">
        <v>702558</v>
      </c>
      <c r="E2348">
        <f>VLOOKUP(C2348,'All Districts'!$B$3:$C$874,2,FALSE)</f>
        <v>3610860</v>
      </c>
      <c r="F2348" s="91">
        <f>COUNTIF($E$2:$E$7106,E2348)</f>
        <v>9</v>
      </c>
    </row>
    <row r="2349" spans="1:6" x14ac:dyDescent="0.2">
      <c r="A2349" s="10">
        <v>2018</v>
      </c>
      <c r="B2349" s="13">
        <v>4531</v>
      </c>
      <c r="C2349" s="90" t="str">
        <f>VLOOKUP(B2349,'All Districts'!$A$3:$B$874,2,FALSE)</f>
        <v>Fabius-Pompey</v>
      </c>
      <c r="D2349" s="15">
        <v>597248</v>
      </c>
      <c r="E2349">
        <f>VLOOKUP(C2349,'All Districts'!$B$3:$C$874,2,FALSE)</f>
        <v>3610860</v>
      </c>
      <c r="F2349" s="91">
        <f>COUNTIF($E$2:$E$7106,E2349)</f>
        <v>9</v>
      </c>
    </row>
    <row r="2350" spans="1:6" x14ac:dyDescent="0.2">
      <c r="A2350">
        <v>2019</v>
      </c>
      <c r="B2350" s="36">
        <v>4531</v>
      </c>
      <c r="C2350" s="90" t="str">
        <f>VLOOKUP(B2350,'All Districts'!$A$3:$B$874,2,FALSE)</f>
        <v>Fabius-Pompey</v>
      </c>
      <c r="D2350" s="40">
        <v>640189</v>
      </c>
      <c r="E2350">
        <f>VLOOKUP(C2350,'All Districts'!$B$3:$C$874,2,FALSE)</f>
        <v>3610860</v>
      </c>
      <c r="F2350" s="91">
        <f>COUNTIF($E$2:$E$7106,E2350)</f>
        <v>9</v>
      </c>
    </row>
    <row r="2351" spans="1:6" x14ac:dyDescent="0.2">
      <c r="A2351">
        <v>2020</v>
      </c>
      <c r="B2351" s="36">
        <v>4531</v>
      </c>
      <c r="C2351" s="90" t="str">
        <f>VLOOKUP(B2351,'All Districts'!$A$3:$B$874,2,FALSE)</f>
        <v>Fabius-Pompey</v>
      </c>
      <c r="D2351" s="40">
        <v>547259</v>
      </c>
      <c r="E2351">
        <f>VLOOKUP(C2351,'All Districts'!$B$3:$C$874,2,FALSE)</f>
        <v>3610860</v>
      </c>
      <c r="F2351" s="91">
        <f>COUNTIF($E$2:$E$7106,E2351)</f>
        <v>9</v>
      </c>
    </row>
    <row r="2352" spans="1:6" x14ac:dyDescent="0.2">
      <c r="A2352" s="10">
        <v>2021</v>
      </c>
      <c r="B2352" s="52">
        <v>4531</v>
      </c>
      <c r="C2352" s="90" t="str">
        <f>VLOOKUP(B2352,'All Districts'!$A$3:$B$874,2,FALSE)</f>
        <v>Fabius-Pompey</v>
      </c>
      <c r="D2352" s="76">
        <v>593013</v>
      </c>
      <c r="E2352">
        <f>VLOOKUP(C2352,'All Districts'!$B$3:$C$874,2,FALSE)</f>
        <v>3610860</v>
      </c>
      <c r="F2352" s="91">
        <f>COUNTIF($E$2:$E$7106,E2352)</f>
        <v>9</v>
      </c>
    </row>
    <row r="2353" spans="1:6" x14ac:dyDescent="0.2">
      <c r="A2353">
        <v>2022</v>
      </c>
      <c r="B2353" s="36">
        <v>4531</v>
      </c>
      <c r="C2353" s="90" t="str">
        <f>VLOOKUP(B2353,'All Districts'!$A$3:$B$874,2,FALSE)</f>
        <v>Fabius-Pompey</v>
      </c>
      <c r="D2353" s="82">
        <v>623186</v>
      </c>
      <c r="E2353">
        <f>VLOOKUP(C2353,'All Districts'!$B$3:$C$874,2,FALSE)</f>
        <v>3610860</v>
      </c>
      <c r="F2353" s="91">
        <f>COUNTIF($E$2:$E$7106,E2353)</f>
        <v>9</v>
      </c>
    </row>
    <row r="2354" spans="1:6" x14ac:dyDescent="0.2">
      <c r="A2354">
        <v>2023</v>
      </c>
      <c r="B2354" s="36">
        <v>4531</v>
      </c>
      <c r="C2354" s="90" t="str">
        <f>VLOOKUP(B2354,'All Districts'!$A$3:$B$874,2,FALSE)</f>
        <v>Fabius-Pompey</v>
      </c>
      <c r="D2354" s="40">
        <v>688874</v>
      </c>
      <c r="E2354">
        <f>VLOOKUP(C2354,'All Districts'!$B$3:$C$874,2,FALSE)</f>
        <v>3610860</v>
      </c>
      <c r="F2354" s="91">
        <f>COUNTIF($E$2:$E$7106,E2354)</f>
        <v>9</v>
      </c>
    </row>
    <row r="2355" spans="1:6" x14ac:dyDescent="0.2">
      <c r="A2355">
        <v>2015</v>
      </c>
      <c r="B2355" s="13">
        <v>2160</v>
      </c>
      <c r="C2355" s="90" t="str">
        <f>VLOOKUP(B2355,'All Districts'!$A$3:$B$874,2,FALSE)</f>
        <v>Fairport</v>
      </c>
      <c r="D2355" s="14">
        <v>7470758</v>
      </c>
      <c r="E2355">
        <f>VLOOKUP(C2355,'All Districts'!$B$3:$C$874,2,FALSE)</f>
        <v>3610890</v>
      </c>
      <c r="F2355" s="91">
        <f>COUNTIF($E$2:$E$7106,E2355)</f>
        <v>9</v>
      </c>
    </row>
    <row r="2356" spans="1:6" x14ac:dyDescent="0.2">
      <c r="A2356">
        <v>2016</v>
      </c>
      <c r="B2356" s="13">
        <v>2160</v>
      </c>
      <c r="C2356" s="90" t="str">
        <f>VLOOKUP(B2356,'All Districts'!$A$3:$B$874,2,FALSE)</f>
        <v>Fairport</v>
      </c>
      <c r="D2356" s="16">
        <v>5831639</v>
      </c>
      <c r="E2356">
        <f>VLOOKUP(C2356,'All Districts'!$B$3:$C$874,2,FALSE)</f>
        <v>3610890</v>
      </c>
      <c r="F2356" s="91">
        <f>COUNTIF($E$2:$E$7106,E2356)</f>
        <v>9</v>
      </c>
    </row>
    <row r="2357" spans="1:6" x14ac:dyDescent="0.2">
      <c r="A2357">
        <v>2017</v>
      </c>
      <c r="B2357" s="13">
        <v>2160</v>
      </c>
      <c r="C2357" s="90" t="str">
        <f>VLOOKUP(B2357,'All Districts'!$A$3:$B$874,2,FALSE)</f>
        <v>Fairport</v>
      </c>
      <c r="D2357" s="16">
        <v>5216257</v>
      </c>
      <c r="E2357">
        <f>VLOOKUP(C2357,'All Districts'!$B$3:$C$874,2,FALSE)</f>
        <v>3610890</v>
      </c>
      <c r="F2357" s="91">
        <f>COUNTIF($E$2:$E$7106,E2357)</f>
        <v>9</v>
      </c>
    </row>
    <row r="2358" spans="1:6" x14ac:dyDescent="0.2">
      <c r="A2358" s="10">
        <v>2018</v>
      </c>
      <c r="B2358" s="13">
        <v>2160</v>
      </c>
      <c r="C2358" s="90" t="str">
        <f>VLOOKUP(B2358,'All Districts'!$A$3:$B$874,2,FALSE)</f>
        <v>Fairport</v>
      </c>
      <c r="D2358" s="15">
        <v>4313718</v>
      </c>
      <c r="E2358">
        <f>VLOOKUP(C2358,'All Districts'!$B$3:$C$874,2,FALSE)</f>
        <v>3610890</v>
      </c>
      <c r="F2358" s="91">
        <f>COUNTIF($E$2:$E$7106,E2358)</f>
        <v>9</v>
      </c>
    </row>
    <row r="2359" spans="1:6" x14ac:dyDescent="0.2">
      <c r="A2359">
        <v>2019</v>
      </c>
      <c r="B2359" s="36">
        <v>2160</v>
      </c>
      <c r="C2359" s="90" t="str">
        <f>VLOOKUP(B2359,'All Districts'!$A$3:$B$874,2,FALSE)</f>
        <v>Fairport</v>
      </c>
      <c r="D2359" s="40">
        <v>4618547</v>
      </c>
      <c r="E2359">
        <f>VLOOKUP(C2359,'All Districts'!$B$3:$C$874,2,FALSE)</f>
        <v>3610890</v>
      </c>
      <c r="F2359" s="91">
        <f>COUNTIF($E$2:$E$7106,E2359)</f>
        <v>9</v>
      </c>
    </row>
    <row r="2360" spans="1:6" x14ac:dyDescent="0.2">
      <c r="A2360">
        <v>2020</v>
      </c>
      <c r="B2360" s="36">
        <v>2160</v>
      </c>
      <c r="C2360" s="90" t="str">
        <f>VLOOKUP(B2360,'All Districts'!$A$3:$B$874,2,FALSE)</f>
        <v>Fairport</v>
      </c>
      <c r="D2360" s="40">
        <v>3999382</v>
      </c>
      <c r="E2360">
        <f>VLOOKUP(C2360,'All Districts'!$B$3:$C$874,2,FALSE)</f>
        <v>3610890</v>
      </c>
      <c r="F2360" s="91">
        <f>COUNTIF($E$2:$E$7106,E2360)</f>
        <v>9</v>
      </c>
    </row>
    <row r="2361" spans="1:6" x14ac:dyDescent="0.2">
      <c r="A2361" s="10">
        <v>2021</v>
      </c>
      <c r="B2361" s="55">
        <v>2160</v>
      </c>
      <c r="C2361" s="90" t="str">
        <f>VLOOKUP(B2361,'All Districts'!$A$3:$B$874,2,FALSE)</f>
        <v>Fairport</v>
      </c>
      <c r="D2361" s="75">
        <v>4323048</v>
      </c>
      <c r="E2361">
        <f>VLOOKUP(C2361,'All Districts'!$B$3:$C$874,2,FALSE)</f>
        <v>3610890</v>
      </c>
      <c r="F2361" s="91">
        <f>COUNTIF($E$2:$E$7106,E2361)</f>
        <v>9</v>
      </c>
    </row>
    <row r="2362" spans="1:6" x14ac:dyDescent="0.2">
      <c r="A2362">
        <v>2022</v>
      </c>
      <c r="B2362" s="36">
        <v>2160</v>
      </c>
      <c r="C2362" s="90" t="str">
        <f>VLOOKUP(B2362,'All Districts'!$A$3:$B$874,2,FALSE)</f>
        <v>Fairport</v>
      </c>
      <c r="D2362" s="82">
        <v>4670559</v>
      </c>
      <c r="E2362">
        <f>VLOOKUP(C2362,'All Districts'!$B$3:$C$874,2,FALSE)</f>
        <v>3610890</v>
      </c>
      <c r="F2362" s="91">
        <f>COUNTIF($E$2:$E$7106,E2362)</f>
        <v>9</v>
      </c>
    </row>
    <row r="2363" spans="1:6" x14ac:dyDescent="0.2">
      <c r="A2363">
        <v>2023</v>
      </c>
      <c r="B2363" s="36">
        <v>2160</v>
      </c>
      <c r="C2363" s="90" t="str">
        <f>VLOOKUP(B2363,'All Districts'!$A$3:$B$874,2,FALSE)</f>
        <v>Fairport</v>
      </c>
      <c r="D2363" s="40">
        <v>5074054</v>
      </c>
      <c r="E2363">
        <f>VLOOKUP(C2363,'All Districts'!$B$3:$C$874,2,FALSE)</f>
        <v>3610890</v>
      </c>
      <c r="F2363" s="91">
        <f>COUNTIF($E$2:$E$7106,E2363)</f>
        <v>9</v>
      </c>
    </row>
    <row r="2364" spans="1:6" x14ac:dyDescent="0.2">
      <c r="A2364">
        <v>2015</v>
      </c>
      <c r="B2364" s="13">
        <v>3330</v>
      </c>
      <c r="C2364" s="90" t="str">
        <f>VLOOKUP(B2364,'All Districts'!$A$3:$B$874,2,FALSE)</f>
        <v>Falconer</v>
      </c>
      <c r="D2364" s="14">
        <v>1255147</v>
      </c>
      <c r="E2364">
        <f>VLOOKUP(C2364,'All Districts'!$B$3:$C$874,2,FALSE)</f>
        <v>3610920</v>
      </c>
      <c r="F2364" s="91">
        <f>COUNTIF($E$2:$E$7106,E2364)</f>
        <v>9</v>
      </c>
    </row>
    <row r="2365" spans="1:6" x14ac:dyDescent="0.2">
      <c r="A2365">
        <v>2016</v>
      </c>
      <c r="B2365" s="13">
        <v>3330</v>
      </c>
      <c r="C2365" s="90" t="str">
        <f>VLOOKUP(B2365,'All Districts'!$A$3:$B$874,2,FALSE)</f>
        <v>Falconer</v>
      </c>
      <c r="D2365" s="16">
        <v>966276</v>
      </c>
      <c r="E2365">
        <f>VLOOKUP(C2365,'All Districts'!$B$3:$C$874,2,FALSE)</f>
        <v>3610920</v>
      </c>
      <c r="F2365" s="91">
        <f>COUNTIF($E$2:$E$7106,E2365)</f>
        <v>9</v>
      </c>
    </row>
    <row r="2366" spans="1:6" x14ac:dyDescent="0.2">
      <c r="A2366">
        <v>2017</v>
      </c>
      <c r="B2366" s="13">
        <v>3330</v>
      </c>
      <c r="C2366" s="90" t="str">
        <f>VLOOKUP(B2366,'All Districts'!$A$3:$B$874,2,FALSE)</f>
        <v>Falconer</v>
      </c>
      <c r="D2366" s="16">
        <v>858495</v>
      </c>
      <c r="E2366">
        <f>VLOOKUP(C2366,'All Districts'!$B$3:$C$874,2,FALSE)</f>
        <v>3610920</v>
      </c>
      <c r="F2366" s="91">
        <f>COUNTIF($E$2:$E$7106,E2366)</f>
        <v>9</v>
      </c>
    </row>
    <row r="2367" spans="1:6" x14ac:dyDescent="0.2">
      <c r="A2367" s="10">
        <v>2018</v>
      </c>
      <c r="B2367" s="13">
        <v>3330</v>
      </c>
      <c r="C2367" s="90" t="str">
        <f>VLOOKUP(B2367,'All Districts'!$A$3:$B$874,2,FALSE)</f>
        <v>Falconer</v>
      </c>
      <c r="D2367" s="15">
        <v>748726</v>
      </c>
      <c r="E2367">
        <f>VLOOKUP(C2367,'All Districts'!$B$3:$C$874,2,FALSE)</f>
        <v>3610920</v>
      </c>
      <c r="F2367" s="91">
        <f>COUNTIF($E$2:$E$7106,E2367)</f>
        <v>9</v>
      </c>
    </row>
    <row r="2368" spans="1:6" x14ac:dyDescent="0.2">
      <c r="A2368">
        <v>2019</v>
      </c>
      <c r="B2368" s="36">
        <v>3330</v>
      </c>
      <c r="C2368" s="90" t="str">
        <f>VLOOKUP(B2368,'All Districts'!$A$3:$B$874,2,FALSE)</f>
        <v>Falconer</v>
      </c>
      <c r="D2368" s="40">
        <v>836631</v>
      </c>
      <c r="E2368">
        <f>VLOOKUP(C2368,'All Districts'!$B$3:$C$874,2,FALSE)</f>
        <v>3610920</v>
      </c>
      <c r="F2368" s="91">
        <f>COUNTIF($E$2:$E$7106,E2368)</f>
        <v>9</v>
      </c>
    </row>
    <row r="2369" spans="1:6" x14ac:dyDescent="0.2">
      <c r="A2369">
        <v>2020</v>
      </c>
      <c r="B2369" s="36">
        <v>3330</v>
      </c>
      <c r="C2369" s="90" t="str">
        <f>VLOOKUP(B2369,'All Districts'!$A$3:$B$874,2,FALSE)</f>
        <v>Falconer</v>
      </c>
      <c r="D2369" s="40">
        <v>705694</v>
      </c>
      <c r="E2369">
        <f>VLOOKUP(C2369,'All Districts'!$B$3:$C$874,2,FALSE)</f>
        <v>3610920</v>
      </c>
      <c r="F2369" s="91">
        <f>COUNTIF($E$2:$E$7106,E2369)</f>
        <v>9</v>
      </c>
    </row>
    <row r="2370" spans="1:6" x14ac:dyDescent="0.2">
      <c r="A2370" s="10">
        <v>2021</v>
      </c>
      <c r="B2370" s="52">
        <v>3330</v>
      </c>
      <c r="C2370" s="90" t="str">
        <f>VLOOKUP(B2370,'All Districts'!$A$3:$B$874,2,FALSE)</f>
        <v>Falconer</v>
      </c>
      <c r="D2370" s="76">
        <v>785089</v>
      </c>
      <c r="E2370">
        <f>VLOOKUP(C2370,'All Districts'!$B$3:$C$874,2,FALSE)</f>
        <v>3610920</v>
      </c>
      <c r="F2370" s="91">
        <f>COUNTIF($E$2:$E$7106,E2370)</f>
        <v>9</v>
      </c>
    </row>
    <row r="2371" spans="1:6" x14ac:dyDescent="0.2">
      <c r="A2371">
        <v>2022</v>
      </c>
      <c r="B2371" s="36">
        <v>3330</v>
      </c>
      <c r="C2371" s="90" t="str">
        <f>VLOOKUP(B2371,'All Districts'!$A$3:$B$874,2,FALSE)</f>
        <v>Falconer</v>
      </c>
      <c r="D2371" s="82">
        <v>867913</v>
      </c>
      <c r="E2371">
        <f>VLOOKUP(C2371,'All Districts'!$B$3:$C$874,2,FALSE)</f>
        <v>3610920</v>
      </c>
      <c r="F2371" s="91">
        <f>COUNTIF($E$2:$E$7106,E2371)</f>
        <v>9</v>
      </c>
    </row>
    <row r="2372" spans="1:6" x14ac:dyDescent="0.2">
      <c r="A2372">
        <v>2023</v>
      </c>
      <c r="B2372" s="36">
        <v>3330</v>
      </c>
      <c r="C2372" s="90" t="str">
        <f>VLOOKUP(B2372,'All Districts'!$A$3:$B$874,2,FALSE)</f>
        <v>Falconer</v>
      </c>
      <c r="D2372" s="40">
        <v>937124</v>
      </c>
      <c r="E2372">
        <f>VLOOKUP(C2372,'All Districts'!$B$3:$C$874,2,FALSE)</f>
        <v>3610920</v>
      </c>
      <c r="F2372" s="91">
        <f>COUNTIF($E$2:$E$7106,E2372)</f>
        <v>9</v>
      </c>
    </row>
    <row r="2373" spans="1:6" x14ac:dyDescent="0.2">
      <c r="A2373">
        <v>2015</v>
      </c>
      <c r="B2373" s="13">
        <v>2165</v>
      </c>
      <c r="C2373" s="90" t="str">
        <f>VLOOKUP(B2373,'All Districts'!$A$3:$B$874,2,FALSE)</f>
        <v>Fallsburg</v>
      </c>
      <c r="D2373" s="14">
        <v>2406941</v>
      </c>
      <c r="E2373">
        <f>VLOOKUP(C2373,'All Districts'!$B$3:$C$874,2,FALSE)</f>
        <v>3610950</v>
      </c>
      <c r="F2373" s="91">
        <f>COUNTIF($E$2:$E$7106,E2373)</f>
        <v>9</v>
      </c>
    </row>
    <row r="2374" spans="1:6" x14ac:dyDescent="0.2">
      <c r="A2374">
        <v>2016</v>
      </c>
      <c r="B2374" s="13">
        <v>2165</v>
      </c>
      <c r="C2374" s="90" t="str">
        <f>VLOOKUP(B2374,'All Districts'!$A$3:$B$874,2,FALSE)</f>
        <v>Fallsburg</v>
      </c>
      <c r="D2374" s="16">
        <v>1922596</v>
      </c>
      <c r="E2374">
        <f>VLOOKUP(C2374,'All Districts'!$B$3:$C$874,2,FALSE)</f>
        <v>3610950</v>
      </c>
      <c r="F2374" s="91">
        <f>COUNTIF($E$2:$E$7106,E2374)</f>
        <v>9</v>
      </c>
    </row>
    <row r="2375" spans="1:6" x14ac:dyDescent="0.2">
      <c r="A2375">
        <v>2017</v>
      </c>
      <c r="B2375" s="13">
        <v>2165</v>
      </c>
      <c r="C2375" s="90" t="str">
        <f>VLOOKUP(B2375,'All Districts'!$A$3:$B$874,2,FALSE)</f>
        <v>Fallsburg</v>
      </c>
      <c r="D2375" s="16">
        <v>1685864</v>
      </c>
      <c r="E2375">
        <f>VLOOKUP(C2375,'All Districts'!$B$3:$C$874,2,FALSE)</f>
        <v>3610950</v>
      </c>
      <c r="F2375" s="91">
        <f>COUNTIF($E$2:$E$7106,E2375)</f>
        <v>9</v>
      </c>
    </row>
    <row r="2376" spans="1:6" x14ac:dyDescent="0.2">
      <c r="A2376" s="10">
        <v>2018</v>
      </c>
      <c r="B2376" s="13">
        <v>2165</v>
      </c>
      <c r="C2376" s="90" t="str">
        <f>VLOOKUP(B2376,'All Districts'!$A$3:$B$874,2,FALSE)</f>
        <v>Fallsburg</v>
      </c>
      <c r="D2376" s="15">
        <v>1440082</v>
      </c>
      <c r="E2376">
        <f>VLOOKUP(C2376,'All Districts'!$B$3:$C$874,2,FALSE)</f>
        <v>3610950</v>
      </c>
      <c r="F2376" s="91">
        <f>COUNTIF($E$2:$E$7106,E2376)</f>
        <v>9</v>
      </c>
    </row>
    <row r="2377" spans="1:6" x14ac:dyDescent="0.2">
      <c r="A2377">
        <v>2019</v>
      </c>
      <c r="B2377" s="36">
        <v>2165</v>
      </c>
      <c r="C2377" s="90" t="str">
        <f>VLOOKUP(B2377,'All Districts'!$A$3:$B$874,2,FALSE)</f>
        <v>Fallsburg</v>
      </c>
      <c r="D2377" s="40">
        <v>1618069</v>
      </c>
      <c r="E2377">
        <f>VLOOKUP(C2377,'All Districts'!$B$3:$C$874,2,FALSE)</f>
        <v>3610950</v>
      </c>
      <c r="F2377" s="91">
        <f>COUNTIF($E$2:$E$7106,E2377)</f>
        <v>9</v>
      </c>
    </row>
    <row r="2378" spans="1:6" x14ac:dyDescent="0.2">
      <c r="A2378">
        <v>2020</v>
      </c>
      <c r="B2378" s="36">
        <v>2165</v>
      </c>
      <c r="C2378" s="90" t="str">
        <f>VLOOKUP(B2378,'All Districts'!$A$3:$B$874,2,FALSE)</f>
        <v>Fallsburg</v>
      </c>
      <c r="D2378" s="40">
        <v>1367653</v>
      </c>
      <c r="E2378">
        <f>VLOOKUP(C2378,'All Districts'!$B$3:$C$874,2,FALSE)</f>
        <v>3610950</v>
      </c>
      <c r="F2378" s="91">
        <f>COUNTIF($E$2:$E$7106,E2378)</f>
        <v>9</v>
      </c>
    </row>
    <row r="2379" spans="1:6" x14ac:dyDescent="0.2">
      <c r="A2379" s="10">
        <v>2021</v>
      </c>
      <c r="B2379" s="55">
        <v>2165</v>
      </c>
      <c r="C2379" s="90" t="str">
        <f>VLOOKUP(B2379,'All Districts'!$A$3:$B$874,2,FALSE)</f>
        <v>Fallsburg</v>
      </c>
      <c r="D2379" s="75">
        <v>1417364</v>
      </c>
      <c r="E2379">
        <f>VLOOKUP(C2379,'All Districts'!$B$3:$C$874,2,FALSE)</f>
        <v>3610950</v>
      </c>
      <c r="F2379" s="91">
        <f>COUNTIF($E$2:$E$7106,E2379)</f>
        <v>9</v>
      </c>
    </row>
    <row r="2380" spans="1:6" x14ac:dyDescent="0.2">
      <c r="A2380">
        <v>2022</v>
      </c>
      <c r="B2380" s="36">
        <v>2165</v>
      </c>
      <c r="C2380" s="90" t="str">
        <f>VLOOKUP(B2380,'All Districts'!$A$3:$B$874,2,FALSE)</f>
        <v>Fallsburg</v>
      </c>
      <c r="D2380" s="82">
        <v>1587606</v>
      </c>
      <c r="E2380">
        <f>VLOOKUP(C2380,'All Districts'!$B$3:$C$874,2,FALSE)</f>
        <v>3610950</v>
      </c>
      <c r="F2380" s="91">
        <f>COUNTIF($E$2:$E$7106,E2380)</f>
        <v>9</v>
      </c>
    </row>
    <row r="2381" spans="1:6" x14ac:dyDescent="0.2">
      <c r="A2381">
        <v>2023</v>
      </c>
      <c r="B2381" s="36">
        <v>2165</v>
      </c>
      <c r="C2381" s="90" t="str">
        <f>VLOOKUP(B2381,'All Districts'!$A$3:$B$874,2,FALSE)</f>
        <v>Fallsburg</v>
      </c>
      <c r="D2381" s="40">
        <v>1909888</v>
      </c>
      <c r="E2381">
        <f>VLOOKUP(C2381,'All Districts'!$B$3:$C$874,2,FALSE)</f>
        <v>3610950</v>
      </c>
      <c r="F2381" s="91">
        <f>COUNTIF($E$2:$E$7106,E2381)</f>
        <v>9</v>
      </c>
    </row>
    <row r="2382" spans="1:6" x14ac:dyDescent="0.2">
      <c r="A2382">
        <v>2015</v>
      </c>
      <c r="B2382" s="13">
        <v>2170</v>
      </c>
      <c r="C2382" s="90" t="str">
        <f>VLOOKUP(B2382,'All Districts'!$A$3:$B$874,2,FALSE)</f>
        <v>Farmingdale</v>
      </c>
      <c r="D2382" s="14">
        <v>10768245</v>
      </c>
      <c r="E2382">
        <f>VLOOKUP(C2382,'All Districts'!$B$3:$C$874,2,FALSE)</f>
        <v>3610980</v>
      </c>
      <c r="F2382" s="91">
        <f>COUNTIF($E$2:$E$7106,E2382)</f>
        <v>9</v>
      </c>
    </row>
    <row r="2383" spans="1:6" x14ac:dyDescent="0.2">
      <c r="A2383">
        <v>2016</v>
      </c>
      <c r="B2383" s="13">
        <v>2170</v>
      </c>
      <c r="C2383" s="90" t="str">
        <f>VLOOKUP(B2383,'All Districts'!$A$3:$B$874,2,FALSE)</f>
        <v>Farmingdale</v>
      </c>
      <c r="D2383" s="16">
        <v>8357988</v>
      </c>
      <c r="E2383">
        <f>VLOOKUP(C2383,'All Districts'!$B$3:$C$874,2,FALSE)</f>
        <v>3610980</v>
      </c>
      <c r="F2383" s="91">
        <f>COUNTIF($E$2:$E$7106,E2383)</f>
        <v>9</v>
      </c>
    </row>
    <row r="2384" spans="1:6" x14ac:dyDescent="0.2">
      <c r="A2384">
        <v>2017</v>
      </c>
      <c r="B2384" s="13">
        <v>2170</v>
      </c>
      <c r="C2384" s="90" t="str">
        <f>VLOOKUP(B2384,'All Districts'!$A$3:$B$874,2,FALSE)</f>
        <v>Farmingdale</v>
      </c>
      <c r="D2384" s="16">
        <v>7566812</v>
      </c>
      <c r="E2384">
        <f>VLOOKUP(C2384,'All Districts'!$B$3:$C$874,2,FALSE)</f>
        <v>3610980</v>
      </c>
      <c r="F2384" s="91">
        <f>COUNTIF($E$2:$E$7106,E2384)</f>
        <v>9</v>
      </c>
    </row>
    <row r="2385" spans="1:6" x14ac:dyDescent="0.2">
      <c r="A2385" s="10">
        <v>2018</v>
      </c>
      <c r="B2385" s="13">
        <v>2170</v>
      </c>
      <c r="C2385" s="90" t="str">
        <f>VLOOKUP(B2385,'All Districts'!$A$3:$B$874,2,FALSE)</f>
        <v>Farmingdale</v>
      </c>
      <c r="D2385" s="15">
        <v>6331397</v>
      </c>
      <c r="E2385">
        <f>VLOOKUP(C2385,'All Districts'!$B$3:$C$874,2,FALSE)</f>
        <v>3610980</v>
      </c>
      <c r="F2385" s="91">
        <f>COUNTIF($E$2:$E$7106,E2385)</f>
        <v>9</v>
      </c>
    </row>
    <row r="2386" spans="1:6" x14ac:dyDescent="0.2">
      <c r="A2386">
        <v>2019</v>
      </c>
      <c r="B2386" s="36">
        <v>2170</v>
      </c>
      <c r="C2386" s="90" t="str">
        <f>VLOOKUP(B2386,'All Districts'!$A$3:$B$874,2,FALSE)</f>
        <v>Farmingdale</v>
      </c>
      <c r="D2386" s="40">
        <v>7051427</v>
      </c>
      <c r="E2386">
        <f>VLOOKUP(C2386,'All Districts'!$B$3:$C$874,2,FALSE)</f>
        <v>3610980</v>
      </c>
      <c r="F2386" s="91">
        <f>COUNTIF($E$2:$E$7106,E2386)</f>
        <v>9</v>
      </c>
    </row>
    <row r="2387" spans="1:6" x14ac:dyDescent="0.2">
      <c r="A2387">
        <v>2020</v>
      </c>
      <c r="B2387" s="36">
        <v>2170</v>
      </c>
      <c r="C2387" s="90" t="str">
        <f>VLOOKUP(B2387,'All Districts'!$A$3:$B$874,2,FALSE)</f>
        <v>Farmingdale</v>
      </c>
      <c r="D2387" s="40">
        <v>6008370</v>
      </c>
      <c r="E2387">
        <f>VLOOKUP(C2387,'All Districts'!$B$3:$C$874,2,FALSE)</f>
        <v>3610980</v>
      </c>
      <c r="F2387" s="91">
        <f>COUNTIF($E$2:$E$7106,E2387)</f>
        <v>9</v>
      </c>
    </row>
    <row r="2388" spans="1:6" x14ac:dyDescent="0.2">
      <c r="A2388" s="10">
        <v>2021</v>
      </c>
      <c r="B2388" s="52">
        <v>2170</v>
      </c>
      <c r="C2388" s="90" t="str">
        <f>VLOOKUP(B2388,'All Districts'!$A$3:$B$874,2,FALSE)</f>
        <v>Farmingdale</v>
      </c>
      <c r="D2388" s="76">
        <v>6575235</v>
      </c>
      <c r="E2388">
        <f>VLOOKUP(C2388,'All Districts'!$B$3:$C$874,2,FALSE)</f>
        <v>3610980</v>
      </c>
      <c r="F2388" s="91">
        <f>COUNTIF($E$2:$E$7106,E2388)</f>
        <v>9</v>
      </c>
    </row>
    <row r="2389" spans="1:6" x14ac:dyDescent="0.2">
      <c r="A2389">
        <v>2022</v>
      </c>
      <c r="B2389" s="36">
        <v>2170</v>
      </c>
      <c r="C2389" s="90" t="str">
        <f>VLOOKUP(B2389,'All Districts'!$A$3:$B$874,2,FALSE)</f>
        <v>Farmingdale</v>
      </c>
      <c r="D2389" s="82">
        <v>6949658</v>
      </c>
      <c r="E2389">
        <f>VLOOKUP(C2389,'All Districts'!$B$3:$C$874,2,FALSE)</f>
        <v>3610980</v>
      </c>
      <c r="F2389" s="91">
        <f>COUNTIF($E$2:$E$7106,E2389)</f>
        <v>9</v>
      </c>
    </row>
    <row r="2390" spans="1:6" x14ac:dyDescent="0.2">
      <c r="A2390">
        <v>2023</v>
      </c>
      <c r="B2390" s="36">
        <v>2170</v>
      </c>
      <c r="C2390" s="90" t="str">
        <f>VLOOKUP(B2390,'All Districts'!$A$3:$B$874,2,FALSE)</f>
        <v>Farmingdale</v>
      </c>
      <c r="D2390" s="40">
        <v>7566216</v>
      </c>
      <c r="E2390">
        <f>VLOOKUP(C2390,'All Districts'!$B$3:$C$874,2,FALSE)</f>
        <v>3610980</v>
      </c>
      <c r="F2390" s="91">
        <f>COUNTIF($E$2:$E$7106,E2390)</f>
        <v>9</v>
      </c>
    </row>
    <row r="2391" spans="1:6" x14ac:dyDescent="0.2">
      <c r="A2391">
        <v>2015</v>
      </c>
      <c r="B2391" s="13">
        <v>2360</v>
      </c>
      <c r="C2391" s="90" t="str">
        <f>VLOOKUP(B2391,'All Districts'!$A$3:$B$874,2,FALSE)</f>
        <v>Fayetteville-Manlius</v>
      </c>
      <c r="D2391" s="14">
        <v>4929208</v>
      </c>
      <c r="E2391">
        <f>VLOOKUP(C2391,'All Districts'!$B$3:$C$874,2,FALSE)</f>
        <v>3618330</v>
      </c>
      <c r="F2391" s="91">
        <f>COUNTIF($E$2:$E$7106,E2391)</f>
        <v>9</v>
      </c>
    </row>
    <row r="2392" spans="1:6" x14ac:dyDescent="0.2">
      <c r="A2392">
        <v>2016</v>
      </c>
      <c r="B2392" s="13">
        <v>2360</v>
      </c>
      <c r="C2392" s="90" t="str">
        <f>VLOOKUP(B2392,'All Districts'!$A$3:$B$874,2,FALSE)</f>
        <v>Fayetteville-Manlius</v>
      </c>
      <c r="D2392" s="16">
        <v>3829785</v>
      </c>
      <c r="E2392">
        <f>VLOOKUP(C2392,'All Districts'!$B$3:$C$874,2,FALSE)</f>
        <v>3618330</v>
      </c>
      <c r="F2392" s="91">
        <f>COUNTIF($E$2:$E$7106,E2392)</f>
        <v>9</v>
      </c>
    </row>
    <row r="2393" spans="1:6" x14ac:dyDescent="0.2">
      <c r="A2393">
        <v>2017</v>
      </c>
      <c r="B2393" s="13">
        <v>2360</v>
      </c>
      <c r="C2393" s="90" t="str">
        <f>VLOOKUP(B2393,'All Districts'!$A$3:$B$874,2,FALSE)</f>
        <v>Fayetteville-Manlius</v>
      </c>
      <c r="D2393" s="16">
        <v>3537146</v>
      </c>
      <c r="E2393">
        <f>VLOOKUP(C2393,'All Districts'!$B$3:$C$874,2,FALSE)</f>
        <v>3618330</v>
      </c>
      <c r="F2393" s="91">
        <f>COUNTIF($E$2:$E$7106,E2393)</f>
        <v>9</v>
      </c>
    </row>
    <row r="2394" spans="1:6" x14ac:dyDescent="0.2">
      <c r="A2394" s="10">
        <v>2018</v>
      </c>
      <c r="B2394" s="13">
        <v>2360</v>
      </c>
      <c r="C2394" s="90" t="str">
        <f>VLOOKUP(B2394,'All Districts'!$A$3:$B$874,2,FALSE)</f>
        <v>Fayetteville-Manlius</v>
      </c>
      <c r="D2394" s="15">
        <v>3026713</v>
      </c>
      <c r="E2394">
        <f>VLOOKUP(C2394,'All Districts'!$B$3:$C$874,2,FALSE)</f>
        <v>3618330</v>
      </c>
      <c r="F2394" s="91">
        <f>COUNTIF($E$2:$E$7106,E2394)</f>
        <v>9</v>
      </c>
    </row>
    <row r="2395" spans="1:6" x14ac:dyDescent="0.2">
      <c r="A2395">
        <v>2019</v>
      </c>
      <c r="B2395" s="36">
        <v>2360</v>
      </c>
      <c r="C2395" s="90" t="str">
        <f>VLOOKUP(B2395,'All Districts'!$A$3:$B$874,2,FALSE)</f>
        <v>Fayetteville-Manlius</v>
      </c>
      <c r="D2395" s="40">
        <v>3327020</v>
      </c>
      <c r="E2395">
        <f>VLOOKUP(C2395,'All Districts'!$B$3:$C$874,2,FALSE)</f>
        <v>3618330</v>
      </c>
      <c r="F2395" s="91">
        <f>COUNTIF($E$2:$E$7106,E2395)</f>
        <v>9</v>
      </c>
    </row>
    <row r="2396" spans="1:6" x14ac:dyDescent="0.2">
      <c r="A2396">
        <v>2020</v>
      </c>
      <c r="B2396" s="36">
        <v>2360</v>
      </c>
      <c r="C2396" s="90" t="str">
        <f>VLOOKUP(B2396,'All Districts'!$A$3:$B$874,2,FALSE)</f>
        <v>Fayetteville-Manlius</v>
      </c>
      <c r="D2396" s="40">
        <v>2807092</v>
      </c>
      <c r="E2396">
        <f>VLOOKUP(C2396,'All Districts'!$B$3:$C$874,2,FALSE)</f>
        <v>3618330</v>
      </c>
      <c r="F2396" s="91">
        <f>COUNTIF($E$2:$E$7106,E2396)</f>
        <v>9</v>
      </c>
    </row>
    <row r="2397" spans="1:6" x14ac:dyDescent="0.2">
      <c r="A2397" s="10">
        <v>2021</v>
      </c>
      <c r="B2397" s="55">
        <v>2360</v>
      </c>
      <c r="C2397" s="90" t="str">
        <f>VLOOKUP(B2397,'All Districts'!$A$3:$B$874,2,FALSE)</f>
        <v>Fayetteville-Manlius</v>
      </c>
      <c r="D2397" s="76">
        <v>3119386</v>
      </c>
      <c r="E2397">
        <f>VLOOKUP(C2397,'All Districts'!$B$3:$C$874,2,FALSE)</f>
        <v>3618330</v>
      </c>
      <c r="F2397" s="91">
        <f>COUNTIF($E$2:$E$7106,E2397)</f>
        <v>9</v>
      </c>
    </row>
    <row r="2398" spans="1:6" x14ac:dyDescent="0.2">
      <c r="A2398">
        <v>2022</v>
      </c>
      <c r="B2398" s="36">
        <v>2360</v>
      </c>
      <c r="C2398" s="90" t="str">
        <f>VLOOKUP(B2398,'All Districts'!$A$3:$B$874,2,FALSE)</f>
        <v>Fayetteville-Manlius</v>
      </c>
      <c r="D2398" s="82">
        <v>3316931</v>
      </c>
      <c r="E2398">
        <f>VLOOKUP(C2398,'All Districts'!$B$3:$C$874,2,FALSE)</f>
        <v>3618330</v>
      </c>
      <c r="F2398" s="91">
        <f>COUNTIF($E$2:$E$7106,E2398)</f>
        <v>9</v>
      </c>
    </row>
    <row r="2399" spans="1:6" x14ac:dyDescent="0.2">
      <c r="A2399">
        <v>2023</v>
      </c>
      <c r="B2399" s="36">
        <v>2360</v>
      </c>
      <c r="C2399" s="90" t="str">
        <f>VLOOKUP(B2399,'All Districts'!$A$3:$B$874,2,FALSE)</f>
        <v>Fayetteville-Manlius</v>
      </c>
      <c r="D2399" s="40">
        <v>3595485</v>
      </c>
      <c r="E2399">
        <f>VLOOKUP(C2399,'All Districts'!$B$3:$C$874,2,FALSE)</f>
        <v>3618330</v>
      </c>
      <c r="F2399" s="91">
        <f>COUNTIF($E$2:$E$7106,E2399)</f>
        <v>9</v>
      </c>
    </row>
    <row r="2400" spans="1:6" x14ac:dyDescent="0.2">
      <c r="A2400">
        <v>2015</v>
      </c>
      <c r="B2400" s="13">
        <v>3107</v>
      </c>
      <c r="C2400" s="90" t="str">
        <f>VLOOKUP(B2400,'All Districts'!$A$3:$B$874,2,FALSE)</f>
        <v>Fillmore</v>
      </c>
      <c r="D2400" s="14">
        <v>717577</v>
      </c>
      <c r="E2400">
        <f>VLOOKUP(C2400,'All Districts'!$B$3:$C$874,2,FALSE)</f>
        <v>3611070</v>
      </c>
      <c r="F2400" s="91">
        <f>COUNTIF($E$2:$E$7106,E2400)</f>
        <v>9</v>
      </c>
    </row>
    <row r="2401" spans="1:6" x14ac:dyDescent="0.2">
      <c r="A2401">
        <v>2016</v>
      </c>
      <c r="B2401" s="13">
        <v>3107</v>
      </c>
      <c r="C2401" s="90" t="str">
        <f>VLOOKUP(B2401,'All Districts'!$A$3:$B$874,2,FALSE)</f>
        <v>Fillmore</v>
      </c>
      <c r="D2401" s="16">
        <v>527089</v>
      </c>
      <c r="E2401">
        <f>VLOOKUP(C2401,'All Districts'!$B$3:$C$874,2,FALSE)</f>
        <v>3611070</v>
      </c>
      <c r="F2401" s="91">
        <f>COUNTIF($E$2:$E$7106,E2401)</f>
        <v>9</v>
      </c>
    </row>
    <row r="2402" spans="1:6" x14ac:dyDescent="0.2">
      <c r="A2402">
        <v>2017</v>
      </c>
      <c r="B2402" s="13">
        <v>3107</v>
      </c>
      <c r="C2402" s="90" t="str">
        <f>VLOOKUP(B2402,'All Districts'!$A$3:$B$874,2,FALSE)</f>
        <v>Fillmore</v>
      </c>
      <c r="D2402" s="16">
        <v>481579</v>
      </c>
      <c r="E2402">
        <f>VLOOKUP(C2402,'All Districts'!$B$3:$C$874,2,FALSE)</f>
        <v>3611070</v>
      </c>
      <c r="F2402" s="91">
        <f>COUNTIF($E$2:$E$7106,E2402)</f>
        <v>9</v>
      </c>
    </row>
    <row r="2403" spans="1:6" x14ac:dyDescent="0.2">
      <c r="A2403" s="10">
        <v>2018</v>
      </c>
      <c r="B2403" s="13">
        <v>3107</v>
      </c>
      <c r="C2403" s="90" t="str">
        <f>VLOOKUP(B2403,'All Districts'!$A$3:$B$874,2,FALSE)</f>
        <v>Fillmore</v>
      </c>
      <c r="D2403" s="15">
        <v>419396</v>
      </c>
      <c r="E2403">
        <f>VLOOKUP(C2403,'All Districts'!$B$3:$C$874,2,FALSE)</f>
        <v>3611070</v>
      </c>
      <c r="F2403" s="91">
        <f>COUNTIF($E$2:$E$7106,E2403)</f>
        <v>9</v>
      </c>
    </row>
    <row r="2404" spans="1:6" x14ac:dyDescent="0.2">
      <c r="A2404">
        <v>2019</v>
      </c>
      <c r="B2404" s="36">
        <v>3107</v>
      </c>
      <c r="C2404" s="90" t="str">
        <f>VLOOKUP(B2404,'All Districts'!$A$3:$B$874,2,FALSE)</f>
        <v>Fillmore</v>
      </c>
      <c r="D2404" s="40">
        <v>463312</v>
      </c>
      <c r="E2404">
        <f>VLOOKUP(C2404,'All Districts'!$B$3:$C$874,2,FALSE)</f>
        <v>3611070</v>
      </c>
      <c r="F2404" s="91">
        <f>COUNTIF($E$2:$E$7106,E2404)</f>
        <v>9</v>
      </c>
    </row>
    <row r="2405" spans="1:6" x14ac:dyDescent="0.2">
      <c r="A2405">
        <v>2020</v>
      </c>
      <c r="B2405" s="36">
        <v>3107</v>
      </c>
      <c r="C2405" s="90" t="str">
        <f>VLOOKUP(B2405,'All Districts'!$A$3:$B$874,2,FALSE)</f>
        <v>Fillmore</v>
      </c>
      <c r="D2405" s="40">
        <v>403068</v>
      </c>
      <c r="E2405">
        <f>VLOOKUP(C2405,'All Districts'!$B$3:$C$874,2,FALSE)</f>
        <v>3611070</v>
      </c>
      <c r="F2405" s="91">
        <f>COUNTIF($E$2:$E$7106,E2405)</f>
        <v>9</v>
      </c>
    </row>
    <row r="2406" spans="1:6" x14ac:dyDescent="0.2">
      <c r="A2406" s="10">
        <v>2021</v>
      </c>
      <c r="B2406" s="71">
        <v>3107</v>
      </c>
      <c r="C2406" s="90" t="str">
        <f>VLOOKUP(B2406,'All Districts'!$A$3:$B$874,2,FALSE)</f>
        <v>Fillmore</v>
      </c>
      <c r="D2406" s="76">
        <v>434677</v>
      </c>
      <c r="E2406">
        <f>VLOOKUP(C2406,'All Districts'!$B$3:$C$874,2,FALSE)</f>
        <v>3611070</v>
      </c>
      <c r="F2406" s="91">
        <f>COUNTIF($E$2:$E$7106,E2406)</f>
        <v>9</v>
      </c>
    </row>
    <row r="2407" spans="1:6" x14ac:dyDescent="0.2">
      <c r="A2407">
        <v>2022</v>
      </c>
      <c r="B2407" s="36">
        <v>3107</v>
      </c>
      <c r="C2407" s="90" t="str">
        <f>VLOOKUP(B2407,'All Districts'!$A$3:$B$874,2,FALSE)</f>
        <v>Fillmore</v>
      </c>
      <c r="D2407" s="82">
        <v>478110</v>
      </c>
      <c r="E2407">
        <f>VLOOKUP(C2407,'All Districts'!$B$3:$C$874,2,FALSE)</f>
        <v>3611070</v>
      </c>
      <c r="F2407" s="91">
        <f>COUNTIF($E$2:$E$7106,E2407)</f>
        <v>9</v>
      </c>
    </row>
    <row r="2408" spans="1:6" x14ac:dyDescent="0.2">
      <c r="A2408">
        <v>2023</v>
      </c>
      <c r="B2408" s="36">
        <v>3107</v>
      </c>
      <c r="C2408" s="90" t="str">
        <f>VLOOKUP(B2408,'All Districts'!$A$3:$B$874,2,FALSE)</f>
        <v>Fillmore</v>
      </c>
      <c r="D2408" s="40">
        <v>494978</v>
      </c>
      <c r="E2408">
        <f>VLOOKUP(C2408,'All Districts'!$B$3:$C$874,2,FALSE)</f>
        <v>3611070</v>
      </c>
      <c r="F2408" s="91">
        <f>COUNTIF($E$2:$E$7106,E2408)</f>
        <v>9</v>
      </c>
    </row>
    <row r="2409" spans="1:6" x14ac:dyDescent="0.2">
      <c r="A2409">
        <v>2015</v>
      </c>
      <c r="B2409" s="13">
        <v>5427</v>
      </c>
      <c r="C2409" s="90" t="str">
        <f>VLOOKUP(B2409,'All Districts'!$A$3:$B$874,2,FALSE)</f>
        <v>Fire Island</v>
      </c>
      <c r="D2409" s="14">
        <v>246359</v>
      </c>
      <c r="E2409">
        <f>VLOOKUP(C2409,'All Districts'!$B$3:$C$874,2,FALSE)</f>
        <v>3621540</v>
      </c>
      <c r="F2409" s="91">
        <f>COUNTIF($E$2:$E$7106,E2409)</f>
        <v>9</v>
      </c>
    </row>
    <row r="2410" spans="1:6" x14ac:dyDescent="0.2">
      <c r="A2410">
        <v>2016</v>
      </c>
      <c r="B2410" s="13">
        <v>5427</v>
      </c>
      <c r="C2410" s="90" t="str">
        <f>VLOOKUP(B2410,'All Districts'!$A$3:$B$874,2,FALSE)</f>
        <v>Fire Island</v>
      </c>
      <c r="D2410" s="16">
        <v>190749</v>
      </c>
      <c r="E2410">
        <f>VLOOKUP(C2410,'All Districts'!$B$3:$C$874,2,FALSE)</f>
        <v>3621540</v>
      </c>
      <c r="F2410" s="91">
        <f>COUNTIF($E$2:$E$7106,E2410)</f>
        <v>9</v>
      </c>
    </row>
    <row r="2411" spans="1:6" x14ac:dyDescent="0.2">
      <c r="A2411">
        <v>2017</v>
      </c>
      <c r="B2411" s="13">
        <v>5427</v>
      </c>
      <c r="C2411" s="90" t="str">
        <f>VLOOKUP(B2411,'All Districts'!$A$3:$B$874,2,FALSE)</f>
        <v>Fire Island</v>
      </c>
      <c r="D2411" s="16">
        <v>174350</v>
      </c>
      <c r="E2411">
        <f>VLOOKUP(C2411,'All Districts'!$B$3:$C$874,2,FALSE)</f>
        <v>3621540</v>
      </c>
      <c r="F2411" s="91">
        <f>COUNTIF($E$2:$E$7106,E2411)</f>
        <v>9</v>
      </c>
    </row>
    <row r="2412" spans="1:6" x14ac:dyDescent="0.2">
      <c r="A2412" s="10">
        <v>2018</v>
      </c>
      <c r="B2412" s="13">
        <v>5427</v>
      </c>
      <c r="C2412" s="90" t="str">
        <f>VLOOKUP(B2412,'All Districts'!$A$3:$B$874,2,FALSE)</f>
        <v>Fire Island</v>
      </c>
      <c r="D2412" s="15">
        <v>148552</v>
      </c>
      <c r="E2412">
        <f>VLOOKUP(C2412,'All Districts'!$B$3:$C$874,2,FALSE)</f>
        <v>3621540</v>
      </c>
      <c r="F2412" s="91">
        <f>COUNTIF($E$2:$E$7106,E2412)</f>
        <v>9</v>
      </c>
    </row>
    <row r="2413" spans="1:6" x14ac:dyDescent="0.2">
      <c r="A2413">
        <v>2019</v>
      </c>
      <c r="B2413" s="36">
        <v>5427</v>
      </c>
      <c r="C2413" s="90" t="str">
        <f>VLOOKUP(B2413,'All Districts'!$A$3:$B$874,2,FALSE)</f>
        <v>Fire Island</v>
      </c>
      <c r="D2413" s="40">
        <v>165896</v>
      </c>
      <c r="E2413">
        <f>VLOOKUP(C2413,'All Districts'!$B$3:$C$874,2,FALSE)</f>
        <v>3621540</v>
      </c>
      <c r="F2413" s="91">
        <f>COUNTIF($E$2:$E$7106,E2413)</f>
        <v>9</v>
      </c>
    </row>
    <row r="2414" spans="1:6" x14ac:dyDescent="0.2">
      <c r="A2414">
        <v>2020</v>
      </c>
      <c r="B2414" s="36">
        <v>5427</v>
      </c>
      <c r="C2414" s="90" t="str">
        <f>VLOOKUP(B2414,'All Districts'!$A$3:$B$874,2,FALSE)</f>
        <v>Fire Island</v>
      </c>
      <c r="D2414" s="40">
        <v>143295</v>
      </c>
      <c r="E2414">
        <f>VLOOKUP(C2414,'All Districts'!$B$3:$C$874,2,FALSE)</f>
        <v>3621540</v>
      </c>
      <c r="F2414" s="91">
        <f>COUNTIF($E$2:$E$7106,E2414)</f>
        <v>9</v>
      </c>
    </row>
    <row r="2415" spans="1:6" x14ac:dyDescent="0.2">
      <c r="A2415" s="10">
        <v>2021</v>
      </c>
      <c r="B2415" s="52">
        <v>5427</v>
      </c>
      <c r="C2415" s="90" t="str">
        <f>VLOOKUP(B2415,'All Districts'!$A$3:$B$874,2,FALSE)</f>
        <v>Fire Island</v>
      </c>
      <c r="D2415" s="76">
        <v>157721</v>
      </c>
      <c r="E2415">
        <f>VLOOKUP(C2415,'All Districts'!$B$3:$C$874,2,FALSE)</f>
        <v>3621540</v>
      </c>
      <c r="F2415" s="91">
        <f>COUNTIF($E$2:$E$7106,E2415)</f>
        <v>9</v>
      </c>
    </row>
    <row r="2416" spans="1:6" x14ac:dyDescent="0.2">
      <c r="A2416">
        <v>2022</v>
      </c>
      <c r="B2416" s="36">
        <v>5427</v>
      </c>
      <c r="C2416" s="90" t="str">
        <f>VLOOKUP(B2416,'All Districts'!$A$3:$B$874,2,FALSE)</f>
        <v>Fire Island</v>
      </c>
      <c r="D2416" s="82">
        <v>147317</v>
      </c>
      <c r="E2416">
        <f>VLOOKUP(C2416,'All Districts'!$B$3:$C$874,2,FALSE)</f>
        <v>3621540</v>
      </c>
      <c r="F2416" s="91">
        <f>COUNTIF($E$2:$E$7106,E2416)</f>
        <v>9</v>
      </c>
    </row>
    <row r="2417" spans="1:6" x14ac:dyDescent="0.2">
      <c r="A2417">
        <v>2023</v>
      </c>
      <c r="B2417" s="36">
        <v>5427</v>
      </c>
      <c r="C2417" s="90" t="str">
        <f>VLOOKUP(B2417,'All Districts'!$A$3:$B$874,2,FALSE)</f>
        <v>Fire Island</v>
      </c>
      <c r="D2417" s="40">
        <v>155932</v>
      </c>
      <c r="E2417">
        <f>VLOOKUP(C2417,'All Districts'!$B$3:$C$874,2,FALSE)</f>
        <v>3621540</v>
      </c>
      <c r="F2417" s="91">
        <f>COUNTIF($E$2:$E$7106,E2417)</f>
        <v>9</v>
      </c>
    </row>
    <row r="2418" spans="1:6" x14ac:dyDescent="0.2">
      <c r="A2418">
        <v>2015</v>
      </c>
      <c r="B2418" s="13">
        <v>5371</v>
      </c>
      <c r="C2418" s="90" t="str">
        <f>VLOOKUP(B2418,'All Districts'!$A$3:$B$874,2,FALSE)</f>
        <v>Fishers Island</v>
      </c>
      <c r="D2418" s="14">
        <v>262407</v>
      </c>
      <c r="E2418">
        <f>VLOOKUP(C2418,'All Districts'!$B$3:$C$874,2,FALSE)</f>
        <v>3611100</v>
      </c>
      <c r="F2418" s="91">
        <f>COUNTIF($E$2:$E$7106,E2418)</f>
        <v>9</v>
      </c>
    </row>
    <row r="2419" spans="1:6" x14ac:dyDescent="0.2">
      <c r="A2419">
        <v>2016</v>
      </c>
      <c r="B2419" s="13">
        <v>5371</v>
      </c>
      <c r="C2419" s="90" t="str">
        <f>VLOOKUP(B2419,'All Districts'!$A$3:$B$874,2,FALSE)</f>
        <v>Fishers Island</v>
      </c>
      <c r="D2419" s="16">
        <v>202327</v>
      </c>
      <c r="E2419">
        <f>VLOOKUP(C2419,'All Districts'!$B$3:$C$874,2,FALSE)</f>
        <v>3611100</v>
      </c>
      <c r="F2419" s="91">
        <f>COUNTIF($E$2:$E$7106,E2419)</f>
        <v>9</v>
      </c>
    </row>
    <row r="2420" spans="1:6" x14ac:dyDescent="0.2">
      <c r="A2420">
        <v>2017</v>
      </c>
      <c r="B2420" s="13">
        <v>5371</v>
      </c>
      <c r="C2420" s="90" t="str">
        <f>VLOOKUP(B2420,'All Districts'!$A$3:$B$874,2,FALSE)</f>
        <v>Fishers Island</v>
      </c>
      <c r="D2420" s="16">
        <v>187725</v>
      </c>
      <c r="E2420">
        <f>VLOOKUP(C2420,'All Districts'!$B$3:$C$874,2,FALSE)</f>
        <v>3611100</v>
      </c>
      <c r="F2420" s="91">
        <f>COUNTIF($E$2:$E$7106,E2420)</f>
        <v>9</v>
      </c>
    </row>
    <row r="2421" spans="1:6" x14ac:dyDescent="0.2">
      <c r="A2421" s="10">
        <v>2018</v>
      </c>
      <c r="B2421" s="13">
        <v>5371</v>
      </c>
      <c r="C2421" s="90" t="str">
        <f>VLOOKUP(B2421,'All Districts'!$A$3:$B$874,2,FALSE)</f>
        <v>Fishers Island</v>
      </c>
      <c r="D2421" s="15">
        <v>168412</v>
      </c>
      <c r="E2421">
        <f>VLOOKUP(C2421,'All Districts'!$B$3:$C$874,2,FALSE)</f>
        <v>3611100</v>
      </c>
      <c r="F2421" s="91">
        <f>COUNTIF($E$2:$E$7106,E2421)</f>
        <v>9</v>
      </c>
    </row>
    <row r="2422" spans="1:6" x14ac:dyDescent="0.2">
      <c r="A2422">
        <v>2019</v>
      </c>
      <c r="B2422" s="36">
        <v>5371</v>
      </c>
      <c r="C2422" s="90" t="str">
        <f>VLOOKUP(B2422,'All Districts'!$A$3:$B$874,2,FALSE)</f>
        <v>Fishers Island</v>
      </c>
      <c r="D2422" s="40">
        <v>186502</v>
      </c>
      <c r="E2422">
        <f>VLOOKUP(C2422,'All Districts'!$B$3:$C$874,2,FALSE)</f>
        <v>3611100</v>
      </c>
      <c r="F2422" s="91">
        <f>COUNTIF($E$2:$E$7106,E2422)</f>
        <v>9</v>
      </c>
    </row>
    <row r="2423" spans="1:6" x14ac:dyDescent="0.2">
      <c r="A2423">
        <v>2020</v>
      </c>
      <c r="B2423" s="36">
        <v>5371</v>
      </c>
      <c r="C2423" s="90" t="str">
        <f>VLOOKUP(B2423,'All Districts'!$A$3:$B$874,2,FALSE)</f>
        <v>Fishers Island</v>
      </c>
      <c r="D2423" s="40">
        <v>150700</v>
      </c>
      <c r="E2423">
        <f>VLOOKUP(C2423,'All Districts'!$B$3:$C$874,2,FALSE)</f>
        <v>3611100</v>
      </c>
      <c r="F2423" s="91">
        <f>COUNTIF($E$2:$E$7106,E2423)</f>
        <v>9</v>
      </c>
    </row>
    <row r="2424" spans="1:6" x14ac:dyDescent="0.2">
      <c r="A2424" s="10">
        <v>2021</v>
      </c>
      <c r="B2424" s="52">
        <v>5371</v>
      </c>
      <c r="C2424" s="90" t="str">
        <f>VLOOKUP(B2424,'All Districts'!$A$3:$B$874,2,FALSE)</f>
        <v>Fishers Island</v>
      </c>
      <c r="D2424" s="76">
        <v>177732</v>
      </c>
      <c r="E2424">
        <f>VLOOKUP(C2424,'All Districts'!$B$3:$C$874,2,FALSE)</f>
        <v>3611100</v>
      </c>
      <c r="F2424" s="91">
        <f>COUNTIF($E$2:$E$7106,E2424)</f>
        <v>9</v>
      </c>
    </row>
    <row r="2425" spans="1:6" x14ac:dyDescent="0.2">
      <c r="A2425">
        <v>2022</v>
      </c>
      <c r="B2425" s="36">
        <v>5371</v>
      </c>
      <c r="C2425" s="90" t="str">
        <f>VLOOKUP(B2425,'All Districts'!$A$3:$B$874,2,FALSE)</f>
        <v>Fishers Island</v>
      </c>
      <c r="D2425" s="82">
        <v>191085</v>
      </c>
      <c r="E2425">
        <f>VLOOKUP(C2425,'All Districts'!$B$3:$C$874,2,FALSE)</f>
        <v>3611100</v>
      </c>
      <c r="F2425" s="91">
        <f>COUNTIF($E$2:$E$7106,E2425)</f>
        <v>9</v>
      </c>
    </row>
    <row r="2426" spans="1:6" x14ac:dyDescent="0.2">
      <c r="A2426">
        <v>2023</v>
      </c>
      <c r="B2426" s="36">
        <v>5371</v>
      </c>
      <c r="C2426" s="90" t="str">
        <f>VLOOKUP(B2426,'All Districts'!$A$3:$B$874,2,FALSE)</f>
        <v>Fishers Island</v>
      </c>
      <c r="D2426" s="40">
        <v>169406</v>
      </c>
      <c r="E2426">
        <f>VLOOKUP(C2426,'All Districts'!$B$3:$C$874,2,FALSE)</f>
        <v>3611100</v>
      </c>
      <c r="F2426" s="91">
        <f>COUNTIF($E$2:$E$7106,E2426)</f>
        <v>9</v>
      </c>
    </row>
    <row r="2427" spans="1:6" x14ac:dyDescent="0.2">
      <c r="A2427">
        <v>2015</v>
      </c>
      <c r="B2427" s="13">
        <v>4358</v>
      </c>
      <c r="C2427" s="90" t="str">
        <f>VLOOKUP(B2427,'All Districts'!$A$3:$B$874,2,FALSE)</f>
        <v>Floral Park-Bellerose</v>
      </c>
      <c r="D2427" s="14">
        <v>2097356</v>
      </c>
      <c r="E2427">
        <f>VLOOKUP(C2427,'All Districts'!$B$3:$C$874,2,FALSE)</f>
        <v>3611160</v>
      </c>
      <c r="F2427" s="91">
        <f>COUNTIF($E$2:$E$7106,E2427)</f>
        <v>9</v>
      </c>
    </row>
    <row r="2428" spans="1:6" x14ac:dyDescent="0.2">
      <c r="A2428">
        <v>2016</v>
      </c>
      <c r="B2428" s="13">
        <v>4358</v>
      </c>
      <c r="C2428" s="90" t="str">
        <f>VLOOKUP(B2428,'All Districts'!$A$3:$B$874,2,FALSE)</f>
        <v>Floral Park-Bellerose</v>
      </c>
      <c r="D2428" s="16">
        <v>1642487</v>
      </c>
      <c r="E2428">
        <f>VLOOKUP(C2428,'All Districts'!$B$3:$C$874,2,FALSE)</f>
        <v>3611160</v>
      </c>
      <c r="F2428" s="91">
        <f>COUNTIF($E$2:$E$7106,E2428)</f>
        <v>9</v>
      </c>
    </row>
    <row r="2429" spans="1:6" x14ac:dyDescent="0.2">
      <c r="A2429">
        <v>2017</v>
      </c>
      <c r="B2429" s="13">
        <v>4358</v>
      </c>
      <c r="C2429" s="90" t="str">
        <f>VLOOKUP(B2429,'All Districts'!$A$3:$B$874,2,FALSE)</f>
        <v>Floral Park-Bellerose</v>
      </c>
      <c r="D2429" s="16">
        <v>1487846</v>
      </c>
      <c r="E2429">
        <f>VLOOKUP(C2429,'All Districts'!$B$3:$C$874,2,FALSE)</f>
        <v>3611160</v>
      </c>
      <c r="F2429" s="91">
        <f>COUNTIF($E$2:$E$7106,E2429)</f>
        <v>9</v>
      </c>
    </row>
    <row r="2430" spans="1:6" x14ac:dyDescent="0.2">
      <c r="A2430" s="10">
        <v>2018</v>
      </c>
      <c r="B2430" s="13">
        <v>4358</v>
      </c>
      <c r="C2430" s="90" t="str">
        <f>VLOOKUP(B2430,'All Districts'!$A$3:$B$874,2,FALSE)</f>
        <v>Floral Park-Bellerose</v>
      </c>
      <c r="D2430" s="15">
        <v>1253950</v>
      </c>
      <c r="E2430">
        <f>VLOOKUP(C2430,'All Districts'!$B$3:$C$874,2,FALSE)</f>
        <v>3611160</v>
      </c>
      <c r="F2430" s="91">
        <f>COUNTIF($E$2:$E$7106,E2430)</f>
        <v>9</v>
      </c>
    </row>
    <row r="2431" spans="1:6" x14ac:dyDescent="0.2">
      <c r="A2431">
        <v>2019</v>
      </c>
      <c r="B2431" s="36">
        <v>4358</v>
      </c>
      <c r="C2431" s="90" t="str">
        <f>VLOOKUP(B2431,'All Districts'!$A$3:$B$874,2,FALSE)</f>
        <v>Floral Park-Bellerose</v>
      </c>
      <c r="D2431" s="40">
        <v>1377483</v>
      </c>
      <c r="E2431">
        <f>VLOOKUP(C2431,'All Districts'!$B$3:$C$874,2,FALSE)</f>
        <v>3611160</v>
      </c>
      <c r="F2431" s="91">
        <f>COUNTIF($E$2:$E$7106,E2431)</f>
        <v>9</v>
      </c>
    </row>
    <row r="2432" spans="1:6" x14ac:dyDescent="0.2">
      <c r="A2432">
        <v>2020</v>
      </c>
      <c r="B2432" s="36">
        <v>4358</v>
      </c>
      <c r="C2432" s="90" t="str">
        <f>VLOOKUP(B2432,'All Districts'!$A$3:$B$874,2,FALSE)</f>
        <v>Floral Park-Bellerose</v>
      </c>
      <c r="D2432" s="40">
        <v>1175582</v>
      </c>
      <c r="E2432">
        <f>VLOOKUP(C2432,'All Districts'!$B$3:$C$874,2,FALSE)</f>
        <v>3611160</v>
      </c>
      <c r="F2432" s="91">
        <f>COUNTIF($E$2:$E$7106,E2432)</f>
        <v>9</v>
      </c>
    </row>
    <row r="2433" spans="1:6" x14ac:dyDescent="0.2">
      <c r="A2433" s="10">
        <v>2021</v>
      </c>
      <c r="B2433" s="52">
        <v>4358</v>
      </c>
      <c r="C2433" s="90" t="str">
        <f>VLOOKUP(B2433,'All Districts'!$A$3:$B$874,2,FALSE)</f>
        <v>Floral Park-Bellerose</v>
      </c>
      <c r="D2433" s="76">
        <v>1256752</v>
      </c>
      <c r="E2433">
        <f>VLOOKUP(C2433,'All Districts'!$B$3:$C$874,2,FALSE)</f>
        <v>3611160</v>
      </c>
      <c r="F2433" s="91">
        <f>COUNTIF($E$2:$E$7106,E2433)</f>
        <v>9</v>
      </c>
    </row>
    <row r="2434" spans="1:6" x14ac:dyDescent="0.2">
      <c r="A2434">
        <v>2022</v>
      </c>
      <c r="B2434" s="36">
        <v>4358</v>
      </c>
      <c r="C2434" s="90" t="str">
        <f>VLOOKUP(B2434,'All Districts'!$A$3:$B$874,2,FALSE)</f>
        <v>Floral Park-Bellerose</v>
      </c>
      <c r="D2434" s="82">
        <v>1322147</v>
      </c>
      <c r="E2434">
        <f>VLOOKUP(C2434,'All Districts'!$B$3:$C$874,2,FALSE)</f>
        <v>3611160</v>
      </c>
      <c r="F2434" s="91">
        <f>COUNTIF($E$2:$E$7106,E2434)</f>
        <v>9</v>
      </c>
    </row>
    <row r="2435" spans="1:6" x14ac:dyDescent="0.2">
      <c r="A2435">
        <v>2023</v>
      </c>
      <c r="B2435" s="36">
        <v>4358</v>
      </c>
      <c r="C2435" s="90" t="str">
        <f>VLOOKUP(B2435,'All Districts'!$A$3:$B$874,2,FALSE)</f>
        <v>Floral Park-Bellerose</v>
      </c>
      <c r="D2435" s="40">
        <v>1441395</v>
      </c>
      <c r="E2435">
        <f>VLOOKUP(C2435,'All Districts'!$B$3:$C$874,2,FALSE)</f>
        <v>3611160</v>
      </c>
      <c r="F2435" s="91">
        <f>COUNTIF($E$2:$E$7106,E2435)</f>
        <v>9</v>
      </c>
    </row>
    <row r="2436" spans="1:6" x14ac:dyDescent="0.2">
      <c r="A2436">
        <v>2015</v>
      </c>
      <c r="B2436" s="13">
        <v>4663</v>
      </c>
      <c r="C2436" s="90" t="str">
        <f>VLOOKUP(B2436,'All Districts'!$A$3:$B$874,2,FALSE)</f>
        <v>Florida</v>
      </c>
      <c r="D2436" s="14">
        <v>1303313</v>
      </c>
      <c r="E2436">
        <f>VLOOKUP(C2436,'All Districts'!$B$3:$C$874,2,FALSE)</f>
        <v>3625320</v>
      </c>
      <c r="F2436" s="91">
        <f>COUNTIF($E$2:$E$7106,E2436)</f>
        <v>9</v>
      </c>
    </row>
    <row r="2437" spans="1:6" x14ac:dyDescent="0.2">
      <c r="A2437">
        <v>2016</v>
      </c>
      <c r="B2437" s="13">
        <v>4663</v>
      </c>
      <c r="C2437" s="90" t="str">
        <f>VLOOKUP(B2437,'All Districts'!$A$3:$B$874,2,FALSE)</f>
        <v>Florida</v>
      </c>
      <c r="D2437" s="16">
        <v>1014767</v>
      </c>
      <c r="E2437">
        <f>VLOOKUP(C2437,'All Districts'!$B$3:$C$874,2,FALSE)</f>
        <v>3625320</v>
      </c>
      <c r="F2437" s="91">
        <f>COUNTIF($E$2:$E$7106,E2437)</f>
        <v>9</v>
      </c>
    </row>
    <row r="2438" spans="1:6" x14ac:dyDescent="0.2">
      <c r="A2438">
        <v>2017</v>
      </c>
      <c r="B2438" s="13">
        <v>4663</v>
      </c>
      <c r="C2438" s="90" t="str">
        <f>VLOOKUP(B2438,'All Districts'!$A$3:$B$874,2,FALSE)</f>
        <v>Florida</v>
      </c>
      <c r="D2438" s="16">
        <v>908097</v>
      </c>
      <c r="E2438">
        <f>VLOOKUP(C2438,'All Districts'!$B$3:$C$874,2,FALSE)</f>
        <v>3625320</v>
      </c>
      <c r="F2438" s="91">
        <f>COUNTIF($E$2:$E$7106,E2438)</f>
        <v>9</v>
      </c>
    </row>
    <row r="2439" spans="1:6" x14ac:dyDescent="0.2">
      <c r="A2439" s="10">
        <v>2018</v>
      </c>
      <c r="B2439" s="13">
        <v>4663</v>
      </c>
      <c r="C2439" s="90" t="str">
        <f>VLOOKUP(B2439,'All Districts'!$A$3:$B$874,2,FALSE)</f>
        <v>Florida</v>
      </c>
      <c r="D2439" s="15">
        <v>783918</v>
      </c>
      <c r="E2439">
        <f>VLOOKUP(C2439,'All Districts'!$B$3:$C$874,2,FALSE)</f>
        <v>3625320</v>
      </c>
      <c r="F2439" s="91">
        <f>COUNTIF($E$2:$E$7106,E2439)</f>
        <v>9</v>
      </c>
    </row>
    <row r="2440" spans="1:6" x14ac:dyDescent="0.2">
      <c r="A2440">
        <v>2019</v>
      </c>
      <c r="B2440" s="36">
        <v>4663</v>
      </c>
      <c r="C2440" s="90" t="str">
        <f>VLOOKUP(B2440,'All Districts'!$A$3:$B$874,2,FALSE)</f>
        <v>Florida</v>
      </c>
      <c r="D2440" s="40">
        <v>852276</v>
      </c>
      <c r="E2440">
        <f>VLOOKUP(C2440,'All Districts'!$B$3:$C$874,2,FALSE)</f>
        <v>3625320</v>
      </c>
      <c r="F2440" s="91">
        <f>COUNTIF($E$2:$E$7106,E2440)</f>
        <v>9</v>
      </c>
    </row>
    <row r="2441" spans="1:6" x14ac:dyDescent="0.2">
      <c r="A2441">
        <v>2020</v>
      </c>
      <c r="B2441" s="36">
        <v>4663</v>
      </c>
      <c r="C2441" s="90" t="str">
        <f>VLOOKUP(B2441,'All Districts'!$A$3:$B$874,2,FALSE)</f>
        <v>Florida</v>
      </c>
      <c r="D2441" s="40">
        <v>724466</v>
      </c>
      <c r="E2441">
        <f>VLOOKUP(C2441,'All Districts'!$B$3:$C$874,2,FALSE)</f>
        <v>3625320</v>
      </c>
      <c r="F2441" s="91">
        <f>COUNTIF($E$2:$E$7106,E2441)</f>
        <v>9</v>
      </c>
    </row>
    <row r="2442" spans="1:6" x14ac:dyDescent="0.2">
      <c r="A2442" s="10">
        <v>2021</v>
      </c>
      <c r="B2442" s="52">
        <v>4663</v>
      </c>
      <c r="C2442" s="90" t="str">
        <f>VLOOKUP(B2442,'All Districts'!$A$3:$B$874,2,FALSE)</f>
        <v>Florida</v>
      </c>
      <c r="D2442" s="76">
        <v>780572</v>
      </c>
      <c r="E2442">
        <f>VLOOKUP(C2442,'All Districts'!$B$3:$C$874,2,FALSE)</f>
        <v>3625320</v>
      </c>
      <c r="F2442" s="91">
        <f>COUNTIF($E$2:$E$7106,E2442)</f>
        <v>9</v>
      </c>
    </row>
    <row r="2443" spans="1:6" x14ac:dyDescent="0.2">
      <c r="A2443">
        <v>2022</v>
      </c>
      <c r="B2443" s="36">
        <v>4663</v>
      </c>
      <c r="C2443" s="90" t="str">
        <f>VLOOKUP(B2443,'All Districts'!$A$3:$B$874,2,FALSE)</f>
        <v>Florida</v>
      </c>
      <c r="D2443" s="82">
        <v>843768</v>
      </c>
      <c r="E2443">
        <f>VLOOKUP(C2443,'All Districts'!$B$3:$C$874,2,FALSE)</f>
        <v>3625320</v>
      </c>
      <c r="F2443" s="91">
        <f>COUNTIF($E$2:$E$7106,E2443)</f>
        <v>9</v>
      </c>
    </row>
    <row r="2444" spans="1:6" x14ac:dyDescent="0.2">
      <c r="A2444">
        <v>2023</v>
      </c>
      <c r="B2444" s="36">
        <v>4663</v>
      </c>
      <c r="C2444" s="90" t="str">
        <f>VLOOKUP(B2444,'All Districts'!$A$3:$B$874,2,FALSE)</f>
        <v>Florida</v>
      </c>
      <c r="D2444" s="40">
        <v>892438</v>
      </c>
      <c r="E2444">
        <f>VLOOKUP(C2444,'All Districts'!$B$3:$C$874,2,FALSE)</f>
        <v>3625320</v>
      </c>
      <c r="F2444" s="91">
        <f>COUNTIF($E$2:$E$7106,E2444)</f>
        <v>9</v>
      </c>
    </row>
    <row r="2445" spans="1:6" x14ac:dyDescent="0.2">
      <c r="A2445">
        <v>2015</v>
      </c>
      <c r="B2445" s="13">
        <v>4021</v>
      </c>
      <c r="C2445" s="90" t="str">
        <f>VLOOKUP(B2445,'All Districts'!$A$3:$B$874,2,FALSE)</f>
        <v>Fonda-Fultonville</v>
      </c>
      <c r="D2445" s="14">
        <v>1490841</v>
      </c>
      <c r="E2445">
        <f>VLOOKUP(C2445,'All Districts'!$B$3:$C$874,2,FALSE)</f>
        <v>3611190</v>
      </c>
      <c r="F2445" s="91">
        <f>COUNTIF($E$2:$E$7106,E2445)</f>
        <v>9</v>
      </c>
    </row>
    <row r="2446" spans="1:6" x14ac:dyDescent="0.2">
      <c r="A2446">
        <v>2016</v>
      </c>
      <c r="B2446" s="13">
        <v>4021</v>
      </c>
      <c r="C2446" s="90" t="str">
        <f>VLOOKUP(B2446,'All Districts'!$A$3:$B$874,2,FALSE)</f>
        <v>Fonda-Fultonville</v>
      </c>
      <c r="D2446" s="16">
        <v>1194245</v>
      </c>
      <c r="E2446">
        <f>VLOOKUP(C2446,'All Districts'!$B$3:$C$874,2,FALSE)</f>
        <v>3611190</v>
      </c>
      <c r="F2446" s="91">
        <f>COUNTIF($E$2:$E$7106,E2446)</f>
        <v>9</v>
      </c>
    </row>
    <row r="2447" spans="1:6" x14ac:dyDescent="0.2">
      <c r="A2447">
        <v>2017</v>
      </c>
      <c r="B2447" s="13">
        <v>4021</v>
      </c>
      <c r="C2447" s="90" t="str">
        <f>VLOOKUP(B2447,'All Districts'!$A$3:$B$874,2,FALSE)</f>
        <v>Fonda-Fultonville</v>
      </c>
      <c r="D2447" s="16">
        <v>1097876</v>
      </c>
      <c r="E2447">
        <f>VLOOKUP(C2447,'All Districts'!$B$3:$C$874,2,FALSE)</f>
        <v>3611190</v>
      </c>
      <c r="F2447" s="91">
        <f>COUNTIF($E$2:$E$7106,E2447)</f>
        <v>9</v>
      </c>
    </row>
    <row r="2448" spans="1:6" x14ac:dyDescent="0.2">
      <c r="A2448" s="10">
        <v>2018</v>
      </c>
      <c r="B2448" s="13">
        <v>4021</v>
      </c>
      <c r="C2448" s="90" t="str">
        <f>VLOOKUP(B2448,'All Districts'!$A$3:$B$874,2,FALSE)</f>
        <v>Fonda-Fultonville</v>
      </c>
      <c r="D2448" s="15">
        <v>946003</v>
      </c>
      <c r="E2448">
        <f>VLOOKUP(C2448,'All Districts'!$B$3:$C$874,2,FALSE)</f>
        <v>3611190</v>
      </c>
      <c r="F2448" s="91">
        <f>COUNTIF($E$2:$E$7106,E2448)</f>
        <v>9</v>
      </c>
    </row>
    <row r="2449" spans="1:6" x14ac:dyDescent="0.2">
      <c r="A2449">
        <v>2019</v>
      </c>
      <c r="B2449" s="36">
        <v>4021</v>
      </c>
      <c r="C2449" s="90" t="str">
        <f>VLOOKUP(B2449,'All Districts'!$A$3:$B$874,2,FALSE)</f>
        <v>Fonda-Fultonville</v>
      </c>
      <c r="D2449" s="40">
        <v>1037672</v>
      </c>
      <c r="E2449">
        <f>VLOOKUP(C2449,'All Districts'!$B$3:$C$874,2,FALSE)</f>
        <v>3611190</v>
      </c>
      <c r="F2449" s="91">
        <f>COUNTIF($E$2:$E$7106,E2449)</f>
        <v>9</v>
      </c>
    </row>
    <row r="2450" spans="1:6" x14ac:dyDescent="0.2">
      <c r="A2450">
        <v>2020</v>
      </c>
      <c r="B2450" s="36">
        <v>4021</v>
      </c>
      <c r="C2450" s="90" t="str">
        <f>VLOOKUP(B2450,'All Districts'!$A$3:$B$874,2,FALSE)</f>
        <v>Fonda-Fultonville</v>
      </c>
      <c r="D2450" s="40">
        <v>896820</v>
      </c>
      <c r="E2450">
        <f>VLOOKUP(C2450,'All Districts'!$B$3:$C$874,2,FALSE)</f>
        <v>3611190</v>
      </c>
      <c r="F2450" s="91">
        <f>COUNTIF($E$2:$E$7106,E2450)</f>
        <v>9</v>
      </c>
    </row>
    <row r="2451" spans="1:6" x14ac:dyDescent="0.2">
      <c r="A2451" s="10">
        <v>2021</v>
      </c>
      <c r="B2451" s="52">
        <v>4021</v>
      </c>
      <c r="C2451" s="90" t="str">
        <f>VLOOKUP(B2451,'All Districts'!$A$3:$B$874,2,FALSE)</f>
        <v>Fonda-Fultonville</v>
      </c>
      <c r="D2451" s="76">
        <v>911467</v>
      </c>
      <c r="E2451">
        <f>VLOOKUP(C2451,'All Districts'!$B$3:$C$874,2,FALSE)</f>
        <v>3611190</v>
      </c>
      <c r="F2451" s="91">
        <f>COUNTIF($E$2:$E$7106,E2451)</f>
        <v>9</v>
      </c>
    </row>
    <row r="2452" spans="1:6" x14ac:dyDescent="0.2">
      <c r="A2452">
        <v>2022</v>
      </c>
      <c r="B2452" s="36">
        <v>4021</v>
      </c>
      <c r="C2452" s="90" t="str">
        <f>VLOOKUP(B2452,'All Districts'!$A$3:$B$874,2,FALSE)</f>
        <v>Fonda-Fultonville</v>
      </c>
      <c r="D2452" s="82">
        <v>984068</v>
      </c>
      <c r="E2452">
        <f>VLOOKUP(C2452,'All Districts'!$B$3:$C$874,2,FALSE)</f>
        <v>3611190</v>
      </c>
      <c r="F2452" s="91">
        <f>COUNTIF($E$2:$E$7106,E2452)</f>
        <v>9</v>
      </c>
    </row>
    <row r="2453" spans="1:6" x14ac:dyDescent="0.2">
      <c r="A2453">
        <v>2023</v>
      </c>
      <c r="B2453" s="36">
        <v>4021</v>
      </c>
      <c r="C2453" s="90" t="str">
        <f>VLOOKUP(B2453,'All Districts'!$A$3:$B$874,2,FALSE)</f>
        <v>Fonda-Fultonville</v>
      </c>
      <c r="D2453" s="40">
        <v>1040203</v>
      </c>
      <c r="E2453">
        <f>VLOOKUP(C2453,'All Districts'!$B$3:$C$874,2,FALSE)</f>
        <v>3611190</v>
      </c>
      <c r="F2453" s="91">
        <f>COUNTIF($E$2:$E$7106,E2453)</f>
        <v>9</v>
      </c>
    </row>
    <row r="2454" spans="1:6" x14ac:dyDescent="0.2">
      <c r="A2454">
        <v>2015</v>
      </c>
      <c r="B2454" s="13">
        <v>3332</v>
      </c>
      <c r="C2454" s="90" t="str">
        <f>VLOOKUP(B2454,'All Districts'!$A$3:$B$874,2,FALSE)</f>
        <v>Forestville</v>
      </c>
      <c r="D2454" s="14">
        <v>622559</v>
      </c>
      <c r="E2454">
        <f>VLOOKUP(C2454,'All Districts'!$B$3:$C$874,2,FALSE)</f>
        <v>3611250</v>
      </c>
      <c r="F2454" s="91">
        <f>COUNTIF($E$2:$E$7106,E2454)</f>
        <v>9</v>
      </c>
    </row>
    <row r="2455" spans="1:6" x14ac:dyDescent="0.2">
      <c r="A2455">
        <v>2016</v>
      </c>
      <c r="B2455" s="13">
        <v>3332</v>
      </c>
      <c r="C2455" s="90" t="str">
        <f>VLOOKUP(B2455,'All Districts'!$A$3:$B$874,2,FALSE)</f>
        <v>Forestville</v>
      </c>
      <c r="D2455" s="16">
        <v>480892</v>
      </c>
      <c r="E2455">
        <f>VLOOKUP(C2455,'All Districts'!$B$3:$C$874,2,FALSE)</f>
        <v>3611250</v>
      </c>
      <c r="F2455" s="91">
        <f>COUNTIF($E$2:$E$7106,E2455)</f>
        <v>9</v>
      </c>
    </row>
    <row r="2456" spans="1:6" x14ac:dyDescent="0.2">
      <c r="A2456">
        <v>2017</v>
      </c>
      <c r="B2456" s="13">
        <v>3332</v>
      </c>
      <c r="C2456" s="90" t="str">
        <f>VLOOKUP(B2456,'All Districts'!$A$3:$B$874,2,FALSE)</f>
        <v>Forestville</v>
      </c>
      <c r="D2456" s="16">
        <v>438275</v>
      </c>
      <c r="E2456">
        <f>VLOOKUP(C2456,'All Districts'!$B$3:$C$874,2,FALSE)</f>
        <v>3611250</v>
      </c>
      <c r="F2456" s="91">
        <f>COUNTIF($E$2:$E$7106,E2456)</f>
        <v>9</v>
      </c>
    </row>
    <row r="2457" spans="1:6" x14ac:dyDescent="0.2">
      <c r="A2457" s="10">
        <v>2018</v>
      </c>
      <c r="B2457" s="13">
        <v>3332</v>
      </c>
      <c r="C2457" s="90" t="str">
        <f>VLOOKUP(B2457,'All Districts'!$A$3:$B$874,2,FALSE)</f>
        <v>Forestville</v>
      </c>
      <c r="D2457" s="15">
        <v>383727</v>
      </c>
      <c r="E2457">
        <f>VLOOKUP(C2457,'All Districts'!$B$3:$C$874,2,FALSE)</f>
        <v>3611250</v>
      </c>
      <c r="F2457" s="91">
        <f>COUNTIF($E$2:$E$7106,E2457)</f>
        <v>9</v>
      </c>
    </row>
    <row r="2458" spans="1:6" x14ac:dyDescent="0.2">
      <c r="A2458">
        <v>2019</v>
      </c>
      <c r="B2458" s="36">
        <v>3332</v>
      </c>
      <c r="C2458" s="90" t="str">
        <f>VLOOKUP(B2458,'All Districts'!$A$3:$B$874,2,FALSE)</f>
        <v>Forestville</v>
      </c>
      <c r="D2458" s="40">
        <v>414688</v>
      </c>
      <c r="E2458">
        <f>VLOOKUP(C2458,'All Districts'!$B$3:$C$874,2,FALSE)</f>
        <v>3611250</v>
      </c>
      <c r="F2458" s="91">
        <f>COUNTIF($E$2:$E$7106,E2458)</f>
        <v>9</v>
      </c>
    </row>
    <row r="2459" spans="1:6" x14ac:dyDescent="0.2">
      <c r="A2459">
        <v>2020</v>
      </c>
      <c r="B2459" s="36">
        <v>3332</v>
      </c>
      <c r="C2459" s="90" t="str">
        <f>VLOOKUP(B2459,'All Districts'!$A$3:$B$874,2,FALSE)</f>
        <v>Forestville</v>
      </c>
      <c r="D2459" s="40">
        <v>344661</v>
      </c>
      <c r="E2459">
        <f>VLOOKUP(C2459,'All Districts'!$B$3:$C$874,2,FALSE)</f>
        <v>3611250</v>
      </c>
      <c r="F2459" s="91">
        <f>COUNTIF($E$2:$E$7106,E2459)</f>
        <v>9</v>
      </c>
    </row>
    <row r="2460" spans="1:6" x14ac:dyDescent="0.2">
      <c r="A2460" s="10">
        <v>2021</v>
      </c>
      <c r="B2460" s="52">
        <v>3332</v>
      </c>
      <c r="C2460" s="90" t="str">
        <f>VLOOKUP(B2460,'All Districts'!$A$3:$B$874,2,FALSE)</f>
        <v>Forestville</v>
      </c>
      <c r="D2460" s="76">
        <v>354214</v>
      </c>
      <c r="E2460">
        <f>VLOOKUP(C2460,'All Districts'!$B$3:$C$874,2,FALSE)</f>
        <v>3611250</v>
      </c>
      <c r="F2460" s="91">
        <f>COUNTIF($E$2:$E$7106,E2460)</f>
        <v>9</v>
      </c>
    </row>
    <row r="2461" spans="1:6" x14ac:dyDescent="0.2">
      <c r="A2461">
        <v>2022</v>
      </c>
      <c r="B2461" s="36">
        <v>3332</v>
      </c>
      <c r="C2461" s="90" t="str">
        <f>VLOOKUP(B2461,'All Districts'!$A$3:$B$874,2,FALSE)</f>
        <v>Forestville</v>
      </c>
      <c r="D2461" s="82">
        <v>373450</v>
      </c>
      <c r="E2461">
        <f>VLOOKUP(C2461,'All Districts'!$B$3:$C$874,2,FALSE)</f>
        <v>3611250</v>
      </c>
      <c r="F2461" s="91">
        <f>COUNTIF($E$2:$E$7106,E2461)</f>
        <v>9</v>
      </c>
    </row>
    <row r="2462" spans="1:6" x14ac:dyDescent="0.2">
      <c r="A2462">
        <v>2023</v>
      </c>
      <c r="B2462" s="36">
        <v>3332</v>
      </c>
      <c r="C2462" s="90" t="str">
        <f>VLOOKUP(B2462,'All Districts'!$A$3:$B$874,2,FALSE)</f>
        <v>Forestville</v>
      </c>
      <c r="D2462" s="40">
        <v>405375</v>
      </c>
      <c r="E2462">
        <f>VLOOKUP(C2462,'All Districts'!$B$3:$C$874,2,FALSE)</f>
        <v>3611250</v>
      </c>
      <c r="F2462" s="91">
        <f>COUNTIF($E$2:$E$7106,E2462)</f>
        <v>9</v>
      </c>
    </row>
    <row r="2463" spans="1:6" x14ac:dyDescent="0.2">
      <c r="A2463">
        <v>2015</v>
      </c>
      <c r="B2463" s="13">
        <v>5677</v>
      </c>
      <c r="C2463" s="90" t="str">
        <f>VLOOKUP(B2463,'All Districts'!$A$3:$B$874,2,FALSE)</f>
        <v>Fort Ann</v>
      </c>
      <c r="D2463" s="14">
        <v>526406</v>
      </c>
      <c r="E2463">
        <f>VLOOKUP(C2463,'All Districts'!$B$3:$C$874,2,FALSE)</f>
        <v>3611280</v>
      </c>
      <c r="F2463" s="91">
        <f>COUNTIF($E$2:$E$7106,E2463)</f>
        <v>9</v>
      </c>
    </row>
    <row r="2464" spans="1:6" x14ac:dyDescent="0.2">
      <c r="A2464">
        <v>2016</v>
      </c>
      <c r="B2464" s="13">
        <v>5677</v>
      </c>
      <c r="C2464" s="90" t="str">
        <f>VLOOKUP(B2464,'All Districts'!$A$3:$B$874,2,FALSE)</f>
        <v>Fort Ann</v>
      </c>
      <c r="D2464" s="16">
        <v>413946</v>
      </c>
      <c r="E2464">
        <f>VLOOKUP(C2464,'All Districts'!$B$3:$C$874,2,FALSE)</f>
        <v>3611280</v>
      </c>
      <c r="F2464" s="91">
        <f>COUNTIF($E$2:$E$7106,E2464)</f>
        <v>9</v>
      </c>
    </row>
    <row r="2465" spans="1:6" x14ac:dyDescent="0.2">
      <c r="A2465">
        <v>2017</v>
      </c>
      <c r="B2465" s="13">
        <v>5677</v>
      </c>
      <c r="C2465" s="90" t="str">
        <f>VLOOKUP(B2465,'All Districts'!$A$3:$B$874,2,FALSE)</f>
        <v>Fort Ann</v>
      </c>
      <c r="D2465" s="16">
        <v>390557</v>
      </c>
      <c r="E2465">
        <f>VLOOKUP(C2465,'All Districts'!$B$3:$C$874,2,FALSE)</f>
        <v>3611280</v>
      </c>
      <c r="F2465" s="91">
        <f>COUNTIF($E$2:$E$7106,E2465)</f>
        <v>9</v>
      </c>
    </row>
    <row r="2466" spans="1:6" x14ac:dyDescent="0.2">
      <c r="A2466" s="10">
        <v>2018</v>
      </c>
      <c r="B2466" s="13">
        <v>5677</v>
      </c>
      <c r="C2466" s="90" t="str">
        <f>VLOOKUP(B2466,'All Districts'!$A$3:$B$874,2,FALSE)</f>
        <v>Fort Ann</v>
      </c>
      <c r="D2466" s="15">
        <v>342339</v>
      </c>
      <c r="E2466">
        <f>VLOOKUP(C2466,'All Districts'!$B$3:$C$874,2,FALSE)</f>
        <v>3611280</v>
      </c>
      <c r="F2466" s="91">
        <f>COUNTIF($E$2:$E$7106,E2466)</f>
        <v>9</v>
      </c>
    </row>
    <row r="2467" spans="1:6" x14ac:dyDescent="0.2">
      <c r="A2467">
        <v>2019</v>
      </c>
      <c r="B2467" s="36">
        <v>5677</v>
      </c>
      <c r="C2467" s="90" t="str">
        <f>VLOOKUP(B2467,'All Districts'!$A$3:$B$874,2,FALSE)</f>
        <v>Fort Ann</v>
      </c>
      <c r="D2467" s="40">
        <v>377766</v>
      </c>
      <c r="E2467">
        <f>VLOOKUP(C2467,'All Districts'!$B$3:$C$874,2,FALSE)</f>
        <v>3611280</v>
      </c>
      <c r="F2467" s="91">
        <f>COUNTIF($E$2:$E$7106,E2467)</f>
        <v>9</v>
      </c>
    </row>
    <row r="2468" spans="1:6" x14ac:dyDescent="0.2">
      <c r="A2468">
        <v>2020</v>
      </c>
      <c r="B2468" s="36">
        <v>5677</v>
      </c>
      <c r="C2468" s="90" t="str">
        <f>VLOOKUP(B2468,'All Districts'!$A$3:$B$874,2,FALSE)</f>
        <v>Fort Ann</v>
      </c>
      <c r="D2468" s="40">
        <v>326295</v>
      </c>
      <c r="E2468">
        <f>VLOOKUP(C2468,'All Districts'!$B$3:$C$874,2,FALSE)</f>
        <v>3611280</v>
      </c>
      <c r="F2468" s="91">
        <f>COUNTIF($E$2:$E$7106,E2468)</f>
        <v>9</v>
      </c>
    </row>
    <row r="2469" spans="1:6" x14ac:dyDescent="0.2">
      <c r="A2469" s="10">
        <v>2021</v>
      </c>
      <c r="B2469" s="52">
        <v>5677</v>
      </c>
      <c r="C2469" s="90" t="str">
        <f>VLOOKUP(B2469,'All Districts'!$A$3:$B$874,2,FALSE)</f>
        <v>Fort Ann</v>
      </c>
      <c r="D2469" s="76">
        <v>357026</v>
      </c>
      <c r="E2469">
        <f>VLOOKUP(C2469,'All Districts'!$B$3:$C$874,2,FALSE)</f>
        <v>3611280</v>
      </c>
      <c r="F2469" s="91">
        <f>COUNTIF($E$2:$E$7106,E2469)</f>
        <v>9</v>
      </c>
    </row>
    <row r="2470" spans="1:6" x14ac:dyDescent="0.2">
      <c r="A2470">
        <v>2022</v>
      </c>
      <c r="B2470" s="36">
        <v>5677</v>
      </c>
      <c r="C2470" s="90" t="str">
        <f>VLOOKUP(B2470,'All Districts'!$A$3:$B$874,2,FALSE)</f>
        <v>Fort Ann</v>
      </c>
      <c r="D2470" s="82">
        <v>368345</v>
      </c>
      <c r="E2470">
        <f>VLOOKUP(C2470,'All Districts'!$B$3:$C$874,2,FALSE)</f>
        <v>3611280</v>
      </c>
      <c r="F2470" s="91">
        <f>COUNTIF($E$2:$E$7106,E2470)</f>
        <v>9</v>
      </c>
    </row>
    <row r="2471" spans="1:6" x14ac:dyDescent="0.2">
      <c r="A2471">
        <v>2023</v>
      </c>
      <c r="B2471" s="36">
        <v>5677</v>
      </c>
      <c r="C2471" s="90" t="str">
        <f>VLOOKUP(B2471,'All Districts'!$A$3:$B$874,2,FALSE)</f>
        <v>Fort Ann</v>
      </c>
      <c r="D2471" s="40">
        <v>406571</v>
      </c>
      <c r="E2471">
        <f>VLOOKUP(C2471,'All Districts'!$B$3:$C$874,2,FALSE)</f>
        <v>3611280</v>
      </c>
      <c r="F2471" s="91">
        <f>COUNTIF($E$2:$E$7106,E2471)</f>
        <v>9</v>
      </c>
    </row>
    <row r="2472" spans="1:6" x14ac:dyDescent="0.2">
      <c r="A2472">
        <v>2015</v>
      </c>
      <c r="B2472" s="13">
        <v>5678</v>
      </c>
      <c r="C2472" s="90" t="str">
        <f>VLOOKUP(B2472,'All Districts'!$A$3:$B$874,2,FALSE)</f>
        <v>Fort Edward</v>
      </c>
      <c r="D2472" s="14">
        <v>677409</v>
      </c>
      <c r="E2472">
        <f>VLOOKUP(C2472,'All Districts'!$B$3:$C$874,2,FALSE)</f>
        <v>3611310</v>
      </c>
      <c r="F2472" s="91">
        <f>COUNTIF($E$2:$E$7106,E2472)</f>
        <v>9</v>
      </c>
    </row>
    <row r="2473" spans="1:6" x14ac:dyDescent="0.2">
      <c r="A2473">
        <v>2016</v>
      </c>
      <c r="B2473" s="13">
        <v>5678</v>
      </c>
      <c r="C2473" s="90" t="str">
        <f>VLOOKUP(B2473,'All Districts'!$A$3:$B$874,2,FALSE)</f>
        <v>Fort Edward</v>
      </c>
      <c r="D2473" s="16">
        <v>524195</v>
      </c>
      <c r="E2473">
        <f>VLOOKUP(C2473,'All Districts'!$B$3:$C$874,2,FALSE)</f>
        <v>3611310</v>
      </c>
      <c r="F2473" s="91">
        <f>COUNTIF($E$2:$E$7106,E2473)</f>
        <v>9</v>
      </c>
    </row>
    <row r="2474" spans="1:6" x14ac:dyDescent="0.2">
      <c r="A2474">
        <v>2017</v>
      </c>
      <c r="B2474" s="13">
        <v>5678</v>
      </c>
      <c r="C2474" s="90" t="str">
        <f>VLOOKUP(B2474,'All Districts'!$A$3:$B$874,2,FALSE)</f>
        <v>Fort Edward</v>
      </c>
      <c r="D2474" s="16">
        <v>523748</v>
      </c>
      <c r="E2474">
        <f>VLOOKUP(C2474,'All Districts'!$B$3:$C$874,2,FALSE)</f>
        <v>3611310</v>
      </c>
      <c r="F2474" s="91">
        <f>COUNTIF($E$2:$E$7106,E2474)</f>
        <v>9</v>
      </c>
    </row>
    <row r="2475" spans="1:6" x14ac:dyDescent="0.2">
      <c r="A2475" s="10">
        <v>2018</v>
      </c>
      <c r="B2475" s="13">
        <v>5678</v>
      </c>
      <c r="C2475" s="90" t="str">
        <f>VLOOKUP(B2475,'All Districts'!$A$3:$B$874,2,FALSE)</f>
        <v>Fort Edward</v>
      </c>
      <c r="D2475" s="15">
        <v>406090</v>
      </c>
      <c r="E2475">
        <f>VLOOKUP(C2475,'All Districts'!$B$3:$C$874,2,FALSE)</f>
        <v>3611310</v>
      </c>
      <c r="F2475" s="91">
        <f>COUNTIF($E$2:$E$7106,E2475)</f>
        <v>9</v>
      </c>
    </row>
    <row r="2476" spans="1:6" x14ac:dyDescent="0.2">
      <c r="A2476">
        <v>2019</v>
      </c>
      <c r="B2476" s="36">
        <v>5678</v>
      </c>
      <c r="C2476" s="90" t="str">
        <f>VLOOKUP(B2476,'All Districts'!$A$3:$B$874,2,FALSE)</f>
        <v>Fort Edward</v>
      </c>
      <c r="D2476" s="40">
        <v>461541</v>
      </c>
      <c r="E2476">
        <f>VLOOKUP(C2476,'All Districts'!$B$3:$C$874,2,FALSE)</f>
        <v>3611310</v>
      </c>
      <c r="F2476" s="91">
        <f>COUNTIF($E$2:$E$7106,E2476)</f>
        <v>9</v>
      </c>
    </row>
    <row r="2477" spans="1:6" x14ac:dyDescent="0.2">
      <c r="A2477">
        <v>2020</v>
      </c>
      <c r="B2477" s="36">
        <v>5678</v>
      </c>
      <c r="C2477" s="90" t="str">
        <f>VLOOKUP(B2477,'All Districts'!$A$3:$B$874,2,FALSE)</f>
        <v>Fort Edward</v>
      </c>
      <c r="D2477" s="40">
        <v>380844</v>
      </c>
      <c r="E2477">
        <f>VLOOKUP(C2477,'All Districts'!$B$3:$C$874,2,FALSE)</f>
        <v>3611310</v>
      </c>
      <c r="F2477" s="91">
        <f>COUNTIF($E$2:$E$7106,E2477)</f>
        <v>9</v>
      </c>
    </row>
    <row r="2478" spans="1:6" x14ac:dyDescent="0.2">
      <c r="A2478" s="10">
        <v>2021</v>
      </c>
      <c r="B2478" s="52">
        <v>5678</v>
      </c>
      <c r="C2478" s="90" t="str">
        <f>VLOOKUP(B2478,'All Districts'!$A$3:$B$874,2,FALSE)</f>
        <v>Fort Edward</v>
      </c>
      <c r="D2478" s="75">
        <v>330904</v>
      </c>
      <c r="E2478">
        <f>VLOOKUP(C2478,'All Districts'!$B$3:$C$874,2,FALSE)</f>
        <v>3611310</v>
      </c>
      <c r="F2478" s="91">
        <f>COUNTIF($E$2:$E$7106,E2478)</f>
        <v>9</v>
      </c>
    </row>
    <row r="2479" spans="1:6" x14ac:dyDescent="0.2">
      <c r="A2479">
        <v>2022</v>
      </c>
      <c r="B2479" s="36">
        <v>5678</v>
      </c>
      <c r="C2479" s="90" t="str">
        <f>VLOOKUP(B2479,'All Districts'!$A$3:$B$874,2,FALSE)</f>
        <v>Fort Edward</v>
      </c>
      <c r="D2479" s="82">
        <v>367796</v>
      </c>
      <c r="E2479">
        <f>VLOOKUP(C2479,'All Districts'!$B$3:$C$874,2,FALSE)</f>
        <v>3611310</v>
      </c>
      <c r="F2479" s="91">
        <f>COUNTIF($E$2:$E$7106,E2479)</f>
        <v>9</v>
      </c>
    </row>
    <row r="2480" spans="1:6" x14ac:dyDescent="0.2">
      <c r="A2480">
        <v>2023</v>
      </c>
      <c r="B2480" s="36">
        <v>5678</v>
      </c>
      <c r="C2480" s="90" t="str">
        <f>VLOOKUP(B2480,'All Districts'!$A$3:$B$874,2,FALSE)</f>
        <v>Fort Edward</v>
      </c>
      <c r="D2480" s="40">
        <v>438253</v>
      </c>
      <c r="E2480">
        <f>VLOOKUP(C2480,'All Districts'!$B$3:$C$874,2,FALSE)</f>
        <v>3611310</v>
      </c>
      <c r="F2480" s="91">
        <f>COUNTIF($E$2:$E$7106,E2480)</f>
        <v>9</v>
      </c>
    </row>
    <row r="2481" spans="1:6" x14ac:dyDescent="0.2">
      <c r="A2481">
        <v>2015</v>
      </c>
      <c r="B2481" s="13">
        <v>4022</v>
      </c>
      <c r="C2481" s="90" t="str">
        <f>VLOOKUP(B2481,'All Districts'!$A$3:$B$874,2,FALSE)</f>
        <v>Fort Plain</v>
      </c>
      <c r="D2481" s="14">
        <v>1122425</v>
      </c>
      <c r="E2481">
        <f>VLOOKUP(C2481,'All Districts'!$B$3:$C$874,2,FALSE)</f>
        <v>3611370</v>
      </c>
      <c r="F2481" s="91">
        <f>COUNTIF($E$2:$E$7106,E2481)</f>
        <v>9</v>
      </c>
    </row>
    <row r="2482" spans="1:6" x14ac:dyDescent="0.2">
      <c r="A2482">
        <v>2016</v>
      </c>
      <c r="B2482" s="13">
        <v>4022</v>
      </c>
      <c r="C2482" s="90" t="str">
        <f>VLOOKUP(B2482,'All Districts'!$A$3:$B$874,2,FALSE)</f>
        <v>Fort Plain</v>
      </c>
      <c r="D2482" s="16">
        <v>890199</v>
      </c>
      <c r="E2482">
        <f>VLOOKUP(C2482,'All Districts'!$B$3:$C$874,2,FALSE)</f>
        <v>3611370</v>
      </c>
      <c r="F2482" s="91">
        <f>COUNTIF($E$2:$E$7106,E2482)</f>
        <v>9</v>
      </c>
    </row>
    <row r="2483" spans="1:6" x14ac:dyDescent="0.2">
      <c r="A2483">
        <v>2017</v>
      </c>
      <c r="B2483" s="13">
        <v>4022</v>
      </c>
      <c r="C2483" s="90" t="str">
        <f>VLOOKUP(B2483,'All Districts'!$A$3:$B$874,2,FALSE)</f>
        <v>Fort Plain</v>
      </c>
      <c r="D2483" s="16">
        <v>803895</v>
      </c>
      <c r="E2483">
        <f>VLOOKUP(C2483,'All Districts'!$B$3:$C$874,2,FALSE)</f>
        <v>3611370</v>
      </c>
      <c r="F2483" s="91">
        <f>COUNTIF($E$2:$E$7106,E2483)</f>
        <v>9</v>
      </c>
    </row>
    <row r="2484" spans="1:6" x14ac:dyDescent="0.2">
      <c r="A2484" s="10">
        <v>2018</v>
      </c>
      <c r="B2484" s="13">
        <v>4022</v>
      </c>
      <c r="C2484" s="90" t="str">
        <f>VLOOKUP(B2484,'All Districts'!$A$3:$B$874,2,FALSE)</f>
        <v>Fort Plain</v>
      </c>
      <c r="D2484" s="15">
        <v>690481</v>
      </c>
      <c r="E2484">
        <f>VLOOKUP(C2484,'All Districts'!$B$3:$C$874,2,FALSE)</f>
        <v>3611370</v>
      </c>
      <c r="F2484" s="91">
        <f>COUNTIF($E$2:$E$7106,E2484)</f>
        <v>9</v>
      </c>
    </row>
    <row r="2485" spans="1:6" x14ac:dyDescent="0.2">
      <c r="A2485">
        <v>2019</v>
      </c>
      <c r="B2485" s="36">
        <v>4022</v>
      </c>
      <c r="C2485" s="90" t="str">
        <f>VLOOKUP(B2485,'All Districts'!$A$3:$B$874,2,FALSE)</f>
        <v>Fort Plain</v>
      </c>
      <c r="D2485" s="40">
        <v>772138</v>
      </c>
      <c r="E2485">
        <f>VLOOKUP(C2485,'All Districts'!$B$3:$C$874,2,FALSE)</f>
        <v>3611370</v>
      </c>
      <c r="F2485" s="91">
        <f>COUNTIF($E$2:$E$7106,E2485)</f>
        <v>9</v>
      </c>
    </row>
    <row r="2486" spans="1:6" x14ac:dyDescent="0.2">
      <c r="A2486">
        <v>2020</v>
      </c>
      <c r="B2486" s="36">
        <v>4022</v>
      </c>
      <c r="C2486" s="90" t="str">
        <f>VLOOKUP(B2486,'All Districts'!$A$3:$B$874,2,FALSE)</f>
        <v>Fort Plain</v>
      </c>
      <c r="D2486" s="40">
        <v>648599</v>
      </c>
      <c r="E2486">
        <f>VLOOKUP(C2486,'All Districts'!$B$3:$C$874,2,FALSE)</f>
        <v>3611370</v>
      </c>
      <c r="F2486" s="91">
        <f>COUNTIF($E$2:$E$7106,E2486)</f>
        <v>9</v>
      </c>
    </row>
    <row r="2487" spans="1:6" x14ac:dyDescent="0.2">
      <c r="A2487" s="10">
        <v>2021</v>
      </c>
      <c r="B2487" s="52">
        <v>4022</v>
      </c>
      <c r="C2487" s="90" t="str">
        <f>VLOOKUP(B2487,'All Districts'!$A$3:$B$874,2,FALSE)</f>
        <v>Fort Plain</v>
      </c>
      <c r="D2487" s="76">
        <v>694096</v>
      </c>
      <c r="E2487">
        <f>VLOOKUP(C2487,'All Districts'!$B$3:$C$874,2,FALSE)</f>
        <v>3611370</v>
      </c>
      <c r="F2487" s="91">
        <f>COUNTIF($E$2:$E$7106,E2487)</f>
        <v>9</v>
      </c>
    </row>
    <row r="2488" spans="1:6" x14ac:dyDescent="0.2">
      <c r="A2488">
        <v>2022</v>
      </c>
      <c r="B2488" s="36">
        <v>4022</v>
      </c>
      <c r="C2488" s="90" t="str">
        <f>VLOOKUP(B2488,'All Districts'!$A$3:$B$874,2,FALSE)</f>
        <v>Fort Plain</v>
      </c>
      <c r="D2488" s="82">
        <v>717016</v>
      </c>
      <c r="E2488">
        <f>VLOOKUP(C2488,'All Districts'!$B$3:$C$874,2,FALSE)</f>
        <v>3611370</v>
      </c>
      <c r="F2488" s="91">
        <f>COUNTIF($E$2:$E$7106,E2488)</f>
        <v>9</v>
      </c>
    </row>
    <row r="2489" spans="1:6" x14ac:dyDescent="0.2">
      <c r="A2489">
        <v>2023</v>
      </c>
      <c r="B2489" s="36">
        <v>4022</v>
      </c>
      <c r="C2489" s="90" t="str">
        <f>VLOOKUP(B2489,'All Districts'!$A$3:$B$874,2,FALSE)</f>
        <v>Fort Plain</v>
      </c>
      <c r="D2489" s="40">
        <v>773727</v>
      </c>
      <c r="E2489">
        <f>VLOOKUP(C2489,'All Districts'!$B$3:$C$874,2,FALSE)</f>
        <v>3611370</v>
      </c>
      <c r="F2489" s="91">
        <f>COUNTIF($E$2:$E$7106,E2489)</f>
        <v>9</v>
      </c>
    </row>
    <row r="2490" spans="1:6" x14ac:dyDescent="0.2">
      <c r="A2490">
        <v>2015</v>
      </c>
      <c r="B2490" s="13">
        <v>2175</v>
      </c>
      <c r="C2490" s="90" t="str">
        <f>VLOOKUP(B2490,'All Districts'!$A$3:$B$874,2,FALSE)</f>
        <v>Frankfort-Schuyler</v>
      </c>
      <c r="D2490" s="14">
        <v>983829</v>
      </c>
      <c r="E2490">
        <f>VLOOKUP(C2490,'All Districts'!$B$3:$C$874,2,FALSE)</f>
        <v>3611400</v>
      </c>
      <c r="F2490" s="91">
        <f>COUNTIF($E$2:$E$7106,E2490)</f>
        <v>9</v>
      </c>
    </row>
    <row r="2491" spans="1:6" x14ac:dyDescent="0.2">
      <c r="A2491">
        <v>2016</v>
      </c>
      <c r="B2491" s="13">
        <v>2175</v>
      </c>
      <c r="C2491" s="90" t="str">
        <f>VLOOKUP(B2491,'All Districts'!$A$3:$B$874,2,FALSE)</f>
        <v>Frankfort-Schuyler</v>
      </c>
      <c r="D2491" s="16">
        <v>760023</v>
      </c>
      <c r="E2491">
        <f>VLOOKUP(C2491,'All Districts'!$B$3:$C$874,2,FALSE)</f>
        <v>3611400</v>
      </c>
      <c r="F2491" s="91">
        <f>COUNTIF($E$2:$E$7106,E2491)</f>
        <v>9</v>
      </c>
    </row>
    <row r="2492" spans="1:6" x14ac:dyDescent="0.2">
      <c r="A2492">
        <v>2017</v>
      </c>
      <c r="B2492" s="13">
        <v>2175</v>
      </c>
      <c r="C2492" s="90" t="str">
        <f>VLOOKUP(B2492,'All Districts'!$A$3:$B$874,2,FALSE)</f>
        <v>Frankfort-Schuyler</v>
      </c>
      <c r="D2492" s="16">
        <v>684402</v>
      </c>
      <c r="E2492">
        <f>VLOOKUP(C2492,'All Districts'!$B$3:$C$874,2,FALSE)</f>
        <v>3611400</v>
      </c>
      <c r="F2492" s="91">
        <f>COUNTIF($E$2:$E$7106,E2492)</f>
        <v>9</v>
      </c>
    </row>
    <row r="2493" spans="1:6" x14ac:dyDescent="0.2">
      <c r="A2493" s="10">
        <v>2018</v>
      </c>
      <c r="B2493" s="13">
        <v>2175</v>
      </c>
      <c r="C2493" s="90" t="str">
        <f>VLOOKUP(B2493,'All Districts'!$A$3:$B$874,2,FALSE)</f>
        <v>Frankfort-Schuyler</v>
      </c>
      <c r="D2493" s="15">
        <v>596731</v>
      </c>
      <c r="E2493">
        <f>VLOOKUP(C2493,'All Districts'!$B$3:$C$874,2,FALSE)</f>
        <v>3611400</v>
      </c>
      <c r="F2493" s="91">
        <f>COUNTIF($E$2:$E$7106,E2493)</f>
        <v>9</v>
      </c>
    </row>
    <row r="2494" spans="1:6" x14ac:dyDescent="0.2">
      <c r="A2494">
        <v>2019</v>
      </c>
      <c r="B2494" s="36">
        <v>2175</v>
      </c>
      <c r="C2494" s="90" t="str">
        <f>VLOOKUP(B2494,'All Districts'!$A$3:$B$874,2,FALSE)</f>
        <v>Frankfort-Schuyler</v>
      </c>
      <c r="D2494" s="40">
        <v>649051</v>
      </c>
      <c r="E2494">
        <f>VLOOKUP(C2494,'All Districts'!$B$3:$C$874,2,FALSE)</f>
        <v>3611400</v>
      </c>
      <c r="F2494" s="91">
        <f>COUNTIF($E$2:$E$7106,E2494)</f>
        <v>9</v>
      </c>
    </row>
    <row r="2495" spans="1:6" x14ac:dyDescent="0.2">
      <c r="A2495">
        <v>2020</v>
      </c>
      <c r="B2495" s="36">
        <v>2175</v>
      </c>
      <c r="C2495" s="90" t="str">
        <f>VLOOKUP(B2495,'All Districts'!$A$3:$B$874,2,FALSE)</f>
        <v>Frankfort-Schuyler</v>
      </c>
      <c r="D2495" s="40">
        <v>555591</v>
      </c>
      <c r="E2495">
        <f>VLOOKUP(C2495,'All Districts'!$B$3:$C$874,2,FALSE)</f>
        <v>3611400</v>
      </c>
      <c r="F2495" s="91">
        <f>COUNTIF($E$2:$E$7106,E2495)</f>
        <v>9</v>
      </c>
    </row>
    <row r="2496" spans="1:6" x14ac:dyDescent="0.2">
      <c r="A2496" s="10">
        <v>2021</v>
      </c>
      <c r="B2496" s="52">
        <v>2175</v>
      </c>
      <c r="C2496" s="90" t="str">
        <f>VLOOKUP(B2496,'All Districts'!$A$3:$B$874,2,FALSE)</f>
        <v>Frankfort-Schuyler</v>
      </c>
      <c r="D2496" s="76">
        <v>593794</v>
      </c>
      <c r="E2496">
        <f>VLOOKUP(C2496,'All Districts'!$B$3:$C$874,2,FALSE)</f>
        <v>3611400</v>
      </c>
      <c r="F2496" s="91">
        <f>COUNTIF($E$2:$E$7106,E2496)</f>
        <v>9</v>
      </c>
    </row>
    <row r="2497" spans="1:6" x14ac:dyDescent="0.2">
      <c r="A2497">
        <v>2022</v>
      </c>
      <c r="B2497" s="36">
        <v>2175</v>
      </c>
      <c r="C2497" s="90" t="str">
        <f>VLOOKUP(B2497,'All Districts'!$A$3:$B$874,2,FALSE)</f>
        <v>Frankfort-Schuyler</v>
      </c>
      <c r="D2497" s="82">
        <v>664661</v>
      </c>
      <c r="E2497">
        <f>VLOOKUP(C2497,'All Districts'!$B$3:$C$874,2,FALSE)</f>
        <v>3611400</v>
      </c>
      <c r="F2497" s="91">
        <f>COUNTIF($E$2:$E$7106,E2497)</f>
        <v>9</v>
      </c>
    </row>
    <row r="2498" spans="1:6" x14ac:dyDescent="0.2">
      <c r="A2498">
        <v>2023</v>
      </c>
      <c r="B2498" s="36">
        <v>2175</v>
      </c>
      <c r="C2498" s="90" t="str">
        <f>VLOOKUP(B2498,'All Districts'!$A$3:$B$874,2,FALSE)</f>
        <v>Frankfort-Schuyler</v>
      </c>
      <c r="D2498" s="40">
        <v>715358</v>
      </c>
      <c r="E2498">
        <f>VLOOKUP(C2498,'All Districts'!$B$3:$C$874,2,FALSE)</f>
        <v>3611400</v>
      </c>
      <c r="F2498" s="91">
        <f>COUNTIF($E$2:$E$7106,E2498)</f>
        <v>9</v>
      </c>
    </row>
    <row r="2499" spans="1:6" x14ac:dyDescent="0.2">
      <c r="A2499">
        <v>2015</v>
      </c>
      <c r="B2499" s="13">
        <v>3552</v>
      </c>
      <c r="C2499" s="90" t="str">
        <f>VLOOKUP(B2499,'All Districts'!$A$3:$B$874,2,FALSE)</f>
        <v>Franklin</v>
      </c>
      <c r="D2499" s="14">
        <v>337106</v>
      </c>
      <c r="E2499">
        <f>VLOOKUP(C2499,'All Districts'!$B$3:$C$874,2,FALSE)</f>
        <v>3611430</v>
      </c>
      <c r="F2499" s="91">
        <f>COUNTIF($E$2:$E$7106,E2499)</f>
        <v>9</v>
      </c>
    </row>
    <row r="2500" spans="1:6" x14ac:dyDescent="0.2">
      <c r="A2500">
        <v>2016</v>
      </c>
      <c r="B2500" s="13">
        <v>3552</v>
      </c>
      <c r="C2500" s="90" t="str">
        <f>VLOOKUP(B2500,'All Districts'!$A$3:$B$874,2,FALSE)</f>
        <v>Franklin</v>
      </c>
      <c r="D2500" s="16">
        <v>268029</v>
      </c>
      <c r="E2500">
        <f>VLOOKUP(C2500,'All Districts'!$B$3:$C$874,2,FALSE)</f>
        <v>3611430</v>
      </c>
      <c r="F2500" s="91">
        <f>COUNTIF($E$2:$E$7106,E2500)</f>
        <v>9</v>
      </c>
    </row>
    <row r="2501" spans="1:6" x14ac:dyDescent="0.2">
      <c r="A2501">
        <v>2017</v>
      </c>
      <c r="B2501" s="13">
        <v>3552</v>
      </c>
      <c r="C2501" s="90" t="str">
        <f>VLOOKUP(B2501,'All Districts'!$A$3:$B$874,2,FALSE)</f>
        <v>Franklin</v>
      </c>
      <c r="D2501" s="16">
        <v>202706</v>
      </c>
      <c r="E2501">
        <f>VLOOKUP(C2501,'All Districts'!$B$3:$C$874,2,FALSE)</f>
        <v>3611430</v>
      </c>
      <c r="F2501" s="91">
        <f>COUNTIF($E$2:$E$7106,E2501)</f>
        <v>9</v>
      </c>
    </row>
    <row r="2502" spans="1:6" x14ac:dyDescent="0.2">
      <c r="A2502" s="10">
        <v>2018</v>
      </c>
      <c r="B2502" s="13">
        <v>3552</v>
      </c>
      <c r="C2502" s="90" t="str">
        <f>VLOOKUP(B2502,'All Districts'!$A$3:$B$874,2,FALSE)</f>
        <v>Franklin</v>
      </c>
      <c r="D2502" s="15">
        <v>182395</v>
      </c>
      <c r="E2502">
        <f>VLOOKUP(C2502,'All Districts'!$B$3:$C$874,2,FALSE)</f>
        <v>3611430</v>
      </c>
      <c r="F2502" s="91">
        <f>COUNTIF($E$2:$E$7106,E2502)</f>
        <v>9</v>
      </c>
    </row>
    <row r="2503" spans="1:6" x14ac:dyDescent="0.2">
      <c r="A2503">
        <v>2019</v>
      </c>
      <c r="B2503" s="36">
        <v>3552</v>
      </c>
      <c r="C2503" s="90" t="str">
        <f>VLOOKUP(B2503,'All Districts'!$A$3:$B$874,2,FALSE)</f>
        <v>Franklin</v>
      </c>
      <c r="D2503" s="40">
        <v>199104</v>
      </c>
      <c r="E2503">
        <f>VLOOKUP(C2503,'All Districts'!$B$3:$C$874,2,FALSE)</f>
        <v>3611430</v>
      </c>
      <c r="F2503" s="91">
        <f>COUNTIF($E$2:$E$7106,E2503)</f>
        <v>9</v>
      </c>
    </row>
    <row r="2504" spans="1:6" x14ac:dyDescent="0.2">
      <c r="A2504">
        <v>2020</v>
      </c>
      <c r="B2504" s="36">
        <v>3552</v>
      </c>
      <c r="C2504" s="90" t="str">
        <f>VLOOKUP(B2504,'All Districts'!$A$3:$B$874,2,FALSE)</f>
        <v>Franklin</v>
      </c>
      <c r="D2504" s="40">
        <v>170018</v>
      </c>
      <c r="E2504">
        <f>VLOOKUP(C2504,'All Districts'!$B$3:$C$874,2,FALSE)</f>
        <v>3611430</v>
      </c>
      <c r="F2504" s="91">
        <f>COUNTIF($E$2:$E$7106,E2504)</f>
        <v>9</v>
      </c>
    </row>
    <row r="2505" spans="1:6" x14ac:dyDescent="0.2">
      <c r="A2505" s="10">
        <v>2021</v>
      </c>
      <c r="B2505" s="52">
        <v>3552</v>
      </c>
      <c r="C2505" s="90" t="str">
        <f>VLOOKUP(B2505,'All Districts'!$A$3:$B$874,2,FALSE)</f>
        <v>Franklin</v>
      </c>
      <c r="D2505" s="76">
        <v>173481</v>
      </c>
      <c r="E2505">
        <f>VLOOKUP(C2505,'All Districts'!$B$3:$C$874,2,FALSE)</f>
        <v>3611430</v>
      </c>
      <c r="F2505" s="91">
        <f>COUNTIF($E$2:$E$7106,E2505)</f>
        <v>9</v>
      </c>
    </row>
    <row r="2506" spans="1:6" x14ac:dyDescent="0.2">
      <c r="A2506">
        <v>2022</v>
      </c>
      <c r="B2506" s="36">
        <v>3552</v>
      </c>
      <c r="C2506" s="90" t="str">
        <f>VLOOKUP(B2506,'All Districts'!$A$3:$B$874,2,FALSE)</f>
        <v>Franklin</v>
      </c>
      <c r="D2506" s="82">
        <v>199438</v>
      </c>
      <c r="E2506">
        <f>VLOOKUP(C2506,'All Districts'!$B$3:$C$874,2,FALSE)</f>
        <v>3611430</v>
      </c>
      <c r="F2506" s="91">
        <f>COUNTIF($E$2:$E$7106,E2506)</f>
        <v>9</v>
      </c>
    </row>
    <row r="2507" spans="1:6" x14ac:dyDescent="0.2">
      <c r="A2507">
        <v>2023</v>
      </c>
      <c r="B2507" s="36">
        <v>3552</v>
      </c>
      <c r="C2507" s="90" t="str">
        <f>VLOOKUP(B2507,'All Districts'!$A$3:$B$874,2,FALSE)</f>
        <v>Franklin</v>
      </c>
      <c r="D2507" s="40">
        <v>207202</v>
      </c>
      <c r="E2507">
        <f>VLOOKUP(C2507,'All Districts'!$B$3:$C$874,2,FALSE)</f>
        <v>3611430</v>
      </c>
      <c r="F2507" s="91">
        <f>COUNTIF($E$2:$E$7106,E2507)</f>
        <v>9</v>
      </c>
    </row>
    <row r="2508" spans="1:6" x14ac:dyDescent="0.2">
      <c r="A2508">
        <v>2015</v>
      </c>
      <c r="B2508" s="13">
        <v>4357</v>
      </c>
      <c r="C2508" s="90" t="str">
        <f>VLOOKUP(B2508,'All Districts'!$A$3:$B$874,2,FALSE)</f>
        <v>Franklin Square</v>
      </c>
      <c r="D2508" s="14">
        <v>2857229</v>
      </c>
      <c r="E2508">
        <f>VLOOKUP(C2508,'All Districts'!$B$3:$C$874,2,FALSE)</f>
        <v>3611460</v>
      </c>
      <c r="F2508" s="91">
        <f>COUNTIF($E$2:$E$7106,E2508)</f>
        <v>9</v>
      </c>
    </row>
    <row r="2509" spans="1:6" x14ac:dyDescent="0.2">
      <c r="A2509">
        <v>2016</v>
      </c>
      <c r="B2509" s="13">
        <v>4357</v>
      </c>
      <c r="C2509" s="90" t="str">
        <f>VLOOKUP(B2509,'All Districts'!$A$3:$B$874,2,FALSE)</f>
        <v>Franklin Square</v>
      </c>
      <c r="D2509" s="16">
        <v>2228707</v>
      </c>
      <c r="E2509">
        <f>VLOOKUP(C2509,'All Districts'!$B$3:$C$874,2,FALSE)</f>
        <v>3611460</v>
      </c>
      <c r="F2509" s="91">
        <f>COUNTIF($E$2:$E$7106,E2509)</f>
        <v>9</v>
      </c>
    </row>
    <row r="2510" spans="1:6" x14ac:dyDescent="0.2">
      <c r="A2510">
        <v>2017</v>
      </c>
      <c r="B2510" s="13">
        <v>4357</v>
      </c>
      <c r="C2510" s="90" t="str">
        <f>VLOOKUP(B2510,'All Districts'!$A$3:$B$874,2,FALSE)</f>
        <v>Franklin Square</v>
      </c>
      <c r="D2510" s="16">
        <v>1972323</v>
      </c>
      <c r="E2510">
        <f>VLOOKUP(C2510,'All Districts'!$B$3:$C$874,2,FALSE)</f>
        <v>3611460</v>
      </c>
      <c r="F2510" s="91">
        <f>COUNTIF($E$2:$E$7106,E2510)</f>
        <v>9</v>
      </c>
    </row>
    <row r="2511" spans="1:6" x14ac:dyDescent="0.2">
      <c r="A2511" s="10">
        <v>2018</v>
      </c>
      <c r="B2511" s="13">
        <v>4357</v>
      </c>
      <c r="C2511" s="90" t="str">
        <f>VLOOKUP(B2511,'All Districts'!$A$3:$B$874,2,FALSE)</f>
        <v>Franklin Square</v>
      </c>
      <c r="D2511" s="15">
        <v>1634412</v>
      </c>
      <c r="E2511">
        <f>VLOOKUP(C2511,'All Districts'!$B$3:$C$874,2,FALSE)</f>
        <v>3611460</v>
      </c>
      <c r="F2511" s="91">
        <f>COUNTIF($E$2:$E$7106,E2511)</f>
        <v>9</v>
      </c>
    </row>
    <row r="2512" spans="1:6" x14ac:dyDescent="0.2">
      <c r="A2512">
        <v>2019</v>
      </c>
      <c r="B2512" s="36">
        <v>4357</v>
      </c>
      <c r="C2512" s="90" t="str">
        <f>VLOOKUP(B2512,'All Districts'!$A$3:$B$874,2,FALSE)</f>
        <v>Franklin Square</v>
      </c>
      <c r="D2512" s="40">
        <v>1788723</v>
      </c>
      <c r="E2512">
        <f>VLOOKUP(C2512,'All Districts'!$B$3:$C$874,2,FALSE)</f>
        <v>3611460</v>
      </c>
      <c r="F2512" s="91">
        <f>COUNTIF($E$2:$E$7106,E2512)</f>
        <v>9</v>
      </c>
    </row>
    <row r="2513" spans="1:6" x14ac:dyDescent="0.2">
      <c r="A2513">
        <v>2020</v>
      </c>
      <c r="B2513" s="36">
        <v>4357</v>
      </c>
      <c r="C2513" s="90" t="str">
        <f>VLOOKUP(B2513,'All Districts'!$A$3:$B$874,2,FALSE)</f>
        <v>Franklin Square</v>
      </c>
      <c r="D2513" s="40">
        <v>1529875</v>
      </c>
      <c r="E2513">
        <f>VLOOKUP(C2513,'All Districts'!$B$3:$C$874,2,FALSE)</f>
        <v>3611460</v>
      </c>
      <c r="F2513" s="91">
        <f>COUNTIF($E$2:$E$7106,E2513)</f>
        <v>9</v>
      </c>
    </row>
    <row r="2514" spans="1:6" x14ac:dyDescent="0.2">
      <c r="A2514" s="10">
        <v>2021</v>
      </c>
      <c r="B2514" s="52">
        <v>4357</v>
      </c>
      <c r="C2514" s="90" t="str">
        <f>VLOOKUP(B2514,'All Districts'!$A$3:$B$874,2,FALSE)</f>
        <v>Franklin Square</v>
      </c>
      <c r="D2514" s="76">
        <v>1596163</v>
      </c>
      <c r="E2514">
        <f>VLOOKUP(C2514,'All Districts'!$B$3:$C$874,2,FALSE)</f>
        <v>3611460</v>
      </c>
      <c r="F2514" s="91">
        <f>COUNTIF($E$2:$E$7106,E2514)</f>
        <v>9</v>
      </c>
    </row>
    <row r="2515" spans="1:6" x14ac:dyDescent="0.2">
      <c r="A2515">
        <v>2022</v>
      </c>
      <c r="B2515" s="36">
        <v>4357</v>
      </c>
      <c r="C2515" s="90" t="str">
        <f>VLOOKUP(B2515,'All Districts'!$A$3:$B$874,2,FALSE)</f>
        <v>Franklin Square</v>
      </c>
      <c r="D2515" s="82">
        <v>1753180</v>
      </c>
      <c r="E2515">
        <f>VLOOKUP(C2515,'All Districts'!$B$3:$C$874,2,FALSE)</f>
        <v>3611460</v>
      </c>
      <c r="F2515" s="91">
        <f>COUNTIF($E$2:$E$7106,E2515)</f>
        <v>9</v>
      </c>
    </row>
    <row r="2516" spans="1:6" x14ac:dyDescent="0.2">
      <c r="A2516">
        <v>2023</v>
      </c>
      <c r="B2516" s="36">
        <v>4357</v>
      </c>
      <c r="C2516" s="90" t="str">
        <f>VLOOKUP(B2516,'All Districts'!$A$3:$B$874,2,FALSE)</f>
        <v>Franklin Square</v>
      </c>
      <c r="D2516" s="40">
        <v>1931211</v>
      </c>
      <c r="E2516">
        <f>VLOOKUP(C2516,'All Districts'!$B$3:$C$874,2,FALSE)</f>
        <v>3611460</v>
      </c>
      <c r="F2516" s="91">
        <f>COUNTIF($E$2:$E$7106,E2516)</f>
        <v>9</v>
      </c>
    </row>
    <row r="2517" spans="1:6" x14ac:dyDescent="0.2">
      <c r="A2517">
        <v>2015</v>
      </c>
      <c r="B2517" s="13">
        <v>6036</v>
      </c>
      <c r="C2517" s="90" t="str">
        <f>VLOOKUP(B2517,'All Districts'!$A$3:$B$874,2,FALSE)</f>
        <v>Franklin-Essex-Hamilton</v>
      </c>
      <c r="D2517" s="15">
        <v>892111</v>
      </c>
      <c r="E2517">
        <f>VLOOKUP(C2517,'All Districts'!$B$3:$C$874,2,FALSE)</f>
        <v>3680340</v>
      </c>
      <c r="F2517" s="91">
        <f>COUNTIF($E$2:$E$7106,E2517)</f>
        <v>9</v>
      </c>
    </row>
    <row r="2518" spans="1:6" x14ac:dyDescent="0.2">
      <c r="A2518">
        <v>2016</v>
      </c>
      <c r="B2518" s="13">
        <v>6036</v>
      </c>
      <c r="C2518" s="90" t="str">
        <f>VLOOKUP(B2518,'All Districts'!$A$3:$B$874,2,FALSE)</f>
        <v>Franklin-Essex-Hamilton</v>
      </c>
      <c r="D2518" s="16">
        <v>621361</v>
      </c>
      <c r="E2518">
        <f>VLOOKUP(C2518,'All Districts'!$B$3:$C$874,2,FALSE)</f>
        <v>3680340</v>
      </c>
      <c r="F2518" s="91">
        <f>COUNTIF($E$2:$E$7106,E2518)</f>
        <v>9</v>
      </c>
    </row>
    <row r="2519" spans="1:6" x14ac:dyDescent="0.2">
      <c r="A2519">
        <v>2017</v>
      </c>
      <c r="B2519" s="13">
        <v>6036</v>
      </c>
      <c r="C2519" s="90" t="str">
        <f>VLOOKUP(B2519,'All Districts'!$A$3:$B$874,2,FALSE)</f>
        <v>Franklin-Essex-Hamilton</v>
      </c>
      <c r="D2519" s="16">
        <v>521981</v>
      </c>
      <c r="E2519">
        <f>VLOOKUP(C2519,'All Districts'!$B$3:$C$874,2,FALSE)</f>
        <v>3680340</v>
      </c>
      <c r="F2519" s="91">
        <f>COUNTIF($E$2:$E$7106,E2519)</f>
        <v>9</v>
      </c>
    </row>
    <row r="2520" spans="1:6" x14ac:dyDescent="0.2">
      <c r="A2520" s="10">
        <v>2018</v>
      </c>
      <c r="B2520" s="13">
        <v>6036</v>
      </c>
      <c r="C2520" s="90" t="str">
        <f>VLOOKUP(B2520,'All Districts'!$A$3:$B$874,2,FALSE)</f>
        <v>Franklin-Essex-Hamilton</v>
      </c>
      <c r="D2520" s="15">
        <v>451113</v>
      </c>
      <c r="E2520">
        <f>VLOOKUP(C2520,'All Districts'!$B$3:$C$874,2,FALSE)</f>
        <v>3680340</v>
      </c>
      <c r="F2520" s="91">
        <f>COUNTIF($E$2:$E$7106,E2520)</f>
        <v>9</v>
      </c>
    </row>
    <row r="2521" spans="1:6" x14ac:dyDescent="0.2">
      <c r="A2521">
        <v>2019</v>
      </c>
      <c r="B2521" s="36">
        <v>6036</v>
      </c>
      <c r="C2521" s="90" t="str">
        <f>VLOOKUP(B2521,'All Districts'!$A$3:$B$874,2,FALSE)</f>
        <v>Franklin-Essex-Hamilton</v>
      </c>
      <c r="D2521" s="40">
        <v>485684</v>
      </c>
      <c r="E2521">
        <f>VLOOKUP(C2521,'All Districts'!$B$3:$C$874,2,FALSE)</f>
        <v>3680340</v>
      </c>
      <c r="F2521" s="91">
        <f>COUNTIF($E$2:$E$7106,E2521)</f>
        <v>9</v>
      </c>
    </row>
    <row r="2522" spans="1:6" x14ac:dyDescent="0.2">
      <c r="A2522">
        <v>2020</v>
      </c>
      <c r="B2522" s="36">
        <v>6036</v>
      </c>
      <c r="C2522" s="90" t="str">
        <f>VLOOKUP(B2522,'All Districts'!$A$3:$B$874,2,FALSE)</f>
        <v>Franklin-Essex-Hamilton</v>
      </c>
      <c r="D2522" s="40">
        <v>372955</v>
      </c>
      <c r="E2522">
        <f>VLOOKUP(C2522,'All Districts'!$B$3:$C$874,2,FALSE)</f>
        <v>3680340</v>
      </c>
      <c r="F2522" s="91">
        <f>COUNTIF($E$2:$E$7106,E2522)</f>
        <v>9</v>
      </c>
    </row>
    <row r="2523" spans="1:6" x14ac:dyDescent="0.2">
      <c r="A2523" s="10">
        <v>2021</v>
      </c>
      <c r="B2523" s="52">
        <v>6036</v>
      </c>
      <c r="C2523" s="90" t="str">
        <f>VLOOKUP(B2523,'All Districts'!$A$3:$B$874,2,FALSE)</f>
        <v>Franklin-Essex-Hamilton</v>
      </c>
      <c r="D2523" s="76">
        <v>381060</v>
      </c>
      <c r="E2523">
        <f>VLOOKUP(C2523,'All Districts'!$B$3:$C$874,2,FALSE)</f>
        <v>3680340</v>
      </c>
      <c r="F2523" s="91">
        <f>COUNTIF($E$2:$E$7106,E2523)</f>
        <v>9</v>
      </c>
    </row>
    <row r="2524" spans="1:6" x14ac:dyDescent="0.2">
      <c r="A2524">
        <v>2022</v>
      </c>
      <c r="B2524" s="36">
        <v>6036</v>
      </c>
      <c r="C2524" s="90" t="str">
        <f>VLOOKUP(B2524,'All Districts'!$A$3:$B$874,2,FALSE)</f>
        <v>Franklin-Essex-Hamilton</v>
      </c>
      <c r="D2524" s="82">
        <v>401577</v>
      </c>
      <c r="E2524">
        <f>VLOOKUP(C2524,'All Districts'!$B$3:$C$874,2,FALSE)</f>
        <v>3680340</v>
      </c>
      <c r="F2524" s="91">
        <f>COUNTIF($E$2:$E$7106,E2524)</f>
        <v>9</v>
      </c>
    </row>
    <row r="2525" spans="1:6" x14ac:dyDescent="0.2">
      <c r="A2525">
        <v>2023</v>
      </c>
      <c r="B2525" s="36">
        <v>6036</v>
      </c>
      <c r="C2525" s="90" t="str">
        <f>VLOOKUP(B2525,'All Districts'!$A$3:$B$874,2,FALSE)</f>
        <v>Franklin-Essex-Hamilton</v>
      </c>
      <c r="D2525" s="40">
        <v>426861</v>
      </c>
      <c r="E2525">
        <f>VLOOKUP(C2525,'All Districts'!$B$3:$C$874,2,FALSE)</f>
        <v>3680340</v>
      </c>
      <c r="F2525" s="91">
        <f>COUNTIF($E$2:$E$7106,E2525)</f>
        <v>9</v>
      </c>
    </row>
    <row r="2526" spans="1:6" x14ac:dyDescent="0.2">
      <c r="A2526">
        <v>2015</v>
      </c>
      <c r="B2526" s="13">
        <v>3204</v>
      </c>
      <c r="C2526" s="90" t="str">
        <f>VLOOKUP(B2526,'All Districts'!$A$3:$B$874,2,FALSE)</f>
        <v>Franklinville</v>
      </c>
      <c r="D2526" s="14">
        <v>912914</v>
      </c>
      <c r="E2526">
        <f>VLOOKUP(C2526,'All Districts'!$B$3:$C$874,2,FALSE)</f>
        <v>3611490</v>
      </c>
      <c r="F2526" s="91">
        <f>COUNTIF($E$2:$E$7106,E2526)</f>
        <v>9</v>
      </c>
    </row>
    <row r="2527" spans="1:6" x14ac:dyDescent="0.2">
      <c r="A2527">
        <v>2016</v>
      </c>
      <c r="B2527" s="13">
        <v>3204</v>
      </c>
      <c r="C2527" s="90" t="str">
        <f>VLOOKUP(B2527,'All Districts'!$A$3:$B$874,2,FALSE)</f>
        <v>Franklinville</v>
      </c>
      <c r="D2527" s="16">
        <v>698713</v>
      </c>
      <c r="E2527">
        <f>VLOOKUP(C2527,'All Districts'!$B$3:$C$874,2,FALSE)</f>
        <v>3611490</v>
      </c>
      <c r="F2527" s="91">
        <f>COUNTIF($E$2:$E$7106,E2527)</f>
        <v>9</v>
      </c>
    </row>
    <row r="2528" spans="1:6" x14ac:dyDescent="0.2">
      <c r="A2528">
        <v>2017</v>
      </c>
      <c r="B2528" s="13">
        <v>3204</v>
      </c>
      <c r="C2528" s="90" t="str">
        <f>VLOOKUP(B2528,'All Districts'!$A$3:$B$874,2,FALSE)</f>
        <v>Franklinville</v>
      </c>
      <c r="D2528" s="16">
        <v>615101</v>
      </c>
      <c r="E2528">
        <f>VLOOKUP(C2528,'All Districts'!$B$3:$C$874,2,FALSE)</f>
        <v>3611490</v>
      </c>
      <c r="F2528" s="91">
        <f>COUNTIF($E$2:$E$7106,E2528)</f>
        <v>9</v>
      </c>
    </row>
    <row r="2529" spans="1:6" x14ac:dyDescent="0.2">
      <c r="A2529" s="10">
        <v>2018</v>
      </c>
      <c r="B2529" s="13">
        <v>3204</v>
      </c>
      <c r="C2529" s="90" t="str">
        <f>VLOOKUP(B2529,'All Districts'!$A$3:$B$874,2,FALSE)</f>
        <v>Franklinville</v>
      </c>
      <c r="D2529" s="15">
        <v>548020</v>
      </c>
      <c r="E2529">
        <f>VLOOKUP(C2529,'All Districts'!$B$3:$C$874,2,FALSE)</f>
        <v>3611490</v>
      </c>
      <c r="F2529" s="91">
        <f>COUNTIF($E$2:$E$7106,E2529)</f>
        <v>9</v>
      </c>
    </row>
    <row r="2530" spans="1:6" x14ac:dyDescent="0.2">
      <c r="A2530">
        <v>2019</v>
      </c>
      <c r="B2530" s="36">
        <v>3204</v>
      </c>
      <c r="C2530" s="90" t="str">
        <f>VLOOKUP(B2530,'All Districts'!$A$3:$B$874,2,FALSE)</f>
        <v>Franklinville</v>
      </c>
      <c r="D2530" s="40">
        <v>601170</v>
      </c>
      <c r="E2530">
        <f>VLOOKUP(C2530,'All Districts'!$B$3:$C$874,2,FALSE)</f>
        <v>3611490</v>
      </c>
      <c r="F2530" s="91">
        <f>COUNTIF($E$2:$E$7106,E2530)</f>
        <v>9</v>
      </c>
    </row>
    <row r="2531" spans="1:6" x14ac:dyDescent="0.2">
      <c r="A2531">
        <v>2020</v>
      </c>
      <c r="B2531" s="36">
        <v>3204</v>
      </c>
      <c r="C2531" s="90" t="str">
        <f>VLOOKUP(B2531,'All Districts'!$A$3:$B$874,2,FALSE)</f>
        <v>Franklinville</v>
      </c>
      <c r="D2531" s="40">
        <v>510947</v>
      </c>
      <c r="E2531">
        <f>VLOOKUP(C2531,'All Districts'!$B$3:$C$874,2,FALSE)</f>
        <v>3611490</v>
      </c>
      <c r="F2531" s="91">
        <f>COUNTIF($E$2:$E$7106,E2531)</f>
        <v>9</v>
      </c>
    </row>
    <row r="2532" spans="1:6" x14ac:dyDescent="0.2">
      <c r="A2532" s="10">
        <v>2021</v>
      </c>
      <c r="B2532" s="55">
        <v>3204</v>
      </c>
      <c r="C2532" s="90" t="str">
        <f>VLOOKUP(B2532,'All Districts'!$A$3:$B$874,2,FALSE)</f>
        <v>Franklinville</v>
      </c>
      <c r="D2532" s="76">
        <v>551918</v>
      </c>
      <c r="E2532">
        <f>VLOOKUP(C2532,'All Districts'!$B$3:$C$874,2,FALSE)</f>
        <v>3611490</v>
      </c>
      <c r="F2532" s="91">
        <f>COUNTIF($E$2:$E$7106,E2532)</f>
        <v>9</v>
      </c>
    </row>
    <row r="2533" spans="1:6" x14ac:dyDescent="0.2">
      <c r="A2533">
        <v>2022</v>
      </c>
      <c r="B2533" s="36">
        <v>3204</v>
      </c>
      <c r="C2533" s="90" t="str">
        <f>VLOOKUP(B2533,'All Districts'!$A$3:$B$874,2,FALSE)</f>
        <v>Franklinville</v>
      </c>
      <c r="D2533" s="82">
        <v>545789</v>
      </c>
      <c r="E2533">
        <f>VLOOKUP(C2533,'All Districts'!$B$3:$C$874,2,FALSE)</f>
        <v>3611490</v>
      </c>
      <c r="F2533" s="91">
        <f>COUNTIF($E$2:$E$7106,E2533)</f>
        <v>9</v>
      </c>
    </row>
    <row r="2534" spans="1:6" x14ac:dyDescent="0.2">
      <c r="A2534">
        <v>2023</v>
      </c>
      <c r="B2534" s="36">
        <v>3204</v>
      </c>
      <c r="C2534" s="90" t="str">
        <f>VLOOKUP(B2534,'All Districts'!$A$3:$B$874,2,FALSE)</f>
        <v>Franklinville</v>
      </c>
      <c r="D2534" s="40">
        <v>594104</v>
      </c>
      <c r="E2534">
        <f>VLOOKUP(C2534,'All Districts'!$B$3:$C$874,2,FALSE)</f>
        <v>3611490</v>
      </c>
      <c r="F2534" s="91">
        <f>COUNTIF($E$2:$E$7106,E2534)</f>
        <v>9</v>
      </c>
    </row>
    <row r="2535" spans="1:6" x14ac:dyDescent="0.2">
      <c r="A2535">
        <v>2015</v>
      </c>
      <c r="B2535" s="13">
        <v>2180</v>
      </c>
      <c r="C2535" s="90" t="str">
        <f>VLOOKUP(B2535,'All Districts'!$A$3:$B$874,2,FALSE)</f>
        <v>Fredonia</v>
      </c>
      <c r="D2535" s="14">
        <v>2072842</v>
      </c>
      <c r="E2535">
        <f>VLOOKUP(C2535,'All Districts'!$B$3:$C$874,2,FALSE)</f>
        <v>3611520</v>
      </c>
      <c r="F2535" s="91">
        <f>COUNTIF($E$2:$E$7106,E2535)</f>
        <v>9</v>
      </c>
    </row>
    <row r="2536" spans="1:6" x14ac:dyDescent="0.2">
      <c r="A2536">
        <v>2016</v>
      </c>
      <c r="B2536" s="13">
        <v>2180</v>
      </c>
      <c r="C2536" s="90" t="str">
        <f>VLOOKUP(B2536,'All Districts'!$A$3:$B$874,2,FALSE)</f>
        <v>Fredonia</v>
      </c>
      <c r="D2536" s="16">
        <v>1580441</v>
      </c>
      <c r="E2536">
        <f>VLOOKUP(C2536,'All Districts'!$B$3:$C$874,2,FALSE)</f>
        <v>3611520</v>
      </c>
      <c r="F2536" s="91">
        <f>COUNTIF($E$2:$E$7106,E2536)</f>
        <v>9</v>
      </c>
    </row>
    <row r="2537" spans="1:6" x14ac:dyDescent="0.2">
      <c r="A2537">
        <v>2017</v>
      </c>
      <c r="B2537" s="13">
        <v>2180</v>
      </c>
      <c r="C2537" s="90" t="str">
        <f>VLOOKUP(B2537,'All Districts'!$A$3:$B$874,2,FALSE)</f>
        <v>Fredonia</v>
      </c>
      <c r="D2537" s="16">
        <v>1429197</v>
      </c>
      <c r="E2537">
        <f>VLOOKUP(C2537,'All Districts'!$B$3:$C$874,2,FALSE)</f>
        <v>3611520</v>
      </c>
      <c r="F2537" s="91">
        <f>COUNTIF($E$2:$E$7106,E2537)</f>
        <v>9</v>
      </c>
    </row>
    <row r="2538" spans="1:6" x14ac:dyDescent="0.2">
      <c r="A2538" s="10">
        <v>2018</v>
      </c>
      <c r="B2538" s="13">
        <v>2180</v>
      </c>
      <c r="C2538" s="90" t="str">
        <f>VLOOKUP(B2538,'All Districts'!$A$3:$B$874,2,FALSE)</f>
        <v>Fredonia</v>
      </c>
      <c r="D2538" s="15">
        <v>1231985</v>
      </c>
      <c r="E2538">
        <f>VLOOKUP(C2538,'All Districts'!$B$3:$C$874,2,FALSE)</f>
        <v>3611520</v>
      </c>
      <c r="F2538" s="91">
        <f>COUNTIF($E$2:$E$7106,E2538)</f>
        <v>9</v>
      </c>
    </row>
    <row r="2539" spans="1:6" x14ac:dyDescent="0.2">
      <c r="A2539">
        <v>2019</v>
      </c>
      <c r="B2539" s="36">
        <v>2180</v>
      </c>
      <c r="C2539" s="90" t="str">
        <f>VLOOKUP(B2539,'All Districts'!$A$3:$B$874,2,FALSE)</f>
        <v>Fredonia</v>
      </c>
      <c r="D2539" s="40">
        <v>1375154</v>
      </c>
      <c r="E2539">
        <f>VLOOKUP(C2539,'All Districts'!$B$3:$C$874,2,FALSE)</f>
        <v>3611520</v>
      </c>
      <c r="F2539" s="91">
        <f>COUNTIF($E$2:$E$7106,E2539)</f>
        <v>9</v>
      </c>
    </row>
    <row r="2540" spans="1:6" x14ac:dyDescent="0.2">
      <c r="A2540">
        <v>2020</v>
      </c>
      <c r="B2540" s="36">
        <v>2180</v>
      </c>
      <c r="C2540" s="90" t="str">
        <f>VLOOKUP(B2540,'All Districts'!$A$3:$B$874,2,FALSE)</f>
        <v>Fredonia</v>
      </c>
      <c r="D2540" s="40">
        <v>1151076</v>
      </c>
      <c r="E2540">
        <f>VLOOKUP(C2540,'All Districts'!$B$3:$C$874,2,FALSE)</f>
        <v>3611520</v>
      </c>
      <c r="F2540" s="91">
        <f>COUNTIF($E$2:$E$7106,E2540)</f>
        <v>9</v>
      </c>
    </row>
    <row r="2541" spans="1:6" x14ac:dyDescent="0.2">
      <c r="A2541" s="10">
        <v>2021</v>
      </c>
      <c r="B2541" s="52">
        <v>2180</v>
      </c>
      <c r="C2541" s="90" t="str">
        <f>VLOOKUP(B2541,'All Districts'!$A$3:$B$874,2,FALSE)</f>
        <v>Fredonia</v>
      </c>
      <c r="D2541" s="76">
        <v>1228036</v>
      </c>
      <c r="E2541">
        <f>VLOOKUP(C2541,'All Districts'!$B$3:$C$874,2,FALSE)</f>
        <v>3611520</v>
      </c>
      <c r="F2541" s="91">
        <f>COUNTIF($E$2:$E$7106,E2541)</f>
        <v>9</v>
      </c>
    </row>
    <row r="2542" spans="1:6" x14ac:dyDescent="0.2">
      <c r="A2542">
        <v>2022</v>
      </c>
      <c r="B2542" s="36">
        <v>2180</v>
      </c>
      <c r="C2542" s="90" t="str">
        <f>VLOOKUP(B2542,'All Districts'!$A$3:$B$874,2,FALSE)</f>
        <v>Fredonia</v>
      </c>
      <c r="D2542" s="82">
        <v>1333997</v>
      </c>
      <c r="E2542">
        <f>VLOOKUP(C2542,'All Districts'!$B$3:$C$874,2,FALSE)</f>
        <v>3611520</v>
      </c>
      <c r="F2542" s="91">
        <f>COUNTIF($E$2:$E$7106,E2542)</f>
        <v>9</v>
      </c>
    </row>
    <row r="2543" spans="1:6" x14ac:dyDescent="0.2">
      <c r="A2543">
        <v>2023</v>
      </c>
      <c r="B2543" s="36">
        <v>2180</v>
      </c>
      <c r="C2543" s="90" t="str">
        <f>VLOOKUP(B2543,'All Districts'!$A$3:$B$874,2,FALSE)</f>
        <v>Fredonia</v>
      </c>
      <c r="D2543" s="40">
        <v>1445627</v>
      </c>
      <c r="E2543">
        <f>VLOOKUP(C2543,'All Districts'!$B$3:$C$874,2,FALSE)</f>
        <v>3611520</v>
      </c>
      <c r="F2543" s="91">
        <f>COUNTIF($E$2:$E$7106,E2543)</f>
        <v>9</v>
      </c>
    </row>
    <row r="2544" spans="1:6" x14ac:dyDescent="0.2">
      <c r="A2544">
        <v>2015</v>
      </c>
      <c r="B2544" s="13">
        <v>2185</v>
      </c>
      <c r="C2544" s="90" t="str">
        <f>VLOOKUP(B2544,'All Districts'!$A$3:$B$874,2,FALSE)</f>
        <v>Freeport</v>
      </c>
      <c r="D2544" s="14">
        <v>11584441</v>
      </c>
      <c r="E2544">
        <f>VLOOKUP(C2544,'All Districts'!$B$3:$C$874,2,FALSE)</f>
        <v>3611550</v>
      </c>
      <c r="F2544" s="91">
        <f>COUNTIF($E$2:$E$7106,E2544)</f>
        <v>9</v>
      </c>
    </row>
    <row r="2545" spans="1:6" x14ac:dyDescent="0.2">
      <c r="A2545">
        <v>2016</v>
      </c>
      <c r="B2545" s="13">
        <v>2185</v>
      </c>
      <c r="C2545" s="90" t="str">
        <f>VLOOKUP(B2545,'All Districts'!$A$3:$B$874,2,FALSE)</f>
        <v>Freeport</v>
      </c>
      <c r="D2545" s="16">
        <v>8824699</v>
      </c>
      <c r="E2545">
        <f>VLOOKUP(C2545,'All Districts'!$B$3:$C$874,2,FALSE)</f>
        <v>3611550</v>
      </c>
      <c r="F2545" s="91">
        <f>COUNTIF($E$2:$E$7106,E2545)</f>
        <v>9</v>
      </c>
    </row>
    <row r="2546" spans="1:6" x14ac:dyDescent="0.2">
      <c r="A2546">
        <v>2017</v>
      </c>
      <c r="B2546" s="13">
        <v>2185</v>
      </c>
      <c r="C2546" s="90" t="str">
        <f>VLOOKUP(B2546,'All Districts'!$A$3:$B$874,2,FALSE)</f>
        <v>Freeport</v>
      </c>
      <c r="D2546" s="16">
        <v>8055806</v>
      </c>
      <c r="E2546">
        <f>VLOOKUP(C2546,'All Districts'!$B$3:$C$874,2,FALSE)</f>
        <v>3611550</v>
      </c>
      <c r="F2546" s="91">
        <f>COUNTIF($E$2:$E$7106,E2546)</f>
        <v>9</v>
      </c>
    </row>
    <row r="2547" spans="1:6" x14ac:dyDescent="0.2">
      <c r="A2547" s="10">
        <v>2018</v>
      </c>
      <c r="B2547" s="13">
        <v>2185</v>
      </c>
      <c r="C2547" s="90" t="str">
        <f>VLOOKUP(B2547,'All Districts'!$A$3:$B$874,2,FALSE)</f>
        <v>Freeport</v>
      </c>
      <c r="D2547" s="15">
        <v>6855161</v>
      </c>
      <c r="E2547">
        <f>VLOOKUP(C2547,'All Districts'!$B$3:$C$874,2,FALSE)</f>
        <v>3611550</v>
      </c>
      <c r="F2547" s="91">
        <f>COUNTIF($E$2:$E$7106,E2547)</f>
        <v>9</v>
      </c>
    </row>
    <row r="2548" spans="1:6" x14ac:dyDescent="0.2">
      <c r="A2548">
        <v>2019</v>
      </c>
      <c r="B2548" s="36">
        <v>2185</v>
      </c>
      <c r="C2548" s="90" t="str">
        <f>VLOOKUP(B2548,'All Districts'!$A$3:$B$874,2,FALSE)</f>
        <v>Freeport</v>
      </c>
      <c r="D2548" s="40">
        <v>7490536</v>
      </c>
      <c r="E2548">
        <f>VLOOKUP(C2548,'All Districts'!$B$3:$C$874,2,FALSE)</f>
        <v>3611550</v>
      </c>
      <c r="F2548" s="91">
        <f>COUNTIF($E$2:$E$7106,E2548)</f>
        <v>9</v>
      </c>
    </row>
    <row r="2549" spans="1:6" x14ac:dyDescent="0.2">
      <c r="A2549">
        <v>2020</v>
      </c>
      <c r="B2549" s="36">
        <v>2185</v>
      </c>
      <c r="C2549" s="90" t="str">
        <f>VLOOKUP(B2549,'All Districts'!$A$3:$B$874,2,FALSE)</f>
        <v>Freeport</v>
      </c>
      <c r="D2549" s="40">
        <v>6336437</v>
      </c>
      <c r="E2549">
        <f>VLOOKUP(C2549,'All Districts'!$B$3:$C$874,2,FALSE)</f>
        <v>3611550</v>
      </c>
      <c r="F2549" s="91">
        <f>COUNTIF($E$2:$E$7106,E2549)</f>
        <v>9</v>
      </c>
    </row>
    <row r="2550" spans="1:6" x14ac:dyDescent="0.2">
      <c r="A2550" s="10">
        <v>2021</v>
      </c>
      <c r="B2550" s="52">
        <v>2185</v>
      </c>
      <c r="C2550" s="90" t="str">
        <f>VLOOKUP(B2550,'All Districts'!$A$3:$B$874,2,FALSE)</f>
        <v>Freeport</v>
      </c>
      <c r="D2550" s="76">
        <v>6826729</v>
      </c>
      <c r="E2550">
        <f>VLOOKUP(C2550,'All Districts'!$B$3:$C$874,2,FALSE)</f>
        <v>3611550</v>
      </c>
      <c r="F2550" s="91">
        <f>COUNTIF($E$2:$E$7106,E2550)</f>
        <v>9</v>
      </c>
    </row>
    <row r="2551" spans="1:6" x14ac:dyDescent="0.2">
      <c r="A2551">
        <v>2022</v>
      </c>
      <c r="B2551" s="36">
        <v>2185</v>
      </c>
      <c r="C2551" s="90" t="str">
        <f>VLOOKUP(B2551,'All Districts'!$A$3:$B$874,2,FALSE)</f>
        <v>Freeport</v>
      </c>
      <c r="D2551" s="82">
        <v>7526201</v>
      </c>
      <c r="E2551">
        <f>VLOOKUP(C2551,'All Districts'!$B$3:$C$874,2,FALSE)</f>
        <v>3611550</v>
      </c>
      <c r="F2551" s="91">
        <f>COUNTIF($E$2:$E$7106,E2551)</f>
        <v>9</v>
      </c>
    </row>
    <row r="2552" spans="1:6" x14ac:dyDescent="0.2">
      <c r="A2552">
        <v>2023</v>
      </c>
      <c r="B2552" s="36">
        <v>2185</v>
      </c>
      <c r="C2552" s="90" t="str">
        <f>VLOOKUP(B2552,'All Districts'!$A$3:$B$874,2,FALSE)</f>
        <v>Freeport</v>
      </c>
      <c r="D2552" s="40">
        <v>8254838</v>
      </c>
      <c r="E2552">
        <f>VLOOKUP(C2552,'All Districts'!$B$3:$C$874,2,FALSE)</f>
        <v>3611550</v>
      </c>
      <c r="F2552" s="91">
        <f>COUNTIF($E$2:$E$7106,E2552)</f>
        <v>9</v>
      </c>
    </row>
    <row r="2553" spans="1:6" x14ac:dyDescent="0.2">
      <c r="A2553">
        <v>2015</v>
      </c>
      <c r="B2553" s="13">
        <v>3326</v>
      </c>
      <c r="C2553" s="90" t="str">
        <f>VLOOKUP(B2553,'All Districts'!$A$3:$B$874,2,FALSE)</f>
        <v>Frewsburg</v>
      </c>
      <c r="D2553" s="14">
        <v>942360</v>
      </c>
      <c r="E2553">
        <f>VLOOKUP(C2553,'All Districts'!$B$3:$C$874,2,FALSE)</f>
        <v>3611610</v>
      </c>
      <c r="F2553" s="91">
        <f>COUNTIF($E$2:$E$7106,E2553)</f>
        <v>9</v>
      </c>
    </row>
    <row r="2554" spans="1:6" x14ac:dyDescent="0.2">
      <c r="A2554">
        <v>2016</v>
      </c>
      <c r="B2554" s="13">
        <v>3326</v>
      </c>
      <c r="C2554" s="90" t="str">
        <f>VLOOKUP(B2554,'All Districts'!$A$3:$B$874,2,FALSE)</f>
        <v>Frewsburg</v>
      </c>
      <c r="D2554" s="16">
        <v>718204</v>
      </c>
      <c r="E2554">
        <f>VLOOKUP(C2554,'All Districts'!$B$3:$C$874,2,FALSE)</f>
        <v>3611610</v>
      </c>
      <c r="F2554" s="91">
        <f>COUNTIF($E$2:$E$7106,E2554)</f>
        <v>9</v>
      </c>
    </row>
    <row r="2555" spans="1:6" x14ac:dyDescent="0.2">
      <c r="A2555">
        <v>2017</v>
      </c>
      <c r="B2555" s="13">
        <v>3326</v>
      </c>
      <c r="C2555" s="90" t="str">
        <f>VLOOKUP(B2555,'All Districts'!$A$3:$B$874,2,FALSE)</f>
        <v>Frewsburg</v>
      </c>
      <c r="D2555" s="16">
        <v>651294</v>
      </c>
      <c r="E2555">
        <f>VLOOKUP(C2555,'All Districts'!$B$3:$C$874,2,FALSE)</f>
        <v>3611610</v>
      </c>
      <c r="F2555" s="91">
        <f>COUNTIF($E$2:$E$7106,E2555)</f>
        <v>9</v>
      </c>
    </row>
    <row r="2556" spans="1:6" x14ac:dyDescent="0.2">
      <c r="A2556" s="10">
        <v>2018</v>
      </c>
      <c r="B2556" s="13">
        <v>3326</v>
      </c>
      <c r="C2556" s="90" t="str">
        <f>VLOOKUP(B2556,'All Districts'!$A$3:$B$874,2,FALSE)</f>
        <v>Frewsburg</v>
      </c>
      <c r="D2556" s="15">
        <v>546496</v>
      </c>
      <c r="E2556">
        <f>VLOOKUP(C2556,'All Districts'!$B$3:$C$874,2,FALSE)</f>
        <v>3611610</v>
      </c>
      <c r="F2556" s="91">
        <f>COUNTIF($E$2:$E$7106,E2556)</f>
        <v>9</v>
      </c>
    </row>
    <row r="2557" spans="1:6" x14ac:dyDescent="0.2">
      <c r="A2557">
        <v>2019</v>
      </c>
      <c r="B2557" s="36">
        <v>3326</v>
      </c>
      <c r="C2557" s="90" t="str">
        <f>VLOOKUP(B2557,'All Districts'!$A$3:$B$874,2,FALSE)</f>
        <v>Frewsburg</v>
      </c>
      <c r="D2557" s="40">
        <v>601005</v>
      </c>
      <c r="E2557">
        <f>VLOOKUP(C2557,'All Districts'!$B$3:$C$874,2,FALSE)</f>
        <v>3611610</v>
      </c>
      <c r="F2557" s="91">
        <f>COUNTIF($E$2:$E$7106,E2557)</f>
        <v>9</v>
      </c>
    </row>
    <row r="2558" spans="1:6" x14ac:dyDescent="0.2">
      <c r="A2558">
        <v>2020</v>
      </c>
      <c r="B2558" s="36">
        <v>3326</v>
      </c>
      <c r="C2558" s="90" t="str">
        <f>VLOOKUP(B2558,'All Districts'!$A$3:$B$874,2,FALSE)</f>
        <v>Frewsburg</v>
      </c>
      <c r="D2558" s="40">
        <v>521158</v>
      </c>
      <c r="E2558">
        <f>VLOOKUP(C2558,'All Districts'!$B$3:$C$874,2,FALSE)</f>
        <v>3611610</v>
      </c>
      <c r="F2558" s="91">
        <f>COUNTIF($E$2:$E$7106,E2558)</f>
        <v>9</v>
      </c>
    </row>
    <row r="2559" spans="1:6" x14ac:dyDescent="0.2">
      <c r="A2559" s="10">
        <v>2021</v>
      </c>
      <c r="B2559" s="52">
        <v>3326</v>
      </c>
      <c r="C2559" s="90" t="str">
        <f>VLOOKUP(B2559,'All Districts'!$A$3:$B$874,2,FALSE)</f>
        <v>Frewsburg</v>
      </c>
      <c r="D2559" s="76">
        <v>568172</v>
      </c>
      <c r="E2559">
        <f>VLOOKUP(C2559,'All Districts'!$B$3:$C$874,2,FALSE)</f>
        <v>3611610</v>
      </c>
      <c r="F2559" s="91">
        <f>COUNTIF($E$2:$E$7106,E2559)</f>
        <v>9</v>
      </c>
    </row>
    <row r="2560" spans="1:6" x14ac:dyDescent="0.2">
      <c r="A2560">
        <v>2022</v>
      </c>
      <c r="B2560" s="36">
        <v>3326</v>
      </c>
      <c r="C2560" s="90" t="str">
        <f>VLOOKUP(B2560,'All Districts'!$A$3:$B$874,2,FALSE)</f>
        <v>Frewsburg</v>
      </c>
      <c r="D2560" s="82">
        <v>618998</v>
      </c>
      <c r="E2560">
        <f>VLOOKUP(C2560,'All Districts'!$B$3:$C$874,2,FALSE)</f>
        <v>3611610</v>
      </c>
      <c r="F2560" s="91">
        <f>COUNTIF($E$2:$E$7106,E2560)</f>
        <v>9</v>
      </c>
    </row>
    <row r="2561" spans="1:6" x14ac:dyDescent="0.2">
      <c r="A2561">
        <v>2023</v>
      </c>
      <c r="B2561" s="36">
        <v>3326</v>
      </c>
      <c r="C2561" s="90" t="str">
        <f>VLOOKUP(B2561,'All Districts'!$A$3:$B$874,2,FALSE)</f>
        <v>Frewsburg</v>
      </c>
      <c r="D2561" s="40">
        <v>694643</v>
      </c>
      <c r="E2561">
        <f>VLOOKUP(C2561,'All Districts'!$B$3:$C$874,2,FALSE)</f>
        <v>3611610</v>
      </c>
      <c r="F2561" s="91">
        <f>COUNTIF($E$2:$E$7106,E2561)</f>
        <v>9</v>
      </c>
    </row>
    <row r="2562" spans="1:6" x14ac:dyDescent="0.2">
      <c r="A2562">
        <v>2015</v>
      </c>
      <c r="B2562" s="13">
        <v>3078</v>
      </c>
      <c r="C2562" s="90" t="str">
        <f>VLOOKUP(B2562,'All Districts'!$A$3:$B$874,2,FALSE)</f>
        <v>Friendship</v>
      </c>
      <c r="D2562" s="14">
        <v>439825</v>
      </c>
      <c r="E2562">
        <f>VLOOKUP(C2562,'All Districts'!$B$3:$C$874,2,FALSE)</f>
        <v>3611640</v>
      </c>
      <c r="F2562" s="91">
        <f>COUNTIF($E$2:$E$7106,E2562)</f>
        <v>9</v>
      </c>
    </row>
    <row r="2563" spans="1:6" x14ac:dyDescent="0.2">
      <c r="A2563">
        <v>2016</v>
      </c>
      <c r="B2563" s="13">
        <v>3078</v>
      </c>
      <c r="C2563" s="90" t="str">
        <f>VLOOKUP(B2563,'All Districts'!$A$3:$B$874,2,FALSE)</f>
        <v>Friendship</v>
      </c>
      <c r="D2563" s="16">
        <v>336128</v>
      </c>
      <c r="E2563">
        <f>VLOOKUP(C2563,'All Districts'!$B$3:$C$874,2,FALSE)</f>
        <v>3611640</v>
      </c>
      <c r="F2563" s="91">
        <f>COUNTIF($E$2:$E$7106,E2563)</f>
        <v>9</v>
      </c>
    </row>
    <row r="2564" spans="1:6" x14ac:dyDescent="0.2">
      <c r="A2564">
        <v>2017</v>
      </c>
      <c r="B2564" s="13">
        <v>3078</v>
      </c>
      <c r="C2564" s="90" t="str">
        <f>VLOOKUP(B2564,'All Districts'!$A$3:$B$874,2,FALSE)</f>
        <v>Friendship</v>
      </c>
      <c r="D2564" s="16">
        <v>312068</v>
      </c>
      <c r="E2564">
        <f>VLOOKUP(C2564,'All Districts'!$B$3:$C$874,2,FALSE)</f>
        <v>3611640</v>
      </c>
      <c r="F2564" s="91">
        <f>COUNTIF($E$2:$E$7106,E2564)</f>
        <v>9</v>
      </c>
    </row>
    <row r="2565" spans="1:6" x14ac:dyDescent="0.2">
      <c r="A2565" s="10">
        <v>2018</v>
      </c>
      <c r="B2565" s="13">
        <v>3078</v>
      </c>
      <c r="C2565" s="90" t="str">
        <f>VLOOKUP(B2565,'All Districts'!$A$3:$B$874,2,FALSE)</f>
        <v>Friendship</v>
      </c>
      <c r="D2565" s="15">
        <v>263177</v>
      </c>
      <c r="E2565">
        <f>VLOOKUP(C2565,'All Districts'!$B$3:$C$874,2,FALSE)</f>
        <v>3611640</v>
      </c>
      <c r="F2565" s="91">
        <f>COUNTIF($E$2:$E$7106,E2565)</f>
        <v>9</v>
      </c>
    </row>
    <row r="2566" spans="1:6" x14ac:dyDescent="0.2">
      <c r="A2566">
        <v>2019</v>
      </c>
      <c r="B2566" s="36">
        <v>3078</v>
      </c>
      <c r="C2566" s="90" t="str">
        <f>VLOOKUP(B2566,'All Districts'!$A$3:$B$874,2,FALSE)</f>
        <v>Friendship</v>
      </c>
      <c r="D2566" s="40">
        <v>293501</v>
      </c>
      <c r="E2566">
        <f>VLOOKUP(C2566,'All Districts'!$B$3:$C$874,2,FALSE)</f>
        <v>3611640</v>
      </c>
      <c r="F2566" s="91">
        <f>COUNTIF($E$2:$E$7106,E2566)</f>
        <v>9</v>
      </c>
    </row>
    <row r="2567" spans="1:6" x14ac:dyDescent="0.2">
      <c r="A2567">
        <v>2020</v>
      </c>
      <c r="B2567" s="36">
        <v>3078</v>
      </c>
      <c r="C2567" s="90" t="str">
        <f>VLOOKUP(B2567,'All Districts'!$A$3:$B$874,2,FALSE)</f>
        <v>Friendship</v>
      </c>
      <c r="D2567" s="40">
        <v>249043</v>
      </c>
      <c r="E2567">
        <f>VLOOKUP(C2567,'All Districts'!$B$3:$C$874,2,FALSE)</f>
        <v>3611640</v>
      </c>
      <c r="F2567" s="91">
        <f>COUNTIF($E$2:$E$7106,E2567)</f>
        <v>9</v>
      </c>
    </row>
    <row r="2568" spans="1:6" x14ac:dyDescent="0.2">
      <c r="A2568" s="10">
        <v>2021</v>
      </c>
      <c r="B2568" s="55">
        <v>3078</v>
      </c>
      <c r="C2568" s="90" t="str">
        <f>VLOOKUP(B2568,'All Districts'!$A$3:$B$874,2,FALSE)</f>
        <v>Friendship</v>
      </c>
      <c r="D2568" s="75">
        <v>275414</v>
      </c>
      <c r="E2568">
        <f>VLOOKUP(C2568,'All Districts'!$B$3:$C$874,2,FALSE)</f>
        <v>3611640</v>
      </c>
      <c r="F2568" s="91">
        <f>COUNTIF($E$2:$E$7106,E2568)</f>
        <v>9</v>
      </c>
    </row>
    <row r="2569" spans="1:6" x14ac:dyDescent="0.2">
      <c r="A2569">
        <v>2022</v>
      </c>
      <c r="B2569" s="36">
        <v>3078</v>
      </c>
      <c r="C2569" s="90" t="str">
        <f>VLOOKUP(B2569,'All Districts'!$A$3:$B$874,2,FALSE)</f>
        <v>Friendship</v>
      </c>
      <c r="D2569" s="82">
        <v>287660</v>
      </c>
      <c r="E2569">
        <f>VLOOKUP(C2569,'All Districts'!$B$3:$C$874,2,FALSE)</f>
        <v>3611640</v>
      </c>
      <c r="F2569" s="91">
        <f>COUNTIF($E$2:$E$7106,E2569)</f>
        <v>9</v>
      </c>
    </row>
    <row r="2570" spans="1:6" x14ac:dyDescent="0.2">
      <c r="A2570">
        <v>2023</v>
      </c>
      <c r="B2570" s="36">
        <v>3078</v>
      </c>
      <c r="C2570" s="90" t="str">
        <f>VLOOKUP(B2570,'All Districts'!$A$3:$B$874,2,FALSE)</f>
        <v>Friendship</v>
      </c>
      <c r="D2570" s="40">
        <v>297221</v>
      </c>
      <c r="E2570">
        <f>VLOOKUP(C2570,'All Districts'!$B$3:$C$874,2,FALSE)</f>
        <v>3611640</v>
      </c>
      <c r="F2570" s="91">
        <f>COUNTIF($E$2:$E$7106,E2570)</f>
        <v>9</v>
      </c>
    </row>
    <row r="2571" spans="1:6" x14ac:dyDescent="0.2">
      <c r="A2571">
        <v>2015</v>
      </c>
      <c r="B2571" s="13">
        <v>2187</v>
      </c>
      <c r="C2571" s="90" t="str">
        <f>VLOOKUP(B2571,'All Districts'!$A$3:$B$874,2,FALSE)</f>
        <v>Frontier</v>
      </c>
      <c r="D2571" s="14">
        <v>5298597</v>
      </c>
      <c r="E2571">
        <f>VLOOKUP(C2571,'All Districts'!$B$3:$C$874,2,FALSE)</f>
        <v>3611670</v>
      </c>
      <c r="F2571" s="91">
        <f>COUNTIF($E$2:$E$7106,E2571)</f>
        <v>9</v>
      </c>
    </row>
    <row r="2572" spans="1:6" x14ac:dyDescent="0.2">
      <c r="A2572">
        <v>2016</v>
      </c>
      <c r="B2572" s="13">
        <v>2187</v>
      </c>
      <c r="C2572" s="90" t="str">
        <f>VLOOKUP(B2572,'All Districts'!$A$3:$B$874,2,FALSE)</f>
        <v>Frontier</v>
      </c>
      <c r="D2572" s="16">
        <v>4109477</v>
      </c>
      <c r="E2572">
        <f>VLOOKUP(C2572,'All Districts'!$B$3:$C$874,2,FALSE)</f>
        <v>3611670</v>
      </c>
      <c r="F2572" s="91">
        <f>COUNTIF($E$2:$E$7106,E2572)</f>
        <v>9</v>
      </c>
    </row>
    <row r="2573" spans="1:6" x14ac:dyDescent="0.2">
      <c r="A2573">
        <v>2017</v>
      </c>
      <c r="B2573" s="13">
        <v>2187</v>
      </c>
      <c r="C2573" s="90" t="str">
        <f>VLOOKUP(B2573,'All Districts'!$A$3:$B$874,2,FALSE)</f>
        <v>Frontier</v>
      </c>
      <c r="D2573" s="16">
        <v>3764532</v>
      </c>
      <c r="E2573">
        <f>VLOOKUP(C2573,'All Districts'!$B$3:$C$874,2,FALSE)</f>
        <v>3611670</v>
      </c>
      <c r="F2573" s="91">
        <f>COUNTIF($E$2:$E$7106,E2573)</f>
        <v>9</v>
      </c>
    </row>
    <row r="2574" spans="1:6" x14ac:dyDescent="0.2">
      <c r="A2574" s="10">
        <v>2018</v>
      </c>
      <c r="B2574" s="13">
        <v>2187</v>
      </c>
      <c r="C2574" s="90" t="str">
        <f>VLOOKUP(B2574,'All Districts'!$A$3:$B$874,2,FALSE)</f>
        <v>Frontier</v>
      </c>
      <c r="D2574" s="15">
        <v>3259464</v>
      </c>
      <c r="E2574">
        <f>VLOOKUP(C2574,'All Districts'!$B$3:$C$874,2,FALSE)</f>
        <v>3611670</v>
      </c>
      <c r="F2574" s="91">
        <f>COUNTIF($E$2:$E$7106,E2574)</f>
        <v>9</v>
      </c>
    </row>
    <row r="2575" spans="1:6" x14ac:dyDescent="0.2">
      <c r="A2575">
        <v>2019</v>
      </c>
      <c r="B2575" s="36">
        <v>2187</v>
      </c>
      <c r="C2575" s="90" t="str">
        <f>VLOOKUP(B2575,'All Districts'!$A$3:$B$874,2,FALSE)</f>
        <v>Frontier</v>
      </c>
      <c r="D2575" s="40">
        <v>3660640</v>
      </c>
      <c r="E2575">
        <f>VLOOKUP(C2575,'All Districts'!$B$3:$C$874,2,FALSE)</f>
        <v>3611670</v>
      </c>
      <c r="F2575" s="91">
        <f>COUNTIF($E$2:$E$7106,E2575)</f>
        <v>9</v>
      </c>
    </row>
    <row r="2576" spans="1:6" x14ac:dyDescent="0.2">
      <c r="A2576">
        <v>2020</v>
      </c>
      <c r="B2576" s="36">
        <v>2187</v>
      </c>
      <c r="C2576" s="90" t="str">
        <f>VLOOKUP(B2576,'All Districts'!$A$3:$B$874,2,FALSE)</f>
        <v>Frontier</v>
      </c>
      <c r="D2576" s="40">
        <v>3135594</v>
      </c>
      <c r="E2576">
        <f>VLOOKUP(C2576,'All Districts'!$B$3:$C$874,2,FALSE)</f>
        <v>3611670</v>
      </c>
      <c r="F2576" s="91">
        <f>COUNTIF($E$2:$E$7106,E2576)</f>
        <v>9</v>
      </c>
    </row>
    <row r="2577" spans="1:6" x14ac:dyDescent="0.2">
      <c r="A2577" s="10">
        <v>2021</v>
      </c>
      <c r="B2577" s="52">
        <v>2187</v>
      </c>
      <c r="C2577" s="90" t="str">
        <f>VLOOKUP(B2577,'All Districts'!$A$3:$B$874,2,FALSE)</f>
        <v>Frontier</v>
      </c>
      <c r="D2577" s="75">
        <v>3419755</v>
      </c>
      <c r="E2577">
        <f>VLOOKUP(C2577,'All Districts'!$B$3:$C$874,2,FALSE)</f>
        <v>3611670</v>
      </c>
      <c r="F2577" s="91">
        <f>COUNTIF($E$2:$E$7106,E2577)</f>
        <v>9</v>
      </c>
    </row>
    <row r="2578" spans="1:6" x14ac:dyDescent="0.2">
      <c r="A2578">
        <v>2022</v>
      </c>
      <c r="B2578" s="36">
        <v>2187</v>
      </c>
      <c r="C2578" s="90" t="str">
        <f>VLOOKUP(B2578,'All Districts'!$A$3:$B$874,2,FALSE)</f>
        <v>Frontier</v>
      </c>
      <c r="D2578" s="82">
        <v>3845636</v>
      </c>
      <c r="E2578">
        <f>VLOOKUP(C2578,'All Districts'!$B$3:$C$874,2,FALSE)</f>
        <v>3611670</v>
      </c>
      <c r="F2578" s="91">
        <f>COUNTIF($E$2:$E$7106,E2578)</f>
        <v>9</v>
      </c>
    </row>
    <row r="2579" spans="1:6" x14ac:dyDescent="0.2">
      <c r="A2579">
        <v>2023</v>
      </c>
      <c r="B2579" s="36">
        <v>2187</v>
      </c>
      <c r="C2579" s="90" t="str">
        <f>VLOOKUP(B2579,'All Districts'!$A$3:$B$874,2,FALSE)</f>
        <v>Frontier</v>
      </c>
      <c r="D2579" s="40">
        <v>4129866</v>
      </c>
      <c r="E2579">
        <f>VLOOKUP(C2579,'All Districts'!$B$3:$C$874,2,FALSE)</f>
        <v>3611670</v>
      </c>
      <c r="F2579" s="91">
        <f>COUNTIF($E$2:$E$7106,E2579)</f>
        <v>9</v>
      </c>
    </row>
    <row r="2580" spans="1:6" x14ac:dyDescent="0.2">
      <c r="A2580">
        <v>2015</v>
      </c>
      <c r="B2580" s="13">
        <v>1070</v>
      </c>
      <c r="C2580" s="90" t="str">
        <f>VLOOKUP(B2580,'All Districts'!$A$3:$B$874,2,FALSE)</f>
        <v>Fulton</v>
      </c>
      <c r="D2580" s="14">
        <v>4360419</v>
      </c>
      <c r="E2580">
        <f>VLOOKUP(C2580,'All Districts'!$B$3:$C$874,2,FALSE)</f>
        <v>3611700</v>
      </c>
      <c r="F2580" s="91">
        <f>COUNTIF($E$2:$E$7106,E2580)</f>
        <v>9</v>
      </c>
    </row>
    <row r="2581" spans="1:6" x14ac:dyDescent="0.2">
      <c r="A2581">
        <v>2016</v>
      </c>
      <c r="B2581" s="13">
        <v>1070</v>
      </c>
      <c r="C2581" s="90" t="str">
        <f>VLOOKUP(B2581,'All Districts'!$A$3:$B$874,2,FALSE)</f>
        <v>Fulton</v>
      </c>
      <c r="D2581" s="16">
        <v>3281781</v>
      </c>
      <c r="E2581">
        <f>VLOOKUP(C2581,'All Districts'!$B$3:$C$874,2,FALSE)</f>
        <v>3611700</v>
      </c>
      <c r="F2581" s="91">
        <f>COUNTIF($E$2:$E$7106,E2581)</f>
        <v>9</v>
      </c>
    </row>
    <row r="2582" spans="1:6" x14ac:dyDescent="0.2">
      <c r="A2582">
        <v>2017</v>
      </c>
      <c r="B2582" s="13">
        <v>1070</v>
      </c>
      <c r="C2582" s="90" t="str">
        <f>VLOOKUP(B2582,'All Districts'!$A$3:$B$874,2,FALSE)</f>
        <v>Fulton</v>
      </c>
      <c r="D2582" s="16">
        <v>2979442</v>
      </c>
      <c r="E2582">
        <f>VLOOKUP(C2582,'All Districts'!$B$3:$C$874,2,FALSE)</f>
        <v>3611700</v>
      </c>
      <c r="F2582" s="91">
        <f>COUNTIF($E$2:$E$7106,E2582)</f>
        <v>9</v>
      </c>
    </row>
    <row r="2583" spans="1:6" x14ac:dyDescent="0.2">
      <c r="A2583" s="10">
        <v>2018</v>
      </c>
      <c r="B2583" s="13">
        <v>1070</v>
      </c>
      <c r="C2583" s="90" t="str">
        <f>VLOOKUP(B2583,'All Districts'!$A$3:$B$874,2,FALSE)</f>
        <v>Fulton</v>
      </c>
      <c r="D2583" s="15">
        <v>2536054</v>
      </c>
      <c r="E2583">
        <f>VLOOKUP(C2583,'All Districts'!$B$3:$C$874,2,FALSE)</f>
        <v>3611700</v>
      </c>
      <c r="F2583" s="91">
        <f>COUNTIF($E$2:$E$7106,E2583)</f>
        <v>9</v>
      </c>
    </row>
    <row r="2584" spans="1:6" x14ac:dyDescent="0.2">
      <c r="A2584">
        <v>2019</v>
      </c>
      <c r="B2584" s="36">
        <v>1070</v>
      </c>
      <c r="C2584" s="90" t="str">
        <f>VLOOKUP(B2584,'All Districts'!$A$3:$B$874,2,FALSE)</f>
        <v>Fulton</v>
      </c>
      <c r="D2584" s="40">
        <v>2782385</v>
      </c>
      <c r="E2584">
        <f>VLOOKUP(C2584,'All Districts'!$B$3:$C$874,2,FALSE)</f>
        <v>3611700</v>
      </c>
      <c r="F2584" s="91">
        <f>COUNTIF($E$2:$E$7106,E2584)</f>
        <v>9</v>
      </c>
    </row>
    <row r="2585" spans="1:6" x14ac:dyDescent="0.2">
      <c r="A2585">
        <v>2020</v>
      </c>
      <c r="B2585" s="36">
        <v>1070</v>
      </c>
      <c r="C2585" s="90" t="str">
        <f>VLOOKUP(B2585,'All Districts'!$A$3:$B$874,2,FALSE)</f>
        <v>Fulton</v>
      </c>
      <c r="D2585" s="40">
        <v>2323560</v>
      </c>
      <c r="E2585">
        <f>VLOOKUP(C2585,'All Districts'!$B$3:$C$874,2,FALSE)</f>
        <v>3611700</v>
      </c>
      <c r="F2585" s="91">
        <f>COUNTIF($E$2:$E$7106,E2585)</f>
        <v>9</v>
      </c>
    </row>
    <row r="2586" spans="1:6" x14ac:dyDescent="0.2">
      <c r="A2586" s="10">
        <v>2021</v>
      </c>
      <c r="B2586" s="52">
        <v>1070</v>
      </c>
      <c r="C2586" s="90" t="str">
        <f>VLOOKUP(B2586,'All Districts'!$A$3:$B$874,2,FALSE)</f>
        <v>Fulton</v>
      </c>
      <c r="D2586" s="75">
        <v>2470588</v>
      </c>
      <c r="E2586">
        <f>VLOOKUP(C2586,'All Districts'!$B$3:$C$874,2,FALSE)</f>
        <v>3611700</v>
      </c>
      <c r="F2586" s="91">
        <f>COUNTIF($E$2:$E$7106,E2586)</f>
        <v>9</v>
      </c>
    </row>
    <row r="2587" spans="1:6" x14ac:dyDescent="0.2">
      <c r="A2587">
        <v>2022</v>
      </c>
      <c r="B2587" s="36">
        <v>1070</v>
      </c>
      <c r="C2587" s="90" t="str">
        <f>VLOOKUP(B2587,'All Districts'!$A$3:$B$874,2,FALSE)</f>
        <v>Fulton</v>
      </c>
      <c r="D2587" s="82">
        <v>2777114</v>
      </c>
      <c r="E2587">
        <f>VLOOKUP(C2587,'All Districts'!$B$3:$C$874,2,FALSE)</f>
        <v>3611700</v>
      </c>
      <c r="F2587" s="91">
        <f>COUNTIF($E$2:$E$7106,E2587)</f>
        <v>9</v>
      </c>
    </row>
    <row r="2588" spans="1:6" x14ac:dyDescent="0.2">
      <c r="A2588">
        <v>2023</v>
      </c>
      <c r="B2588" s="36">
        <v>1070</v>
      </c>
      <c r="C2588" s="90" t="str">
        <f>VLOOKUP(B2588,'All Districts'!$A$3:$B$874,2,FALSE)</f>
        <v>Fulton</v>
      </c>
      <c r="D2588" s="40">
        <v>3068115</v>
      </c>
      <c r="E2588">
        <f>VLOOKUP(C2588,'All Districts'!$B$3:$C$874,2,FALSE)</f>
        <v>3611700</v>
      </c>
      <c r="F2588" s="91">
        <f>COUNTIF($E$2:$E$7106,E2588)</f>
        <v>9</v>
      </c>
    </row>
    <row r="2589" spans="1:6" x14ac:dyDescent="0.2">
      <c r="A2589">
        <v>2015</v>
      </c>
      <c r="B2589" s="13">
        <v>5078</v>
      </c>
      <c r="C2589" s="90" t="str">
        <f>VLOOKUP(B2589,'All Districts'!$A$3:$B$874,2,FALSE)</f>
        <v>Galway</v>
      </c>
      <c r="D2589" s="14">
        <v>1091960</v>
      </c>
      <c r="E2589">
        <f>VLOOKUP(C2589,'All Districts'!$B$3:$C$874,2,FALSE)</f>
        <v>3611730</v>
      </c>
      <c r="F2589" s="91">
        <f>COUNTIF($E$2:$E$7106,E2589)</f>
        <v>9</v>
      </c>
    </row>
    <row r="2590" spans="1:6" x14ac:dyDescent="0.2">
      <c r="A2590">
        <v>2016</v>
      </c>
      <c r="B2590" s="13">
        <v>5078</v>
      </c>
      <c r="C2590" s="90" t="str">
        <f>VLOOKUP(B2590,'All Districts'!$A$3:$B$874,2,FALSE)</f>
        <v>Galway</v>
      </c>
      <c r="D2590" s="16">
        <v>849377</v>
      </c>
      <c r="E2590">
        <f>VLOOKUP(C2590,'All Districts'!$B$3:$C$874,2,FALSE)</f>
        <v>3611730</v>
      </c>
      <c r="F2590" s="91">
        <f>COUNTIF($E$2:$E$7106,E2590)</f>
        <v>9</v>
      </c>
    </row>
    <row r="2591" spans="1:6" x14ac:dyDescent="0.2">
      <c r="A2591">
        <v>2017</v>
      </c>
      <c r="B2591" s="13">
        <v>5078</v>
      </c>
      <c r="C2591" s="90" t="str">
        <f>VLOOKUP(B2591,'All Districts'!$A$3:$B$874,2,FALSE)</f>
        <v>Galway</v>
      </c>
      <c r="D2591" s="16">
        <v>765726</v>
      </c>
      <c r="E2591">
        <f>VLOOKUP(C2591,'All Districts'!$B$3:$C$874,2,FALSE)</f>
        <v>3611730</v>
      </c>
      <c r="F2591" s="91">
        <f>COUNTIF($E$2:$E$7106,E2591)</f>
        <v>9</v>
      </c>
    </row>
    <row r="2592" spans="1:6" x14ac:dyDescent="0.2">
      <c r="A2592" s="10">
        <v>2018</v>
      </c>
      <c r="B2592" s="13">
        <v>5078</v>
      </c>
      <c r="C2592" s="90" t="str">
        <f>VLOOKUP(B2592,'All Districts'!$A$3:$B$874,2,FALSE)</f>
        <v>Galway</v>
      </c>
      <c r="D2592" s="15">
        <v>654521</v>
      </c>
      <c r="E2592">
        <f>VLOOKUP(C2592,'All Districts'!$B$3:$C$874,2,FALSE)</f>
        <v>3611730</v>
      </c>
      <c r="F2592" s="91">
        <f>COUNTIF($E$2:$E$7106,E2592)</f>
        <v>9</v>
      </c>
    </row>
    <row r="2593" spans="1:6" x14ac:dyDescent="0.2">
      <c r="A2593">
        <v>2019</v>
      </c>
      <c r="B2593" s="36">
        <v>5078</v>
      </c>
      <c r="C2593" s="90" t="str">
        <f>VLOOKUP(B2593,'All Districts'!$A$3:$B$874,2,FALSE)</f>
        <v>Galway</v>
      </c>
      <c r="D2593" s="40">
        <v>694795</v>
      </c>
      <c r="E2593">
        <f>VLOOKUP(C2593,'All Districts'!$B$3:$C$874,2,FALSE)</f>
        <v>3611730</v>
      </c>
      <c r="F2593" s="91">
        <f>COUNTIF($E$2:$E$7106,E2593)</f>
        <v>9</v>
      </c>
    </row>
    <row r="2594" spans="1:6" x14ac:dyDescent="0.2">
      <c r="A2594">
        <v>2020</v>
      </c>
      <c r="B2594" s="36">
        <v>5078</v>
      </c>
      <c r="C2594" s="90" t="str">
        <f>VLOOKUP(B2594,'All Districts'!$A$3:$B$874,2,FALSE)</f>
        <v>Galway</v>
      </c>
      <c r="D2594" s="40">
        <v>587958</v>
      </c>
      <c r="E2594">
        <f>VLOOKUP(C2594,'All Districts'!$B$3:$C$874,2,FALSE)</f>
        <v>3611730</v>
      </c>
      <c r="F2594" s="91">
        <f>COUNTIF($E$2:$E$7106,E2594)</f>
        <v>9</v>
      </c>
    </row>
    <row r="2595" spans="1:6" x14ac:dyDescent="0.2">
      <c r="A2595" s="10">
        <v>2021</v>
      </c>
      <c r="B2595" s="52">
        <v>5078</v>
      </c>
      <c r="C2595" s="90" t="str">
        <f>VLOOKUP(B2595,'All Districts'!$A$3:$B$874,2,FALSE)</f>
        <v>Galway</v>
      </c>
      <c r="D2595" s="76">
        <v>656562</v>
      </c>
      <c r="E2595">
        <f>VLOOKUP(C2595,'All Districts'!$B$3:$C$874,2,FALSE)</f>
        <v>3611730</v>
      </c>
      <c r="F2595" s="91">
        <f>COUNTIF($E$2:$E$7106,E2595)</f>
        <v>9</v>
      </c>
    </row>
    <row r="2596" spans="1:6" x14ac:dyDescent="0.2">
      <c r="A2596">
        <v>2022</v>
      </c>
      <c r="B2596" s="36">
        <v>5078</v>
      </c>
      <c r="C2596" s="90" t="str">
        <f>VLOOKUP(B2596,'All Districts'!$A$3:$B$874,2,FALSE)</f>
        <v>Galway</v>
      </c>
      <c r="D2596" s="82">
        <v>733118</v>
      </c>
      <c r="E2596">
        <f>VLOOKUP(C2596,'All Districts'!$B$3:$C$874,2,FALSE)</f>
        <v>3611730</v>
      </c>
      <c r="F2596" s="91">
        <f>COUNTIF($E$2:$E$7106,E2596)</f>
        <v>9</v>
      </c>
    </row>
    <row r="2597" spans="1:6" x14ac:dyDescent="0.2">
      <c r="A2597">
        <v>2023</v>
      </c>
      <c r="B2597" s="36">
        <v>5078</v>
      </c>
      <c r="C2597" s="90" t="str">
        <f>VLOOKUP(B2597,'All Districts'!$A$3:$B$874,2,FALSE)</f>
        <v>Galway</v>
      </c>
      <c r="D2597" s="40">
        <v>742081</v>
      </c>
      <c r="E2597">
        <f>VLOOKUP(C2597,'All Districts'!$B$3:$C$874,2,FALSE)</f>
        <v>3611730</v>
      </c>
      <c r="F2597" s="91">
        <f>COUNTIF($E$2:$E$7106,E2597)</f>
        <v>9</v>
      </c>
    </row>
    <row r="2598" spans="1:6" x14ac:dyDescent="0.2">
      <c r="A2598">
        <v>2015</v>
      </c>
      <c r="B2598" s="13">
        <v>4598</v>
      </c>
      <c r="C2598" s="90" t="str">
        <f>VLOOKUP(B2598,'All Districts'!$A$3:$B$874,2,FALSE)</f>
        <v>Gananda</v>
      </c>
      <c r="D2598" s="14">
        <v>1166102</v>
      </c>
      <c r="E2598">
        <f>VLOOKUP(C2598,'All Districts'!$B$3:$C$874,2,FALSE)</f>
        <v>3611740</v>
      </c>
      <c r="F2598" s="91">
        <f>COUNTIF($E$2:$E$7106,E2598)</f>
        <v>9</v>
      </c>
    </row>
    <row r="2599" spans="1:6" x14ac:dyDescent="0.2">
      <c r="A2599">
        <v>2016</v>
      </c>
      <c r="B2599" s="13">
        <v>4598</v>
      </c>
      <c r="C2599" s="90" t="str">
        <f>VLOOKUP(B2599,'All Districts'!$A$3:$B$874,2,FALSE)</f>
        <v>Gananda</v>
      </c>
      <c r="D2599" s="16">
        <v>940195</v>
      </c>
      <c r="E2599">
        <f>VLOOKUP(C2599,'All Districts'!$B$3:$C$874,2,FALSE)</f>
        <v>3611740</v>
      </c>
      <c r="F2599" s="91">
        <f>COUNTIF($E$2:$E$7106,E2599)</f>
        <v>9</v>
      </c>
    </row>
    <row r="2600" spans="1:6" x14ac:dyDescent="0.2">
      <c r="A2600">
        <v>2017</v>
      </c>
      <c r="B2600" s="13">
        <v>4598</v>
      </c>
      <c r="C2600" s="90" t="str">
        <f>VLOOKUP(B2600,'All Districts'!$A$3:$B$874,2,FALSE)</f>
        <v>Gananda</v>
      </c>
      <c r="D2600" s="16">
        <v>873552</v>
      </c>
      <c r="E2600">
        <f>VLOOKUP(C2600,'All Districts'!$B$3:$C$874,2,FALSE)</f>
        <v>3611740</v>
      </c>
      <c r="F2600" s="91">
        <f>COUNTIF($E$2:$E$7106,E2600)</f>
        <v>9</v>
      </c>
    </row>
    <row r="2601" spans="1:6" x14ac:dyDescent="0.2">
      <c r="A2601" s="10">
        <v>2018</v>
      </c>
      <c r="B2601" s="13">
        <v>4598</v>
      </c>
      <c r="C2601" s="90" t="str">
        <f>VLOOKUP(B2601,'All Districts'!$A$3:$B$874,2,FALSE)</f>
        <v>Gananda</v>
      </c>
      <c r="D2601" s="15">
        <v>751048</v>
      </c>
      <c r="E2601">
        <f>VLOOKUP(C2601,'All Districts'!$B$3:$C$874,2,FALSE)</f>
        <v>3611740</v>
      </c>
      <c r="F2601" s="91">
        <f>COUNTIF($E$2:$E$7106,E2601)</f>
        <v>9</v>
      </c>
    </row>
    <row r="2602" spans="1:6" x14ac:dyDescent="0.2">
      <c r="A2602">
        <v>2019</v>
      </c>
      <c r="B2602" s="36">
        <v>4598</v>
      </c>
      <c r="C2602" s="90" t="str">
        <f>VLOOKUP(B2602,'All Districts'!$A$3:$B$874,2,FALSE)</f>
        <v>Gananda</v>
      </c>
      <c r="D2602" s="40">
        <v>835070</v>
      </c>
      <c r="E2602">
        <f>VLOOKUP(C2602,'All Districts'!$B$3:$C$874,2,FALSE)</f>
        <v>3611740</v>
      </c>
      <c r="F2602" s="91">
        <f>COUNTIF($E$2:$E$7106,E2602)</f>
        <v>9</v>
      </c>
    </row>
    <row r="2603" spans="1:6" x14ac:dyDescent="0.2">
      <c r="A2603">
        <v>2020</v>
      </c>
      <c r="B2603" s="36">
        <v>4598</v>
      </c>
      <c r="C2603" s="90" t="str">
        <f>VLOOKUP(B2603,'All Districts'!$A$3:$B$874,2,FALSE)</f>
        <v>Gananda</v>
      </c>
      <c r="D2603" s="40">
        <v>700491</v>
      </c>
      <c r="E2603">
        <f>VLOOKUP(C2603,'All Districts'!$B$3:$C$874,2,FALSE)</f>
        <v>3611740</v>
      </c>
      <c r="F2603" s="91">
        <f>COUNTIF($E$2:$E$7106,E2603)</f>
        <v>9</v>
      </c>
    </row>
    <row r="2604" spans="1:6" x14ac:dyDescent="0.2">
      <c r="A2604" s="10">
        <v>2021</v>
      </c>
      <c r="B2604" s="52">
        <v>4598</v>
      </c>
      <c r="C2604" s="90" t="str">
        <f>VLOOKUP(B2604,'All Districts'!$A$3:$B$874,2,FALSE)</f>
        <v>Gananda</v>
      </c>
      <c r="D2604" s="76">
        <v>764115</v>
      </c>
      <c r="E2604">
        <f>VLOOKUP(C2604,'All Districts'!$B$3:$C$874,2,FALSE)</f>
        <v>3611740</v>
      </c>
      <c r="F2604" s="91">
        <f>COUNTIF($E$2:$E$7106,E2604)</f>
        <v>9</v>
      </c>
    </row>
    <row r="2605" spans="1:6" x14ac:dyDescent="0.2">
      <c r="A2605">
        <v>2022</v>
      </c>
      <c r="B2605" s="36">
        <v>4598</v>
      </c>
      <c r="C2605" s="90" t="str">
        <f>VLOOKUP(B2605,'All Districts'!$A$3:$B$874,2,FALSE)</f>
        <v>Gananda</v>
      </c>
      <c r="D2605" s="82">
        <v>857230</v>
      </c>
      <c r="E2605">
        <f>VLOOKUP(C2605,'All Districts'!$B$3:$C$874,2,FALSE)</f>
        <v>3611740</v>
      </c>
      <c r="F2605" s="91">
        <f>COUNTIF($E$2:$E$7106,E2605)</f>
        <v>9</v>
      </c>
    </row>
    <row r="2606" spans="1:6" x14ac:dyDescent="0.2">
      <c r="A2606">
        <v>2023</v>
      </c>
      <c r="B2606" s="36">
        <v>4598</v>
      </c>
      <c r="C2606" s="90" t="str">
        <f>VLOOKUP(B2606,'All Districts'!$A$3:$B$874,2,FALSE)</f>
        <v>Gananda</v>
      </c>
      <c r="D2606" s="40">
        <v>907196</v>
      </c>
      <c r="E2606">
        <f>VLOOKUP(C2606,'All Districts'!$B$3:$C$874,2,FALSE)</f>
        <v>3611740</v>
      </c>
      <c r="F2606" s="91">
        <f>COUNTIF($E$2:$E$7106,E2606)</f>
        <v>9</v>
      </c>
    </row>
    <row r="2607" spans="1:6" x14ac:dyDescent="0.2">
      <c r="A2607">
        <v>2015</v>
      </c>
      <c r="B2607" s="13">
        <v>2190</v>
      </c>
      <c r="C2607" s="90" t="str">
        <f>VLOOKUP(B2607,'All Districts'!$A$3:$B$874,2,FALSE)</f>
        <v>Garden City</v>
      </c>
      <c r="D2607" s="14">
        <v>7520117</v>
      </c>
      <c r="E2607">
        <f>VLOOKUP(C2607,'All Districts'!$B$3:$C$874,2,FALSE)</f>
        <v>3611760</v>
      </c>
      <c r="F2607" s="91">
        <f>COUNTIF($E$2:$E$7106,E2607)</f>
        <v>9</v>
      </c>
    </row>
    <row r="2608" spans="1:6" x14ac:dyDescent="0.2">
      <c r="A2608">
        <v>2016</v>
      </c>
      <c r="B2608" s="13">
        <v>2190</v>
      </c>
      <c r="C2608" s="90" t="str">
        <f>VLOOKUP(B2608,'All Districts'!$A$3:$B$874,2,FALSE)</f>
        <v>Garden City</v>
      </c>
      <c r="D2608" s="16">
        <v>5789737</v>
      </c>
      <c r="E2608">
        <f>VLOOKUP(C2608,'All Districts'!$B$3:$C$874,2,FALSE)</f>
        <v>3611760</v>
      </c>
      <c r="F2608" s="91">
        <f>COUNTIF($E$2:$E$7106,E2608)</f>
        <v>9</v>
      </c>
    </row>
    <row r="2609" spans="1:6" x14ac:dyDescent="0.2">
      <c r="A2609">
        <v>2017</v>
      </c>
      <c r="B2609" s="13">
        <v>2190</v>
      </c>
      <c r="C2609" s="90" t="str">
        <f>VLOOKUP(B2609,'All Districts'!$A$3:$B$874,2,FALSE)</f>
        <v>Garden City</v>
      </c>
      <c r="D2609" s="16">
        <v>5256477</v>
      </c>
      <c r="E2609">
        <f>VLOOKUP(C2609,'All Districts'!$B$3:$C$874,2,FALSE)</f>
        <v>3611760</v>
      </c>
      <c r="F2609" s="91">
        <f>COUNTIF($E$2:$E$7106,E2609)</f>
        <v>9</v>
      </c>
    </row>
    <row r="2610" spans="1:6" x14ac:dyDescent="0.2">
      <c r="A2610" s="10">
        <v>2018</v>
      </c>
      <c r="B2610" s="13">
        <v>2190</v>
      </c>
      <c r="C2610" s="90" t="str">
        <f>VLOOKUP(B2610,'All Districts'!$A$3:$B$874,2,FALSE)</f>
        <v>Garden City</v>
      </c>
      <c r="D2610" s="15">
        <v>4357238</v>
      </c>
      <c r="E2610">
        <f>VLOOKUP(C2610,'All Districts'!$B$3:$C$874,2,FALSE)</f>
        <v>3611760</v>
      </c>
      <c r="F2610" s="91">
        <f>COUNTIF($E$2:$E$7106,E2610)</f>
        <v>9</v>
      </c>
    </row>
    <row r="2611" spans="1:6" x14ac:dyDescent="0.2">
      <c r="A2611">
        <v>2019</v>
      </c>
      <c r="B2611" s="36">
        <v>2190</v>
      </c>
      <c r="C2611" s="90" t="str">
        <f>VLOOKUP(B2611,'All Districts'!$A$3:$B$874,2,FALSE)</f>
        <v>Garden City</v>
      </c>
      <c r="D2611" s="40">
        <v>4802609</v>
      </c>
      <c r="E2611">
        <f>VLOOKUP(C2611,'All Districts'!$B$3:$C$874,2,FALSE)</f>
        <v>3611760</v>
      </c>
      <c r="F2611" s="91">
        <f>COUNTIF($E$2:$E$7106,E2611)</f>
        <v>9</v>
      </c>
    </row>
    <row r="2612" spans="1:6" x14ac:dyDescent="0.2">
      <c r="A2612">
        <v>2020</v>
      </c>
      <c r="B2612" s="36">
        <v>2190</v>
      </c>
      <c r="C2612" s="90" t="str">
        <f>VLOOKUP(B2612,'All Districts'!$A$3:$B$874,2,FALSE)</f>
        <v>Garden City</v>
      </c>
      <c r="D2612" s="40">
        <v>4027273</v>
      </c>
      <c r="E2612">
        <f>VLOOKUP(C2612,'All Districts'!$B$3:$C$874,2,FALSE)</f>
        <v>3611760</v>
      </c>
      <c r="F2612" s="91">
        <f>COUNTIF($E$2:$E$7106,E2612)</f>
        <v>9</v>
      </c>
    </row>
    <row r="2613" spans="1:6" x14ac:dyDescent="0.2">
      <c r="A2613" s="10">
        <v>2021</v>
      </c>
      <c r="B2613" s="52">
        <v>2190</v>
      </c>
      <c r="C2613" s="90" t="str">
        <f>VLOOKUP(B2613,'All Districts'!$A$3:$B$874,2,FALSE)</f>
        <v>Garden City</v>
      </c>
      <c r="D2613" s="76">
        <v>4503527</v>
      </c>
      <c r="E2613">
        <f>VLOOKUP(C2613,'All Districts'!$B$3:$C$874,2,FALSE)</f>
        <v>3611760</v>
      </c>
      <c r="F2613" s="91">
        <f>COUNTIF($E$2:$E$7106,E2613)</f>
        <v>9</v>
      </c>
    </row>
    <row r="2614" spans="1:6" x14ac:dyDescent="0.2">
      <c r="A2614">
        <v>2022</v>
      </c>
      <c r="B2614" s="36">
        <v>2190</v>
      </c>
      <c r="C2614" s="90" t="str">
        <f>VLOOKUP(B2614,'All Districts'!$A$3:$B$874,2,FALSE)</f>
        <v>Garden City</v>
      </c>
      <c r="D2614" s="82">
        <v>4741086</v>
      </c>
      <c r="E2614">
        <f>VLOOKUP(C2614,'All Districts'!$B$3:$C$874,2,FALSE)</f>
        <v>3611760</v>
      </c>
      <c r="F2614" s="91">
        <f>COUNTIF($E$2:$E$7106,E2614)</f>
        <v>9</v>
      </c>
    </row>
    <row r="2615" spans="1:6" x14ac:dyDescent="0.2">
      <c r="A2615">
        <v>2023</v>
      </c>
      <c r="B2615" s="36">
        <v>2190</v>
      </c>
      <c r="C2615" s="90" t="str">
        <f>VLOOKUP(B2615,'All Districts'!$A$3:$B$874,2,FALSE)</f>
        <v>Garden City</v>
      </c>
      <c r="D2615" s="40">
        <v>5095944</v>
      </c>
      <c r="E2615">
        <f>VLOOKUP(C2615,'All Districts'!$B$3:$C$874,2,FALSE)</f>
        <v>3611760</v>
      </c>
      <c r="F2615" s="91">
        <f>COUNTIF($E$2:$E$7106,E2615)</f>
        <v>9</v>
      </c>
    </row>
    <row r="2616" spans="1:6" x14ac:dyDescent="0.2">
      <c r="A2616">
        <v>2015</v>
      </c>
      <c r="B2616" s="13">
        <v>4855</v>
      </c>
      <c r="C2616" s="90" t="str">
        <f>VLOOKUP(B2616,'All Districts'!$A$3:$B$874,2,FALSE)</f>
        <v>Garrison</v>
      </c>
      <c r="D2616" s="14">
        <v>530850</v>
      </c>
      <c r="E2616">
        <f>VLOOKUP(C2616,'All Districts'!$B$3:$C$874,2,FALSE)</f>
        <v>3611860</v>
      </c>
      <c r="F2616" s="91">
        <f>COUNTIF($E$2:$E$7106,E2616)</f>
        <v>9</v>
      </c>
    </row>
    <row r="2617" spans="1:6" x14ac:dyDescent="0.2">
      <c r="A2617">
        <v>2016</v>
      </c>
      <c r="B2617" s="13">
        <v>4855</v>
      </c>
      <c r="C2617" s="90" t="str">
        <f>VLOOKUP(B2617,'All Districts'!$A$3:$B$874,2,FALSE)</f>
        <v>Garrison</v>
      </c>
      <c r="D2617" s="16">
        <v>408866</v>
      </c>
      <c r="E2617">
        <f>VLOOKUP(C2617,'All Districts'!$B$3:$C$874,2,FALSE)</f>
        <v>3611860</v>
      </c>
      <c r="F2617" s="91">
        <f>COUNTIF($E$2:$E$7106,E2617)</f>
        <v>9</v>
      </c>
    </row>
    <row r="2618" spans="1:6" x14ac:dyDescent="0.2">
      <c r="A2618">
        <v>2017</v>
      </c>
      <c r="B2618" s="13">
        <v>4855</v>
      </c>
      <c r="C2618" s="90" t="str">
        <f>VLOOKUP(B2618,'All Districts'!$A$3:$B$874,2,FALSE)</f>
        <v>Garrison</v>
      </c>
      <c r="D2618" s="16">
        <v>362481</v>
      </c>
      <c r="E2618">
        <f>VLOOKUP(C2618,'All Districts'!$B$3:$C$874,2,FALSE)</f>
        <v>3611860</v>
      </c>
      <c r="F2618" s="91">
        <f>COUNTIF($E$2:$E$7106,E2618)</f>
        <v>9</v>
      </c>
    </row>
    <row r="2619" spans="1:6" x14ac:dyDescent="0.2">
      <c r="A2619" s="10">
        <v>2018</v>
      </c>
      <c r="B2619" s="13">
        <v>4855</v>
      </c>
      <c r="C2619" s="90" t="str">
        <f>VLOOKUP(B2619,'All Districts'!$A$3:$B$874,2,FALSE)</f>
        <v>Garrison</v>
      </c>
      <c r="D2619" s="15">
        <v>292829</v>
      </c>
      <c r="E2619">
        <f>VLOOKUP(C2619,'All Districts'!$B$3:$C$874,2,FALSE)</f>
        <v>3611860</v>
      </c>
      <c r="F2619" s="91">
        <f>COUNTIF($E$2:$E$7106,E2619)</f>
        <v>9</v>
      </c>
    </row>
    <row r="2620" spans="1:6" x14ac:dyDescent="0.2">
      <c r="A2620">
        <v>2019</v>
      </c>
      <c r="B2620" s="36">
        <v>4855</v>
      </c>
      <c r="C2620" s="90" t="str">
        <f>VLOOKUP(B2620,'All Districts'!$A$3:$B$874,2,FALSE)</f>
        <v>Garrison</v>
      </c>
      <c r="D2620" s="40">
        <v>321783</v>
      </c>
      <c r="E2620">
        <f>VLOOKUP(C2620,'All Districts'!$B$3:$C$874,2,FALSE)</f>
        <v>3611860</v>
      </c>
      <c r="F2620" s="91">
        <f>COUNTIF($E$2:$E$7106,E2620)</f>
        <v>9</v>
      </c>
    </row>
    <row r="2621" spans="1:6" x14ac:dyDescent="0.2">
      <c r="A2621">
        <v>2020</v>
      </c>
      <c r="B2621" s="36">
        <v>4855</v>
      </c>
      <c r="C2621" s="90" t="str">
        <f>VLOOKUP(B2621,'All Districts'!$A$3:$B$874,2,FALSE)</f>
        <v>Garrison</v>
      </c>
      <c r="D2621" s="40">
        <v>276110</v>
      </c>
      <c r="E2621">
        <f>VLOOKUP(C2621,'All Districts'!$B$3:$C$874,2,FALSE)</f>
        <v>3611860</v>
      </c>
      <c r="F2621" s="91">
        <f>COUNTIF($E$2:$E$7106,E2621)</f>
        <v>9</v>
      </c>
    </row>
    <row r="2622" spans="1:6" x14ac:dyDescent="0.2">
      <c r="A2622" s="10">
        <v>2021</v>
      </c>
      <c r="B2622" s="52">
        <v>4855</v>
      </c>
      <c r="C2622" s="90" t="str">
        <f>VLOOKUP(B2622,'All Districts'!$A$3:$B$874,2,FALSE)</f>
        <v>Garrison</v>
      </c>
      <c r="D2622" s="76">
        <v>321850</v>
      </c>
      <c r="E2622">
        <f>VLOOKUP(C2622,'All Districts'!$B$3:$C$874,2,FALSE)</f>
        <v>3611860</v>
      </c>
      <c r="F2622" s="91">
        <f>COUNTIF($E$2:$E$7106,E2622)</f>
        <v>9</v>
      </c>
    </row>
    <row r="2623" spans="1:6" x14ac:dyDescent="0.2">
      <c r="A2623">
        <v>2022</v>
      </c>
      <c r="B2623" s="36">
        <v>4855</v>
      </c>
      <c r="C2623" s="90" t="str">
        <f>VLOOKUP(B2623,'All Districts'!$A$3:$B$874,2,FALSE)</f>
        <v>Garrison</v>
      </c>
      <c r="D2623" s="82">
        <v>326880</v>
      </c>
      <c r="E2623">
        <f>VLOOKUP(C2623,'All Districts'!$B$3:$C$874,2,FALSE)</f>
        <v>3611860</v>
      </c>
      <c r="F2623" s="91">
        <f>COUNTIF($E$2:$E$7106,E2623)</f>
        <v>9</v>
      </c>
    </row>
    <row r="2624" spans="1:6" x14ac:dyDescent="0.2">
      <c r="A2624">
        <v>2023</v>
      </c>
      <c r="B2624" s="36">
        <v>4855</v>
      </c>
      <c r="C2624" s="90" t="str">
        <f>VLOOKUP(B2624,'All Districts'!$A$3:$B$874,2,FALSE)</f>
        <v>Garrison</v>
      </c>
      <c r="D2624" s="40">
        <v>322390</v>
      </c>
      <c r="E2624">
        <f>VLOOKUP(C2624,'All Districts'!$B$3:$C$874,2,FALSE)</f>
        <v>3611860</v>
      </c>
      <c r="F2624" s="91">
        <f>COUNTIF($E$2:$E$7106,E2624)</f>
        <v>9</v>
      </c>
    </row>
    <row r="2625" spans="1:6" x14ac:dyDescent="0.2">
      <c r="A2625">
        <v>2015</v>
      </c>
      <c r="B2625" s="13">
        <v>2191</v>
      </c>
      <c r="C2625" s="90" t="str">
        <f>VLOOKUP(B2625,'All Districts'!$A$3:$B$874,2,FALSE)</f>
        <v>Gates-Chili</v>
      </c>
      <c r="D2625" s="14">
        <v>5137278</v>
      </c>
      <c r="E2625">
        <f>VLOOKUP(C2625,'All Districts'!$B$3:$C$874,2,FALSE)</f>
        <v>3611880</v>
      </c>
      <c r="F2625" s="91">
        <f>COUNTIF($E$2:$E$7106,E2625)</f>
        <v>9</v>
      </c>
    </row>
    <row r="2626" spans="1:6" x14ac:dyDescent="0.2">
      <c r="A2626">
        <v>2016</v>
      </c>
      <c r="B2626" s="13">
        <v>2191</v>
      </c>
      <c r="C2626" s="90" t="str">
        <f>VLOOKUP(B2626,'All Districts'!$A$3:$B$874,2,FALSE)</f>
        <v>Gates-Chili</v>
      </c>
      <c r="D2626" s="16">
        <v>4020396</v>
      </c>
      <c r="E2626">
        <f>VLOOKUP(C2626,'All Districts'!$B$3:$C$874,2,FALSE)</f>
        <v>3611880</v>
      </c>
      <c r="F2626" s="91">
        <f>COUNTIF($E$2:$E$7106,E2626)</f>
        <v>9</v>
      </c>
    </row>
    <row r="2627" spans="1:6" x14ac:dyDescent="0.2">
      <c r="A2627">
        <v>2017</v>
      </c>
      <c r="B2627" s="13">
        <v>2191</v>
      </c>
      <c r="C2627" s="90" t="str">
        <f>VLOOKUP(B2627,'All Districts'!$A$3:$B$874,2,FALSE)</f>
        <v>Gates-Chili</v>
      </c>
      <c r="D2627" s="16">
        <v>3666867</v>
      </c>
      <c r="E2627">
        <f>VLOOKUP(C2627,'All Districts'!$B$3:$C$874,2,FALSE)</f>
        <v>3611880</v>
      </c>
      <c r="F2627" s="91">
        <f>COUNTIF($E$2:$E$7106,E2627)</f>
        <v>9</v>
      </c>
    </row>
    <row r="2628" spans="1:6" x14ac:dyDescent="0.2">
      <c r="A2628" s="10">
        <v>2018</v>
      </c>
      <c r="B2628" s="13">
        <v>2191</v>
      </c>
      <c r="C2628" s="90" t="str">
        <f>VLOOKUP(B2628,'All Districts'!$A$3:$B$874,2,FALSE)</f>
        <v>Gates-Chili</v>
      </c>
      <c r="D2628" s="15">
        <v>3119676</v>
      </c>
      <c r="E2628">
        <f>VLOOKUP(C2628,'All Districts'!$B$3:$C$874,2,FALSE)</f>
        <v>3611880</v>
      </c>
      <c r="F2628" s="91">
        <f>COUNTIF($E$2:$E$7106,E2628)</f>
        <v>9</v>
      </c>
    </row>
    <row r="2629" spans="1:6" x14ac:dyDescent="0.2">
      <c r="A2629">
        <v>2019</v>
      </c>
      <c r="B2629" s="36">
        <v>2191</v>
      </c>
      <c r="C2629" s="90" t="str">
        <f>VLOOKUP(B2629,'All Districts'!$A$3:$B$874,2,FALSE)</f>
        <v>Gates-Chili</v>
      </c>
      <c r="D2629" s="40">
        <v>3371111</v>
      </c>
      <c r="E2629">
        <f>VLOOKUP(C2629,'All Districts'!$B$3:$C$874,2,FALSE)</f>
        <v>3611880</v>
      </c>
      <c r="F2629" s="91">
        <f>COUNTIF($E$2:$E$7106,E2629)</f>
        <v>9</v>
      </c>
    </row>
    <row r="2630" spans="1:6" x14ac:dyDescent="0.2">
      <c r="A2630">
        <v>2020</v>
      </c>
      <c r="B2630" s="36">
        <v>2191</v>
      </c>
      <c r="C2630" s="90" t="str">
        <f>VLOOKUP(B2630,'All Districts'!$A$3:$B$874,2,FALSE)</f>
        <v>Gates-Chili</v>
      </c>
      <c r="D2630" s="40">
        <v>2903327</v>
      </c>
      <c r="E2630">
        <f>VLOOKUP(C2630,'All Districts'!$B$3:$C$874,2,FALSE)</f>
        <v>3611880</v>
      </c>
      <c r="F2630" s="91">
        <f>COUNTIF($E$2:$E$7106,E2630)</f>
        <v>9</v>
      </c>
    </row>
    <row r="2631" spans="1:6" x14ac:dyDescent="0.2">
      <c r="A2631" s="10">
        <v>2021</v>
      </c>
      <c r="B2631" s="52">
        <v>2191</v>
      </c>
      <c r="C2631" s="90" t="str">
        <f>VLOOKUP(B2631,'All Districts'!$A$3:$B$874,2,FALSE)</f>
        <v>Gates-Chili</v>
      </c>
      <c r="D2631" s="75">
        <v>3215559</v>
      </c>
      <c r="E2631">
        <f>VLOOKUP(C2631,'All Districts'!$B$3:$C$874,2,FALSE)</f>
        <v>3611880</v>
      </c>
      <c r="F2631" s="91">
        <f>COUNTIF($E$2:$E$7106,E2631)</f>
        <v>9</v>
      </c>
    </row>
    <row r="2632" spans="1:6" x14ac:dyDescent="0.2">
      <c r="A2632">
        <v>2022</v>
      </c>
      <c r="B2632" s="36">
        <v>2191</v>
      </c>
      <c r="C2632" s="90" t="str">
        <f>VLOOKUP(B2632,'All Districts'!$A$3:$B$874,2,FALSE)</f>
        <v>Gates-Chili</v>
      </c>
      <c r="D2632" s="82">
        <v>3427011</v>
      </c>
      <c r="E2632">
        <f>VLOOKUP(C2632,'All Districts'!$B$3:$C$874,2,FALSE)</f>
        <v>3611880</v>
      </c>
      <c r="F2632" s="91">
        <f>COUNTIF($E$2:$E$7106,E2632)</f>
        <v>9</v>
      </c>
    </row>
    <row r="2633" spans="1:6" x14ac:dyDescent="0.2">
      <c r="A2633">
        <v>2023</v>
      </c>
      <c r="B2633" s="36">
        <v>2191</v>
      </c>
      <c r="C2633" s="90" t="str">
        <f>VLOOKUP(B2633,'All Districts'!$A$3:$B$874,2,FALSE)</f>
        <v>Gates-Chili</v>
      </c>
      <c r="D2633" s="40">
        <v>3677462</v>
      </c>
      <c r="E2633">
        <f>VLOOKUP(C2633,'All Districts'!$B$3:$C$874,2,FALSE)</f>
        <v>3611880</v>
      </c>
      <c r="F2633" s="91">
        <f>COUNTIF($E$2:$E$7106,E2633)</f>
        <v>9</v>
      </c>
    </row>
    <row r="2634" spans="1:6" x14ac:dyDescent="0.2">
      <c r="A2634">
        <v>2015</v>
      </c>
      <c r="B2634" s="13">
        <v>4128</v>
      </c>
      <c r="C2634" s="90" t="str">
        <f>VLOOKUP(B2634,'All Districts'!$A$3:$B$874,2,FALSE)</f>
        <v>General Brown</v>
      </c>
      <c r="D2634" s="14">
        <v>1094569</v>
      </c>
      <c r="E2634">
        <f>VLOOKUP(C2634,'All Districts'!$B$3:$C$874,2,FALSE)</f>
        <v>3611910</v>
      </c>
      <c r="F2634" s="91">
        <f>COUNTIF($E$2:$E$7106,E2634)</f>
        <v>9</v>
      </c>
    </row>
    <row r="2635" spans="1:6" x14ac:dyDescent="0.2">
      <c r="A2635">
        <v>2016</v>
      </c>
      <c r="B2635" s="13">
        <v>4128</v>
      </c>
      <c r="C2635" s="90" t="str">
        <f>VLOOKUP(B2635,'All Districts'!$A$3:$B$874,2,FALSE)</f>
        <v>General Brown</v>
      </c>
      <c r="D2635" s="16">
        <v>890810</v>
      </c>
      <c r="E2635">
        <f>VLOOKUP(C2635,'All Districts'!$B$3:$C$874,2,FALSE)</f>
        <v>3611910</v>
      </c>
      <c r="F2635" s="91">
        <f>COUNTIF($E$2:$E$7106,E2635)</f>
        <v>9</v>
      </c>
    </row>
    <row r="2636" spans="1:6" x14ac:dyDescent="0.2">
      <c r="A2636">
        <v>2017</v>
      </c>
      <c r="B2636" s="13">
        <v>4128</v>
      </c>
      <c r="C2636" s="90" t="str">
        <f>VLOOKUP(B2636,'All Districts'!$A$3:$B$874,2,FALSE)</f>
        <v>General Brown</v>
      </c>
      <c r="D2636" s="16">
        <v>800692</v>
      </c>
      <c r="E2636">
        <f>VLOOKUP(C2636,'All Districts'!$B$3:$C$874,2,FALSE)</f>
        <v>3611910</v>
      </c>
      <c r="F2636" s="91">
        <f>COUNTIF($E$2:$E$7106,E2636)</f>
        <v>9</v>
      </c>
    </row>
    <row r="2637" spans="1:6" x14ac:dyDescent="0.2">
      <c r="A2637" s="10">
        <v>2018</v>
      </c>
      <c r="B2637" s="13">
        <v>4128</v>
      </c>
      <c r="C2637" s="90" t="str">
        <f>VLOOKUP(B2637,'All Districts'!$A$3:$B$874,2,FALSE)</f>
        <v>General Brown</v>
      </c>
      <c r="D2637" s="15">
        <v>690603</v>
      </c>
      <c r="E2637">
        <f>VLOOKUP(C2637,'All Districts'!$B$3:$C$874,2,FALSE)</f>
        <v>3611910</v>
      </c>
      <c r="F2637" s="91">
        <f>COUNTIF($E$2:$E$7106,E2637)</f>
        <v>9</v>
      </c>
    </row>
    <row r="2638" spans="1:6" x14ac:dyDescent="0.2">
      <c r="A2638">
        <v>2019</v>
      </c>
      <c r="B2638" s="36">
        <v>4128</v>
      </c>
      <c r="C2638" s="90" t="str">
        <f>VLOOKUP(B2638,'All Districts'!$A$3:$B$874,2,FALSE)</f>
        <v>General Brown</v>
      </c>
      <c r="D2638" s="40">
        <v>774192</v>
      </c>
      <c r="E2638">
        <f>VLOOKUP(C2638,'All Districts'!$B$3:$C$874,2,FALSE)</f>
        <v>3611910</v>
      </c>
      <c r="F2638" s="91">
        <f>COUNTIF($E$2:$E$7106,E2638)</f>
        <v>9</v>
      </c>
    </row>
    <row r="2639" spans="1:6" x14ac:dyDescent="0.2">
      <c r="A2639">
        <v>2020</v>
      </c>
      <c r="B2639" s="36">
        <v>4128</v>
      </c>
      <c r="C2639" s="90" t="str">
        <f>VLOOKUP(B2639,'All Districts'!$A$3:$B$874,2,FALSE)</f>
        <v>General Brown</v>
      </c>
      <c r="D2639" s="40">
        <v>668811</v>
      </c>
      <c r="E2639">
        <f>VLOOKUP(C2639,'All Districts'!$B$3:$C$874,2,FALSE)</f>
        <v>3611910</v>
      </c>
      <c r="F2639" s="91">
        <f>COUNTIF($E$2:$E$7106,E2639)</f>
        <v>9</v>
      </c>
    </row>
    <row r="2640" spans="1:6" x14ac:dyDescent="0.2">
      <c r="A2640" s="10">
        <v>2021</v>
      </c>
      <c r="B2640" s="52">
        <v>4128</v>
      </c>
      <c r="C2640" s="90" t="str">
        <f>VLOOKUP(B2640,'All Districts'!$A$3:$B$874,2,FALSE)</f>
        <v>General Brown</v>
      </c>
      <c r="D2640" s="76">
        <v>723672</v>
      </c>
      <c r="E2640">
        <f>VLOOKUP(C2640,'All Districts'!$B$3:$C$874,2,FALSE)</f>
        <v>3611910</v>
      </c>
      <c r="F2640" s="91">
        <f>COUNTIF($E$2:$E$7106,E2640)</f>
        <v>9</v>
      </c>
    </row>
    <row r="2641" spans="1:6" x14ac:dyDescent="0.2">
      <c r="A2641">
        <v>2022</v>
      </c>
      <c r="B2641" s="36">
        <v>4128</v>
      </c>
      <c r="C2641" s="90" t="str">
        <f>VLOOKUP(B2641,'All Districts'!$A$3:$B$874,2,FALSE)</f>
        <v>General Brown</v>
      </c>
      <c r="D2641" s="82">
        <v>799205</v>
      </c>
      <c r="E2641">
        <f>VLOOKUP(C2641,'All Districts'!$B$3:$C$874,2,FALSE)</f>
        <v>3611910</v>
      </c>
      <c r="F2641" s="91">
        <f>COUNTIF($E$2:$E$7106,E2641)</f>
        <v>9</v>
      </c>
    </row>
    <row r="2642" spans="1:6" x14ac:dyDescent="0.2">
      <c r="A2642">
        <v>2023</v>
      </c>
      <c r="B2642" s="36">
        <v>4128</v>
      </c>
      <c r="C2642" s="90" t="str">
        <f>VLOOKUP(B2642,'All Districts'!$A$3:$B$874,2,FALSE)</f>
        <v>General Brown</v>
      </c>
      <c r="D2642" s="40">
        <v>901193</v>
      </c>
      <c r="E2642">
        <f>VLOOKUP(C2642,'All Districts'!$B$3:$C$874,2,FALSE)</f>
        <v>3611910</v>
      </c>
      <c r="F2642" s="91">
        <f>COUNTIF($E$2:$E$7106,E2642)</f>
        <v>9</v>
      </c>
    </row>
    <row r="2643" spans="1:6" x14ac:dyDescent="0.2">
      <c r="A2643">
        <v>2015</v>
      </c>
      <c r="B2643" s="13">
        <v>4153</v>
      </c>
      <c r="C2643" s="90" t="str">
        <f>VLOOKUP(B2643,'All Districts'!$A$3:$B$874,2,FALSE)</f>
        <v>Geneseo</v>
      </c>
      <c r="D2643" s="14">
        <v>1179075</v>
      </c>
      <c r="E2643">
        <f>VLOOKUP(C2643,'All Districts'!$B$3:$C$874,2,FALSE)</f>
        <v>3611940</v>
      </c>
      <c r="F2643" s="91">
        <f>COUNTIF($E$2:$E$7106,E2643)</f>
        <v>9</v>
      </c>
    </row>
    <row r="2644" spans="1:6" x14ac:dyDescent="0.2">
      <c r="A2644">
        <v>2016</v>
      </c>
      <c r="B2644" s="13">
        <v>4153</v>
      </c>
      <c r="C2644" s="90" t="str">
        <f>VLOOKUP(B2644,'All Districts'!$A$3:$B$874,2,FALSE)</f>
        <v>Geneseo</v>
      </c>
      <c r="D2644" s="16">
        <v>898133</v>
      </c>
      <c r="E2644">
        <f>VLOOKUP(C2644,'All Districts'!$B$3:$C$874,2,FALSE)</f>
        <v>3611940</v>
      </c>
      <c r="F2644" s="91">
        <f>COUNTIF($E$2:$E$7106,E2644)</f>
        <v>9</v>
      </c>
    </row>
    <row r="2645" spans="1:6" x14ac:dyDescent="0.2">
      <c r="A2645">
        <v>2017</v>
      </c>
      <c r="B2645" s="13">
        <v>4153</v>
      </c>
      <c r="C2645" s="90" t="str">
        <f>VLOOKUP(B2645,'All Districts'!$A$3:$B$874,2,FALSE)</f>
        <v>Geneseo</v>
      </c>
      <c r="D2645" s="16">
        <v>817550</v>
      </c>
      <c r="E2645">
        <f>VLOOKUP(C2645,'All Districts'!$B$3:$C$874,2,FALSE)</f>
        <v>3611940</v>
      </c>
      <c r="F2645" s="91">
        <f>COUNTIF($E$2:$E$7106,E2645)</f>
        <v>9</v>
      </c>
    </row>
    <row r="2646" spans="1:6" x14ac:dyDescent="0.2">
      <c r="A2646" s="10">
        <v>2018</v>
      </c>
      <c r="B2646" s="13">
        <v>4153</v>
      </c>
      <c r="C2646" s="90" t="str">
        <f>VLOOKUP(B2646,'All Districts'!$A$3:$B$874,2,FALSE)</f>
        <v>Geneseo</v>
      </c>
      <c r="D2646" s="15">
        <v>707518</v>
      </c>
      <c r="E2646">
        <f>VLOOKUP(C2646,'All Districts'!$B$3:$C$874,2,FALSE)</f>
        <v>3611940</v>
      </c>
      <c r="F2646" s="91">
        <f>COUNTIF($E$2:$E$7106,E2646)</f>
        <v>9</v>
      </c>
    </row>
    <row r="2647" spans="1:6" x14ac:dyDescent="0.2">
      <c r="A2647">
        <v>2019</v>
      </c>
      <c r="B2647" s="36">
        <v>4153</v>
      </c>
      <c r="C2647" s="90" t="str">
        <f>VLOOKUP(B2647,'All Districts'!$A$3:$B$874,2,FALSE)</f>
        <v>Geneseo</v>
      </c>
      <c r="D2647" s="40">
        <v>775439</v>
      </c>
      <c r="E2647">
        <f>VLOOKUP(C2647,'All Districts'!$B$3:$C$874,2,FALSE)</f>
        <v>3611940</v>
      </c>
      <c r="F2647" s="91">
        <f>COUNTIF($E$2:$E$7106,E2647)</f>
        <v>9</v>
      </c>
    </row>
    <row r="2648" spans="1:6" x14ac:dyDescent="0.2">
      <c r="A2648">
        <v>2020</v>
      </c>
      <c r="B2648" s="36">
        <v>4153</v>
      </c>
      <c r="C2648" s="90" t="str">
        <f>VLOOKUP(B2648,'All Districts'!$A$3:$B$874,2,FALSE)</f>
        <v>Geneseo</v>
      </c>
      <c r="D2648" s="40">
        <v>653883</v>
      </c>
      <c r="E2648">
        <f>VLOOKUP(C2648,'All Districts'!$B$3:$C$874,2,FALSE)</f>
        <v>3611940</v>
      </c>
      <c r="F2648" s="91">
        <f>COUNTIF($E$2:$E$7106,E2648)</f>
        <v>9</v>
      </c>
    </row>
    <row r="2649" spans="1:6" x14ac:dyDescent="0.2">
      <c r="A2649" s="10">
        <v>2021</v>
      </c>
      <c r="B2649" s="52">
        <v>4153</v>
      </c>
      <c r="C2649" s="90" t="str">
        <f>VLOOKUP(B2649,'All Districts'!$A$3:$B$874,2,FALSE)</f>
        <v>Geneseo</v>
      </c>
      <c r="D2649" s="76">
        <v>710470</v>
      </c>
      <c r="E2649">
        <f>VLOOKUP(C2649,'All Districts'!$B$3:$C$874,2,FALSE)</f>
        <v>3611940</v>
      </c>
      <c r="F2649" s="91">
        <f>COUNTIF($E$2:$E$7106,E2649)</f>
        <v>9</v>
      </c>
    </row>
    <row r="2650" spans="1:6" x14ac:dyDescent="0.2">
      <c r="A2650">
        <v>2022</v>
      </c>
      <c r="B2650" s="36">
        <v>4153</v>
      </c>
      <c r="C2650" s="90" t="str">
        <f>VLOOKUP(B2650,'All Districts'!$A$3:$B$874,2,FALSE)</f>
        <v>Geneseo</v>
      </c>
      <c r="D2650" s="82">
        <v>752201</v>
      </c>
      <c r="E2650">
        <f>VLOOKUP(C2650,'All Districts'!$B$3:$C$874,2,FALSE)</f>
        <v>3611940</v>
      </c>
      <c r="F2650" s="91">
        <f>COUNTIF($E$2:$E$7106,E2650)</f>
        <v>9</v>
      </c>
    </row>
    <row r="2651" spans="1:6" x14ac:dyDescent="0.2">
      <c r="A2651">
        <v>2023</v>
      </c>
      <c r="B2651" s="36">
        <v>4153</v>
      </c>
      <c r="C2651" s="90" t="str">
        <f>VLOOKUP(B2651,'All Districts'!$A$3:$B$874,2,FALSE)</f>
        <v>Geneseo</v>
      </c>
      <c r="D2651" s="40">
        <v>826095</v>
      </c>
      <c r="E2651">
        <f>VLOOKUP(C2651,'All Districts'!$B$3:$C$874,2,FALSE)</f>
        <v>3611940</v>
      </c>
      <c r="F2651" s="91">
        <f>COUNTIF($E$2:$E$7106,E2651)</f>
        <v>9</v>
      </c>
    </row>
    <row r="2652" spans="1:6" x14ac:dyDescent="0.2">
      <c r="A2652">
        <v>2015</v>
      </c>
      <c r="B2652" s="13">
        <v>1075</v>
      </c>
      <c r="C2652" s="90" t="str">
        <f>VLOOKUP(B2652,'All Districts'!$A$3:$B$874,2,FALSE)</f>
        <v>Geneva</v>
      </c>
      <c r="D2652" s="14">
        <v>2799221</v>
      </c>
      <c r="E2652">
        <f>VLOOKUP(C2652,'All Districts'!$B$3:$C$874,2,FALSE)</f>
        <v>3611970</v>
      </c>
      <c r="F2652" s="91">
        <f>COUNTIF($E$2:$E$7106,E2652)</f>
        <v>9</v>
      </c>
    </row>
    <row r="2653" spans="1:6" x14ac:dyDescent="0.2">
      <c r="A2653">
        <v>2016</v>
      </c>
      <c r="B2653" s="13">
        <v>1075</v>
      </c>
      <c r="C2653" s="90" t="str">
        <f>VLOOKUP(B2653,'All Districts'!$A$3:$B$874,2,FALSE)</f>
        <v>Geneva</v>
      </c>
      <c r="D2653" s="16">
        <v>2224153</v>
      </c>
      <c r="E2653">
        <f>VLOOKUP(C2653,'All Districts'!$B$3:$C$874,2,FALSE)</f>
        <v>3611970</v>
      </c>
      <c r="F2653" s="91">
        <f>COUNTIF($E$2:$E$7106,E2653)</f>
        <v>9</v>
      </c>
    </row>
    <row r="2654" spans="1:6" x14ac:dyDescent="0.2">
      <c r="A2654">
        <v>2017</v>
      </c>
      <c r="B2654" s="13">
        <v>1075</v>
      </c>
      <c r="C2654" s="90" t="str">
        <f>VLOOKUP(B2654,'All Districts'!$A$3:$B$874,2,FALSE)</f>
        <v>Geneva</v>
      </c>
      <c r="D2654" s="16">
        <v>2036276</v>
      </c>
      <c r="E2654">
        <f>VLOOKUP(C2654,'All Districts'!$B$3:$C$874,2,FALSE)</f>
        <v>3611970</v>
      </c>
      <c r="F2654" s="91">
        <f>COUNTIF($E$2:$E$7106,E2654)</f>
        <v>9</v>
      </c>
    </row>
    <row r="2655" spans="1:6" x14ac:dyDescent="0.2">
      <c r="A2655" s="10">
        <v>2018</v>
      </c>
      <c r="B2655" s="13">
        <v>1075</v>
      </c>
      <c r="C2655" s="90" t="str">
        <f>VLOOKUP(B2655,'All Districts'!$A$3:$B$874,2,FALSE)</f>
        <v>Geneva</v>
      </c>
      <c r="D2655" s="15">
        <v>1741359</v>
      </c>
      <c r="E2655">
        <f>VLOOKUP(C2655,'All Districts'!$B$3:$C$874,2,FALSE)</f>
        <v>3611970</v>
      </c>
      <c r="F2655" s="91">
        <f>COUNTIF($E$2:$E$7106,E2655)</f>
        <v>9</v>
      </c>
    </row>
    <row r="2656" spans="1:6" x14ac:dyDescent="0.2">
      <c r="A2656">
        <v>2019</v>
      </c>
      <c r="B2656" s="36">
        <v>1075</v>
      </c>
      <c r="C2656" s="90" t="str">
        <f>VLOOKUP(B2656,'All Districts'!$A$3:$B$874,2,FALSE)</f>
        <v>Geneva</v>
      </c>
      <c r="D2656" s="40">
        <v>1885275</v>
      </c>
      <c r="E2656">
        <f>VLOOKUP(C2656,'All Districts'!$B$3:$C$874,2,FALSE)</f>
        <v>3611970</v>
      </c>
      <c r="F2656" s="91">
        <f>COUNTIF($E$2:$E$7106,E2656)</f>
        <v>9</v>
      </c>
    </row>
    <row r="2657" spans="1:6" x14ac:dyDescent="0.2">
      <c r="A2657">
        <v>2020</v>
      </c>
      <c r="B2657" s="36">
        <v>1075</v>
      </c>
      <c r="C2657" s="90" t="str">
        <f>VLOOKUP(B2657,'All Districts'!$A$3:$B$874,2,FALSE)</f>
        <v>Geneva</v>
      </c>
      <c r="D2657" s="40">
        <v>1596767</v>
      </c>
      <c r="E2657">
        <f>VLOOKUP(C2657,'All Districts'!$B$3:$C$874,2,FALSE)</f>
        <v>3611970</v>
      </c>
      <c r="F2657" s="91">
        <f>COUNTIF($E$2:$E$7106,E2657)</f>
        <v>9</v>
      </c>
    </row>
    <row r="2658" spans="1:6" x14ac:dyDescent="0.2">
      <c r="A2658" s="10">
        <v>2021</v>
      </c>
      <c r="B2658" s="52">
        <v>1075</v>
      </c>
      <c r="C2658" s="90" t="str">
        <f>VLOOKUP(B2658,'All Districts'!$A$3:$B$874,2,FALSE)</f>
        <v>Geneva</v>
      </c>
      <c r="D2658" s="76">
        <v>1772073</v>
      </c>
      <c r="E2658">
        <f>VLOOKUP(C2658,'All Districts'!$B$3:$C$874,2,FALSE)</f>
        <v>3611970</v>
      </c>
      <c r="F2658" s="91">
        <f>COUNTIF($E$2:$E$7106,E2658)</f>
        <v>9</v>
      </c>
    </row>
    <row r="2659" spans="1:6" x14ac:dyDescent="0.2">
      <c r="A2659">
        <v>2022</v>
      </c>
      <c r="B2659" s="36">
        <v>1075</v>
      </c>
      <c r="C2659" s="90" t="str">
        <f>VLOOKUP(B2659,'All Districts'!$A$3:$B$874,2,FALSE)</f>
        <v>Geneva</v>
      </c>
      <c r="D2659" s="82">
        <v>1729565</v>
      </c>
      <c r="E2659">
        <f>VLOOKUP(C2659,'All Districts'!$B$3:$C$874,2,FALSE)</f>
        <v>3611970</v>
      </c>
      <c r="F2659" s="91">
        <f>COUNTIF($E$2:$E$7106,E2659)</f>
        <v>9</v>
      </c>
    </row>
    <row r="2660" spans="1:6" x14ac:dyDescent="0.2">
      <c r="A2660">
        <v>2023</v>
      </c>
      <c r="B2660" s="36">
        <v>1075</v>
      </c>
      <c r="C2660" s="90" t="str">
        <f>VLOOKUP(B2660,'All Districts'!$A$3:$B$874,2,FALSE)</f>
        <v>Geneva</v>
      </c>
      <c r="D2660" s="40">
        <v>1829165</v>
      </c>
      <c r="E2660">
        <f>VLOOKUP(C2660,'All Districts'!$B$3:$C$874,2,FALSE)</f>
        <v>3611970</v>
      </c>
      <c r="F2660" s="91">
        <f>COUNTIF($E$2:$E$7106,E2660)</f>
        <v>9</v>
      </c>
    </row>
    <row r="2661" spans="1:6" x14ac:dyDescent="0.2">
      <c r="A2661">
        <v>2015</v>
      </c>
      <c r="B2661" s="13">
        <v>5533</v>
      </c>
      <c r="C2661" s="90" t="str">
        <f>VLOOKUP(B2661,'All Districts'!$A$3:$B$874,2,FALSE)</f>
        <v>George Jr Republic</v>
      </c>
      <c r="D2661" s="14">
        <v>591252</v>
      </c>
      <c r="E2661">
        <f>VLOOKUP(C2661,'All Districts'!$B$3:$C$874,2,FALSE)</f>
        <v>3615030</v>
      </c>
      <c r="F2661" s="91">
        <f>COUNTIF($E$2:$E$7106,E2661)</f>
        <v>9</v>
      </c>
    </row>
    <row r="2662" spans="1:6" x14ac:dyDescent="0.2">
      <c r="A2662">
        <v>2016</v>
      </c>
      <c r="B2662" s="13">
        <v>5533</v>
      </c>
      <c r="C2662" s="90" t="str">
        <f>VLOOKUP(B2662,'All Districts'!$A$3:$B$874,2,FALSE)</f>
        <v>George Jr Republic</v>
      </c>
      <c r="D2662" s="16">
        <v>464833</v>
      </c>
      <c r="E2662">
        <f>VLOOKUP(C2662,'All Districts'!$B$3:$C$874,2,FALSE)</f>
        <v>3615030</v>
      </c>
      <c r="F2662" s="91">
        <f>COUNTIF($E$2:$E$7106,E2662)</f>
        <v>9</v>
      </c>
    </row>
    <row r="2663" spans="1:6" x14ac:dyDescent="0.2">
      <c r="A2663">
        <v>2017</v>
      </c>
      <c r="B2663" s="13">
        <v>5533</v>
      </c>
      <c r="C2663" s="90" t="str">
        <f>VLOOKUP(B2663,'All Districts'!$A$3:$B$874,2,FALSE)</f>
        <v>George Jr Republic</v>
      </c>
      <c r="D2663" s="16">
        <v>416035</v>
      </c>
      <c r="E2663">
        <f>VLOOKUP(C2663,'All Districts'!$B$3:$C$874,2,FALSE)</f>
        <v>3615030</v>
      </c>
      <c r="F2663" s="91">
        <f>COUNTIF($E$2:$E$7106,E2663)</f>
        <v>9</v>
      </c>
    </row>
    <row r="2664" spans="1:6" x14ac:dyDescent="0.2">
      <c r="A2664" s="10">
        <v>2018</v>
      </c>
      <c r="B2664" s="13">
        <v>5533</v>
      </c>
      <c r="C2664" s="90" t="str">
        <f>VLOOKUP(B2664,'All Districts'!$A$3:$B$874,2,FALSE)</f>
        <v>George Jr Republic</v>
      </c>
      <c r="D2664" s="15">
        <v>317189</v>
      </c>
      <c r="E2664">
        <f>VLOOKUP(C2664,'All Districts'!$B$3:$C$874,2,FALSE)</f>
        <v>3615030</v>
      </c>
      <c r="F2664" s="91">
        <f>COUNTIF($E$2:$E$7106,E2664)</f>
        <v>9</v>
      </c>
    </row>
    <row r="2665" spans="1:6" x14ac:dyDescent="0.2">
      <c r="A2665">
        <v>2019</v>
      </c>
      <c r="B2665" s="36">
        <v>5533</v>
      </c>
      <c r="C2665" s="90" t="str">
        <f>VLOOKUP(B2665,'All Districts'!$A$3:$B$874,2,FALSE)</f>
        <v>George Jr Republic</v>
      </c>
      <c r="D2665" s="40">
        <v>345831</v>
      </c>
      <c r="E2665">
        <f>VLOOKUP(C2665,'All Districts'!$B$3:$C$874,2,FALSE)</f>
        <v>3615030</v>
      </c>
      <c r="F2665" s="91">
        <f>COUNTIF($E$2:$E$7106,E2665)</f>
        <v>9</v>
      </c>
    </row>
    <row r="2666" spans="1:6" x14ac:dyDescent="0.2">
      <c r="A2666">
        <v>2020</v>
      </c>
      <c r="B2666" s="36">
        <v>5533</v>
      </c>
      <c r="C2666" s="90" t="str">
        <f>VLOOKUP(B2666,'All Districts'!$A$3:$B$874,2,FALSE)</f>
        <v>George Jr Republic</v>
      </c>
      <c r="D2666" s="40">
        <v>313123</v>
      </c>
      <c r="E2666">
        <f>VLOOKUP(C2666,'All Districts'!$B$3:$C$874,2,FALSE)</f>
        <v>3615030</v>
      </c>
      <c r="F2666" s="91">
        <f>COUNTIF($E$2:$E$7106,E2666)</f>
        <v>9</v>
      </c>
    </row>
    <row r="2667" spans="1:6" x14ac:dyDescent="0.2">
      <c r="A2667" s="10">
        <v>2021</v>
      </c>
      <c r="B2667" s="52">
        <v>5533</v>
      </c>
      <c r="C2667" s="90" t="str">
        <f>VLOOKUP(B2667,'All Districts'!$A$3:$B$874,2,FALSE)</f>
        <v>George Jr Republic</v>
      </c>
      <c r="D2667" s="76">
        <v>322047</v>
      </c>
      <c r="E2667">
        <f>VLOOKUP(C2667,'All Districts'!$B$3:$C$874,2,FALSE)</f>
        <v>3615030</v>
      </c>
      <c r="F2667" s="91">
        <f>COUNTIF($E$2:$E$7106,E2667)</f>
        <v>9</v>
      </c>
    </row>
    <row r="2668" spans="1:6" x14ac:dyDescent="0.2">
      <c r="A2668">
        <v>2022</v>
      </c>
      <c r="B2668" s="36">
        <v>5533</v>
      </c>
      <c r="C2668" s="90" t="str">
        <f>VLOOKUP(B2668,'All Districts'!$A$3:$B$874,2,FALSE)</f>
        <v>George Jr Republic</v>
      </c>
      <c r="D2668" s="82">
        <v>260920</v>
      </c>
      <c r="E2668">
        <f>VLOOKUP(C2668,'All Districts'!$B$3:$C$874,2,FALSE)</f>
        <v>3615030</v>
      </c>
      <c r="F2668" s="91">
        <f>COUNTIF($E$2:$E$7106,E2668)</f>
        <v>9</v>
      </c>
    </row>
    <row r="2669" spans="1:6" x14ac:dyDescent="0.2">
      <c r="A2669">
        <v>2023</v>
      </c>
      <c r="B2669" s="36">
        <v>5533</v>
      </c>
      <c r="C2669" s="90" t="str">
        <f>VLOOKUP(B2669,'All Districts'!$A$3:$B$874,2,FALSE)</f>
        <v>George Jr Republic</v>
      </c>
      <c r="D2669" s="40">
        <v>263849</v>
      </c>
      <c r="E2669">
        <f>VLOOKUP(C2669,'All Districts'!$B$3:$C$874,2,FALSE)</f>
        <v>3615030</v>
      </c>
      <c r="F2669" s="91">
        <f>COUNTIF($E$2:$E$7106,E2669)</f>
        <v>9</v>
      </c>
    </row>
    <row r="2670" spans="1:6" x14ac:dyDescent="0.2">
      <c r="A2670">
        <v>2015</v>
      </c>
      <c r="B2670" s="13">
        <v>3591</v>
      </c>
      <c r="C2670" s="90" t="str">
        <f>VLOOKUP(B2670,'All Districts'!$A$3:$B$874,2,FALSE)</f>
        <v>Georgetown-South Otselic</v>
      </c>
      <c r="D2670" s="14">
        <v>452630</v>
      </c>
      <c r="E2670">
        <f>VLOOKUP(C2670,'All Districts'!$B$3:$C$874,2,FALSE)</f>
        <v>3622100</v>
      </c>
      <c r="F2670" s="91">
        <f>COUNTIF($E$2:$E$7106,E2670)</f>
        <v>9</v>
      </c>
    </row>
    <row r="2671" spans="1:6" x14ac:dyDescent="0.2">
      <c r="A2671">
        <v>2016</v>
      </c>
      <c r="B2671" s="13">
        <v>3591</v>
      </c>
      <c r="C2671" s="90" t="str">
        <f>VLOOKUP(B2671,'All Districts'!$A$3:$B$874,2,FALSE)</f>
        <v>Georgetown-South Otselic</v>
      </c>
      <c r="D2671" s="16">
        <v>329781</v>
      </c>
      <c r="E2671">
        <f>VLOOKUP(C2671,'All Districts'!$B$3:$C$874,2,FALSE)</f>
        <v>3622100</v>
      </c>
      <c r="F2671" s="91">
        <f>COUNTIF($E$2:$E$7106,E2671)</f>
        <v>9</v>
      </c>
    </row>
    <row r="2672" spans="1:6" x14ac:dyDescent="0.2">
      <c r="A2672">
        <v>2017</v>
      </c>
      <c r="B2672" s="13">
        <v>3591</v>
      </c>
      <c r="C2672" s="90" t="str">
        <f>VLOOKUP(B2672,'All Districts'!$A$3:$B$874,2,FALSE)</f>
        <v>Georgetown-South Otselic</v>
      </c>
      <c r="D2672" s="16">
        <v>301140</v>
      </c>
      <c r="E2672">
        <f>VLOOKUP(C2672,'All Districts'!$B$3:$C$874,2,FALSE)</f>
        <v>3622100</v>
      </c>
      <c r="F2672" s="91">
        <f>COUNTIF($E$2:$E$7106,E2672)</f>
        <v>9</v>
      </c>
    </row>
    <row r="2673" spans="1:6" x14ac:dyDescent="0.2">
      <c r="A2673" s="10">
        <v>2018</v>
      </c>
      <c r="B2673" s="13">
        <v>3591</v>
      </c>
      <c r="C2673" s="90" t="str">
        <f>VLOOKUP(B2673,'All Districts'!$A$3:$B$874,2,FALSE)</f>
        <v>Georgetown-South Otselic</v>
      </c>
      <c r="D2673" s="15">
        <v>251936</v>
      </c>
      <c r="E2673">
        <f>VLOOKUP(C2673,'All Districts'!$B$3:$C$874,2,FALSE)</f>
        <v>3622100</v>
      </c>
      <c r="F2673" s="91">
        <f>COUNTIF($E$2:$E$7106,E2673)</f>
        <v>9</v>
      </c>
    </row>
    <row r="2674" spans="1:6" x14ac:dyDescent="0.2">
      <c r="A2674">
        <v>2019</v>
      </c>
      <c r="B2674" s="36">
        <v>3591</v>
      </c>
      <c r="C2674" s="90" t="str">
        <f>VLOOKUP(B2674,'All Districts'!$A$3:$B$874,2,FALSE)</f>
        <v>Georgetown-South Otselic</v>
      </c>
      <c r="D2674" s="40">
        <v>266045</v>
      </c>
      <c r="E2674">
        <f>VLOOKUP(C2674,'All Districts'!$B$3:$C$874,2,FALSE)</f>
        <v>3622100</v>
      </c>
      <c r="F2674" s="91">
        <f>COUNTIF($E$2:$E$7106,E2674)</f>
        <v>9</v>
      </c>
    </row>
    <row r="2675" spans="1:6" x14ac:dyDescent="0.2">
      <c r="A2675">
        <v>2020</v>
      </c>
      <c r="B2675" s="36">
        <v>3591</v>
      </c>
      <c r="C2675" s="90" t="str">
        <f>VLOOKUP(B2675,'All Districts'!$A$3:$B$874,2,FALSE)</f>
        <v>Georgetown-South Otselic</v>
      </c>
      <c r="D2675" s="40">
        <v>225238</v>
      </c>
      <c r="E2675">
        <f>VLOOKUP(C2675,'All Districts'!$B$3:$C$874,2,FALSE)</f>
        <v>3622100</v>
      </c>
      <c r="F2675" s="91">
        <f>COUNTIF($E$2:$E$7106,E2675)</f>
        <v>9</v>
      </c>
    </row>
    <row r="2676" spans="1:6" x14ac:dyDescent="0.2">
      <c r="A2676" s="10">
        <v>2021</v>
      </c>
      <c r="B2676" s="52">
        <v>3591</v>
      </c>
      <c r="C2676" s="90" t="str">
        <f>VLOOKUP(B2676,'All Districts'!$A$3:$B$874,2,FALSE)</f>
        <v>Georgetown-South Otselic</v>
      </c>
      <c r="D2676" s="76">
        <v>276838</v>
      </c>
      <c r="E2676">
        <f>VLOOKUP(C2676,'All Districts'!$B$3:$C$874,2,FALSE)</f>
        <v>3622100</v>
      </c>
      <c r="F2676" s="91">
        <f>COUNTIF($E$2:$E$7106,E2676)</f>
        <v>9</v>
      </c>
    </row>
    <row r="2677" spans="1:6" x14ac:dyDescent="0.2">
      <c r="A2677">
        <v>2022</v>
      </c>
      <c r="B2677" s="36">
        <v>3591</v>
      </c>
      <c r="C2677" s="90" t="str">
        <f>VLOOKUP(B2677,'All Districts'!$A$3:$B$874,2,FALSE)</f>
        <v>Georgetown-South Otselic</v>
      </c>
      <c r="D2677" s="82">
        <v>300005</v>
      </c>
      <c r="E2677">
        <f>VLOOKUP(C2677,'All Districts'!$B$3:$C$874,2,FALSE)</f>
        <v>3622100</v>
      </c>
      <c r="F2677" s="91">
        <f>COUNTIF($E$2:$E$7106,E2677)</f>
        <v>9</v>
      </c>
    </row>
    <row r="2678" spans="1:6" x14ac:dyDescent="0.2">
      <c r="A2678">
        <v>2023</v>
      </c>
      <c r="B2678" s="36">
        <v>3591</v>
      </c>
      <c r="C2678" s="90" t="str">
        <f>VLOOKUP(B2678,'All Districts'!$A$3:$B$874,2,FALSE)</f>
        <v>Georgetown-South Otselic</v>
      </c>
      <c r="D2678" s="40">
        <v>271529</v>
      </c>
      <c r="E2678">
        <f>VLOOKUP(C2678,'All Districts'!$B$3:$C$874,2,FALSE)</f>
        <v>3622100</v>
      </c>
      <c r="F2678" s="91">
        <f>COUNTIF($E$2:$E$7106,E2678)</f>
        <v>9</v>
      </c>
    </row>
    <row r="2679" spans="1:6" x14ac:dyDescent="0.2">
      <c r="A2679">
        <v>2015</v>
      </c>
      <c r="B2679" s="13">
        <v>4910</v>
      </c>
      <c r="C2679" s="90" t="str">
        <f>VLOOKUP(B2679,'All Districts'!$A$3:$B$874,2,FALSE)</f>
        <v>Germantown</v>
      </c>
      <c r="D2679" s="14">
        <v>861950</v>
      </c>
      <c r="E2679">
        <f>VLOOKUP(C2679,'All Districts'!$B$3:$C$874,2,FALSE)</f>
        <v>3612030</v>
      </c>
      <c r="F2679" s="91">
        <f>COUNTIF($E$2:$E$7106,E2679)</f>
        <v>9</v>
      </c>
    </row>
    <row r="2680" spans="1:6" x14ac:dyDescent="0.2">
      <c r="A2680">
        <v>2016</v>
      </c>
      <c r="B2680" s="13">
        <v>4910</v>
      </c>
      <c r="C2680" s="90" t="str">
        <f>VLOOKUP(B2680,'All Districts'!$A$3:$B$874,2,FALSE)</f>
        <v>Germantown</v>
      </c>
      <c r="D2680" s="16">
        <v>674454</v>
      </c>
      <c r="E2680">
        <f>VLOOKUP(C2680,'All Districts'!$B$3:$C$874,2,FALSE)</f>
        <v>3612030</v>
      </c>
      <c r="F2680" s="91">
        <f>COUNTIF($E$2:$E$7106,E2680)</f>
        <v>9</v>
      </c>
    </row>
    <row r="2681" spans="1:6" x14ac:dyDescent="0.2">
      <c r="A2681">
        <v>2017</v>
      </c>
      <c r="B2681" s="13">
        <v>4910</v>
      </c>
      <c r="C2681" s="90" t="str">
        <f>VLOOKUP(B2681,'All Districts'!$A$3:$B$874,2,FALSE)</f>
        <v>Germantown</v>
      </c>
      <c r="D2681" s="16">
        <v>622874</v>
      </c>
      <c r="E2681">
        <f>VLOOKUP(C2681,'All Districts'!$B$3:$C$874,2,FALSE)</f>
        <v>3612030</v>
      </c>
      <c r="F2681" s="91">
        <f>COUNTIF($E$2:$E$7106,E2681)</f>
        <v>9</v>
      </c>
    </row>
    <row r="2682" spans="1:6" x14ac:dyDescent="0.2">
      <c r="A2682" s="10">
        <v>2018</v>
      </c>
      <c r="B2682" s="13">
        <v>4910</v>
      </c>
      <c r="C2682" s="90" t="str">
        <f>VLOOKUP(B2682,'All Districts'!$A$3:$B$874,2,FALSE)</f>
        <v>Germantown</v>
      </c>
      <c r="D2682" s="15">
        <v>491785</v>
      </c>
      <c r="E2682">
        <f>VLOOKUP(C2682,'All Districts'!$B$3:$C$874,2,FALSE)</f>
        <v>3612030</v>
      </c>
      <c r="F2682" s="91">
        <f>COUNTIF($E$2:$E$7106,E2682)</f>
        <v>9</v>
      </c>
    </row>
    <row r="2683" spans="1:6" x14ac:dyDescent="0.2">
      <c r="A2683">
        <v>2019</v>
      </c>
      <c r="B2683" s="36">
        <v>4910</v>
      </c>
      <c r="C2683" s="90" t="str">
        <f>VLOOKUP(B2683,'All Districts'!$A$3:$B$874,2,FALSE)</f>
        <v>Germantown</v>
      </c>
      <c r="D2683" s="40">
        <v>585559</v>
      </c>
      <c r="E2683">
        <f>VLOOKUP(C2683,'All Districts'!$B$3:$C$874,2,FALSE)</f>
        <v>3612030</v>
      </c>
      <c r="F2683" s="91">
        <f>COUNTIF($E$2:$E$7106,E2683)</f>
        <v>9</v>
      </c>
    </row>
    <row r="2684" spans="1:6" x14ac:dyDescent="0.2">
      <c r="A2684">
        <v>2020</v>
      </c>
      <c r="B2684" s="36">
        <v>4910</v>
      </c>
      <c r="C2684" s="90" t="str">
        <f>VLOOKUP(B2684,'All Districts'!$A$3:$B$874,2,FALSE)</f>
        <v>Germantown</v>
      </c>
      <c r="D2684" s="40">
        <v>500291</v>
      </c>
      <c r="E2684">
        <f>VLOOKUP(C2684,'All Districts'!$B$3:$C$874,2,FALSE)</f>
        <v>3612030</v>
      </c>
      <c r="F2684" s="91">
        <f>COUNTIF($E$2:$E$7106,E2684)</f>
        <v>9</v>
      </c>
    </row>
    <row r="2685" spans="1:6" x14ac:dyDescent="0.2">
      <c r="A2685" s="10">
        <v>2021</v>
      </c>
      <c r="B2685" s="52">
        <v>4910</v>
      </c>
      <c r="C2685" s="90" t="str">
        <f>VLOOKUP(B2685,'All Districts'!$A$3:$B$874,2,FALSE)</f>
        <v>Germantown</v>
      </c>
      <c r="D2685" s="76">
        <v>507314</v>
      </c>
      <c r="E2685">
        <f>VLOOKUP(C2685,'All Districts'!$B$3:$C$874,2,FALSE)</f>
        <v>3612030</v>
      </c>
      <c r="F2685" s="91">
        <f>COUNTIF($E$2:$E$7106,E2685)</f>
        <v>9</v>
      </c>
    </row>
    <row r="2686" spans="1:6" x14ac:dyDescent="0.2">
      <c r="A2686">
        <v>2022</v>
      </c>
      <c r="B2686" s="36">
        <v>4910</v>
      </c>
      <c r="C2686" s="90" t="str">
        <f>VLOOKUP(B2686,'All Districts'!$A$3:$B$874,2,FALSE)</f>
        <v>Germantown</v>
      </c>
      <c r="D2686" s="82">
        <v>586012</v>
      </c>
      <c r="E2686">
        <f>VLOOKUP(C2686,'All Districts'!$B$3:$C$874,2,FALSE)</f>
        <v>3612030</v>
      </c>
      <c r="F2686" s="91">
        <f>COUNTIF($E$2:$E$7106,E2686)</f>
        <v>9</v>
      </c>
    </row>
    <row r="2687" spans="1:6" x14ac:dyDescent="0.2">
      <c r="A2687">
        <v>2023</v>
      </c>
      <c r="B2687" s="36">
        <v>4910</v>
      </c>
      <c r="C2687" s="90" t="str">
        <f>VLOOKUP(B2687,'All Districts'!$A$3:$B$874,2,FALSE)</f>
        <v>Germantown</v>
      </c>
      <c r="D2687" s="40">
        <v>639814</v>
      </c>
      <c r="E2687">
        <f>VLOOKUP(C2687,'All Districts'!$B$3:$C$874,2,FALSE)</f>
        <v>3612030</v>
      </c>
      <c r="F2687" s="91">
        <f>COUNTIF($E$2:$E$7106,E2687)</f>
        <v>9</v>
      </c>
    </row>
    <row r="2688" spans="1:6" x14ac:dyDescent="0.2">
      <c r="A2688">
        <v>2015</v>
      </c>
      <c r="B2688" s="13">
        <v>3594</v>
      </c>
      <c r="C2688" s="90" t="str">
        <f>VLOOKUP(B2688,'All Districts'!$A$3:$B$874,2,FALSE)</f>
        <v>Gilbertsville-Mt Upton</v>
      </c>
      <c r="D2688" s="14">
        <v>429882</v>
      </c>
      <c r="E2688">
        <f>VLOOKUP(C2688,'All Districts'!$B$3:$C$874,2,FALSE)</f>
        <v>3604757</v>
      </c>
      <c r="F2688" s="91">
        <f>COUNTIF($E$2:$E$7106,E2688)</f>
        <v>9</v>
      </c>
    </row>
    <row r="2689" spans="1:6" x14ac:dyDescent="0.2">
      <c r="A2689">
        <v>2016</v>
      </c>
      <c r="B2689" s="13">
        <v>3594</v>
      </c>
      <c r="C2689" s="90" t="str">
        <f>VLOOKUP(B2689,'All Districts'!$A$3:$B$874,2,FALSE)</f>
        <v>Gilbertsville-Mt Upton</v>
      </c>
      <c r="D2689" s="16">
        <v>332531</v>
      </c>
      <c r="E2689">
        <f>VLOOKUP(C2689,'All Districts'!$B$3:$C$874,2,FALSE)</f>
        <v>3604757</v>
      </c>
      <c r="F2689" s="91">
        <f>COUNTIF($E$2:$E$7106,E2689)</f>
        <v>9</v>
      </c>
    </row>
    <row r="2690" spans="1:6" x14ac:dyDescent="0.2">
      <c r="A2690">
        <v>2017</v>
      </c>
      <c r="B2690" s="13">
        <v>3594</v>
      </c>
      <c r="C2690" s="90" t="str">
        <f>VLOOKUP(B2690,'All Districts'!$A$3:$B$874,2,FALSE)</f>
        <v>Gilbertsville-Mt Upton</v>
      </c>
      <c r="D2690" s="16">
        <v>307762</v>
      </c>
      <c r="E2690">
        <f>VLOOKUP(C2690,'All Districts'!$B$3:$C$874,2,FALSE)</f>
        <v>3604757</v>
      </c>
      <c r="F2690" s="91">
        <f>COUNTIF($E$2:$E$7106,E2690)</f>
        <v>9</v>
      </c>
    </row>
    <row r="2691" spans="1:6" x14ac:dyDescent="0.2">
      <c r="A2691" s="10">
        <v>2018</v>
      </c>
      <c r="B2691" s="13">
        <v>3594</v>
      </c>
      <c r="C2691" s="90" t="str">
        <f>VLOOKUP(B2691,'All Districts'!$A$3:$B$874,2,FALSE)</f>
        <v>Gilbertsville-Mt Upton</v>
      </c>
      <c r="D2691" s="15">
        <v>256723</v>
      </c>
      <c r="E2691">
        <f>VLOOKUP(C2691,'All Districts'!$B$3:$C$874,2,FALSE)</f>
        <v>3604757</v>
      </c>
      <c r="F2691" s="91">
        <f>COUNTIF($E$2:$E$7106,E2691)</f>
        <v>9</v>
      </c>
    </row>
    <row r="2692" spans="1:6" x14ac:dyDescent="0.2">
      <c r="A2692">
        <v>2019</v>
      </c>
      <c r="B2692" s="36">
        <v>3594</v>
      </c>
      <c r="C2692" s="90" t="str">
        <f>VLOOKUP(B2692,'All Districts'!$A$3:$B$874,2,FALSE)</f>
        <v>Gilbertsville-Mt Upton</v>
      </c>
      <c r="D2692" s="40">
        <v>274165</v>
      </c>
      <c r="E2692">
        <f>VLOOKUP(C2692,'All Districts'!$B$3:$C$874,2,FALSE)</f>
        <v>3604757</v>
      </c>
      <c r="F2692" s="91">
        <f>COUNTIF($E$2:$E$7106,E2692)</f>
        <v>9</v>
      </c>
    </row>
    <row r="2693" spans="1:6" x14ac:dyDescent="0.2">
      <c r="A2693">
        <v>2020</v>
      </c>
      <c r="B2693" s="36">
        <v>3594</v>
      </c>
      <c r="C2693" s="90" t="str">
        <f>VLOOKUP(B2693,'All Districts'!$A$3:$B$874,2,FALSE)</f>
        <v>Gilbertsville-Mt Upton</v>
      </c>
      <c r="D2693" s="40">
        <v>230849</v>
      </c>
      <c r="E2693">
        <f>VLOOKUP(C2693,'All Districts'!$B$3:$C$874,2,FALSE)</f>
        <v>3604757</v>
      </c>
      <c r="F2693" s="91">
        <f>COUNTIF($E$2:$E$7106,E2693)</f>
        <v>9</v>
      </c>
    </row>
    <row r="2694" spans="1:6" x14ac:dyDescent="0.2">
      <c r="A2694" s="10">
        <v>2021</v>
      </c>
      <c r="B2694" s="52">
        <v>3594</v>
      </c>
      <c r="C2694" s="90" t="str">
        <f>VLOOKUP(B2694,'All Districts'!$A$3:$B$874,2,FALSE)</f>
        <v>Gilbertsville-Mt Upton</v>
      </c>
      <c r="D2694" s="76">
        <v>223844</v>
      </c>
      <c r="E2694">
        <f>VLOOKUP(C2694,'All Districts'!$B$3:$C$874,2,FALSE)</f>
        <v>3604757</v>
      </c>
      <c r="F2694" s="91">
        <f>COUNTIF($E$2:$E$7106,E2694)</f>
        <v>9</v>
      </c>
    </row>
    <row r="2695" spans="1:6" x14ac:dyDescent="0.2">
      <c r="A2695">
        <v>2022</v>
      </c>
      <c r="B2695" s="36">
        <v>3594</v>
      </c>
      <c r="C2695" s="90" t="str">
        <f>VLOOKUP(B2695,'All Districts'!$A$3:$B$874,2,FALSE)</f>
        <v>Gilbertsville-Mt Upton</v>
      </c>
      <c r="D2695" s="82">
        <v>277831</v>
      </c>
      <c r="E2695">
        <f>VLOOKUP(C2695,'All Districts'!$B$3:$C$874,2,FALSE)</f>
        <v>3604757</v>
      </c>
      <c r="F2695" s="91">
        <f>COUNTIF($E$2:$E$7106,E2695)</f>
        <v>9</v>
      </c>
    </row>
    <row r="2696" spans="1:6" x14ac:dyDescent="0.2">
      <c r="A2696">
        <v>2023</v>
      </c>
      <c r="B2696" s="36">
        <v>3594</v>
      </c>
      <c r="C2696" s="90" t="str">
        <f>VLOOKUP(B2696,'All Districts'!$A$3:$B$874,2,FALSE)</f>
        <v>Gilbertsville-Mt Upton</v>
      </c>
      <c r="D2696" s="40">
        <v>296654</v>
      </c>
      <c r="E2696">
        <f>VLOOKUP(C2696,'All Districts'!$B$3:$C$874,2,FALSE)</f>
        <v>3604757</v>
      </c>
      <c r="F2696" s="91">
        <f>COUNTIF($E$2:$E$7106,E2696)</f>
        <v>9</v>
      </c>
    </row>
    <row r="2697" spans="1:6" x14ac:dyDescent="0.2">
      <c r="A2697">
        <v>2015</v>
      </c>
      <c r="B2697" s="13">
        <v>3990</v>
      </c>
      <c r="C2697" s="90" t="str">
        <f>VLOOKUP(B2697,'All Districts'!$A$3:$B$874,2,FALSE)</f>
        <v>Gilboa-Conesville</v>
      </c>
      <c r="D2697" s="14">
        <v>528510</v>
      </c>
      <c r="E2697">
        <f>VLOOKUP(C2697,'All Districts'!$B$3:$C$874,2,FALSE)</f>
        <v>3612120</v>
      </c>
      <c r="F2697" s="91">
        <f>COUNTIF($E$2:$E$7106,E2697)</f>
        <v>9</v>
      </c>
    </row>
    <row r="2698" spans="1:6" x14ac:dyDescent="0.2">
      <c r="A2698">
        <v>2016</v>
      </c>
      <c r="B2698" s="13">
        <v>3990</v>
      </c>
      <c r="C2698" s="90" t="str">
        <f>VLOOKUP(B2698,'All Districts'!$A$3:$B$874,2,FALSE)</f>
        <v>Gilboa-Conesville</v>
      </c>
      <c r="D2698" s="16">
        <v>404095</v>
      </c>
      <c r="E2698">
        <f>VLOOKUP(C2698,'All Districts'!$B$3:$C$874,2,FALSE)</f>
        <v>3612120</v>
      </c>
      <c r="F2698" s="91">
        <f>COUNTIF($E$2:$E$7106,E2698)</f>
        <v>9</v>
      </c>
    </row>
    <row r="2699" spans="1:6" x14ac:dyDescent="0.2">
      <c r="A2699">
        <v>2017</v>
      </c>
      <c r="B2699" s="13">
        <v>3990</v>
      </c>
      <c r="C2699" s="90" t="str">
        <f>VLOOKUP(B2699,'All Districts'!$A$3:$B$874,2,FALSE)</f>
        <v>Gilboa-Conesville</v>
      </c>
      <c r="D2699" s="16">
        <v>344877</v>
      </c>
      <c r="E2699">
        <f>VLOOKUP(C2699,'All Districts'!$B$3:$C$874,2,FALSE)</f>
        <v>3612120</v>
      </c>
      <c r="F2699" s="91">
        <f>COUNTIF($E$2:$E$7106,E2699)</f>
        <v>9</v>
      </c>
    </row>
    <row r="2700" spans="1:6" x14ac:dyDescent="0.2">
      <c r="A2700" s="10">
        <v>2018</v>
      </c>
      <c r="B2700" s="13">
        <v>3990</v>
      </c>
      <c r="C2700" s="90" t="str">
        <f>VLOOKUP(B2700,'All Districts'!$A$3:$B$874,2,FALSE)</f>
        <v>Gilboa-Conesville</v>
      </c>
      <c r="D2700" s="15">
        <v>298571</v>
      </c>
      <c r="E2700">
        <f>VLOOKUP(C2700,'All Districts'!$B$3:$C$874,2,FALSE)</f>
        <v>3612120</v>
      </c>
      <c r="F2700" s="91">
        <f>COUNTIF($E$2:$E$7106,E2700)</f>
        <v>9</v>
      </c>
    </row>
    <row r="2701" spans="1:6" x14ac:dyDescent="0.2">
      <c r="A2701">
        <v>2019</v>
      </c>
      <c r="B2701" s="36">
        <v>3990</v>
      </c>
      <c r="C2701" s="90" t="str">
        <f>VLOOKUP(B2701,'All Districts'!$A$3:$B$874,2,FALSE)</f>
        <v>Gilboa-Conesville</v>
      </c>
      <c r="D2701" s="40">
        <v>312459</v>
      </c>
      <c r="E2701">
        <f>VLOOKUP(C2701,'All Districts'!$B$3:$C$874,2,FALSE)</f>
        <v>3612120</v>
      </c>
      <c r="F2701" s="91">
        <f>COUNTIF($E$2:$E$7106,E2701)</f>
        <v>9</v>
      </c>
    </row>
    <row r="2702" spans="1:6" x14ac:dyDescent="0.2">
      <c r="A2702">
        <v>2020</v>
      </c>
      <c r="B2702" s="36">
        <v>3990</v>
      </c>
      <c r="C2702" s="90" t="str">
        <f>VLOOKUP(B2702,'All Districts'!$A$3:$B$874,2,FALSE)</f>
        <v>Gilboa-Conesville</v>
      </c>
      <c r="D2702" s="40">
        <v>264760</v>
      </c>
      <c r="E2702">
        <f>VLOOKUP(C2702,'All Districts'!$B$3:$C$874,2,FALSE)</f>
        <v>3612120</v>
      </c>
      <c r="F2702" s="91">
        <f>COUNTIF($E$2:$E$7106,E2702)</f>
        <v>9</v>
      </c>
    </row>
    <row r="2703" spans="1:6" x14ac:dyDescent="0.2">
      <c r="A2703" s="10">
        <v>2021</v>
      </c>
      <c r="B2703" s="55">
        <v>3990</v>
      </c>
      <c r="C2703" s="90" t="str">
        <f>VLOOKUP(B2703,'All Districts'!$A$3:$B$874,2,FALSE)</f>
        <v>Gilboa-Conesville</v>
      </c>
      <c r="D2703" s="75">
        <v>280689</v>
      </c>
      <c r="E2703">
        <f>VLOOKUP(C2703,'All Districts'!$B$3:$C$874,2,FALSE)</f>
        <v>3612120</v>
      </c>
      <c r="F2703" s="91">
        <f>COUNTIF($E$2:$E$7106,E2703)</f>
        <v>9</v>
      </c>
    </row>
    <row r="2704" spans="1:6" x14ac:dyDescent="0.2">
      <c r="A2704">
        <v>2022</v>
      </c>
      <c r="B2704" s="36">
        <v>3990</v>
      </c>
      <c r="C2704" s="90" t="str">
        <f>VLOOKUP(B2704,'All Districts'!$A$3:$B$874,2,FALSE)</f>
        <v>Gilboa-Conesville</v>
      </c>
      <c r="D2704" s="82">
        <v>289110</v>
      </c>
      <c r="E2704">
        <f>VLOOKUP(C2704,'All Districts'!$B$3:$C$874,2,FALSE)</f>
        <v>3612120</v>
      </c>
      <c r="F2704" s="91">
        <f>COUNTIF($E$2:$E$7106,E2704)</f>
        <v>9</v>
      </c>
    </row>
    <row r="2705" spans="1:6" x14ac:dyDescent="0.2">
      <c r="A2705">
        <v>2023</v>
      </c>
      <c r="B2705" s="36">
        <v>3990</v>
      </c>
      <c r="C2705" s="90" t="str">
        <f>VLOOKUP(B2705,'All Districts'!$A$3:$B$874,2,FALSE)</f>
        <v>Gilboa-Conesville</v>
      </c>
      <c r="D2705" s="40">
        <v>311593</v>
      </c>
      <c r="E2705">
        <f>VLOOKUP(C2705,'All Districts'!$B$3:$C$874,2,FALSE)</f>
        <v>3612120</v>
      </c>
      <c r="F2705" s="91">
        <f>COUNTIF($E$2:$E$7106,E2705)</f>
        <v>9</v>
      </c>
    </row>
    <row r="2706" spans="1:6" x14ac:dyDescent="0.2">
      <c r="A2706">
        <v>2015</v>
      </c>
      <c r="B2706" s="13">
        <v>1080</v>
      </c>
      <c r="C2706" s="90" t="str">
        <f>VLOOKUP(B2706,'All Districts'!$A$3:$B$874,2,FALSE)</f>
        <v>Glen Cove</v>
      </c>
      <c r="D2706" s="14">
        <v>5755971</v>
      </c>
      <c r="E2706">
        <f>VLOOKUP(C2706,'All Districts'!$B$3:$C$874,2,FALSE)</f>
        <v>3612180</v>
      </c>
      <c r="F2706" s="91">
        <f>COUNTIF($E$2:$E$7106,E2706)</f>
        <v>9</v>
      </c>
    </row>
    <row r="2707" spans="1:6" x14ac:dyDescent="0.2">
      <c r="A2707">
        <v>2016</v>
      </c>
      <c r="B2707" s="13">
        <v>1080</v>
      </c>
      <c r="C2707" s="90" t="str">
        <f>VLOOKUP(B2707,'All Districts'!$A$3:$B$874,2,FALSE)</f>
        <v>Glen Cove</v>
      </c>
      <c r="D2707" s="16">
        <v>4443984</v>
      </c>
      <c r="E2707">
        <f>VLOOKUP(C2707,'All Districts'!$B$3:$C$874,2,FALSE)</f>
        <v>3612180</v>
      </c>
      <c r="F2707" s="91">
        <f>COUNTIF($E$2:$E$7106,E2707)</f>
        <v>9</v>
      </c>
    </row>
    <row r="2708" spans="1:6" x14ac:dyDescent="0.2">
      <c r="A2708">
        <v>2017</v>
      </c>
      <c r="B2708" s="13">
        <v>1080</v>
      </c>
      <c r="C2708" s="90" t="str">
        <f>VLOOKUP(B2708,'All Districts'!$A$3:$B$874,2,FALSE)</f>
        <v>Glen Cove</v>
      </c>
      <c r="D2708" s="16">
        <v>4007040</v>
      </c>
      <c r="E2708">
        <f>VLOOKUP(C2708,'All Districts'!$B$3:$C$874,2,FALSE)</f>
        <v>3612180</v>
      </c>
      <c r="F2708" s="91">
        <f>COUNTIF($E$2:$E$7106,E2708)</f>
        <v>9</v>
      </c>
    </row>
    <row r="2709" spans="1:6" x14ac:dyDescent="0.2">
      <c r="A2709" s="10">
        <v>2018</v>
      </c>
      <c r="B2709" s="13">
        <v>1080</v>
      </c>
      <c r="C2709" s="90" t="str">
        <f>VLOOKUP(B2709,'All Districts'!$A$3:$B$874,2,FALSE)</f>
        <v>Glen Cove</v>
      </c>
      <c r="D2709" s="15">
        <v>3373854</v>
      </c>
      <c r="E2709">
        <f>VLOOKUP(C2709,'All Districts'!$B$3:$C$874,2,FALSE)</f>
        <v>3612180</v>
      </c>
      <c r="F2709" s="91">
        <f>COUNTIF($E$2:$E$7106,E2709)</f>
        <v>9</v>
      </c>
    </row>
    <row r="2710" spans="1:6" x14ac:dyDescent="0.2">
      <c r="A2710">
        <v>2019</v>
      </c>
      <c r="B2710" s="36">
        <v>1080</v>
      </c>
      <c r="C2710" s="90" t="str">
        <f>VLOOKUP(B2710,'All Districts'!$A$3:$B$874,2,FALSE)</f>
        <v>Glen Cove</v>
      </c>
      <c r="D2710" s="40">
        <v>3802895</v>
      </c>
      <c r="E2710">
        <f>VLOOKUP(C2710,'All Districts'!$B$3:$C$874,2,FALSE)</f>
        <v>3612180</v>
      </c>
      <c r="F2710" s="91">
        <f>COUNTIF($E$2:$E$7106,E2710)</f>
        <v>9</v>
      </c>
    </row>
    <row r="2711" spans="1:6" x14ac:dyDescent="0.2">
      <c r="A2711">
        <v>2020</v>
      </c>
      <c r="B2711" s="36">
        <v>1080</v>
      </c>
      <c r="C2711" s="90" t="str">
        <f>VLOOKUP(B2711,'All Districts'!$A$3:$B$874,2,FALSE)</f>
        <v>Glen Cove</v>
      </c>
      <c r="D2711" s="40">
        <v>3199165</v>
      </c>
      <c r="E2711">
        <f>VLOOKUP(C2711,'All Districts'!$B$3:$C$874,2,FALSE)</f>
        <v>3612180</v>
      </c>
      <c r="F2711" s="91">
        <f>COUNTIF($E$2:$E$7106,E2711)</f>
        <v>9</v>
      </c>
    </row>
    <row r="2712" spans="1:6" x14ac:dyDescent="0.2">
      <c r="A2712" s="10">
        <v>2021</v>
      </c>
      <c r="B2712" s="55">
        <v>1080</v>
      </c>
      <c r="C2712" s="90" t="str">
        <f>VLOOKUP(B2712,'All Districts'!$A$3:$B$874,2,FALSE)</f>
        <v>Glen Cove</v>
      </c>
      <c r="D2712" s="75">
        <v>3489821</v>
      </c>
      <c r="E2712">
        <f>VLOOKUP(C2712,'All Districts'!$B$3:$C$874,2,FALSE)</f>
        <v>3612180</v>
      </c>
      <c r="F2712" s="91">
        <f>COUNTIF($E$2:$E$7106,E2712)</f>
        <v>9</v>
      </c>
    </row>
    <row r="2713" spans="1:6" x14ac:dyDescent="0.2">
      <c r="A2713">
        <v>2022</v>
      </c>
      <c r="B2713" s="36">
        <v>1080</v>
      </c>
      <c r="C2713" s="90" t="str">
        <f>VLOOKUP(B2713,'All Districts'!$A$3:$B$874,2,FALSE)</f>
        <v>Glen Cove</v>
      </c>
      <c r="D2713" s="82">
        <v>3832906</v>
      </c>
      <c r="E2713">
        <f>VLOOKUP(C2713,'All Districts'!$B$3:$C$874,2,FALSE)</f>
        <v>3612180</v>
      </c>
      <c r="F2713" s="91">
        <f>COUNTIF($E$2:$E$7106,E2713)</f>
        <v>9</v>
      </c>
    </row>
    <row r="2714" spans="1:6" x14ac:dyDescent="0.2">
      <c r="A2714">
        <v>2023</v>
      </c>
      <c r="B2714" s="36">
        <v>1080</v>
      </c>
      <c r="C2714" s="90" t="str">
        <f>VLOOKUP(B2714,'All Districts'!$A$3:$B$874,2,FALSE)</f>
        <v>Glen Cove</v>
      </c>
      <c r="D2714" s="40">
        <v>4135737</v>
      </c>
      <c r="E2714">
        <f>VLOOKUP(C2714,'All Districts'!$B$3:$C$874,2,FALSE)</f>
        <v>3612180</v>
      </c>
      <c r="F2714" s="91">
        <f>COUNTIF($E$2:$E$7106,E2714)</f>
        <v>9</v>
      </c>
    </row>
    <row r="2715" spans="1:6" x14ac:dyDescent="0.2">
      <c r="A2715">
        <v>2015</v>
      </c>
      <c r="B2715" s="13">
        <v>8412</v>
      </c>
      <c r="C2715" s="90" t="str">
        <f>VLOOKUP(B2715,'All Districts'!$A$3:$B$874,2,FALSE)</f>
        <v>Global Concepts</v>
      </c>
      <c r="D2715" s="16">
        <v>765084</v>
      </c>
      <c r="E2715">
        <f>VLOOKUP(C2715,'All Districts'!$B$3:$C$874,2,FALSE)</f>
        <v>3600067</v>
      </c>
      <c r="F2715" s="91">
        <f>COUNTIF($E$2:$E$7106,E2715)</f>
        <v>9</v>
      </c>
    </row>
    <row r="2716" spans="1:6" x14ac:dyDescent="0.2">
      <c r="A2716">
        <v>2016</v>
      </c>
      <c r="B2716" s="13">
        <v>8412</v>
      </c>
      <c r="C2716" s="90" t="str">
        <f>VLOOKUP(B2716,'All Districts'!$A$3:$B$874,2,FALSE)</f>
        <v>Global Concepts</v>
      </c>
      <c r="D2716" s="16">
        <v>645778</v>
      </c>
      <c r="E2716">
        <f>VLOOKUP(C2716,'All Districts'!$B$3:$C$874,2,FALSE)</f>
        <v>3600067</v>
      </c>
      <c r="F2716" s="91">
        <f>COUNTIF($E$2:$E$7106,E2716)</f>
        <v>9</v>
      </c>
    </row>
    <row r="2717" spans="1:6" x14ac:dyDescent="0.2">
      <c r="A2717">
        <v>2017</v>
      </c>
      <c r="B2717" s="13">
        <v>8412</v>
      </c>
      <c r="C2717" s="90" t="str">
        <f>VLOOKUP(B2717,'All Districts'!$A$3:$B$874,2,FALSE)</f>
        <v>Global Concepts</v>
      </c>
      <c r="D2717" s="16">
        <v>547223</v>
      </c>
      <c r="E2717">
        <f>VLOOKUP(C2717,'All Districts'!$B$3:$C$874,2,FALSE)</f>
        <v>3600067</v>
      </c>
      <c r="F2717" s="91">
        <f>COUNTIF($E$2:$E$7106,E2717)</f>
        <v>9</v>
      </c>
    </row>
    <row r="2718" spans="1:6" x14ac:dyDescent="0.2">
      <c r="A2718" s="10">
        <v>2018</v>
      </c>
      <c r="B2718" s="13">
        <v>8412</v>
      </c>
      <c r="C2718" s="90" t="str">
        <f>VLOOKUP(B2718,'All Districts'!$A$3:$B$874,2,FALSE)</f>
        <v>Global Concepts</v>
      </c>
      <c r="D2718" s="15">
        <v>475949</v>
      </c>
      <c r="E2718">
        <f>VLOOKUP(C2718,'All Districts'!$B$3:$C$874,2,FALSE)</f>
        <v>3600067</v>
      </c>
      <c r="F2718" s="91">
        <f>COUNTIF($E$2:$E$7106,E2718)</f>
        <v>9</v>
      </c>
    </row>
    <row r="2719" spans="1:6" x14ac:dyDescent="0.2">
      <c r="A2719">
        <v>2019</v>
      </c>
      <c r="B2719" s="36">
        <v>8412</v>
      </c>
      <c r="C2719" s="90" t="str">
        <f>VLOOKUP(B2719,'All Districts'!$A$3:$B$874,2,FALSE)</f>
        <v>Global Concepts</v>
      </c>
      <c r="D2719" s="40">
        <v>637913</v>
      </c>
      <c r="E2719">
        <f>VLOOKUP(C2719,'All Districts'!$B$3:$C$874,2,FALSE)</f>
        <v>3600067</v>
      </c>
      <c r="F2719" s="91">
        <f>COUNTIF($E$2:$E$7106,E2719)</f>
        <v>9</v>
      </c>
    </row>
    <row r="2720" spans="1:6" x14ac:dyDescent="0.2">
      <c r="A2720">
        <v>2020</v>
      </c>
      <c r="B2720" s="36">
        <v>8412</v>
      </c>
      <c r="C2720" s="90" t="str">
        <f>VLOOKUP(B2720,'All Districts'!$A$3:$B$874,2,FALSE)</f>
        <v>Global Concepts</v>
      </c>
      <c r="D2720" s="40">
        <v>496866</v>
      </c>
      <c r="E2720">
        <f>VLOOKUP(C2720,'All Districts'!$B$3:$C$874,2,FALSE)</f>
        <v>3600067</v>
      </c>
      <c r="F2720" s="91">
        <f>COUNTIF($E$2:$E$7106,E2720)</f>
        <v>9</v>
      </c>
    </row>
    <row r="2721" spans="1:6" x14ac:dyDescent="0.2">
      <c r="A2721" s="10">
        <v>2021</v>
      </c>
      <c r="B2721" s="55">
        <v>8412</v>
      </c>
      <c r="C2721" s="90" t="str">
        <f>VLOOKUP(B2721,'All Districts'!$A$3:$B$874,2,FALSE)</f>
        <v>Global Concepts</v>
      </c>
      <c r="D2721" s="75">
        <v>571538</v>
      </c>
      <c r="E2721">
        <f>VLOOKUP(C2721,'All Districts'!$B$3:$C$874,2,FALSE)</f>
        <v>3600067</v>
      </c>
      <c r="F2721" s="91">
        <f>COUNTIF($E$2:$E$7106,E2721)</f>
        <v>9</v>
      </c>
    </row>
    <row r="2722" spans="1:6" x14ac:dyDescent="0.2">
      <c r="A2722">
        <v>2022</v>
      </c>
      <c r="B2722" s="36">
        <v>8412</v>
      </c>
      <c r="C2722" s="90" t="str">
        <f>VLOOKUP(B2722,'All Districts'!$A$3:$B$874,2,FALSE)</f>
        <v>Global Concepts</v>
      </c>
      <c r="D2722" s="82">
        <v>593949</v>
      </c>
      <c r="E2722">
        <f>VLOOKUP(C2722,'All Districts'!$B$3:$C$874,2,FALSE)</f>
        <v>3600067</v>
      </c>
      <c r="F2722" s="91">
        <f>COUNTIF($E$2:$E$7106,E2722)</f>
        <v>9</v>
      </c>
    </row>
    <row r="2723" spans="1:6" x14ac:dyDescent="0.2">
      <c r="A2723">
        <v>2023</v>
      </c>
      <c r="B2723" s="36">
        <v>8412</v>
      </c>
      <c r="C2723" s="90" t="str">
        <f>VLOOKUP(B2723,'All Districts'!$A$3:$B$874,2,FALSE)</f>
        <v>Global Concepts</v>
      </c>
      <c r="D2723" s="40">
        <v>654310</v>
      </c>
      <c r="E2723">
        <f>VLOOKUP(C2723,'All Districts'!$B$3:$C$874,2,FALSE)</f>
        <v>3600067</v>
      </c>
      <c r="F2723" s="91">
        <f>COUNTIF($E$2:$E$7106,E2723)</f>
        <v>9</v>
      </c>
    </row>
    <row r="2724" spans="1:6" x14ac:dyDescent="0.2">
      <c r="A2724">
        <v>2015</v>
      </c>
      <c r="B2724" s="13">
        <v>1090</v>
      </c>
      <c r="C2724" s="90" t="str">
        <f>VLOOKUP(B2724,'All Districts'!$A$3:$B$874,2,FALSE)</f>
        <v>Gloversville</v>
      </c>
      <c r="D2724" s="14">
        <v>3395428</v>
      </c>
      <c r="E2724">
        <f>VLOOKUP(C2724,'All Districts'!$B$3:$C$874,2,FALSE)</f>
        <v>3612270</v>
      </c>
      <c r="F2724" s="91">
        <f>COUNTIF($E$2:$E$7106,E2724)</f>
        <v>9</v>
      </c>
    </row>
    <row r="2725" spans="1:6" x14ac:dyDescent="0.2">
      <c r="A2725">
        <v>2016</v>
      </c>
      <c r="B2725" s="13">
        <v>1090</v>
      </c>
      <c r="C2725" s="90" t="str">
        <f>VLOOKUP(B2725,'All Districts'!$A$3:$B$874,2,FALSE)</f>
        <v>Gloversville</v>
      </c>
      <c r="D2725" s="16">
        <v>2621402</v>
      </c>
      <c r="E2725">
        <f>VLOOKUP(C2725,'All Districts'!$B$3:$C$874,2,FALSE)</f>
        <v>3612270</v>
      </c>
      <c r="F2725" s="91">
        <f>COUNTIF($E$2:$E$7106,E2725)</f>
        <v>9</v>
      </c>
    </row>
    <row r="2726" spans="1:6" x14ac:dyDescent="0.2">
      <c r="A2726">
        <v>2017</v>
      </c>
      <c r="B2726" s="13">
        <v>1090</v>
      </c>
      <c r="C2726" s="90" t="str">
        <f>VLOOKUP(B2726,'All Districts'!$A$3:$B$874,2,FALSE)</f>
        <v>Gloversville</v>
      </c>
      <c r="D2726" s="16">
        <v>2303503</v>
      </c>
      <c r="E2726">
        <f>VLOOKUP(C2726,'All Districts'!$B$3:$C$874,2,FALSE)</f>
        <v>3612270</v>
      </c>
      <c r="F2726" s="91">
        <f>COUNTIF($E$2:$E$7106,E2726)</f>
        <v>9</v>
      </c>
    </row>
    <row r="2727" spans="1:6" x14ac:dyDescent="0.2">
      <c r="A2727" s="10">
        <v>2018</v>
      </c>
      <c r="B2727" s="13">
        <v>1090</v>
      </c>
      <c r="C2727" s="90" t="str">
        <f>VLOOKUP(B2727,'All Districts'!$A$3:$B$874,2,FALSE)</f>
        <v>Gloversville</v>
      </c>
      <c r="D2727" s="15">
        <v>1898949</v>
      </c>
      <c r="E2727">
        <f>VLOOKUP(C2727,'All Districts'!$B$3:$C$874,2,FALSE)</f>
        <v>3612270</v>
      </c>
      <c r="F2727" s="91">
        <f>COUNTIF($E$2:$E$7106,E2727)</f>
        <v>9</v>
      </c>
    </row>
    <row r="2728" spans="1:6" x14ac:dyDescent="0.2">
      <c r="A2728">
        <v>2019</v>
      </c>
      <c r="B2728" s="36">
        <v>1090</v>
      </c>
      <c r="C2728" s="90" t="str">
        <f>VLOOKUP(B2728,'All Districts'!$A$3:$B$874,2,FALSE)</f>
        <v>Gloversville</v>
      </c>
      <c r="D2728" s="40">
        <v>2146302</v>
      </c>
      <c r="E2728">
        <f>VLOOKUP(C2728,'All Districts'!$B$3:$C$874,2,FALSE)</f>
        <v>3612270</v>
      </c>
      <c r="F2728" s="91">
        <f>COUNTIF($E$2:$E$7106,E2728)</f>
        <v>9</v>
      </c>
    </row>
    <row r="2729" spans="1:6" x14ac:dyDescent="0.2">
      <c r="A2729">
        <v>2020</v>
      </c>
      <c r="B2729" s="36">
        <v>1090</v>
      </c>
      <c r="C2729" s="90" t="str">
        <f>VLOOKUP(B2729,'All Districts'!$A$3:$B$874,2,FALSE)</f>
        <v>Gloversville</v>
      </c>
      <c r="D2729" s="40">
        <v>1833627</v>
      </c>
      <c r="E2729">
        <f>VLOOKUP(C2729,'All Districts'!$B$3:$C$874,2,FALSE)</f>
        <v>3612270</v>
      </c>
      <c r="F2729" s="91">
        <f>COUNTIF($E$2:$E$7106,E2729)</f>
        <v>9</v>
      </c>
    </row>
    <row r="2730" spans="1:6" x14ac:dyDescent="0.2">
      <c r="A2730" s="10">
        <v>2021</v>
      </c>
      <c r="B2730" s="55">
        <v>1090</v>
      </c>
      <c r="C2730" s="90" t="str">
        <f>VLOOKUP(B2730,'All Districts'!$A$3:$B$874,2,FALSE)</f>
        <v>Gloversville</v>
      </c>
      <c r="D2730" s="76">
        <v>1935026</v>
      </c>
      <c r="E2730">
        <f>VLOOKUP(C2730,'All Districts'!$B$3:$C$874,2,FALSE)</f>
        <v>3612270</v>
      </c>
      <c r="F2730" s="91">
        <f>COUNTIF($E$2:$E$7106,E2730)</f>
        <v>9</v>
      </c>
    </row>
    <row r="2731" spans="1:6" x14ac:dyDescent="0.2">
      <c r="A2731">
        <v>2022</v>
      </c>
      <c r="B2731" s="36">
        <v>1090</v>
      </c>
      <c r="C2731" s="90" t="str">
        <f>VLOOKUP(B2731,'All Districts'!$A$3:$B$874,2,FALSE)</f>
        <v>Gloversville</v>
      </c>
      <c r="D2731" s="82">
        <v>2097082</v>
      </c>
      <c r="E2731">
        <f>VLOOKUP(C2731,'All Districts'!$B$3:$C$874,2,FALSE)</f>
        <v>3612270</v>
      </c>
      <c r="F2731" s="91">
        <f>COUNTIF($E$2:$E$7106,E2731)</f>
        <v>9</v>
      </c>
    </row>
    <row r="2732" spans="1:6" x14ac:dyDescent="0.2">
      <c r="A2732">
        <v>2023</v>
      </c>
      <c r="B2732" s="36">
        <v>1090</v>
      </c>
      <c r="C2732" s="90" t="str">
        <f>VLOOKUP(B2732,'All Districts'!$A$3:$B$874,2,FALSE)</f>
        <v>Gloversville</v>
      </c>
      <c r="D2732" s="40">
        <v>2236356</v>
      </c>
      <c r="E2732">
        <f>VLOOKUP(C2732,'All Districts'!$B$3:$C$874,2,FALSE)</f>
        <v>3612270</v>
      </c>
      <c r="F2732" s="91">
        <f>COUNTIF($E$2:$E$7106,E2732)</f>
        <v>9</v>
      </c>
    </row>
    <row r="2733" spans="1:6" x14ac:dyDescent="0.2">
      <c r="A2733">
        <v>2015</v>
      </c>
      <c r="B2733" s="13">
        <v>2363</v>
      </c>
      <c r="C2733" s="90" t="str">
        <f>VLOOKUP(B2733,'All Districts'!$A$3:$B$874,2,FALSE)</f>
        <v>Gorham-Middlesex (Marcus Whitman)</v>
      </c>
      <c r="D2733" s="14">
        <v>1592869</v>
      </c>
      <c r="E2733">
        <f>VLOOKUP(C2733,'All Districts'!$B$3:$C$874,2,FALSE)</f>
        <v>3612300</v>
      </c>
      <c r="F2733" s="91">
        <f>COUNTIF($E$2:$E$7106,E2733)</f>
        <v>9</v>
      </c>
    </row>
    <row r="2734" spans="1:6" x14ac:dyDescent="0.2">
      <c r="A2734">
        <v>2016</v>
      </c>
      <c r="B2734" s="13">
        <v>2363</v>
      </c>
      <c r="C2734" s="90" t="str">
        <f>VLOOKUP(B2734,'All Districts'!$A$3:$B$874,2,FALSE)</f>
        <v>Gorham-Middlesex (Marcus Whitman)</v>
      </c>
      <c r="D2734" s="16">
        <v>1214670</v>
      </c>
      <c r="E2734">
        <f>VLOOKUP(C2734,'All Districts'!$B$3:$C$874,2,FALSE)</f>
        <v>3612300</v>
      </c>
      <c r="F2734" s="91">
        <f>COUNTIF($E$2:$E$7106,E2734)</f>
        <v>9</v>
      </c>
    </row>
    <row r="2735" spans="1:6" x14ac:dyDescent="0.2">
      <c r="A2735">
        <v>2017</v>
      </c>
      <c r="B2735" s="13">
        <v>2363</v>
      </c>
      <c r="C2735" s="90" t="str">
        <f>VLOOKUP(B2735,'All Districts'!$A$3:$B$874,2,FALSE)</f>
        <v>Gorham-Middlesex (Marcus Whitman)</v>
      </c>
      <c r="D2735" s="16">
        <v>1085102</v>
      </c>
      <c r="E2735">
        <f>VLOOKUP(C2735,'All Districts'!$B$3:$C$874,2,FALSE)</f>
        <v>3612300</v>
      </c>
      <c r="F2735" s="91">
        <f>COUNTIF($E$2:$E$7106,E2735)</f>
        <v>9</v>
      </c>
    </row>
    <row r="2736" spans="1:6" x14ac:dyDescent="0.2">
      <c r="A2736" s="10">
        <v>2018</v>
      </c>
      <c r="B2736" s="13">
        <v>2363</v>
      </c>
      <c r="C2736" s="90" t="str">
        <f>VLOOKUP(B2736,'All Districts'!$A$3:$B$874,2,FALSE)</f>
        <v>Gorham-Middlesex (Marcus Whitman)</v>
      </c>
      <c r="D2736" s="15">
        <v>936200</v>
      </c>
      <c r="E2736">
        <f>VLOOKUP(C2736,'All Districts'!$B$3:$C$874,2,FALSE)</f>
        <v>3612300</v>
      </c>
      <c r="F2736" s="91">
        <f>COUNTIF($E$2:$E$7106,E2736)</f>
        <v>9</v>
      </c>
    </row>
    <row r="2737" spans="1:6" x14ac:dyDescent="0.2">
      <c r="A2737">
        <v>2019</v>
      </c>
      <c r="B2737" s="36">
        <v>2363</v>
      </c>
      <c r="C2737" s="90" t="str">
        <f>VLOOKUP(B2737,'All Districts'!$A$3:$B$874,2,FALSE)</f>
        <v>Gorham-Middlesex (Marcus Whitman)</v>
      </c>
      <c r="D2737" s="40">
        <v>1056339</v>
      </c>
      <c r="E2737">
        <f>VLOOKUP(C2737,'All Districts'!$B$3:$C$874,2,FALSE)</f>
        <v>3612300</v>
      </c>
      <c r="F2737" s="91">
        <f>COUNTIF($E$2:$E$7106,E2737)</f>
        <v>9</v>
      </c>
    </row>
    <row r="2738" spans="1:6" x14ac:dyDescent="0.2">
      <c r="A2738">
        <v>2020</v>
      </c>
      <c r="B2738" s="36">
        <v>2363</v>
      </c>
      <c r="C2738" s="90" t="str">
        <f>VLOOKUP(B2738,'All Districts'!$A$3:$B$874,2,FALSE)</f>
        <v>Gorham-Middlesex (Marcus Whitman)</v>
      </c>
      <c r="D2738" s="40">
        <v>873329</v>
      </c>
      <c r="E2738">
        <f>VLOOKUP(C2738,'All Districts'!$B$3:$C$874,2,FALSE)</f>
        <v>3612300</v>
      </c>
      <c r="F2738" s="91">
        <f>COUNTIF($E$2:$E$7106,E2738)</f>
        <v>9</v>
      </c>
    </row>
    <row r="2739" spans="1:6" x14ac:dyDescent="0.2">
      <c r="A2739" s="10">
        <v>2021</v>
      </c>
      <c r="B2739" s="52">
        <v>2363</v>
      </c>
      <c r="C2739" s="90" t="str">
        <f>VLOOKUP(B2739,'All Districts'!$A$3:$B$874,2,FALSE)</f>
        <v>Gorham-Middlesex (Marcus Whitman)</v>
      </c>
      <c r="D2739" s="76">
        <v>952047</v>
      </c>
      <c r="E2739">
        <f>VLOOKUP(C2739,'All Districts'!$B$3:$C$874,2,FALSE)</f>
        <v>3612300</v>
      </c>
      <c r="F2739" s="91">
        <f>COUNTIF($E$2:$E$7106,E2739)</f>
        <v>9</v>
      </c>
    </row>
    <row r="2740" spans="1:6" x14ac:dyDescent="0.2">
      <c r="A2740">
        <v>2022</v>
      </c>
      <c r="B2740" s="36">
        <v>2363</v>
      </c>
      <c r="C2740" s="90" t="str">
        <f>VLOOKUP(B2740,'All Districts'!$A$3:$B$874,2,FALSE)</f>
        <v>Gorham-Middlesex (Marcus Whitman)</v>
      </c>
      <c r="D2740" s="82">
        <v>1003617</v>
      </c>
      <c r="E2740">
        <f>VLOOKUP(C2740,'All Districts'!$B$3:$C$874,2,FALSE)</f>
        <v>3612300</v>
      </c>
      <c r="F2740" s="91">
        <f>COUNTIF($E$2:$E$7106,E2740)</f>
        <v>9</v>
      </c>
    </row>
    <row r="2741" spans="1:6" x14ac:dyDescent="0.2">
      <c r="A2741">
        <v>2023</v>
      </c>
      <c r="B2741" s="36">
        <v>2363</v>
      </c>
      <c r="C2741" s="90" t="str">
        <f>VLOOKUP(B2741,'All Districts'!$A$3:$B$874,2,FALSE)</f>
        <v>Gorham-Middlesex (Marcus Whitman)</v>
      </c>
      <c r="D2741" s="40">
        <v>1096111</v>
      </c>
      <c r="E2741">
        <f>VLOOKUP(C2741,'All Districts'!$B$3:$C$874,2,FALSE)</f>
        <v>3612300</v>
      </c>
      <c r="F2741" s="91">
        <f>COUNTIF($E$2:$E$7106,E2741)</f>
        <v>9</v>
      </c>
    </row>
    <row r="2742" spans="1:6" x14ac:dyDescent="0.2">
      <c r="A2742">
        <v>2015</v>
      </c>
      <c r="B2742" s="13">
        <v>4653</v>
      </c>
      <c r="C2742" s="90" t="str">
        <f>VLOOKUP(B2742,'All Districts'!$A$3:$B$874,2,FALSE)</f>
        <v>Goshen</v>
      </c>
      <c r="D2742" s="14">
        <v>4164011</v>
      </c>
      <c r="E2742">
        <f>VLOOKUP(C2742,'All Districts'!$B$3:$C$874,2,FALSE)</f>
        <v>3612330</v>
      </c>
      <c r="F2742" s="91">
        <f>COUNTIF($E$2:$E$7106,E2742)</f>
        <v>9</v>
      </c>
    </row>
    <row r="2743" spans="1:6" x14ac:dyDescent="0.2">
      <c r="A2743">
        <v>2016</v>
      </c>
      <c r="B2743" s="13">
        <v>4653</v>
      </c>
      <c r="C2743" s="90" t="str">
        <f>VLOOKUP(B2743,'All Districts'!$A$3:$B$874,2,FALSE)</f>
        <v>Goshen</v>
      </c>
      <c r="D2743" s="16">
        <v>3281237</v>
      </c>
      <c r="E2743">
        <f>VLOOKUP(C2743,'All Districts'!$B$3:$C$874,2,FALSE)</f>
        <v>3612330</v>
      </c>
      <c r="F2743" s="91">
        <f>COUNTIF($E$2:$E$7106,E2743)</f>
        <v>9</v>
      </c>
    </row>
    <row r="2744" spans="1:6" x14ac:dyDescent="0.2">
      <c r="A2744">
        <v>2017</v>
      </c>
      <c r="B2744" s="13">
        <v>4653</v>
      </c>
      <c r="C2744" s="90" t="str">
        <f>VLOOKUP(B2744,'All Districts'!$A$3:$B$874,2,FALSE)</f>
        <v>Goshen</v>
      </c>
      <c r="D2744" s="16">
        <v>2968675</v>
      </c>
      <c r="E2744">
        <f>VLOOKUP(C2744,'All Districts'!$B$3:$C$874,2,FALSE)</f>
        <v>3612330</v>
      </c>
      <c r="F2744" s="91">
        <f>COUNTIF($E$2:$E$7106,E2744)</f>
        <v>9</v>
      </c>
    </row>
    <row r="2745" spans="1:6" x14ac:dyDescent="0.2">
      <c r="A2745" s="10">
        <v>2018</v>
      </c>
      <c r="B2745" s="13">
        <v>4653</v>
      </c>
      <c r="C2745" s="90" t="str">
        <f>VLOOKUP(B2745,'All Districts'!$A$3:$B$874,2,FALSE)</f>
        <v>Goshen</v>
      </c>
      <c r="D2745" s="15">
        <v>2616628</v>
      </c>
      <c r="E2745">
        <f>VLOOKUP(C2745,'All Districts'!$B$3:$C$874,2,FALSE)</f>
        <v>3612330</v>
      </c>
      <c r="F2745" s="91">
        <f>COUNTIF($E$2:$E$7106,E2745)</f>
        <v>9</v>
      </c>
    </row>
    <row r="2746" spans="1:6" x14ac:dyDescent="0.2">
      <c r="A2746">
        <v>2019</v>
      </c>
      <c r="B2746" s="36">
        <v>4653</v>
      </c>
      <c r="C2746" s="90" t="str">
        <f>VLOOKUP(B2746,'All Districts'!$A$3:$B$874,2,FALSE)</f>
        <v>Goshen</v>
      </c>
      <c r="D2746" s="40">
        <v>2981796</v>
      </c>
      <c r="E2746">
        <f>VLOOKUP(C2746,'All Districts'!$B$3:$C$874,2,FALSE)</f>
        <v>3612330</v>
      </c>
      <c r="F2746" s="91">
        <f>COUNTIF($E$2:$E$7106,E2746)</f>
        <v>9</v>
      </c>
    </row>
    <row r="2747" spans="1:6" x14ac:dyDescent="0.2">
      <c r="A2747">
        <v>2020</v>
      </c>
      <c r="B2747" s="36">
        <v>4653</v>
      </c>
      <c r="C2747" s="90" t="str">
        <f>VLOOKUP(B2747,'All Districts'!$A$3:$B$874,2,FALSE)</f>
        <v>Goshen</v>
      </c>
      <c r="D2747" s="40">
        <v>2598671</v>
      </c>
      <c r="E2747">
        <f>VLOOKUP(C2747,'All Districts'!$B$3:$C$874,2,FALSE)</f>
        <v>3612330</v>
      </c>
      <c r="F2747" s="91">
        <f>COUNTIF($E$2:$E$7106,E2747)</f>
        <v>9</v>
      </c>
    </row>
    <row r="2748" spans="1:6" x14ac:dyDescent="0.2">
      <c r="A2748" s="10">
        <v>2021</v>
      </c>
      <c r="B2748" s="52">
        <v>4653</v>
      </c>
      <c r="C2748" s="90" t="str">
        <f>VLOOKUP(B2748,'All Districts'!$A$3:$B$874,2,FALSE)</f>
        <v>Goshen</v>
      </c>
      <c r="D2748" s="76">
        <v>2816583</v>
      </c>
      <c r="E2748">
        <f>VLOOKUP(C2748,'All Districts'!$B$3:$C$874,2,FALSE)</f>
        <v>3612330</v>
      </c>
      <c r="F2748" s="91">
        <f>COUNTIF($E$2:$E$7106,E2748)</f>
        <v>9</v>
      </c>
    </row>
    <row r="2749" spans="1:6" x14ac:dyDescent="0.2">
      <c r="A2749">
        <v>2022</v>
      </c>
      <c r="B2749" s="36">
        <v>4653</v>
      </c>
      <c r="C2749" s="90" t="str">
        <f>VLOOKUP(B2749,'All Districts'!$A$3:$B$874,2,FALSE)</f>
        <v>Goshen</v>
      </c>
      <c r="D2749" s="82">
        <v>2945940</v>
      </c>
      <c r="E2749">
        <f>VLOOKUP(C2749,'All Districts'!$B$3:$C$874,2,FALSE)</f>
        <v>3612330</v>
      </c>
      <c r="F2749" s="91">
        <f>COUNTIF($E$2:$E$7106,E2749)</f>
        <v>9</v>
      </c>
    </row>
    <row r="2750" spans="1:6" x14ac:dyDescent="0.2">
      <c r="A2750">
        <v>2023</v>
      </c>
      <c r="B2750" s="36">
        <v>4653</v>
      </c>
      <c r="C2750" s="90" t="str">
        <f>VLOOKUP(B2750,'All Districts'!$A$3:$B$874,2,FALSE)</f>
        <v>Goshen</v>
      </c>
      <c r="D2750" s="40">
        <v>3112503</v>
      </c>
      <c r="E2750">
        <f>VLOOKUP(C2750,'All Districts'!$B$3:$C$874,2,FALSE)</f>
        <v>3612330</v>
      </c>
      <c r="F2750" s="91">
        <f>COUNTIF($E$2:$E$7106,E2750)</f>
        <v>9</v>
      </c>
    </row>
    <row r="2751" spans="1:6" x14ac:dyDescent="0.2">
      <c r="A2751">
        <v>2015</v>
      </c>
      <c r="B2751" s="13">
        <v>2195</v>
      </c>
      <c r="C2751" s="90" t="str">
        <f>VLOOKUP(B2751,'All Districts'!$A$3:$B$874,2,FALSE)</f>
        <v>Gouverneur</v>
      </c>
      <c r="D2751" s="14">
        <v>1560978</v>
      </c>
      <c r="E2751">
        <f>VLOOKUP(C2751,'All Districts'!$B$3:$C$874,2,FALSE)</f>
        <v>3612360</v>
      </c>
      <c r="F2751" s="91">
        <f>COUNTIF($E$2:$E$7106,E2751)</f>
        <v>9</v>
      </c>
    </row>
    <row r="2752" spans="1:6" x14ac:dyDescent="0.2">
      <c r="A2752">
        <v>2016</v>
      </c>
      <c r="B2752" s="13">
        <v>2195</v>
      </c>
      <c r="C2752" s="90" t="str">
        <f>VLOOKUP(B2752,'All Districts'!$A$3:$B$874,2,FALSE)</f>
        <v>Gouverneur</v>
      </c>
      <c r="D2752" s="16">
        <v>1217262</v>
      </c>
      <c r="E2752">
        <f>VLOOKUP(C2752,'All Districts'!$B$3:$C$874,2,FALSE)</f>
        <v>3612360</v>
      </c>
      <c r="F2752" s="91">
        <f>COUNTIF($E$2:$E$7106,E2752)</f>
        <v>9</v>
      </c>
    </row>
    <row r="2753" spans="1:6" x14ac:dyDescent="0.2">
      <c r="A2753">
        <v>2017</v>
      </c>
      <c r="B2753" s="13">
        <v>2195</v>
      </c>
      <c r="C2753" s="90" t="str">
        <f>VLOOKUP(B2753,'All Districts'!$A$3:$B$874,2,FALSE)</f>
        <v>Gouverneur</v>
      </c>
      <c r="D2753" s="16">
        <v>1115149</v>
      </c>
      <c r="E2753">
        <f>VLOOKUP(C2753,'All Districts'!$B$3:$C$874,2,FALSE)</f>
        <v>3612360</v>
      </c>
      <c r="F2753" s="91">
        <f>COUNTIF($E$2:$E$7106,E2753)</f>
        <v>9</v>
      </c>
    </row>
    <row r="2754" spans="1:6" x14ac:dyDescent="0.2">
      <c r="A2754" s="10">
        <v>2018</v>
      </c>
      <c r="B2754" s="13">
        <v>2195</v>
      </c>
      <c r="C2754" s="90" t="str">
        <f>VLOOKUP(B2754,'All Districts'!$A$3:$B$874,2,FALSE)</f>
        <v>Gouverneur</v>
      </c>
      <c r="D2754" s="15">
        <v>940593</v>
      </c>
      <c r="E2754">
        <f>VLOOKUP(C2754,'All Districts'!$B$3:$C$874,2,FALSE)</f>
        <v>3612360</v>
      </c>
      <c r="F2754" s="91">
        <f>COUNTIF($E$2:$E$7106,E2754)</f>
        <v>9</v>
      </c>
    </row>
    <row r="2755" spans="1:6" x14ac:dyDescent="0.2">
      <c r="A2755">
        <v>2019</v>
      </c>
      <c r="B2755" s="36">
        <v>2195</v>
      </c>
      <c r="C2755" s="90" t="str">
        <f>VLOOKUP(B2755,'All Districts'!$A$3:$B$874,2,FALSE)</f>
        <v>Gouverneur</v>
      </c>
      <c r="D2755" s="40">
        <v>1052898</v>
      </c>
      <c r="E2755">
        <f>VLOOKUP(C2755,'All Districts'!$B$3:$C$874,2,FALSE)</f>
        <v>3612360</v>
      </c>
      <c r="F2755" s="91">
        <f>COUNTIF($E$2:$E$7106,E2755)</f>
        <v>9</v>
      </c>
    </row>
    <row r="2756" spans="1:6" x14ac:dyDescent="0.2">
      <c r="A2756">
        <v>2020</v>
      </c>
      <c r="B2756" s="36">
        <v>2195</v>
      </c>
      <c r="C2756" s="90" t="str">
        <f>VLOOKUP(B2756,'All Districts'!$A$3:$B$874,2,FALSE)</f>
        <v>Gouverneur</v>
      </c>
      <c r="D2756" s="40">
        <v>883323</v>
      </c>
      <c r="E2756">
        <f>VLOOKUP(C2756,'All Districts'!$B$3:$C$874,2,FALSE)</f>
        <v>3612360</v>
      </c>
      <c r="F2756" s="91">
        <f>COUNTIF($E$2:$E$7106,E2756)</f>
        <v>9</v>
      </c>
    </row>
    <row r="2757" spans="1:6" x14ac:dyDescent="0.2">
      <c r="A2757" s="10">
        <v>2021</v>
      </c>
      <c r="B2757" s="55">
        <v>2195</v>
      </c>
      <c r="C2757" s="90" t="str">
        <f>VLOOKUP(B2757,'All Districts'!$A$3:$B$874,2,FALSE)</f>
        <v>Gouverneur</v>
      </c>
      <c r="D2757" s="76">
        <v>938600</v>
      </c>
      <c r="E2757">
        <f>VLOOKUP(C2757,'All Districts'!$B$3:$C$874,2,FALSE)</f>
        <v>3612360</v>
      </c>
      <c r="F2757" s="91">
        <f>COUNTIF($E$2:$E$7106,E2757)</f>
        <v>9</v>
      </c>
    </row>
    <row r="2758" spans="1:6" x14ac:dyDescent="0.2">
      <c r="A2758">
        <v>2022</v>
      </c>
      <c r="B2758" s="36">
        <v>2195</v>
      </c>
      <c r="C2758" s="90" t="str">
        <f>VLOOKUP(B2758,'All Districts'!$A$3:$B$874,2,FALSE)</f>
        <v>Gouverneur</v>
      </c>
      <c r="D2758" s="82">
        <v>1016368</v>
      </c>
      <c r="E2758">
        <f>VLOOKUP(C2758,'All Districts'!$B$3:$C$874,2,FALSE)</f>
        <v>3612360</v>
      </c>
      <c r="F2758" s="91">
        <f>COUNTIF($E$2:$E$7106,E2758)</f>
        <v>9</v>
      </c>
    </row>
    <row r="2759" spans="1:6" x14ac:dyDescent="0.2">
      <c r="A2759">
        <v>2023</v>
      </c>
      <c r="B2759" s="36">
        <v>2195</v>
      </c>
      <c r="C2759" s="90" t="str">
        <f>VLOOKUP(B2759,'All Districts'!$A$3:$B$874,2,FALSE)</f>
        <v>Gouverneur</v>
      </c>
      <c r="D2759" s="40">
        <v>1132165</v>
      </c>
      <c r="E2759">
        <f>VLOOKUP(C2759,'All Districts'!$B$3:$C$874,2,FALSE)</f>
        <v>3612360</v>
      </c>
      <c r="F2759" s="91">
        <f>COUNTIF($E$2:$E$7106,E2759)</f>
        <v>9</v>
      </c>
    </row>
    <row r="2760" spans="1:6" x14ac:dyDescent="0.2">
      <c r="A2760">
        <v>2015</v>
      </c>
      <c r="B2760" s="13">
        <v>2196</v>
      </c>
      <c r="C2760" s="90" t="str">
        <f>VLOOKUP(B2760,'All Districts'!$A$3:$B$874,2,FALSE)</f>
        <v>Gowanda</v>
      </c>
      <c r="D2760" s="14">
        <v>1748786</v>
      </c>
      <c r="E2760">
        <f>VLOOKUP(C2760,'All Districts'!$B$3:$C$874,2,FALSE)</f>
        <v>3612390</v>
      </c>
      <c r="F2760" s="91">
        <f>COUNTIF($E$2:$E$7106,E2760)</f>
        <v>9</v>
      </c>
    </row>
    <row r="2761" spans="1:6" x14ac:dyDescent="0.2">
      <c r="A2761">
        <v>2016</v>
      </c>
      <c r="B2761" s="13">
        <v>2196</v>
      </c>
      <c r="C2761" s="90" t="str">
        <f>VLOOKUP(B2761,'All Districts'!$A$3:$B$874,2,FALSE)</f>
        <v>Gowanda</v>
      </c>
      <c r="D2761" s="16">
        <v>1358004</v>
      </c>
      <c r="E2761">
        <f>VLOOKUP(C2761,'All Districts'!$B$3:$C$874,2,FALSE)</f>
        <v>3612390</v>
      </c>
      <c r="F2761" s="91">
        <f>COUNTIF($E$2:$E$7106,E2761)</f>
        <v>9</v>
      </c>
    </row>
    <row r="2762" spans="1:6" x14ac:dyDescent="0.2">
      <c r="A2762">
        <v>2017</v>
      </c>
      <c r="B2762" s="13">
        <v>2196</v>
      </c>
      <c r="C2762" s="90" t="str">
        <f>VLOOKUP(B2762,'All Districts'!$A$3:$B$874,2,FALSE)</f>
        <v>Gowanda</v>
      </c>
      <c r="D2762" s="16">
        <v>1255226</v>
      </c>
      <c r="E2762">
        <f>VLOOKUP(C2762,'All Districts'!$B$3:$C$874,2,FALSE)</f>
        <v>3612390</v>
      </c>
      <c r="F2762" s="91">
        <f>COUNTIF($E$2:$E$7106,E2762)</f>
        <v>9</v>
      </c>
    </row>
    <row r="2763" spans="1:6" x14ac:dyDescent="0.2">
      <c r="A2763" s="10">
        <v>2018</v>
      </c>
      <c r="B2763" s="13">
        <v>2196</v>
      </c>
      <c r="C2763" s="90" t="str">
        <f>VLOOKUP(B2763,'All Districts'!$A$3:$B$874,2,FALSE)</f>
        <v>Gowanda</v>
      </c>
      <c r="D2763" s="15">
        <v>1063809</v>
      </c>
      <c r="E2763">
        <f>VLOOKUP(C2763,'All Districts'!$B$3:$C$874,2,FALSE)</f>
        <v>3612390</v>
      </c>
      <c r="F2763" s="91">
        <f>COUNTIF($E$2:$E$7106,E2763)</f>
        <v>9</v>
      </c>
    </row>
    <row r="2764" spans="1:6" x14ac:dyDescent="0.2">
      <c r="A2764">
        <v>2019</v>
      </c>
      <c r="B2764" s="36">
        <v>2196</v>
      </c>
      <c r="C2764" s="90" t="str">
        <f>VLOOKUP(B2764,'All Districts'!$A$3:$B$874,2,FALSE)</f>
        <v>Gowanda</v>
      </c>
      <c r="D2764" s="40">
        <v>1216509</v>
      </c>
      <c r="E2764">
        <f>VLOOKUP(C2764,'All Districts'!$B$3:$C$874,2,FALSE)</f>
        <v>3612390</v>
      </c>
      <c r="F2764" s="91">
        <f>COUNTIF($E$2:$E$7106,E2764)</f>
        <v>9</v>
      </c>
    </row>
    <row r="2765" spans="1:6" x14ac:dyDescent="0.2">
      <c r="A2765">
        <v>2020</v>
      </c>
      <c r="B2765" s="36">
        <v>2196</v>
      </c>
      <c r="C2765" s="90" t="str">
        <f>VLOOKUP(B2765,'All Districts'!$A$3:$B$874,2,FALSE)</f>
        <v>Gowanda</v>
      </c>
      <c r="D2765" s="40">
        <v>1026024</v>
      </c>
      <c r="E2765">
        <f>VLOOKUP(C2765,'All Districts'!$B$3:$C$874,2,FALSE)</f>
        <v>3612390</v>
      </c>
      <c r="F2765" s="91">
        <f>COUNTIF($E$2:$E$7106,E2765)</f>
        <v>9</v>
      </c>
    </row>
    <row r="2766" spans="1:6" x14ac:dyDescent="0.2">
      <c r="A2766" s="10">
        <v>2021</v>
      </c>
      <c r="B2766" s="52">
        <v>2196</v>
      </c>
      <c r="C2766" s="90" t="str">
        <f>VLOOKUP(B2766,'All Districts'!$A$3:$B$874,2,FALSE)</f>
        <v>Gowanda</v>
      </c>
      <c r="D2766" s="76">
        <v>1054799</v>
      </c>
      <c r="E2766">
        <f>VLOOKUP(C2766,'All Districts'!$B$3:$C$874,2,FALSE)</f>
        <v>3612390</v>
      </c>
      <c r="F2766" s="91">
        <f>COUNTIF($E$2:$E$7106,E2766)</f>
        <v>9</v>
      </c>
    </row>
    <row r="2767" spans="1:6" x14ac:dyDescent="0.2">
      <c r="A2767">
        <v>2022</v>
      </c>
      <c r="B2767" s="36">
        <v>2196</v>
      </c>
      <c r="C2767" s="90" t="str">
        <f>VLOOKUP(B2767,'All Districts'!$A$3:$B$874,2,FALSE)</f>
        <v>Gowanda</v>
      </c>
      <c r="D2767" s="82">
        <v>1202368</v>
      </c>
      <c r="E2767">
        <f>VLOOKUP(C2767,'All Districts'!$B$3:$C$874,2,FALSE)</f>
        <v>3612390</v>
      </c>
      <c r="F2767" s="91">
        <f>COUNTIF($E$2:$E$7106,E2767)</f>
        <v>9</v>
      </c>
    </row>
    <row r="2768" spans="1:6" x14ac:dyDescent="0.2">
      <c r="A2768">
        <v>2023</v>
      </c>
      <c r="B2768" s="36">
        <v>2196</v>
      </c>
      <c r="C2768" s="90" t="str">
        <f>VLOOKUP(B2768,'All Districts'!$A$3:$B$874,2,FALSE)</f>
        <v>Gowanda</v>
      </c>
      <c r="D2768" s="40">
        <v>1306623</v>
      </c>
      <c r="E2768">
        <f>VLOOKUP(C2768,'All Districts'!$B$3:$C$874,2,FALSE)</f>
        <v>3612390</v>
      </c>
      <c r="F2768" s="91">
        <f>COUNTIF($E$2:$E$7106,E2768)</f>
        <v>9</v>
      </c>
    </row>
    <row r="2769" spans="1:6" x14ac:dyDescent="0.2">
      <c r="A2769">
        <v>2015</v>
      </c>
      <c r="B2769" s="13">
        <v>2198</v>
      </c>
      <c r="C2769" s="90" t="str">
        <f>VLOOKUP(B2769,'All Districts'!$A$3:$B$874,2,FALSE)</f>
        <v>Grand Island</v>
      </c>
      <c r="D2769" s="14">
        <v>3608007</v>
      </c>
      <c r="E2769">
        <f>VLOOKUP(C2769,'All Districts'!$B$3:$C$874,2,FALSE)</f>
        <v>3607020</v>
      </c>
      <c r="F2769" s="91">
        <f>COUNTIF($E$2:$E$7106,E2769)</f>
        <v>9</v>
      </c>
    </row>
    <row r="2770" spans="1:6" x14ac:dyDescent="0.2">
      <c r="A2770">
        <v>2016</v>
      </c>
      <c r="B2770" s="13">
        <v>2198</v>
      </c>
      <c r="C2770" s="90" t="str">
        <f>VLOOKUP(B2770,'All Districts'!$A$3:$B$874,2,FALSE)</f>
        <v>Grand Island</v>
      </c>
      <c r="D2770" s="16">
        <v>2871559</v>
      </c>
      <c r="E2770">
        <f>VLOOKUP(C2770,'All Districts'!$B$3:$C$874,2,FALSE)</f>
        <v>3607020</v>
      </c>
      <c r="F2770" s="91">
        <f>COUNTIF($E$2:$E$7106,E2770)</f>
        <v>9</v>
      </c>
    </row>
    <row r="2771" spans="1:6" x14ac:dyDescent="0.2">
      <c r="A2771">
        <v>2017</v>
      </c>
      <c r="B2771" s="13">
        <v>2198</v>
      </c>
      <c r="C2771" s="90" t="str">
        <f>VLOOKUP(B2771,'All Districts'!$A$3:$B$874,2,FALSE)</f>
        <v>Grand Island</v>
      </c>
      <c r="D2771" s="16">
        <v>2629003</v>
      </c>
      <c r="E2771">
        <f>VLOOKUP(C2771,'All Districts'!$B$3:$C$874,2,FALSE)</f>
        <v>3607020</v>
      </c>
      <c r="F2771" s="91">
        <f>COUNTIF($E$2:$E$7106,E2771)</f>
        <v>9</v>
      </c>
    </row>
    <row r="2772" spans="1:6" x14ac:dyDescent="0.2">
      <c r="A2772" s="10">
        <v>2018</v>
      </c>
      <c r="B2772" s="13">
        <v>2198</v>
      </c>
      <c r="C2772" s="90" t="str">
        <f>VLOOKUP(B2772,'All Districts'!$A$3:$B$874,2,FALSE)</f>
        <v>Grand Island</v>
      </c>
      <c r="D2772" s="15">
        <v>2269444</v>
      </c>
      <c r="E2772">
        <f>VLOOKUP(C2772,'All Districts'!$B$3:$C$874,2,FALSE)</f>
        <v>3607020</v>
      </c>
      <c r="F2772" s="91">
        <f>COUNTIF($E$2:$E$7106,E2772)</f>
        <v>9</v>
      </c>
    </row>
    <row r="2773" spans="1:6" x14ac:dyDescent="0.2">
      <c r="A2773">
        <v>2019</v>
      </c>
      <c r="B2773" s="36">
        <v>2198</v>
      </c>
      <c r="C2773" s="90" t="str">
        <f>VLOOKUP(B2773,'All Districts'!$A$3:$B$874,2,FALSE)</f>
        <v>Grand Island</v>
      </c>
      <c r="D2773" s="40">
        <v>2486067</v>
      </c>
      <c r="E2773">
        <f>VLOOKUP(C2773,'All Districts'!$B$3:$C$874,2,FALSE)</f>
        <v>3607020</v>
      </c>
      <c r="F2773" s="91">
        <f>COUNTIF($E$2:$E$7106,E2773)</f>
        <v>9</v>
      </c>
    </row>
    <row r="2774" spans="1:6" x14ac:dyDescent="0.2">
      <c r="A2774">
        <v>2020</v>
      </c>
      <c r="B2774" s="36">
        <v>2198</v>
      </c>
      <c r="C2774" s="90" t="str">
        <f>VLOOKUP(B2774,'All Districts'!$A$3:$B$874,2,FALSE)</f>
        <v>Grand Island</v>
      </c>
      <c r="D2774" s="40">
        <v>2119908</v>
      </c>
      <c r="E2774">
        <f>VLOOKUP(C2774,'All Districts'!$B$3:$C$874,2,FALSE)</f>
        <v>3607020</v>
      </c>
      <c r="F2774" s="91">
        <f>COUNTIF($E$2:$E$7106,E2774)</f>
        <v>9</v>
      </c>
    </row>
    <row r="2775" spans="1:6" x14ac:dyDescent="0.2">
      <c r="A2775" s="10">
        <v>2021</v>
      </c>
      <c r="B2775" s="52">
        <v>2198</v>
      </c>
      <c r="C2775" s="90" t="str">
        <f>VLOOKUP(B2775,'All Districts'!$A$3:$B$874,2,FALSE)</f>
        <v>Grand Island</v>
      </c>
      <c r="D2775" s="76">
        <v>2279075</v>
      </c>
      <c r="E2775">
        <f>VLOOKUP(C2775,'All Districts'!$B$3:$C$874,2,FALSE)</f>
        <v>3607020</v>
      </c>
      <c r="F2775" s="91">
        <f>COUNTIF($E$2:$E$7106,E2775)</f>
        <v>9</v>
      </c>
    </row>
    <row r="2776" spans="1:6" x14ac:dyDescent="0.2">
      <c r="A2776">
        <v>2022</v>
      </c>
      <c r="B2776" s="36">
        <v>2198</v>
      </c>
      <c r="C2776" s="90" t="str">
        <f>VLOOKUP(B2776,'All Districts'!$A$3:$B$874,2,FALSE)</f>
        <v>Grand Island</v>
      </c>
      <c r="D2776" s="82">
        <v>2489273</v>
      </c>
      <c r="E2776">
        <f>VLOOKUP(C2776,'All Districts'!$B$3:$C$874,2,FALSE)</f>
        <v>3607020</v>
      </c>
      <c r="F2776" s="91">
        <f>COUNTIF($E$2:$E$7106,E2776)</f>
        <v>9</v>
      </c>
    </row>
    <row r="2777" spans="1:6" x14ac:dyDescent="0.2">
      <c r="A2777">
        <v>2023</v>
      </c>
      <c r="B2777" s="36">
        <v>2198</v>
      </c>
      <c r="C2777" s="90" t="str">
        <f>VLOOKUP(B2777,'All Districts'!$A$3:$B$874,2,FALSE)</f>
        <v>Grand Island</v>
      </c>
      <c r="D2777" s="40">
        <v>2611303</v>
      </c>
      <c r="E2777">
        <f>VLOOKUP(C2777,'All Districts'!$B$3:$C$874,2,FALSE)</f>
        <v>3607020</v>
      </c>
      <c r="F2777" s="91">
        <f>COUNTIF($E$2:$E$7106,E2777)</f>
        <v>9</v>
      </c>
    </row>
    <row r="2778" spans="1:6" x14ac:dyDescent="0.2">
      <c r="A2778">
        <v>2015</v>
      </c>
      <c r="B2778" s="13">
        <v>5679</v>
      </c>
      <c r="C2778" s="90" t="str">
        <f>VLOOKUP(B2778,'All Districts'!$A$3:$B$874,2,FALSE)</f>
        <v>Granville</v>
      </c>
      <c r="D2778" s="14">
        <v>1356517</v>
      </c>
      <c r="E2778">
        <f>VLOOKUP(C2778,'All Districts'!$B$3:$C$874,2,FALSE)</f>
        <v>3612450</v>
      </c>
      <c r="F2778" s="91">
        <f>COUNTIF($E$2:$E$7106,E2778)</f>
        <v>9</v>
      </c>
    </row>
    <row r="2779" spans="1:6" x14ac:dyDescent="0.2">
      <c r="A2779">
        <v>2016</v>
      </c>
      <c r="B2779" s="13">
        <v>5679</v>
      </c>
      <c r="C2779" s="90" t="str">
        <f>VLOOKUP(B2779,'All Districts'!$A$3:$B$874,2,FALSE)</f>
        <v>Granville</v>
      </c>
      <c r="D2779" s="16">
        <v>1055698</v>
      </c>
      <c r="E2779">
        <f>VLOOKUP(C2779,'All Districts'!$B$3:$C$874,2,FALSE)</f>
        <v>3612450</v>
      </c>
      <c r="F2779" s="91">
        <f>COUNTIF($E$2:$E$7106,E2779)</f>
        <v>9</v>
      </c>
    </row>
    <row r="2780" spans="1:6" x14ac:dyDescent="0.2">
      <c r="A2780">
        <v>2017</v>
      </c>
      <c r="B2780" s="13">
        <v>5679</v>
      </c>
      <c r="C2780" s="90" t="str">
        <f>VLOOKUP(B2780,'All Districts'!$A$3:$B$874,2,FALSE)</f>
        <v>Granville</v>
      </c>
      <c r="D2780" s="16">
        <v>937532</v>
      </c>
      <c r="E2780">
        <f>VLOOKUP(C2780,'All Districts'!$B$3:$C$874,2,FALSE)</f>
        <v>3612450</v>
      </c>
      <c r="F2780" s="91">
        <f>COUNTIF($E$2:$E$7106,E2780)</f>
        <v>9</v>
      </c>
    </row>
    <row r="2781" spans="1:6" x14ac:dyDescent="0.2">
      <c r="A2781" s="10">
        <v>2018</v>
      </c>
      <c r="B2781" s="13">
        <v>5679</v>
      </c>
      <c r="C2781" s="90" t="str">
        <f>VLOOKUP(B2781,'All Districts'!$A$3:$B$874,2,FALSE)</f>
        <v>Granville</v>
      </c>
      <c r="D2781" s="15">
        <v>797764</v>
      </c>
      <c r="E2781">
        <f>VLOOKUP(C2781,'All Districts'!$B$3:$C$874,2,FALSE)</f>
        <v>3612450</v>
      </c>
      <c r="F2781" s="91">
        <f>COUNTIF($E$2:$E$7106,E2781)</f>
        <v>9</v>
      </c>
    </row>
    <row r="2782" spans="1:6" x14ac:dyDescent="0.2">
      <c r="A2782">
        <v>2019</v>
      </c>
      <c r="B2782" s="36">
        <v>5679</v>
      </c>
      <c r="C2782" s="90" t="str">
        <f>VLOOKUP(B2782,'All Districts'!$A$3:$B$874,2,FALSE)</f>
        <v>Granville</v>
      </c>
      <c r="D2782" s="40">
        <v>860281</v>
      </c>
      <c r="E2782">
        <f>VLOOKUP(C2782,'All Districts'!$B$3:$C$874,2,FALSE)</f>
        <v>3612450</v>
      </c>
      <c r="F2782" s="91">
        <f>COUNTIF($E$2:$E$7106,E2782)</f>
        <v>9</v>
      </c>
    </row>
    <row r="2783" spans="1:6" x14ac:dyDescent="0.2">
      <c r="A2783">
        <v>2020</v>
      </c>
      <c r="B2783" s="36">
        <v>5679</v>
      </c>
      <c r="C2783" s="90" t="str">
        <f>VLOOKUP(B2783,'All Districts'!$A$3:$B$874,2,FALSE)</f>
        <v>Granville</v>
      </c>
      <c r="D2783" s="40">
        <v>736582</v>
      </c>
      <c r="E2783">
        <f>VLOOKUP(C2783,'All Districts'!$B$3:$C$874,2,FALSE)</f>
        <v>3612450</v>
      </c>
      <c r="F2783" s="91">
        <f>COUNTIF($E$2:$E$7106,E2783)</f>
        <v>9</v>
      </c>
    </row>
    <row r="2784" spans="1:6" x14ac:dyDescent="0.2">
      <c r="A2784" s="10">
        <v>2021</v>
      </c>
      <c r="B2784" s="52">
        <v>5679</v>
      </c>
      <c r="C2784" s="90" t="str">
        <f>VLOOKUP(B2784,'All Districts'!$A$3:$B$874,2,FALSE)</f>
        <v>Granville</v>
      </c>
      <c r="D2784" s="76">
        <v>747390</v>
      </c>
      <c r="E2784">
        <f>VLOOKUP(C2784,'All Districts'!$B$3:$C$874,2,FALSE)</f>
        <v>3612450</v>
      </c>
      <c r="F2784" s="91">
        <f>COUNTIF($E$2:$E$7106,E2784)</f>
        <v>9</v>
      </c>
    </row>
    <row r="2785" spans="1:6" x14ac:dyDescent="0.2">
      <c r="A2785">
        <v>2022</v>
      </c>
      <c r="B2785" s="36">
        <v>5679</v>
      </c>
      <c r="C2785" s="90" t="str">
        <f>VLOOKUP(B2785,'All Districts'!$A$3:$B$874,2,FALSE)</f>
        <v>Granville</v>
      </c>
      <c r="D2785" s="82">
        <v>881358</v>
      </c>
      <c r="E2785">
        <f>VLOOKUP(C2785,'All Districts'!$B$3:$C$874,2,FALSE)</f>
        <v>3612450</v>
      </c>
      <c r="F2785" s="91">
        <f>COUNTIF($E$2:$E$7106,E2785)</f>
        <v>9</v>
      </c>
    </row>
    <row r="2786" spans="1:6" x14ac:dyDescent="0.2">
      <c r="A2786">
        <v>2023</v>
      </c>
      <c r="B2786" s="36">
        <v>5679</v>
      </c>
      <c r="C2786" s="90" t="str">
        <f>VLOOKUP(B2786,'All Districts'!$A$3:$B$874,2,FALSE)</f>
        <v>Granville</v>
      </c>
      <c r="D2786" s="40">
        <v>918483</v>
      </c>
      <c r="E2786">
        <f>VLOOKUP(C2786,'All Districts'!$B$3:$C$874,2,FALSE)</f>
        <v>3612450</v>
      </c>
      <c r="F2786" s="91">
        <f>COUNTIF($E$2:$E$7106,E2786)</f>
        <v>9</v>
      </c>
    </row>
    <row r="2787" spans="1:6" x14ac:dyDescent="0.2">
      <c r="A2787">
        <v>2015</v>
      </c>
      <c r="B2787" s="13">
        <v>2200</v>
      </c>
      <c r="C2787" s="90" t="str">
        <f>VLOOKUP(B2787,'All Districts'!$A$3:$B$874,2,FALSE)</f>
        <v>Great Neck</v>
      </c>
      <c r="D2787" s="14">
        <v>16266550</v>
      </c>
      <c r="E2787">
        <f>VLOOKUP(C2787,'All Districts'!$B$3:$C$874,2,FALSE)</f>
        <v>3612510</v>
      </c>
      <c r="F2787" s="91">
        <f>COUNTIF($E$2:$E$7106,E2787)</f>
        <v>9</v>
      </c>
    </row>
    <row r="2788" spans="1:6" x14ac:dyDescent="0.2">
      <c r="A2788">
        <v>2016</v>
      </c>
      <c r="B2788" s="13">
        <v>2200</v>
      </c>
      <c r="C2788" s="90" t="str">
        <f>VLOOKUP(B2788,'All Districts'!$A$3:$B$874,2,FALSE)</f>
        <v>Great Neck</v>
      </c>
      <c r="D2788" s="16">
        <v>12699584</v>
      </c>
      <c r="E2788">
        <f>VLOOKUP(C2788,'All Districts'!$B$3:$C$874,2,FALSE)</f>
        <v>3612510</v>
      </c>
      <c r="F2788" s="91">
        <f>COUNTIF($E$2:$E$7106,E2788)</f>
        <v>9</v>
      </c>
    </row>
    <row r="2789" spans="1:6" x14ac:dyDescent="0.2">
      <c r="A2789">
        <v>2017</v>
      </c>
      <c r="B2789" s="13">
        <v>2200</v>
      </c>
      <c r="C2789" s="90" t="str">
        <f>VLOOKUP(B2789,'All Districts'!$A$3:$B$874,2,FALSE)</f>
        <v>Great Neck</v>
      </c>
      <c r="D2789" s="16">
        <v>11203344</v>
      </c>
      <c r="E2789">
        <f>VLOOKUP(C2789,'All Districts'!$B$3:$C$874,2,FALSE)</f>
        <v>3612510</v>
      </c>
      <c r="F2789" s="91">
        <f>COUNTIF($E$2:$E$7106,E2789)</f>
        <v>9</v>
      </c>
    </row>
    <row r="2790" spans="1:6" x14ac:dyDescent="0.2">
      <c r="A2790" s="10">
        <v>2018</v>
      </c>
      <c r="B2790" s="13">
        <v>2200</v>
      </c>
      <c r="C2790" s="90" t="str">
        <f>VLOOKUP(B2790,'All Districts'!$A$3:$B$874,2,FALSE)</f>
        <v>Great Neck</v>
      </c>
      <c r="D2790" s="15">
        <v>9553626</v>
      </c>
      <c r="E2790">
        <f>VLOOKUP(C2790,'All Districts'!$B$3:$C$874,2,FALSE)</f>
        <v>3612510</v>
      </c>
      <c r="F2790" s="91">
        <f>COUNTIF($E$2:$E$7106,E2790)</f>
        <v>9</v>
      </c>
    </row>
    <row r="2791" spans="1:6" x14ac:dyDescent="0.2">
      <c r="A2791">
        <v>2019</v>
      </c>
      <c r="B2791" s="36">
        <v>2200</v>
      </c>
      <c r="C2791" s="90" t="str">
        <f>VLOOKUP(B2791,'All Districts'!$A$3:$B$874,2,FALSE)</f>
        <v>Great Neck</v>
      </c>
      <c r="D2791" s="40">
        <v>10487836</v>
      </c>
      <c r="E2791">
        <f>VLOOKUP(C2791,'All Districts'!$B$3:$C$874,2,FALSE)</f>
        <v>3612510</v>
      </c>
      <c r="F2791" s="91">
        <f>COUNTIF($E$2:$E$7106,E2791)</f>
        <v>9</v>
      </c>
    </row>
    <row r="2792" spans="1:6" x14ac:dyDescent="0.2">
      <c r="A2792">
        <v>2020</v>
      </c>
      <c r="B2792" s="36">
        <v>2200</v>
      </c>
      <c r="C2792" s="90" t="str">
        <f>VLOOKUP(B2792,'All Districts'!$A$3:$B$874,2,FALSE)</f>
        <v>Great Neck</v>
      </c>
      <c r="D2792" s="40">
        <v>9001274</v>
      </c>
      <c r="E2792">
        <f>VLOOKUP(C2792,'All Districts'!$B$3:$C$874,2,FALSE)</f>
        <v>3612510</v>
      </c>
      <c r="F2792" s="91">
        <f>COUNTIF($E$2:$E$7106,E2792)</f>
        <v>9</v>
      </c>
    </row>
    <row r="2793" spans="1:6" x14ac:dyDescent="0.2">
      <c r="A2793" s="10">
        <v>2021</v>
      </c>
      <c r="B2793" s="52">
        <v>2200</v>
      </c>
      <c r="C2793" s="90" t="str">
        <f>VLOOKUP(B2793,'All Districts'!$A$3:$B$874,2,FALSE)</f>
        <v>Great Neck</v>
      </c>
      <c r="D2793" s="76">
        <v>10134385</v>
      </c>
      <c r="E2793">
        <f>VLOOKUP(C2793,'All Districts'!$B$3:$C$874,2,FALSE)</f>
        <v>3612510</v>
      </c>
      <c r="F2793" s="91">
        <f>COUNTIF($E$2:$E$7106,E2793)</f>
        <v>9</v>
      </c>
    </row>
    <row r="2794" spans="1:6" x14ac:dyDescent="0.2">
      <c r="A2794">
        <v>2022</v>
      </c>
      <c r="B2794" s="36">
        <v>2200</v>
      </c>
      <c r="C2794" s="90" t="str">
        <f>VLOOKUP(B2794,'All Districts'!$A$3:$B$874,2,FALSE)</f>
        <v>Great Neck</v>
      </c>
      <c r="D2794" s="82">
        <v>10369333</v>
      </c>
      <c r="E2794">
        <f>VLOOKUP(C2794,'All Districts'!$B$3:$C$874,2,FALSE)</f>
        <v>3612510</v>
      </c>
      <c r="F2794" s="91">
        <f>COUNTIF($E$2:$E$7106,E2794)</f>
        <v>9</v>
      </c>
    </row>
    <row r="2795" spans="1:6" x14ac:dyDescent="0.2">
      <c r="A2795">
        <v>2023</v>
      </c>
      <c r="B2795" s="36">
        <v>2200</v>
      </c>
      <c r="C2795" s="90" t="str">
        <f>VLOOKUP(B2795,'All Districts'!$A$3:$B$874,2,FALSE)</f>
        <v>Great Neck</v>
      </c>
      <c r="D2795" s="40">
        <v>11206517</v>
      </c>
      <c r="E2795">
        <f>VLOOKUP(C2795,'All Districts'!$B$3:$C$874,2,FALSE)</f>
        <v>3612510</v>
      </c>
      <c r="F2795" s="91">
        <f>COUNTIF($E$2:$E$7106,E2795)</f>
        <v>9</v>
      </c>
    </row>
    <row r="2796" spans="1:6" x14ac:dyDescent="0.2">
      <c r="A2796">
        <v>2015</v>
      </c>
      <c r="B2796" s="13">
        <v>2204</v>
      </c>
      <c r="C2796" s="90" t="str">
        <f>VLOOKUP(B2796,'All Districts'!$A$3:$B$874,2,FALSE)</f>
        <v>Greece</v>
      </c>
      <c r="D2796" s="14">
        <v>14702558</v>
      </c>
      <c r="E2796">
        <f>VLOOKUP(C2796,'All Districts'!$B$3:$C$874,2,FALSE)</f>
        <v>3612630</v>
      </c>
      <c r="F2796" s="91">
        <f>COUNTIF($E$2:$E$7106,E2796)</f>
        <v>9</v>
      </c>
    </row>
    <row r="2797" spans="1:6" x14ac:dyDescent="0.2">
      <c r="A2797">
        <v>2016</v>
      </c>
      <c r="B2797" s="13">
        <v>2204</v>
      </c>
      <c r="C2797" s="90" t="str">
        <f>VLOOKUP(B2797,'All Districts'!$A$3:$B$874,2,FALSE)</f>
        <v>Greece</v>
      </c>
      <c r="D2797" s="16">
        <v>11172685</v>
      </c>
      <c r="E2797">
        <f>VLOOKUP(C2797,'All Districts'!$B$3:$C$874,2,FALSE)</f>
        <v>3612630</v>
      </c>
      <c r="F2797" s="91">
        <f>COUNTIF($E$2:$E$7106,E2797)</f>
        <v>9</v>
      </c>
    </row>
    <row r="2798" spans="1:6" x14ac:dyDescent="0.2">
      <c r="A2798">
        <v>2017</v>
      </c>
      <c r="B2798" s="13">
        <v>2204</v>
      </c>
      <c r="C2798" s="90" t="str">
        <f>VLOOKUP(B2798,'All Districts'!$A$3:$B$874,2,FALSE)</f>
        <v>Greece</v>
      </c>
      <c r="D2798" s="16">
        <v>10112327</v>
      </c>
      <c r="E2798">
        <f>VLOOKUP(C2798,'All Districts'!$B$3:$C$874,2,FALSE)</f>
        <v>3612630</v>
      </c>
      <c r="F2798" s="91">
        <f>COUNTIF($E$2:$E$7106,E2798)</f>
        <v>9</v>
      </c>
    </row>
    <row r="2799" spans="1:6" x14ac:dyDescent="0.2">
      <c r="A2799" s="10">
        <v>2018</v>
      </c>
      <c r="B2799" s="13">
        <v>2204</v>
      </c>
      <c r="C2799" s="90" t="str">
        <f>VLOOKUP(B2799,'All Districts'!$A$3:$B$874,2,FALSE)</f>
        <v>Greece</v>
      </c>
      <c r="D2799" s="15">
        <v>8439245</v>
      </c>
      <c r="E2799">
        <f>VLOOKUP(C2799,'All Districts'!$B$3:$C$874,2,FALSE)</f>
        <v>3612630</v>
      </c>
      <c r="F2799" s="91">
        <f>COUNTIF($E$2:$E$7106,E2799)</f>
        <v>9</v>
      </c>
    </row>
    <row r="2800" spans="1:6" x14ac:dyDescent="0.2">
      <c r="A2800">
        <v>2019</v>
      </c>
      <c r="B2800" s="36">
        <v>2204</v>
      </c>
      <c r="C2800" s="90" t="str">
        <f>VLOOKUP(B2800,'All Districts'!$A$3:$B$874,2,FALSE)</f>
        <v>Greece</v>
      </c>
      <c r="D2800" s="40">
        <v>9331628</v>
      </c>
      <c r="E2800">
        <f>VLOOKUP(C2800,'All Districts'!$B$3:$C$874,2,FALSE)</f>
        <v>3612630</v>
      </c>
      <c r="F2800" s="91">
        <f>COUNTIF($E$2:$E$7106,E2800)</f>
        <v>9</v>
      </c>
    </row>
    <row r="2801" spans="1:6" x14ac:dyDescent="0.2">
      <c r="A2801">
        <v>2020</v>
      </c>
      <c r="B2801" s="36">
        <v>2204</v>
      </c>
      <c r="C2801" s="90" t="str">
        <f>VLOOKUP(B2801,'All Districts'!$A$3:$B$874,2,FALSE)</f>
        <v>Greece</v>
      </c>
      <c r="D2801" s="40">
        <v>7855723</v>
      </c>
      <c r="E2801">
        <f>VLOOKUP(C2801,'All Districts'!$B$3:$C$874,2,FALSE)</f>
        <v>3612630</v>
      </c>
      <c r="F2801" s="91">
        <f>COUNTIF($E$2:$E$7106,E2801)</f>
        <v>9</v>
      </c>
    </row>
    <row r="2802" spans="1:6" x14ac:dyDescent="0.2">
      <c r="A2802" s="10">
        <v>2021</v>
      </c>
      <c r="B2802" s="52">
        <v>2204</v>
      </c>
      <c r="C2802" s="90" t="str">
        <f>VLOOKUP(B2802,'All Districts'!$A$3:$B$874,2,FALSE)</f>
        <v>Greece</v>
      </c>
      <c r="D2802" s="76">
        <v>8499094</v>
      </c>
      <c r="E2802">
        <f>VLOOKUP(C2802,'All Districts'!$B$3:$C$874,2,FALSE)</f>
        <v>3612630</v>
      </c>
      <c r="F2802" s="91">
        <f>COUNTIF($E$2:$E$7106,E2802)</f>
        <v>9</v>
      </c>
    </row>
    <row r="2803" spans="1:6" x14ac:dyDescent="0.2">
      <c r="A2803">
        <v>2022</v>
      </c>
      <c r="B2803" s="36">
        <v>2204</v>
      </c>
      <c r="C2803" s="90" t="str">
        <f>VLOOKUP(B2803,'All Districts'!$A$3:$B$874,2,FALSE)</f>
        <v>Greece</v>
      </c>
      <c r="D2803" s="82">
        <v>9079952</v>
      </c>
      <c r="E2803">
        <f>VLOOKUP(C2803,'All Districts'!$B$3:$C$874,2,FALSE)</f>
        <v>3612630</v>
      </c>
      <c r="F2803" s="91">
        <f>COUNTIF($E$2:$E$7106,E2803)</f>
        <v>9</v>
      </c>
    </row>
    <row r="2804" spans="1:6" x14ac:dyDescent="0.2">
      <c r="A2804">
        <v>2023</v>
      </c>
      <c r="B2804" s="36">
        <v>2204</v>
      </c>
      <c r="C2804" s="90" t="str">
        <f>VLOOKUP(B2804,'All Districts'!$A$3:$B$874,2,FALSE)</f>
        <v>Greece</v>
      </c>
      <c r="D2804" s="40">
        <v>10135758</v>
      </c>
      <c r="E2804">
        <f>VLOOKUP(C2804,'All Districts'!$B$3:$C$874,2,FALSE)</f>
        <v>3612630</v>
      </c>
      <c r="F2804" s="91">
        <f>COUNTIF($E$2:$E$7106,E2804)</f>
        <v>9</v>
      </c>
    </row>
    <row r="2805" spans="1:6" x14ac:dyDescent="0.2">
      <c r="A2805">
        <v>2015</v>
      </c>
      <c r="B2805" s="13">
        <v>2205</v>
      </c>
      <c r="C2805" s="90" t="str">
        <f>VLOOKUP(B2805,'All Districts'!$A$3:$B$874,2,FALSE)</f>
        <v>Green Island</v>
      </c>
      <c r="D2805" s="14">
        <v>429393</v>
      </c>
      <c r="E2805">
        <f>VLOOKUP(C2805,'All Districts'!$B$3:$C$874,2,FALSE)</f>
        <v>3612660</v>
      </c>
      <c r="F2805" s="91">
        <f>COUNTIF($E$2:$E$7106,E2805)</f>
        <v>9</v>
      </c>
    </row>
    <row r="2806" spans="1:6" x14ac:dyDescent="0.2">
      <c r="A2806">
        <v>2016</v>
      </c>
      <c r="B2806" s="13">
        <v>2205</v>
      </c>
      <c r="C2806" s="90" t="str">
        <f>VLOOKUP(B2806,'All Districts'!$A$3:$B$874,2,FALSE)</f>
        <v>Green Island</v>
      </c>
      <c r="D2806" s="16">
        <v>312094</v>
      </c>
      <c r="E2806">
        <f>VLOOKUP(C2806,'All Districts'!$B$3:$C$874,2,FALSE)</f>
        <v>3612660</v>
      </c>
      <c r="F2806" s="91">
        <f>COUNTIF($E$2:$E$7106,E2806)</f>
        <v>9</v>
      </c>
    </row>
    <row r="2807" spans="1:6" x14ac:dyDescent="0.2">
      <c r="A2807">
        <v>2017</v>
      </c>
      <c r="B2807" s="13">
        <v>2205</v>
      </c>
      <c r="C2807" s="90" t="str">
        <f>VLOOKUP(B2807,'All Districts'!$A$3:$B$874,2,FALSE)</f>
        <v>Green Island</v>
      </c>
      <c r="D2807" s="16">
        <v>298536</v>
      </c>
      <c r="E2807">
        <f>VLOOKUP(C2807,'All Districts'!$B$3:$C$874,2,FALSE)</f>
        <v>3612660</v>
      </c>
      <c r="F2807" s="91">
        <f>COUNTIF($E$2:$E$7106,E2807)</f>
        <v>9</v>
      </c>
    </row>
    <row r="2808" spans="1:6" x14ac:dyDescent="0.2">
      <c r="A2808" s="10">
        <v>2018</v>
      </c>
      <c r="B2808" s="13">
        <v>2205</v>
      </c>
      <c r="C2808" s="90" t="str">
        <f>VLOOKUP(B2808,'All Districts'!$A$3:$B$874,2,FALSE)</f>
        <v>Green Island</v>
      </c>
      <c r="D2808" s="15">
        <v>243547</v>
      </c>
      <c r="E2808">
        <f>VLOOKUP(C2808,'All Districts'!$B$3:$C$874,2,FALSE)</f>
        <v>3612660</v>
      </c>
      <c r="F2808" s="91">
        <f>COUNTIF($E$2:$E$7106,E2808)</f>
        <v>9</v>
      </c>
    </row>
    <row r="2809" spans="1:6" x14ac:dyDescent="0.2">
      <c r="A2809">
        <v>2019</v>
      </c>
      <c r="B2809" s="36">
        <v>2205</v>
      </c>
      <c r="C2809" s="90" t="str">
        <f>VLOOKUP(B2809,'All Districts'!$A$3:$B$874,2,FALSE)</f>
        <v>Green Island</v>
      </c>
      <c r="D2809" s="40">
        <v>285909</v>
      </c>
      <c r="E2809">
        <f>VLOOKUP(C2809,'All Districts'!$B$3:$C$874,2,FALSE)</f>
        <v>3612660</v>
      </c>
      <c r="F2809" s="91">
        <f>COUNTIF($E$2:$E$7106,E2809)</f>
        <v>9</v>
      </c>
    </row>
    <row r="2810" spans="1:6" x14ac:dyDescent="0.2">
      <c r="A2810">
        <v>2020</v>
      </c>
      <c r="B2810" s="36">
        <v>2205</v>
      </c>
      <c r="C2810" s="90" t="str">
        <f>VLOOKUP(B2810,'All Districts'!$A$3:$B$874,2,FALSE)</f>
        <v>Green Island</v>
      </c>
      <c r="D2810" s="40">
        <v>257923</v>
      </c>
      <c r="E2810">
        <f>VLOOKUP(C2810,'All Districts'!$B$3:$C$874,2,FALSE)</f>
        <v>3612660</v>
      </c>
      <c r="F2810" s="91">
        <f>COUNTIF($E$2:$E$7106,E2810)</f>
        <v>9</v>
      </c>
    </row>
    <row r="2811" spans="1:6" x14ac:dyDescent="0.2">
      <c r="A2811" s="10">
        <v>2021</v>
      </c>
      <c r="B2811" s="55">
        <v>2205</v>
      </c>
      <c r="C2811" s="90" t="str">
        <f>VLOOKUP(B2811,'All Districts'!$A$3:$B$874,2,FALSE)</f>
        <v>Green Island</v>
      </c>
      <c r="D2811" s="75">
        <v>262082</v>
      </c>
      <c r="E2811">
        <f>VLOOKUP(C2811,'All Districts'!$B$3:$C$874,2,FALSE)</f>
        <v>3612660</v>
      </c>
      <c r="F2811" s="91">
        <f>COUNTIF($E$2:$E$7106,E2811)</f>
        <v>9</v>
      </c>
    </row>
    <row r="2812" spans="1:6" x14ac:dyDescent="0.2">
      <c r="A2812">
        <v>2022</v>
      </c>
      <c r="B2812" s="36">
        <v>2205</v>
      </c>
      <c r="C2812" s="90" t="str">
        <f>VLOOKUP(B2812,'All Districts'!$A$3:$B$874,2,FALSE)</f>
        <v>Green Island</v>
      </c>
      <c r="D2812" s="82">
        <v>317460</v>
      </c>
      <c r="E2812">
        <f>VLOOKUP(C2812,'All Districts'!$B$3:$C$874,2,FALSE)</f>
        <v>3612660</v>
      </c>
      <c r="F2812" s="91">
        <f>COUNTIF($E$2:$E$7106,E2812)</f>
        <v>9</v>
      </c>
    </row>
    <row r="2813" spans="1:6" x14ac:dyDescent="0.2">
      <c r="A2813">
        <v>2023</v>
      </c>
      <c r="B2813" s="36">
        <v>2205</v>
      </c>
      <c r="C2813" s="90" t="str">
        <f>VLOOKUP(B2813,'All Districts'!$A$3:$B$874,2,FALSE)</f>
        <v>Green Island</v>
      </c>
      <c r="D2813" s="40">
        <v>360607</v>
      </c>
      <c r="E2813">
        <f>VLOOKUP(C2813,'All Districts'!$B$3:$C$874,2,FALSE)</f>
        <v>3612660</v>
      </c>
      <c r="F2813" s="91">
        <f>COUNTIF($E$2:$E$7106,E2813)</f>
        <v>9</v>
      </c>
    </row>
    <row r="2814" spans="1:6" x14ac:dyDescent="0.2">
      <c r="A2814">
        <v>2015</v>
      </c>
      <c r="B2814" s="13">
        <v>2207</v>
      </c>
      <c r="C2814" s="90" t="str">
        <f>VLOOKUP(B2814,'All Districts'!$A$3:$B$874,2,FALSE)</f>
        <v>Greenburgh</v>
      </c>
      <c r="D2814" s="14">
        <v>4007334</v>
      </c>
      <c r="E2814">
        <f>VLOOKUP(C2814,'All Districts'!$B$3:$C$874,2,FALSE)</f>
        <v>3612720</v>
      </c>
      <c r="F2814" s="91">
        <f>COUNTIF($E$2:$E$7106,E2814)</f>
        <v>9</v>
      </c>
    </row>
    <row r="2815" spans="1:6" x14ac:dyDescent="0.2">
      <c r="A2815">
        <v>2016</v>
      </c>
      <c r="B2815" s="13">
        <v>2207</v>
      </c>
      <c r="C2815" s="90" t="str">
        <f>VLOOKUP(B2815,'All Districts'!$A$3:$B$874,2,FALSE)</f>
        <v>Greenburgh</v>
      </c>
      <c r="D2815" s="16">
        <v>3061073</v>
      </c>
      <c r="E2815">
        <f>VLOOKUP(C2815,'All Districts'!$B$3:$C$874,2,FALSE)</f>
        <v>3612720</v>
      </c>
      <c r="F2815" s="91">
        <f>COUNTIF($E$2:$E$7106,E2815)</f>
        <v>9</v>
      </c>
    </row>
    <row r="2816" spans="1:6" x14ac:dyDescent="0.2">
      <c r="A2816">
        <v>2017</v>
      </c>
      <c r="B2816" s="13">
        <v>2207</v>
      </c>
      <c r="C2816" s="90" t="str">
        <f>VLOOKUP(B2816,'All Districts'!$A$3:$B$874,2,FALSE)</f>
        <v>Greenburgh</v>
      </c>
      <c r="D2816" s="16">
        <v>2864602</v>
      </c>
      <c r="E2816">
        <f>VLOOKUP(C2816,'All Districts'!$B$3:$C$874,2,FALSE)</f>
        <v>3612720</v>
      </c>
      <c r="F2816" s="91">
        <f>COUNTIF($E$2:$E$7106,E2816)</f>
        <v>9</v>
      </c>
    </row>
    <row r="2817" spans="1:6" x14ac:dyDescent="0.2">
      <c r="A2817" s="10">
        <v>2018</v>
      </c>
      <c r="B2817" s="13">
        <v>2207</v>
      </c>
      <c r="C2817" s="90" t="str">
        <f>VLOOKUP(B2817,'All Districts'!$A$3:$B$874,2,FALSE)</f>
        <v>Greenburgh</v>
      </c>
      <c r="D2817" s="15">
        <v>2317195</v>
      </c>
      <c r="E2817">
        <f>VLOOKUP(C2817,'All Districts'!$B$3:$C$874,2,FALSE)</f>
        <v>3612720</v>
      </c>
      <c r="F2817" s="91">
        <f>COUNTIF($E$2:$E$7106,E2817)</f>
        <v>9</v>
      </c>
    </row>
    <row r="2818" spans="1:6" x14ac:dyDescent="0.2">
      <c r="A2818">
        <v>2019</v>
      </c>
      <c r="B2818" s="36">
        <v>2207</v>
      </c>
      <c r="C2818" s="90" t="str">
        <f>VLOOKUP(B2818,'All Districts'!$A$3:$B$874,2,FALSE)</f>
        <v>Greenburgh</v>
      </c>
      <c r="D2818" s="40">
        <v>2587793</v>
      </c>
      <c r="E2818">
        <f>VLOOKUP(C2818,'All Districts'!$B$3:$C$874,2,FALSE)</f>
        <v>3612720</v>
      </c>
      <c r="F2818" s="91">
        <f>COUNTIF($E$2:$E$7106,E2818)</f>
        <v>9</v>
      </c>
    </row>
    <row r="2819" spans="1:6" x14ac:dyDescent="0.2">
      <c r="A2819">
        <v>2020</v>
      </c>
      <c r="B2819" s="36">
        <v>2207</v>
      </c>
      <c r="C2819" s="90" t="str">
        <f>VLOOKUP(B2819,'All Districts'!$A$3:$B$874,2,FALSE)</f>
        <v>Greenburgh</v>
      </c>
      <c r="D2819" s="40">
        <v>2188456</v>
      </c>
      <c r="E2819">
        <f>VLOOKUP(C2819,'All Districts'!$B$3:$C$874,2,FALSE)</f>
        <v>3612720</v>
      </c>
      <c r="F2819" s="91">
        <f>COUNTIF($E$2:$E$7106,E2819)</f>
        <v>9</v>
      </c>
    </row>
    <row r="2820" spans="1:6" x14ac:dyDescent="0.2">
      <c r="A2820" s="10">
        <v>2021</v>
      </c>
      <c r="B2820" s="52">
        <v>2207</v>
      </c>
      <c r="C2820" s="90" t="str">
        <f>VLOOKUP(B2820,'All Districts'!$A$3:$B$874,2,FALSE)</f>
        <v>Greenburgh</v>
      </c>
      <c r="D2820" s="75">
        <v>2325844</v>
      </c>
      <c r="E2820">
        <f>VLOOKUP(C2820,'All Districts'!$B$3:$C$874,2,FALSE)</f>
        <v>3612720</v>
      </c>
      <c r="F2820" s="91">
        <f>COUNTIF($E$2:$E$7106,E2820)</f>
        <v>9</v>
      </c>
    </row>
    <row r="2821" spans="1:6" x14ac:dyDescent="0.2">
      <c r="A2821">
        <v>2022</v>
      </c>
      <c r="B2821" s="36">
        <v>2207</v>
      </c>
      <c r="C2821" s="90" t="str">
        <f>VLOOKUP(B2821,'All Districts'!$A$3:$B$874,2,FALSE)</f>
        <v>Greenburgh</v>
      </c>
      <c r="D2821" s="82">
        <v>2475385</v>
      </c>
      <c r="E2821">
        <f>VLOOKUP(C2821,'All Districts'!$B$3:$C$874,2,FALSE)</f>
        <v>3612720</v>
      </c>
      <c r="F2821" s="91">
        <f>COUNTIF($E$2:$E$7106,E2821)</f>
        <v>9</v>
      </c>
    </row>
    <row r="2822" spans="1:6" x14ac:dyDescent="0.2">
      <c r="A2822">
        <v>2023</v>
      </c>
      <c r="B2822" s="36">
        <v>2207</v>
      </c>
      <c r="C2822" s="90" t="str">
        <f>VLOOKUP(B2822,'All Districts'!$A$3:$B$874,2,FALSE)</f>
        <v>Greenburgh</v>
      </c>
      <c r="D2822" s="40">
        <v>2737999</v>
      </c>
      <c r="E2822">
        <f>VLOOKUP(C2822,'All Districts'!$B$3:$C$874,2,FALSE)</f>
        <v>3612720</v>
      </c>
      <c r="F2822" s="91">
        <f>COUNTIF($E$2:$E$7106,E2822)</f>
        <v>9</v>
      </c>
    </row>
    <row r="2823" spans="1:6" x14ac:dyDescent="0.2">
      <c r="A2823">
        <v>2015</v>
      </c>
      <c r="B2823" s="13">
        <v>5807</v>
      </c>
      <c r="C2823" s="90" t="str">
        <f>VLOOKUP(B2823,'All Districts'!$A$3:$B$874,2,FALSE)</f>
        <v>Greenburgh Eleven</v>
      </c>
      <c r="D2823" s="15">
        <v>1015595</v>
      </c>
      <c r="E2823">
        <f>VLOOKUP(C2823,'All Districts'!$B$3:$C$874,2,FALSE)</f>
        <v>3610140</v>
      </c>
      <c r="F2823" s="91">
        <f>COUNTIF($E$2:$E$7106,E2823)</f>
        <v>9</v>
      </c>
    </row>
    <row r="2824" spans="1:6" x14ac:dyDescent="0.2">
      <c r="A2824">
        <v>2016</v>
      </c>
      <c r="B2824" s="13">
        <v>5807</v>
      </c>
      <c r="C2824" s="90" t="str">
        <f>VLOOKUP(B2824,'All Districts'!$A$3:$B$874,2,FALSE)</f>
        <v>Greenburgh Eleven</v>
      </c>
      <c r="D2824" s="16">
        <v>593637</v>
      </c>
      <c r="E2824">
        <f>VLOOKUP(C2824,'All Districts'!$B$3:$C$874,2,FALSE)</f>
        <v>3610140</v>
      </c>
      <c r="F2824" s="91">
        <f>COUNTIF($E$2:$E$7106,E2824)</f>
        <v>9</v>
      </c>
    </row>
    <row r="2825" spans="1:6" x14ac:dyDescent="0.2">
      <c r="A2825">
        <v>2017</v>
      </c>
      <c r="B2825" s="13">
        <v>5807</v>
      </c>
      <c r="C2825" s="90" t="str">
        <f>VLOOKUP(B2825,'All Districts'!$A$3:$B$874,2,FALSE)</f>
        <v>Greenburgh Eleven</v>
      </c>
      <c r="D2825" s="16">
        <v>504214</v>
      </c>
      <c r="E2825">
        <f>VLOOKUP(C2825,'All Districts'!$B$3:$C$874,2,FALSE)</f>
        <v>3610140</v>
      </c>
      <c r="F2825" s="91">
        <f>COUNTIF($E$2:$E$7106,E2825)</f>
        <v>9</v>
      </c>
    </row>
    <row r="2826" spans="1:6" x14ac:dyDescent="0.2">
      <c r="A2826" s="10">
        <v>2018</v>
      </c>
      <c r="B2826" s="13">
        <v>5807</v>
      </c>
      <c r="C2826" s="90" t="str">
        <f>VLOOKUP(B2826,'All Districts'!$A$3:$B$874,2,FALSE)</f>
        <v>Greenburgh Eleven</v>
      </c>
      <c r="D2826" s="15">
        <v>461282</v>
      </c>
      <c r="E2826">
        <f>VLOOKUP(C2826,'All Districts'!$B$3:$C$874,2,FALSE)</f>
        <v>3610140</v>
      </c>
      <c r="F2826" s="91">
        <f>COUNTIF($E$2:$E$7106,E2826)</f>
        <v>9</v>
      </c>
    </row>
    <row r="2827" spans="1:6" x14ac:dyDescent="0.2">
      <c r="A2827">
        <v>2019</v>
      </c>
      <c r="B2827" s="36">
        <v>5807</v>
      </c>
      <c r="C2827" s="90" t="str">
        <f>VLOOKUP(B2827,'All Districts'!$A$3:$B$874,2,FALSE)</f>
        <v>Greenburgh Eleven</v>
      </c>
      <c r="D2827" s="40">
        <v>504354</v>
      </c>
      <c r="E2827">
        <f>VLOOKUP(C2827,'All Districts'!$B$3:$C$874,2,FALSE)</f>
        <v>3610140</v>
      </c>
      <c r="F2827" s="91">
        <f>COUNTIF($E$2:$E$7106,E2827)</f>
        <v>9</v>
      </c>
    </row>
    <row r="2828" spans="1:6" x14ac:dyDescent="0.2">
      <c r="A2828">
        <v>2020</v>
      </c>
      <c r="B2828" s="36">
        <v>5807</v>
      </c>
      <c r="C2828" s="90" t="str">
        <f>VLOOKUP(B2828,'All Districts'!$A$3:$B$874,2,FALSE)</f>
        <v>Greenburgh Eleven</v>
      </c>
      <c r="D2828" s="40">
        <v>385859</v>
      </c>
      <c r="E2828">
        <f>VLOOKUP(C2828,'All Districts'!$B$3:$C$874,2,FALSE)</f>
        <v>3610140</v>
      </c>
      <c r="F2828" s="91">
        <f>COUNTIF($E$2:$E$7106,E2828)</f>
        <v>9</v>
      </c>
    </row>
    <row r="2829" spans="1:6" x14ac:dyDescent="0.2">
      <c r="A2829" s="10">
        <v>2021</v>
      </c>
      <c r="B2829" s="52">
        <v>5807</v>
      </c>
      <c r="C2829" s="90" t="str">
        <f>VLOOKUP(B2829,'All Districts'!$A$3:$B$874,2,FALSE)</f>
        <v>Greenburgh Eleven</v>
      </c>
      <c r="D2829" s="76">
        <v>466523</v>
      </c>
      <c r="E2829">
        <f>VLOOKUP(C2829,'All Districts'!$B$3:$C$874,2,FALSE)</f>
        <v>3610140</v>
      </c>
      <c r="F2829" s="91">
        <f>COUNTIF($E$2:$E$7106,E2829)</f>
        <v>9</v>
      </c>
    </row>
    <row r="2830" spans="1:6" x14ac:dyDescent="0.2">
      <c r="A2830">
        <v>2022</v>
      </c>
      <c r="B2830" s="36">
        <v>5807</v>
      </c>
      <c r="C2830" s="90" t="str">
        <f>VLOOKUP(B2830,'All Districts'!$A$3:$B$874,2,FALSE)</f>
        <v>Greenburgh Eleven</v>
      </c>
      <c r="D2830" s="82">
        <v>422914</v>
      </c>
      <c r="E2830">
        <f>VLOOKUP(C2830,'All Districts'!$B$3:$C$874,2,FALSE)</f>
        <v>3610140</v>
      </c>
      <c r="F2830" s="91">
        <f>COUNTIF($E$2:$E$7106,E2830)</f>
        <v>9</v>
      </c>
    </row>
    <row r="2831" spans="1:6" x14ac:dyDescent="0.2">
      <c r="A2831">
        <v>2023</v>
      </c>
      <c r="B2831" s="36">
        <v>5807</v>
      </c>
      <c r="C2831" s="90" t="str">
        <f>VLOOKUP(B2831,'All Districts'!$A$3:$B$874,2,FALSE)</f>
        <v>Greenburgh Eleven</v>
      </c>
      <c r="D2831" s="40">
        <v>342044</v>
      </c>
      <c r="E2831">
        <f>VLOOKUP(C2831,'All Districts'!$B$3:$C$874,2,FALSE)</f>
        <v>3610140</v>
      </c>
      <c r="F2831" s="91">
        <f>COUNTIF($E$2:$E$7106,E2831)</f>
        <v>9</v>
      </c>
    </row>
    <row r="2832" spans="1:6" x14ac:dyDescent="0.2">
      <c r="A2832">
        <v>2015</v>
      </c>
      <c r="B2832" s="13">
        <v>5821</v>
      </c>
      <c r="C2832" s="90" t="str">
        <f>VLOOKUP(B2832,'All Districts'!$A$3:$B$874,2,FALSE)</f>
        <v>Greenburgh-Graham</v>
      </c>
      <c r="D2832" s="15">
        <v>1492267</v>
      </c>
      <c r="E2832">
        <f>VLOOKUP(C2832,'All Districts'!$B$3:$C$874,2,FALSE)</f>
        <v>3612400</v>
      </c>
      <c r="F2832" s="91">
        <f>COUNTIF($E$2:$E$7106,E2832)</f>
        <v>9</v>
      </c>
    </row>
    <row r="2833" spans="1:6" x14ac:dyDescent="0.2">
      <c r="A2833">
        <v>2016</v>
      </c>
      <c r="B2833" s="13">
        <v>5821</v>
      </c>
      <c r="C2833" s="90" t="str">
        <f>VLOOKUP(B2833,'All Districts'!$A$3:$B$874,2,FALSE)</f>
        <v>Greenburgh-Graham</v>
      </c>
      <c r="D2833" s="16">
        <v>1217375</v>
      </c>
      <c r="E2833">
        <f>VLOOKUP(C2833,'All Districts'!$B$3:$C$874,2,FALSE)</f>
        <v>3612400</v>
      </c>
      <c r="F2833" s="91">
        <f>COUNTIF($E$2:$E$7106,E2833)</f>
        <v>9</v>
      </c>
    </row>
    <row r="2834" spans="1:6" x14ac:dyDescent="0.2">
      <c r="A2834">
        <v>2017</v>
      </c>
      <c r="B2834" s="13">
        <v>5821</v>
      </c>
      <c r="C2834" s="90" t="str">
        <f>VLOOKUP(B2834,'All Districts'!$A$3:$B$874,2,FALSE)</f>
        <v>Greenburgh-Graham</v>
      </c>
      <c r="D2834" s="16">
        <v>1087222</v>
      </c>
      <c r="E2834">
        <f>VLOOKUP(C2834,'All Districts'!$B$3:$C$874,2,FALSE)</f>
        <v>3612400</v>
      </c>
      <c r="F2834" s="91">
        <f>COUNTIF($E$2:$E$7106,E2834)</f>
        <v>9</v>
      </c>
    </row>
    <row r="2835" spans="1:6" x14ac:dyDescent="0.2">
      <c r="A2835" s="10">
        <v>2018</v>
      </c>
      <c r="B2835" s="13">
        <v>5821</v>
      </c>
      <c r="C2835" s="90" t="str">
        <f>VLOOKUP(B2835,'All Districts'!$A$3:$B$874,2,FALSE)</f>
        <v>Greenburgh-Graham</v>
      </c>
      <c r="D2835" s="15">
        <v>943647</v>
      </c>
      <c r="E2835">
        <f>VLOOKUP(C2835,'All Districts'!$B$3:$C$874,2,FALSE)</f>
        <v>3612400</v>
      </c>
      <c r="F2835" s="91">
        <f>COUNTIF($E$2:$E$7106,E2835)</f>
        <v>9</v>
      </c>
    </row>
    <row r="2836" spans="1:6" x14ac:dyDescent="0.2">
      <c r="A2836">
        <v>2019</v>
      </c>
      <c r="B2836" s="36">
        <v>5821</v>
      </c>
      <c r="C2836" s="90" t="str">
        <f>VLOOKUP(B2836,'All Districts'!$A$3:$B$874,2,FALSE)</f>
        <v>Greenburgh-Graham</v>
      </c>
      <c r="D2836" s="40">
        <v>1114226</v>
      </c>
      <c r="E2836">
        <f>VLOOKUP(C2836,'All Districts'!$B$3:$C$874,2,FALSE)</f>
        <v>3612400</v>
      </c>
      <c r="F2836" s="91">
        <f>COUNTIF($E$2:$E$7106,E2836)</f>
        <v>9</v>
      </c>
    </row>
    <row r="2837" spans="1:6" x14ac:dyDescent="0.2">
      <c r="A2837">
        <v>2020</v>
      </c>
      <c r="B2837" s="36">
        <v>5821</v>
      </c>
      <c r="C2837" s="90" t="str">
        <f>VLOOKUP(B2837,'All Districts'!$A$3:$B$874,2,FALSE)</f>
        <v>Greenburgh-Graham</v>
      </c>
      <c r="D2837" s="40">
        <v>828617</v>
      </c>
      <c r="E2837">
        <f>VLOOKUP(C2837,'All Districts'!$B$3:$C$874,2,FALSE)</f>
        <v>3612400</v>
      </c>
      <c r="F2837" s="91">
        <f>COUNTIF($E$2:$E$7106,E2837)</f>
        <v>9</v>
      </c>
    </row>
    <row r="2838" spans="1:6" x14ac:dyDescent="0.2">
      <c r="A2838" s="10">
        <v>2021</v>
      </c>
      <c r="B2838" s="52">
        <v>5821</v>
      </c>
      <c r="C2838" s="90" t="str">
        <f>VLOOKUP(B2838,'All Districts'!$A$3:$B$874,2,FALSE)</f>
        <v>Greenburgh-Graham</v>
      </c>
      <c r="D2838" s="76">
        <v>844292</v>
      </c>
      <c r="E2838">
        <f>VLOOKUP(C2838,'All Districts'!$B$3:$C$874,2,FALSE)</f>
        <v>3612400</v>
      </c>
      <c r="F2838" s="91">
        <f>COUNTIF($E$2:$E$7106,E2838)</f>
        <v>9</v>
      </c>
    </row>
    <row r="2839" spans="1:6" x14ac:dyDescent="0.2">
      <c r="A2839">
        <v>2022</v>
      </c>
      <c r="B2839" s="36">
        <v>5821</v>
      </c>
      <c r="C2839" s="90" t="str">
        <f>VLOOKUP(B2839,'All Districts'!$A$3:$B$874,2,FALSE)</f>
        <v>Greenburgh-Graham</v>
      </c>
      <c r="D2839" s="82">
        <v>726088</v>
      </c>
      <c r="E2839">
        <f>VLOOKUP(C2839,'All Districts'!$B$3:$C$874,2,FALSE)</f>
        <v>3612400</v>
      </c>
      <c r="F2839" s="91">
        <f>COUNTIF($E$2:$E$7106,E2839)</f>
        <v>9</v>
      </c>
    </row>
    <row r="2840" spans="1:6" x14ac:dyDescent="0.2">
      <c r="A2840">
        <v>2023</v>
      </c>
      <c r="B2840" s="36">
        <v>5821</v>
      </c>
      <c r="C2840" s="90" t="str">
        <f>VLOOKUP(B2840,'All Districts'!$A$3:$B$874,2,FALSE)</f>
        <v>Greenburgh-Graham</v>
      </c>
      <c r="D2840" s="40">
        <v>797065</v>
      </c>
      <c r="E2840">
        <f>VLOOKUP(C2840,'All Districts'!$B$3:$C$874,2,FALSE)</f>
        <v>3612400</v>
      </c>
      <c r="F2840" s="91">
        <f>COUNTIF($E$2:$E$7106,E2840)</f>
        <v>9</v>
      </c>
    </row>
    <row r="2841" spans="1:6" x14ac:dyDescent="0.2">
      <c r="A2841">
        <v>2015</v>
      </c>
      <c r="B2841" s="13">
        <v>5822</v>
      </c>
      <c r="C2841" s="90" t="str">
        <f>VLOOKUP(B2841,'All Districts'!$A$3:$B$874,2,FALSE)</f>
        <v>Greenburgh-North Castle</v>
      </c>
      <c r="D2841" s="15">
        <v>2153697</v>
      </c>
      <c r="E2841">
        <f>VLOOKUP(C2841,'All Districts'!$B$3:$C$874,2,FALSE)</f>
        <v>3627980</v>
      </c>
      <c r="F2841" s="91">
        <f>COUNTIF($E$2:$E$7106,E2841)</f>
        <v>9</v>
      </c>
    </row>
    <row r="2842" spans="1:6" x14ac:dyDescent="0.2">
      <c r="A2842">
        <v>2016</v>
      </c>
      <c r="B2842" s="13">
        <v>5822</v>
      </c>
      <c r="C2842" s="90" t="str">
        <f>VLOOKUP(B2842,'All Districts'!$A$3:$B$874,2,FALSE)</f>
        <v>Greenburgh-North Castle</v>
      </c>
      <c r="D2842" s="16">
        <v>1615854</v>
      </c>
      <c r="E2842">
        <f>VLOOKUP(C2842,'All Districts'!$B$3:$C$874,2,FALSE)</f>
        <v>3627980</v>
      </c>
      <c r="F2842" s="91">
        <f>COUNTIF($E$2:$E$7106,E2842)</f>
        <v>9</v>
      </c>
    </row>
    <row r="2843" spans="1:6" x14ac:dyDescent="0.2">
      <c r="A2843">
        <v>2017</v>
      </c>
      <c r="B2843" s="13">
        <v>5822</v>
      </c>
      <c r="C2843" s="90" t="str">
        <f>VLOOKUP(B2843,'All Districts'!$A$3:$B$874,2,FALSE)</f>
        <v>Greenburgh-North Castle</v>
      </c>
      <c r="D2843" s="16">
        <v>1433878</v>
      </c>
      <c r="E2843">
        <f>VLOOKUP(C2843,'All Districts'!$B$3:$C$874,2,FALSE)</f>
        <v>3627980</v>
      </c>
      <c r="F2843" s="91">
        <f>COUNTIF($E$2:$E$7106,E2843)</f>
        <v>9</v>
      </c>
    </row>
    <row r="2844" spans="1:6" x14ac:dyDescent="0.2">
      <c r="A2844" s="10">
        <v>2018</v>
      </c>
      <c r="B2844" s="13">
        <v>5822</v>
      </c>
      <c r="C2844" s="90" t="str">
        <f>VLOOKUP(B2844,'All Districts'!$A$3:$B$874,2,FALSE)</f>
        <v>Greenburgh-North Castle</v>
      </c>
      <c r="D2844" s="15">
        <v>1157032</v>
      </c>
      <c r="E2844">
        <f>VLOOKUP(C2844,'All Districts'!$B$3:$C$874,2,FALSE)</f>
        <v>3627980</v>
      </c>
      <c r="F2844" s="91">
        <f>COUNTIF($E$2:$E$7106,E2844)</f>
        <v>9</v>
      </c>
    </row>
    <row r="2845" spans="1:6" x14ac:dyDescent="0.2">
      <c r="A2845">
        <v>2019</v>
      </c>
      <c r="B2845" s="36">
        <v>5822</v>
      </c>
      <c r="C2845" s="90" t="str">
        <f>VLOOKUP(B2845,'All Districts'!$A$3:$B$874,2,FALSE)</f>
        <v>Greenburgh-North Castle</v>
      </c>
      <c r="D2845" s="40">
        <v>1104536</v>
      </c>
      <c r="E2845">
        <f>VLOOKUP(C2845,'All Districts'!$B$3:$C$874,2,FALSE)</f>
        <v>3627980</v>
      </c>
      <c r="F2845" s="91">
        <f>COUNTIF($E$2:$E$7106,E2845)</f>
        <v>9</v>
      </c>
    </row>
    <row r="2846" spans="1:6" x14ac:dyDescent="0.2">
      <c r="A2846">
        <v>2020</v>
      </c>
      <c r="B2846" s="36">
        <v>5822</v>
      </c>
      <c r="C2846" s="90" t="str">
        <f>VLOOKUP(B2846,'All Districts'!$A$3:$B$874,2,FALSE)</f>
        <v>Greenburgh-North Castle</v>
      </c>
      <c r="D2846" s="40">
        <v>969708</v>
      </c>
      <c r="E2846">
        <f>VLOOKUP(C2846,'All Districts'!$B$3:$C$874,2,FALSE)</f>
        <v>3627980</v>
      </c>
      <c r="F2846" s="91">
        <f>COUNTIF($E$2:$E$7106,E2846)</f>
        <v>9</v>
      </c>
    </row>
    <row r="2847" spans="1:6" x14ac:dyDescent="0.2">
      <c r="A2847" s="10">
        <v>2021</v>
      </c>
      <c r="B2847" s="55">
        <v>5822</v>
      </c>
      <c r="C2847" s="90" t="str">
        <f>VLOOKUP(B2847,'All Districts'!$A$3:$B$874,2,FALSE)</f>
        <v>Greenburgh-North Castle</v>
      </c>
      <c r="D2847" s="75">
        <v>1065115</v>
      </c>
      <c r="E2847">
        <f>VLOOKUP(C2847,'All Districts'!$B$3:$C$874,2,FALSE)</f>
        <v>3627980</v>
      </c>
      <c r="F2847" s="91">
        <f>COUNTIF($E$2:$E$7106,E2847)</f>
        <v>9</v>
      </c>
    </row>
    <row r="2848" spans="1:6" x14ac:dyDescent="0.2">
      <c r="A2848">
        <v>2022</v>
      </c>
      <c r="B2848" s="36">
        <v>5822</v>
      </c>
      <c r="C2848" s="90" t="str">
        <f>VLOOKUP(B2848,'All Districts'!$A$3:$B$874,2,FALSE)</f>
        <v>Greenburgh-North Castle</v>
      </c>
      <c r="D2848" s="82">
        <v>1061278</v>
      </c>
      <c r="E2848">
        <f>VLOOKUP(C2848,'All Districts'!$B$3:$C$874,2,FALSE)</f>
        <v>3627980</v>
      </c>
      <c r="F2848" s="91">
        <f>COUNTIF($E$2:$E$7106,E2848)</f>
        <v>9</v>
      </c>
    </row>
    <row r="2849" spans="1:6" x14ac:dyDescent="0.2">
      <c r="A2849">
        <v>2023</v>
      </c>
      <c r="B2849" s="36">
        <v>5822</v>
      </c>
      <c r="C2849" s="90" t="str">
        <f>VLOOKUP(B2849,'All Districts'!$A$3:$B$874,2,FALSE)</f>
        <v>Greenburgh-North Castle</v>
      </c>
      <c r="D2849" s="40">
        <v>1224031</v>
      </c>
      <c r="E2849">
        <f>VLOOKUP(C2849,'All Districts'!$B$3:$C$874,2,FALSE)</f>
        <v>3627980</v>
      </c>
      <c r="F2849" s="91">
        <f>COUNTIF($E$2:$E$7106,E2849)</f>
        <v>9</v>
      </c>
    </row>
    <row r="2850" spans="1:6" x14ac:dyDescent="0.2">
      <c r="A2850">
        <v>2015</v>
      </c>
      <c r="B2850" s="13">
        <v>3586</v>
      </c>
      <c r="C2850" s="90" t="str">
        <f>VLOOKUP(B2850,'All Districts'!$A$3:$B$874,2,FALSE)</f>
        <v>Greene</v>
      </c>
      <c r="D2850" s="14">
        <v>1166748</v>
      </c>
      <c r="E2850">
        <f>VLOOKUP(C2850,'All Districts'!$B$3:$C$874,2,FALSE)</f>
        <v>3612750</v>
      </c>
      <c r="F2850" s="91">
        <f>COUNTIF($E$2:$E$7106,E2850)</f>
        <v>9</v>
      </c>
    </row>
    <row r="2851" spans="1:6" x14ac:dyDescent="0.2">
      <c r="A2851">
        <v>2016</v>
      </c>
      <c r="B2851" s="13">
        <v>3586</v>
      </c>
      <c r="C2851" s="90" t="str">
        <f>VLOOKUP(B2851,'All Districts'!$A$3:$B$874,2,FALSE)</f>
        <v>Greene</v>
      </c>
      <c r="D2851" s="16">
        <v>936803</v>
      </c>
      <c r="E2851">
        <f>VLOOKUP(C2851,'All Districts'!$B$3:$C$874,2,FALSE)</f>
        <v>3612750</v>
      </c>
      <c r="F2851" s="91">
        <f>COUNTIF($E$2:$E$7106,E2851)</f>
        <v>9</v>
      </c>
    </row>
    <row r="2852" spans="1:6" x14ac:dyDescent="0.2">
      <c r="A2852">
        <v>2017</v>
      </c>
      <c r="B2852" s="13">
        <v>3586</v>
      </c>
      <c r="C2852" s="90" t="str">
        <f>VLOOKUP(B2852,'All Districts'!$A$3:$B$874,2,FALSE)</f>
        <v>Greene</v>
      </c>
      <c r="D2852" s="16">
        <v>809053</v>
      </c>
      <c r="E2852">
        <f>VLOOKUP(C2852,'All Districts'!$B$3:$C$874,2,FALSE)</f>
        <v>3612750</v>
      </c>
      <c r="F2852" s="91">
        <f>COUNTIF($E$2:$E$7106,E2852)</f>
        <v>9</v>
      </c>
    </row>
    <row r="2853" spans="1:6" x14ac:dyDescent="0.2">
      <c r="A2853" s="10">
        <v>2018</v>
      </c>
      <c r="B2853" s="13">
        <v>3586</v>
      </c>
      <c r="C2853" s="90" t="str">
        <f>VLOOKUP(B2853,'All Districts'!$A$3:$B$874,2,FALSE)</f>
        <v>Greene</v>
      </c>
      <c r="D2853" s="15">
        <v>701283</v>
      </c>
      <c r="E2853">
        <f>VLOOKUP(C2853,'All Districts'!$B$3:$C$874,2,FALSE)</f>
        <v>3612750</v>
      </c>
      <c r="F2853" s="91">
        <f>COUNTIF($E$2:$E$7106,E2853)</f>
        <v>9</v>
      </c>
    </row>
    <row r="2854" spans="1:6" x14ac:dyDescent="0.2">
      <c r="A2854">
        <v>2019</v>
      </c>
      <c r="B2854" s="36">
        <v>3586</v>
      </c>
      <c r="C2854" s="90" t="str">
        <f>VLOOKUP(B2854,'All Districts'!$A$3:$B$874,2,FALSE)</f>
        <v>Greene</v>
      </c>
      <c r="D2854" s="40">
        <v>780311</v>
      </c>
      <c r="E2854">
        <f>VLOOKUP(C2854,'All Districts'!$B$3:$C$874,2,FALSE)</f>
        <v>3612750</v>
      </c>
      <c r="F2854" s="91">
        <f>COUNTIF($E$2:$E$7106,E2854)</f>
        <v>9</v>
      </c>
    </row>
    <row r="2855" spans="1:6" x14ac:dyDescent="0.2">
      <c r="A2855">
        <v>2020</v>
      </c>
      <c r="B2855" s="36">
        <v>3586</v>
      </c>
      <c r="C2855" s="90" t="str">
        <f>VLOOKUP(B2855,'All Districts'!$A$3:$B$874,2,FALSE)</f>
        <v>Greene</v>
      </c>
      <c r="D2855" s="40">
        <v>658532</v>
      </c>
      <c r="E2855">
        <f>VLOOKUP(C2855,'All Districts'!$B$3:$C$874,2,FALSE)</f>
        <v>3612750</v>
      </c>
      <c r="F2855" s="91">
        <f>COUNTIF($E$2:$E$7106,E2855)</f>
        <v>9</v>
      </c>
    </row>
    <row r="2856" spans="1:6" x14ac:dyDescent="0.2">
      <c r="A2856" s="10">
        <v>2021</v>
      </c>
      <c r="B2856" s="71">
        <v>3586</v>
      </c>
      <c r="C2856" s="90" t="str">
        <f>VLOOKUP(B2856,'All Districts'!$A$3:$B$874,2,FALSE)</f>
        <v>Greene</v>
      </c>
      <c r="D2856" s="75">
        <v>709546</v>
      </c>
      <c r="E2856">
        <f>VLOOKUP(C2856,'All Districts'!$B$3:$C$874,2,FALSE)</f>
        <v>3612750</v>
      </c>
      <c r="F2856" s="91">
        <f>COUNTIF($E$2:$E$7106,E2856)</f>
        <v>9</v>
      </c>
    </row>
    <row r="2857" spans="1:6" x14ac:dyDescent="0.2">
      <c r="A2857">
        <v>2022</v>
      </c>
      <c r="B2857" s="36">
        <v>3586</v>
      </c>
      <c r="C2857" s="90" t="str">
        <f>VLOOKUP(B2857,'All Districts'!$A$3:$B$874,2,FALSE)</f>
        <v>Greene</v>
      </c>
      <c r="D2857" s="82">
        <v>742140</v>
      </c>
      <c r="E2857">
        <f>VLOOKUP(C2857,'All Districts'!$B$3:$C$874,2,FALSE)</f>
        <v>3612750</v>
      </c>
      <c r="F2857" s="91">
        <f>COUNTIF($E$2:$E$7106,E2857)</f>
        <v>9</v>
      </c>
    </row>
    <row r="2858" spans="1:6" x14ac:dyDescent="0.2">
      <c r="A2858">
        <v>2023</v>
      </c>
      <c r="B2858" s="36">
        <v>3586</v>
      </c>
      <c r="C2858" s="90" t="str">
        <f>VLOOKUP(B2858,'All Districts'!$A$3:$B$874,2,FALSE)</f>
        <v>Greene</v>
      </c>
      <c r="D2858" s="40">
        <v>958829</v>
      </c>
      <c r="E2858">
        <f>VLOOKUP(C2858,'All Districts'!$B$3:$C$874,2,FALSE)</f>
        <v>3612750</v>
      </c>
      <c r="F2858" s="91">
        <f>COUNTIF($E$2:$E$7106,E2858)</f>
        <v>9</v>
      </c>
    </row>
    <row r="2859" spans="1:6" x14ac:dyDescent="0.2">
      <c r="A2859">
        <v>2015</v>
      </c>
      <c r="B2859" s="13">
        <v>5376</v>
      </c>
      <c r="C2859" s="90" t="str">
        <f>VLOOKUP(B2859,'All Districts'!$A$3:$B$874,2,FALSE)</f>
        <v>Greenport</v>
      </c>
      <c r="D2859" s="14">
        <v>996495</v>
      </c>
      <c r="E2859">
        <f>VLOOKUP(C2859,'All Districts'!$B$3:$C$874,2,FALSE)</f>
        <v>3612840</v>
      </c>
      <c r="F2859" s="91">
        <f>COUNTIF($E$2:$E$7106,E2859)</f>
        <v>9</v>
      </c>
    </row>
    <row r="2860" spans="1:6" x14ac:dyDescent="0.2">
      <c r="A2860">
        <v>2016</v>
      </c>
      <c r="B2860" s="13">
        <v>5376</v>
      </c>
      <c r="C2860" s="90" t="str">
        <f>VLOOKUP(B2860,'All Districts'!$A$3:$B$874,2,FALSE)</f>
        <v>Greenport</v>
      </c>
      <c r="D2860" s="16">
        <v>806029</v>
      </c>
      <c r="E2860">
        <f>VLOOKUP(C2860,'All Districts'!$B$3:$C$874,2,FALSE)</f>
        <v>3612840</v>
      </c>
      <c r="F2860" s="91">
        <f>COUNTIF($E$2:$E$7106,E2860)</f>
        <v>9</v>
      </c>
    </row>
    <row r="2861" spans="1:6" x14ac:dyDescent="0.2">
      <c r="A2861">
        <v>2017</v>
      </c>
      <c r="B2861" s="13">
        <v>5376</v>
      </c>
      <c r="C2861" s="90" t="str">
        <f>VLOOKUP(B2861,'All Districts'!$A$3:$B$874,2,FALSE)</f>
        <v>Greenport</v>
      </c>
      <c r="D2861" s="16">
        <v>818347</v>
      </c>
      <c r="E2861">
        <f>VLOOKUP(C2861,'All Districts'!$B$3:$C$874,2,FALSE)</f>
        <v>3612840</v>
      </c>
      <c r="F2861" s="91">
        <f>COUNTIF($E$2:$E$7106,E2861)</f>
        <v>9</v>
      </c>
    </row>
    <row r="2862" spans="1:6" x14ac:dyDescent="0.2">
      <c r="A2862" s="10">
        <v>2018</v>
      </c>
      <c r="B2862" s="13">
        <v>5376</v>
      </c>
      <c r="C2862" s="90" t="str">
        <f>VLOOKUP(B2862,'All Districts'!$A$3:$B$874,2,FALSE)</f>
        <v>Greenport</v>
      </c>
      <c r="D2862" s="15">
        <v>693915</v>
      </c>
      <c r="E2862">
        <f>VLOOKUP(C2862,'All Districts'!$B$3:$C$874,2,FALSE)</f>
        <v>3612840</v>
      </c>
      <c r="F2862" s="91">
        <f>COUNTIF($E$2:$E$7106,E2862)</f>
        <v>9</v>
      </c>
    </row>
    <row r="2863" spans="1:6" x14ac:dyDescent="0.2">
      <c r="A2863">
        <v>2019</v>
      </c>
      <c r="B2863" s="36">
        <v>5376</v>
      </c>
      <c r="C2863" s="90" t="str">
        <f>VLOOKUP(B2863,'All Districts'!$A$3:$B$874,2,FALSE)</f>
        <v>Greenport</v>
      </c>
      <c r="D2863" s="40">
        <v>762029</v>
      </c>
      <c r="E2863">
        <f>VLOOKUP(C2863,'All Districts'!$B$3:$C$874,2,FALSE)</f>
        <v>3612840</v>
      </c>
      <c r="F2863" s="91">
        <f>COUNTIF($E$2:$E$7106,E2863)</f>
        <v>9</v>
      </c>
    </row>
    <row r="2864" spans="1:6" x14ac:dyDescent="0.2">
      <c r="A2864">
        <v>2020</v>
      </c>
      <c r="B2864" s="36">
        <v>5376</v>
      </c>
      <c r="C2864" s="90" t="str">
        <f>VLOOKUP(B2864,'All Districts'!$A$3:$B$874,2,FALSE)</f>
        <v>Greenport</v>
      </c>
      <c r="D2864" s="40">
        <v>651687</v>
      </c>
      <c r="E2864">
        <f>VLOOKUP(C2864,'All Districts'!$B$3:$C$874,2,FALSE)</f>
        <v>3612840</v>
      </c>
      <c r="F2864" s="91">
        <f>COUNTIF($E$2:$E$7106,E2864)</f>
        <v>9</v>
      </c>
    </row>
    <row r="2865" spans="1:6" x14ac:dyDescent="0.2">
      <c r="A2865" s="10">
        <v>2021</v>
      </c>
      <c r="B2865" s="55">
        <v>5376</v>
      </c>
      <c r="C2865" s="90" t="str">
        <f>VLOOKUP(B2865,'All Districts'!$A$3:$B$874,2,FALSE)</f>
        <v>Greenport</v>
      </c>
      <c r="D2865" s="76">
        <v>710261</v>
      </c>
      <c r="E2865">
        <f>VLOOKUP(C2865,'All Districts'!$B$3:$C$874,2,FALSE)</f>
        <v>3612840</v>
      </c>
      <c r="F2865" s="91">
        <f>COUNTIF($E$2:$E$7106,E2865)</f>
        <v>9</v>
      </c>
    </row>
    <row r="2866" spans="1:6" x14ac:dyDescent="0.2">
      <c r="A2866">
        <v>2022</v>
      </c>
      <c r="B2866" s="36">
        <v>5376</v>
      </c>
      <c r="C2866" s="90" t="str">
        <f>VLOOKUP(B2866,'All Districts'!$A$3:$B$874,2,FALSE)</f>
        <v>Greenport</v>
      </c>
      <c r="D2866" s="82">
        <v>734593</v>
      </c>
      <c r="E2866">
        <f>VLOOKUP(C2866,'All Districts'!$B$3:$C$874,2,FALSE)</f>
        <v>3612840</v>
      </c>
      <c r="F2866" s="91">
        <f>COUNTIF($E$2:$E$7106,E2866)</f>
        <v>9</v>
      </c>
    </row>
    <row r="2867" spans="1:6" x14ac:dyDescent="0.2">
      <c r="A2867">
        <v>2023</v>
      </c>
      <c r="B2867" s="36">
        <v>5376</v>
      </c>
      <c r="C2867" s="90" t="str">
        <f>VLOOKUP(B2867,'All Districts'!$A$3:$B$874,2,FALSE)</f>
        <v>Greenport</v>
      </c>
      <c r="D2867" s="40">
        <v>808024</v>
      </c>
      <c r="E2867">
        <f>VLOOKUP(C2867,'All Districts'!$B$3:$C$874,2,FALSE)</f>
        <v>3612840</v>
      </c>
      <c r="F2867" s="91">
        <f>COUNTIF($E$2:$E$7106,E2867)</f>
        <v>9</v>
      </c>
    </row>
    <row r="2868" spans="1:6" x14ac:dyDescent="0.2">
      <c r="A2868">
        <v>2015</v>
      </c>
      <c r="B2868" s="13">
        <v>4894</v>
      </c>
      <c r="C2868" s="90" t="str">
        <f>VLOOKUP(B2868,'All Districts'!$A$3:$B$874,2,FALSE)</f>
        <v>Greenville</v>
      </c>
      <c r="D2868" s="14">
        <v>1845688</v>
      </c>
      <c r="E2868">
        <f>VLOOKUP(C2868,'All Districts'!$B$3:$C$874,2,FALSE)</f>
        <v>3612870</v>
      </c>
      <c r="F2868" s="91">
        <f>COUNTIF($E$2:$E$7106,E2868)</f>
        <v>9</v>
      </c>
    </row>
    <row r="2869" spans="1:6" x14ac:dyDescent="0.2">
      <c r="A2869">
        <v>2016</v>
      </c>
      <c r="B2869" s="13">
        <v>4894</v>
      </c>
      <c r="C2869" s="90" t="str">
        <f>VLOOKUP(B2869,'All Districts'!$A$3:$B$874,2,FALSE)</f>
        <v>Greenville</v>
      </c>
      <c r="D2869" s="16">
        <v>1392691</v>
      </c>
      <c r="E2869">
        <f>VLOOKUP(C2869,'All Districts'!$B$3:$C$874,2,FALSE)</f>
        <v>3612870</v>
      </c>
      <c r="F2869" s="91">
        <f>COUNTIF($E$2:$E$7106,E2869)</f>
        <v>9</v>
      </c>
    </row>
    <row r="2870" spans="1:6" x14ac:dyDescent="0.2">
      <c r="A2870">
        <v>2017</v>
      </c>
      <c r="B2870" s="13">
        <v>4894</v>
      </c>
      <c r="C2870" s="90" t="str">
        <f>VLOOKUP(B2870,'All Districts'!$A$3:$B$874,2,FALSE)</f>
        <v>Greenville</v>
      </c>
      <c r="D2870" s="16">
        <v>1223024</v>
      </c>
      <c r="E2870">
        <f>VLOOKUP(C2870,'All Districts'!$B$3:$C$874,2,FALSE)</f>
        <v>3612870</v>
      </c>
      <c r="F2870" s="91">
        <f>COUNTIF($E$2:$E$7106,E2870)</f>
        <v>9</v>
      </c>
    </row>
    <row r="2871" spans="1:6" x14ac:dyDescent="0.2">
      <c r="A2871" s="10">
        <v>2018</v>
      </c>
      <c r="B2871" s="13">
        <v>4894</v>
      </c>
      <c r="C2871" s="90" t="str">
        <f>VLOOKUP(B2871,'All Districts'!$A$3:$B$874,2,FALSE)</f>
        <v>Greenville</v>
      </c>
      <c r="D2871" s="15">
        <v>1052290</v>
      </c>
      <c r="E2871">
        <f>VLOOKUP(C2871,'All Districts'!$B$3:$C$874,2,FALSE)</f>
        <v>3612870</v>
      </c>
      <c r="F2871" s="91">
        <f>COUNTIF($E$2:$E$7106,E2871)</f>
        <v>9</v>
      </c>
    </row>
    <row r="2872" spans="1:6" x14ac:dyDescent="0.2">
      <c r="A2872">
        <v>2019</v>
      </c>
      <c r="B2872" s="36">
        <v>4894</v>
      </c>
      <c r="C2872" s="90" t="str">
        <f>VLOOKUP(B2872,'All Districts'!$A$3:$B$874,2,FALSE)</f>
        <v>Greenville</v>
      </c>
      <c r="D2872" s="40">
        <v>1157058</v>
      </c>
      <c r="E2872">
        <f>VLOOKUP(C2872,'All Districts'!$B$3:$C$874,2,FALSE)</f>
        <v>3612870</v>
      </c>
      <c r="F2872" s="91">
        <f>COUNTIF($E$2:$E$7106,E2872)</f>
        <v>9</v>
      </c>
    </row>
    <row r="2873" spans="1:6" x14ac:dyDescent="0.2">
      <c r="A2873">
        <v>2020</v>
      </c>
      <c r="B2873" s="36">
        <v>4894</v>
      </c>
      <c r="C2873" s="90" t="str">
        <f>VLOOKUP(B2873,'All Districts'!$A$3:$B$874,2,FALSE)</f>
        <v>Greenville</v>
      </c>
      <c r="D2873" s="40">
        <v>990977</v>
      </c>
      <c r="E2873">
        <f>VLOOKUP(C2873,'All Districts'!$B$3:$C$874,2,FALSE)</f>
        <v>3612870</v>
      </c>
      <c r="F2873" s="91">
        <f>COUNTIF($E$2:$E$7106,E2873)</f>
        <v>9</v>
      </c>
    </row>
    <row r="2874" spans="1:6" x14ac:dyDescent="0.2">
      <c r="A2874" s="10">
        <v>2021</v>
      </c>
      <c r="B2874" s="52">
        <v>4894</v>
      </c>
      <c r="C2874" s="90" t="str">
        <f>VLOOKUP(B2874,'All Districts'!$A$3:$B$874,2,FALSE)</f>
        <v>Greenville</v>
      </c>
      <c r="D2874" s="76">
        <v>1098739</v>
      </c>
      <c r="E2874">
        <f>VLOOKUP(C2874,'All Districts'!$B$3:$C$874,2,FALSE)</f>
        <v>3612870</v>
      </c>
      <c r="F2874" s="91">
        <f>COUNTIF($E$2:$E$7106,E2874)</f>
        <v>9</v>
      </c>
    </row>
    <row r="2875" spans="1:6" x14ac:dyDescent="0.2">
      <c r="A2875">
        <v>2022</v>
      </c>
      <c r="B2875" s="36">
        <v>4894</v>
      </c>
      <c r="C2875" s="90" t="str">
        <f>VLOOKUP(B2875,'All Districts'!$A$3:$B$874,2,FALSE)</f>
        <v>Greenville</v>
      </c>
      <c r="D2875" s="82">
        <v>1211701</v>
      </c>
      <c r="E2875">
        <f>VLOOKUP(C2875,'All Districts'!$B$3:$C$874,2,FALSE)</f>
        <v>3612870</v>
      </c>
      <c r="F2875" s="91">
        <f>COUNTIF($E$2:$E$7106,E2875)</f>
        <v>9</v>
      </c>
    </row>
    <row r="2876" spans="1:6" x14ac:dyDescent="0.2">
      <c r="A2876">
        <v>2023</v>
      </c>
      <c r="B2876" s="36">
        <v>4894</v>
      </c>
      <c r="C2876" s="90" t="str">
        <f>VLOOKUP(B2876,'All Districts'!$A$3:$B$874,2,FALSE)</f>
        <v>Greenville</v>
      </c>
      <c r="D2876" s="40">
        <v>1262652</v>
      </c>
      <c r="E2876">
        <f>VLOOKUP(C2876,'All Districts'!$B$3:$C$874,2,FALSE)</f>
        <v>3612870</v>
      </c>
      <c r="F2876" s="91">
        <f>COUNTIF($E$2:$E$7106,E2876)</f>
        <v>9</v>
      </c>
    </row>
    <row r="2877" spans="1:6" x14ac:dyDescent="0.2">
      <c r="A2877">
        <v>2015</v>
      </c>
      <c r="B2877" s="13">
        <v>5680</v>
      </c>
      <c r="C2877" s="90" t="str">
        <f>VLOOKUP(B2877,'All Districts'!$A$3:$B$874,2,FALSE)</f>
        <v>Greenwich</v>
      </c>
      <c r="D2877" s="14">
        <v>1311441</v>
      </c>
      <c r="E2877">
        <f>VLOOKUP(C2877,'All Districts'!$B$3:$C$874,2,FALSE)</f>
        <v>3612900</v>
      </c>
      <c r="F2877" s="91">
        <f>COUNTIF($E$2:$E$7106,E2877)</f>
        <v>9</v>
      </c>
    </row>
    <row r="2878" spans="1:6" x14ac:dyDescent="0.2">
      <c r="A2878">
        <v>2016</v>
      </c>
      <c r="B2878" s="13">
        <v>5680</v>
      </c>
      <c r="C2878" s="90" t="str">
        <f>VLOOKUP(B2878,'All Districts'!$A$3:$B$874,2,FALSE)</f>
        <v>Greenwich</v>
      </c>
      <c r="D2878" s="16">
        <v>995313</v>
      </c>
      <c r="E2878">
        <f>VLOOKUP(C2878,'All Districts'!$B$3:$C$874,2,FALSE)</f>
        <v>3612900</v>
      </c>
      <c r="F2878" s="91">
        <f>COUNTIF($E$2:$E$7106,E2878)</f>
        <v>9</v>
      </c>
    </row>
    <row r="2879" spans="1:6" x14ac:dyDescent="0.2">
      <c r="A2879">
        <v>2017</v>
      </c>
      <c r="B2879" s="13">
        <v>5680</v>
      </c>
      <c r="C2879" s="90" t="str">
        <f>VLOOKUP(B2879,'All Districts'!$A$3:$B$874,2,FALSE)</f>
        <v>Greenwich</v>
      </c>
      <c r="D2879" s="16">
        <v>870421</v>
      </c>
      <c r="E2879">
        <f>VLOOKUP(C2879,'All Districts'!$B$3:$C$874,2,FALSE)</f>
        <v>3612900</v>
      </c>
      <c r="F2879" s="91">
        <f>COUNTIF($E$2:$E$7106,E2879)</f>
        <v>9</v>
      </c>
    </row>
    <row r="2880" spans="1:6" x14ac:dyDescent="0.2">
      <c r="A2880" s="10">
        <v>2018</v>
      </c>
      <c r="B2880" s="13">
        <v>5680</v>
      </c>
      <c r="C2880" s="90" t="str">
        <f>VLOOKUP(B2880,'All Districts'!$A$3:$B$874,2,FALSE)</f>
        <v>Greenwich</v>
      </c>
      <c r="D2880" s="15">
        <v>728958</v>
      </c>
      <c r="E2880">
        <f>VLOOKUP(C2880,'All Districts'!$B$3:$C$874,2,FALSE)</f>
        <v>3612900</v>
      </c>
      <c r="F2880" s="91">
        <f>COUNTIF($E$2:$E$7106,E2880)</f>
        <v>9</v>
      </c>
    </row>
    <row r="2881" spans="1:6" x14ac:dyDescent="0.2">
      <c r="A2881">
        <v>2019</v>
      </c>
      <c r="B2881" s="36">
        <v>5680</v>
      </c>
      <c r="C2881" s="90" t="str">
        <f>VLOOKUP(B2881,'All Districts'!$A$3:$B$874,2,FALSE)</f>
        <v>Greenwich</v>
      </c>
      <c r="D2881" s="40">
        <v>803813</v>
      </c>
      <c r="E2881">
        <f>VLOOKUP(C2881,'All Districts'!$B$3:$C$874,2,FALSE)</f>
        <v>3612900</v>
      </c>
      <c r="F2881" s="91">
        <f>COUNTIF($E$2:$E$7106,E2881)</f>
        <v>9</v>
      </c>
    </row>
    <row r="2882" spans="1:6" x14ac:dyDescent="0.2">
      <c r="A2882">
        <v>2020</v>
      </c>
      <c r="B2882" s="36">
        <v>5680</v>
      </c>
      <c r="C2882" s="90" t="str">
        <f>VLOOKUP(B2882,'All Districts'!$A$3:$B$874,2,FALSE)</f>
        <v>Greenwich</v>
      </c>
      <c r="D2882" s="40">
        <v>679074</v>
      </c>
      <c r="E2882">
        <f>VLOOKUP(C2882,'All Districts'!$B$3:$C$874,2,FALSE)</f>
        <v>3612900</v>
      </c>
      <c r="F2882" s="91">
        <f>COUNTIF($E$2:$E$7106,E2882)</f>
        <v>9</v>
      </c>
    </row>
    <row r="2883" spans="1:6" x14ac:dyDescent="0.2">
      <c r="A2883" s="10">
        <v>2021</v>
      </c>
      <c r="B2883" s="52">
        <v>5680</v>
      </c>
      <c r="C2883" s="90" t="str">
        <f>VLOOKUP(B2883,'All Districts'!$A$3:$B$874,2,FALSE)</f>
        <v>Greenwich</v>
      </c>
      <c r="D2883" s="76">
        <v>713377</v>
      </c>
      <c r="E2883">
        <f>VLOOKUP(C2883,'All Districts'!$B$3:$C$874,2,FALSE)</f>
        <v>3612900</v>
      </c>
      <c r="F2883" s="91">
        <f>COUNTIF($E$2:$E$7106,E2883)</f>
        <v>9</v>
      </c>
    </row>
    <row r="2884" spans="1:6" x14ac:dyDescent="0.2">
      <c r="A2884">
        <v>2022</v>
      </c>
      <c r="B2884" s="36">
        <v>5680</v>
      </c>
      <c r="C2884" s="90" t="str">
        <f>VLOOKUP(B2884,'All Districts'!$A$3:$B$874,2,FALSE)</f>
        <v>Greenwich</v>
      </c>
      <c r="D2884" s="82">
        <v>787580</v>
      </c>
      <c r="E2884">
        <f>VLOOKUP(C2884,'All Districts'!$B$3:$C$874,2,FALSE)</f>
        <v>3612900</v>
      </c>
      <c r="F2884" s="91">
        <f>COUNTIF($E$2:$E$7106,E2884)</f>
        <v>9</v>
      </c>
    </row>
    <row r="2885" spans="1:6" x14ac:dyDescent="0.2">
      <c r="A2885">
        <v>2023</v>
      </c>
      <c r="B2885" s="36">
        <v>5680</v>
      </c>
      <c r="C2885" s="90" t="str">
        <f>VLOOKUP(B2885,'All Districts'!$A$3:$B$874,2,FALSE)</f>
        <v>Greenwich</v>
      </c>
      <c r="D2885" s="40">
        <v>840116</v>
      </c>
      <c r="E2885">
        <f>VLOOKUP(C2885,'All Districts'!$B$3:$C$874,2,FALSE)</f>
        <v>3612900</v>
      </c>
      <c r="F2885" s="91">
        <f>COUNTIF($E$2:$E$7106,E2885)</f>
        <v>9</v>
      </c>
    </row>
    <row r="2886" spans="1:6" x14ac:dyDescent="0.2">
      <c r="A2886">
        <v>2015</v>
      </c>
      <c r="B2886" s="13">
        <v>4662</v>
      </c>
      <c r="C2886" s="90" t="str">
        <f>VLOOKUP(B2886,'All Districts'!$A$3:$B$874,2,FALSE)</f>
        <v>Greenwood Lake</v>
      </c>
      <c r="D2886" s="14">
        <v>963824</v>
      </c>
      <c r="E2886">
        <f>VLOOKUP(C2886,'All Districts'!$B$3:$C$874,2,FALSE)</f>
        <v>3612960</v>
      </c>
      <c r="F2886" s="91">
        <f>COUNTIF($E$2:$E$7106,E2886)</f>
        <v>9</v>
      </c>
    </row>
    <row r="2887" spans="1:6" x14ac:dyDescent="0.2">
      <c r="A2887">
        <v>2016</v>
      </c>
      <c r="B2887" s="13">
        <v>4662</v>
      </c>
      <c r="C2887" s="90" t="str">
        <f>VLOOKUP(B2887,'All Districts'!$A$3:$B$874,2,FALSE)</f>
        <v>Greenwood Lake</v>
      </c>
      <c r="D2887" s="16">
        <v>750095</v>
      </c>
      <c r="E2887">
        <f>VLOOKUP(C2887,'All Districts'!$B$3:$C$874,2,FALSE)</f>
        <v>3612960</v>
      </c>
      <c r="F2887" s="91">
        <f>COUNTIF($E$2:$E$7106,E2887)</f>
        <v>9</v>
      </c>
    </row>
    <row r="2888" spans="1:6" x14ac:dyDescent="0.2">
      <c r="A2888">
        <v>2017</v>
      </c>
      <c r="B2888" s="13">
        <v>4662</v>
      </c>
      <c r="C2888" s="90" t="str">
        <f>VLOOKUP(B2888,'All Districts'!$A$3:$B$874,2,FALSE)</f>
        <v>Greenwood Lake</v>
      </c>
      <c r="D2888" s="16">
        <v>672232</v>
      </c>
      <c r="E2888">
        <f>VLOOKUP(C2888,'All Districts'!$B$3:$C$874,2,FALSE)</f>
        <v>3612960</v>
      </c>
      <c r="F2888" s="91">
        <f>COUNTIF($E$2:$E$7106,E2888)</f>
        <v>9</v>
      </c>
    </row>
    <row r="2889" spans="1:6" x14ac:dyDescent="0.2">
      <c r="A2889" s="10">
        <v>2018</v>
      </c>
      <c r="B2889" s="13">
        <v>4662</v>
      </c>
      <c r="C2889" s="90" t="str">
        <f>VLOOKUP(B2889,'All Districts'!$A$3:$B$874,2,FALSE)</f>
        <v>Greenwood Lake</v>
      </c>
      <c r="D2889" s="15">
        <v>582276</v>
      </c>
      <c r="E2889">
        <f>VLOOKUP(C2889,'All Districts'!$B$3:$C$874,2,FALSE)</f>
        <v>3612960</v>
      </c>
      <c r="F2889" s="91">
        <f>COUNTIF($E$2:$E$7106,E2889)</f>
        <v>9</v>
      </c>
    </row>
    <row r="2890" spans="1:6" x14ac:dyDescent="0.2">
      <c r="A2890">
        <v>2019</v>
      </c>
      <c r="B2890" s="36">
        <v>4662</v>
      </c>
      <c r="C2890" s="90" t="str">
        <f>VLOOKUP(B2890,'All Districts'!$A$3:$B$874,2,FALSE)</f>
        <v>Greenwood Lake</v>
      </c>
      <c r="D2890" s="40">
        <v>688045</v>
      </c>
      <c r="E2890">
        <f>VLOOKUP(C2890,'All Districts'!$B$3:$C$874,2,FALSE)</f>
        <v>3612960</v>
      </c>
      <c r="F2890" s="91">
        <f>COUNTIF($E$2:$E$7106,E2890)</f>
        <v>9</v>
      </c>
    </row>
    <row r="2891" spans="1:6" x14ac:dyDescent="0.2">
      <c r="A2891">
        <v>2020</v>
      </c>
      <c r="B2891" s="36">
        <v>4662</v>
      </c>
      <c r="C2891" s="90" t="str">
        <f>VLOOKUP(B2891,'All Districts'!$A$3:$B$874,2,FALSE)</f>
        <v>Greenwood Lake</v>
      </c>
      <c r="D2891" s="40">
        <v>601586</v>
      </c>
      <c r="E2891">
        <f>VLOOKUP(C2891,'All Districts'!$B$3:$C$874,2,FALSE)</f>
        <v>3612960</v>
      </c>
      <c r="F2891" s="91">
        <f>COUNTIF($E$2:$E$7106,E2891)</f>
        <v>9</v>
      </c>
    </row>
    <row r="2892" spans="1:6" x14ac:dyDescent="0.2">
      <c r="A2892" s="10">
        <v>2021</v>
      </c>
      <c r="B2892" s="52">
        <v>4662</v>
      </c>
      <c r="C2892" s="90" t="str">
        <f>VLOOKUP(B2892,'All Districts'!$A$3:$B$874,2,FALSE)</f>
        <v>Greenwood Lake</v>
      </c>
      <c r="D2892" s="76">
        <v>664109</v>
      </c>
      <c r="E2892">
        <f>VLOOKUP(C2892,'All Districts'!$B$3:$C$874,2,FALSE)</f>
        <v>3612960</v>
      </c>
      <c r="F2892" s="91">
        <f>COUNTIF($E$2:$E$7106,E2892)</f>
        <v>9</v>
      </c>
    </row>
    <row r="2893" spans="1:6" x14ac:dyDescent="0.2">
      <c r="A2893">
        <v>2022</v>
      </c>
      <c r="B2893" s="36">
        <v>4662</v>
      </c>
      <c r="C2893" s="90" t="str">
        <f>VLOOKUP(B2893,'All Districts'!$A$3:$B$874,2,FALSE)</f>
        <v>Greenwood Lake</v>
      </c>
      <c r="D2893" s="82">
        <v>733821</v>
      </c>
      <c r="E2893">
        <f>VLOOKUP(C2893,'All Districts'!$B$3:$C$874,2,FALSE)</f>
        <v>3612960</v>
      </c>
      <c r="F2893" s="91">
        <f>COUNTIF($E$2:$E$7106,E2893)</f>
        <v>9</v>
      </c>
    </row>
    <row r="2894" spans="1:6" x14ac:dyDescent="0.2">
      <c r="A2894">
        <v>2023</v>
      </c>
      <c r="B2894" s="36">
        <v>4662</v>
      </c>
      <c r="C2894" s="90" t="str">
        <f>VLOOKUP(B2894,'All Districts'!$A$3:$B$874,2,FALSE)</f>
        <v>Greenwood Lake</v>
      </c>
      <c r="D2894" s="40">
        <v>747484</v>
      </c>
      <c r="E2894">
        <f>VLOOKUP(C2894,'All Districts'!$B$3:$C$874,2,FALSE)</f>
        <v>3612960</v>
      </c>
      <c r="F2894" s="91">
        <f>COUNTIF($E$2:$E$7106,E2894)</f>
        <v>9</v>
      </c>
    </row>
    <row r="2895" spans="1:6" x14ac:dyDescent="0.2">
      <c r="A2895">
        <v>2015</v>
      </c>
      <c r="B2895" s="13">
        <v>5534</v>
      </c>
      <c r="C2895" s="90" t="str">
        <f>VLOOKUP(B2895,'All Districts'!$A$3:$B$874,2,FALSE)</f>
        <v>Groton</v>
      </c>
      <c r="D2895" s="14">
        <v>909810</v>
      </c>
      <c r="E2895">
        <f>VLOOKUP(C2895,'All Districts'!$B$3:$C$874,2,FALSE)</f>
        <v>3613020</v>
      </c>
      <c r="F2895" s="91">
        <f>COUNTIF($E$2:$E$7106,E2895)</f>
        <v>9</v>
      </c>
    </row>
    <row r="2896" spans="1:6" x14ac:dyDescent="0.2">
      <c r="A2896">
        <v>2016</v>
      </c>
      <c r="B2896" s="13">
        <v>5534</v>
      </c>
      <c r="C2896" s="90" t="str">
        <f>VLOOKUP(B2896,'All Districts'!$A$3:$B$874,2,FALSE)</f>
        <v>Groton</v>
      </c>
      <c r="D2896" s="16">
        <v>712174</v>
      </c>
      <c r="E2896">
        <f>VLOOKUP(C2896,'All Districts'!$B$3:$C$874,2,FALSE)</f>
        <v>3613020</v>
      </c>
      <c r="F2896" s="91">
        <f>COUNTIF($E$2:$E$7106,E2896)</f>
        <v>9</v>
      </c>
    </row>
    <row r="2897" spans="1:6" x14ac:dyDescent="0.2">
      <c r="A2897">
        <v>2017</v>
      </c>
      <c r="B2897" s="13">
        <v>5534</v>
      </c>
      <c r="C2897" s="90" t="str">
        <f>VLOOKUP(B2897,'All Districts'!$A$3:$B$874,2,FALSE)</f>
        <v>Groton</v>
      </c>
      <c r="D2897" s="16">
        <v>623301</v>
      </c>
      <c r="E2897">
        <f>VLOOKUP(C2897,'All Districts'!$B$3:$C$874,2,FALSE)</f>
        <v>3613020</v>
      </c>
      <c r="F2897" s="91">
        <f>COUNTIF($E$2:$E$7106,E2897)</f>
        <v>9</v>
      </c>
    </row>
    <row r="2898" spans="1:6" x14ac:dyDescent="0.2">
      <c r="A2898" s="10">
        <v>2018</v>
      </c>
      <c r="B2898" s="13">
        <v>5534</v>
      </c>
      <c r="C2898" s="90" t="str">
        <f>VLOOKUP(B2898,'All Districts'!$A$3:$B$874,2,FALSE)</f>
        <v>Groton</v>
      </c>
      <c r="D2898" s="15">
        <v>539025</v>
      </c>
      <c r="E2898">
        <f>VLOOKUP(C2898,'All Districts'!$B$3:$C$874,2,FALSE)</f>
        <v>3613020</v>
      </c>
      <c r="F2898" s="91">
        <f>COUNTIF($E$2:$E$7106,E2898)</f>
        <v>9</v>
      </c>
    </row>
    <row r="2899" spans="1:6" x14ac:dyDescent="0.2">
      <c r="A2899">
        <v>2019</v>
      </c>
      <c r="B2899" s="36">
        <v>5534</v>
      </c>
      <c r="C2899" s="90" t="str">
        <f>VLOOKUP(B2899,'All Districts'!$A$3:$B$874,2,FALSE)</f>
        <v>Groton</v>
      </c>
      <c r="D2899" s="40">
        <v>632021</v>
      </c>
      <c r="E2899">
        <f>VLOOKUP(C2899,'All Districts'!$B$3:$C$874,2,FALSE)</f>
        <v>3613020</v>
      </c>
      <c r="F2899" s="91">
        <f>COUNTIF($E$2:$E$7106,E2899)</f>
        <v>9</v>
      </c>
    </row>
    <row r="2900" spans="1:6" x14ac:dyDescent="0.2">
      <c r="A2900">
        <v>2020</v>
      </c>
      <c r="B2900" s="36">
        <v>5534</v>
      </c>
      <c r="C2900" s="90" t="str">
        <f>VLOOKUP(B2900,'All Districts'!$A$3:$B$874,2,FALSE)</f>
        <v>Groton</v>
      </c>
      <c r="D2900" s="40">
        <v>576332</v>
      </c>
      <c r="E2900">
        <f>VLOOKUP(C2900,'All Districts'!$B$3:$C$874,2,FALSE)</f>
        <v>3613020</v>
      </c>
      <c r="F2900" s="91">
        <f>COUNTIF($E$2:$E$7106,E2900)</f>
        <v>9</v>
      </c>
    </row>
    <row r="2901" spans="1:6" x14ac:dyDescent="0.2">
      <c r="A2901" s="10">
        <v>2021</v>
      </c>
      <c r="B2901" s="52">
        <v>5534</v>
      </c>
      <c r="C2901" s="90" t="str">
        <f>VLOOKUP(B2901,'All Districts'!$A$3:$B$874,2,FALSE)</f>
        <v>Groton</v>
      </c>
      <c r="D2901" s="76">
        <v>612980</v>
      </c>
      <c r="E2901">
        <f>VLOOKUP(C2901,'All Districts'!$B$3:$C$874,2,FALSE)</f>
        <v>3613020</v>
      </c>
      <c r="F2901" s="91">
        <f>COUNTIF($E$2:$E$7106,E2901)</f>
        <v>9</v>
      </c>
    </row>
    <row r="2902" spans="1:6" x14ac:dyDescent="0.2">
      <c r="A2902">
        <v>2022</v>
      </c>
      <c r="B2902" s="36">
        <v>5534</v>
      </c>
      <c r="C2902" s="90" t="str">
        <f>VLOOKUP(B2902,'All Districts'!$A$3:$B$874,2,FALSE)</f>
        <v>Groton</v>
      </c>
      <c r="D2902" s="82">
        <v>664585</v>
      </c>
      <c r="E2902">
        <f>VLOOKUP(C2902,'All Districts'!$B$3:$C$874,2,FALSE)</f>
        <v>3613020</v>
      </c>
      <c r="F2902" s="91">
        <f>COUNTIF($E$2:$E$7106,E2902)</f>
        <v>9</v>
      </c>
    </row>
    <row r="2903" spans="1:6" x14ac:dyDescent="0.2">
      <c r="A2903">
        <v>2023</v>
      </c>
      <c r="B2903" s="36">
        <v>5534</v>
      </c>
      <c r="C2903" s="90" t="str">
        <f>VLOOKUP(B2903,'All Districts'!$A$3:$B$874,2,FALSE)</f>
        <v>Groton</v>
      </c>
      <c r="D2903" s="40">
        <v>730332</v>
      </c>
      <c r="E2903">
        <f>VLOOKUP(C2903,'All Districts'!$B$3:$C$874,2,FALSE)</f>
        <v>3613020</v>
      </c>
      <c r="F2903" s="91">
        <f>COUNTIF($E$2:$E$7106,E2903)</f>
        <v>9</v>
      </c>
    </row>
    <row r="2904" spans="1:6" x14ac:dyDescent="0.2">
      <c r="A2904">
        <v>2015</v>
      </c>
      <c r="B2904" s="13">
        <v>2208</v>
      </c>
      <c r="C2904" s="90" t="str">
        <f>VLOOKUP(B2904,'All Districts'!$A$3:$B$874,2,FALSE)</f>
        <v>Guilderland</v>
      </c>
      <c r="D2904" s="14">
        <v>6263772</v>
      </c>
      <c r="E2904">
        <f>VLOOKUP(C2904,'All Districts'!$B$3:$C$874,2,FALSE)</f>
        <v>3613080</v>
      </c>
      <c r="F2904" s="91">
        <f>COUNTIF($E$2:$E$7106,E2904)</f>
        <v>9</v>
      </c>
    </row>
    <row r="2905" spans="1:6" x14ac:dyDescent="0.2">
      <c r="A2905">
        <v>2016</v>
      </c>
      <c r="B2905" s="13">
        <v>2208</v>
      </c>
      <c r="C2905" s="90" t="str">
        <f>VLOOKUP(B2905,'All Districts'!$A$3:$B$874,2,FALSE)</f>
        <v>Guilderland</v>
      </c>
      <c r="D2905" s="16">
        <v>5078666</v>
      </c>
      <c r="E2905">
        <f>VLOOKUP(C2905,'All Districts'!$B$3:$C$874,2,FALSE)</f>
        <v>3613080</v>
      </c>
      <c r="F2905" s="91">
        <f>COUNTIF($E$2:$E$7106,E2905)</f>
        <v>9</v>
      </c>
    </row>
    <row r="2906" spans="1:6" x14ac:dyDescent="0.2">
      <c r="A2906">
        <v>2017</v>
      </c>
      <c r="B2906" s="13">
        <v>2208</v>
      </c>
      <c r="C2906" s="90" t="str">
        <f>VLOOKUP(B2906,'All Districts'!$A$3:$B$874,2,FALSE)</f>
        <v>Guilderland</v>
      </c>
      <c r="D2906" s="16">
        <v>4615090</v>
      </c>
      <c r="E2906">
        <f>VLOOKUP(C2906,'All Districts'!$B$3:$C$874,2,FALSE)</f>
        <v>3613080</v>
      </c>
      <c r="F2906" s="91">
        <f>COUNTIF($E$2:$E$7106,E2906)</f>
        <v>9</v>
      </c>
    </row>
    <row r="2907" spans="1:6" x14ac:dyDescent="0.2">
      <c r="A2907" s="10">
        <v>2018</v>
      </c>
      <c r="B2907" s="13">
        <v>2208</v>
      </c>
      <c r="C2907" s="90" t="str">
        <f>VLOOKUP(B2907,'All Districts'!$A$3:$B$874,2,FALSE)</f>
        <v>Guilderland</v>
      </c>
      <c r="D2907" s="15">
        <v>4056060</v>
      </c>
      <c r="E2907">
        <f>VLOOKUP(C2907,'All Districts'!$B$3:$C$874,2,FALSE)</f>
        <v>3613080</v>
      </c>
      <c r="F2907" s="91">
        <f>COUNTIF($E$2:$E$7106,E2907)</f>
        <v>9</v>
      </c>
    </row>
    <row r="2908" spans="1:6" x14ac:dyDescent="0.2">
      <c r="A2908">
        <v>2019</v>
      </c>
      <c r="B2908" s="36">
        <v>2208</v>
      </c>
      <c r="C2908" s="90" t="str">
        <f>VLOOKUP(B2908,'All Districts'!$A$3:$B$874,2,FALSE)</f>
        <v>Guilderland</v>
      </c>
      <c r="D2908" s="40">
        <v>4522709</v>
      </c>
      <c r="E2908">
        <f>VLOOKUP(C2908,'All Districts'!$B$3:$C$874,2,FALSE)</f>
        <v>3613080</v>
      </c>
      <c r="F2908" s="91">
        <f>COUNTIF($E$2:$E$7106,E2908)</f>
        <v>9</v>
      </c>
    </row>
    <row r="2909" spans="1:6" x14ac:dyDescent="0.2">
      <c r="A2909">
        <v>2020</v>
      </c>
      <c r="B2909" s="36">
        <v>2208</v>
      </c>
      <c r="C2909" s="90" t="str">
        <f>VLOOKUP(B2909,'All Districts'!$A$3:$B$874,2,FALSE)</f>
        <v>Guilderland</v>
      </c>
      <c r="D2909" s="40">
        <v>3921554</v>
      </c>
      <c r="E2909">
        <f>VLOOKUP(C2909,'All Districts'!$B$3:$C$874,2,FALSE)</f>
        <v>3613080</v>
      </c>
      <c r="F2909" s="91">
        <f>COUNTIF($E$2:$E$7106,E2909)</f>
        <v>9</v>
      </c>
    </row>
    <row r="2910" spans="1:6" x14ac:dyDescent="0.2">
      <c r="A2910" s="10">
        <v>2021</v>
      </c>
      <c r="B2910" s="52">
        <v>2208</v>
      </c>
      <c r="C2910" s="90" t="str">
        <f>VLOOKUP(B2910,'All Districts'!$A$3:$B$874,2,FALSE)</f>
        <v>Guilderland</v>
      </c>
      <c r="D2910" s="76">
        <v>4302591</v>
      </c>
      <c r="E2910">
        <f>VLOOKUP(C2910,'All Districts'!$B$3:$C$874,2,FALSE)</f>
        <v>3613080</v>
      </c>
      <c r="F2910" s="91">
        <f>COUNTIF($E$2:$E$7106,E2910)</f>
        <v>9</v>
      </c>
    </row>
    <row r="2911" spans="1:6" x14ac:dyDescent="0.2">
      <c r="A2911">
        <v>2022</v>
      </c>
      <c r="B2911" s="36">
        <v>2208</v>
      </c>
      <c r="C2911" s="90" t="str">
        <f>VLOOKUP(B2911,'All Districts'!$A$3:$B$874,2,FALSE)</f>
        <v>Guilderland</v>
      </c>
      <c r="D2911" s="82">
        <v>4559380</v>
      </c>
      <c r="E2911">
        <f>VLOOKUP(C2911,'All Districts'!$B$3:$C$874,2,FALSE)</f>
        <v>3613080</v>
      </c>
      <c r="F2911" s="91">
        <f>COUNTIF($E$2:$E$7106,E2911)</f>
        <v>9</v>
      </c>
    </row>
    <row r="2912" spans="1:6" x14ac:dyDescent="0.2">
      <c r="A2912">
        <v>2023</v>
      </c>
      <c r="B2912" s="36">
        <v>2208</v>
      </c>
      <c r="C2912" s="90" t="str">
        <f>VLOOKUP(B2912,'All Districts'!$A$3:$B$874,2,FALSE)</f>
        <v>Guilderland</v>
      </c>
      <c r="D2912" s="40">
        <v>4925289</v>
      </c>
      <c r="E2912">
        <f>VLOOKUP(C2912,'All Districts'!$B$3:$C$874,2,FALSE)</f>
        <v>3613080</v>
      </c>
      <c r="F2912" s="91">
        <f>COUNTIF($E$2:$E$7106,E2912)</f>
        <v>9</v>
      </c>
    </row>
    <row r="2913" spans="1:6" x14ac:dyDescent="0.2">
      <c r="A2913">
        <v>2015</v>
      </c>
      <c r="B2913" s="13">
        <v>5108</v>
      </c>
      <c r="C2913" s="90" t="str">
        <f>VLOOKUP(B2913,'All Districts'!$A$3:$B$874,2,FALSE)</f>
        <v>Hadley-Luzerne</v>
      </c>
      <c r="D2913" s="14">
        <v>1115960</v>
      </c>
      <c r="E2913">
        <f>VLOOKUP(C2913,'All Districts'!$B$3:$C$874,2,FALSE)</f>
        <v>3613110</v>
      </c>
      <c r="F2913" s="91">
        <f>COUNTIF($E$2:$E$7106,E2913)</f>
        <v>9</v>
      </c>
    </row>
    <row r="2914" spans="1:6" x14ac:dyDescent="0.2">
      <c r="A2914">
        <v>2016</v>
      </c>
      <c r="B2914" s="13">
        <v>5108</v>
      </c>
      <c r="C2914" s="90" t="str">
        <f>VLOOKUP(B2914,'All Districts'!$A$3:$B$874,2,FALSE)</f>
        <v>Hadley-Luzerne</v>
      </c>
      <c r="D2914" s="16">
        <v>843136</v>
      </c>
      <c r="E2914">
        <f>VLOOKUP(C2914,'All Districts'!$B$3:$C$874,2,FALSE)</f>
        <v>3613110</v>
      </c>
      <c r="F2914" s="91">
        <f>COUNTIF($E$2:$E$7106,E2914)</f>
        <v>9</v>
      </c>
    </row>
    <row r="2915" spans="1:6" x14ac:dyDescent="0.2">
      <c r="A2915">
        <v>2017</v>
      </c>
      <c r="B2915" s="13">
        <v>5108</v>
      </c>
      <c r="C2915" s="90" t="str">
        <f>VLOOKUP(B2915,'All Districts'!$A$3:$B$874,2,FALSE)</f>
        <v>Hadley-Luzerne</v>
      </c>
      <c r="D2915" s="16">
        <v>750365</v>
      </c>
      <c r="E2915">
        <f>VLOOKUP(C2915,'All Districts'!$B$3:$C$874,2,FALSE)</f>
        <v>3613110</v>
      </c>
      <c r="F2915" s="91">
        <f>COUNTIF($E$2:$E$7106,E2915)</f>
        <v>9</v>
      </c>
    </row>
    <row r="2916" spans="1:6" x14ac:dyDescent="0.2">
      <c r="A2916" s="10">
        <v>2018</v>
      </c>
      <c r="B2916" s="13">
        <v>5108</v>
      </c>
      <c r="C2916" s="90" t="str">
        <f>VLOOKUP(B2916,'All Districts'!$A$3:$B$874,2,FALSE)</f>
        <v>Hadley-Luzerne</v>
      </c>
      <c r="D2916" s="15">
        <v>669222</v>
      </c>
      <c r="E2916">
        <f>VLOOKUP(C2916,'All Districts'!$B$3:$C$874,2,FALSE)</f>
        <v>3613110</v>
      </c>
      <c r="F2916" s="91">
        <f>COUNTIF($E$2:$E$7106,E2916)</f>
        <v>9</v>
      </c>
    </row>
    <row r="2917" spans="1:6" x14ac:dyDescent="0.2">
      <c r="A2917">
        <v>2019</v>
      </c>
      <c r="B2917" s="36">
        <v>5108</v>
      </c>
      <c r="C2917" s="90" t="str">
        <f>VLOOKUP(B2917,'All Districts'!$A$3:$B$874,2,FALSE)</f>
        <v>Hadley-Luzerne</v>
      </c>
      <c r="D2917" s="40">
        <v>741013</v>
      </c>
      <c r="E2917">
        <f>VLOOKUP(C2917,'All Districts'!$B$3:$C$874,2,FALSE)</f>
        <v>3613110</v>
      </c>
      <c r="F2917" s="91">
        <f>COUNTIF($E$2:$E$7106,E2917)</f>
        <v>9</v>
      </c>
    </row>
    <row r="2918" spans="1:6" x14ac:dyDescent="0.2">
      <c r="A2918">
        <v>2020</v>
      </c>
      <c r="B2918" s="36">
        <v>5108</v>
      </c>
      <c r="C2918" s="90" t="str">
        <f>VLOOKUP(B2918,'All Districts'!$A$3:$B$874,2,FALSE)</f>
        <v>Hadley-Luzerne</v>
      </c>
      <c r="D2918" s="40">
        <v>615001</v>
      </c>
      <c r="E2918">
        <f>VLOOKUP(C2918,'All Districts'!$B$3:$C$874,2,FALSE)</f>
        <v>3613110</v>
      </c>
      <c r="F2918" s="91">
        <f>COUNTIF($E$2:$E$7106,E2918)</f>
        <v>9</v>
      </c>
    </row>
    <row r="2919" spans="1:6" x14ac:dyDescent="0.2">
      <c r="A2919" s="10">
        <v>2021</v>
      </c>
      <c r="B2919" s="52">
        <v>5108</v>
      </c>
      <c r="C2919" s="90" t="str">
        <f>VLOOKUP(B2919,'All Districts'!$A$3:$B$874,2,FALSE)</f>
        <v>Hadley-Luzerne</v>
      </c>
      <c r="D2919" s="76">
        <v>666519</v>
      </c>
      <c r="E2919">
        <f>VLOOKUP(C2919,'All Districts'!$B$3:$C$874,2,FALSE)</f>
        <v>3613110</v>
      </c>
      <c r="F2919" s="91">
        <f>COUNTIF($E$2:$E$7106,E2919)</f>
        <v>9</v>
      </c>
    </row>
    <row r="2920" spans="1:6" x14ac:dyDescent="0.2">
      <c r="A2920">
        <v>2022</v>
      </c>
      <c r="B2920" s="36">
        <v>5108</v>
      </c>
      <c r="C2920" s="90" t="str">
        <f>VLOOKUP(B2920,'All Districts'!$A$3:$B$874,2,FALSE)</f>
        <v>Hadley-Luzerne</v>
      </c>
      <c r="D2920" s="82">
        <v>732938</v>
      </c>
      <c r="E2920">
        <f>VLOOKUP(C2920,'All Districts'!$B$3:$C$874,2,FALSE)</f>
        <v>3613110</v>
      </c>
      <c r="F2920" s="91">
        <f>COUNTIF($E$2:$E$7106,E2920)</f>
        <v>9</v>
      </c>
    </row>
    <row r="2921" spans="1:6" x14ac:dyDescent="0.2">
      <c r="A2921">
        <v>2023</v>
      </c>
      <c r="B2921" s="36">
        <v>5108</v>
      </c>
      <c r="C2921" s="90" t="str">
        <f>VLOOKUP(B2921,'All Districts'!$A$3:$B$874,2,FALSE)</f>
        <v>Hadley-Luzerne</v>
      </c>
      <c r="D2921" s="40">
        <v>776330</v>
      </c>
      <c r="E2921">
        <f>VLOOKUP(C2921,'All Districts'!$B$3:$C$874,2,FALSE)</f>
        <v>3613110</v>
      </c>
      <c r="F2921" s="91">
        <f>COUNTIF($E$2:$E$7106,E2921)</f>
        <v>9</v>
      </c>
    </row>
    <row r="2922" spans="1:6" x14ac:dyDescent="0.2">
      <c r="A2922">
        <v>2015</v>
      </c>
      <c r="B2922" s="13">
        <v>4854</v>
      </c>
      <c r="C2922" s="90" t="str">
        <f>VLOOKUP(B2922,'All Districts'!$A$3:$B$874,2,FALSE)</f>
        <v>Haldane</v>
      </c>
      <c r="D2922" s="14">
        <v>1470322</v>
      </c>
      <c r="E2922">
        <f>VLOOKUP(C2922,'All Districts'!$B$3:$C$874,2,FALSE)</f>
        <v>3613230</v>
      </c>
      <c r="F2922" s="91">
        <f>COUNTIF($E$2:$E$7106,E2922)</f>
        <v>9</v>
      </c>
    </row>
    <row r="2923" spans="1:6" x14ac:dyDescent="0.2">
      <c r="A2923">
        <v>2016</v>
      </c>
      <c r="B2923" s="13">
        <v>4854</v>
      </c>
      <c r="C2923" s="90" t="str">
        <f>VLOOKUP(B2923,'All Districts'!$A$3:$B$874,2,FALSE)</f>
        <v>Haldane</v>
      </c>
      <c r="D2923" s="16">
        <v>1151705</v>
      </c>
      <c r="E2923">
        <f>VLOOKUP(C2923,'All Districts'!$B$3:$C$874,2,FALSE)</f>
        <v>3613230</v>
      </c>
      <c r="F2923" s="91">
        <f>COUNTIF($E$2:$E$7106,E2923)</f>
        <v>9</v>
      </c>
    </row>
    <row r="2924" spans="1:6" x14ac:dyDescent="0.2">
      <c r="A2924">
        <v>2017</v>
      </c>
      <c r="B2924" s="13">
        <v>4854</v>
      </c>
      <c r="C2924" s="90" t="str">
        <f>VLOOKUP(B2924,'All Districts'!$A$3:$B$874,2,FALSE)</f>
        <v>Haldane</v>
      </c>
      <c r="D2924" s="16">
        <v>1073890</v>
      </c>
      <c r="E2924">
        <f>VLOOKUP(C2924,'All Districts'!$B$3:$C$874,2,FALSE)</f>
        <v>3613230</v>
      </c>
      <c r="F2924" s="91">
        <f>COUNTIF($E$2:$E$7106,E2924)</f>
        <v>9</v>
      </c>
    </row>
    <row r="2925" spans="1:6" x14ac:dyDescent="0.2">
      <c r="A2925" s="10">
        <v>2018</v>
      </c>
      <c r="B2925" s="13">
        <v>4854</v>
      </c>
      <c r="C2925" s="90" t="str">
        <f>VLOOKUP(B2925,'All Districts'!$A$3:$B$874,2,FALSE)</f>
        <v>Haldane</v>
      </c>
      <c r="D2925" s="15">
        <v>942984</v>
      </c>
      <c r="E2925">
        <f>VLOOKUP(C2925,'All Districts'!$B$3:$C$874,2,FALSE)</f>
        <v>3613230</v>
      </c>
      <c r="F2925" s="91">
        <f>COUNTIF($E$2:$E$7106,E2925)</f>
        <v>9</v>
      </c>
    </row>
    <row r="2926" spans="1:6" x14ac:dyDescent="0.2">
      <c r="A2926">
        <v>2019</v>
      </c>
      <c r="B2926" s="36">
        <v>4854</v>
      </c>
      <c r="C2926" s="90" t="str">
        <f>VLOOKUP(B2926,'All Districts'!$A$3:$B$874,2,FALSE)</f>
        <v>Haldane</v>
      </c>
      <c r="D2926" s="40">
        <v>1038266</v>
      </c>
      <c r="E2926">
        <f>VLOOKUP(C2926,'All Districts'!$B$3:$C$874,2,FALSE)</f>
        <v>3613230</v>
      </c>
      <c r="F2926" s="91">
        <f>COUNTIF($E$2:$E$7106,E2926)</f>
        <v>9</v>
      </c>
    </row>
    <row r="2927" spans="1:6" x14ac:dyDescent="0.2">
      <c r="A2927">
        <v>2020</v>
      </c>
      <c r="B2927" s="36">
        <v>4854</v>
      </c>
      <c r="C2927" s="90" t="str">
        <f>VLOOKUP(B2927,'All Districts'!$A$3:$B$874,2,FALSE)</f>
        <v>Haldane</v>
      </c>
      <c r="D2927" s="40">
        <v>884630</v>
      </c>
      <c r="E2927">
        <f>VLOOKUP(C2927,'All Districts'!$B$3:$C$874,2,FALSE)</f>
        <v>3613230</v>
      </c>
      <c r="F2927" s="91">
        <f>COUNTIF($E$2:$E$7106,E2927)</f>
        <v>9</v>
      </c>
    </row>
    <row r="2928" spans="1:6" x14ac:dyDescent="0.2">
      <c r="A2928" s="10">
        <v>2021</v>
      </c>
      <c r="B2928" s="52">
        <v>4854</v>
      </c>
      <c r="C2928" s="90" t="str">
        <f>VLOOKUP(B2928,'All Districts'!$A$3:$B$874,2,FALSE)</f>
        <v>Haldane</v>
      </c>
      <c r="D2928" s="76">
        <v>948480</v>
      </c>
      <c r="E2928">
        <f>VLOOKUP(C2928,'All Districts'!$B$3:$C$874,2,FALSE)</f>
        <v>3613230</v>
      </c>
      <c r="F2928" s="91">
        <f>COUNTIF($E$2:$E$7106,E2928)</f>
        <v>9</v>
      </c>
    </row>
    <row r="2929" spans="1:6" x14ac:dyDescent="0.2">
      <c r="A2929">
        <v>2022</v>
      </c>
      <c r="B2929" s="36">
        <v>4854</v>
      </c>
      <c r="C2929" s="90" t="str">
        <f>VLOOKUP(B2929,'All Districts'!$A$3:$B$874,2,FALSE)</f>
        <v>Haldane</v>
      </c>
      <c r="D2929" s="82">
        <v>1014262</v>
      </c>
      <c r="E2929">
        <f>VLOOKUP(C2929,'All Districts'!$B$3:$C$874,2,FALSE)</f>
        <v>3613230</v>
      </c>
      <c r="F2929" s="91">
        <f>COUNTIF($E$2:$E$7106,E2929)</f>
        <v>9</v>
      </c>
    </row>
    <row r="2930" spans="1:6" x14ac:dyDescent="0.2">
      <c r="A2930">
        <v>2023</v>
      </c>
      <c r="B2930" s="36">
        <v>4854</v>
      </c>
      <c r="C2930" s="90" t="str">
        <f>VLOOKUP(B2930,'All Districts'!$A$3:$B$874,2,FALSE)</f>
        <v>Haldane</v>
      </c>
      <c r="D2930" s="40">
        <v>1101140</v>
      </c>
      <c r="E2930">
        <f>VLOOKUP(C2930,'All Districts'!$B$3:$C$874,2,FALSE)</f>
        <v>3613230</v>
      </c>
      <c r="F2930" s="91">
        <f>COUNTIF($E$2:$E$7106,E2930)</f>
        <v>9</v>
      </c>
    </row>
    <row r="2931" spans="1:6" x14ac:dyDescent="0.2">
      <c r="A2931">
        <v>2015</v>
      </c>
      <c r="B2931" s="13">
        <v>2209</v>
      </c>
      <c r="C2931" s="90" t="str">
        <f>VLOOKUP(B2931,'All Districts'!$A$3:$B$874,2,FALSE)</f>
        <v>Half Hollow Hills</v>
      </c>
      <c r="D2931" s="14">
        <v>15798088</v>
      </c>
      <c r="E2931">
        <f>VLOOKUP(C2931,'All Districts'!$B$3:$C$874,2,FALSE)</f>
        <v>3613290</v>
      </c>
      <c r="F2931" s="91">
        <f>COUNTIF($E$2:$E$7106,E2931)</f>
        <v>9</v>
      </c>
    </row>
    <row r="2932" spans="1:6" x14ac:dyDescent="0.2">
      <c r="A2932">
        <v>2016</v>
      </c>
      <c r="B2932" s="13">
        <v>2209</v>
      </c>
      <c r="C2932" s="90" t="str">
        <f>VLOOKUP(B2932,'All Districts'!$A$3:$B$874,2,FALSE)</f>
        <v>Half Hollow Hills</v>
      </c>
      <c r="D2932" s="16">
        <v>12316138</v>
      </c>
      <c r="E2932">
        <f>VLOOKUP(C2932,'All Districts'!$B$3:$C$874,2,FALSE)</f>
        <v>3613290</v>
      </c>
      <c r="F2932" s="91">
        <f>COUNTIF($E$2:$E$7106,E2932)</f>
        <v>9</v>
      </c>
    </row>
    <row r="2933" spans="1:6" x14ac:dyDescent="0.2">
      <c r="A2933">
        <v>2017</v>
      </c>
      <c r="B2933" s="13">
        <v>2209</v>
      </c>
      <c r="C2933" s="90" t="str">
        <f>VLOOKUP(B2933,'All Districts'!$A$3:$B$874,2,FALSE)</f>
        <v>Half Hollow Hills</v>
      </c>
      <c r="D2933" s="16">
        <v>11046553</v>
      </c>
      <c r="E2933">
        <f>VLOOKUP(C2933,'All Districts'!$B$3:$C$874,2,FALSE)</f>
        <v>3613290</v>
      </c>
      <c r="F2933" s="91">
        <f>COUNTIF($E$2:$E$7106,E2933)</f>
        <v>9</v>
      </c>
    </row>
    <row r="2934" spans="1:6" x14ac:dyDescent="0.2">
      <c r="A2934" s="10">
        <v>2018</v>
      </c>
      <c r="B2934" s="13">
        <v>2209</v>
      </c>
      <c r="C2934" s="90" t="str">
        <f>VLOOKUP(B2934,'All Districts'!$A$3:$B$874,2,FALSE)</f>
        <v>Half Hollow Hills</v>
      </c>
      <c r="D2934" s="15">
        <v>9299590</v>
      </c>
      <c r="E2934">
        <f>VLOOKUP(C2934,'All Districts'!$B$3:$C$874,2,FALSE)</f>
        <v>3613290</v>
      </c>
      <c r="F2934" s="91">
        <f>COUNTIF($E$2:$E$7106,E2934)</f>
        <v>9</v>
      </c>
    </row>
    <row r="2935" spans="1:6" x14ac:dyDescent="0.2">
      <c r="A2935">
        <v>2019</v>
      </c>
      <c r="B2935" s="36">
        <v>2209</v>
      </c>
      <c r="C2935" s="90" t="str">
        <f>VLOOKUP(B2935,'All Districts'!$A$3:$B$874,2,FALSE)</f>
        <v>Half Hollow Hills</v>
      </c>
      <c r="D2935" s="40">
        <v>10218067</v>
      </c>
      <c r="E2935">
        <f>VLOOKUP(C2935,'All Districts'!$B$3:$C$874,2,FALSE)</f>
        <v>3613290</v>
      </c>
      <c r="F2935" s="91">
        <f>COUNTIF($E$2:$E$7106,E2935)</f>
        <v>9</v>
      </c>
    </row>
    <row r="2936" spans="1:6" x14ac:dyDescent="0.2">
      <c r="A2936">
        <v>2020</v>
      </c>
      <c r="B2936" s="36">
        <v>2209</v>
      </c>
      <c r="C2936" s="90" t="str">
        <f>VLOOKUP(B2936,'All Districts'!$A$3:$B$874,2,FALSE)</f>
        <v>Half Hollow Hills</v>
      </c>
      <c r="D2936" s="40">
        <v>8756183</v>
      </c>
      <c r="E2936">
        <f>VLOOKUP(C2936,'All Districts'!$B$3:$C$874,2,FALSE)</f>
        <v>3613290</v>
      </c>
      <c r="F2936" s="91">
        <f>COUNTIF($E$2:$E$7106,E2936)</f>
        <v>9</v>
      </c>
    </row>
    <row r="2937" spans="1:6" x14ac:dyDescent="0.2">
      <c r="A2937" s="10">
        <v>2021</v>
      </c>
      <c r="B2937" s="52">
        <v>2209</v>
      </c>
      <c r="C2937" s="90" t="str">
        <f>VLOOKUP(B2937,'All Districts'!$A$3:$B$874,2,FALSE)</f>
        <v>Half Hollow Hills</v>
      </c>
      <c r="D2937" s="76">
        <v>9769699</v>
      </c>
      <c r="E2937">
        <f>VLOOKUP(C2937,'All Districts'!$B$3:$C$874,2,FALSE)</f>
        <v>3613290</v>
      </c>
      <c r="F2937" s="91">
        <f>COUNTIF($E$2:$E$7106,E2937)</f>
        <v>9</v>
      </c>
    </row>
    <row r="2938" spans="1:6" x14ac:dyDescent="0.2">
      <c r="A2938">
        <v>2022</v>
      </c>
      <c r="B2938" s="36">
        <v>2209</v>
      </c>
      <c r="C2938" s="90" t="str">
        <f>VLOOKUP(B2938,'All Districts'!$A$3:$B$874,2,FALSE)</f>
        <v>Half Hollow Hills</v>
      </c>
      <c r="D2938" s="82">
        <v>10415509</v>
      </c>
      <c r="E2938">
        <f>VLOOKUP(C2938,'All Districts'!$B$3:$C$874,2,FALSE)</f>
        <v>3613290</v>
      </c>
      <c r="F2938" s="91">
        <f>COUNTIF($E$2:$E$7106,E2938)</f>
        <v>9</v>
      </c>
    </row>
    <row r="2939" spans="1:6" x14ac:dyDescent="0.2">
      <c r="A2939">
        <v>2023</v>
      </c>
      <c r="B2939" s="36">
        <v>2209</v>
      </c>
      <c r="C2939" s="90" t="str">
        <f>VLOOKUP(B2939,'All Districts'!$A$3:$B$874,2,FALSE)</f>
        <v>Half Hollow Hills</v>
      </c>
      <c r="D2939" s="40">
        <v>10951733</v>
      </c>
      <c r="E2939">
        <f>VLOOKUP(C2939,'All Districts'!$B$3:$C$874,2,FALSE)</f>
        <v>3613290</v>
      </c>
      <c r="F2939" s="91">
        <f>COUNTIF($E$2:$E$7106,E2939)</f>
        <v>9</v>
      </c>
    </row>
    <row r="2940" spans="1:6" x14ac:dyDescent="0.2">
      <c r="A2940">
        <v>2015</v>
      </c>
      <c r="B2940" s="13">
        <v>2210</v>
      </c>
      <c r="C2940" s="90" t="str">
        <f>VLOOKUP(B2940,'All Districts'!$A$3:$B$874,2,FALSE)</f>
        <v>Hamburg</v>
      </c>
      <c r="D2940" s="14">
        <v>4074130</v>
      </c>
      <c r="E2940">
        <f>VLOOKUP(C2940,'All Districts'!$B$3:$C$874,2,FALSE)</f>
        <v>3613350</v>
      </c>
      <c r="F2940" s="91">
        <f>COUNTIF($E$2:$E$7106,E2940)</f>
        <v>9</v>
      </c>
    </row>
    <row r="2941" spans="1:6" x14ac:dyDescent="0.2">
      <c r="A2941">
        <v>2016</v>
      </c>
      <c r="B2941" s="13">
        <v>2210</v>
      </c>
      <c r="C2941" s="90" t="str">
        <f>VLOOKUP(B2941,'All Districts'!$A$3:$B$874,2,FALSE)</f>
        <v>Hamburg</v>
      </c>
      <c r="D2941" s="16">
        <v>3193006</v>
      </c>
      <c r="E2941">
        <f>VLOOKUP(C2941,'All Districts'!$B$3:$C$874,2,FALSE)</f>
        <v>3613350</v>
      </c>
      <c r="F2941" s="91">
        <f>COUNTIF($E$2:$E$7106,E2941)</f>
        <v>9</v>
      </c>
    </row>
    <row r="2942" spans="1:6" x14ac:dyDescent="0.2">
      <c r="A2942">
        <v>2017</v>
      </c>
      <c r="B2942" s="13">
        <v>2210</v>
      </c>
      <c r="C2942" s="90" t="str">
        <f>VLOOKUP(B2942,'All Districts'!$A$3:$B$874,2,FALSE)</f>
        <v>Hamburg</v>
      </c>
      <c r="D2942" s="16">
        <v>2945989</v>
      </c>
      <c r="E2942">
        <f>VLOOKUP(C2942,'All Districts'!$B$3:$C$874,2,FALSE)</f>
        <v>3613350</v>
      </c>
      <c r="F2942" s="91">
        <f>COUNTIF($E$2:$E$7106,E2942)</f>
        <v>9</v>
      </c>
    </row>
    <row r="2943" spans="1:6" x14ac:dyDescent="0.2">
      <c r="A2943" s="10">
        <v>2018</v>
      </c>
      <c r="B2943" s="13">
        <v>2210</v>
      </c>
      <c r="C2943" s="90" t="str">
        <f>VLOOKUP(B2943,'All Districts'!$A$3:$B$874,2,FALSE)</f>
        <v>Hamburg</v>
      </c>
      <c r="D2943" s="15">
        <v>2609926</v>
      </c>
      <c r="E2943">
        <f>VLOOKUP(C2943,'All Districts'!$B$3:$C$874,2,FALSE)</f>
        <v>3613350</v>
      </c>
      <c r="F2943" s="91">
        <f>COUNTIF($E$2:$E$7106,E2943)</f>
        <v>9</v>
      </c>
    </row>
    <row r="2944" spans="1:6" x14ac:dyDescent="0.2">
      <c r="A2944">
        <v>2019</v>
      </c>
      <c r="B2944" s="36">
        <v>2210</v>
      </c>
      <c r="C2944" s="90" t="str">
        <f>VLOOKUP(B2944,'All Districts'!$A$3:$B$874,2,FALSE)</f>
        <v>Hamburg</v>
      </c>
      <c r="D2944" s="40">
        <v>2903249</v>
      </c>
      <c r="E2944">
        <f>VLOOKUP(C2944,'All Districts'!$B$3:$C$874,2,FALSE)</f>
        <v>3613350</v>
      </c>
      <c r="F2944" s="91">
        <f>COUNTIF($E$2:$E$7106,E2944)</f>
        <v>9</v>
      </c>
    </row>
    <row r="2945" spans="1:6" x14ac:dyDescent="0.2">
      <c r="A2945">
        <v>2020</v>
      </c>
      <c r="B2945" s="36">
        <v>2210</v>
      </c>
      <c r="C2945" s="90" t="str">
        <f>VLOOKUP(B2945,'All Districts'!$A$3:$B$874,2,FALSE)</f>
        <v>Hamburg</v>
      </c>
      <c r="D2945" s="40">
        <v>2507600</v>
      </c>
      <c r="E2945">
        <f>VLOOKUP(C2945,'All Districts'!$B$3:$C$874,2,FALSE)</f>
        <v>3613350</v>
      </c>
      <c r="F2945" s="91">
        <f>COUNTIF($E$2:$E$7106,E2945)</f>
        <v>9</v>
      </c>
    </row>
    <row r="2946" spans="1:6" x14ac:dyDescent="0.2">
      <c r="A2946" s="10">
        <v>2021</v>
      </c>
      <c r="B2946" s="52">
        <v>2210</v>
      </c>
      <c r="C2946" s="90" t="str">
        <f>VLOOKUP(B2946,'All Districts'!$A$3:$B$874,2,FALSE)</f>
        <v>Hamburg</v>
      </c>
      <c r="D2946" s="76">
        <v>2793858</v>
      </c>
      <c r="E2946">
        <f>VLOOKUP(C2946,'All Districts'!$B$3:$C$874,2,FALSE)</f>
        <v>3613350</v>
      </c>
      <c r="F2946" s="91">
        <f>COUNTIF($E$2:$E$7106,E2946)</f>
        <v>9</v>
      </c>
    </row>
    <row r="2947" spans="1:6" x14ac:dyDescent="0.2">
      <c r="A2947">
        <v>2022</v>
      </c>
      <c r="B2947" s="36">
        <v>2210</v>
      </c>
      <c r="C2947" s="90" t="str">
        <f>VLOOKUP(B2947,'All Districts'!$A$3:$B$874,2,FALSE)</f>
        <v>Hamburg</v>
      </c>
      <c r="D2947" s="82">
        <v>2948127</v>
      </c>
      <c r="E2947">
        <f>VLOOKUP(C2947,'All Districts'!$B$3:$C$874,2,FALSE)</f>
        <v>3613350</v>
      </c>
      <c r="F2947" s="91">
        <f>COUNTIF($E$2:$E$7106,E2947)</f>
        <v>9</v>
      </c>
    </row>
    <row r="2948" spans="1:6" x14ac:dyDescent="0.2">
      <c r="A2948">
        <v>2023</v>
      </c>
      <c r="B2948" s="36">
        <v>2210</v>
      </c>
      <c r="C2948" s="90" t="str">
        <f>VLOOKUP(B2948,'All Districts'!$A$3:$B$874,2,FALSE)</f>
        <v>Hamburg</v>
      </c>
      <c r="D2948" s="40">
        <v>3190454</v>
      </c>
      <c r="E2948">
        <f>VLOOKUP(C2948,'All Districts'!$B$3:$C$874,2,FALSE)</f>
        <v>3613350</v>
      </c>
      <c r="F2948" s="91">
        <f>COUNTIF($E$2:$E$7106,E2948)</f>
        <v>9</v>
      </c>
    </row>
    <row r="2949" spans="1:6" x14ac:dyDescent="0.2">
      <c r="A2949">
        <v>2015</v>
      </c>
      <c r="B2949" s="13">
        <v>4203</v>
      </c>
      <c r="C2949" s="90" t="str">
        <f>VLOOKUP(B2949,'All Districts'!$A$3:$B$874,2,FALSE)</f>
        <v>Hamilton</v>
      </c>
      <c r="D2949" s="14">
        <v>727585</v>
      </c>
      <c r="E2949">
        <f>VLOOKUP(C2949,'All Districts'!$B$3:$C$874,2,FALSE)</f>
        <v>3613380</v>
      </c>
      <c r="F2949" s="91">
        <f>COUNTIF($E$2:$E$7106,E2949)</f>
        <v>9</v>
      </c>
    </row>
    <row r="2950" spans="1:6" x14ac:dyDescent="0.2">
      <c r="A2950">
        <v>2016</v>
      </c>
      <c r="B2950" s="13">
        <v>4203</v>
      </c>
      <c r="C2950" s="90" t="str">
        <f>VLOOKUP(B2950,'All Districts'!$A$3:$B$874,2,FALSE)</f>
        <v>Hamilton</v>
      </c>
      <c r="D2950" s="16">
        <v>548033</v>
      </c>
      <c r="E2950">
        <f>VLOOKUP(C2950,'All Districts'!$B$3:$C$874,2,FALSE)</f>
        <v>3613380</v>
      </c>
      <c r="F2950" s="91">
        <f>COUNTIF($E$2:$E$7106,E2950)</f>
        <v>9</v>
      </c>
    </row>
    <row r="2951" spans="1:6" x14ac:dyDescent="0.2">
      <c r="A2951">
        <v>2017</v>
      </c>
      <c r="B2951" s="13">
        <v>4203</v>
      </c>
      <c r="C2951" s="90" t="str">
        <f>VLOOKUP(B2951,'All Districts'!$A$3:$B$874,2,FALSE)</f>
        <v>Hamilton</v>
      </c>
      <c r="D2951" s="16">
        <v>503039</v>
      </c>
      <c r="E2951">
        <f>VLOOKUP(C2951,'All Districts'!$B$3:$C$874,2,FALSE)</f>
        <v>3613380</v>
      </c>
      <c r="F2951" s="91">
        <f>COUNTIF($E$2:$E$7106,E2951)</f>
        <v>9</v>
      </c>
    </row>
    <row r="2952" spans="1:6" x14ac:dyDescent="0.2">
      <c r="A2952" s="10">
        <v>2018</v>
      </c>
      <c r="B2952" s="13">
        <v>4203</v>
      </c>
      <c r="C2952" s="90" t="str">
        <f>VLOOKUP(B2952,'All Districts'!$A$3:$B$874,2,FALSE)</f>
        <v>Hamilton</v>
      </c>
      <c r="D2952" s="15">
        <v>443107</v>
      </c>
      <c r="E2952">
        <f>VLOOKUP(C2952,'All Districts'!$B$3:$C$874,2,FALSE)</f>
        <v>3613380</v>
      </c>
      <c r="F2952" s="91">
        <f>COUNTIF($E$2:$E$7106,E2952)</f>
        <v>9</v>
      </c>
    </row>
    <row r="2953" spans="1:6" x14ac:dyDescent="0.2">
      <c r="A2953">
        <v>2019</v>
      </c>
      <c r="B2953" s="36">
        <v>4203</v>
      </c>
      <c r="C2953" s="90" t="str">
        <f>VLOOKUP(B2953,'All Districts'!$A$3:$B$874,2,FALSE)</f>
        <v>Hamilton</v>
      </c>
      <c r="D2953" s="40">
        <v>492783</v>
      </c>
      <c r="E2953">
        <f>VLOOKUP(C2953,'All Districts'!$B$3:$C$874,2,FALSE)</f>
        <v>3613380</v>
      </c>
      <c r="F2953" s="91">
        <f>COUNTIF($E$2:$E$7106,E2953)</f>
        <v>9</v>
      </c>
    </row>
    <row r="2954" spans="1:6" x14ac:dyDescent="0.2">
      <c r="A2954">
        <v>2020</v>
      </c>
      <c r="B2954" s="36">
        <v>4203</v>
      </c>
      <c r="C2954" s="90" t="str">
        <f>VLOOKUP(B2954,'All Districts'!$A$3:$B$874,2,FALSE)</f>
        <v>Hamilton</v>
      </c>
      <c r="D2954" s="40">
        <v>417264</v>
      </c>
      <c r="E2954">
        <f>VLOOKUP(C2954,'All Districts'!$B$3:$C$874,2,FALSE)</f>
        <v>3613380</v>
      </c>
      <c r="F2954" s="91">
        <f>COUNTIF($E$2:$E$7106,E2954)</f>
        <v>9</v>
      </c>
    </row>
    <row r="2955" spans="1:6" x14ac:dyDescent="0.2">
      <c r="A2955" s="10">
        <v>2021</v>
      </c>
      <c r="B2955" s="52">
        <v>4203</v>
      </c>
      <c r="C2955" s="90" t="str">
        <f>VLOOKUP(B2955,'All Districts'!$A$3:$B$874,2,FALSE)</f>
        <v>Hamilton</v>
      </c>
      <c r="D2955" s="76">
        <v>446313</v>
      </c>
      <c r="E2955">
        <f>VLOOKUP(C2955,'All Districts'!$B$3:$C$874,2,FALSE)</f>
        <v>3613380</v>
      </c>
      <c r="F2955" s="91">
        <f>COUNTIF($E$2:$E$7106,E2955)</f>
        <v>9</v>
      </c>
    </row>
    <row r="2956" spans="1:6" x14ac:dyDescent="0.2">
      <c r="A2956">
        <v>2022</v>
      </c>
      <c r="B2956" s="36">
        <v>4203</v>
      </c>
      <c r="C2956" s="90" t="str">
        <f>VLOOKUP(B2956,'All Districts'!$A$3:$B$874,2,FALSE)</f>
        <v>Hamilton</v>
      </c>
      <c r="D2956" s="82">
        <v>461841</v>
      </c>
      <c r="E2956">
        <f>VLOOKUP(C2956,'All Districts'!$B$3:$C$874,2,FALSE)</f>
        <v>3613380</v>
      </c>
      <c r="F2956" s="91">
        <f>COUNTIF($E$2:$E$7106,E2956)</f>
        <v>9</v>
      </c>
    </row>
    <row r="2957" spans="1:6" x14ac:dyDescent="0.2">
      <c r="A2957">
        <v>2023</v>
      </c>
      <c r="B2957" s="36">
        <v>4203</v>
      </c>
      <c r="C2957" s="90" t="str">
        <f>VLOOKUP(B2957,'All Districts'!$A$3:$B$874,2,FALSE)</f>
        <v>Hamilton</v>
      </c>
      <c r="D2957" s="40">
        <v>513198</v>
      </c>
      <c r="E2957">
        <f>VLOOKUP(C2957,'All Districts'!$B$3:$C$874,2,FALSE)</f>
        <v>3613380</v>
      </c>
      <c r="F2957" s="91">
        <f>COUNTIF($E$2:$E$7106,E2957)</f>
        <v>9</v>
      </c>
    </row>
    <row r="2958" spans="1:6" x14ac:dyDescent="0.2">
      <c r="A2958">
        <v>2015</v>
      </c>
      <c r="B2958" s="13">
        <v>6041</v>
      </c>
      <c r="C2958" s="90" t="str">
        <f>VLOOKUP(B2958,'All Districts'!$A$3:$B$874,2,FALSE)</f>
        <v>Hamilton-Fulton-Montgomery</v>
      </c>
      <c r="D2958" s="15">
        <v>1521627</v>
      </c>
      <c r="E2958">
        <f>VLOOKUP(C2958,'All Districts'!$B$3:$C$874,2,FALSE)</f>
        <v>3680400</v>
      </c>
      <c r="F2958" s="91">
        <f>COUNTIF($E$2:$E$7106,E2958)</f>
        <v>9</v>
      </c>
    </row>
    <row r="2959" spans="1:6" x14ac:dyDescent="0.2">
      <c r="A2959">
        <v>2016</v>
      </c>
      <c r="B2959" s="13">
        <v>6041</v>
      </c>
      <c r="C2959" s="90" t="str">
        <f>VLOOKUP(B2959,'All Districts'!$A$3:$B$874,2,FALSE)</f>
        <v>Hamilton-Fulton-Montgomery</v>
      </c>
      <c r="D2959" s="16">
        <v>1236421</v>
      </c>
      <c r="E2959">
        <f>VLOOKUP(C2959,'All Districts'!$B$3:$C$874,2,FALSE)</f>
        <v>3680400</v>
      </c>
      <c r="F2959" s="91">
        <f>COUNTIF($E$2:$E$7106,E2959)</f>
        <v>9</v>
      </c>
    </row>
    <row r="2960" spans="1:6" x14ac:dyDescent="0.2">
      <c r="A2960">
        <v>2017</v>
      </c>
      <c r="B2960" s="13">
        <v>6041</v>
      </c>
      <c r="C2960" s="90" t="str">
        <f>VLOOKUP(B2960,'All Districts'!$A$3:$B$874,2,FALSE)</f>
        <v>Hamilton-Fulton-Montgomery</v>
      </c>
      <c r="D2960" s="16">
        <v>1152995</v>
      </c>
      <c r="E2960">
        <f>VLOOKUP(C2960,'All Districts'!$B$3:$C$874,2,FALSE)</f>
        <v>3680400</v>
      </c>
      <c r="F2960" s="91">
        <f>COUNTIF($E$2:$E$7106,E2960)</f>
        <v>9</v>
      </c>
    </row>
    <row r="2961" spans="1:6" x14ac:dyDescent="0.2">
      <c r="A2961" s="10">
        <v>2018</v>
      </c>
      <c r="B2961" s="13">
        <v>6041</v>
      </c>
      <c r="C2961" s="90" t="str">
        <f>VLOOKUP(B2961,'All Districts'!$A$3:$B$874,2,FALSE)</f>
        <v>Hamilton-Fulton-Montgomery</v>
      </c>
      <c r="D2961" s="15">
        <v>977361</v>
      </c>
      <c r="E2961">
        <f>VLOOKUP(C2961,'All Districts'!$B$3:$C$874,2,FALSE)</f>
        <v>3680400</v>
      </c>
      <c r="F2961" s="91">
        <f>COUNTIF($E$2:$E$7106,E2961)</f>
        <v>9</v>
      </c>
    </row>
    <row r="2962" spans="1:6" x14ac:dyDescent="0.2">
      <c r="A2962">
        <v>2019</v>
      </c>
      <c r="B2962" s="36">
        <v>6041</v>
      </c>
      <c r="C2962" s="90" t="str">
        <f>VLOOKUP(B2962,'All Districts'!$A$3:$B$874,2,FALSE)</f>
        <v>Hamilton-Fulton-Montgomery</v>
      </c>
      <c r="D2962" s="40">
        <v>1107844</v>
      </c>
      <c r="E2962">
        <f>VLOOKUP(C2962,'All Districts'!$B$3:$C$874,2,FALSE)</f>
        <v>3680400</v>
      </c>
      <c r="F2962" s="91">
        <f>COUNTIF($E$2:$E$7106,E2962)</f>
        <v>9</v>
      </c>
    </row>
    <row r="2963" spans="1:6" x14ac:dyDescent="0.2">
      <c r="A2963">
        <v>2020</v>
      </c>
      <c r="B2963" s="36">
        <v>6041</v>
      </c>
      <c r="C2963" s="90" t="str">
        <f>VLOOKUP(B2963,'All Districts'!$A$3:$B$874,2,FALSE)</f>
        <v>Hamilton-Fulton-Montgomery</v>
      </c>
      <c r="D2963" s="40">
        <v>981121</v>
      </c>
      <c r="E2963">
        <f>VLOOKUP(C2963,'All Districts'!$B$3:$C$874,2,FALSE)</f>
        <v>3680400</v>
      </c>
      <c r="F2963" s="91">
        <f>COUNTIF($E$2:$E$7106,E2963)</f>
        <v>9</v>
      </c>
    </row>
    <row r="2964" spans="1:6" x14ac:dyDescent="0.2">
      <c r="A2964" s="10">
        <v>2021</v>
      </c>
      <c r="B2964" s="52">
        <v>6041</v>
      </c>
      <c r="C2964" s="90" t="str">
        <f>VLOOKUP(B2964,'All Districts'!$A$3:$B$874,2,FALSE)</f>
        <v>Hamilton-Fulton-Montgomery</v>
      </c>
      <c r="D2964" s="76">
        <v>1057021</v>
      </c>
      <c r="E2964">
        <f>VLOOKUP(C2964,'All Districts'!$B$3:$C$874,2,FALSE)</f>
        <v>3680400</v>
      </c>
      <c r="F2964" s="91">
        <f>COUNTIF($E$2:$E$7106,E2964)</f>
        <v>9</v>
      </c>
    </row>
    <row r="2965" spans="1:6" x14ac:dyDescent="0.2">
      <c r="A2965">
        <v>2022</v>
      </c>
      <c r="B2965" s="36">
        <v>6041</v>
      </c>
      <c r="C2965" s="90" t="str">
        <f>VLOOKUP(B2965,'All Districts'!$A$3:$B$874,2,FALSE)</f>
        <v>Hamilton-Fulton-Montgomery</v>
      </c>
      <c r="D2965" s="82">
        <v>1091296</v>
      </c>
      <c r="E2965">
        <f>VLOOKUP(C2965,'All Districts'!$B$3:$C$874,2,FALSE)</f>
        <v>3680400</v>
      </c>
      <c r="F2965" s="91">
        <f>COUNTIF($E$2:$E$7106,E2965)</f>
        <v>9</v>
      </c>
    </row>
    <row r="2966" spans="1:6" x14ac:dyDescent="0.2">
      <c r="A2966">
        <v>2023</v>
      </c>
      <c r="B2966" s="36">
        <v>6041</v>
      </c>
      <c r="C2966" s="90" t="str">
        <f>VLOOKUP(B2966,'All Districts'!$A$3:$B$874,2,FALSE)</f>
        <v>Hamilton-Fulton-Montgomery</v>
      </c>
      <c r="D2966" s="40">
        <v>1083121</v>
      </c>
      <c r="E2966">
        <f>VLOOKUP(C2966,'All Districts'!$B$3:$C$874,2,FALSE)</f>
        <v>3680400</v>
      </c>
      <c r="F2966" s="91">
        <f>COUNTIF($E$2:$E$7106,E2966)</f>
        <v>9</v>
      </c>
    </row>
    <row r="2967" spans="1:6" x14ac:dyDescent="0.2">
      <c r="A2967">
        <v>2015</v>
      </c>
      <c r="B2967" s="13">
        <v>4980</v>
      </c>
      <c r="C2967" s="90" t="str">
        <f>VLOOKUP(B2967,'All Districts'!$A$3:$B$874,2,FALSE)</f>
        <v>Hammond</v>
      </c>
      <c r="D2967" s="14">
        <v>355885</v>
      </c>
      <c r="E2967">
        <f>VLOOKUP(C2967,'All Districts'!$B$3:$C$874,2,FALSE)</f>
        <v>3613440</v>
      </c>
      <c r="F2967" s="91">
        <f>COUNTIF($E$2:$E$7106,E2967)</f>
        <v>9</v>
      </c>
    </row>
    <row r="2968" spans="1:6" x14ac:dyDescent="0.2">
      <c r="A2968">
        <v>2016</v>
      </c>
      <c r="B2968" s="13">
        <v>4980</v>
      </c>
      <c r="C2968" s="90" t="str">
        <f>VLOOKUP(B2968,'All Districts'!$A$3:$B$874,2,FALSE)</f>
        <v>Hammond</v>
      </c>
      <c r="D2968" s="16">
        <v>255915</v>
      </c>
      <c r="E2968">
        <f>VLOOKUP(C2968,'All Districts'!$B$3:$C$874,2,FALSE)</f>
        <v>3613440</v>
      </c>
      <c r="F2968" s="91">
        <f>COUNTIF($E$2:$E$7106,E2968)</f>
        <v>9</v>
      </c>
    </row>
    <row r="2969" spans="1:6" x14ac:dyDescent="0.2">
      <c r="A2969">
        <v>2017</v>
      </c>
      <c r="B2969" s="13">
        <v>4980</v>
      </c>
      <c r="C2969" s="90" t="str">
        <f>VLOOKUP(B2969,'All Districts'!$A$3:$B$874,2,FALSE)</f>
        <v>Hammond</v>
      </c>
      <c r="D2969" s="16">
        <v>237251</v>
      </c>
      <c r="E2969">
        <f>VLOOKUP(C2969,'All Districts'!$B$3:$C$874,2,FALSE)</f>
        <v>3613440</v>
      </c>
      <c r="F2969" s="91">
        <f>COUNTIF($E$2:$E$7106,E2969)</f>
        <v>9</v>
      </c>
    </row>
    <row r="2970" spans="1:6" x14ac:dyDescent="0.2">
      <c r="A2970" s="10">
        <v>2018</v>
      </c>
      <c r="B2970" s="13">
        <v>4980</v>
      </c>
      <c r="C2970" s="90" t="str">
        <f>VLOOKUP(B2970,'All Districts'!$A$3:$B$874,2,FALSE)</f>
        <v>Hammond</v>
      </c>
      <c r="D2970" s="15">
        <v>204384</v>
      </c>
      <c r="E2970">
        <f>VLOOKUP(C2970,'All Districts'!$B$3:$C$874,2,FALSE)</f>
        <v>3613440</v>
      </c>
      <c r="F2970" s="91">
        <f>COUNTIF($E$2:$E$7106,E2970)</f>
        <v>9</v>
      </c>
    </row>
    <row r="2971" spans="1:6" x14ac:dyDescent="0.2">
      <c r="A2971">
        <v>2019</v>
      </c>
      <c r="B2971" s="36">
        <v>4980</v>
      </c>
      <c r="C2971" s="90" t="str">
        <f>VLOOKUP(B2971,'All Districts'!$A$3:$B$874,2,FALSE)</f>
        <v>Hammond</v>
      </c>
      <c r="D2971" s="40">
        <v>223473</v>
      </c>
      <c r="E2971">
        <f>VLOOKUP(C2971,'All Districts'!$B$3:$C$874,2,FALSE)</f>
        <v>3613440</v>
      </c>
      <c r="F2971" s="91">
        <f>COUNTIF($E$2:$E$7106,E2971)</f>
        <v>9</v>
      </c>
    </row>
    <row r="2972" spans="1:6" x14ac:dyDescent="0.2">
      <c r="A2972">
        <v>2020</v>
      </c>
      <c r="B2972" s="36">
        <v>4980</v>
      </c>
      <c r="C2972" s="90" t="str">
        <f>VLOOKUP(B2972,'All Districts'!$A$3:$B$874,2,FALSE)</f>
        <v>Hammond</v>
      </c>
      <c r="D2972" s="40">
        <v>194406</v>
      </c>
      <c r="E2972">
        <f>VLOOKUP(C2972,'All Districts'!$B$3:$C$874,2,FALSE)</f>
        <v>3613440</v>
      </c>
      <c r="F2972" s="91">
        <f>COUNTIF($E$2:$E$7106,E2972)</f>
        <v>9</v>
      </c>
    </row>
    <row r="2973" spans="1:6" x14ac:dyDescent="0.2">
      <c r="A2973" s="10">
        <v>2021</v>
      </c>
      <c r="B2973" s="52">
        <v>4980</v>
      </c>
      <c r="C2973" s="90" t="str">
        <f>VLOOKUP(B2973,'All Districts'!$A$3:$B$874,2,FALSE)</f>
        <v>Hammond</v>
      </c>
      <c r="D2973" s="75">
        <v>206392</v>
      </c>
      <c r="E2973">
        <f>VLOOKUP(C2973,'All Districts'!$B$3:$C$874,2,FALSE)</f>
        <v>3613440</v>
      </c>
      <c r="F2973" s="91">
        <f>COUNTIF($E$2:$E$7106,E2973)</f>
        <v>9</v>
      </c>
    </row>
    <row r="2974" spans="1:6" x14ac:dyDescent="0.2">
      <c r="A2974">
        <v>2022</v>
      </c>
      <c r="B2974" s="36">
        <v>4980</v>
      </c>
      <c r="C2974" s="90" t="str">
        <f>VLOOKUP(B2974,'All Districts'!$A$3:$B$874,2,FALSE)</f>
        <v>Hammond</v>
      </c>
      <c r="D2974" s="82">
        <v>223037</v>
      </c>
      <c r="E2974">
        <f>VLOOKUP(C2974,'All Districts'!$B$3:$C$874,2,FALSE)</f>
        <v>3613440</v>
      </c>
      <c r="F2974" s="91">
        <f>COUNTIF($E$2:$E$7106,E2974)</f>
        <v>9</v>
      </c>
    </row>
    <row r="2975" spans="1:6" x14ac:dyDescent="0.2">
      <c r="A2975">
        <v>2023</v>
      </c>
      <c r="B2975" s="36">
        <v>4980</v>
      </c>
      <c r="C2975" s="90" t="str">
        <f>VLOOKUP(B2975,'All Districts'!$A$3:$B$874,2,FALSE)</f>
        <v>Hammond</v>
      </c>
      <c r="D2975" s="40">
        <v>270219</v>
      </c>
      <c r="E2975">
        <f>VLOOKUP(C2975,'All Districts'!$B$3:$C$874,2,FALSE)</f>
        <v>3613440</v>
      </c>
      <c r="F2975" s="91">
        <f>COUNTIF($E$2:$E$7106,E2975)</f>
        <v>9</v>
      </c>
    </row>
    <row r="2976" spans="1:6" x14ac:dyDescent="0.2">
      <c r="A2976">
        <v>2015</v>
      </c>
      <c r="B2976" s="13">
        <v>5306</v>
      </c>
      <c r="C2976" s="90" t="str">
        <f>VLOOKUP(B2976,'All Districts'!$A$3:$B$874,2,FALSE)</f>
        <v>Hammondsport</v>
      </c>
      <c r="D2976" s="14">
        <v>773290</v>
      </c>
      <c r="E2976">
        <f>VLOOKUP(C2976,'All Districts'!$B$3:$C$874,2,FALSE)</f>
        <v>3613470</v>
      </c>
      <c r="F2976" s="91">
        <f>COUNTIF($E$2:$E$7106,E2976)</f>
        <v>9</v>
      </c>
    </row>
    <row r="2977" spans="1:6" x14ac:dyDescent="0.2">
      <c r="A2977">
        <v>2016</v>
      </c>
      <c r="B2977" s="13">
        <v>5306</v>
      </c>
      <c r="C2977" s="90" t="str">
        <f>VLOOKUP(B2977,'All Districts'!$A$3:$B$874,2,FALSE)</f>
        <v>Hammondsport</v>
      </c>
      <c r="D2977" s="16">
        <v>583409</v>
      </c>
      <c r="E2977">
        <f>VLOOKUP(C2977,'All Districts'!$B$3:$C$874,2,FALSE)</f>
        <v>3613470</v>
      </c>
      <c r="F2977" s="91">
        <f>COUNTIF($E$2:$E$7106,E2977)</f>
        <v>9</v>
      </c>
    </row>
    <row r="2978" spans="1:6" x14ac:dyDescent="0.2">
      <c r="A2978">
        <v>2017</v>
      </c>
      <c r="B2978" s="13">
        <v>5306</v>
      </c>
      <c r="C2978" s="90" t="str">
        <f>VLOOKUP(B2978,'All Districts'!$A$3:$B$874,2,FALSE)</f>
        <v>Hammondsport</v>
      </c>
      <c r="D2978" s="16">
        <v>516676</v>
      </c>
      <c r="E2978">
        <f>VLOOKUP(C2978,'All Districts'!$B$3:$C$874,2,FALSE)</f>
        <v>3613470</v>
      </c>
      <c r="F2978" s="91">
        <f>COUNTIF($E$2:$E$7106,E2978)</f>
        <v>9</v>
      </c>
    </row>
    <row r="2979" spans="1:6" x14ac:dyDescent="0.2">
      <c r="A2979" s="10">
        <v>2018</v>
      </c>
      <c r="B2979" s="13">
        <v>5306</v>
      </c>
      <c r="C2979" s="90" t="str">
        <f>VLOOKUP(B2979,'All Districts'!$A$3:$B$874,2,FALSE)</f>
        <v>Hammondsport</v>
      </c>
      <c r="D2979" s="15">
        <v>441656</v>
      </c>
      <c r="E2979">
        <f>VLOOKUP(C2979,'All Districts'!$B$3:$C$874,2,FALSE)</f>
        <v>3613470</v>
      </c>
      <c r="F2979" s="91">
        <f>COUNTIF($E$2:$E$7106,E2979)</f>
        <v>9</v>
      </c>
    </row>
    <row r="2980" spans="1:6" x14ac:dyDescent="0.2">
      <c r="A2980">
        <v>2019</v>
      </c>
      <c r="B2980" s="36">
        <v>5306</v>
      </c>
      <c r="C2980" s="90" t="str">
        <f>VLOOKUP(B2980,'All Districts'!$A$3:$B$874,2,FALSE)</f>
        <v>Hammondsport</v>
      </c>
      <c r="D2980" s="40">
        <v>486130</v>
      </c>
      <c r="E2980">
        <f>VLOOKUP(C2980,'All Districts'!$B$3:$C$874,2,FALSE)</f>
        <v>3613470</v>
      </c>
      <c r="F2980" s="91">
        <f>COUNTIF($E$2:$E$7106,E2980)</f>
        <v>9</v>
      </c>
    </row>
    <row r="2981" spans="1:6" x14ac:dyDescent="0.2">
      <c r="A2981">
        <v>2020</v>
      </c>
      <c r="B2981" s="36">
        <v>5306</v>
      </c>
      <c r="C2981" s="90" t="str">
        <f>VLOOKUP(B2981,'All Districts'!$A$3:$B$874,2,FALSE)</f>
        <v>Hammondsport</v>
      </c>
      <c r="D2981" s="40">
        <v>431982</v>
      </c>
      <c r="E2981">
        <f>VLOOKUP(C2981,'All Districts'!$B$3:$C$874,2,FALSE)</f>
        <v>3613470</v>
      </c>
      <c r="F2981" s="91">
        <f>COUNTIF($E$2:$E$7106,E2981)</f>
        <v>9</v>
      </c>
    </row>
    <row r="2982" spans="1:6" x14ac:dyDescent="0.2">
      <c r="A2982" s="10">
        <v>2021</v>
      </c>
      <c r="B2982" s="52">
        <v>5306</v>
      </c>
      <c r="C2982" s="90" t="str">
        <f>VLOOKUP(B2982,'All Districts'!$A$3:$B$874,2,FALSE)</f>
        <v>Hammondsport</v>
      </c>
      <c r="D2982" s="76">
        <v>457974</v>
      </c>
      <c r="E2982">
        <f>VLOOKUP(C2982,'All Districts'!$B$3:$C$874,2,FALSE)</f>
        <v>3613470</v>
      </c>
      <c r="F2982" s="91">
        <f>COUNTIF($E$2:$E$7106,E2982)</f>
        <v>9</v>
      </c>
    </row>
    <row r="2983" spans="1:6" x14ac:dyDescent="0.2">
      <c r="A2983">
        <v>2022</v>
      </c>
      <c r="B2983" s="36">
        <v>5306</v>
      </c>
      <c r="C2983" s="90" t="str">
        <f>VLOOKUP(B2983,'All Districts'!$A$3:$B$874,2,FALSE)</f>
        <v>Hammondsport</v>
      </c>
      <c r="D2983" s="82">
        <v>505172</v>
      </c>
      <c r="E2983">
        <f>VLOOKUP(C2983,'All Districts'!$B$3:$C$874,2,FALSE)</f>
        <v>3613470</v>
      </c>
      <c r="F2983" s="91">
        <f>COUNTIF($E$2:$E$7106,E2983)</f>
        <v>9</v>
      </c>
    </row>
    <row r="2984" spans="1:6" x14ac:dyDescent="0.2">
      <c r="A2984">
        <v>2023</v>
      </c>
      <c r="B2984" s="36">
        <v>5306</v>
      </c>
      <c r="C2984" s="90" t="str">
        <f>VLOOKUP(B2984,'All Districts'!$A$3:$B$874,2,FALSE)</f>
        <v>Hammondsport</v>
      </c>
      <c r="D2984" s="40">
        <v>522740</v>
      </c>
      <c r="E2984">
        <f>VLOOKUP(C2984,'All Districts'!$B$3:$C$874,2,FALSE)</f>
        <v>3613470</v>
      </c>
      <c r="F2984" s="91">
        <f>COUNTIF($E$2:$E$7106,E2984)</f>
        <v>9</v>
      </c>
    </row>
    <row r="2985" spans="1:6" x14ac:dyDescent="0.2">
      <c r="A2985">
        <v>2015</v>
      </c>
      <c r="B2985" s="13">
        <v>5363</v>
      </c>
      <c r="C2985" s="90" t="str">
        <f>VLOOKUP(B2985,'All Districts'!$A$3:$B$874,2,FALSE)</f>
        <v>Hampton Bays</v>
      </c>
      <c r="D2985" s="14">
        <v>3439017</v>
      </c>
      <c r="E2985">
        <f>VLOOKUP(C2985,'All Districts'!$B$3:$C$874,2,FALSE)</f>
        <v>3613530</v>
      </c>
      <c r="F2985" s="91">
        <f>COUNTIF($E$2:$E$7106,E2985)</f>
        <v>9</v>
      </c>
    </row>
    <row r="2986" spans="1:6" x14ac:dyDescent="0.2">
      <c r="A2986">
        <v>2016</v>
      </c>
      <c r="B2986" s="13">
        <v>5363</v>
      </c>
      <c r="C2986" s="90" t="str">
        <f>VLOOKUP(B2986,'All Districts'!$A$3:$B$874,2,FALSE)</f>
        <v>Hampton Bays</v>
      </c>
      <c r="D2986" s="16">
        <v>2705614</v>
      </c>
      <c r="E2986">
        <f>VLOOKUP(C2986,'All Districts'!$B$3:$C$874,2,FALSE)</f>
        <v>3613530</v>
      </c>
      <c r="F2986" s="91">
        <f>COUNTIF($E$2:$E$7106,E2986)</f>
        <v>9</v>
      </c>
    </row>
    <row r="2987" spans="1:6" x14ac:dyDescent="0.2">
      <c r="A2987">
        <v>2017</v>
      </c>
      <c r="B2987" s="13">
        <v>5363</v>
      </c>
      <c r="C2987" s="90" t="str">
        <f>VLOOKUP(B2987,'All Districts'!$A$3:$B$874,2,FALSE)</f>
        <v>Hampton Bays</v>
      </c>
      <c r="D2987" s="16">
        <v>2432630</v>
      </c>
      <c r="E2987">
        <f>VLOOKUP(C2987,'All Districts'!$B$3:$C$874,2,FALSE)</f>
        <v>3613530</v>
      </c>
      <c r="F2987" s="91">
        <f>COUNTIF($E$2:$E$7106,E2987)</f>
        <v>9</v>
      </c>
    </row>
    <row r="2988" spans="1:6" x14ac:dyDescent="0.2">
      <c r="A2988" s="10">
        <v>2018</v>
      </c>
      <c r="B2988" s="13">
        <v>5363</v>
      </c>
      <c r="C2988" s="90" t="str">
        <f>VLOOKUP(B2988,'All Districts'!$A$3:$B$874,2,FALSE)</f>
        <v>Hampton Bays</v>
      </c>
      <c r="D2988" s="15">
        <v>2051238</v>
      </c>
      <c r="E2988">
        <f>VLOOKUP(C2988,'All Districts'!$B$3:$C$874,2,FALSE)</f>
        <v>3613530</v>
      </c>
      <c r="F2988" s="91">
        <f>COUNTIF($E$2:$E$7106,E2988)</f>
        <v>9</v>
      </c>
    </row>
    <row r="2989" spans="1:6" x14ac:dyDescent="0.2">
      <c r="A2989">
        <v>2019</v>
      </c>
      <c r="B2989" s="36">
        <v>5363</v>
      </c>
      <c r="C2989" s="90" t="str">
        <f>VLOOKUP(B2989,'All Districts'!$A$3:$B$874,2,FALSE)</f>
        <v>Hampton Bays</v>
      </c>
      <c r="D2989" s="40">
        <v>2305663</v>
      </c>
      <c r="E2989">
        <f>VLOOKUP(C2989,'All Districts'!$B$3:$C$874,2,FALSE)</f>
        <v>3613530</v>
      </c>
      <c r="F2989" s="91">
        <f>COUNTIF($E$2:$E$7106,E2989)</f>
        <v>9</v>
      </c>
    </row>
    <row r="2990" spans="1:6" x14ac:dyDescent="0.2">
      <c r="A2990">
        <v>2020</v>
      </c>
      <c r="B2990" s="36">
        <v>5363</v>
      </c>
      <c r="C2990" s="90" t="str">
        <f>VLOOKUP(B2990,'All Districts'!$A$3:$B$874,2,FALSE)</f>
        <v>Hampton Bays</v>
      </c>
      <c r="D2990" s="40">
        <v>1945941</v>
      </c>
      <c r="E2990">
        <f>VLOOKUP(C2990,'All Districts'!$B$3:$C$874,2,FALSE)</f>
        <v>3613530</v>
      </c>
      <c r="F2990" s="91">
        <f>COUNTIF($E$2:$E$7106,E2990)</f>
        <v>9</v>
      </c>
    </row>
    <row r="2991" spans="1:6" x14ac:dyDescent="0.2">
      <c r="A2991" s="10">
        <v>2021</v>
      </c>
      <c r="B2991" s="52">
        <v>5363</v>
      </c>
      <c r="C2991" s="90" t="str">
        <f>VLOOKUP(B2991,'All Districts'!$A$3:$B$874,2,FALSE)</f>
        <v>Hampton Bays</v>
      </c>
      <c r="D2991" s="75">
        <v>2170501</v>
      </c>
      <c r="E2991">
        <f>VLOOKUP(C2991,'All Districts'!$B$3:$C$874,2,FALSE)</f>
        <v>3613530</v>
      </c>
      <c r="F2991" s="91">
        <f>COUNTIF($E$2:$E$7106,E2991)</f>
        <v>9</v>
      </c>
    </row>
    <row r="2992" spans="1:6" x14ac:dyDescent="0.2">
      <c r="A2992">
        <v>2022</v>
      </c>
      <c r="B2992" s="36">
        <v>5363</v>
      </c>
      <c r="C2992" s="90" t="str">
        <f>VLOOKUP(B2992,'All Districts'!$A$3:$B$874,2,FALSE)</f>
        <v>Hampton Bays</v>
      </c>
      <c r="D2992" s="82">
        <v>2294599</v>
      </c>
      <c r="E2992">
        <f>VLOOKUP(C2992,'All Districts'!$B$3:$C$874,2,FALSE)</f>
        <v>3613530</v>
      </c>
      <c r="F2992" s="91">
        <f>COUNTIF($E$2:$E$7106,E2992)</f>
        <v>9</v>
      </c>
    </row>
    <row r="2993" spans="1:6" x14ac:dyDescent="0.2">
      <c r="A2993">
        <v>2023</v>
      </c>
      <c r="B2993" s="36">
        <v>5363</v>
      </c>
      <c r="C2993" s="90" t="str">
        <f>VLOOKUP(B2993,'All Districts'!$A$3:$B$874,2,FALSE)</f>
        <v>Hampton Bays</v>
      </c>
      <c r="D2993" s="40">
        <v>2527831</v>
      </c>
      <c r="E2993">
        <f>VLOOKUP(C2993,'All Districts'!$B$3:$C$874,2,FALSE)</f>
        <v>3613530</v>
      </c>
      <c r="F2993" s="91">
        <f>COUNTIF($E$2:$E$7106,E2993)</f>
        <v>9</v>
      </c>
    </row>
    <row r="2994" spans="1:6" x14ac:dyDescent="0.2">
      <c r="A2994">
        <v>2015</v>
      </c>
      <c r="B2994" s="13">
        <v>3579</v>
      </c>
      <c r="C2994" s="90" t="str">
        <f>VLOOKUP(B2994,'All Districts'!$A$3:$B$874,2,FALSE)</f>
        <v>Hancock</v>
      </c>
      <c r="D2994" s="14">
        <v>494539</v>
      </c>
      <c r="E2994">
        <f>VLOOKUP(C2994,'All Districts'!$B$3:$C$874,2,FALSE)</f>
        <v>3613560</v>
      </c>
      <c r="F2994" s="91">
        <f>COUNTIF($E$2:$E$7106,E2994)</f>
        <v>9</v>
      </c>
    </row>
    <row r="2995" spans="1:6" x14ac:dyDescent="0.2">
      <c r="A2995">
        <v>2016</v>
      </c>
      <c r="B2995" s="13">
        <v>3579</v>
      </c>
      <c r="C2995" s="90" t="str">
        <f>VLOOKUP(B2995,'All Districts'!$A$3:$B$874,2,FALSE)</f>
        <v>Hancock</v>
      </c>
      <c r="D2995" s="16">
        <v>398156</v>
      </c>
      <c r="E2995">
        <f>VLOOKUP(C2995,'All Districts'!$B$3:$C$874,2,FALSE)</f>
        <v>3613560</v>
      </c>
      <c r="F2995" s="91">
        <f>COUNTIF($E$2:$E$7106,E2995)</f>
        <v>9</v>
      </c>
    </row>
    <row r="2996" spans="1:6" x14ac:dyDescent="0.2">
      <c r="A2996">
        <v>2017</v>
      </c>
      <c r="B2996" s="13">
        <v>3579</v>
      </c>
      <c r="C2996" s="90" t="str">
        <f>VLOOKUP(B2996,'All Districts'!$A$3:$B$874,2,FALSE)</f>
        <v>Hancock</v>
      </c>
      <c r="D2996" s="16">
        <v>336605</v>
      </c>
      <c r="E2996">
        <f>VLOOKUP(C2996,'All Districts'!$B$3:$C$874,2,FALSE)</f>
        <v>3613560</v>
      </c>
      <c r="F2996" s="91">
        <f>COUNTIF($E$2:$E$7106,E2996)</f>
        <v>9</v>
      </c>
    </row>
    <row r="2997" spans="1:6" x14ac:dyDescent="0.2">
      <c r="A2997" s="10">
        <v>2018</v>
      </c>
      <c r="B2997" s="13">
        <v>3579</v>
      </c>
      <c r="C2997" s="90" t="str">
        <f>VLOOKUP(B2997,'All Districts'!$A$3:$B$874,2,FALSE)</f>
        <v>Hancock</v>
      </c>
      <c r="D2997" s="15">
        <v>276777</v>
      </c>
      <c r="E2997">
        <f>VLOOKUP(C2997,'All Districts'!$B$3:$C$874,2,FALSE)</f>
        <v>3613560</v>
      </c>
      <c r="F2997" s="91">
        <f>COUNTIF($E$2:$E$7106,E2997)</f>
        <v>9</v>
      </c>
    </row>
    <row r="2998" spans="1:6" x14ac:dyDescent="0.2">
      <c r="A2998">
        <v>2019</v>
      </c>
      <c r="B2998" s="36">
        <v>3579</v>
      </c>
      <c r="C2998" s="90" t="str">
        <f>VLOOKUP(B2998,'All Districts'!$A$3:$B$874,2,FALSE)</f>
        <v>Hancock</v>
      </c>
      <c r="D2998" s="40">
        <v>319933</v>
      </c>
      <c r="E2998">
        <f>VLOOKUP(C2998,'All Districts'!$B$3:$C$874,2,FALSE)</f>
        <v>3613560</v>
      </c>
      <c r="F2998" s="91">
        <f>COUNTIF($E$2:$E$7106,E2998)</f>
        <v>9</v>
      </c>
    </row>
    <row r="2999" spans="1:6" x14ac:dyDescent="0.2">
      <c r="A2999">
        <v>2020</v>
      </c>
      <c r="B2999" s="36">
        <v>3579</v>
      </c>
      <c r="C2999" s="90" t="str">
        <f>VLOOKUP(B2999,'All Districts'!$A$3:$B$874,2,FALSE)</f>
        <v>Hancock</v>
      </c>
      <c r="D2999" s="40">
        <v>265561</v>
      </c>
      <c r="E2999">
        <f>VLOOKUP(C2999,'All Districts'!$B$3:$C$874,2,FALSE)</f>
        <v>3613560</v>
      </c>
      <c r="F2999" s="91">
        <f>COUNTIF($E$2:$E$7106,E2999)</f>
        <v>9</v>
      </c>
    </row>
    <row r="3000" spans="1:6" x14ac:dyDescent="0.2">
      <c r="A3000" s="10">
        <v>2021</v>
      </c>
      <c r="B3000" s="71">
        <v>3579</v>
      </c>
      <c r="C3000" s="90" t="str">
        <f>VLOOKUP(B3000,'All Districts'!$A$3:$B$874,2,FALSE)</f>
        <v>Hancock</v>
      </c>
      <c r="D3000" s="80">
        <v>267635</v>
      </c>
      <c r="E3000">
        <f>VLOOKUP(C3000,'All Districts'!$B$3:$C$874,2,FALSE)</f>
        <v>3613560</v>
      </c>
      <c r="F3000" s="91">
        <f>COUNTIF($E$2:$E$7106,E3000)</f>
        <v>9</v>
      </c>
    </row>
    <row r="3001" spans="1:6" x14ac:dyDescent="0.2">
      <c r="A3001">
        <v>2022</v>
      </c>
      <c r="B3001" s="36">
        <v>3579</v>
      </c>
      <c r="C3001" s="90" t="str">
        <f>VLOOKUP(B3001,'All Districts'!$A$3:$B$874,2,FALSE)</f>
        <v>Hancock</v>
      </c>
      <c r="D3001" s="82">
        <v>294545</v>
      </c>
      <c r="E3001">
        <f>VLOOKUP(C3001,'All Districts'!$B$3:$C$874,2,FALSE)</f>
        <v>3613560</v>
      </c>
      <c r="F3001" s="91">
        <f>COUNTIF($E$2:$E$7106,E3001)</f>
        <v>9</v>
      </c>
    </row>
    <row r="3002" spans="1:6" x14ac:dyDescent="0.2">
      <c r="A3002">
        <v>2023</v>
      </c>
      <c r="B3002" s="36">
        <v>3579</v>
      </c>
      <c r="C3002" s="90" t="str">
        <f>VLOOKUP(B3002,'All Districts'!$A$3:$B$874,2,FALSE)</f>
        <v>Hancock</v>
      </c>
      <c r="D3002" s="40">
        <v>318490</v>
      </c>
      <c r="E3002">
        <f>VLOOKUP(C3002,'All Districts'!$B$3:$C$874,2,FALSE)</f>
        <v>3613560</v>
      </c>
      <c r="F3002" s="91">
        <f>COUNTIF($E$2:$E$7106,E3002)</f>
        <v>9</v>
      </c>
    </row>
    <row r="3003" spans="1:6" x14ac:dyDescent="0.2">
      <c r="A3003">
        <v>2015</v>
      </c>
      <c r="B3003" s="13">
        <v>4705</v>
      </c>
      <c r="C3003" s="90" t="str">
        <f>VLOOKUP(B3003,'All Districts'!$A$3:$B$874,2,FALSE)</f>
        <v>Hannibal</v>
      </c>
      <c r="D3003" s="14">
        <v>1673992</v>
      </c>
      <c r="E3003">
        <f>VLOOKUP(C3003,'All Districts'!$B$3:$C$874,2,FALSE)</f>
        <v>3613590</v>
      </c>
      <c r="F3003" s="91">
        <f>COUNTIF($E$2:$E$7106,E3003)</f>
        <v>9</v>
      </c>
    </row>
    <row r="3004" spans="1:6" x14ac:dyDescent="0.2">
      <c r="A3004">
        <v>2016</v>
      </c>
      <c r="B3004" s="13">
        <v>4705</v>
      </c>
      <c r="C3004" s="90" t="str">
        <f>VLOOKUP(B3004,'All Districts'!$A$3:$B$874,2,FALSE)</f>
        <v>Hannibal</v>
      </c>
      <c r="D3004" s="16">
        <v>1258081</v>
      </c>
      <c r="E3004">
        <f>VLOOKUP(C3004,'All Districts'!$B$3:$C$874,2,FALSE)</f>
        <v>3613590</v>
      </c>
      <c r="F3004" s="91">
        <f>COUNTIF($E$2:$E$7106,E3004)</f>
        <v>9</v>
      </c>
    </row>
    <row r="3005" spans="1:6" x14ac:dyDescent="0.2">
      <c r="A3005">
        <v>2017</v>
      </c>
      <c r="B3005" s="13">
        <v>4705</v>
      </c>
      <c r="C3005" s="90" t="str">
        <f>VLOOKUP(B3005,'All Districts'!$A$3:$B$874,2,FALSE)</f>
        <v>Hannibal</v>
      </c>
      <c r="D3005" s="16">
        <v>1158321</v>
      </c>
      <c r="E3005">
        <f>VLOOKUP(C3005,'All Districts'!$B$3:$C$874,2,FALSE)</f>
        <v>3613590</v>
      </c>
      <c r="F3005" s="91">
        <f>COUNTIF($E$2:$E$7106,E3005)</f>
        <v>9</v>
      </c>
    </row>
    <row r="3006" spans="1:6" x14ac:dyDescent="0.2">
      <c r="A3006" s="10">
        <v>2018</v>
      </c>
      <c r="B3006" s="13">
        <v>4705</v>
      </c>
      <c r="C3006" s="90" t="str">
        <f>VLOOKUP(B3006,'All Districts'!$A$3:$B$874,2,FALSE)</f>
        <v>Hannibal</v>
      </c>
      <c r="D3006" s="15">
        <v>988542</v>
      </c>
      <c r="E3006">
        <f>VLOOKUP(C3006,'All Districts'!$B$3:$C$874,2,FALSE)</f>
        <v>3613590</v>
      </c>
      <c r="F3006" s="91">
        <f>COUNTIF($E$2:$E$7106,E3006)</f>
        <v>9</v>
      </c>
    </row>
    <row r="3007" spans="1:6" x14ac:dyDescent="0.2">
      <c r="A3007">
        <v>2019</v>
      </c>
      <c r="B3007" s="36">
        <v>4705</v>
      </c>
      <c r="C3007" s="90" t="str">
        <f>VLOOKUP(B3007,'All Districts'!$A$3:$B$874,2,FALSE)</f>
        <v>Hannibal</v>
      </c>
      <c r="D3007" s="40">
        <v>1088877</v>
      </c>
      <c r="E3007">
        <f>VLOOKUP(C3007,'All Districts'!$B$3:$C$874,2,FALSE)</f>
        <v>3613590</v>
      </c>
      <c r="F3007" s="91">
        <f>COUNTIF($E$2:$E$7106,E3007)</f>
        <v>9</v>
      </c>
    </row>
    <row r="3008" spans="1:6" x14ac:dyDescent="0.2">
      <c r="A3008">
        <v>2020</v>
      </c>
      <c r="B3008" s="36">
        <v>4705</v>
      </c>
      <c r="C3008" s="90" t="str">
        <f>VLOOKUP(B3008,'All Districts'!$A$3:$B$874,2,FALSE)</f>
        <v>Hannibal</v>
      </c>
      <c r="D3008" s="40">
        <v>906082</v>
      </c>
      <c r="E3008">
        <f>VLOOKUP(C3008,'All Districts'!$B$3:$C$874,2,FALSE)</f>
        <v>3613590</v>
      </c>
      <c r="F3008" s="91">
        <f>COUNTIF($E$2:$E$7106,E3008)</f>
        <v>9</v>
      </c>
    </row>
    <row r="3009" spans="1:6" x14ac:dyDescent="0.2">
      <c r="A3009" s="10">
        <v>2021</v>
      </c>
      <c r="B3009" s="52">
        <v>4705</v>
      </c>
      <c r="C3009" s="90" t="str">
        <f>VLOOKUP(B3009,'All Districts'!$A$3:$B$874,2,FALSE)</f>
        <v>Hannibal</v>
      </c>
      <c r="D3009" s="76">
        <v>955589</v>
      </c>
      <c r="E3009">
        <f>VLOOKUP(C3009,'All Districts'!$B$3:$C$874,2,FALSE)</f>
        <v>3613590</v>
      </c>
      <c r="F3009" s="91">
        <f>COUNTIF($E$2:$E$7106,E3009)</f>
        <v>9</v>
      </c>
    </row>
    <row r="3010" spans="1:6" x14ac:dyDescent="0.2">
      <c r="A3010">
        <v>2022</v>
      </c>
      <c r="B3010" s="36">
        <v>4705</v>
      </c>
      <c r="C3010" s="90" t="str">
        <f>VLOOKUP(B3010,'All Districts'!$A$3:$B$874,2,FALSE)</f>
        <v>Hannibal</v>
      </c>
      <c r="D3010" s="82">
        <v>1060217</v>
      </c>
      <c r="E3010">
        <f>VLOOKUP(C3010,'All Districts'!$B$3:$C$874,2,FALSE)</f>
        <v>3613590</v>
      </c>
      <c r="F3010" s="91">
        <f>COUNTIF($E$2:$E$7106,E3010)</f>
        <v>9</v>
      </c>
    </row>
    <row r="3011" spans="1:6" x14ac:dyDescent="0.2">
      <c r="A3011">
        <v>2023</v>
      </c>
      <c r="B3011" s="36">
        <v>4705</v>
      </c>
      <c r="C3011" s="90" t="str">
        <f>VLOOKUP(B3011,'All Districts'!$A$3:$B$874,2,FALSE)</f>
        <v>Hannibal</v>
      </c>
      <c r="D3011" s="40">
        <v>1155663</v>
      </c>
      <c r="E3011">
        <f>VLOOKUP(C3011,'All Districts'!$B$3:$C$874,2,FALSE)</f>
        <v>3613590</v>
      </c>
      <c r="F3011" s="91">
        <f>COUNTIF($E$2:$E$7106,E3011)</f>
        <v>9</v>
      </c>
    </row>
    <row r="3012" spans="1:6" x14ac:dyDescent="0.2">
      <c r="A3012">
        <v>2015</v>
      </c>
      <c r="B3012" s="13">
        <v>2212</v>
      </c>
      <c r="C3012" s="90" t="str">
        <f>VLOOKUP(B3012,'All Districts'!$A$3:$B$874,2,FALSE)</f>
        <v>Harborfields</v>
      </c>
      <c r="D3012" s="14">
        <v>5441910</v>
      </c>
      <c r="E3012">
        <f>VLOOKUP(C3012,'All Districts'!$B$3:$C$874,2,FALSE)</f>
        <v>3613620</v>
      </c>
      <c r="F3012" s="91">
        <f>COUNTIF($E$2:$E$7106,E3012)</f>
        <v>9</v>
      </c>
    </row>
    <row r="3013" spans="1:6" x14ac:dyDescent="0.2">
      <c r="A3013">
        <v>2016</v>
      </c>
      <c r="B3013" s="13">
        <v>2212</v>
      </c>
      <c r="C3013" s="90" t="str">
        <f>VLOOKUP(B3013,'All Districts'!$A$3:$B$874,2,FALSE)</f>
        <v>Harborfields</v>
      </c>
      <c r="D3013" s="16">
        <v>4325761</v>
      </c>
      <c r="E3013">
        <f>VLOOKUP(C3013,'All Districts'!$B$3:$C$874,2,FALSE)</f>
        <v>3613620</v>
      </c>
      <c r="F3013" s="91">
        <f>COUNTIF($E$2:$E$7106,E3013)</f>
        <v>9</v>
      </c>
    </row>
    <row r="3014" spans="1:6" x14ac:dyDescent="0.2">
      <c r="A3014">
        <v>2017</v>
      </c>
      <c r="B3014" s="13">
        <v>2212</v>
      </c>
      <c r="C3014" s="90" t="str">
        <f>VLOOKUP(B3014,'All Districts'!$A$3:$B$874,2,FALSE)</f>
        <v>Harborfields</v>
      </c>
      <c r="D3014" s="16">
        <v>3962953</v>
      </c>
      <c r="E3014">
        <f>VLOOKUP(C3014,'All Districts'!$B$3:$C$874,2,FALSE)</f>
        <v>3613620</v>
      </c>
      <c r="F3014" s="91">
        <f>COUNTIF($E$2:$E$7106,E3014)</f>
        <v>9</v>
      </c>
    </row>
    <row r="3015" spans="1:6" x14ac:dyDescent="0.2">
      <c r="A3015" s="10">
        <v>2018</v>
      </c>
      <c r="B3015" s="13">
        <v>2212</v>
      </c>
      <c r="C3015" s="90" t="str">
        <f>VLOOKUP(B3015,'All Districts'!$A$3:$B$874,2,FALSE)</f>
        <v>Harborfields</v>
      </c>
      <c r="D3015" s="15">
        <v>3325640</v>
      </c>
      <c r="E3015">
        <f>VLOOKUP(C3015,'All Districts'!$B$3:$C$874,2,FALSE)</f>
        <v>3613620</v>
      </c>
      <c r="F3015" s="91">
        <f>COUNTIF($E$2:$E$7106,E3015)</f>
        <v>9</v>
      </c>
    </row>
    <row r="3016" spans="1:6" x14ac:dyDescent="0.2">
      <c r="A3016">
        <v>2019</v>
      </c>
      <c r="B3016" s="36">
        <v>2212</v>
      </c>
      <c r="C3016" s="90" t="str">
        <f>VLOOKUP(B3016,'All Districts'!$A$3:$B$874,2,FALSE)</f>
        <v>Harborfields</v>
      </c>
      <c r="D3016" s="40">
        <v>3690167</v>
      </c>
      <c r="E3016">
        <f>VLOOKUP(C3016,'All Districts'!$B$3:$C$874,2,FALSE)</f>
        <v>3613620</v>
      </c>
      <c r="F3016" s="91">
        <f>COUNTIF($E$2:$E$7106,E3016)</f>
        <v>9</v>
      </c>
    </row>
    <row r="3017" spans="1:6" x14ac:dyDescent="0.2">
      <c r="A3017">
        <v>2020</v>
      </c>
      <c r="B3017" s="36">
        <v>2212</v>
      </c>
      <c r="C3017" s="90" t="str">
        <f>VLOOKUP(B3017,'All Districts'!$A$3:$B$874,2,FALSE)</f>
        <v>Harborfields</v>
      </c>
      <c r="D3017" s="40">
        <v>3144396</v>
      </c>
      <c r="E3017">
        <f>VLOOKUP(C3017,'All Districts'!$B$3:$C$874,2,FALSE)</f>
        <v>3613620</v>
      </c>
      <c r="F3017" s="91">
        <f>COUNTIF($E$2:$E$7106,E3017)</f>
        <v>9</v>
      </c>
    </row>
    <row r="3018" spans="1:6" x14ac:dyDescent="0.2">
      <c r="A3018" s="10">
        <v>2021</v>
      </c>
      <c r="B3018" s="52">
        <v>2212</v>
      </c>
      <c r="C3018" s="90" t="str">
        <f>VLOOKUP(B3018,'All Districts'!$A$3:$B$874,2,FALSE)</f>
        <v>Harborfields</v>
      </c>
      <c r="D3018" s="75">
        <v>3382030</v>
      </c>
      <c r="E3018">
        <f>VLOOKUP(C3018,'All Districts'!$B$3:$C$874,2,FALSE)</f>
        <v>3613620</v>
      </c>
      <c r="F3018" s="91">
        <f>COUNTIF($E$2:$E$7106,E3018)</f>
        <v>9</v>
      </c>
    </row>
    <row r="3019" spans="1:6" x14ac:dyDescent="0.2">
      <c r="A3019">
        <v>2022</v>
      </c>
      <c r="B3019" s="36">
        <v>2212</v>
      </c>
      <c r="C3019" s="90" t="str">
        <f>VLOOKUP(B3019,'All Districts'!$A$3:$B$874,2,FALSE)</f>
        <v>Harborfields</v>
      </c>
      <c r="D3019" s="82">
        <v>3541743</v>
      </c>
      <c r="E3019">
        <f>VLOOKUP(C3019,'All Districts'!$B$3:$C$874,2,FALSE)</f>
        <v>3613620</v>
      </c>
      <c r="F3019" s="91">
        <f>COUNTIF($E$2:$E$7106,E3019)</f>
        <v>9</v>
      </c>
    </row>
    <row r="3020" spans="1:6" x14ac:dyDescent="0.2">
      <c r="A3020">
        <v>2023</v>
      </c>
      <c r="B3020" s="36">
        <v>2212</v>
      </c>
      <c r="C3020" s="90" t="str">
        <f>VLOOKUP(B3020,'All Districts'!$A$3:$B$874,2,FALSE)</f>
        <v>Harborfields</v>
      </c>
      <c r="D3020" s="40">
        <v>3789607</v>
      </c>
      <c r="E3020">
        <f>VLOOKUP(C3020,'All Districts'!$B$3:$C$874,2,FALSE)</f>
        <v>3613620</v>
      </c>
      <c r="F3020" s="91">
        <f>COUNTIF($E$2:$E$7106,E3020)</f>
        <v>9</v>
      </c>
    </row>
    <row r="3021" spans="1:6" x14ac:dyDescent="0.2">
      <c r="A3021">
        <v>2015</v>
      </c>
      <c r="B3021" s="13">
        <v>3126</v>
      </c>
      <c r="C3021" s="90" t="str">
        <f>VLOOKUP(B3021,'All Districts'!$A$3:$B$874,2,FALSE)</f>
        <v>Harpursville</v>
      </c>
      <c r="D3021" s="14">
        <v>1112189</v>
      </c>
      <c r="E3021">
        <f>VLOOKUP(C3021,'All Districts'!$B$3:$C$874,2,FALSE)</f>
        <v>3613710</v>
      </c>
      <c r="F3021" s="91">
        <f>COUNTIF($E$2:$E$7106,E3021)</f>
        <v>9</v>
      </c>
    </row>
    <row r="3022" spans="1:6" x14ac:dyDescent="0.2">
      <c r="A3022">
        <v>2016</v>
      </c>
      <c r="B3022" s="13">
        <v>3126</v>
      </c>
      <c r="C3022" s="90" t="str">
        <f>VLOOKUP(B3022,'All Districts'!$A$3:$B$874,2,FALSE)</f>
        <v>Harpursville</v>
      </c>
      <c r="D3022" s="16">
        <v>802284</v>
      </c>
      <c r="E3022">
        <f>VLOOKUP(C3022,'All Districts'!$B$3:$C$874,2,FALSE)</f>
        <v>3613710</v>
      </c>
      <c r="F3022" s="91">
        <f>COUNTIF($E$2:$E$7106,E3022)</f>
        <v>9</v>
      </c>
    </row>
    <row r="3023" spans="1:6" x14ac:dyDescent="0.2">
      <c r="A3023">
        <v>2017</v>
      </c>
      <c r="B3023" s="13">
        <v>3126</v>
      </c>
      <c r="C3023" s="90" t="str">
        <f>VLOOKUP(B3023,'All Districts'!$A$3:$B$874,2,FALSE)</f>
        <v>Harpursville</v>
      </c>
      <c r="D3023" s="16">
        <v>647721</v>
      </c>
      <c r="E3023">
        <f>VLOOKUP(C3023,'All Districts'!$B$3:$C$874,2,FALSE)</f>
        <v>3613710</v>
      </c>
      <c r="F3023" s="91">
        <f>COUNTIF($E$2:$E$7106,E3023)</f>
        <v>9</v>
      </c>
    </row>
    <row r="3024" spans="1:6" x14ac:dyDescent="0.2">
      <c r="A3024" s="10">
        <v>2018</v>
      </c>
      <c r="B3024" s="13">
        <v>3126</v>
      </c>
      <c r="C3024" s="90" t="str">
        <f>VLOOKUP(B3024,'All Districts'!$A$3:$B$874,2,FALSE)</f>
        <v>Harpursville</v>
      </c>
      <c r="D3024" s="15">
        <v>494467</v>
      </c>
      <c r="E3024">
        <f>VLOOKUP(C3024,'All Districts'!$B$3:$C$874,2,FALSE)</f>
        <v>3613710</v>
      </c>
      <c r="F3024" s="91">
        <f>COUNTIF($E$2:$E$7106,E3024)</f>
        <v>9</v>
      </c>
    </row>
    <row r="3025" spans="1:6" x14ac:dyDescent="0.2">
      <c r="A3025">
        <v>2019</v>
      </c>
      <c r="B3025" s="36">
        <v>3126</v>
      </c>
      <c r="C3025" s="90" t="str">
        <f>VLOOKUP(B3025,'All Districts'!$A$3:$B$874,2,FALSE)</f>
        <v>Harpursville</v>
      </c>
      <c r="D3025" s="40">
        <v>514503</v>
      </c>
      <c r="E3025">
        <f>VLOOKUP(C3025,'All Districts'!$B$3:$C$874,2,FALSE)</f>
        <v>3613710</v>
      </c>
      <c r="F3025" s="91">
        <f>COUNTIF($E$2:$E$7106,E3025)</f>
        <v>9</v>
      </c>
    </row>
    <row r="3026" spans="1:6" x14ac:dyDescent="0.2">
      <c r="A3026">
        <v>2020</v>
      </c>
      <c r="B3026" s="36">
        <v>3126</v>
      </c>
      <c r="C3026" s="90" t="str">
        <f>VLOOKUP(B3026,'All Districts'!$A$3:$B$874,2,FALSE)</f>
        <v>Harpursville</v>
      </c>
      <c r="D3026" s="40">
        <v>433326</v>
      </c>
      <c r="E3026">
        <f>VLOOKUP(C3026,'All Districts'!$B$3:$C$874,2,FALSE)</f>
        <v>3613710</v>
      </c>
      <c r="F3026" s="91">
        <f>COUNTIF($E$2:$E$7106,E3026)</f>
        <v>9</v>
      </c>
    </row>
    <row r="3027" spans="1:6" x14ac:dyDescent="0.2">
      <c r="A3027" s="10">
        <v>2021</v>
      </c>
      <c r="B3027" s="55">
        <v>3126</v>
      </c>
      <c r="C3027" s="90" t="str">
        <f>VLOOKUP(B3027,'All Districts'!$A$3:$B$874,2,FALSE)</f>
        <v>Harpursville</v>
      </c>
      <c r="D3027" s="76">
        <v>472028</v>
      </c>
      <c r="E3027">
        <f>VLOOKUP(C3027,'All Districts'!$B$3:$C$874,2,FALSE)</f>
        <v>3613710</v>
      </c>
      <c r="F3027" s="91">
        <f>COUNTIF($E$2:$E$7106,E3027)</f>
        <v>9</v>
      </c>
    </row>
    <row r="3028" spans="1:6" x14ac:dyDescent="0.2">
      <c r="A3028">
        <v>2022</v>
      </c>
      <c r="B3028" s="36">
        <v>3126</v>
      </c>
      <c r="C3028" s="90" t="str">
        <f>VLOOKUP(B3028,'All Districts'!$A$3:$B$874,2,FALSE)</f>
        <v>Harpursville</v>
      </c>
      <c r="D3028" s="82">
        <v>501421</v>
      </c>
      <c r="E3028">
        <f>VLOOKUP(C3028,'All Districts'!$B$3:$C$874,2,FALSE)</f>
        <v>3613710</v>
      </c>
      <c r="F3028" s="91">
        <f>COUNTIF($E$2:$E$7106,E3028)</f>
        <v>9</v>
      </c>
    </row>
    <row r="3029" spans="1:6" x14ac:dyDescent="0.2">
      <c r="A3029">
        <v>2023</v>
      </c>
      <c r="B3029" s="36">
        <v>3126</v>
      </c>
      <c r="C3029" s="90" t="str">
        <f>VLOOKUP(B3029,'All Districts'!$A$3:$B$874,2,FALSE)</f>
        <v>Harpursville</v>
      </c>
      <c r="D3029" s="40">
        <v>526463</v>
      </c>
      <c r="E3029">
        <f>VLOOKUP(C3029,'All Districts'!$B$3:$C$874,2,FALSE)</f>
        <v>3613710</v>
      </c>
      <c r="F3029" s="91">
        <f>COUNTIF($E$2:$E$7106,E3029)</f>
        <v>9</v>
      </c>
    </row>
    <row r="3030" spans="1:6" x14ac:dyDescent="0.2">
      <c r="A3030">
        <v>2015</v>
      </c>
      <c r="B3030" s="13">
        <v>2215</v>
      </c>
      <c r="C3030" s="90" t="str">
        <f>VLOOKUP(B3030,'All Districts'!$A$3:$B$874,2,FALSE)</f>
        <v>Harrison</v>
      </c>
      <c r="D3030" s="14">
        <v>8260451</v>
      </c>
      <c r="E3030">
        <f>VLOOKUP(C3030,'All Districts'!$B$3:$C$874,2,FALSE)</f>
        <v>3613740</v>
      </c>
      <c r="F3030" s="91">
        <f>COUNTIF($E$2:$E$7106,E3030)</f>
        <v>9</v>
      </c>
    </row>
    <row r="3031" spans="1:6" x14ac:dyDescent="0.2">
      <c r="A3031">
        <v>2016</v>
      </c>
      <c r="B3031" s="13">
        <v>2215</v>
      </c>
      <c r="C3031" s="90" t="str">
        <f>VLOOKUP(B3031,'All Districts'!$A$3:$B$874,2,FALSE)</f>
        <v>Harrison</v>
      </c>
      <c r="D3031" s="16">
        <v>6339422</v>
      </c>
      <c r="E3031">
        <f>VLOOKUP(C3031,'All Districts'!$B$3:$C$874,2,FALSE)</f>
        <v>3613740</v>
      </c>
      <c r="F3031" s="91">
        <f>COUNTIF($E$2:$E$7106,E3031)</f>
        <v>9</v>
      </c>
    </row>
    <row r="3032" spans="1:6" x14ac:dyDescent="0.2">
      <c r="A3032">
        <v>2017</v>
      </c>
      <c r="B3032" s="13">
        <v>2215</v>
      </c>
      <c r="C3032" s="90" t="str">
        <f>VLOOKUP(B3032,'All Districts'!$A$3:$B$874,2,FALSE)</f>
        <v>Harrison</v>
      </c>
      <c r="D3032" s="16">
        <v>5694416</v>
      </c>
      <c r="E3032">
        <f>VLOOKUP(C3032,'All Districts'!$B$3:$C$874,2,FALSE)</f>
        <v>3613740</v>
      </c>
      <c r="F3032" s="91">
        <f>COUNTIF($E$2:$E$7106,E3032)</f>
        <v>9</v>
      </c>
    </row>
    <row r="3033" spans="1:6" x14ac:dyDescent="0.2">
      <c r="A3033" s="10">
        <v>2018</v>
      </c>
      <c r="B3033" s="13">
        <v>2215</v>
      </c>
      <c r="C3033" s="90" t="str">
        <f>VLOOKUP(B3033,'All Districts'!$A$3:$B$874,2,FALSE)</f>
        <v>Harrison</v>
      </c>
      <c r="D3033" s="15">
        <v>4961240</v>
      </c>
      <c r="E3033">
        <f>VLOOKUP(C3033,'All Districts'!$B$3:$C$874,2,FALSE)</f>
        <v>3613740</v>
      </c>
      <c r="F3033" s="91">
        <f>COUNTIF($E$2:$E$7106,E3033)</f>
        <v>9</v>
      </c>
    </row>
    <row r="3034" spans="1:6" x14ac:dyDescent="0.2">
      <c r="A3034">
        <v>2019</v>
      </c>
      <c r="B3034" s="36">
        <v>2215</v>
      </c>
      <c r="C3034" s="90" t="str">
        <f>VLOOKUP(B3034,'All Districts'!$A$3:$B$874,2,FALSE)</f>
        <v>Harrison</v>
      </c>
      <c r="D3034" s="40">
        <v>5530538</v>
      </c>
      <c r="E3034">
        <f>VLOOKUP(C3034,'All Districts'!$B$3:$C$874,2,FALSE)</f>
        <v>3613740</v>
      </c>
      <c r="F3034" s="91">
        <f>COUNTIF($E$2:$E$7106,E3034)</f>
        <v>9</v>
      </c>
    </row>
    <row r="3035" spans="1:6" x14ac:dyDescent="0.2">
      <c r="A3035">
        <v>2020</v>
      </c>
      <c r="B3035" s="36">
        <v>2215</v>
      </c>
      <c r="C3035" s="90" t="str">
        <f>VLOOKUP(B3035,'All Districts'!$A$3:$B$874,2,FALSE)</f>
        <v>Harrison</v>
      </c>
      <c r="D3035" s="40">
        <v>4789897</v>
      </c>
      <c r="E3035">
        <f>VLOOKUP(C3035,'All Districts'!$B$3:$C$874,2,FALSE)</f>
        <v>3613740</v>
      </c>
      <c r="F3035" s="91">
        <f>COUNTIF($E$2:$E$7106,E3035)</f>
        <v>9</v>
      </c>
    </row>
    <row r="3036" spans="1:6" x14ac:dyDescent="0.2">
      <c r="A3036" s="10">
        <v>2021</v>
      </c>
      <c r="B3036" s="52">
        <v>2215</v>
      </c>
      <c r="C3036" s="90" t="str">
        <f>VLOOKUP(B3036,'All Districts'!$A$3:$B$874,2,FALSE)</f>
        <v>Harrison</v>
      </c>
      <c r="D3036" s="76">
        <v>5345283</v>
      </c>
      <c r="E3036">
        <f>VLOOKUP(C3036,'All Districts'!$B$3:$C$874,2,FALSE)</f>
        <v>3613740</v>
      </c>
      <c r="F3036" s="91">
        <f>COUNTIF($E$2:$E$7106,E3036)</f>
        <v>9</v>
      </c>
    </row>
    <row r="3037" spans="1:6" x14ac:dyDescent="0.2">
      <c r="A3037">
        <v>2022</v>
      </c>
      <c r="B3037" s="36">
        <v>2215</v>
      </c>
      <c r="C3037" s="90" t="str">
        <f>VLOOKUP(B3037,'All Districts'!$A$3:$B$874,2,FALSE)</f>
        <v>Harrison</v>
      </c>
      <c r="D3037" s="82">
        <v>5555709</v>
      </c>
      <c r="E3037">
        <f>VLOOKUP(C3037,'All Districts'!$B$3:$C$874,2,FALSE)</f>
        <v>3613740</v>
      </c>
      <c r="F3037" s="91">
        <f>COUNTIF($E$2:$E$7106,E3037)</f>
        <v>9</v>
      </c>
    </row>
    <row r="3038" spans="1:6" x14ac:dyDescent="0.2">
      <c r="A3038">
        <v>2023</v>
      </c>
      <c r="B3038" s="36">
        <v>2215</v>
      </c>
      <c r="C3038" s="90" t="str">
        <f>VLOOKUP(B3038,'All Districts'!$A$3:$B$874,2,FALSE)</f>
        <v>Harrison</v>
      </c>
      <c r="D3038" s="40">
        <v>6039274</v>
      </c>
      <c r="E3038">
        <f>VLOOKUP(C3038,'All Districts'!$B$3:$C$874,2,FALSE)</f>
        <v>3613740</v>
      </c>
      <c r="F3038" s="91">
        <f>COUNTIF($E$2:$E$7106,E3038)</f>
        <v>9</v>
      </c>
    </row>
    <row r="3039" spans="1:6" x14ac:dyDescent="0.2">
      <c r="A3039">
        <v>2015</v>
      </c>
      <c r="B3039" s="13">
        <v>4983</v>
      </c>
      <c r="C3039" s="90" t="str">
        <f>VLOOKUP(B3039,'All Districts'!$A$3:$B$874,2,FALSE)</f>
        <v>Harrisville</v>
      </c>
      <c r="D3039" s="14">
        <v>448953</v>
      </c>
      <c r="E3039">
        <f>VLOOKUP(C3039,'All Districts'!$B$3:$C$874,2,FALSE)</f>
        <v>3613770</v>
      </c>
      <c r="F3039" s="91">
        <f>COUNTIF($E$2:$E$7106,E3039)</f>
        <v>9</v>
      </c>
    </row>
    <row r="3040" spans="1:6" x14ac:dyDescent="0.2">
      <c r="A3040">
        <v>2016</v>
      </c>
      <c r="B3040" s="13">
        <v>4983</v>
      </c>
      <c r="C3040" s="90" t="str">
        <f>VLOOKUP(B3040,'All Districts'!$A$3:$B$874,2,FALSE)</f>
        <v>Harrisville</v>
      </c>
      <c r="D3040" s="16">
        <v>341195</v>
      </c>
      <c r="E3040">
        <f>VLOOKUP(C3040,'All Districts'!$B$3:$C$874,2,FALSE)</f>
        <v>3613770</v>
      </c>
      <c r="F3040" s="91">
        <f>COUNTIF($E$2:$E$7106,E3040)</f>
        <v>9</v>
      </c>
    </row>
    <row r="3041" spans="1:6" x14ac:dyDescent="0.2">
      <c r="A3041">
        <v>2017</v>
      </c>
      <c r="B3041" s="13">
        <v>4983</v>
      </c>
      <c r="C3041" s="90" t="str">
        <f>VLOOKUP(B3041,'All Districts'!$A$3:$B$874,2,FALSE)</f>
        <v>Harrisville</v>
      </c>
      <c r="D3041" s="16">
        <v>321833</v>
      </c>
      <c r="E3041">
        <f>VLOOKUP(C3041,'All Districts'!$B$3:$C$874,2,FALSE)</f>
        <v>3613770</v>
      </c>
      <c r="F3041" s="91">
        <f>COUNTIF($E$2:$E$7106,E3041)</f>
        <v>9</v>
      </c>
    </row>
    <row r="3042" spans="1:6" x14ac:dyDescent="0.2">
      <c r="A3042" s="10">
        <v>2018</v>
      </c>
      <c r="B3042" s="13">
        <v>4983</v>
      </c>
      <c r="C3042" s="90" t="str">
        <f>VLOOKUP(B3042,'All Districts'!$A$3:$B$874,2,FALSE)</f>
        <v>Harrisville</v>
      </c>
      <c r="D3042" s="15">
        <v>300834</v>
      </c>
      <c r="E3042">
        <f>VLOOKUP(C3042,'All Districts'!$B$3:$C$874,2,FALSE)</f>
        <v>3613770</v>
      </c>
      <c r="F3042" s="91">
        <f>COUNTIF($E$2:$E$7106,E3042)</f>
        <v>9</v>
      </c>
    </row>
    <row r="3043" spans="1:6" x14ac:dyDescent="0.2">
      <c r="A3043">
        <v>2019</v>
      </c>
      <c r="B3043" s="36">
        <v>4983</v>
      </c>
      <c r="C3043" s="90" t="str">
        <f>VLOOKUP(B3043,'All Districts'!$A$3:$B$874,2,FALSE)</f>
        <v>Harrisville</v>
      </c>
      <c r="D3043" s="40">
        <v>320251</v>
      </c>
      <c r="E3043">
        <f>VLOOKUP(C3043,'All Districts'!$B$3:$C$874,2,FALSE)</f>
        <v>3613770</v>
      </c>
      <c r="F3043" s="91">
        <f>COUNTIF($E$2:$E$7106,E3043)</f>
        <v>9</v>
      </c>
    </row>
    <row r="3044" spans="1:6" x14ac:dyDescent="0.2">
      <c r="A3044">
        <v>2020</v>
      </c>
      <c r="B3044" s="36">
        <v>4983</v>
      </c>
      <c r="C3044" s="90" t="str">
        <f>VLOOKUP(B3044,'All Districts'!$A$3:$B$874,2,FALSE)</f>
        <v>Harrisville</v>
      </c>
      <c r="D3044" s="40">
        <v>270876</v>
      </c>
      <c r="E3044">
        <f>VLOOKUP(C3044,'All Districts'!$B$3:$C$874,2,FALSE)</f>
        <v>3613770</v>
      </c>
      <c r="F3044" s="91">
        <f>COUNTIF($E$2:$E$7106,E3044)</f>
        <v>9</v>
      </c>
    </row>
    <row r="3045" spans="1:6" x14ac:dyDescent="0.2">
      <c r="A3045" s="10">
        <v>2021</v>
      </c>
      <c r="B3045" s="52">
        <v>4983</v>
      </c>
      <c r="C3045" s="90" t="str">
        <f>VLOOKUP(B3045,'All Districts'!$A$3:$B$874,2,FALSE)</f>
        <v>Harrisville</v>
      </c>
      <c r="D3045" s="75">
        <v>268761</v>
      </c>
      <c r="E3045">
        <f>VLOOKUP(C3045,'All Districts'!$B$3:$C$874,2,FALSE)</f>
        <v>3613770</v>
      </c>
      <c r="F3045" s="91">
        <f>COUNTIF($E$2:$E$7106,E3045)</f>
        <v>9</v>
      </c>
    </row>
    <row r="3046" spans="1:6" x14ac:dyDescent="0.2">
      <c r="A3046">
        <v>2022</v>
      </c>
      <c r="B3046" s="36">
        <v>4983</v>
      </c>
      <c r="C3046" s="90" t="str">
        <f>VLOOKUP(B3046,'All Districts'!$A$3:$B$874,2,FALSE)</f>
        <v>Harrisville</v>
      </c>
      <c r="D3046" s="82">
        <v>314149</v>
      </c>
      <c r="E3046">
        <f>VLOOKUP(C3046,'All Districts'!$B$3:$C$874,2,FALSE)</f>
        <v>3613770</v>
      </c>
      <c r="F3046" s="91">
        <f>COUNTIF($E$2:$E$7106,E3046)</f>
        <v>9</v>
      </c>
    </row>
    <row r="3047" spans="1:6" x14ac:dyDescent="0.2">
      <c r="A3047">
        <v>2023</v>
      </c>
      <c r="B3047" s="36">
        <v>4983</v>
      </c>
      <c r="C3047" s="90" t="str">
        <f>VLOOKUP(B3047,'All Districts'!$A$3:$B$874,2,FALSE)</f>
        <v>Harrisville</v>
      </c>
      <c r="D3047" s="40">
        <v>345779</v>
      </c>
      <c r="E3047">
        <f>VLOOKUP(C3047,'All Districts'!$B$3:$C$874,2,FALSE)</f>
        <v>3613770</v>
      </c>
      <c r="F3047" s="91">
        <f>COUNTIF($E$2:$E$7106,E3047)</f>
        <v>9</v>
      </c>
    </row>
    <row r="3048" spans="1:6" x14ac:dyDescent="0.2">
      <c r="A3048">
        <v>2015</v>
      </c>
      <c r="B3048" s="13">
        <v>5681</v>
      </c>
      <c r="C3048" s="90" t="str">
        <f>VLOOKUP(B3048,'All Districts'!$A$3:$B$874,2,FALSE)</f>
        <v>Hartford</v>
      </c>
      <c r="D3048" s="14">
        <v>599366</v>
      </c>
      <c r="E3048">
        <f>VLOOKUP(C3048,'All Districts'!$B$3:$C$874,2,FALSE)</f>
        <v>3613830</v>
      </c>
      <c r="F3048" s="91">
        <f>COUNTIF($E$2:$E$7106,E3048)</f>
        <v>9</v>
      </c>
    </row>
    <row r="3049" spans="1:6" x14ac:dyDescent="0.2">
      <c r="A3049">
        <v>2016</v>
      </c>
      <c r="B3049" s="13">
        <v>5681</v>
      </c>
      <c r="C3049" s="90" t="str">
        <f>VLOOKUP(B3049,'All Districts'!$A$3:$B$874,2,FALSE)</f>
        <v>Hartford</v>
      </c>
      <c r="D3049" s="16">
        <v>454252</v>
      </c>
      <c r="E3049">
        <f>VLOOKUP(C3049,'All Districts'!$B$3:$C$874,2,FALSE)</f>
        <v>3613830</v>
      </c>
      <c r="F3049" s="91">
        <f>COUNTIF($E$2:$E$7106,E3049)</f>
        <v>9</v>
      </c>
    </row>
    <row r="3050" spans="1:6" x14ac:dyDescent="0.2">
      <c r="A3050">
        <v>2017</v>
      </c>
      <c r="B3050" s="13">
        <v>5681</v>
      </c>
      <c r="C3050" s="90" t="str">
        <f>VLOOKUP(B3050,'All Districts'!$A$3:$B$874,2,FALSE)</f>
        <v>Hartford</v>
      </c>
      <c r="D3050" s="16">
        <v>417381</v>
      </c>
      <c r="E3050">
        <f>VLOOKUP(C3050,'All Districts'!$B$3:$C$874,2,FALSE)</f>
        <v>3613830</v>
      </c>
      <c r="F3050" s="91">
        <f>COUNTIF($E$2:$E$7106,E3050)</f>
        <v>9</v>
      </c>
    </row>
    <row r="3051" spans="1:6" x14ac:dyDescent="0.2">
      <c r="A3051" s="10">
        <v>2018</v>
      </c>
      <c r="B3051" s="13">
        <v>5681</v>
      </c>
      <c r="C3051" s="90" t="str">
        <f>VLOOKUP(B3051,'All Districts'!$A$3:$B$874,2,FALSE)</f>
        <v>Hartford</v>
      </c>
      <c r="D3051" s="15">
        <v>359856</v>
      </c>
      <c r="E3051">
        <f>VLOOKUP(C3051,'All Districts'!$B$3:$C$874,2,FALSE)</f>
        <v>3613830</v>
      </c>
      <c r="F3051" s="91">
        <f>COUNTIF($E$2:$E$7106,E3051)</f>
        <v>9</v>
      </c>
    </row>
    <row r="3052" spans="1:6" x14ac:dyDescent="0.2">
      <c r="A3052">
        <v>2019</v>
      </c>
      <c r="B3052" s="36">
        <v>5681</v>
      </c>
      <c r="C3052" s="90" t="str">
        <f>VLOOKUP(B3052,'All Districts'!$A$3:$B$874,2,FALSE)</f>
        <v>Hartford</v>
      </c>
      <c r="D3052" s="40">
        <v>407870</v>
      </c>
      <c r="E3052">
        <f>VLOOKUP(C3052,'All Districts'!$B$3:$C$874,2,FALSE)</f>
        <v>3613830</v>
      </c>
      <c r="F3052" s="91">
        <f>COUNTIF($E$2:$E$7106,E3052)</f>
        <v>9</v>
      </c>
    </row>
    <row r="3053" spans="1:6" x14ac:dyDescent="0.2">
      <c r="A3053">
        <v>2020</v>
      </c>
      <c r="B3053" s="36">
        <v>5681</v>
      </c>
      <c r="C3053" s="90" t="str">
        <f>VLOOKUP(B3053,'All Districts'!$A$3:$B$874,2,FALSE)</f>
        <v>Hartford</v>
      </c>
      <c r="D3053" s="40">
        <v>336332</v>
      </c>
      <c r="E3053">
        <f>VLOOKUP(C3053,'All Districts'!$B$3:$C$874,2,FALSE)</f>
        <v>3613830</v>
      </c>
      <c r="F3053" s="91">
        <f>COUNTIF($E$2:$E$7106,E3053)</f>
        <v>9</v>
      </c>
    </row>
    <row r="3054" spans="1:6" x14ac:dyDescent="0.2">
      <c r="A3054" s="10">
        <v>2021</v>
      </c>
      <c r="B3054" s="52">
        <v>5681</v>
      </c>
      <c r="C3054" s="90" t="str">
        <f>VLOOKUP(B3054,'All Districts'!$A$3:$B$874,2,FALSE)</f>
        <v>Hartford</v>
      </c>
      <c r="D3054" s="76">
        <v>342795</v>
      </c>
      <c r="E3054">
        <f>VLOOKUP(C3054,'All Districts'!$B$3:$C$874,2,FALSE)</f>
        <v>3613830</v>
      </c>
      <c r="F3054" s="91">
        <f>COUNTIF($E$2:$E$7106,E3054)</f>
        <v>9</v>
      </c>
    </row>
    <row r="3055" spans="1:6" x14ac:dyDescent="0.2">
      <c r="A3055">
        <v>2022</v>
      </c>
      <c r="B3055" s="36">
        <v>5681</v>
      </c>
      <c r="C3055" s="90" t="str">
        <f>VLOOKUP(B3055,'All Districts'!$A$3:$B$874,2,FALSE)</f>
        <v>Hartford</v>
      </c>
      <c r="D3055" s="82">
        <v>381333</v>
      </c>
      <c r="E3055">
        <f>VLOOKUP(C3055,'All Districts'!$B$3:$C$874,2,FALSE)</f>
        <v>3613830</v>
      </c>
      <c r="F3055" s="91">
        <f>COUNTIF($E$2:$E$7106,E3055)</f>
        <v>9</v>
      </c>
    </row>
    <row r="3056" spans="1:6" x14ac:dyDescent="0.2">
      <c r="A3056">
        <v>2023</v>
      </c>
      <c r="B3056" s="36">
        <v>5681</v>
      </c>
      <c r="C3056" s="90" t="str">
        <f>VLOOKUP(B3056,'All Districts'!$A$3:$B$874,2,FALSE)</f>
        <v>Hartford</v>
      </c>
      <c r="D3056" s="40">
        <v>414435</v>
      </c>
      <c r="E3056">
        <f>VLOOKUP(C3056,'All Districts'!$B$3:$C$874,2,FALSE)</f>
        <v>3613830</v>
      </c>
      <c r="F3056" s="91">
        <f>COUNTIF($E$2:$E$7106,E3056)</f>
        <v>9</v>
      </c>
    </row>
    <row r="3057" spans="1:6" x14ac:dyDescent="0.2">
      <c r="A3057">
        <v>2015</v>
      </c>
      <c r="B3057" s="13">
        <v>2220</v>
      </c>
      <c r="C3057" s="90" t="str">
        <f>VLOOKUP(B3057,'All Districts'!$A$3:$B$874,2,FALSE)</f>
        <v>Hastings-on-Hudson</v>
      </c>
      <c r="D3057" s="14">
        <v>3314945</v>
      </c>
      <c r="E3057">
        <f>VLOOKUP(C3057,'All Districts'!$B$3:$C$874,2,FALSE)</f>
        <v>3613950</v>
      </c>
      <c r="F3057" s="91">
        <f>COUNTIF($E$2:$E$7106,E3057)</f>
        <v>9</v>
      </c>
    </row>
    <row r="3058" spans="1:6" x14ac:dyDescent="0.2">
      <c r="A3058">
        <v>2016</v>
      </c>
      <c r="B3058" s="13">
        <v>2220</v>
      </c>
      <c r="C3058" s="90" t="str">
        <f>VLOOKUP(B3058,'All Districts'!$A$3:$B$874,2,FALSE)</f>
        <v>Hastings-on-Hudson</v>
      </c>
      <c r="D3058" s="16">
        <v>2563885</v>
      </c>
      <c r="E3058">
        <f>VLOOKUP(C3058,'All Districts'!$B$3:$C$874,2,FALSE)</f>
        <v>3613950</v>
      </c>
      <c r="F3058" s="91">
        <f>COUNTIF($E$2:$E$7106,E3058)</f>
        <v>9</v>
      </c>
    </row>
    <row r="3059" spans="1:6" x14ac:dyDescent="0.2">
      <c r="A3059">
        <v>2017</v>
      </c>
      <c r="B3059" s="13">
        <v>2220</v>
      </c>
      <c r="C3059" s="90" t="str">
        <f>VLOOKUP(B3059,'All Districts'!$A$3:$B$874,2,FALSE)</f>
        <v>Hastings-on-Hudson</v>
      </c>
      <c r="D3059" s="16">
        <v>2353177</v>
      </c>
      <c r="E3059">
        <f>VLOOKUP(C3059,'All Districts'!$B$3:$C$874,2,FALSE)</f>
        <v>3613950</v>
      </c>
      <c r="F3059" s="91">
        <f>COUNTIF($E$2:$E$7106,E3059)</f>
        <v>9</v>
      </c>
    </row>
    <row r="3060" spans="1:6" x14ac:dyDescent="0.2">
      <c r="A3060" s="10">
        <v>2018</v>
      </c>
      <c r="B3060" s="13">
        <v>2220</v>
      </c>
      <c r="C3060" s="90" t="str">
        <f>VLOOKUP(B3060,'All Districts'!$A$3:$B$874,2,FALSE)</f>
        <v>Hastings-on-Hudson</v>
      </c>
      <c r="D3060" s="15">
        <v>2066226</v>
      </c>
      <c r="E3060">
        <f>VLOOKUP(C3060,'All Districts'!$B$3:$C$874,2,FALSE)</f>
        <v>3613950</v>
      </c>
      <c r="F3060" s="91">
        <f>COUNTIF($E$2:$E$7106,E3060)</f>
        <v>9</v>
      </c>
    </row>
    <row r="3061" spans="1:6" x14ac:dyDescent="0.2">
      <c r="A3061">
        <v>2019</v>
      </c>
      <c r="B3061" s="36">
        <v>2220</v>
      </c>
      <c r="C3061" s="90" t="str">
        <f>VLOOKUP(B3061,'All Districts'!$A$3:$B$874,2,FALSE)</f>
        <v>Hastings-on-Hudson</v>
      </c>
      <c r="D3061" s="40">
        <v>2331182</v>
      </c>
      <c r="E3061">
        <f>VLOOKUP(C3061,'All Districts'!$B$3:$C$874,2,FALSE)</f>
        <v>3613950</v>
      </c>
      <c r="F3061" s="91">
        <f>COUNTIF($E$2:$E$7106,E3061)</f>
        <v>9</v>
      </c>
    </row>
    <row r="3062" spans="1:6" x14ac:dyDescent="0.2">
      <c r="A3062">
        <v>2020</v>
      </c>
      <c r="B3062" s="36">
        <v>2220</v>
      </c>
      <c r="C3062" s="90" t="str">
        <f>VLOOKUP(B3062,'All Districts'!$A$3:$B$874,2,FALSE)</f>
        <v>Hastings-on-Hudson</v>
      </c>
      <c r="D3062" s="40">
        <v>2054416</v>
      </c>
      <c r="E3062">
        <f>VLOOKUP(C3062,'All Districts'!$B$3:$C$874,2,FALSE)</f>
        <v>3613950</v>
      </c>
      <c r="F3062" s="91">
        <f>COUNTIF($E$2:$E$7106,E3062)</f>
        <v>9</v>
      </c>
    </row>
    <row r="3063" spans="1:6" x14ac:dyDescent="0.2">
      <c r="A3063" s="10">
        <v>2021</v>
      </c>
      <c r="B3063" s="52">
        <v>2220</v>
      </c>
      <c r="C3063" s="90" t="str">
        <f>VLOOKUP(B3063,'All Districts'!$A$3:$B$874,2,FALSE)</f>
        <v>Hastings-on-Hudson</v>
      </c>
      <c r="D3063" s="75">
        <v>2186801</v>
      </c>
      <c r="E3063">
        <f>VLOOKUP(C3063,'All Districts'!$B$3:$C$874,2,FALSE)</f>
        <v>3613950</v>
      </c>
      <c r="F3063" s="91">
        <f>COUNTIF($E$2:$E$7106,E3063)</f>
        <v>9</v>
      </c>
    </row>
    <row r="3064" spans="1:6" x14ac:dyDescent="0.2">
      <c r="A3064">
        <v>2022</v>
      </c>
      <c r="B3064" s="36">
        <v>2220</v>
      </c>
      <c r="C3064" s="90" t="str">
        <f>VLOOKUP(B3064,'All Districts'!$A$3:$B$874,2,FALSE)</f>
        <v>Hastings-on-Hudson</v>
      </c>
      <c r="D3064" s="82">
        <v>2304067</v>
      </c>
      <c r="E3064">
        <f>VLOOKUP(C3064,'All Districts'!$B$3:$C$874,2,FALSE)</f>
        <v>3613950</v>
      </c>
      <c r="F3064" s="91">
        <f>COUNTIF($E$2:$E$7106,E3064)</f>
        <v>9</v>
      </c>
    </row>
    <row r="3065" spans="1:6" x14ac:dyDescent="0.2">
      <c r="A3065">
        <v>2023</v>
      </c>
      <c r="B3065" s="36">
        <v>2220</v>
      </c>
      <c r="C3065" s="90" t="str">
        <f>VLOOKUP(B3065,'All Districts'!$A$3:$B$874,2,FALSE)</f>
        <v>Hastings-on-Hudson</v>
      </c>
      <c r="D3065" s="40">
        <v>2445913</v>
      </c>
      <c r="E3065">
        <f>VLOOKUP(C3065,'All Districts'!$B$3:$C$874,2,FALSE)</f>
        <v>3613950</v>
      </c>
      <c r="F3065" s="91">
        <f>COUNTIF($E$2:$E$7106,E3065)</f>
        <v>9</v>
      </c>
    </row>
    <row r="3066" spans="1:6" x14ac:dyDescent="0.2">
      <c r="A3066">
        <v>2015</v>
      </c>
      <c r="B3066" s="13">
        <v>2224</v>
      </c>
      <c r="C3066" s="90" t="str">
        <f>VLOOKUP(B3066,'All Districts'!$A$3:$B$874,2,FALSE)</f>
        <v>Hauppauge</v>
      </c>
      <c r="D3066" s="14">
        <v>7230272</v>
      </c>
      <c r="E3066">
        <f>VLOOKUP(C3066,'All Districts'!$B$3:$C$874,2,FALSE)</f>
        <v>3613980</v>
      </c>
      <c r="F3066" s="91">
        <f>COUNTIF($E$2:$E$7106,E3066)</f>
        <v>9</v>
      </c>
    </row>
    <row r="3067" spans="1:6" x14ac:dyDescent="0.2">
      <c r="A3067">
        <v>2016</v>
      </c>
      <c r="B3067" s="13">
        <v>2224</v>
      </c>
      <c r="C3067" s="90" t="str">
        <f>VLOOKUP(B3067,'All Districts'!$A$3:$B$874,2,FALSE)</f>
        <v>Hauppauge</v>
      </c>
      <c r="D3067" s="16">
        <v>5601455</v>
      </c>
      <c r="E3067">
        <f>VLOOKUP(C3067,'All Districts'!$B$3:$C$874,2,FALSE)</f>
        <v>3613980</v>
      </c>
      <c r="F3067" s="91">
        <f>COUNTIF($E$2:$E$7106,E3067)</f>
        <v>9</v>
      </c>
    </row>
    <row r="3068" spans="1:6" x14ac:dyDescent="0.2">
      <c r="A3068">
        <v>2017</v>
      </c>
      <c r="B3068" s="13">
        <v>2224</v>
      </c>
      <c r="C3068" s="90" t="str">
        <f>VLOOKUP(B3068,'All Districts'!$A$3:$B$874,2,FALSE)</f>
        <v>Hauppauge</v>
      </c>
      <c r="D3068" s="16">
        <v>5111252</v>
      </c>
      <c r="E3068">
        <f>VLOOKUP(C3068,'All Districts'!$B$3:$C$874,2,FALSE)</f>
        <v>3613980</v>
      </c>
      <c r="F3068" s="91">
        <f>COUNTIF($E$2:$E$7106,E3068)</f>
        <v>9</v>
      </c>
    </row>
    <row r="3069" spans="1:6" x14ac:dyDescent="0.2">
      <c r="A3069" s="10">
        <v>2018</v>
      </c>
      <c r="B3069" s="13">
        <v>2224</v>
      </c>
      <c r="C3069" s="90" t="str">
        <f>VLOOKUP(B3069,'All Districts'!$A$3:$B$874,2,FALSE)</f>
        <v>Hauppauge</v>
      </c>
      <c r="D3069" s="15">
        <v>4382325</v>
      </c>
      <c r="E3069">
        <f>VLOOKUP(C3069,'All Districts'!$B$3:$C$874,2,FALSE)</f>
        <v>3613980</v>
      </c>
      <c r="F3069" s="91">
        <f>COUNTIF($E$2:$E$7106,E3069)</f>
        <v>9</v>
      </c>
    </row>
    <row r="3070" spans="1:6" x14ac:dyDescent="0.2">
      <c r="A3070">
        <v>2019</v>
      </c>
      <c r="B3070" s="36">
        <v>2224</v>
      </c>
      <c r="C3070" s="90" t="str">
        <f>VLOOKUP(B3070,'All Districts'!$A$3:$B$874,2,FALSE)</f>
        <v>Hauppauge</v>
      </c>
      <c r="D3070" s="40">
        <v>4932038</v>
      </c>
      <c r="E3070">
        <f>VLOOKUP(C3070,'All Districts'!$B$3:$C$874,2,FALSE)</f>
        <v>3613980</v>
      </c>
      <c r="F3070" s="91">
        <f>COUNTIF($E$2:$E$7106,E3070)</f>
        <v>9</v>
      </c>
    </row>
    <row r="3071" spans="1:6" x14ac:dyDescent="0.2">
      <c r="A3071">
        <v>2020</v>
      </c>
      <c r="B3071" s="36">
        <v>2224</v>
      </c>
      <c r="C3071" s="90" t="str">
        <f>VLOOKUP(B3071,'All Districts'!$A$3:$B$874,2,FALSE)</f>
        <v>Hauppauge</v>
      </c>
      <c r="D3071" s="40">
        <v>4182029</v>
      </c>
      <c r="E3071">
        <f>VLOOKUP(C3071,'All Districts'!$B$3:$C$874,2,FALSE)</f>
        <v>3613980</v>
      </c>
      <c r="F3071" s="91">
        <f>COUNTIF($E$2:$E$7106,E3071)</f>
        <v>9</v>
      </c>
    </row>
    <row r="3072" spans="1:6" x14ac:dyDescent="0.2">
      <c r="A3072" s="10">
        <v>2021</v>
      </c>
      <c r="B3072" s="55">
        <v>2224</v>
      </c>
      <c r="C3072" s="90" t="str">
        <f>VLOOKUP(B3072,'All Districts'!$A$3:$B$874,2,FALSE)</f>
        <v>Hauppauge</v>
      </c>
      <c r="D3072" s="76">
        <v>4454025</v>
      </c>
      <c r="E3072">
        <f>VLOOKUP(C3072,'All Districts'!$B$3:$C$874,2,FALSE)</f>
        <v>3613980</v>
      </c>
      <c r="F3072" s="91">
        <f>COUNTIF($E$2:$E$7106,E3072)</f>
        <v>9</v>
      </c>
    </row>
    <row r="3073" spans="1:6" x14ac:dyDescent="0.2">
      <c r="A3073">
        <v>2022</v>
      </c>
      <c r="B3073" s="36">
        <v>2224</v>
      </c>
      <c r="C3073" s="90" t="str">
        <f>VLOOKUP(B3073,'All Districts'!$A$3:$B$874,2,FALSE)</f>
        <v>Hauppauge</v>
      </c>
      <c r="D3073" s="82">
        <v>4766471</v>
      </c>
      <c r="E3073">
        <f>VLOOKUP(C3073,'All Districts'!$B$3:$C$874,2,FALSE)</f>
        <v>3613980</v>
      </c>
      <c r="F3073" s="91">
        <f>COUNTIF($E$2:$E$7106,E3073)</f>
        <v>9</v>
      </c>
    </row>
    <row r="3074" spans="1:6" x14ac:dyDescent="0.2">
      <c r="A3074">
        <v>2023</v>
      </c>
      <c r="B3074" s="36">
        <v>2224</v>
      </c>
      <c r="C3074" s="90" t="str">
        <f>VLOOKUP(B3074,'All Districts'!$A$3:$B$874,2,FALSE)</f>
        <v>Hauppauge</v>
      </c>
      <c r="D3074" s="40">
        <v>5243320</v>
      </c>
      <c r="E3074">
        <f>VLOOKUP(C3074,'All Districts'!$B$3:$C$874,2,FALSE)</f>
        <v>3613980</v>
      </c>
      <c r="F3074" s="91">
        <f>COUNTIF($E$2:$E$7106,E3074)</f>
        <v>9</v>
      </c>
    </row>
    <row r="3075" spans="1:6" x14ac:dyDescent="0.2">
      <c r="A3075">
        <v>2015</v>
      </c>
      <c r="B3075" s="13">
        <v>2225</v>
      </c>
      <c r="C3075" s="90" t="str">
        <f>VLOOKUP(B3075,'All Districts'!$A$3:$B$874,2,FALSE)</f>
        <v>Haverstraw-Stony Point (North Rockland)</v>
      </c>
      <c r="D3075" s="14">
        <v>13885041</v>
      </c>
      <c r="E3075">
        <f>VLOOKUP(C3075,'All Districts'!$B$3:$C$874,2,FALSE)</f>
        <v>3614010</v>
      </c>
      <c r="F3075" s="91">
        <f>COUNTIF($E$2:$E$7106,E3075)</f>
        <v>9</v>
      </c>
    </row>
    <row r="3076" spans="1:6" x14ac:dyDescent="0.2">
      <c r="A3076">
        <v>2016</v>
      </c>
      <c r="B3076" s="13">
        <v>2225</v>
      </c>
      <c r="C3076" s="90" t="str">
        <f>VLOOKUP(B3076,'All Districts'!$A$3:$B$874,2,FALSE)</f>
        <v>Haverstraw-Stony Point (North Rockland)</v>
      </c>
      <c r="D3076" s="16">
        <v>10483813</v>
      </c>
      <c r="E3076">
        <f>VLOOKUP(C3076,'All Districts'!$B$3:$C$874,2,FALSE)</f>
        <v>3614010</v>
      </c>
      <c r="F3076" s="91">
        <f>COUNTIF($E$2:$E$7106,E3076)</f>
        <v>9</v>
      </c>
    </row>
    <row r="3077" spans="1:6" x14ac:dyDescent="0.2">
      <c r="A3077">
        <v>2017</v>
      </c>
      <c r="B3077" s="13">
        <v>2225</v>
      </c>
      <c r="C3077" s="90" t="str">
        <f>VLOOKUP(B3077,'All Districts'!$A$3:$B$874,2,FALSE)</f>
        <v>Haverstraw-Stony Point (North Rockland)</v>
      </c>
      <c r="D3077" s="16">
        <v>9155486</v>
      </c>
      <c r="E3077">
        <f>VLOOKUP(C3077,'All Districts'!$B$3:$C$874,2,FALSE)</f>
        <v>3614010</v>
      </c>
      <c r="F3077" s="91">
        <f>COUNTIF($E$2:$E$7106,E3077)</f>
        <v>9</v>
      </c>
    </row>
    <row r="3078" spans="1:6" x14ac:dyDescent="0.2">
      <c r="A3078" s="10">
        <v>2018</v>
      </c>
      <c r="B3078" s="13">
        <v>2225</v>
      </c>
      <c r="C3078" s="90" t="str">
        <f>VLOOKUP(B3078,'All Districts'!$A$3:$B$874,2,FALSE)</f>
        <v>Haverstraw-Stony Point (North Rockland)</v>
      </c>
      <c r="D3078" s="15">
        <v>7769585</v>
      </c>
      <c r="E3078">
        <f>VLOOKUP(C3078,'All Districts'!$B$3:$C$874,2,FALSE)</f>
        <v>3614010</v>
      </c>
      <c r="F3078" s="91">
        <f>COUNTIF($E$2:$E$7106,E3078)</f>
        <v>9</v>
      </c>
    </row>
    <row r="3079" spans="1:6" x14ac:dyDescent="0.2">
      <c r="A3079">
        <v>2019</v>
      </c>
      <c r="B3079" s="36">
        <v>2225</v>
      </c>
      <c r="C3079" s="90" t="str">
        <f>VLOOKUP(B3079,'All Districts'!$A$3:$B$874,2,FALSE)</f>
        <v>Haverstraw-Stony Point (North Rockland)</v>
      </c>
      <c r="D3079" s="40">
        <v>8632863</v>
      </c>
      <c r="E3079">
        <f>VLOOKUP(C3079,'All Districts'!$B$3:$C$874,2,FALSE)</f>
        <v>3614010</v>
      </c>
      <c r="F3079" s="91">
        <f>COUNTIF($E$2:$E$7106,E3079)</f>
        <v>9</v>
      </c>
    </row>
    <row r="3080" spans="1:6" x14ac:dyDescent="0.2">
      <c r="A3080">
        <v>2020</v>
      </c>
      <c r="B3080" s="36">
        <v>2225</v>
      </c>
      <c r="C3080" s="90" t="str">
        <f>VLOOKUP(B3080,'All Districts'!$A$3:$B$874,2,FALSE)</f>
        <v>Haverstraw-Stony Point (North Rockland)</v>
      </c>
      <c r="D3080" s="40">
        <v>7364500</v>
      </c>
      <c r="E3080">
        <f>VLOOKUP(C3080,'All Districts'!$B$3:$C$874,2,FALSE)</f>
        <v>3614010</v>
      </c>
      <c r="F3080" s="91">
        <f>COUNTIF($E$2:$E$7106,E3080)</f>
        <v>9</v>
      </c>
    </row>
    <row r="3081" spans="1:6" x14ac:dyDescent="0.2">
      <c r="A3081" s="10">
        <v>2021</v>
      </c>
      <c r="B3081" s="52">
        <v>2225</v>
      </c>
      <c r="C3081" s="90" t="str">
        <f>VLOOKUP(B3081,'All Districts'!$A$3:$B$874,2,FALSE)</f>
        <v>Haverstraw-Stony Point (North Rockland)</v>
      </c>
      <c r="D3081" s="75">
        <v>8119565</v>
      </c>
      <c r="E3081">
        <f>VLOOKUP(C3081,'All Districts'!$B$3:$C$874,2,FALSE)</f>
        <v>3614010</v>
      </c>
      <c r="F3081" s="91">
        <f>COUNTIF($E$2:$E$7106,E3081)</f>
        <v>9</v>
      </c>
    </row>
    <row r="3082" spans="1:6" x14ac:dyDescent="0.2">
      <c r="A3082">
        <v>2022</v>
      </c>
      <c r="B3082" s="36">
        <v>2225</v>
      </c>
      <c r="C3082" s="90" t="str">
        <f>VLOOKUP(B3082,'All Districts'!$A$3:$B$874,2,FALSE)</f>
        <v>Haverstraw-Stony Point (North Rockland)</v>
      </c>
      <c r="D3082" s="82">
        <v>9181324</v>
      </c>
      <c r="E3082">
        <f>VLOOKUP(C3082,'All Districts'!$B$3:$C$874,2,FALSE)</f>
        <v>3614010</v>
      </c>
      <c r="F3082" s="91">
        <f>COUNTIF($E$2:$E$7106,E3082)</f>
        <v>9</v>
      </c>
    </row>
    <row r="3083" spans="1:6" x14ac:dyDescent="0.2">
      <c r="A3083">
        <v>2023</v>
      </c>
      <c r="B3083" s="36">
        <v>2225</v>
      </c>
      <c r="C3083" s="90" t="str">
        <f>VLOOKUP(B3083,'All Districts'!$A$3:$B$874,2,FALSE)</f>
        <v>Haverstraw-Stony Point (North Rockland)</v>
      </c>
      <c r="D3083" s="40">
        <v>10194649</v>
      </c>
      <c r="E3083">
        <f>VLOOKUP(C3083,'All Districts'!$B$3:$C$874,2,FALSE)</f>
        <v>3614010</v>
      </c>
      <c r="F3083" s="91">
        <f>COUNTIF($E$2:$E$7106,E3083)</f>
        <v>9</v>
      </c>
    </row>
    <row r="3084" spans="1:6" x14ac:dyDescent="0.2">
      <c r="A3084">
        <v>2015</v>
      </c>
      <c r="B3084" s="13">
        <v>5813</v>
      </c>
      <c r="C3084" s="90" t="str">
        <f>VLOOKUP(B3084,'All Districts'!$A$3:$B$874,2,FALSE)</f>
        <v>Hawthorne-Cedar Knolls</v>
      </c>
      <c r="D3084" s="15">
        <v>1167712</v>
      </c>
      <c r="E3084">
        <f>VLOOKUP(C3084,'All Districts'!$B$3:$C$874,2,FALSE)</f>
        <v>3614070</v>
      </c>
      <c r="F3084" s="91">
        <f>COUNTIF($E$2:$E$7106,E3084)</f>
        <v>9</v>
      </c>
    </row>
    <row r="3085" spans="1:6" x14ac:dyDescent="0.2">
      <c r="A3085">
        <v>2016</v>
      </c>
      <c r="B3085" s="13">
        <v>5813</v>
      </c>
      <c r="C3085" s="90" t="str">
        <f>VLOOKUP(B3085,'All Districts'!$A$3:$B$874,2,FALSE)</f>
        <v>Hawthorne-Cedar Knolls</v>
      </c>
      <c r="D3085" s="16">
        <v>859982</v>
      </c>
      <c r="E3085">
        <f>VLOOKUP(C3085,'All Districts'!$B$3:$C$874,2,FALSE)</f>
        <v>3614070</v>
      </c>
      <c r="F3085" s="91">
        <f>COUNTIF($E$2:$E$7106,E3085)</f>
        <v>9</v>
      </c>
    </row>
    <row r="3086" spans="1:6" x14ac:dyDescent="0.2">
      <c r="A3086">
        <v>2017</v>
      </c>
      <c r="B3086" s="13">
        <v>5813</v>
      </c>
      <c r="C3086" s="90" t="str">
        <f>VLOOKUP(B3086,'All Districts'!$A$3:$B$874,2,FALSE)</f>
        <v>Hawthorne-Cedar Knolls</v>
      </c>
      <c r="D3086" s="16">
        <v>778845</v>
      </c>
      <c r="E3086">
        <f>VLOOKUP(C3086,'All Districts'!$B$3:$C$874,2,FALSE)</f>
        <v>3614070</v>
      </c>
      <c r="F3086" s="91">
        <f>COUNTIF($E$2:$E$7106,E3086)</f>
        <v>9</v>
      </c>
    </row>
    <row r="3087" spans="1:6" x14ac:dyDescent="0.2">
      <c r="A3087" s="10">
        <v>2018</v>
      </c>
      <c r="B3087" s="13">
        <v>5813</v>
      </c>
      <c r="C3087" s="90" t="str">
        <f>VLOOKUP(B3087,'All Districts'!$A$3:$B$874,2,FALSE)</f>
        <v>Hawthorne-Cedar Knolls</v>
      </c>
      <c r="D3087" s="15">
        <v>653430</v>
      </c>
      <c r="E3087">
        <f>VLOOKUP(C3087,'All Districts'!$B$3:$C$874,2,FALSE)</f>
        <v>3614070</v>
      </c>
      <c r="F3087" s="91">
        <f>COUNTIF($E$2:$E$7106,E3087)</f>
        <v>9</v>
      </c>
    </row>
    <row r="3088" spans="1:6" x14ac:dyDescent="0.2">
      <c r="A3088">
        <v>2019</v>
      </c>
      <c r="B3088" s="36">
        <v>5813</v>
      </c>
      <c r="C3088" s="90" t="str">
        <f>VLOOKUP(B3088,'All Districts'!$A$3:$B$874,2,FALSE)</f>
        <v>Hawthorne-Cedar Knolls</v>
      </c>
      <c r="D3088" s="40">
        <v>649176</v>
      </c>
      <c r="E3088">
        <f>VLOOKUP(C3088,'All Districts'!$B$3:$C$874,2,FALSE)</f>
        <v>3614070</v>
      </c>
      <c r="F3088" s="91">
        <f>COUNTIF($E$2:$E$7106,E3088)</f>
        <v>9</v>
      </c>
    </row>
    <row r="3089" spans="1:6" x14ac:dyDescent="0.2">
      <c r="A3089">
        <v>2020</v>
      </c>
      <c r="B3089" s="36">
        <v>5813</v>
      </c>
      <c r="C3089" s="90" t="str">
        <f>VLOOKUP(B3089,'All Districts'!$A$3:$B$874,2,FALSE)</f>
        <v>Hawthorne-Cedar Knolls</v>
      </c>
      <c r="D3089" s="40">
        <v>532145</v>
      </c>
      <c r="E3089">
        <f>VLOOKUP(C3089,'All Districts'!$B$3:$C$874,2,FALSE)</f>
        <v>3614070</v>
      </c>
      <c r="F3089" s="91">
        <f>COUNTIF($E$2:$E$7106,E3089)</f>
        <v>9</v>
      </c>
    </row>
    <row r="3090" spans="1:6" x14ac:dyDescent="0.2">
      <c r="A3090" s="10">
        <v>2021</v>
      </c>
      <c r="B3090" s="52">
        <v>5813</v>
      </c>
      <c r="C3090" s="90" t="str">
        <f>VLOOKUP(B3090,'All Districts'!$A$3:$B$874,2,FALSE)</f>
        <v>Hawthorne-Cedar Knolls</v>
      </c>
      <c r="D3090" s="76">
        <v>530021</v>
      </c>
      <c r="E3090">
        <f>VLOOKUP(C3090,'All Districts'!$B$3:$C$874,2,FALSE)</f>
        <v>3614070</v>
      </c>
      <c r="F3090" s="91">
        <f>COUNTIF($E$2:$E$7106,E3090)</f>
        <v>9</v>
      </c>
    </row>
    <row r="3091" spans="1:6" x14ac:dyDescent="0.2">
      <c r="A3091">
        <v>2022</v>
      </c>
      <c r="B3091" s="36">
        <v>5813</v>
      </c>
      <c r="C3091" s="90" t="str">
        <f>VLOOKUP(B3091,'All Districts'!$A$3:$B$874,2,FALSE)</f>
        <v>Hawthorne-Cedar Knolls</v>
      </c>
      <c r="D3091" s="82">
        <v>413310</v>
      </c>
      <c r="E3091">
        <f>VLOOKUP(C3091,'All Districts'!$B$3:$C$874,2,FALSE)</f>
        <v>3614070</v>
      </c>
      <c r="F3091" s="91">
        <f>COUNTIF($E$2:$E$7106,E3091)</f>
        <v>9</v>
      </c>
    </row>
    <row r="3092" spans="1:6" x14ac:dyDescent="0.2">
      <c r="A3092">
        <v>2023</v>
      </c>
      <c r="B3092" s="36">
        <v>5813</v>
      </c>
      <c r="C3092" s="90" t="str">
        <f>VLOOKUP(B3092,'All Districts'!$A$3:$B$874,2,FALSE)</f>
        <v>Hawthorne-Cedar Knolls</v>
      </c>
      <c r="D3092" s="40">
        <v>458728</v>
      </c>
      <c r="E3092">
        <f>VLOOKUP(C3092,'All Districts'!$B$3:$C$874,2,FALSE)</f>
        <v>3614070</v>
      </c>
      <c r="F3092" s="91">
        <f>COUNTIF($E$2:$E$7106,E3092)</f>
        <v>9</v>
      </c>
    </row>
    <row r="3093" spans="1:6" x14ac:dyDescent="0.2">
      <c r="A3093">
        <v>2015</v>
      </c>
      <c r="B3093" s="13">
        <v>2230</v>
      </c>
      <c r="C3093" s="90" t="str">
        <f>VLOOKUP(B3093,'All Districts'!$A$3:$B$874,2,FALSE)</f>
        <v>Hempstead</v>
      </c>
      <c r="D3093" s="14">
        <v>11426886</v>
      </c>
      <c r="E3093">
        <f>VLOOKUP(C3093,'All Districts'!$B$3:$C$874,2,FALSE)</f>
        <v>3614130</v>
      </c>
      <c r="F3093" s="91">
        <f>COUNTIF($E$2:$E$7106,E3093)</f>
        <v>9</v>
      </c>
    </row>
    <row r="3094" spans="1:6" x14ac:dyDescent="0.2">
      <c r="A3094">
        <v>2016</v>
      </c>
      <c r="B3094" s="13">
        <v>2230</v>
      </c>
      <c r="C3094" s="90" t="str">
        <f>VLOOKUP(B3094,'All Districts'!$A$3:$B$874,2,FALSE)</f>
        <v>Hempstead</v>
      </c>
      <c r="D3094" s="16">
        <v>8282801</v>
      </c>
      <c r="E3094">
        <f>VLOOKUP(C3094,'All Districts'!$B$3:$C$874,2,FALSE)</f>
        <v>3614130</v>
      </c>
      <c r="F3094" s="91">
        <f>COUNTIF($E$2:$E$7106,E3094)</f>
        <v>9</v>
      </c>
    </row>
    <row r="3095" spans="1:6" x14ac:dyDescent="0.2">
      <c r="A3095">
        <v>2017</v>
      </c>
      <c r="B3095" s="13">
        <v>2230</v>
      </c>
      <c r="C3095" s="90" t="str">
        <f>VLOOKUP(B3095,'All Districts'!$A$3:$B$874,2,FALSE)</f>
        <v>Hempstead</v>
      </c>
      <c r="D3095" s="16">
        <v>7307296</v>
      </c>
      <c r="E3095">
        <f>VLOOKUP(C3095,'All Districts'!$B$3:$C$874,2,FALSE)</f>
        <v>3614130</v>
      </c>
      <c r="F3095" s="91">
        <f>COUNTIF($E$2:$E$7106,E3095)</f>
        <v>9</v>
      </c>
    </row>
    <row r="3096" spans="1:6" x14ac:dyDescent="0.2">
      <c r="A3096" s="10">
        <v>2018</v>
      </c>
      <c r="B3096" s="13">
        <v>2230</v>
      </c>
      <c r="C3096" s="90" t="str">
        <f>VLOOKUP(B3096,'All Districts'!$A$3:$B$874,2,FALSE)</f>
        <v>Hempstead</v>
      </c>
      <c r="D3096" s="15">
        <v>6443207</v>
      </c>
      <c r="E3096">
        <f>VLOOKUP(C3096,'All Districts'!$B$3:$C$874,2,FALSE)</f>
        <v>3614130</v>
      </c>
      <c r="F3096" s="91">
        <f>COUNTIF($E$2:$E$7106,E3096)</f>
        <v>9</v>
      </c>
    </row>
    <row r="3097" spans="1:6" x14ac:dyDescent="0.2">
      <c r="A3097">
        <v>2019</v>
      </c>
      <c r="B3097" s="36">
        <v>2230</v>
      </c>
      <c r="C3097" s="90" t="str">
        <f>VLOOKUP(B3097,'All Districts'!$A$3:$B$874,2,FALSE)</f>
        <v>Hempstead</v>
      </c>
      <c r="D3097" s="40">
        <v>7237074</v>
      </c>
      <c r="E3097">
        <f>VLOOKUP(C3097,'All Districts'!$B$3:$C$874,2,FALSE)</f>
        <v>3614130</v>
      </c>
      <c r="F3097" s="91">
        <f>COUNTIF($E$2:$E$7106,E3097)</f>
        <v>9</v>
      </c>
    </row>
    <row r="3098" spans="1:6" x14ac:dyDescent="0.2">
      <c r="A3098">
        <v>2020</v>
      </c>
      <c r="B3098" s="36">
        <v>2230</v>
      </c>
      <c r="C3098" s="90" t="str">
        <f>VLOOKUP(B3098,'All Districts'!$A$3:$B$874,2,FALSE)</f>
        <v>Hempstead</v>
      </c>
      <c r="D3098" s="40">
        <v>5770119</v>
      </c>
      <c r="E3098">
        <f>VLOOKUP(C3098,'All Districts'!$B$3:$C$874,2,FALSE)</f>
        <v>3614130</v>
      </c>
      <c r="F3098" s="91">
        <f>COUNTIF($E$2:$E$7106,E3098)</f>
        <v>9</v>
      </c>
    </row>
    <row r="3099" spans="1:6" x14ac:dyDescent="0.2">
      <c r="A3099" s="10">
        <v>2021</v>
      </c>
      <c r="B3099" s="55">
        <v>2230</v>
      </c>
      <c r="C3099" s="90" t="str">
        <f>VLOOKUP(B3099,'All Districts'!$A$3:$B$874,2,FALSE)</f>
        <v>Hempstead</v>
      </c>
      <c r="D3099" s="76">
        <v>5776409</v>
      </c>
      <c r="E3099">
        <f>VLOOKUP(C3099,'All Districts'!$B$3:$C$874,2,FALSE)</f>
        <v>3614130</v>
      </c>
      <c r="F3099" s="91">
        <f>COUNTIF($E$2:$E$7106,E3099)</f>
        <v>9</v>
      </c>
    </row>
    <row r="3100" spans="1:6" x14ac:dyDescent="0.2">
      <c r="A3100">
        <v>2022</v>
      </c>
      <c r="B3100" s="36">
        <v>2230</v>
      </c>
      <c r="C3100" s="90" t="str">
        <f>VLOOKUP(B3100,'All Districts'!$A$3:$B$874,2,FALSE)</f>
        <v>Hempstead</v>
      </c>
      <c r="D3100" s="82">
        <v>6302427</v>
      </c>
      <c r="E3100">
        <f>VLOOKUP(C3100,'All Districts'!$B$3:$C$874,2,FALSE)</f>
        <v>3614130</v>
      </c>
      <c r="F3100" s="91">
        <f>COUNTIF($E$2:$E$7106,E3100)</f>
        <v>9</v>
      </c>
    </row>
    <row r="3101" spans="1:6" x14ac:dyDescent="0.2">
      <c r="A3101">
        <v>2023</v>
      </c>
      <c r="B3101" s="36">
        <v>2230</v>
      </c>
      <c r="C3101" s="90" t="str">
        <f>VLOOKUP(B3101,'All Districts'!$A$3:$B$874,2,FALSE)</f>
        <v>Hempstead</v>
      </c>
      <c r="D3101" s="40">
        <v>7008668</v>
      </c>
      <c r="E3101">
        <f>VLOOKUP(C3101,'All Districts'!$B$3:$C$874,2,FALSE)</f>
        <v>3614130</v>
      </c>
      <c r="F3101" s="91">
        <f>COUNTIF($E$2:$E$7106,E3101)</f>
        <v>9</v>
      </c>
    </row>
    <row r="3102" spans="1:6" x14ac:dyDescent="0.2">
      <c r="A3102">
        <v>2015</v>
      </c>
      <c r="B3102" s="13">
        <v>2231</v>
      </c>
      <c r="C3102" s="90" t="str">
        <f>VLOOKUP(B3102,'All Districts'!$A$3:$B$874,2,FALSE)</f>
        <v>Hendrick Hudson</v>
      </c>
      <c r="D3102" s="14">
        <v>5274894</v>
      </c>
      <c r="E3102">
        <f>VLOOKUP(C3102,'All Districts'!$B$3:$C$874,2,FALSE)</f>
        <v>3614190</v>
      </c>
      <c r="F3102" s="91">
        <f>COUNTIF($E$2:$E$7106,E3102)</f>
        <v>9</v>
      </c>
    </row>
    <row r="3103" spans="1:6" x14ac:dyDescent="0.2">
      <c r="A3103">
        <v>2016</v>
      </c>
      <c r="B3103" s="13">
        <v>2231</v>
      </c>
      <c r="C3103" s="90" t="str">
        <f>VLOOKUP(B3103,'All Districts'!$A$3:$B$874,2,FALSE)</f>
        <v>Hendrick Hudson</v>
      </c>
      <c r="D3103" s="16">
        <v>3995018</v>
      </c>
      <c r="E3103">
        <f>VLOOKUP(C3103,'All Districts'!$B$3:$C$874,2,FALSE)</f>
        <v>3614190</v>
      </c>
      <c r="F3103" s="91">
        <f>COUNTIF($E$2:$E$7106,E3103)</f>
        <v>9</v>
      </c>
    </row>
    <row r="3104" spans="1:6" x14ac:dyDescent="0.2">
      <c r="A3104">
        <v>2017</v>
      </c>
      <c r="B3104" s="13">
        <v>2231</v>
      </c>
      <c r="C3104" s="90" t="str">
        <f>VLOOKUP(B3104,'All Districts'!$A$3:$B$874,2,FALSE)</f>
        <v>Hendrick Hudson</v>
      </c>
      <c r="D3104" s="16">
        <v>3689869</v>
      </c>
      <c r="E3104">
        <f>VLOOKUP(C3104,'All Districts'!$B$3:$C$874,2,FALSE)</f>
        <v>3614190</v>
      </c>
      <c r="F3104" s="91">
        <f>COUNTIF($E$2:$E$7106,E3104)</f>
        <v>9</v>
      </c>
    </row>
    <row r="3105" spans="1:6" x14ac:dyDescent="0.2">
      <c r="A3105" s="10">
        <v>2018</v>
      </c>
      <c r="B3105" s="13">
        <v>2231</v>
      </c>
      <c r="C3105" s="90" t="str">
        <f>VLOOKUP(B3105,'All Districts'!$A$3:$B$874,2,FALSE)</f>
        <v>Hendrick Hudson</v>
      </c>
      <c r="D3105" s="15">
        <v>3135763</v>
      </c>
      <c r="E3105">
        <f>VLOOKUP(C3105,'All Districts'!$B$3:$C$874,2,FALSE)</f>
        <v>3614190</v>
      </c>
      <c r="F3105" s="91">
        <f>COUNTIF($E$2:$E$7106,E3105)</f>
        <v>9</v>
      </c>
    </row>
    <row r="3106" spans="1:6" x14ac:dyDescent="0.2">
      <c r="A3106">
        <v>2019</v>
      </c>
      <c r="B3106" s="36">
        <v>2231</v>
      </c>
      <c r="C3106" s="90" t="str">
        <f>VLOOKUP(B3106,'All Districts'!$A$3:$B$874,2,FALSE)</f>
        <v>Hendrick Hudson</v>
      </c>
      <c r="D3106" s="40">
        <v>3476193</v>
      </c>
      <c r="E3106">
        <f>VLOOKUP(C3106,'All Districts'!$B$3:$C$874,2,FALSE)</f>
        <v>3614190</v>
      </c>
      <c r="F3106" s="91">
        <f>COUNTIF($E$2:$E$7106,E3106)</f>
        <v>9</v>
      </c>
    </row>
    <row r="3107" spans="1:6" x14ac:dyDescent="0.2">
      <c r="A3107">
        <v>2020</v>
      </c>
      <c r="B3107" s="36">
        <v>2231</v>
      </c>
      <c r="C3107" s="90" t="str">
        <f>VLOOKUP(B3107,'All Districts'!$A$3:$B$874,2,FALSE)</f>
        <v>Hendrick Hudson</v>
      </c>
      <c r="D3107" s="40">
        <v>2880747</v>
      </c>
      <c r="E3107">
        <f>VLOOKUP(C3107,'All Districts'!$B$3:$C$874,2,FALSE)</f>
        <v>3614190</v>
      </c>
      <c r="F3107" s="91">
        <f>COUNTIF($E$2:$E$7106,E3107)</f>
        <v>9</v>
      </c>
    </row>
    <row r="3108" spans="1:6" x14ac:dyDescent="0.2">
      <c r="A3108" s="10">
        <v>2021</v>
      </c>
      <c r="B3108" s="52">
        <v>2231</v>
      </c>
      <c r="C3108" s="90" t="str">
        <f>VLOOKUP(B3108,'All Districts'!$A$3:$B$874,2,FALSE)</f>
        <v>Hendrick Hudson</v>
      </c>
      <c r="D3108" s="75">
        <v>3076212</v>
      </c>
      <c r="E3108">
        <f>VLOOKUP(C3108,'All Districts'!$B$3:$C$874,2,FALSE)</f>
        <v>3614190</v>
      </c>
      <c r="F3108" s="91">
        <f>COUNTIF($E$2:$E$7106,E3108)</f>
        <v>9</v>
      </c>
    </row>
    <row r="3109" spans="1:6" x14ac:dyDescent="0.2">
      <c r="A3109">
        <v>2022</v>
      </c>
      <c r="B3109" s="36">
        <v>2231</v>
      </c>
      <c r="C3109" s="90" t="str">
        <f>VLOOKUP(B3109,'All Districts'!$A$3:$B$874,2,FALSE)</f>
        <v>Hendrick Hudson</v>
      </c>
      <c r="D3109" s="82">
        <v>3351280</v>
      </c>
      <c r="E3109">
        <f>VLOOKUP(C3109,'All Districts'!$B$3:$C$874,2,FALSE)</f>
        <v>3614190</v>
      </c>
      <c r="F3109" s="91">
        <f>COUNTIF($E$2:$E$7106,E3109)</f>
        <v>9</v>
      </c>
    </row>
    <row r="3110" spans="1:6" x14ac:dyDescent="0.2">
      <c r="A3110">
        <v>2023</v>
      </c>
      <c r="B3110" s="36">
        <v>2231</v>
      </c>
      <c r="C3110" s="90" t="str">
        <f>VLOOKUP(B3110,'All Districts'!$A$3:$B$874,2,FALSE)</f>
        <v>Hendrick Hudson</v>
      </c>
      <c r="D3110" s="40">
        <v>3543574</v>
      </c>
      <c r="E3110">
        <f>VLOOKUP(C3110,'All Districts'!$B$3:$C$874,2,FALSE)</f>
        <v>3614190</v>
      </c>
      <c r="F3110" s="91">
        <f>COUNTIF($E$2:$E$7106,E3110)</f>
        <v>9</v>
      </c>
    </row>
    <row r="3111" spans="1:6" x14ac:dyDescent="0.2">
      <c r="A3111">
        <v>2015</v>
      </c>
      <c r="B3111" s="13">
        <v>2235</v>
      </c>
      <c r="C3111" s="90" t="str">
        <f>VLOOKUP(B3111,'All Districts'!$A$3:$B$874,2,FALSE)</f>
        <v>Herkimer</v>
      </c>
      <c r="D3111" s="14">
        <v>1047745</v>
      </c>
      <c r="E3111">
        <f>VLOOKUP(C3111,'All Districts'!$B$3:$C$874,2,FALSE)</f>
        <v>3614220</v>
      </c>
      <c r="F3111" s="91">
        <f>COUNTIF($E$2:$E$7106,E3111)</f>
        <v>9</v>
      </c>
    </row>
    <row r="3112" spans="1:6" x14ac:dyDescent="0.2">
      <c r="A3112">
        <v>2016</v>
      </c>
      <c r="B3112" s="13">
        <v>2235</v>
      </c>
      <c r="C3112" s="90" t="str">
        <f>VLOOKUP(B3112,'All Districts'!$A$3:$B$874,2,FALSE)</f>
        <v>Herkimer</v>
      </c>
      <c r="D3112" s="16">
        <v>814102</v>
      </c>
      <c r="E3112">
        <f>VLOOKUP(C3112,'All Districts'!$B$3:$C$874,2,FALSE)</f>
        <v>3614220</v>
      </c>
      <c r="F3112" s="91">
        <f>COUNTIF($E$2:$E$7106,E3112)</f>
        <v>9</v>
      </c>
    </row>
    <row r="3113" spans="1:6" x14ac:dyDescent="0.2">
      <c r="A3113">
        <v>2017</v>
      </c>
      <c r="B3113" s="13">
        <v>2235</v>
      </c>
      <c r="C3113" s="90" t="str">
        <f>VLOOKUP(B3113,'All Districts'!$A$3:$B$874,2,FALSE)</f>
        <v>Herkimer</v>
      </c>
      <c r="D3113" s="16">
        <v>732693</v>
      </c>
      <c r="E3113">
        <f>VLOOKUP(C3113,'All Districts'!$B$3:$C$874,2,FALSE)</f>
        <v>3614220</v>
      </c>
      <c r="F3113" s="91">
        <f>COUNTIF($E$2:$E$7106,E3113)</f>
        <v>9</v>
      </c>
    </row>
    <row r="3114" spans="1:6" x14ac:dyDescent="0.2">
      <c r="A3114" s="10">
        <v>2018</v>
      </c>
      <c r="B3114" s="13">
        <v>2235</v>
      </c>
      <c r="C3114" s="90" t="str">
        <f>VLOOKUP(B3114,'All Districts'!$A$3:$B$874,2,FALSE)</f>
        <v>Herkimer</v>
      </c>
      <c r="D3114" s="15">
        <v>682602</v>
      </c>
      <c r="E3114">
        <f>VLOOKUP(C3114,'All Districts'!$B$3:$C$874,2,FALSE)</f>
        <v>3614220</v>
      </c>
      <c r="F3114" s="91">
        <f>COUNTIF($E$2:$E$7106,E3114)</f>
        <v>9</v>
      </c>
    </row>
    <row r="3115" spans="1:6" x14ac:dyDescent="0.2">
      <c r="A3115">
        <v>2019</v>
      </c>
      <c r="B3115" s="36">
        <v>2235</v>
      </c>
      <c r="C3115" s="90" t="str">
        <f>VLOOKUP(B3115,'All Districts'!$A$3:$B$874,2,FALSE)</f>
        <v>Herkimer</v>
      </c>
      <c r="D3115" s="40">
        <v>747754</v>
      </c>
      <c r="E3115">
        <f>VLOOKUP(C3115,'All Districts'!$B$3:$C$874,2,FALSE)</f>
        <v>3614220</v>
      </c>
      <c r="F3115" s="91">
        <f>COUNTIF($E$2:$E$7106,E3115)</f>
        <v>9</v>
      </c>
    </row>
    <row r="3116" spans="1:6" x14ac:dyDescent="0.2">
      <c r="A3116">
        <v>2020</v>
      </c>
      <c r="B3116" s="36">
        <v>2235</v>
      </c>
      <c r="C3116" s="90" t="str">
        <f>VLOOKUP(B3116,'All Districts'!$A$3:$B$874,2,FALSE)</f>
        <v>Herkimer</v>
      </c>
      <c r="D3116" s="40">
        <v>633817</v>
      </c>
      <c r="E3116">
        <f>VLOOKUP(C3116,'All Districts'!$B$3:$C$874,2,FALSE)</f>
        <v>3614220</v>
      </c>
      <c r="F3116" s="91">
        <f>COUNTIF($E$2:$E$7106,E3116)</f>
        <v>9</v>
      </c>
    </row>
    <row r="3117" spans="1:6" x14ac:dyDescent="0.2">
      <c r="A3117" s="10">
        <v>2021</v>
      </c>
      <c r="B3117" s="52">
        <v>2235</v>
      </c>
      <c r="C3117" s="90" t="str">
        <f>VLOOKUP(B3117,'All Districts'!$A$3:$B$874,2,FALSE)</f>
        <v>Herkimer</v>
      </c>
      <c r="D3117" s="75">
        <v>649532</v>
      </c>
      <c r="E3117">
        <f>VLOOKUP(C3117,'All Districts'!$B$3:$C$874,2,FALSE)</f>
        <v>3614220</v>
      </c>
      <c r="F3117" s="91">
        <f>COUNTIF($E$2:$E$7106,E3117)</f>
        <v>9</v>
      </c>
    </row>
    <row r="3118" spans="1:6" x14ac:dyDescent="0.2">
      <c r="A3118">
        <v>2022</v>
      </c>
      <c r="B3118" s="36">
        <v>2235</v>
      </c>
      <c r="C3118" s="90" t="str">
        <f>VLOOKUP(B3118,'All Districts'!$A$3:$B$874,2,FALSE)</f>
        <v>Herkimer</v>
      </c>
      <c r="D3118" s="82">
        <v>796939</v>
      </c>
      <c r="E3118">
        <f>VLOOKUP(C3118,'All Districts'!$B$3:$C$874,2,FALSE)</f>
        <v>3614220</v>
      </c>
      <c r="F3118" s="91">
        <f>COUNTIF($E$2:$E$7106,E3118)</f>
        <v>9</v>
      </c>
    </row>
    <row r="3119" spans="1:6" x14ac:dyDescent="0.2">
      <c r="A3119">
        <v>2023</v>
      </c>
      <c r="B3119" s="36">
        <v>2235</v>
      </c>
      <c r="C3119" s="90" t="str">
        <f>VLOOKUP(B3119,'All Districts'!$A$3:$B$874,2,FALSE)</f>
        <v>Herkimer</v>
      </c>
      <c r="D3119" s="40">
        <v>824042</v>
      </c>
      <c r="E3119">
        <f>VLOOKUP(C3119,'All Districts'!$B$3:$C$874,2,FALSE)</f>
        <v>3614220</v>
      </c>
      <c r="F3119" s="91">
        <f>COUNTIF($E$2:$E$7106,E3119)</f>
        <v>9</v>
      </c>
    </row>
    <row r="3120" spans="1:6" x14ac:dyDescent="0.2">
      <c r="A3120">
        <v>2015</v>
      </c>
      <c r="B3120" s="13">
        <v>6042</v>
      </c>
      <c r="C3120" s="90" t="str">
        <f>VLOOKUP(B3120,'All Districts'!$A$3:$B$874,2,FALSE)</f>
        <v>Herkimer-Fulton-Hamilton-Otsego</v>
      </c>
      <c r="D3120" s="15">
        <v>1423412</v>
      </c>
      <c r="E3120">
        <f>VLOOKUP(C3120,'All Districts'!$B$3:$C$874,2,FALSE)</f>
        <v>3680420</v>
      </c>
      <c r="F3120" s="91">
        <f>COUNTIF($E$2:$E$7106,E3120)</f>
        <v>9</v>
      </c>
    </row>
    <row r="3121" spans="1:6" x14ac:dyDescent="0.2">
      <c r="A3121">
        <v>2016</v>
      </c>
      <c r="B3121" s="13">
        <v>6042</v>
      </c>
      <c r="C3121" s="90" t="str">
        <f>VLOOKUP(B3121,'All Districts'!$A$3:$B$874,2,FALSE)</f>
        <v>Herkimer-Fulton-Hamilton-Otsego</v>
      </c>
      <c r="D3121" s="16">
        <v>1098638</v>
      </c>
      <c r="E3121">
        <f>VLOOKUP(C3121,'All Districts'!$B$3:$C$874,2,FALSE)</f>
        <v>3680420</v>
      </c>
      <c r="F3121" s="91">
        <f>COUNTIF($E$2:$E$7106,E3121)</f>
        <v>9</v>
      </c>
    </row>
    <row r="3122" spans="1:6" x14ac:dyDescent="0.2">
      <c r="A3122">
        <v>2017</v>
      </c>
      <c r="B3122" s="13">
        <v>6042</v>
      </c>
      <c r="C3122" s="90" t="str">
        <f>VLOOKUP(B3122,'All Districts'!$A$3:$B$874,2,FALSE)</f>
        <v>Herkimer-Fulton-Hamilton-Otsego</v>
      </c>
      <c r="D3122" s="16">
        <v>1023700</v>
      </c>
      <c r="E3122">
        <f>VLOOKUP(C3122,'All Districts'!$B$3:$C$874,2,FALSE)</f>
        <v>3680420</v>
      </c>
      <c r="F3122" s="91">
        <f>COUNTIF($E$2:$E$7106,E3122)</f>
        <v>9</v>
      </c>
    </row>
    <row r="3123" spans="1:6" x14ac:dyDescent="0.2">
      <c r="A3123" s="10">
        <v>2018</v>
      </c>
      <c r="B3123" s="13">
        <v>6042</v>
      </c>
      <c r="C3123" s="90" t="str">
        <f>VLOOKUP(B3123,'All Districts'!$A$3:$B$874,2,FALSE)</f>
        <v>Herkimer-Fulton-Hamilton-Otsego</v>
      </c>
      <c r="D3123" s="15">
        <v>888781</v>
      </c>
      <c r="E3123">
        <f>VLOOKUP(C3123,'All Districts'!$B$3:$C$874,2,FALSE)</f>
        <v>3680420</v>
      </c>
      <c r="F3123" s="91">
        <f>COUNTIF($E$2:$E$7106,E3123)</f>
        <v>9</v>
      </c>
    </row>
    <row r="3124" spans="1:6" x14ac:dyDescent="0.2">
      <c r="A3124">
        <v>2019</v>
      </c>
      <c r="B3124" s="36">
        <v>6042</v>
      </c>
      <c r="C3124" s="90" t="str">
        <f>VLOOKUP(B3124,'All Districts'!$A$3:$B$874,2,FALSE)</f>
        <v>Herkimer-Fulton-Hamilton-Otsego</v>
      </c>
      <c r="D3124" s="40">
        <v>1012811</v>
      </c>
      <c r="E3124">
        <f>VLOOKUP(C3124,'All Districts'!$B$3:$C$874,2,FALSE)</f>
        <v>3680420</v>
      </c>
      <c r="F3124" s="91">
        <f>COUNTIF($E$2:$E$7106,E3124)</f>
        <v>9</v>
      </c>
    </row>
    <row r="3125" spans="1:6" x14ac:dyDescent="0.2">
      <c r="A3125">
        <v>2020</v>
      </c>
      <c r="B3125" s="36">
        <v>6042</v>
      </c>
      <c r="C3125" s="90" t="str">
        <f>VLOOKUP(B3125,'All Districts'!$A$3:$B$874,2,FALSE)</f>
        <v>Herkimer-Fulton-Hamilton-Otsego</v>
      </c>
      <c r="D3125" s="40">
        <v>867869</v>
      </c>
      <c r="E3125">
        <f>VLOOKUP(C3125,'All Districts'!$B$3:$C$874,2,FALSE)</f>
        <v>3680420</v>
      </c>
      <c r="F3125" s="91">
        <f>COUNTIF($E$2:$E$7106,E3125)</f>
        <v>9</v>
      </c>
    </row>
    <row r="3126" spans="1:6" x14ac:dyDescent="0.2">
      <c r="A3126" s="10">
        <v>2021</v>
      </c>
      <c r="B3126" s="55">
        <v>6042</v>
      </c>
      <c r="C3126" s="90" t="str">
        <f>VLOOKUP(B3126,'All Districts'!$A$3:$B$874,2,FALSE)</f>
        <v>Herkimer-Fulton-Hamilton-Otsego</v>
      </c>
      <c r="D3126" s="76">
        <v>957586</v>
      </c>
      <c r="E3126">
        <f>VLOOKUP(C3126,'All Districts'!$B$3:$C$874,2,FALSE)</f>
        <v>3680420</v>
      </c>
      <c r="F3126" s="91">
        <f>COUNTIF($E$2:$E$7106,E3126)</f>
        <v>9</v>
      </c>
    </row>
    <row r="3127" spans="1:6" x14ac:dyDescent="0.2">
      <c r="A3127">
        <v>2022</v>
      </c>
      <c r="B3127" s="36">
        <v>6042</v>
      </c>
      <c r="C3127" s="90" t="str">
        <f>VLOOKUP(B3127,'All Districts'!$A$3:$B$874,2,FALSE)</f>
        <v>Herkimer-Fulton-Hamilton-Otsego</v>
      </c>
      <c r="D3127" s="82">
        <v>982616</v>
      </c>
      <c r="E3127">
        <f>VLOOKUP(C3127,'All Districts'!$B$3:$C$874,2,FALSE)</f>
        <v>3680420</v>
      </c>
      <c r="F3127" s="91">
        <f>COUNTIF($E$2:$E$7106,E3127)</f>
        <v>9</v>
      </c>
    </row>
    <row r="3128" spans="1:6" x14ac:dyDescent="0.2">
      <c r="A3128">
        <v>2023</v>
      </c>
      <c r="B3128" s="36">
        <v>6042</v>
      </c>
      <c r="C3128" s="90" t="str">
        <f>VLOOKUP(B3128,'All Districts'!$A$3:$B$874,2,FALSE)</f>
        <v>Herkimer-Fulton-Hamilton-Otsego</v>
      </c>
      <c r="D3128" s="40">
        <v>1040431</v>
      </c>
      <c r="E3128">
        <f>VLOOKUP(C3128,'All Districts'!$B$3:$C$874,2,FALSE)</f>
        <v>3680420</v>
      </c>
      <c r="F3128" s="91">
        <f>COUNTIF($E$2:$E$7106,E3128)</f>
        <v>9</v>
      </c>
    </row>
    <row r="3129" spans="1:6" x14ac:dyDescent="0.2">
      <c r="A3129">
        <v>2015</v>
      </c>
      <c r="B3129" s="13">
        <v>4978</v>
      </c>
      <c r="C3129" s="90" t="str">
        <f>VLOOKUP(B3129,'All Districts'!$A$3:$B$874,2,FALSE)</f>
        <v>Hermon-Dekalb</v>
      </c>
      <c r="D3129" s="14">
        <v>429632</v>
      </c>
      <c r="E3129">
        <f>VLOOKUP(C3129,'All Districts'!$B$3:$C$874,2,FALSE)</f>
        <v>3614250</v>
      </c>
      <c r="F3129" s="91">
        <f>COUNTIF($E$2:$E$7106,E3129)</f>
        <v>9</v>
      </c>
    </row>
    <row r="3130" spans="1:6" x14ac:dyDescent="0.2">
      <c r="A3130">
        <v>2016</v>
      </c>
      <c r="B3130" s="13">
        <v>4978</v>
      </c>
      <c r="C3130" s="90" t="str">
        <f>VLOOKUP(B3130,'All Districts'!$A$3:$B$874,2,FALSE)</f>
        <v>Hermon-Dekalb</v>
      </c>
      <c r="D3130" s="16">
        <v>340643</v>
      </c>
      <c r="E3130">
        <f>VLOOKUP(C3130,'All Districts'!$B$3:$C$874,2,FALSE)</f>
        <v>3614250</v>
      </c>
      <c r="F3130" s="91">
        <f>COUNTIF($E$2:$E$7106,E3130)</f>
        <v>9</v>
      </c>
    </row>
    <row r="3131" spans="1:6" x14ac:dyDescent="0.2">
      <c r="A3131">
        <v>2017</v>
      </c>
      <c r="B3131" s="13">
        <v>4978</v>
      </c>
      <c r="C3131" s="90" t="str">
        <f>VLOOKUP(B3131,'All Districts'!$A$3:$B$874,2,FALSE)</f>
        <v>Hermon-Dekalb</v>
      </c>
      <c r="D3131" s="16">
        <v>312483</v>
      </c>
      <c r="E3131">
        <f>VLOOKUP(C3131,'All Districts'!$B$3:$C$874,2,FALSE)</f>
        <v>3614250</v>
      </c>
      <c r="F3131" s="91">
        <f>COUNTIF($E$2:$E$7106,E3131)</f>
        <v>9</v>
      </c>
    </row>
    <row r="3132" spans="1:6" x14ac:dyDescent="0.2">
      <c r="A3132" s="10">
        <v>2018</v>
      </c>
      <c r="B3132" s="13">
        <v>4978</v>
      </c>
      <c r="C3132" s="90" t="str">
        <f>VLOOKUP(B3132,'All Districts'!$A$3:$B$874,2,FALSE)</f>
        <v>Hermon-Dekalb</v>
      </c>
      <c r="D3132" s="15">
        <v>282829</v>
      </c>
      <c r="E3132">
        <f>VLOOKUP(C3132,'All Districts'!$B$3:$C$874,2,FALSE)</f>
        <v>3614250</v>
      </c>
      <c r="F3132" s="91">
        <f>COUNTIF($E$2:$E$7106,E3132)</f>
        <v>9</v>
      </c>
    </row>
    <row r="3133" spans="1:6" x14ac:dyDescent="0.2">
      <c r="A3133">
        <v>2019</v>
      </c>
      <c r="B3133" s="36">
        <v>4978</v>
      </c>
      <c r="C3133" s="90" t="str">
        <f>VLOOKUP(B3133,'All Districts'!$A$3:$B$874,2,FALSE)</f>
        <v>Hermon-Dekalb</v>
      </c>
      <c r="D3133" s="40">
        <v>310152</v>
      </c>
      <c r="E3133">
        <f>VLOOKUP(C3133,'All Districts'!$B$3:$C$874,2,FALSE)</f>
        <v>3614250</v>
      </c>
      <c r="F3133" s="91">
        <f>COUNTIF($E$2:$E$7106,E3133)</f>
        <v>9</v>
      </c>
    </row>
    <row r="3134" spans="1:6" x14ac:dyDescent="0.2">
      <c r="A3134">
        <v>2020</v>
      </c>
      <c r="B3134" s="36">
        <v>4978</v>
      </c>
      <c r="C3134" s="90" t="str">
        <f>VLOOKUP(B3134,'All Districts'!$A$3:$B$874,2,FALSE)</f>
        <v>Hermon-Dekalb</v>
      </c>
      <c r="D3134" s="40">
        <v>271887</v>
      </c>
      <c r="E3134">
        <f>VLOOKUP(C3134,'All Districts'!$B$3:$C$874,2,FALSE)</f>
        <v>3614250</v>
      </c>
      <c r="F3134" s="91">
        <f>COUNTIF($E$2:$E$7106,E3134)</f>
        <v>9</v>
      </c>
    </row>
    <row r="3135" spans="1:6" x14ac:dyDescent="0.2">
      <c r="A3135" s="10">
        <v>2021</v>
      </c>
      <c r="B3135" s="52">
        <v>4978</v>
      </c>
      <c r="C3135" s="90" t="str">
        <f>VLOOKUP(B3135,'All Districts'!$A$3:$B$874,2,FALSE)</f>
        <v>Hermon-Dekalb</v>
      </c>
      <c r="D3135" s="76">
        <v>301994</v>
      </c>
      <c r="E3135">
        <f>VLOOKUP(C3135,'All Districts'!$B$3:$C$874,2,FALSE)</f>
        <v>3614250</v>
      </c>
      <c r="F3135" s="91">
        <f>COUNTIF($E$2:$E$7106,E3135)</f>
        <v>9</v>
      </c>
    </row>
    <row r="3136" spans="1:6" x14ac:dyDescent="0.2">
      <c r="A3136">
        <v>2022</v>
      </c>
      <c r="B3136" s="36">
        <v>4978</v>
      </c>
      <c r="C3136" s="90" t="str">
        <f>VLOOKUP(B3136,'All Districts'!$A$3:$B$874,2,FALSE)</f>
        <v>Hermon-Dekalb</v>
      </c>
      <c r="D3136" s="82">
        <v>327698</v>
      </c>
      <c r="E3136">
        <f>VLOOKUP(C3136,'All Districts'!$B$3:$C$874,2,FALSE)</f>
        <v>3614250</v>
      </c>
      <c r="F3136" s="91">
        <f>COUNTIF($E$2:$E$7106,E3136)</f>
        <v>9</v>
      </c>
    </row>
    <row r="3137" spans="1:6" x14ac:dyDescent="0.2">
      <c r="A3137">
        <v>2023</v>
      </c>
      <c r="B3137" s="36">
        <v>4978</v>
      </c>
      <c r="C3137" s="90" t="str">
        <f>VLOOKUP(B3137,'All Districts'!$A$3:$B$874,2,FALSE)</f>
        <v>Hermon-Dekalb</v>
      </c>
      <c r="D3137" s="40">
        <v>362324</v>
      </c>
      <c r="E3137">
        <f>VLOOKUP(C3137,'All Districts'!$B$3:$C$874,2,FALSE)</f>
        <v>3614250</v>
      </c>
      <c r="F3137" s="91">
        <f>COUNTIF($E$2:$E$7106,E3137)</f>
        <v>9</v>
      </c>
    </row>
    <row r="3138" spans="1:6" x14ac:dyDescent="0.2">
      <c r="A3138">
        <v>2015</v>
      </c>
      <c r="B3138" s="13">
        <v>2402</v>
      </c>
      <c r="C3138" s="90" t="str">
        <f>VLOOKUP(B3138,'All Districts'!$A$3:$B$874,2,FALSE)</f>
        <v>Herricks</v>
      </c>
      <c r="D3138" s="14">
        <v>8389776</v>
      </c>
      <c r="E3138">
        <f>VLOOKUP(C3138,'All Districts'!$B$3:$C$874,2,FALSE)</f>
        <v>3614280</v>
      </c>
      <c r="F3138" s="91">
        <f>COUNTIF($E$2:$E$7106,E3138)</f>
        <v>9</v>
      </c>
    </row>
    <row r="3139" spans="1:6" x14ac:dyDescent="0.2">
      <c r="A3139">
        <v>2016</v>
      </c>
      <c r="B3139" s="13">
        <v>2402</v>
      </c>
      <c r="C3139" s="90" t="str">
        <f>VLOOKUP(B3139,'All Districts'!$A$3:$B$874,2,FALSE)</f>
        <v>Herricks</v>
      </c>
      <c r="D3139" s="16">
        <v>6631403</v>
      </c>
      <c r="E3139">
        <f>VLOOKUP(C3139,'All Districts'!$B$3:$C$874,2,FALSE)</f>
        <v>3614280</v>
      </c>
      <c r="F3139" s="91">
        <f>COUNTIF($E$2:$E$7106,E3139)</f>
        <v>9</v>
      </c>
    </row>
    <row r="3140" spans="1:6" x14ac:dyDescent="0.2">
      <c r="A3140">
        <v>2017</v>
      </c>
      <c r="B3140" s="13">
        <v>2402</v>
      </c>
      <c r="C3140" s="90" t="str">
        <f>VLOOKUP(B3140,'All Districts'!$A$3:$B$874,2,FALSE)</f>
        <v>Herricks</v>
      </c>
      <c r="D3140" s="16">
        <v>5940971</v>
      </c>
      <c r="E3140">
        <f>VLOOKUP(C3140,'All Districts'!$B$3:$C$874,2,FALSE)</f>
        <v>3614280</v>
      </c>
      <c r="F3140" s="91">
        <f>COUNTIF($E$2:$E$7106,E3140)</f>
        <v>9</v>
      </c>
    </row>
    <row r="3141" spans="1:6" x14ac:dyDescent="0.2">
      <c r="A3141" s="10">
        <v>2018</v>
      </c>
      <c r="B3141" s="13">
        <v>2402</v>
      </c>
      <c r="C3141" s="90" t="str">
        <f>VLOOKUP(B3141,'All Districts'!$A$3:$B$874,2,FALSE)</f>
        <v>Herricks</v>
      </c>
      <c r="D3141" s="15">
        <v>5051024</v>
      </c>
      <c r="E3141">
        <f>VLOOKUP(C3141,'All Districts'!$B$3:$C$874,2,FALSE)</f>
        <v>3614280</v>
      </c>
      <c r="F3141" s="91">
        <f>COUNTIF($E$2:$E$7106,E3141)</f>
        <v>9</v>
      </c>
    </row>
    <row r="3142" spans="1:6" x14ac:dyDescent="0.2">
      <c r="A3142">
        <v>2019</v>
      </c>
      <c r="B3142" s="36">
        <v>2402</v>
      </c>
      <c r="C3142" s="90" t="str">
        <f>VLOOKUP(B3142,'All Districts'!$A$3:$B$874,2,FALSE)</f>
        <v>Herricks</v>
      </c>
      <c r="D3142" s="40">
        <v>5581280</v>
      </c>
      <c r="E3142">
        <f>VLOOKUP(C3142,'All Districts'!$B$3:$C$874,2,FALSE)</f>
        <v>3614280</v>
      </c>
      <c r="F3142" s="91">
        <f>COUNTIF($E$2:$E$7106,E3142)</f>
        <v>9</v>
      </c>
    </row>
    <row r="3143" spans="1:6" x14ac:dyDescent="0.2">
      <c r="A3143">
        <v>2020</v>
      </c>
      <c r="B3143" s="36">
        <v>2402</v>
      </c>
      <c r="C3143" s="90" t="str">
        <f>VLOOKUP(B3143,'All Districts'!$A$3:$B$874,2,FALSE)</f>
        <v>Herricks</v>
      </c>
      <c r="D3143" s="40">
        <v>4776045</v>
      </c>
      <c r="E3143">
        <f>VLOOKUP(C3143,'All Districts'!$B$3:$C$874,2,FALSE)</f>
        <v>3614280</v>
      </c>
      <c r="F3143" s="91">
        <f>COUNTIF($E$2:$E$7106,E3143)</f>
        <v>9</v>
      </c>
    </row>
    <row r="3144" spans="1:6" x14ac:dyDescent="0.2">
      <c r="A3144" s="10">
        <v>2021</v>
      </c>
      <c r="B3144" s="55">
        <v>2402</v>
      </c>
      <c r="C3144" s="90" t="str">
        <f>VLOOKUP(B3144,'All Districts'!$A$3:$B$874,2,FALSE)</f>
        <v>Herricks</v>
      </c>
      <c r="D3144" s="75">
        <v>5412359</v>
      </c>
      <c r="E3144">
        <f>VLOOKUP(C3144,'All Districts'!$B$3:$C$874,2,FALSE)</f>
        <v>3614280</v>
      </c>
      <c r="F3144" s="91">
        <f>COUNTIF($E$2:$E$7106,E3144)</f>
        <v>9</v>
      </c>
    </row>
    <row r="3145" spans="1:6" x14ac:dyDescent="0.2">
      <c r="A3145">
        <v>2022</v>
      </c>
      <c r="B3145" s="36">
        <v>2402</v>
      </c>
      <c r="C3145" s="90" t="str">
        <f>VLOOKUP(B3145,'All Districts'!$A$3:$B$874,2,FALSE)</f>
        <v>Herricks</v>
      </c>
      <c r="D3145" s="82">
        <v>5608678</v>
      </c>
      <c r="E3145">
        <f>VLOOKUP(C3145,'All Districts'!$B$3:$C$874,2,FALSE)</f>
        <v>3614280</v>
      </c>
      <c r="F3145" s="91">
        <f>COUNTIF($E$2:$E$7106,E3145)</f>
        <v>9</v>
      </c>
    </row>
    <row r="3146" spans="1:6" x14ac:dyDescent="0.2">
      <c r="A3146">
        <v>2023</v>
      </c>
      <c r="B3146" s="36">
        <v>2402</v>
      </c>
      <c r="C3146" s="90" t="str">
        <f>VLOOKUP(B3146,'All Districts'!$A$3:$B$874,2,FALSE)</f>
        <v>Herricks</v>
      </c>
      <c r="D3146" s="40">
        <v>5983936</v>
      </c>
      <c r="E3146">
        <f>VLOOKUP(C3146,'All Districts'!$B$3:$C$874,2,FALSE)</f>
        <v>3614280</v>
      </c>
      <c r="F3146" s="91">
        <f>COUNTIF($E$2:$E$7106,E3146)</f>
        <v>9</v>
      </c>
    </row>
    <row r="3147" spans="1:6" x14ac:dyDescent="0.2">
      <c r="A3147">
        <v>2015</v>
      </c>
      <c r="B3147" s="13">
        <v>4982</v>
      </c>
      <c r="C3147" s="90" t="str">
        <f>VLOOKUP(B3147,'All Districts'!$A$3:$B$874,2,FALSE)</f>
        <v>Heuvelton</v>
      </c>
      <c r="D3147" s="14">
        <v>582865</v>
      </c>
      <c r="E3147">
        <f>VLOOKUP(C3147,'All Districts'!$B$3:$C$874,2,FALSE)</f>
        <v>3614310</v>
      </c>
      <c r="F3147" s="91">
        <f>COUNTIF($E$2:$E$7106,E3147)</f>
        <v>9</v>
      </c>
    </row>
    <row r="3148" spans="1:6" x14ac:dyDescent="0.2">
      <c r="A3148">
        <v>2016</v>
      </c>
      <c r="B3148" s="13">
        <v>4982</v>
      </c>
      <c r="C3148" s="90" t="str">
        <f>VLOOKUP(B3148,'All Districts'!$A$3:$B$874,2,FALSE)</f>
        <v>Heuvelton</v>
      </c>
      <c r="D3148" s="16">
        <v>456358</v>
      </c>
      <c r="E3148">
        <f>VLOOKUP(C3148,'All Districts'!$B$3:$C$874,2,FALSE)</f>
        <v>3614310</v>
      </c>
      <c r="F3148" s="91">
        <f>COUNTIF($E$2:$E$7106,E3148)</f>
        <v>9</v>
      </c>
    </row>
    <row r="3149" spans="1:6" x14ac:dyDescent="0.2">
      <c r="A3149">
        <v>2017</v>
      </c>
      <c r="B3149" s="13">
        <v>4982</v>
      </c>
      <c r="C3149" s="90" t="str">
        <f>VLOOKUP(B3149,'All Districts'!$A$3:$B$874,2,FALSE)</f>
        <v>Heuvelton</v>
      </c>
      <c r="D3149" s="16">
        <v>428182</v>
      </c>
      <c r="E3149">
        <f>VLOOKUP(C3149,'All Districts'!$B$3:$C$874,2,FALSE)</f>
        <v>3614310</v>
      </c>
      <c r="F3149" s="91">
        <f>COUNTIF($E$2:$E$7106,E3149)</f>
        <v>9</v>
      </c>
    </row>
    <row r="3150" spans="1:6" x14ac:dyDescent="0.2">
      <c r="A3150" s="10">
        <v>2018</v>
      </c>
      <c r="B3150" s="13">
        <v>4982</v>
      </c>
      <c r="C3150" s="90" t="str">
        <f>VLOOKUP(B3150,'All Districts'!$A$3:$B$874,2,FALSE)</f>
        <v>Heuvelton</v>
      </c>
      <c r="D3150" s="15">
        <v>366185</v>
      </c>
      <c r="E3150">
        <f>VLOOKUP(C3150,'All Districts'!$B$3:$C$874,2,FALSE)</f>
        <v>3614310</v>
      </c>
      <c r="F3150" s="91">
        <f>COUNTIF($E$2:$E$7106,E3150)</f>
        <v>9</v>
      </c>
    </row>
    <row r="3151" spans="1:6" x14ac:dyDescent="0.2">
      <c r="A3151">
        <v>2019</v>
      </c>
      <c r="B3151" s="36">
        <v>4982</v>
      </c>
      <c r="C3151" s="90" t="str">
        <f>VLOOKUP(B3151,'All Districts'!$A$3:$B$874,2,FALSE)</f>
        <v>Heuvelton</v>
      </c>
      <c r="D3151" s="40">
        <v>404107</v>
      </c>
      <c r="E3151">
        <f>VLOOKUP(C3151,'All Districts'!$B$3:$C$874,2,FALSE)</f>
        <v>3614310</v>
      </c>
      <c r="F3151" s="91">
        <f>COUNTIF($E$2:$E$7106,E3151)</f>
        <v>9</v>
      </c>
    </row>
    <row r="3152" spans="1:6" x14ac:dyDescent="0.2">
      <c r="A3152">
        <v>2020</v>
      </c>
      <c r="B3152" s="36">
        <v>4982</v>
      </c>
      <c r="C3152" s="90" t="str">
        <f>VLOOKUP(B3152,'All Districts'!$A$3:$B$874,2,FALSE)</f>
        <v>Heuvelton</v>
      </c>
      <c r="D3152" s="40">
        <v>341355</v>
      </c>
      <c r="E3152">
        <f>VLOOKUP(C3152,'All Districts'!$B$3:$C$874,2,FALSE)</f>
        <v>3614310</v>
      </c>
      <c r="F3152" s="91">
        <f>COUNTIF($E$2:$E$7106,E3152)</f>
        <v>9</v>
      </c>
    </row>
    <row r="3153" spans="1:6" x14ac:dyDescent="0.2">
      <c r="A3153" s="10">
        <v>2021</v>
      </c>
      <c r="B3153" s="52">
        <v>4982</v>
      </c>
      <c r="C3153" s="90" t="str">
        <f>VLOOKUP(B3153,'All Districts'!$A$3:$B$874,2,FALSE)</f>
        <v>Heuvelton</v>
      </c>
      <c r="D3153" s="75">
        <v>381700</v>
      </c>
      <c r="E3153">
        <f>VLOOKUP(C3153,'All Districts'!$B$3:$C$874,2,FALSE)</f>
        <v>3614310</v>
      </c>
      <c r="F3153" s="91">
        <f>COUNTIF($E$2:$E$7106,E3153)</f>
        <v>9</v>
      </c>
    </row>
    <row r="3154" spans="1:6" x14ac:dyDescent="0.2">
      <c r="A3154">
        <v>2022</v>
      </c>
      <c r="B3154" s="36">
        <v>4982</v>
      </c>
      <c r="C3154" s="90" t="str">
        <f>VLOOKUP(B3154,'All Districts'!$A$3:$B$874,2,FALSE)</f>
        <v>Heuvelton</v>
      </c>
      <c r="D3154" s="82">
        <v>458334</v>
      </c>
      <c r="E3154">
        <f>VLOOKUP(C3154,'All Districts'!$B$3:$C$874,2,FALSE)</f>
        <v>3614310</v>
      </c>
      <c r="F3154" s="91">
        <f>COUNTIF($E$2:$E$7106,E3154)</f>
        <v>9</v>
      </c>
    </row>
    <row r="3155" spans="1:6" x14ac:dyDescent="0.2">
      <c r="A3155">
        <v>2023</v>
      </c>
      <c r="B3155" s="36">
        <v>4982</v>
      </c>
      <c r="C3155" s="90" t="str">
        <f>VLOOKUP(B3155,'All Districts'!$A$3:$B$874,2,FALSE)</f>
        <v>Heuvelton</v>
      </c>
      <c r="D3155" s="40">
        <v>503610</v>
      </c>
      <c r="E3155">
        <f>VLOOKUP(C3155,'All Districts'!$B$3:$C$874,2,FALSE)</f>
        <v>3614310</v>
      </c>
      <c r="F3155" s="91">
        <f>COUNTIF($E$2:$E$7106,E3155)</f>
        <v>9</v>
      </c>
    </row>
    <row r="3156" spans="1:6" x14ac:dyDescent="0.2">
      <c r="A3156">
        <v>2015</v>
      </c>
      <c r="B3156" s="13">
        <v>2655</v>
      </c>
      <c r="C3156" s="90" t="str">
        <f>VLOOKUP(B3156,'All Districts'!$A$3:$B$874,2,FALSE)</f>
        <v>Hewlett-Woodmere</v>
      </c>
      <c r="D3156" s="14">
        <v>7328591</v>
      </c>
      <c r="E3156">
        <f>VLOOKUP(C3156,'All Districts'!$B$3:$C$874,2,FALSE)</f>
        <v>3631710</v>
      </c>
      <c r="F3156" s="91">
        <f>COUNTIF($E$2:$E$7106,E3156)</f>
        <v>9</v>
      </c>
    </row>
    <row r="3157" spans="1:6" x14ac:dyDescent="0.2">
      <c r="A3157">
        <v>2016</v>
      </c>
      <c r="B3157" s="13">
        <v>2655</v>
      </c>
      <c r="C3157" s="90" t="str">
        <f>VLOOKUP(B3157,'All Districts'!$A$3:$B$874,2,FALSE)</f>
        <v>Hewlett-Woodmere</v>
      </c>
      <c r="D3157" s="16">
        <v>5757858</v>
      </c>
      <c r="E3157">
        <f>VLOOKUP(C3157,'All Districts'!$B$3:$C$874,2,FALSE)</f>
        <v>3631710</v>
      </c>
      <c r="F3157" s="91">
        <f>COUNTIF($E$2:$E$7106,E3157)</f>
        <v>9</v>
      </c>
    </row>
    <row r="3158" spans="1:6" x14ac:dyDescent="0.2">
      <c r="A3158">
        <v>2017</v>
      </c>
      <c r="B3158" s="13">
        <v>2655</v>
      </c>
      <c r="C3158" s="90" t="str">
        <f>VLOOKUP(B3158,'All Districts'!$A$3:$B$874,2,FALSE)</f>
        <v>Hewlett-Woodmere</v>
      </c>
      <c r="D3158" s="16">
        <v>5231254</v>
      </c>
      <c r="E3158">
        <f>VLOOKUP(C3158,'All Districts'!$B$3:$C$874,2,FALSE)</f>
        <v>3631710</v>
      </c>
      <c r="F3158" s="91">
        <f>COUNTIF($E$2:$E$7106,E3158)</f>
        <v>9</v>
      </c>
    </row>
    <row r="3159" spans="1:6" x14ac:dyDescent="0.2">
      <c r="A3159" s="10">
        <v>2018</v>
      </c>
      <c r="B3159" s="13">
        <v>2655</v>
      </c>
      <c r="C3159" s="90" t="str">
        <f>VLOOKUP(B3159,'All Districts'!$A$3:$B$874,2,FALSE)</f>
        <v>Hewlett-Woodmere</v>
      </c>
      <c r="D3159" s="15">
        <v>4579691</v>
      </c>
      <c r="E3159">
        <f>VLOOKUP(C3159,'All Districts'!$B$3:$C$874,2,FALSE)</f>
        <v>3631710</v>
      </c>
      <c r="F3159" s="91">
        <f>COUNTIF($E$2:$E$7106,E3159)</f>
        <v>9</v>
      </c>
    </row>
    <row r="3160" spans="1:6" x14ac:dyDescent="0.2">
      <c r="A3160">
        <v>2019</v>
      </c>
      <c r="B3160" s="36">
        <v>2655</v>
      </c>
      <c r="C3160" s="90" t="str">
        <f>VLOOKUP(B3160,'All Districts'!$A$3:$B$874,2,FALSE)</f>
        <v>Hewlett-Woodmere</v>
      </c>
      <c r="D3160" s="40">
        <v>5085292</v>
      </c>
      <c r="E3160">
        <f>VLOOKUP(C3160,'All Districts'!$B$3:$C$874,2,FALSE)</f>
        <v>3631710</v>
      </c>
      <c r="F3160" s="91">
        <f>COUNTIF($E$2:$E$7106,E3160)</f>
        <v>9</v>
      </c>
    </row>
    <row r="3161" spans="1:6" x14ac:dyDescent="0.2">
      <c r="A3161">
        <v>2020</v>
      </c>
      <c r="B3161" s="36">
        <v>2655</v>
      </c>
      <c r="C3161" s="90" t="str">
        <f>VLOOKUP(B3161,'All Districts'!$A$3:$B$874,2,FALSE)</f>
        <v>Hewlett-Woodmere</v>
      </c>
      <c r="D3161" s="40">
        <v>4291533</v>
      </c>
      <c r="E3161">
        <f>VLOOKUP(C3161,'All Districts'!$B$3:$C$874,2,FALSE)</f>
        <v>3631710</v>
      </c>
      <c r="F3161" s="91">
        <f>COUNTIF($E$2:$E$7106,E3161)</f>
        <v>9</v>
      </c>
    </row>
    <row r="3162" spans="1:6" x14ac:dyDescent="0.2">
      <c r="A3162" s="10">
        <v>2021</v>
      </c>
      <c r="B3162" s="52">
        <v>2655</v>
      </c>
      <c r="C3162" s="90" t="str">
        <f>VLOOKUP(B3162,'All Districts'!$A$3:$B$874,2,FALSE)</f>
        <v>Hewlett-Woodmere</v>
      </c>
      <c r="D3162" s="75">
        <v>4721683</v>
      </c>
      <c r="E3162">
        <f>VLOOKUP(C3162,'All Districts'!$B$3:$C$874,2,FALSE)</f>
        <v>3631710</v>
      </c>
      <c r="F3162" s="91">
        <f>COUNTIF($E$2:$E$7106,E3162)</f>
        <v>9</v>
      </c>
    </row>
    <row r="3163" spans="1:6" x14ac:dyDescent="0.2">
      <c r="A3163">
        <v>2022</v>
      </c>
      <c r="B3163" s="36">
        <v>2655</v>
      </c>
      <c r="C3163" s="90" t="str">
        <f>VLOOKUP(B3163,'All Districts'!$A$3:$B$874,2,FALSE)</f>
        <v>Hewlett-Woodmere</v>
      </c>
      <c r="D3163" s="82">
        <v>4918228</v>
      </c>
      <c r="E3163">
        <f>VLOOKUP(C3163,'All Districts'!$B$3:$C$874,2,FALSE)</f>
        <v>3631710</v>
      </c>
      <c r="F3163" s="91">
        <f>COUNTIF($E$2:$E$7106,E3163)</f>
        <v>9</v>
      </c>
    </row>
    <row r="3164" spans="1:6" x14ac:dyDescent="0.2">
      <c r="A3164">
        <v>2023</v>
      </c>
      <c r="B3164" s="36">
        <v>2655</v>
      </c>
      <c r="C3164" s="90" t="str">
        <f>VLOOKUP(B3164,'All Districts'!$A$3:$B$874,2,FALSE)</f>
        <v>Hewlett-Woodmere</v>
      </c>
      <c r="D3164" s="40">
        <v>5204536</v>
      </c>
      <c r="E3164">
        <f>VLOOKUP(C3164,'All Districts'!$B$3:$C$874,2,FALSE)</f>
        <v>3631710</v>
      </c>
      <c r="F3164" s="91">
        <f>COUNTIF($E$2:$E$7106,E3164)</f>
        <v>9</v>
      </c>
    </row>
    <row r="3165" spans="1:6" x14ac:dyDescent="0.2">
      <c r="A3165">
        <v>2015</v>
      </c>
      <c r="B3165" s="13">
        <v>2240</v>
      </c>
      <c r="C3165" s="90" t="str">
        <f>VLOOKUP(B3165,'All Districts'!$A$3:$B$874,2,FALSE)</f>
        <v>Hicksville</v>
      </c>
      <c r="D3165" s="14">
        <v>9199946</v>
      </c>
      <c r="E3165">
        <f>VLOOKUP(C3165,'All Districts'!$B$3:$C$874,2,FALSE)</f>
        <v>3614340</v>
      </c>
      <c r="F3165" s="91">
        <f>COUNTIF($E$2:$E$7106,E3165)</f>
        <v>9</v>
      </c>
    </row>
    <row r="3166" spans="1:6" x14ac:dyDescent="0.2">
      <c r="A3166">
        <v>2016</v>
      </c>
      <c r="B3166" s="13">
        <v>2240</v>
      </c>
      <c r="C3166" s="90" t="str">
        <f>VLOOKUP(B3166,'All Districts'!$A$3:$B$874,2,FALSE)</f>
        <v>Hicksville</v>
      </c>
      <c r="D3166" s="16">
        <v>6990941</v>
      </c>
      <c r="E3166">
        <f>VLOOKUP(C3166,'All Districts'!$B$3:$C$874,2,FALSE)</f>
        <v>3614340</v>
      </c>
      <c r="F3166" s="91">
        <f>COUNTIF($E$2:$E$7106,E3166)</f>
        <v>9</v>
      </c>
    </row>
    <row r="3167" spans="1:6" x14ac:dyDescent="0.2">
      <c r="A3167">
        <v>2017</v>
      </c>
      <c r="B3167" s="13">
        <v>2240</v>
      </c>
      <c r="C3167" s="90" t="str">
        <f>VLOOKUP(B3167,'All Districts'!$A$3:$B$874,2,FALSE)</f>
        <v>Hicksville</v>
      </c>
      <c r="D3167" s="16">
        <v>6267704</v>
      </c>
      <c r="E3167">
        <f>VLOOKUP(C3167,'All Districts'!$B$3:$C$874,2,FALSE)</f>
        <v>3614340</v>
      </c>
      <c r="F3167" s="91">
        <f>COUNTIF($E$2:$E$7106,E3167)</f>
        <v>9</v>
      </c>
    </row>
    <row r="3168" spans="1:6" x14ac:dyDescent="0.2">
      <c r="A3168" s="10">
        <v>2018</v>
      </c>
      <c r="B3168" s="13">
        <v>2240</v>
      </c>
      <c r="C3168" s="90" t="str">
        <f>VLOOKUP(B3168,'All Districts'!$A$3:$B$874,2,FALSE)</f>
        <v>Hicksville</v>
      </c>
      <c r="D3168" s="15">
        <v>5486484</v>
      </c>
      <c r="E3168">
        <f>VLOOKUP(C3168,'All Districts'!$B$3:$C$874,2,FALSE)</f>
        <v>3614340</v>
      </c>
      <c r="F3168" s="91">
        <f>COUNTIF($E$2:$E$7106,E3168)</f>
        <v>9</v>
      </c>
    </row>
    <row r="3169" spans="1:6" x14ac:dyDescent="0.2">
      <c r="A3169">
        <v>2019</v>
      </c>
      <c r="B3169" s="36">
        <v>2240</v>
      </c>
      <c r="C3169" s="90" t="str">
        <f>VLOOKUP(B3169,'All Districts'!$A$3:$B$874,2,FALSE)</f>
        <v>Hicksville</v>
      </c>
      <c r="D3169" s="40">
        <v>6191583</v>
      </c>
      <c r="E3169">
        <f>VLOOKUP(C3169,'All Districts'!$B$3:$C$874,2,FALSE)</f>
        <v>3614340</v>
      </c>
      <c r="F3169" s="91">
        <f>COUNTIF($E$2:$E$7106,E3169)</f>
        <v>9</v>
      </c>
    </row>
    <row r="3170" spans="1:6" x14ac:dyDescent="0.2">
      <c r="A3170">
        <v>2020</v>
      </c>
      <c r="B3170" s="36">
        <v>2240</v>
      </c>
      <c r="C3170" s="90" t="str">
        <f>VLOOKUP(B3170,'All Districts'!$A$3:$B$874,2,FALSE)</f>
        <v>Hicksville</v>
      </c>
      <c r="D3170" s="40">
        <v>5358425</v>
      </c>
      <c r="E3170">
        <f>VLOOKUP(C3170,'All Districts'!$B$3:$C$874,2,FALSE)</f>
        <v>3614340</v>
      </c>
      <c r="F3170" s="91">
        <f>COUNTIF($E$2:$E$7106,E3170)</f>
        <v>9</v>
      </c>
    </row>
    <row r="3171" spans="1:6" x14ac:dyDescent="0.2">
      <c r="A3171" s="10">
        <v>2021</v>
      </c>
      <c r="B3171" s="55">
        <v>2240</v>
      </c>
      <c r="C3171" s="90" t="str">
        <f>VLOOKUP(B3171,'All Districts'!$A$3:$B$874,2,FALSE)</f>
        <v>Hicksville</v>
      </c>
      <c r="D3171" s="76">
        <v>5878214</v>
      </c>
      <c r="E3171">
        <f>VLOOKUP(C3171,'All Districts'!$B$3:$C$874,2,FALSE)</f>
        <v>3614340</v>
      </c>
      <c r="F3171" s="91">
        <f>COUNTIF($E$2:$E$7106,E3171)</f>
        <v>9</v>
      </c>
    </row>
    <row r="3172" spans="1:6" x14ac:dyDescent="0.2">
      <c r="A3172">
        <v>2022</v>
      </c>
      <c r="B3172" s="36">
        <v>2240</v>
      </c>
      <c r="C3172" s="90" t="str">
        <f>VLOOKUP(B3172,'All Districts'!$A$3:$B$874,2,FALSE)</f>
        <v>Hicksville</v>
      </c>
      <c r="D3172" s="82">
        <v>6409961</v>
      </c>
      <c r="E3172">
        <f>VLOOKUP(C3172,'All Districts'!$B$3:$C$874,2,FALSE)</f>
        <v>3614340</v>
      </c>
      <c r="F3172" s="91">
        <f>COUNTIF($E$2:$E$7106,E3172)</f>
        <v>9</v>
      </c>
    </row>
    <row r="3173" spans="1:6" x14ac:dyDescent="0.2">
      <c r="A3173">
        <v>2023</v>
      </c>
      <c r="B3173" s="36">
        <v>2240</v>
      </c>
      <c r="C3173" s="90" t="str">
        <f>VLOOKUP(B3173,'All Districts'!$A$3:$B$874,2,FALSE)</f>
        <v>Hicksville</v>
      </c>
      <c r="D3173" s="40">
        <v>7274248</v>
      </c>
      <c r="E3173">
        <f>VLOOKUP(C3173,'All Districts'!$B$3:$C$874,2,FALSE)</f>
        <v>3614340</v>
      </c>
      <c r="F3173" s="91">
        <f>COUNTIF($E$2:$E$7106,E3173)</f>
        <v>9</v>
      </c>
    </row>
    <row r="3174" spans="1:6" x14ac:dyDescent="0.2">
      <c r="A3174">
        <v>2015</v>
      </c>
      <c r="B3174" s="13">
        <v>5601</v>
      </c>
      <c r="C3174" s="90" t="str">
        <f>VLOOKUP(B3174,'All Districts'!$A$3:$B$874,2,FALSE)</f>
        <v>Highland</v>
      </c>
      <c r="D3174" s="14">
        <v>2382782</v>
      </c>
      <c r="E3174">
        <f>VLOOKUP(C3174,'All Districts'!$B$3:$C$874,2,FALSE)</f>
        <v>3614400</v>
      </c>
      <c r="F3174" s="91">
        <f>COUNTIF($E$2:$E$7106,E3174)</f>
        <v>9</v>
      </c>
    </row>
    <row r="3175" spans="1:6" x14ac:dyDescent="0.2">
      <c r="A3175">
        <v>2016</v>
      </c>
      <c r="B3175" s="13">
        <v>5601</v>
      </c>
      <c r="C3175" s="90" t="str">
        <f>VLOOKUP(B3175,'All Districts'!$A$3:$B$874,2,FALSE)</f>
        <v>Highland</v>
      </c>
      <c r="D3175" s="16">
        <v>1874403</v>
      </c>
      <c r="E3175">
        <f>VLOOKUP(C3175,'All Districts'!$B$3:$C$874,2,FALSE)</f>
        <v>3614400</v>
      </c>
      <c r="F3175" s="91">
        <f>COUNTIF($E$2:$E$7106,E3175)</f>
        <v>9</v>
      </c>
    </row>
    <row r="3176" spans="1:6" x14ac:dyDescent="0.2">
      <c r="A3176">
        <v>2017</v>
      </c>
      <c r="B3176" s="13">
        <v>5601</v>
      </c>
      <c r="C3176" s="90" t="str">
        <f>VLOOKUP(B3176,'All Districts'!$A$3:$B$874,2,FALSE)</f>
        <v>Highland</v>
      </c>
      <c r="D3176" s="16">
        <v>1701526</v>
      </c>
      <c r="E3176">
        <f>VLOOKUP(C3176,'All Districts'!$B$3:$C$874,2,FALSE)</f>
        <v>3614400</v>
      </c>
      <c r="F3176" s="91">
        <f>COUNTIF($E$2:$E$7106,E3176)</f>
        <v>9</v>
      </c>
    </row>
    <row r="3177" spans="1:6" x14ac:dyDescent="0.2">
      <c r="A3177" s="10">
        <v>2018</v>
      </c>
      <c r="B3177" s="13">
        <v>5601</v>
      </c>
      <c r="C3177" s="90" t="str">
        <f>VLOOKUP(B3177,'All Districts'!$A$3:$B$874,2,FALSE)</f>
        <v>Highland</v>
      </c>
      <c r="D3177" s="15">
        <v>1462724</v>
      </c>
      <c r="E3177">
        <f>VLOOKUP(C3177,'All Districts'!$B$3:$C$874,2,FALSE)</f>
        <v>3614400</v>
      </c>
      <c r="F3177" s="91">
        <f>COUNTIF($E$2:$E$7106,E3177)</f>
        <v>9</v>
      </c>
    </row>
    <row r="3178" spans="1:6" x14ac:dyDescent="0.2">
      <c r="A3178">
        <v>2019</v>
      </c>
      <c r="B3178" s="36">
        <v>5601</v>
      </c>
      <c r="C3178" s="90" t="str">
        <f>VLOOKUP(B3178,'All Districts'!$A$3:$B$874,2,FALSE)</f>
        <v>Highland</v>
      </c>
      <c r="D3178" s="40">
        <v>1630616</v>
      </c>
      <c r="E3178">
        <f>VLOOKUP(C3178,'All Districts'!$B$3:$C$874,2,FALSE)</f>
        <v>3614400</v>
      </c>
      <c r="F3178" s="91">
        <f>COUNTIF($E$2:$E$7106,E3178)</f>
        <v>9</v>
      </c>
    </row>
    <row r="3179" spans="1:6" x14ac:dyDescent="0.2">
      <c r="A3179">
        <v>2020</v>
      </c>
      <c r="B3179" s="36">
        <v>5601</v>
      </c>
      <c r="C3179" s="90" t="str">
        <f>VLOOKUP(B3179,'All Districts'!$A$3:$B$874,2,FALSE)</f>
        <v>Highland</v>
      </c>
      <c r="D3179" s="40">
        <v>1371005</v>
      </c>
      <c r="E3179">
        <f>VLOOKUP(C3179,'All Districts'!$B$3:$C$874,2,FALSE)</f>
        <v>3614400</v>
      </c>
      <c r="F3179" s="91">
        <f>COUNTIF($E$2:$E$7106,E3179)</f>
        <v>9</v>
      </c>
    </row>
    <row r="3180" spans="1:6" x14ac:dyDescent="0.2">
      <c r="A3180" s="10">
        <v>2021</v>
      </c>
      <c r="B3180" s="52">
        <v>5601</v>
      </c>
      <c r="C3180" s="90" t="str">
        <f>VLOOKUP(B3180,'All Districts'!$A$3:$B$874,2,FALSE)</f>
        <v>Highland</v>
      </c>
      <c r="D3180" s="75">
        <v>1478760</v>
      </c>
      <c r="E3180">
        <f>VLOOKUP(C3180,'All Districts'!$B$3:$C$874,2,FALSE)</f>
        <v>3614400</v>
      </c>
      <c r="F3180" s="91">
        <f>COUNTIF($E$2:$E$7106,E3180)</f>
        <v>9</v>
      </c>
    </row>
    <row r="3181" spans="1:6" x14ac:dyDescent="0.2">
      <c r="A3181">
        <v>2022</v>
      </c>
      <c r="B3181" s="36">
        <v>5601</v>
      </c>
      <c r="C3181" s="90" t="str">
        <f>VLOOKUP(B3181,'All Districts'!$A$3:$B$874,2,FALSE)</f>
        <v>Highland</v>
      </c>
      <c r="D3181" s="82">
        <v>1610423</v>
      </c>
      <c r="E3181">
        <f>VLOOKUP(C3181,'All Districts'!$B$3:$C$874,2,FALSE)</f>
        <v>3614400</v>
      </c>
      <c r="F3181" s="91">
        <f>COUNTIF($E$2:$E$7106,E3181)</f>
        <v>9</v>
      </c>
    </row>
    <row r="3182" spans="1:6" x14ac:dyDescent="0.2">
      <c r="A3182">
        <v>2023</v>
      </c>
      <c r="B3182" s="36">
        <v>5601</v>
      </c>
      <c r="C3182" s="90" t="str">
        <f>VLOOKUP(B3182,'All Districts'!$A$3:$B$874,2,FALSE)</f>
        <v>Highland</v>
      </c>
      <c r="D3182" s="40">
        <v>1703922</v>
      </c>
      <c r="E3182">
        <f>VLOOKUP(C3182,'All Districts'!$B$3:$C$874,2,FALSE)</f>
        <v>3614400</v>
      </c>
      <c r="F3182" s="91">
        <f>COUNTIF($E$2:$E$7106,E3182)</f>
        <v>9</v>
      </c>
    </row>
    <row r="3183" spans="1:6" x14ac:dyDescent="0.2">
      <c r="A3183">
        <v>2015</v>
      </c>
      <c r="B3183" s="13">
        <v>4604</v>
      </c>
      <c r="C3183" s="90" t="str">
        <f>VLOOKUP(B3183,'All Districts'!$A$3:$B$874,2,FALSE)</f>
        <v>Highland Falls-Fort Montgomery</v>
      </c>
      <c r="D3183" s="14">
        <v>1482969</v>
      </c>
      <c r="E3183">
        <f>VLOOKUP(C3183,'All Districts'!$B$3:$C$874,2,FALSE)</f>
        <v>3614430</v>
      </c>
      <c r="F3183" s="91">
        <f>COUNTIF($E$2:$E$7106,E3183)</f>
        <v>9</v>
      </c>
    </row>
    <row r="3184" spans="1:6" x14ac:dyDescent="0.2">
      <c r="A3184">
        <v>2016</v>
      </c>
      <c r="B3184" s="13">
        <v>4604</v>
      </c>
      <c r="C3184" s="90" t="str">
        <f>VLOOKUP(B3184,'All Districts'!$A$3:$B$874,2,FALSE)</f>
        <v>Highland Falls-Fort Montgomery</v>
      </c>
      <c r="D3184" s="16">
        <v>1205572</v>
      </c>
      <c r="E3184">
        <f>VLOOKUP(C3184,'All Districts'!$B$3:$C$874,2,FALSE)</f>
        <v>3614430</v>
      </c>
      <c r="F3184" s="91">
        <f>COUNTIF($E$2:$E$7106,E3184)</f>
        <v>9</v>
      </c>
    </row>
    <row r="3185" spans="1:6" x14ac:dyDescent="0.2">
      <c r="A3185">
        <v>2017</v>
      </c>
      <c r="B3185" s="13">
        <v>4604</v>
      </c>
      <c r="C3185" s="90" t="str">
        <f>VLOOKUP(B3185,'All Districts'!$A$3:$B$874,2,FALSE)</f>
        <v>Highland Falls-Fort Montgomery</v>
      </c>
      <c r="D3185" s="16">
        <v>1118091</v>
      </c>
      <c r="E3185">
        <f>VLOOKUP(C3185,'All Districts'!$B$3:$C$874,2,FALSE)</f>
        <v>3614430</v>
      </c>
      <c r="F3185" s="91">
        <f>COUNTIF($E$2:$E$7106,E3185)</f>
        <v>9</v>
      </c>
    </row>
    <row r="3186" spans="1:6" x14ac:dyDescent="0.2">
      <c r="A3186" s="10">
        <v>2018</v>
      </c>
      <c r="B3186" s="13">
        <v>4604</v>
      </c>
      <c r="C3186" s="90" t="str">
        <f>VLOOKUP(B3186,'All Districts'!$A$3:$B$874,2,FALSE)</f>
        <v>Highland Falls-Fort Montgomery</v>
      </c>
      <c r="D3186" s="15">
        <v>971640</v>
      </c>
      <c r="E3186">
        <f>VLOOKUP(C3186,'All Districts'!$B$3:$C$874,2,FALSE)</f>
        <v>3614430</v>
      </c>
      <c r="F3186" s="91">
        <f>COUNTIF($E$2:$E$7106,E3186)</f>
        <v>9</v>
      </c>
    </row>
    <row r="3187" spans="1:6" x14ac:dyDescent="0.2">
      <c r="A3187">
        <v>2019</v>
      </c>
      <c r="B3187" s="36">
        <v>4604</v>
      </c>
      <c r="C3187" s="90" t="str">
        <f>VLOOKUP(B3187,'All Districts'!$A$3:$B$874,2,FALSE)</f>
        <v>Highland Falls-Fort Montgomery</v>
      </c>
      <c r="D3187" s="40">
        <v>1063248</v>
      </c>
      <c r="E3187">
        <f>VLOOKUP(C3187,'All Districts'!$B$3:$C$874,2,FALSE)</f>
        <v>3614430</v>
      </c>
      <c r="F3187" s="91">
        <f>COUNTIF($E$2:$E$7106,E3187)</f>
        <v>9</v>
      </c>
    </row>
    <row r="3188" spans="1:6" x14ac:dyDescent="0.2">
      <c r="A3188">
        <v>2020</v>
      </c>
      <c r="B3188" s="36">
        <v>4604</v>
      </c>
      <c r="C3188" s="90" t="str">
        <f>VLOOKUP(B3188,'All Districts'!$A$3:$B$874,2,FALSE)</f>
        <v>Highland Falls-Fort Montgomery</v>
      </c>
      <c r="D3188" s="40">
        <v>919233</v>
      </c>
      <c r="E3188">
        <f>VLOOKUP(C3188,'All Districts'!$B$3:$C$874,2,FALSE)</f>
        <v>3614430</v>
      </c>
      <c r="F3188" s="91">
        <f>COUNTIF($E$2:$E$7106,E3188)</f>
        <v>9</v>
      </c>
    </row>
    <row r="3189" spans="1:6" x14ac:dyDescent="0.2">
      <c r="A3189" s="10">
        <v>2021</v>
      </c>
      <c r="B3189" s="52">
        <v>4604</v>
      </c>
      <c r="C3189" s="90" t="str">
        <f>VLOOKUP(B3189,'All Districts'!$A$3:$B$874,2,FALSE)</f>
        <v>Highland Falls-Fort Montgomery</v>
      </c>
      <c r="D3189" s="75">
        <v>982943</v>
      </c>
      <c r="E3189">
        <f>VLOOKUP(C3189,'All Districts'!$B$3:$C$874,2,FALSE)</f>
        <v>3614430</v>
      </c>
      <c r="F3189" s="91">
        <f>COUNTIF($E$2:$E$7106,E3189)</f>
        <v>9</v>
      </c>
    </row>
    <row r="3190" spans="1:6" x14ac:dyDescent="0.2">
      <c r="A3190">
        <v>2022</v>
      </c>
      <c r="B3190" s="36">
        <v>4604</v>
      </c>
      <c r="C3190" s="90" t="str">
        <f>VLOOKUP(B3190,'All Districts'!$A$3:$B$874,2,FALSE)</f>
        <v>Highland Falls-Fort Montgomery</v>
      </c>
      <c r="D3190" s="82">
        <v>1142825</v>
      </c>
      <c r="E3190">
        <f>VLOOKUP(C3190,'All Districts'!$B$3:$C$874,2,FALSE)</f>
        <v>3614430</v>
      </c>
      <c r="F3190" s="91">
        <f>COUNTIF($E$2:$E$7106,E3190)</f>
        <v>9</v>
      </c>
    </row>
    <row r="3191" spans="1:6" x14ac:dyDescent="0.2">
      <c r="A3191">
        <v>2023</v>
      </c>
      <c r="B3191" s="36">
        <v>4604</v>
      </c>
      <c r="C3191" s="90" t="str">
        <f>VLOOKUP(B3191,'All Districts'!$A$3:$B$874,2,FALSE)</f>
        <v>Highland Falls-Fort Montgomery</v>
      </c>
      <c r="D3191" s="40">
        <v>1236099</v>
      </c>
      <c r="E3191">
        <f>VLOOKUP(C3191,'All Districts'!$B$3:$C$874,2,FALSE)</f>
        <v>3614430</v>
      </c>
      <c r="F3191" s="91">
        <f>COUNTIF($E$2:$E$7106,E3191)</f>
        <v>9</v>
      </c>
    </row>
    <row r="3192" spans="1:6" x14ac:dyDescent="0.2">
      <c r="A3192">
        <v>2015</v>
      </c>
      <c r="B3192" s="13">
        <v>2239</v>
      </c>
      <c r="C3192" s="90" t="str">
        <f>VLOOKUP(B3192,'All Districts'!$A$3:$B$874,2,FALSE)</f>
        <v>Hilton</v>
      </c>
      <c r="D3192" s="14">
        <v>4960906</v>
      </c>
      <c r="E3192">
        <f>VLOOKUP(C3192,'All Districts'!$B$3:$C$874,2,FALSE)</f>
        <v>3614460</v>
      </c>
      <c r="F3192" s="91">
        <f>COUNTIF($E$2:$E$7106,E3192)</f>
        <v>9</v>
      </c>
    </row>
    <row r="3193" spans="1:6" x14ac:dyDescent="0.2">
      <c r="A3193">
        <v>2016</v>
      </c>
      <c r="B3193" s="13">
        <v>2239</v>
      </c>
      <c r="C3193" s="90" t="str">
        <f>VLOOKUP(B3193,'All Districts'!$A$3:$B$874,2,FALSE)</f>
        <v>Hilton</v>
      </c>
      <c r="D3193" s="16">
        <v>3833142</v>
      </c>
      <c r="E3193">
        <f>VLOOKUP(C3193,'All Districts'!$B$3:$C$874,2,FALSE)</f>
        <v>3614460</v>
      </c>
      <c r="F3193" s="91">
        <f>COUNTIF($E$2:$E$7106,E3193)</f>
        <v>9</v>
      </c>
    </row>
    <row r="3194" spans="1:6" x14ac:dyDescent="0.2">
      <c r="A3194">
        <v>2017</v>
      </c>
      <c r="B3194" s="13">
        <v>2239</v>
      </c>
      <c r="C3194" s="90" t="str">
        <f>VLOOKUP(B3194,'All Districts'!$A$3:$B$874,2,FALSE)</f>
        <v>Hilton</v>
      </c>
      <c r="D3194" s="16">
        <v>3437777</v>
      </c>
      <c r="E3194">
        <f>VLOOKUP(C3194,'All Districts'!$B$3:$C$874,2,FALSE)</f>
        <v>3614460</v>
      </c>
      <c r="F3194" s="91">
        <f>COUNTIF($E$2:$E$7106,E3194)</f>
        <v>9</v>
      </c>
    </row>
    <row r="3195" spans="1:6" x14ac:dyDescent="0.2">
      <c r="A3195" s="10">
        <v>2018</v>
      </c>
      <c r="B3195" s="13">
        <v>2239</v>
      </c>
      <c r="C3195" s="90" t="str">
        <f>VLOOKUP(B3195,'All Districts'!$A$3:$B$874,2,FALSE)</f>
        <v>Hilton</v>
      </c>
      <c r="D3195" s="15">
        <v>2926132</v>
      </c>
      <c r="E3195">
        <f>VLOOKUP(C3195,'All Districts'!$B$3:$C$874,2,FALSE)</f>
        <v>3614460</v>
      </c>
      <c r="F3195" s="91">
        <f>COUNTIF($E$2:$E$7106,E3195)</f>
        <v>9</v>
      </c>
    </row>
    <row r="3196" spans="1:6" x14ac:dyDescent="0.2">
      <c r="A3196">
        <v>2019</v>
      </c>
      <c r="B3196" s="36">
        <v>2239</v>
      </c>
      <c r="C3196" s="90" t="str">
        <f>VLOOKUP(B3196,'All Districts'!$A$3:$B$874,2,FALSE)</f>
        <v>Hilton</v>
      </c>
      <c r="D3196" s="40">
        <v>3219059</v>
      </c>
      <c r="E3196">
        <f>VLOOKUP(C3196,'All Districts'!$B$3:$C$874,2,FALSE)</f>
        <v>3614460</v>
      </c>
      <c r="F3196" s="91">
        <f>COUNTIF($E$2:$E$7106,E3196)</f>
        <v>9</v>
      </c>
    </row>
    <row r="3197" spans="1:6" x14ac:dyDescent="0.2">
      <c r="A3197">
        <v>2020</v>
      </c>
      <c r="B3197" s="36">
        <v>2239</v>
      </c>
      <c r="C3197" s="90" t="str">
        <f>VLOOKUP(B3197,'All Districts'!$A$3:$B$874,2,FALSE)</f>
        <v>Hilton</v>
      </c>
      <c r="D3197" s="40">
        <v>2717074</v>
      </c>
      <c r="E3197">
        <f>VLOOKUP(C3197,'All Districts'!$B$3:$C$874,2,FALSE)</f>
        <v>3614460</v>
      </c>
      <c r="F3197" s="91">
        <f>COUNTIF($E$2:$E$7106,E3197)</f>
        <v>9</v>
      </c>
    </row>
    <row r="3198" spans="1:6" x14ac:dyDescent="0.2">
      <c r="A3198" s="10">
        <v>2021</v>
      </c>
      <c r="B3198" s="52">
        <v>2239</v>
      </c>
      <c r="C3198" s="90" t="str">
        <f>VLOOKUP(B3198,'All Districts'!$A$3:$B$874,2,FALSE)</f>
        <v>Hilton</v>
      </c>
      <c r="D3198" s="76">
        <v>2953396</v>
      </c>
      <c r="E3198">
        <f>VLOOKUP(C3198,'All Districts'!$B$3:$C$874,2,FALSE)</f>
        <v>3614460</v>
      </c>
      <c r="F3198" s="91">
        <f>COUNTIF($E$2:$E$7106,E3198)</f>
        <v>9</v>
      </c>
    </row>
    <row r="3199" spans="1:6" x14ac:dyDescent="0.2">
      <c r="A3199">
        <v>2022</v>
      </c>
      <c r="B3199" s="36">
        <v>2239</v>
      </c>
      <c r="C3199" s="90" t="str">
        <f>VLOOKUP(B3199,'All Districts'!$A$3:$B$874,2,FALSE)</f>
        <v>Hilton</v>
      </c>
      <c r="D3199" s="82">
        <v>3162903</v>
      </c>
      <c r="E3199">
        <f>VLOOKUP(C3199,'All Districts'!$B$3:$C$874,2,FALSE)</f>
        <v>3614460</v>
      </c>
      <c r="F3199" s="91">
        <f>COUNTIF($E$2:$E$7106,E3199)</f>
        <v>9</v>
      </c>
    </row>
    <row r="3200" spans="1:6" x14ac:dyDescent="0.2">
      <c r="A3200">
        <v>2023</v>
      </c>
      <c r="B3200" s="36">
        <v>2239</v>
      </c>
      <c r="C3200" s="90" t="str">
        <f>VLOOKUP(B3200,'All Districts'!$A$3:$B$874,2,FALSE)</f>
        <v>Hilton</v>
      </c>
      <c r="D3200" s="40">
        <v>3479235</v>
      </c>
      <c r="E3200">
        <f>VLOOKUP(C3200,'All Districts'!$B$3:$C$874,2,FALSE)</f>
        <v>3614460</v>
      </c>
      <c r="F3200" s="91">
        <f>COUNTIF($E$2:$E$7106,E3200)</f>
        <v>9</v>
      </c>
    </row>
    <row r="3201" spans="1:6" x14ac:dyDescent="0.2">
      <c r="A3201">
        <v>2015</v>
      </c>
      <c r="B3201" s="13">
        <v>3201</v>
      </c>
      <c r="C3201" s="90" t="str">
        <f>VLOOKUP(B3201,'All Districts'!$A$3:$B$874,2,FALSE)</f>
        <v>Hinsdale</v>
      </c>
      <c r="D3201" s="14">
        <v>526535</v>
      </c>
      <c r="E3201">
        <f>VLOOKUP(C3201,'All Districts'!$B$3:$C$874,2,FALSE)</f>
        <v>3614490</v>
      </c>
      <c r="F3201" s="91">
        <f>COUNTIF($E$2:$E$7106,E3201)</f>
        <v>9</v>
      </c>
    </row>
    <row r="3202" spans="1:6" x14ac:dyDescent="0.2">
      <c r="A3202">
        <v>2016</v>
      </c>
      <c r="B3202" s="13">
        <v>3201</v>
      </c>
      <c r="C3202" s="90" t="str">
        <f>VLOOKUP(B3202,'All Districts'!$A$3:$B$874,2,FALSE)</f>
        <v>Hinsdale</v>
      </c>
      <c r="D3202" s="16">
        <v>383667</v>
      </c>
      <c r="E3202">
        <f>VLOOKUP(C3202,'All Districts'!$B$3:$C$874,2,FALSE)</f>
        <v>3614490</v>
      </c>
      <c r="F3202" s="91">
        <f>COUNTIF($E$2:$E$7106,E3202)</f>
        <v>9</v>
      </c>
    </row>
    <row r="3203" spans="1:6" x14ac:dyDescent="0.2">
      <c r="A3203">
        <v>2017</v>
      </c>
      <c r="B3203" s="13">
        <v>3201</v>
      </c>
      <c r="C3203" s="90" t="str">
        <f>VLOOKUP(B3203,'All Districts'!$A$3:$B$874,2,FALSE)</f>
        <v>Hinsdale</v>
      </c>
      <c r="D3203" s="16">
        <v>350945</v>
      </c>
      <c r="E3203">
        <f>VLOOKUP(C3203,'All Districts'!$B$3:$C$874,2,FALSE)</f>
        <v>3614490</v>
      </c>
      <c r="F3203" s="91">
        <f>COUNTIF($E$2:$E$7106,E3203)</f>
        <v>9</v>
      </c>
    </row>
    <row r="3204" spans="1:6" x14ac:dyDescent="0.2">
      <c r="A3204" s="10">
        <v>2018</v>
      </c>
      <c r="B3204" s="13">
        <v>3201</v>
      </c>
      <c r="C3204" s="90" t="str">
        <f>VLOOKUP(B3204,'All Districts'!$A$3:$B$874,2,FALSE)</f>
        <v>Hinsdale</v>
      </c>
      <c r="D3204" s="15">
        <v>303542</v>
      </c>
      <c r="E3204">
        <f>VLOOKUP(C3204,'All Districts'!$B$3:$C$874,2,FALSE)</f>
        <v>3614490</v>
      </c>
      <c r="F3204" s="91">
        <f>COUNTIF($E$2:$E$7106,E3204)</f>
        <v>9</v>
      </c>
    </row>
    <row r="3205" spans="1:6" x14ac:dyDescent="0.2">
      <c r="A3205">
        <v>2019</v>
      </c>
      <c r="B3205" s="36">
        <v>3201</v>
      </c>
      <c r="C3205" s="90" t="str">
        <f>VLOOKUP(B3205,'All Districts'!$A$3:$B$874,2,FALSE)</f>
        <v>Hinsdale</v>
      </c>
      <c r="D3205" s="40">
        <v>332499</v>
      </c>
      <c r="E3205">
        <f>VLOOKUP(C3205,'All Districts'!$B$3:$C$874,2,FALSE)</f>
        <v>3614490</v>
      </c>
      <c r="F3205" s="91">
        <f>COUNTIF($E$2:$E$7106,E3205)</f>
        <v>9</v>
      </c>
    </row>
    <row r="3206" spans="1:6" x14ac:dyDescent="0.2">
      <c r="A3206">
        <v>2020</v>
      </c>
      <c r="B3206" s="36">
        <v>3201</v>
      </c>
      <c r="C3206" s="90" t="str">
        <f>VLOOKUP(B3206,'All Districts'!$A$3:$B$874,2,FALSE)</f>
        <v>Hinsdale</v>
      </c>
      <c r="D3206" s="40">
        <v>269688</v>
      </c>
      <c r="E3206">
        <f>VLOOKUP(C3206,'All Districts'!$B$3:$C$874,2,FALSE)</f>
        <v>3614490</v>
      </c>
      <c r="F3206" s="91">
        <f>COUNTIF($E$2:$E$7106,E3206)</f>
        <v>9</v>
      </c>
    </row>
    <row r="3207" spans="1:6" x14ac:dyDescent="0.2">
      <c r="A3207" s="10">
        <v>2021</v>
      </c>
      <c r="B3207" s="52">
        <v>3201</v>
      </c>
      <c r="C3207" s="90" t="str">
        <f>VLOOKUP(B3207,'All Districts'!$A$3:$B$874,2,FALSE)</f>
        <v>Hinsdale</v>
      </c>
      <c r="D3207" s="75">
        <v>279901</v>
      </c>
      <c r="E3207">
        <f>VLOOKUP(C3207,'All Districts'!$B$3:$C$874,2,FALSE)</f>
        <v>3614490</v>
      </c>
      <c r="F3207" s="91">
        <f>COUNTIF($E$2:$E$7106,E3207)</f>
        <v>9</v>
      </c>
    </row>
    <row r="3208" spans="1:6" x14ac:dyDescent="0.2">
      <c r="A3208">
        <v>2022</v>
      </c>
      <c r="B3208" s="36">
        <v>3201</v>
      </c>
      <c r="C3208" s="90" t="str">
        <f>VLOOKUP(B3208,'All Districts'!$A$3:$B$874,2,FALSE)</f>
        <v>Hinsdale</v>
      </c>
      <c r="D3208" s="82">
        <v>324788</v>
      </c>
      <c r="E3208">
        <f>VLOOKUP(C3208,'All Districts'!$B$3:$C$874,2,FALSE)</f>
        <v>3614490</v>
      </c>
      <c r="F3208" s="91">
        <f>COUNTIF($E$2:$E$7106,E3208)</f>
        <v>9</v>
      </c>
    </row>
    <row r="3209" spans="1:6" x14ac:dyDescent="0.2">
      <c r="A3209">
        <v>2023</v>
      </c>
      <c r="B3209" s="36">
        <v>3201</v>
      </c>
      <c r="C3209" s="90" t="str">
        <f>VLOOKUP(B3209,'All Districts'!$A$3:$B$874,2,FALSE)</f>
        <v>Hinsdale</v>
      </c>
      <c r="D3209" s="40">
        <v>355829</v>
      </c>
      <c r="E3209">
        <f>VLOOKUP(C3209,'All Districts'!$B$3:$C$874,2,FALSE)</f>
        <v>3614490</v>
      </c>
      <c r="F3209" s="91">
        <f>COUNTIF($E$2:$E$7106,E3209)</f>
        <v>9</v>
      </c>
    </row>
    <row r="3210" spans="1:6" x14ac:dyDescent="0.2">
      <c r="A3210">
        <v>2015</v>
      </c>
      <c r="B3210" s="13">
        <v>3702</v>
      </c>
      <c r="C3210" s="90" t="str">
        <f>VLOOKUP(B3210,'All Districts'!$A$3:$B$874,2,FALSE)</f>
        <v>Holland</v>
      </c>
      <c r="D3210" s="14">
        <v>949598</v>
      </c>
      <c r="E3210">
        <f>VLOOKUP(C3210,'All Districts'!$B$3:$C$874,2,FALSE)</f>
        <v>3614550</v>
      </c>
      <c r="F3210" s="91">
        <f>COUNTIF($E$2:$E$7106,E3210)</f>
        <v>9</v>
      </c>
    </row>
    <row r="3211" spans="1:6" x14ac:dyDescent="0.2">
      <c r="A3211">
        <v>2016</v>
      </c>
      <c r="B3211" s="13">
        <v>3702</v>
      </c>
      <c r="C3211" s="90" t="str">
        <f>VLOOKUP(B3211,'All Districts'!$A$3:$B$874,2,FALSE)</f>
        <v>Holland</v>
      </c>
      <c r="D3211" s="16">
        <v>751087</v>
      </c>
      <c r="E3211">
        <f>VLOOKUP(C3211,'All Districts'!$B$3:$C$874,2,FALSE)</f>
        <v>3614550</v>
      </c>
      <c r="F3211" s="91">
        <f>COUNTIF($E$2:$E$7106,E3211)</f>
        <v>9</v>
      </c>
    </row>
    <row r="3212" spans="1:6" x14ac:dyDescent="0.2">
      <c r="A3212">
        <v>2017</v>
      </c>
      <c r="B3212" s="13">
        <v>3702</v>
      </c>
      <c r="C3212" s="90" t="str">
        <f>VLOOKUP(B3212,'All Districts'!$A$3:$B$874,2,FALSE)</f>
        <v>Holland</v>
      </c>
      <c r="D3212" s="16">
        <v>689191</v>
      </c>
      <c r="E3212">
        <f>VLOOKUP(C3212,'All Districts'!$B$3:$C$874,2,FALSE)</f>
        <v>3614550</v>
      </c>
      <c r="F3212" s="91">
        <f>COUNTIF($E$2:$E$7106,E3212)</f>
        <v>9</v>
      </c>
    </row>
    <row r="3213" spans="1:6" x14ac:dyDescent="0.2">
      <c r="A3213" s="10">
        <v>2018</v>
      </c>
      <c r="B3213" s="13">
        <v>3702</v>
      </c>
      <c r="C3213" s="90" t="str">
        <f>VLOOKUP(B3213,'All Districts'!$A$3:$B$874,2,FALSE)</f>
        <v>Holland</v>
      </c>
      <c r="D3213" s="15">
        <v>619367</v>
      </c>
      <c r="E3213">
        <f>VLOOKUP(C3213,'All Districts'!$B$3:$C$874,2,FALSE)</f>
        <v>3614550</v>
      </c>
      <c r="F3213" s="91">
        <f>COUNTIF($E$2:$E$7106,E3213)</f>
        <v>9</v>
      </c>
    </row>
    <row r="3214" spans="1:6" x14ac:dyDescent="0.2">
      <c r="A3214">
        <v>2019</v>
      </c>
      <c r="B3214" s="36">
        <v>3702</v>
      </c>
      <c r="C3214" s="90" t="str">
        <f>VLOOKUP(B3214,'All Districts'!$A$3:$B$874,2,FALSE)</f>
        <v>Holland</v>
      </c>
      <c r="D3214" s="40">
        <v>681951</v>
      </c>
      <c r="E3214">
        <f>VLOOKUP(C3214,'All Districts'!$B$3:$C$874,2,FALSE)</f>
        <v>3614550</v>
      </c>
      <c r="F3214" s="91">
        <f>COUNTIF($E$2:$E$7106,E3214)</f>
        <v>9</v>
      </c>
    </row>
    <row r="3215" spans="1:6" x14ac:dyDescent="0.2">
      <c r="A3215">
        <v>2020</v>
      </c>
      <c r="B3215" s="36">
        <v>3702</v>
      </c>
      <c r="C3215" s="90" t="str">
        <f>VLOOKUP(B3215,'All Districts'!$A$3:$B$874,2,FALSE)</f>
        <v>Holland</v>
      </c>
      <c r="D3215" s="40">
        <v>582553</v>
      </c>
      <c r="E3215">
        <f>VLOOKUP(C3215,'All Districts'!$B$3:$C$874,2,FALSE)</f>
        <v>3614550</v>
      </c>
      <c r="F3215" s="91">
        <f>COUNTIF($E$2:$E$7106,E3215)</f>
        <v>9</v>
      </c>
    </row>
    <row r="3216" spans="1:6" x14ac:dyDescent="0.2">
      <c r="A3216" s="10">
        <v>2021</v>
      </c>
      <c r="B3216" s="52">
        <v>3702</v>
      </c>
      <c r="C3216" s="90" t="str">
        <f>VLOOKUP(B3216,'All Districts'!$A$3:$B$874,2,FALSE)</f>
        <v>Holland</v>
      </c>
      <c r="D3216" s="76">
        <v>646300</v>
      </c>
      <c r="E3216">
        <f>VLOOKUP(C3216,'All Districts'!$B$3:$C$874,2,FALSE)</f>
        <v>3614550</v>
      </c>
      <c r="F3216" s="91">
        <f>COUNTIF($E$2:$E$7106,E3216)</f>
        <v>9</v>
      </c>
    </row>
    <row r="3217" spans="1:6" x14ac:dyDescent="0.2">
      <c r="A3217">
        <v>2022</v>
      </c>
      <c r="B3217" s="36">
        <v>3702</v>
      </c>
      <c r="C3217" s="90" t="str">
        <f>VLOOKUP(B3217,'All Districts'!$A$3:$B$874,2,FALSE)</f>
        <v>Holland</v>
      </c>
      <c r="D3217" s="82">
        <v>676939</v>
      </c>
      <c r="E3217">
        <f>VLOOKUP(C3217,'All Districts'!$B$3:$C$874,2,FALSE)</f>
        <v>3614550</v>
      </c>
      <c r="F3217" s="91">
        <f>COUNTIF($E$2:$E$7106,E3217)</f>
        <v>9</v>
      </c>
    </row>
    <row r="3218" spans="1:6" x14ac:dyDescent="0.2">
      <c r="A3218">
        <v>2023</v>
      </c>
      <c r="B3218" s="36">
        <v>3702</v>
      </c>
      <c r="C3218" s="90" t="str">
        <f>VLOOKUP(B3218,'All Districts'!$A$3:$B$874,2,FALSE)</f>
        <v>Holland</v>
      </c>
      <c r="D3218" s="40">
        <v>715761</v>
      </c>
      <c r="E3218">
        <f>VLOOKUP(C3218,'All Districts'!$B$3:$C$874,2,FALSE)</f>
        <v>3614550</v>
      </c>
      <c r="F3218" s="91">
        <f>COUNTIF($E$2:$E$7106,E3218)</f>
        <v>9</v>
      </c>
    </row>
    <row r="3219" spans="1:6" x14ac:dyDescent="0.2">
      <c r="A3219">
        <v>2015</v>
      </c>
      <c r="B3219" s="13">
        <v>2244</v>
      </c>
      <c r="C3219" s="90" t="str">
        <f>VLOOKUP(B3219,'All Districts'!$A$3:$B$874,2,FALSE)</f>
        <v>Holland Patent</v>
      </c>
      <c r="D3219" s="14">
        <v>1520029</v>
      </c>
      <c r="E3219">
        <f>VLOOKUP(C3219,'All Districts'!$B$3:$C$874,2,FALSE)</f>
        <v>3614580</v>
      </c>
      <c r="F3219" s="91">
        <f>COUNTIF($E$2:$E$7106,E3219)</f>
        <v>9</v>
      </c>
    </row>
    <row r="3220" spans="1:6" x14ac:dyDescent="0.2">
      <c r="A3220">
        <v>2016</v>
      </c>
      <c r="B3220" s="13">
        <v>2244</v>
      </c>
      <c r="C3220" s="90" t="str">
        <f>VLOOKUP(B3220,'All Districts'!$A$3:$B$874,2,FALSE)</f>
        <v>Holland Patent</v>
      </c>
      <c r="D3220" s="16">
        <v>1144315</v>
      </c>
      <c r="E3220">
        <f>VLOOKUP(C3220,'All Districts'!$B$3:$C$874,2,FALSE)</f>
        <v>3614580</v>
      </c>
      <c r="F3220" s="91">
        <f>COUNTIF($E$2:$E$7106,E3220)</f>
        <v>9</v>
      </c>
    </row>
    <row r="3221" spans="1:6" x14ac:dyDescent="0.2">
      <c r="A3221">
        <v>2017</v>
      </c>
      <c r="B3221" s="13">
        <v>2244</v>
      </c>
      <c r="C3221" s="90" t="str">
        <f>VLOOKUP(B3221,'All Districts'!$A$3:$B$874,2,FALSE)</f>
        <v>Holland Patent</v>
      </c>
      <c r="D3221" s="16">
        <v>1050358</v>
      </c>
      <c r="E3221">
        <f>VLOOKUP(C3221,'All Districts'!$B$3:$C$874,2,FALSE)</f>
        <v>3614580</v>
      </c>
      <c r="F3221" s="91">
        <f>COUNTIF($E$2:$E$7106,E3221)</f>
        <v>9</v>
      </c>
    </row>
    <row r="3222" spans="1:6" x14ac:dyDescent="0.2">
      <c r="A3222" s="10">
        <v>2018</v>
      </c>
      <c r="B3222" s="13">
        <v>2244</v>
      </c>
      <c r="C3222" s="90" t="str">
        <f>VLOOKUP(B3222,'All Districts'!$A$3:$B$874,2,FALSE)</f>
        <v>Holland Patent</v>
      </c>
      <c r="D3222" s="15">
        <v>881054</v>
      </c>
      <c r="E3222">
        <f>VLOOKUP(C3222,'All Districts'!$B$3:$C$874,2,FALSE)</f>
        <v>3614580</v>
      </c>
      <c r="F3222" s="91">
        <f>COUNTIF($E$2:$E$7106,E3222)</f>
        <v>9</v>
      </c>
    </row>
    <row r="3223" spans="1:6" x14ac:dyDescent="0.2">
      <c r="A3223">
        <v>2019</v>
      </c>
      <c r="B3223" s="36">
        <v>2244</v>
      </c>
      <c r="C3223" s="90" t="str">
        <f>VLOOKUP(B3223,'All Districts'!$A$3:$B$874,2,FALSE)</f>
        <v>Holland Patent</v>
      </c>
      <c r="D3223" s="40">
        <v>1029520</v>
      </c>
      <c r="E3223">
        <f>VLOOKUP(C3223,'All Districts'!$B$3:$C$874,2,FALSE)</f>
        <v>3614580</v>
      </c>
      <c r="F3223" s="91">
        <f>COUNTIF($E$2:$E$7106,E3223)</f>
        <v>9</v>
      </c>
    </row>
    <row r="3224" spans="1:6" x14ac:dyDescent="0.2">
      <c r="A3224">
        <v>2020</v>
      </c>
      <c r="B3224" s="36">
        <v>2244</v>
      </c>
      <c r="C3224" s="90" t="str">
        <f>VLOOKUP(B3224,'All Districts'!$A$3:$B$874,2,FALSE)</f>
        <v>Holland Patent</v>
      </c>
      <c r="D3224" s="40">
        <v>880751</v>
      </c>
      <c r="E3224">
        <f>VLOOKUP(C3224,'All Districts'!$B$3:$C$874,2,FALSE)</f>
        <v>3614580</v>
      </c>
      <c r="F3224" s="91">
        <f>COUNTIF($E$2:$E$7106,E3224)</f>
        <v>9</v>
      </c>
    </row>
    <row r="3225" spans="1:6" x14ac:dyDescent="0.2">
      <c r="A3225" s="10">
        <v>2021</v>
      </c>
      <c r="B3225" s="55">
        <v>2244</v>
      </c>
      <c r="C3225" s="90" t="str">
        <f>VLOOKUP(B3225,'All Districts'!$A$3:$B$874,2,FALSE)</f>
        <v>Holland Patent</v>
      </c>
      <c r="D3225" s="75">
        <v>939324</v>
      </c>
      <c r="E3225">
        <f>VLOOKUP(C3225,'All Districts'!$B$3:$C$874,2,FALSE)</f>
        <v>3614580</v>
      </c>
      <c r="F3225" s="91">
        <f>COUNTIF($E$2:$E$7106,E3225)</f>
        <v>9</v>
      </c>
    </row>
    <row r="3226" spans="1:6" x14ac:dyDescent="0.2">
      <c r="A3226">
        <v>2022</v>
      </c>
      <c r="B3226" s="36">
        <v>2244</v>
      </c>
      <c r="C3226" s="90" t="str">
        <f>VLOOKUP(B3226,'All Districts'!$A$3:$B$874,2,FALSE)</f>
        <v>Holland Patent</v>
      </c>
      <c r="D3226" s="82">
        <v>1051978</v>
      </c>
      <c r="E3226">
        <f>VLOOKUP(C3226,'All Districts'!$B$3:$C$874,2,FALSE)</f>
        <v>3614580</v>
      </c>
      <c r="F3226" s="91">
        <f>COUNTIF($E$2:$E$7106,E3226)</f>
        <v>9</v>
      </c>
    </row>
    <row r="3227" spans="1:6" x14ac:dyDescent="0.2">
      <c r="A3227">
        <v>2023</v>
      </c>
      <c r="B3227" s="36">
        <v>2244</v>
      </c>
      <c r="C3227" s="90" t="str">
        <f>VLOOKUP(B3227,'All Districts'!$A$3:$B$874,2,FALSE)</f>
        <v>Holland Patent</v>
      </c>
      <c r="D3227" s="40">
        <v>1157253</v>
      </c>
      <c r="E3227">
        <f>VLOOKUP(C3227,'All Districts'!$B$3:$C$874,2,FALSE)</f>
        <v>3614580</v>
      </c>
      <c r="F3227" s="91">
        <f>COUNTIF($E$2:$E$7106,E3227)</f>
        <v>9</v>
      </c>
    </row>
    <row r="3228" spans="1:6" x14ac:dyDescent="0.2">
      <c r="A3228">
        <v>2015</v>
      </c>
      <c r="B3228" s="13">
        <v>4260</v>
      </c>
      <c r="C3228" s="90" t="str">
        <f>VLOOKUP(B3228,'All Districts'!$A$3:$B$874,2,FALSE)</f>
        <v>Holley</v>
      </c>
      <c r="D3228" s="14">
        <v>1382969</v>
      </c>
      <c r="E3228">
        <f>VLOOKUP(C3228,'All Districts'!$B$3:$C$874,2,FALSE)</f>
        <v>3614610</v>
      </c>
      <c r="F3228" s="91">
        <f>COUNTIF($E$2:$E$7106,E3228)</f>
        <v>9</v>
      </c>
    </row>
    <row r="3229" spans="1:6" x14ac:dyDescent="0.2">
      <c r="A3229">
        <v>2016</v>
      </c>
      <c r="B3229" s="13">
        <v>4260</v>
      </c>
      <c r="C3229" s="90" t="str">
        <f>VLOOKUP(B3229,'All Districts'!$A$3:$B$874,2,FALSE)</f>
        <v>Holley</v>
      </c>
      <c r="D3229" s="16">
        <v>1064805</v>
      </c>
      <c r="E3229">
        <f>VLOOKUP(C3229,'All Districts'!$B$3:$C$874,2,FALSE)</f>
        <v>3614610</v>
      </c>
      <c r="F3229" s="91">
        <f>COUNTIF($E$2:$E$7106,E3229)</f>
        <v>9</v>
      </c>
    </row>
    <row r="3230" spans="1:6" x14ac:dyDescent="0.2">
      <c r="A3230">
        <v>2017</v>
      </c>
      <c r="B3230" s="13">
        <v>4260</v>
      </c>
      <c r="C3230" s="90" t="str">
        <f>VLOOKUP(B3230,'All Districts'!$A$3:$B$874,2,FALSE)</f>
        <v>Holley</v>
      </c>
      <c r="D3230" s="16">
        <v>954893</v>
      </c>
      <c r="E3230">
        <f>VLOOKUP(C3230,'All Districts'!$B$3:$C$874,2,FALSE)</f>
        <v>3614610</v>
      </c>
      <c r="F3230" s="91">
        <f>COUNTIF($E$2:$E$7106,E3230)</f>
        <v>9</v>
      </c>
    </row>
    <row r="3231" spans="1:6" x14ac:dyDescent="0.2">
      <c r="A3231" s="10">
        <v>2018</v>
      </c>
      <c r="B3231" s="13">
        <v>4260</v>
      </c>
      <c r="C3231" s="90" t="str">
        <f>VLOOKUP(B3231,'All Districts'!$A$3:$B$874,2,FALSE)</f>
        <v>Holley</v>
      </c>
      <c r="D3231" s="15">
        <v>774267</v>
      </c>
      <c r="E3231">
        <f>VLOOKUP(C3231,'All Districts'!$B$3:$C$874,2,FALSE)</f>
        <v>3614610</v>
      </c>
      <c r="F3231" s="91">
        <f>COUNTIF($E$2:$E$7106,E3231)</f>
        <v>9</v>
      </c>
    </row>
    <row r="3232" spans="1:6" x14ac:dyDescent="0.2">
      <c r="A3232">
        <v>2019</v>
      </c>
      <c r="B3232" s="36">
        <v>4260</v>
      </c>
      <c r="C3232" s="90" t="str">
        <f>VLOOKUP(B3232,'All Districts'!$A$3:$B$874,2,FALSE)</f>
        <v>Holley</v>
      </c>
      <c r="D3232" s="40">
        <v>839838</v>
      </c>
      <c r="E3232">
        <f>VLOOKUP(C3232,'All Districts'!$B$3:$C$874,2,FALSE)</f>
        <v>3614610</v>
      </c>
      <c r="F3232" s="91">
        <f>COUNTIF($E$2:$E$7106,E3232)</f>
        <v>9</v>
      </c>
    </row>
    <row r="3233" spans="1:6" x14ac:dyDescent="0.2">
      <c r="A3233">
        <v>2020</v>
      </c>
      <c r="B3233" s="36">
        <v>4260</v>
      </c>
      <c r="C3233" s="90" t="str">
        <f>VLOOKUP(B3233,'All Districts'!$A$3:$B$874,2,FALSE)</f>
        <v>Holley</v>
      </c>
      <c r="D3233" s="40">
        <v>724000</v>
      </c>
      <c r="E3233">
        <f>VLOOKUP(C3233,'All Districts'!$B$3:$C$874,2,FALSE)</f>
        <v>3614610</v>
      </c>
      <c r="F3233" s="91">
        <f>COUNTIF($E$2:$E$7106,E3233)</f>
        <v>9</v>
      </c>
    </row>
    <row r="3234" spans="1:6" x14ac:dyDescent="0.2">
      <c r="A3234" s="10">
        <v>2021</v>
      </c>
      <c r="B3234" s="52">
        <v>4260</v>
      </c>
      <c r="C3234" s="90" t="str">
        <f>VLOOKUP(B3234,'All Districts'!$A$3:$B$874,2,FALSE)</f>
        <v>Holley</v>
      </c>
      <c r="D3234" s="76">
        <v>789589</v>
      </c>
      <c r="E3234">
        <f>VLOOKUP(C3234,'All Districts'!$B$3:$C$874,2,FALSE)</f>
        <v>3614610</v>
      </c>
      <c r="F3234" s="91">
        <f>COUNTIF($E$2:$E$7106,E3234)</f>
        <v>9</v>
      </c>
    </row>
    <row r="3235" spans="1:6" x14ac:dyDescent="0.2">
      <c r="A3235">
        <v>2022</v>
      </c>
      <c r="B3235" s="36">
        <v>4260</v>
      </c>
      <c r="C3235" s="90" t="str">
        <f>VLOOKUP(B3235,'All Districts'!$A$3:$B$874,2,FALSE)</f>
        <v>Holley</v>
      </c>
      <c r="D3235" s="82">
        <v>838514</v>
      </c>
      <c r="E3235">
        <f>VLOOKUP(C3235,'All Districts'!$B$3:$C$874,2,FALSE)</f>
        <v>3614610</v>
      </c>
      <c r="F3235" s="91">
        <f>COUNTIF($E$2:$E$7106,E3235)</f>
        <v>9</v>
      </c>
    </row>
    <row r="3236" spans="1:6" x14ac:dyDescent="0.2">
      <c r="A3236">
        <v>2023</v>
      </c>
      <c r="B3236" s="36">
        <v>4260</v>
      </c>
      <c r="C3236" s="90" t="str">
        <f>VLOOKUP(B3236,'All Districts'!$A$3:$B$874,2,FALSE)</f>
        <v>Holley</v>
      </c>
      <c r="D3236" s="40">
        <v>882035</v>
      </c>
      <c r="E3236">
        <f>VLOOKUP(C3236,'All Districts'!$B$3:$C$874,2,FALSE)</f>
        <v>3614610</v>
      </c>
      <c r="F3236" s="91">
        <f>COUNTIF($E$2:$E$7106,E3236)</f>
        <v>9</v>
      </c>
    </row>
    <row r="3237" spans="1:6" x14ac:dyDescent="0.2">
      <c r="A3237">
        <v>2015</v>
      </c>
      <c r="B3237" s="13">
        <v>2242</v>
      </c>
      <c r="C3237" s="90" t="str">
        <f>VLOOKUP(B3237,'All Districts'!$A$3:$B$874,2,FALSE)</f>
        <v>Homer</v>
      </c>
      <c r="D3237" s="14">
        <v>2654266</v>
      </c>
      <c r="E3237">
        <f>VLOOKUP(C3237,'All Districts'!$B$3:$C$874,2,FALSE)</f>
        <v>3614640</v>
      </c>
      <c r="F3237" s="91">
        <f>COUNTIF($E$2:$E$7106,E3237)</f>
        <v>9</v>
      </c>
    </row>
    <row r="3238" spans="1:6" x14ac:dyDescent="0.2">
      <c r="A3238">
        <v>2016</v>
      </c>
      <c r="B3238" s="13">
        <v>2242</v>
      </c>
      <c r="C3238" s="90" t="str">
        <f>VLOOKUP(B3238,'All Districts'!$A$3:$B$874,2,FALSE)</f>
        <v>Homer</v>
      </c>
      <c r="D3238" s="16">
        <v>2010694</v>
      </c>
      <c r="E3238">
        <f>VLOOKUP(C3238,'All Districts'!$B$3:$C$874,2,FALSE)</f>
        <v>3614640</v>
      </c>
      <c r="F3238" s="91">
        <f>COUNTIF($E$2:$E$7106,E3238)</f>
        <v>9</v>
      </c>
    </row>
    <row r="3239" spans="1:6" x14ac:dyDescent="0.2">
      <c r="A3239">
        <v>2017</v>
      </c>
      <c r="B3239" s="13">
        <v>2242</v>
      </c>
      <c r="C3239" s="90" t="str">
        <f>VLOOKUP(B3239,'All Districts'!$A$3:$B$874,2,FALSE)</f>
        <v>Homer</v>
      </c>
      <c r="D3239" s="16">
        <v>1764642</v>
      </c>
      <c r="E3239">
        <f>VLOOKUP(C3239,'All Districts'!$B$3:$C$874,2,FALSE)</f>
        <v>3614640</v>
      </c>
      <c r="F3239" s="91">
        <f>COUNTIF($E$2:$E$7106,E3239)</f>
        <v>9</v>
      </c>
    </row>
    <row r="3240" spans="1:6" x14ac:dyDescent="0.2">
      <c r="A3240" s="10">
        <v>2018</v>
      </c>
      <c r="B3240" s="13">
        <v>2242</v>
      </c>
      <c r="C3240" s="90" t="str">
        <f>VLOOKUP(B3240,'All Districts'!$A$3:$B$874,2,FALSE)</f>
        <v>Homer</v>
      </c>
      <c r="D3240" s="15">
        <v>1483665</v>
      </c>
      <c r="E3240">
        <f>VLOOKUP(C3240,'All Districts'!$B$3:$C$874,2,FALSE)</f>
        <v>3614640</v>
      </c>
      <c r="F3240" s="91">
        <f>COUNTIF($E$2:$E$7106,E3240)</f>
        <v>9</v>
      </c>
    </row>
    <row r="3241" spans="1:6" x14ac:dyDescent="0.2">
      <c r="A3241">
        <v>2019</v>
      </c>
      <c r="B3241" s="36">
        <v>2242</v>
      </c>
      <c r="C3241" s="90" t="str">
        <f>VLOOKUP(B3241,'All Districts'!$A$3:$B$874,2,FALSE)</f>
        <v>Homer</v>
      </c>
      <c r="D3241" s="40">
        <v>1631737</v>
      </c>
      <c r="E3241">
        <f>VLOOKUP(C3241,'All Districts'!$B$3:$C$874,2,FALSE)</f>
        <v>3614640</v>
      </c>
      <c r="F3241" s="91">
        <f>COUNTIF($E$2:$E$7106,E3241)</f>
        <v>9</v>
      </c>
    </row>
    <row r="3242" spans="1:6" x14ac:dyDescent="0.2">
      <c r="A3242">
        <v>2020</v>
      </c>
      <c r="B3242" s="36">
        <v>2242</v>
      </c>
      <c r="C3242" s="90" t="str">
        <f>VLOOKUP(B3242,'All Districts'!$A$3:$B$874,2,FALSE)</f>
        <v>Homer</v>
      </c>
      <c r="D3242" s="40">
        <v>1394381</v>
      </c>
      <c r="E3242">
        <f>VLOOKUP(C3242,'All Districts'!$B$3:$C$874,2,FALSE)</f>
        <v>3614640</v>
      </c>
      <c r="F3242" s="91">
        <f>COUNTIF($E$2:$E$7106,E3242)</f>
        <v>9</v>
      </c>
    </row>
    <row r="3243" spans="1:6" x14ac:dyDescent="0.2">
      <c r="A3243" s="10">
        <v>2021</v>
      </c>
      <c r="B3243" s="55">
        <v>2242</v>
      </c>
      <c r="C3243" s="90" t="str">
        <f>VLOOKUP(B3243,'All Districts'!$A$3:$B$874,2,FALSE)</f>
        <v>Homer</v>
      </c>
      <c r="D3243" s="76">
        <v>1502596</v>
      </c>
      <c r="E3243">
        <f>VLOOKUP(C3243,'All Districts'!$B$3:$C$874,2,FALSE)</f>
        <v>3614640</v>
      </c>
      <c r="F3243" s="91">
        <f>COUNTIF($E$2:$E$7106,E3243)</f>
        <v>9</v>
      </c>
    </row>
    <row r="3244" spans="1:6" x14ac:dyDescent="0.2">
      <c r="A3244">
        <v>2022</v>
      </c>
      <c r="B3244" s="36">
        <v>2242</v>
      </c>
      <c r="C3244" s="90" t="str">
        <f>VLOOKUP(B3244,'All Districts'!$A$3:$B$874,2,FALSE)</f>
        <v>Homer</v>
      </c>
      <c r="D3244" s="82">
        <v>1653869</v>
      </c>
      <c r="E3244">
        <f>VLOOKUP(C3244,'All Districts'!$B$3:$C$874,2,FALSE)</f>
        <v>3614640</v>
      </c>
      <c r="F3244" s="91">
        <f>COUNTIF($E$2:$E$7106,E3244)</f>
        <v>9</v>
      </c>
    </row>
    <row r="3245" spans="1:6" x14ac:dyDescent="0.2">
      <c r="A3245">
        <v>2023</v>
      </c>
      <c r="B3245" s="36">
        <v>2242</v>
      </c>
      <c r="C3245" s="90" t="str">
        <f>VLOOKUP(B3245,'All Districts'!$A$3:$B$874,2,FALSE)</f>
        <v>Homer</v>
      </c>
      <c r="D3245" s="40">
        <v>1814015</v>
      </c>
      <c r="E3245">
        <f>VLOOKUP(C3245,'All Districts'!$B$3:$C$874,2,FALSE)</f>
        <v>3614640</v>
      </c>
      <c r="F3245" s="91">
        <f>COUNTIF($E$2:$E$7106,E3245)</f>
        <v>9</v>
      </c>
    </row>
    <row r="3246" spans="1:6" x14ac:dyDescent="0.2">
      <c r="A3246">
        <v>2015</v>
      </c>
      <c r="B3246" s="13">
        <v>4586</v>
      </c>
      <c r="C3246" s="90" t="str">
        <f>VLOOKUP(B3246,'All Districts'!$A$3:$B$874,2,FALSE)</f>
        <v>Honeoye</v>
      </c>
      <c r="D3246" s="14">
        <v>1026503</v>
      </c>
      <c r="E3246">
        <f>VLOOKUP(C3246,'All Districts'!$B$3:$C$874,2,FALSE)</f>
        <v>3614670</v>
      </c>
      <c r="F3246" s="91">
        <f>COUNTIF($E$2:$E$7106,E3246)</f>
        <v>9</v>
      </c>
    </row>
    <row r="3247" spans="1:6" x14ac:dyDescent="0.2">
      <c r="A3247">
        <v>2016</v>
      </c>
      <c r="B3247" s="13">
        <v>4586</v>
      </c>
      <c r="C3247" s="90" t="str">
        <f>VLOOKUP(B3247,'All Districts'!$A$3:$B$874,2,FALSE)</f>
        <v>Honeoye</v>
      </c>
      <c r="D3247" s="16">
        <v>809663</v>
      </c>
      <c r="E3247">
        <f>VLOOKUP(C3247,'All Districts'!$B$3:$C$874,2,FALSE)</f>
        <v>3614670</v>
      </c>
      <c r="F3247" s="91">
        <f>COUNTIF($E$2:$E$7106,E3247)</f>
        <v>9</v>
      </c>
    </row>
    <row r="3248" spans="1:6" x14ac:dyDescent="0.2">
      <c r="A3248">
        <v>2017</v>
      </c>
      <c r="B3248" s="13">
        <v>4586</v>
      </c>
      <c r="C3248" s="90" t="str">
        <f>VLOOKUP(B3248,'All Districts'!$A$3:$B$874,2,FALSE)</f>
        <v>Honeoye</v>
      </c>
      <c r="D3248" s="16">
        <v>728396</v>
      </c>
      <c r="E3248">
        <f>VLOOKUP(C3248,'All Districts'!$B$3:$C$874,2,FALSE)</f>
        <v>3614670</v>
      </c>
      <c r="F3248" s="91">
        <f>COUNTIF($E$2:$E$7106,E3248)</f>
        <v>9</v>
      </c>
    </row>
    <row r="3249" spans="1:6" x14ac:dyDescent="0.2">
      <c r="A3249" s="10">
        <v>2018</v>
      </c>
      <c r="B3249" s="13">
        <v>4586</v>
      </c>
      <c r="C3249" s="90" t="str">
        <f>VLOOKUP(B3249,'All Districts'!$A$3:$B$874,2,FALSE)</f>
        <v>Honeoye</v>
      </c>
      <c r="D3249" s="15">
        <v>597761</v>
      </c>
      <c r="E3249">
        <f>VLOOKUP(C3249,'All Districts'!$B$3:$C$874,2,FALSE)</f>
        <v>3614670</v>
      </c>
      <c r="F3249" s="91">
        <f>COUNTIF($E$2:$E$7106,E3249)</f>
        <v>9</v>
      </c>
    </row>
    <row r="3250" spans="1:6" x14ac:dyDescent="0.2">
      <c r="A3250">
        <v>2019</v>
      </c>
      <c r="B3250" s="36">
        <v>4586</v>
      </c>
      <c r="C3250" s="90" t="str">
        <f>VLOOKUP(B3250,'All Districts'!$A$3:$B$874,2,FALSE)</f>
        <v>Honeoye</v>
      </c>
      <c r="D3250" s="40">
        <v>656636</v>
      </c>
      <c r="E3250">
        <f>VLOOKUP(C3250,'All Districts'!$B$3:$C$874,2,FALSE)</f>
        <v>3614670</v>
      </c>
      <c r="F3250" s="91">
        <f>COUNTIF($E$2:$E$7106,E3250)</f>
        <v>9</v>
      </c>
    </row>
    <row r="3251" spans="1:6" x14ac:dyDescent="0.2">
      <c r="A3251">
        <v>2020</v>
      </c>
      <c r="B3251" s="36">
        <v>4586</v>
      </c>
      <c r="C3251" s="90" t="str">
        <f>VLOOKUP(B3251,'All Districts'!$A$3:$B$874,2,FALSE)</f>
        <v>Honeoye</v>
      </c>
      <c r="D3251" s="40">
        <v>560260</v>
      </c>
      <c r="E3251">
        <f>VLOOKUP(C3251,'All Districts'!$B$3:$C$874,2,FALSE)</f>
        <v>3614670</v>
      </c>
      <c r="F3251" s="91">
        <f>COUNTIF($E$2:$E$7106,E3251)</f>
        <v>9</v>
      </c>
    </row>
    <row r="3252" spans="1:6" x14ac:dyDescent="0.2">
      <c r="A3252" s="10">
        <v>2021</v>
      </c>
      <c r="B3252" s="52">
        <v>4586</v>
      </c>
      <c r="C3252" s="90" t="str">
        <f>VLOOKUP(B3252,'All Districts'!$A$3:$B$874,2,FALSE)</f>
        <v>Honeoye</v>
      </c>
      <c r="D3252" s="76">
        <v>583645</v>
      </c>
      <c r="E3252">
        <f>VLOOKUP(C3252,'All Districts'!$B$3:$C$874,2,FALSE)</f>
        <v>3614670</v>
      </c>
      <c r="F3252" s="91">
        <f>COUNTIF($E$2:$E$7106,E3252)</f>
        <v>9</v>
      </c>
    </row>
    <row r="3253" spans="1:6" x14ac:dyDescent="0.2">
      <c r="A3253">
        <v>2022</v>
      </c>
      <c r="B3253" s="36">
        <v>4586</v>
      </c>
      <c r="C3253" s="90" t="str">
        <f>VLOOKUP(B3253,'All Districts'!$A$3:$B$874,2,FALSE)</f>
        <v>Honeoye</v>
      </c>
      <c r="D3253" s="82">
        <v>599572</v>
      </c>
      <c r="E3253">
        <f>VLOOKUP(C3253,'All Districts'!$B$3:$C$874,2,FALSE)</f>
        <v>3614670</v>
      </c>
      <c r="F3253" s="91">
        <f>COUNTIF($E$2:$E$7106,E3253)</f>
        <v>9</v>
      </c>
    </row>
    <row r="3254" spans="1:6" x14ac:dyDescent="0.2">
      <c r="A3254">
        <v>2023</v>
      </c>
      <c r="B3254" s="36">
        <v>4586</v>
      </c>
      <c r="C3254" s="90" t="str">
        <f>VLOOKUP(B3254,'All Districts'!$A$3:$B$874,2,FALSE)</f>
        <v>Honeoye</v>
      </c>
      <c r="D3254" s="40">
        <v>645792</v>
      </c>
      <c r="E3254">
        <f>VLOOKUP(C3254,'All Districts'!$B$3:$C$874,2,FALSE)</f>
        <v>3614670</v>
      </c>
      <c r="F3254" s="91">
        <f>COUNTIF($E$2:$E$7106,E3254)</f>
        <v>9</v>
      </c>
    </row>
    <row r="3255" spans="1:6" x14ac:dyDescent="0.2">
      <c r="A3255">
        <v>2015</v>
      </c>
      <c r="B3255" s="13">
        <v>2243</v>
      </c>
      <c r="C3255" s="90" t="str">
        <f>VLOOKUP(B3255,'All Districts'!$A$3:$B$874,2,FALSE)</f>
        <v>Honeoye Falls-Lima</v>
      </c>
      <c r="D3255" s="14">
        <v>2642458</v>
      </c>
      <c r="E3255">
        <f>VLOOKUP(C3255,'All Districts'!$B$3:$C$874,2,FALSE)</f>
        <v>3614700</v>
      </c>
      <c r="F3255" s="91">
        <f>COUNTIF($E$2:$E$7106,E3255)</f>
        <v>9</v>
      </c>
    </row>
    <row r="3256" spans="1:6" x14ac:dyDescent="0.2">
      <c r="A3256">
        <v>2016</v>
      </c>
      <c r="B3256" s="13">
        <v>2243</v>
      </c>
      <c r="C3256" s="90" t="str">
        <f>VLOOKUP(B3256,'All Districts'!$A$3:$B$874,2,FALSE)</f>
        <v>Honeoye Falls-Lima</v>
      </c>
      <c r="D3256" s="16">
        <v>2028486</v>
      </c>
      <c r="E3256">
        <f>VLOOKUP(C3256,'All Districts'!$B$3:$C$874,2,FALSE)</f>
        <v>3614700</v>
      </c>
      <c r="F3256" s="91">
        <f>COUNTIF($E$2:$E$7106,E3256)</f>
        <v>9</v>
      </c>
    </row>
    <row r="3257" spans="1:6" x14ac:dyDescent="0.2">
      <c r="A3257">
        <v>2017</v>
      </c>
      <c r="B3257" s="13">
        <v>2243</v>
      </c>
      <c r="C3257" s="90" t="str">
        <f>VLOOKUP(B3257,'All Districts'!$A$3:$B$874,2,FALSE)</f>
        <v>Honeoye Falls-Lima</v>
      </c>
      <c r="D3257" s="16">
        <v>1777933</v>
      </c>
      <c r="E3257">
        <f>VLOOKUP(C3257,'All Districts'!$B$3:$C$874,2,FALSE)</f>
        <v>3614700</v>
      </c>
      <c r="F3257" s="91">
        <f>COUNTIF($E$2:$E$7106,E3257)</f>
        <v>9</v>
      </c>
    </row>
    <row r="3258" spans="1:6" x14ac:dyDescent="0.2">
      <c r="A3258" s="10">
        <v>2018</v>
      </c>
      <c r="B3258" s="13">
        <v>2243</v>
      </c>
      <c r="C3258" s="90" t="str">
        <f>VLOOKUP(B3258,'All Districts'!$A$3:$B$874,2,FALSE)</f>
        <v>Honeoye Falls-Lima</v>
      </c>
      <c r="D3258" s="15">
        <v>1533106</v>
      </c>
      <c r="E3258">
        <f>VLOOKUP(C3258,'All Districts'!$B$3:$C$874,2,FALSE)</f>
        <v>3614700</v>
      </c>
      <c r="F3258" s="91">
        <f>COUNTIF($E$2:$E$7106,E3258)</f>
        <v>9</v>
      </c>
    </row>
    <row r="3259" spans="1:6" x14ac:dyDescent="0.2">
      <c r="A3259">
        <v>2019</v>
      </c>
      <c r="B3259" s="36">
        <v>2243</v>
      </c>
      <c r="C3259" s="90" t="str">
        <f>VLOOKUP(B3259,'All Districts'!$A$3:$B$874,2,FALSE)</f>
        <v>Honeoye Falls-Lima</v>
      </c>
      <c r="D3259" s="40">
        <v>1686565</v>
      </c>
      <c r="E3259">
        <f>VLOOKUP(C3259,'All Districts'!$B$3:$C$874,2,FALSE)</f>
        <v>3614700</v>
      </c>
      <c r="F3259" s="91">
        <f>COUNTIF($E$2:$E$7106,E3259)</f>
        <v>9</v>
      </c>
    </row>
    <row r="3260" spans="1:6" x14ac:dyDescent="0.2">
      <c r="A3260">
        <v>2020</v>
      </c>
      <c r="B3260" s="36">
        <v>2243</v>
      </c>
      <c r="C3260" s="90" t="str">
        <f>VLOOKUP(B3260,'All Districts'!$A$3:$B$874,2,FALSE)</f>
        <v>Honeoye Falls-Lima</v>
      </c>
      <c r="D3260" s="40">
        <v>1421594</v>
      </c>
      <c r="E3260">
        <f>VLOOKUP(C3260,'All Districts'!$B$3:$C$874,2,FALSE)</f>
        <v>3614700</v>
      </c>
      <c r="F3260" s="91">
        <f>COUNTIF($E$2:$E$7106,E3260)</f>
        <v>9</v>
      </c>
    </row>
    <row r="3261" spans="1:6" x14ac:dyDescent="0.2">
      <c r="A3261" s="10">
        <v>2021</v>
      </c>
      <c r="B3261" s="52">
        <v>2243</v>
      </c>
      <c r="C3261" s="90" t="str">
        <f>VLOOKUP(B3261,'All Districts'!$A$3:$B$874,2,FALSE)</f>
        <v>Honeoye Falls-Lima</v>
      </c>
      <c r="D3261" s="76">
        <v>1550007</v>
      </c>
      <c r="E3261">
        <f>VLOOKUP(C3261,'All Districts'!$B$3:$C$874,2,FALSE)</f>
        <v>3614700</v>
      </c>
      <c r="F3261" s="91">
        <f>COUNTIF($E$2:$E$7106,E3261)</f>
        <v>9</v>
      </c>
    </row>
    <row r="3262" spans="1:6" x14ac:dyDescent="0.2">
      <c r="A3262">
        <v>2022</v>
      </c>
      <c r="B3262" s="36">
        <v>2243</v>
      </c>
      <c r="C3262" s="90" t="str">
        <f>VLOOKUP(B3262,'All Districts'!$A$3:$B$874,2,FALSE)</f>
        <v>Honeoye Falls-Lima</v>
      </c>
      <c r="D3262" s="82">
        <v>1706921</v>
      </c>
      <c r="E3262">
        <f>VLOOKUP(C3262,'All Districts'!$B$3:$C$874,2,FALSE)</f>
        <v>3614700</v>
      </c>
      <c r="F3262" s="91">
        <f>COUNTIF($E$2:$E$7106,E3262)</f>
        <v>9</v>
      </c>
    </row>
    <row r="3263" spans="1:6" x14ac:dyDescent="0.2">
      <c r="A3263">
        <v>2023</v>
      </c>
      <c r="B3263" s="36">
        <v>2243</v>
      </c>
      <c r="C3263" s="90" t="str">
        <f>VLOOKUP(B3263,'All Districts'!$A$3:$B$874,2,FALSE)</f>
        <v>Honeoye Falls-Lima</v>
      </c>
      <c r="D3263" s="40">
        <v>1815329</v>
      </c>
      <c r="E3263">
        <f>VLOOKUP(C3263,'All Districts'!$B$3:$C$874,2,FALSE)</f>
        <v>3614700</v>
      </c>
      <c r="F3263" s="91">
        <f>COUNTIF($E$2:$E$7106,E3263)</f>
        <v>9</v>
      </c>
    </row>
    <row r="3264" spans="1:6" x14ac:dyDescent="0.2">
      <c r="A3264">
        <v>2015</v>
      </c>
      <c r="B3264" s="13">
        <v>4879</v>
      </c>
      <c r="C3264" s="90" t="str">
        <f>VLOOKUP(B3264,'All Districts'!$A$3:$B$874,2,FALSE)</f>
        <v>Hoosic Valley</v>
      </c>
      <c r="D3264" s="14">
        <v>1088333</v>
      </c>
      <c r="E3264">
        <f>VLOOKUP(C3264,'All Districts'!$B$3:$C$874,2,FALSE)</f>
        <v>3614730</v>
      </c>
      <c r="F3264" s="91">
        <f>COUNTIF($E$2:$E$7106,E3264)</f>
        <v>9</v>
      </c>
    </row>
    <row r="3265" spans="1:6" x14ac:dyDescent="0.2">
      <c r="A3265">
        <v>2016</v>
      </c>
      <c r="B3265" s="13">
        <v>4879</v>
      </c>
      <c r="C3265" s="90" t="str">
        <f>VLOOKUP(B3265,'All Districts'!$A$3:$B$874,2,FALSE)</f>
        <v>Hoosic Valley</v>
      </c>
      <c r="D3265" s="16">
        <v>837129</v>
      </c>
      <c r="E3265">
        <f>VLOOKUP(C3265,'All Districts'!$B$3:$C$874,2,FALSE)</f>
        <v>3614730</v>
      </c>
      <c r="F3265" s="91">
        <f>COUNTIF($E$2:$E$7106,E3265)</f>
        <v>9</v>
      </c>
    </row>
    <row r="3266" spans="1:6" x14ac:dyDescent="0.2">
      <c r="A3266">
        <v>2017</v>
      </c>
      <c r="B3266" s="13">
        <v>4879</v>
      </c>
      <c r="C3266" s="90" t="str">
        <f>VLOOKUP(B3266,'All Districts'!$A$3:$B$874,2,FALSE)</f>
        <v>Hoosic Valley</v>
      </c>
      <c r="D3266" s="16">
        <v>750208</v>
      </c>
      <c r="E3266">
        <f>VLOOKUP(C3266,'All Districts'!$B$3:$C$874,2,FALSE)</f>
        <v>3614730</v>
      </c>
      <c r="F3266" s="91">
        <f>COUNTIF($E$2:$E$7106,E3266)</f>
        <v>9</v>
      </c>
    </row>
    <row r="3267" spans="1:6" x14ac:dyDescent="0.2">
      <c r="A3267" s="10">
        <v>2018</v>
      </c>
      <c r="B3267" s="13">
        <v>4879</v>
      </c>
      <c r="C3267" s="90" t="str">
        <f>VLOOKUP(B3267,'All Districts'!$A$3:$B$874,2,FALSE)</f>
        <v>Hoosic Valley</v>
      </c>
      <c r="D3267" s="15">
        <v>634025</v>
      </c>
      <c r="E3267">
        <f>VLOOKUP(C3267,'All Districts'!$B$3:$C$874,2,FALSE)</f>
        <v>3614730</v>
      </c>
      <c r="F3267" s="91">
        <f>COUNTIF($E$2:$E$7106,E3267)</f>
        <v>9</v>
      </c>
    </row>
    <row r="3268" spans="1:6" x14ac:dyDescent="0.2">
      <c r="A3268">
        <v>2019</v>
      </c>
      <c r="B3268" s="36">
        <v>4879</v>
      </c>
      <c r="C3268" s="90" t="str">
        <f>VLOOKUP(B3268,'All Districts'!$A$3:$B$874,2,FALSE)</f>
        <v>Hoosic Valley</v>
      </c>
      <c r="D3268" s="40">
        <v>704663</v>
      </c>
      <c r="E3268">
        <f>VLOOKUP(C3268,'All Districts'!$B$3:$C$874,2,FALSE)</f>
        <v>3614730</v>
      </c>
      <c r="F3268" s="91">
        <f>COUNTIF($E$2:$E$7106,E3268)</f>
        <v>9</v>
      </c>
    </row>
    <row r="3269" spans="1:6" x14ac:dyDescent="0.2">
      <c r="A3269">
        <v>2020</v>
      </c>
      <c r="B3269" s="36">
        <v>4879</v>
      </c>
      <c r="C3269" s="90" t="str">
        <f>VLOOKUP(B3269,'All Districts'!$A$3:$B$874,2,FALSE)</f>
        <v>Hoosic Valley</v>
      </c>
      <c r="D3269" s="40">
        <v>612575</v>
      </c>
      <c r="E3269">
        <f>VLOOKUP(C3269,'All Districts'!$B$3:$C$874,2,FALSE)</f>
        <v>3614730</v>
      </c>
      <c r="F3269" s="91">
        <f>COUNTIF($E$2:$E$7106,E3269)</f>
        <v>9</v>
      </c>
    </row>
    <row r="3270" spans="1:6" x14ac:dyDescent="0.2">
      <c r="A3270" s="10">
        <v>2021</v>
      </c>
      <c r="B3270" s="52">
        <v>4879</v>
      </c>
      <c r="C3270" s="90" t="str">
        <f>VLOOKUP(B3270,'All Districts'!$A$3:$B$874,2,FALSE)</f>
        <v>Hoosic Valley</v>
      </c>
      <c r="D3270" s="76">
        <v>665714</v>
      </c>
      <c r="E3270">
        <f>VLOOKUP(C3270,'All Districts'!$B$3:$C$874,2,FALSE)</f>
        <v>3614730</v>
      </c>
      <c r="F3270" s="91">
        <f>COUNTIF($E$2:$E$7106,E3270)</f>
        <v>9</v>
      </c>
    </row>
    <row r="3271" spans="1:6" x14ac:dyDescent="0.2">
      <c r="A3271">
        <v>2022</v>
      </c>
      <c r="B3271" s="36">
        <v>4879</v>
      </c>
      <c r="C3271" s="90" t="str">
        <f>VLOOKUP(B3271,'All Districts'!$A$3:$B$874,2,FALSE)</f>
        <v>Hoosic Valley</v>
      </c>
      <c r="D3271" s="82">
        <v>743696</v>
      </c>
      <c r="E3271">
        <f>VLOOKUP(C3271,'All Districts'!$B$3:$C$874,2,FALSE)</f>
        <v>3614730</v>
      </c>
      <c r="F3271" s="91">
        <f>COUNTIF($E$2:$E$7106,E3271)</f>
        <v>9</v>
      </c>
    </row>
    <row r="3272" spans="1:6" x14ac:dyDescent="0.2">
      <c r="A3272">
        <v>2023</v>
      </c>
      <c r="B3272" s="36">
        <v>4879</v>
      </c>
      <c r="C3272" s="90" t="str">
        <f>VLOOKUP(B3272,'All Districts'!$A$3:$B$874,2,FALSE)</f>
        <v>Hoosic Valley</v>
      </c>
      <c r="D3272" s="40">
        <v>833076</v>
      </c>
      <c r="E3272">
        <f>VLOOKUP(C3272,'All Districts'!$B$3:$C$874,2,FALSE)</f>
        <v>3614730</v>
      </c>
      <c r="F3272" s="91">
        <f>COUNTIF($E$2:$E$7106,E3272)</f>
        <v>9</v>
      </c>
    </row>
    <row r="3273" spans="1:6" x14ac:dyDescent="0.2">
      <c r="A3273">
        <v>2015</v>
      </c>
      <c r="B3273" s="13">
        <v>2241</v>
      </c>
      <c r="C3273" s="90" t="str">
        <f>VLOOKUP(B3273,'All Districts'!$A$3:$B$874,2,FALSE)</f>
        <v>Hoosick Falls</v>
      </c>
      <c r="D3273" s="14">
        <v>1495081</v>
      </c>
      <c r="E3273">
        <f>VLOOKUP(C3273,'All Districts'!$B$3:$C$874,2,FALSE)</f>
        <v>3614760</v>
      </c>
      <c r="F3273" s="91">
        <f>COUNTIF($E$2:$E$7106,E3273)</f>
        <v>9</v>
      </c>
    </row>
    <row r="3274" spans="1:6" x14ac:dyDescent="0.2">
      <c r="A3274">
        <v>2016</v>
      </c>
      <c r="B3274" s="13">
        <v>2241</v>
      </c>
      <c r="C3274" s="90" t="str">
        <f>VLOOKUP(B3274,'All Districts'!$A$3:$B$874,2,FALSE)</f>
        <v>Hoosick Falls</v>
      </c>
      <c r="D3274" s="16">
        <v>1135720</v>
      </c>
      <c r="E3274">
        <f>VLOOKUP(C3274,'All Districts'!$B$3:$C$874,2,FALSE)</f>
        <v>3614760</v>
      </c>
      <c r="F3274" s="91">
        <f>COUNTIF($E$2:$E$7106,E3274)</f>
        <v>9</v>
      </c>
    </row>
    <row r="3275" spans="1:6" x14ac:dyDescent="0.2">
      <c r="A3275">
        <v>2017</v>
      </c>
      <c r="B3275" s="13">
        <v>2241</v>
      </c>
      <c r="C3275" s="90" t="str">
        <f>VLOOKUP(B3275,'All Districts'!$A$3:$B$874,2,FALSE)</f>
        <v>Hoosick Falls</v>
      </c>
      <c r="D3275" s="16">
        <v>1009072</v>
      </c>
      <c r="E3275">
        <f>VLOOKUP(C3275,'All Districts'!$B$3:$C$874,2,FALSE)</f>
        <v>3614760</v>
      </c>
      <c r="F3275" s="91">
        <f>COUNTIF($E$2:$E$7106,E3275)</f>
        <v>9</v>
      </c>
    </row>
    <row r="3276" spans="1:6" x14ac:dyDescent="0.2">
      <c r="A3276" s="10">
        <v>2018</v>
      </c>
      <c r="B3276" s="13">
        <v>2241</v>
      </c>
      <c r="C3276" s="90" t="str">
        <f>VLOOKUP(B3276,'All Districts'!$A$3:$B$874,2,FALSE)</f>
        <v>Hoosick Falls</v>
      </c>
      <c r="D3276" s="15">
        <v>862394</v>
      </c>
      <c r="E3276">
        <f>VLOOKUP(C3276,'All Districts'!$B$3:$C$874,2,FALSE)</f>
        <v>3614760</v>
      </c>
      <c r="F3276" s="91">
        <f>COUNTIF($E$2:$E$7106,E3276)</f>
        <v>9</v>
      </c>
    </row>
    <row r="3277" spans="1:6" x14ac:dyDescent="0.2">
      <c r="A3277">
        <v>2019</v>
      </c>
      <c r="B3277" s="36">
        <v>2241</v>
      </c>
      <c r="C3277" s="90" t="str">
        <f>VLOOKUP(B3277,'All Districts'!$A$3:$B$874,2,FALSE)</f>
        <v>Hoosick Falls</v>
      </c>
      <c r="D3277" s="40">
        <v>961607</v>
      </c>
      <c r="E3277">
        <f>VLOOKUP(C3277,'All Districts'!$B$3:$C$874,2,FALSE)</f>
        <v>3614760</v>
      </c>
      <c r="F3277" s="91">
        <f>COUNTIF($E$2:$E$7106,E3277)</f>
        <v>9</v>
      </c>
    </row>
    <row r="3278" spans="1:6" x14ac:dyDescent="0.2">
      <c r="A3278">
        <v>2020</v>
      </c>
      <c r="B3278" s="36">
        <v>2241</v>
      </c>
      <c r="C3278" s="90" t="str">
        <f>VLOOKUP(B3278,'All Districts'!$A$3:$B$874,2,FALSE)</f>
        <v>Hoosick Falls</v>
      </c>
      <c r="D3278" s="40">
        <v>811242</v>
      </c>
      <c r="E3278">
        <f>VLOOKUP(C3278,'All Districts'!$B$3:$C$874,2,FALSE)</f>
        <v>3614760</v>
      </c>
      <c r="F3278" s="91">
        <f>COUNTIF($E$2:$E$7106,E3278)</f>
        <v>9</v>
      </c>
    </row>
    <row r="3279" spans="1:6" x14ac:dyDescent="0.2">
      <c r="A3279" s="10">
        <v>2021</v>
      </c>
      <c r="B3279" s="52">
        <v>2241</v>
      </c>
      <c r="C3279" s="90" t="str">
        <f>VLOOKUP(B3279,'All Districts'!$A$3:$B$874,2,FALSE)</f>
        <v>Hoosick Falls</v>
      </c>
      <c r="D3279" s="75">
        <v>838559</v>
      </c>
      <c r="E3279">
        <f>VLOOKUP(C3279,'All Districts'!$B$3:$C$874,2,FALSE)</f>
        <v>3614760</v>
      </c>
      <c r="F3279" s="91">
        <f>COUNTIF($E$2:$E$7106,E3279)</f>
        <v>9</v>
      </c>
    </row>
    <row r="3280" spans="1:6" x14ac:dyDescent="0.2">
      <c r="A3280">
        <v>2022</v>
      </c>
      <c r="B3280" s="36">
        <v>2241</v>
      </c>
      <c r="C3280" s="90" t="str">
        <f>VLOOKUP(B3280,'All Districts'!$A$3:$B$874,2,FALSE)</f>
        <v>Hoosick Falls</v>
      </c>
      <c r="D3280" s="82">
        <v>1027549</v>
      </c>
      <c r="E3280">
        <f>VLOOKUP(C3280,'All Districts'!$B$3:$C$874,2,FALSE)</f>
        <v>3614760</v>
      </c>
      <c r="F3280" s="91">
        <f>COUNTIF($E$2:$E$7106,E3280)</f>
        <v>9</v>
      </c>
    </row>
    <row r="3281" spans="1:6" x14ac:dyDescent="0.2">
      <c r="A3281">
        <v>2023</v>
      </c>
      <c r="B3281" s="36">
        <v>2241</v>
      </c>
      <c r="C3281" s="90" t="str">
        <f>VLOOKUP(B3281,'All Districts'!$A$3:$B$874,2,FALSE)</f>
        <v>Hoosick Falls</v>
      </c>
      <c r="D3281" s="40">
        <v>1079991</v>
      </c>
      <c r="E3281">
        <f>VLOOKUP(C3281,'All Districts'!$B$3:$C$874,2,FALSE)</f>
        <v>3614760</v>
      </c>
      <c r="F3281" s="91">
        <f>COUNTIF($E$2:$E$7106,E3281)</f>
        <v>9</v>
      </c>
    </row>
    <row r="3282" spans="1:6" x14ac:dyDescent="0.2">
      <c r="A3282">
        <v>2015</v>
      </c>
      <c r="B3282" s="13">
        <v>1095</v>
      </c>
      <c r="C3282" s="90" t="str">
        <f>VLOOKUP(B3282,'All Districts'!$A$3:$B$874,2,FALSE)</f>
        <v>Hornell</v>
      </c>
      <c r="D3282" s="14">
        <v>1704643</v>
      </c>
      <c r="E3282">
        <f>VLOOKUP(C3282,'All Districts'!$B$3:$C$874,2,FALSE)</f>
        <v>3614820</v>
      </c>
      <c r="F3282" s="91">
        <f>COUNTIF($E$2:$E$7106,E3282)</f>
        <v>9</v>
      </c>
    </row>
    <row r="3283" spans="1:6" x14ac:dyDescent="0.2">
      <c r="A3283">
        <v>2016</v>
      </c>
      <c r="B3283" s="13">
        <v>1095</v>
      </c>
      <c r="C3283" s="90" t="str">
        <f>VLOOKUP(B3283,'All Districts'!$A$3:$B$874,2,FALSE)</f>
        <v>Hornell</v>
      </c>
      <c r="D3283" s="16">
        <v>1357583</v>
      </c>
      <c r="E3283">
        <f>VLOOKUP(C3283,'All Districts'!$B$3:$C$874,2,FALSE)</f>
        <v>3614820</v>
      </c>
      <c r="F3283" s="91">
        <f>COUNTIF($E$2:$E$7106,E3283)</f>
        <v>9</v>
      </c>
    </row>
    <row r="3284" spans="1:6" x14ac:dyDescent="0.2">
      <c r="A3284">
        <v>2017</v>
      </c>
      <c r="B3284" s="13">
        <v>1095</v>
      </c>
      <c r="C3284" s="90" t="str">
        <f>VLOOKUP(B3284,'All Districts'!$A$3:$B$874,2,FALSE)</f>
        <v>Hornell</v>
      </c>
      <c r="D3284" s="16">
        <v>1154538</v>
      </c>
      <c r="E3284">
        <f>VLOOKUP(C3284,'All Districts'!$B$3:$C$874,2,FALSE)</f>
        <v>3614820</v>
      </c>
      <c r="F3284" s="91">
        <f>COUNTIF($E$2:$E$7106,E3284)</f>
        <v>9</v>
      </c>
    </row>
    <row r="3285" spans="1:6" x14ac:dyDescent="0.2">
      <c r="A3285" s="10">
        <v>2018</v>
      </c>
      <c r="B3285" s="13">
        <v>1095</v>
      </c>
      <c r="C3285" s="90" t="str">
        <f>VLOOKUP(B3285,'All Districts'!$A$3:$B$874,2,FALSE)</f>
        <v>Hornell</v>
      </c>
      <c r="D3285" s="15">
        <v>983938</v>
      </c>
      <c r="E3285">
        <f>VLOOKUP(C3285,'All Districts'!$B$3:$C$874,2,FALSE)</f>
        <v>3614820</v>
      </c>
      <c r="F3285" s="91">
        <f>COUNTIF($E$2:$E$7106,E3285)</f>
        <v>9</v>
      </c>
    </row>
    <row r="3286" spans="1:6" x14ac:dyDescent="0.2">
      <c r="A3286">
        <v>2019</v>
      </c>
      <c r="B3286" s="36">
        <v>1095</v>
      </c>
      <c r="C3286" s="90" t="str">
        <f>VLOOKUP(B3286,'All Districts'!$A$3:$B$874,2,FALSE)</f>
        <v>Hornell</v>
      </c>
      <c r="D3286" s="40">
        <v>1099441</v>
      </c>
      <c r="E3286">
        <f>VLOOKUP(C3286,'All Districts'!$B$3:$C$874,2,FALSE)</f>
        <v>3614820</v>
      </c>
      <c r="F3286" s="91">
        <f>COUNTIF($E$2:$E$7106,E3286)</f>
        <v>9</v>
      </c>
    </row>
    <row r="3287" spans="1:6" x14ac:dyDescent="0.2">
      <c r="A3287">
        <v>2020</v>
      </c>
      <c r="B3287" s="36">
        <v>1095</v>
      </c>
      <c r="C3287" s="90" t="str">
        <f>VLOOKUP(B3287,'All Districts'!$A$3:$B$874,2,FALSE)</f>
        <v>Hornell</v>
      </c>
      <c r="D3287" s="40">
        <v>1051690</v>
      </c>
      <c r="E3287">
        <f>VLOOKUP(C3287,'All Districts'!$B$3:$C$874,2,FALSE)</f>
        <v>3614820</v>
      </c>
      <c r="F3287" s="91">
        <f>COUNTIF($E$2:$E$7106,E3287)</f>
        <v>9</v>
      </c>
    </row>
    <row r="3288" spans="1:6" x14ac:dyDescent="0.2">
      <c r="A3288" s="10">
        <v>2021</v>
      </c>
      <c r="B3288" s="52">
        <v>1095</v>
      </c>
      <c r="C3288" s="90" t="str">
        <f>VLOOKUP(B3288,'All Districts'!$A$3:$B$874,2,FALSE)</f>
        <v>Hornell</v>
      </c>
      <c r="D3288" s="76">
        <v>1106466</v>
      </c>
      <c r="E3288">
        <f>VLOOKUP(C3288,'All Districts'!$B$3:$C$874,2,FALSE)</f>
        <v>3614820</v>
      </c>
      <c r="F3288" s="91">
        <f>COUNTIF($E$2:$E$7106,E3288)</f>
        <v>9</v>
      </c>
    </row>
    <row r="3289" spans="1:6" x14ac:dyDescent="0.2">
      <c r="A3289">
        <v>2022</v>
      </c>
      <c r="B3289" s="36">
        <v>1095</v>
      </c>
      <c r="C3289" s="90" t="str">
        <f>VLOOKUP(B3289,'All Districts'!$A$3:$B$874,2,FALSE)</f>
        <v>Hornell</v>
      </c>
      <c r="D3289" s="82">
        <v>1194017</v>
      </c>
      <c r="E3289">
        <f>VLOOKUP(C3289,'All Districts'!$B$3:$C$874,2,FALSE)</f>
        <v>3614820</v>
      </c>
      <c r="F3289" s="91">
        <f>COUNTIF($E$2:$E$7106,E3289)</f>
        <v>9</v>
      </c>
    </row>
    <row r="3290" spans="1:6" x14ac:dyDescent="0.2">
      <c r="A3290">
        <v>2023</v>
      </c>
      <c r="B3290" s="36">
        <v>1095</v>
      </c>
      <c r="C3290" s="90" t="str">
        <f>VLOOKUP(B3290,'All Districts'!$A$3:$B$874,2,FALSE)</f>
        <v>Hornell</v>
      </c>
      <c r="D3290" s="40">
        <v>1320982</v>
      </c>
      <c r="E3290">
        <f>VLOOKUP(C3290,'All Districts'!$B$3:$C$874,2,FALSE)</f>
        <v>3614820</v>
      </c>
      <c r="F3290" s="91">
        <f>COUNTIF($E$2:$E$7106,E3290)</f>
        <v>9</v>
      </c>
    </row>
    <row r="3291" spans="1:6" x14ac:dyDescent="0.2">
      <c r="A3291">
        <v>2015</v>
      </c>
      <c r="B3291" s="13">
        <v>2245</v>
      </c>
      <c r="C3291" s="90" t="str">
        <f>VLOOKUP(B3291,'All Districts'!$A$3:$B$874,2,FALSE)</f>
        <v>Horseheads</v>
      </c>
      <c r="D3291" s="14">
        <v>3851014</v>
      </c>
      <c r="E3291">
        <f>VLOOKUP(C3291,'All Districts'!$B$3:$C$874,2,FALSE)</f>
        <v>3614850</v>
      </c>
      <c r="F3291" s="91">
        <f>COUNTIF($E$2:$E$7106,E3291)</f>
        <v>9</v>
      </c>
    </row>
    <row r="3292" spans="1:6" x14ac:dyDescent="0.2">
      <c r="A3292">
        <v>2016</v>
      </c>
      <c r="B3292" s="13">
        <v>2245</v>
      </c>
      <c r="C3292" s="90" t="str">
        <f>VLOOKUP(B3292,'All Districts'!$A$3:$B$874,2,FALSE)</f>
        <v>Horseheads</v>
      </c>
      <c r="D3292" s="16">
        <v>3148241</v>
      </c>
      <c r="E3292">
        <f>VLOOKUP(C3292,'All Districts'!$B$3:$C$874,2,FALSE)</f>
        <v>3614850</v>
      </c>
      <c r="F3292" s="91">
        <f>COUNTIF($E$2:$E$7106,E3292)</f>
        <v>9</v>
      </c>
    </row>
    <row r="3293" spans="1:6" x14ac:dyDescent="0.2">
      <c r="A3293">
        <v>2017</v>
      </c>
      <c r="B3293" s="13">
        <v>2245</v>
      </c>
      <c r="C3293" s="90" t="str">
        <f>VLOOKUP(B3293,'All Districts'!$A$3:$B$874,2,FALSE)</f>
        <v>Horseheads</v>
      </c>
      <c r="D3293" s="16">
        <v>2877035</v>
      </c>
      <c r="E3293">
        <f>VLOOKUP(C3293,'All Districts'!$B$3:$C$874,2,FALSE)</f>
        <v>3614850</v>
      </c>
      <c r="F3293" s="91">
        <f>COUNTIF($E$2:$E$7106,E3293)</f>
        <v>9</v>
      </c>
    </row>
    <row r="3294" spans="1:6" x14ac:dyDescent="0.2">
      <c r="A3294" s="10">
        <v>2018</v>
      </c>
      <c r="B3294" s="13">
        <v>2245</v>
      </c>
      <c r="C3294" s="90" t="str">
        <f>VLOOKUP(B3294,'All Districts'!$A$3:$B$874,2,FALSE)</f>
        <v>Horseheads</v>
      </c>
      <c r="D3294" s="15">
        <v>2448963</v>
      </c>
      <c r="E3294">
        <f>VLOOKUP(C3294,'All Districts'!$B$3:$C$874,2,FALSE)</f>
        <v>3614850</v>
      </c>
      <c r="F3294" s="91">
        <f>COUNTIF($E$2:$E$7106,E3294)</f>
        <v>9</v>
      </c>
    </row>
    <row r="3295" spans="1:6" x14ac:dyDescent="0.2">
      <c r="A3295">
        <v>2019</v>
      </c>
      <c r="B3295" s="36">
        <v>2245</v>
      </c>
      <c r="C3295" s="90" t="str">
        <f>VLOOKUP(B3295,'All Districts'!$A$3:$B$874,2,FALSE)</f>
        <v>Horseheads</v>
      </c>
      <c r="D3295" s="40">
        <v>2751475</v>
      </c>
      <c r="E3295">
        <f>VLOOKUP(C3295,'All Districts'!$B$3:$C$874,2,FALSE)</f>
        <v>3614850</v>
      </c>
      <c r="F3295" s="91">
        <f>COUNTIF($E$2:$E$7106,E3295)</f>
        <v>9</v>
      </c>
    </row>
    <row r="3296" spans="1:6" x14ac:dyDescent="0.2">
      <c r="A3296">
        <v>2020</v>
      </c>
      <c r="B3296" s="36">
        <v>2245</v>
      </c>
      <c r="C3296" s="90" t="str">
        <f>VLOOKUP(B3296,'All Districts'!$A$3:$B$874,2,FALSE)</f>
        <v>Horseheads</v>
      </c>
      <c r="D3296" s="40">
        <v>2347671</v>
      </c>
      <c r="E3296">
        <f>VLOOKUP(C3296,'All Districts'!$B$3:$C$874,2,FALSE)</f>
        <v>3614850</v>
      </c>
      <c r="F3296" s="91">
        <f>COUNTIF($E$2:$E$7106,E3296)</f>
        <v>9</v>
      </c>
    </row>
    <row r="3297" spans="1:6" x14ac:dyDescent="0.2">
      <c r="A3297" s="10">
        <v>2021</v>
      </c>
      <c r="B3297" s="55">
        <v>2245</v>
      </c>
      <c r="C3297" s="90" t="str">
        <f>VLOOKUP(B3297,'All Districts'!$A$3:$B$874,2,FALSE)</f>
        <v>Horseheads</v>
      </c>
      <c r="D3297" s="75">
        <v>2571740</v>
      </c>
      <c r="E3297">
        <f>VLOOKUP(C3297,'All Districts'!$B$3:$C$874,2,FALSE)</f>
        <v>3614850</v>
      </c>
      <c r="F3297" s="91">
        <f>COUNTIF($E$2:$E$7106,E3297)</f>
        <v>9</v>
      </c>
    </row>
    <row r="3298" spans="1:6" x14ac:dyDescent="0.2">
      <c r="A3298">
        <v>2022</v>
      </c>
      <c r="B3298" s="36">
        <v>2245</v>
      </c>
      <c r="C3298" s="90" t="str">
        <f>VLOOKUP(B3298,'All Districts'!$A$3:$B$874,2,FALSE)</f>
        <v>Horseheads</v>
      </c>
      <c r="D3298" s="82">
        <v>2726233</v>
      </c>
      <c r="E3298">
        <f>VLOOKUP(C3298,'All Districts'!$B$3:$C$874,2,FALSE)</f>
        <v>3614850</v>
      </c>
      <c r="F3298" s="91">
        <f>COUNTIF($E$2:$E$7106,E3298)</f>
        <v>9</v>
      </c>
    </row>
    <row r="3299" spans="1:6" x14ac:dyDescent="0.2">
      <c r="A3299">
        <v>2023</v>
      </c>
      <c r="B3299" s="36">
        <v>2245</v>
      </c>
      <c r="C3299" s="90" t="str">
        <f>VLOOKUP(B3299,'All Districts'!$A$3:$B$874,2,FALSE)</f>
        <v>Horseheads</v>
      </c>
      <c r="D3299" s="40">
        <v>2988726</v>
      </c>
      <c r="E3299">
        <f>VLOOKUP(C3299,'All Districts'!$B$3:$C$874,2,FALSE)</f>
        <v>3614850</v>
      </c>
      <c r="F3299" s="91">
        <f>COUNTIF($E$2:$E$7106,E3299)</f>
        <v>9</v>
      </c>
    </row>
    <row r="3300" spans="1:6" x14ac:dyDescent="0.2">
      <c r="A3300">
        <v>2015</v>
      </c>
      <c r="B3300" s="13">
        <v>1100</v>
      </c>
      <c r="C3300" s="90" t="str">
        <f>VLOOKUP(B3300,'All Districts'!$A$3:$B$874,2,FALSE)</f>
        <v>Hudson</v>
      </c>
      <c r="D3300" s="14">
        <v>2492146</v>
      </c>
      <c r="E3300">
        <f>VLOOKUP(C3300,'All Districts'!$B$3:$C$874,2,FALSE)</f>
        <v>3614940</v>
      </c>
      <c r="F3300" s="91">
        <f>COUNTIF($E$2:$E$7106,E3300)</f>
        <v>9</v>
      </c>
    </row>
    <row r="3301" spans="1:6" x14ac:dyDescent="0.2">
      <c r="A3301">
        <v>2016</v>
      </c>
      <c r="B3301" s="13">
        <v>1100</v>
      </c>
      <c r="C3301" s="90" t="str">
        <f>VLOOKUP(B3301,'All Districts'!$A$3:$B$874,2,FALSE)</f>
        <v>Hudson</v>
      </c>
      <c r="D3301" s="16">
        <v>1905007</v>
      </c>
      <c r="E3301">
        <f>VLOOKUP(C3301,'All Districts'!$B$3:$C$874,2,FALSE)</f>
        <v>3614940</v>
      </c>
      <c r="F3301" s="91">
        <f>COUNTIF($E$2:$E$7106,E3301)</f>
        <v>9</v>
      </c>
    </row>
    <row r="3302" spans="1:6" x14ac:dyDescent="0.2">
      <c r="A3302">
        <v>2017</v>
      </c>
      <c r="B3302" s="13">
        <v>1100</v>
      </c>
      <c r="C3302" s="90" t="str">
        <f>VLOOKUP(B3302,'All Districts'!$A$3:$B$874,2,FALSE)</f>
        <v>Hudson</v>
      </c>
      <c r="D3302" s="16">
        <v>1926492</v>
      </c>
      <c r="E3302">
        <f>VLOOKUP(C3302,'All Districts'!$B$3:$C$874,2,FALSE)</f>
        <v>3614940</v>
      </c>
      <c r="F3302" s="91">
        <f>COUNTIF($E$2:$E$7106,E3302)</f>
        <v>9</v>
      </c>
    </row>
    <row r="3303" spans="1:6" x14ac:dyDescent="0.2">
      <c r="A3303" s="10">
        <v>2018</v>
      </c>
      <c r="B3303" s="13">
        <v>1100</v>
      </c>
      <c r="C3303" s="90" t="str">
        <f>VLOOKUP(B3303,'All Districts'!$A$3:$B$874,2,FALSE)</f>
        <v>Hudson</v>
      </c>
      <c r="D3303" s="15">
        <v>1598807</v>
      </c>
      <c r="E3303">
        <f>VLOOKUP(C3303,'All Districts'!$B$3:$C$874,2,FALSE)</f>
        <v>3614940</v>
      </c>
      <c r="F3303" s="91">
        <f>COUNTIF($E$2:$E$7106,E3303)</f>
        <v>9</v>
      </c>
    </row>
    <row r="3304" spans="1:6" x14ac:dyDescent="0.2">
      <c r="A3304">
        <v>2019</v>
      </c>
      <c r="B3304" s="36">
        <v>1100</v>
      </c>
      <c r="C3304" s="90" t="str">
        <f>VLOOKUP(B3304,'All Districts'!$A$3:$B$874,2,FALSE)</f>
        <v>Hudson</v>
      </c>
      <c r="D3304" s="40">
        <v>1783458</v>
      </c>
      <c r="E3304">
        <f>VLOOKUP(C3304,'All Districts'!$B$3:$C$874,2,FALSE)</f>
        <v>3614940</v>
      </c>
      <c r="F3304" s="91">
        <f>COUNTIF($E$2:$E$7106,E3304)</f>
        <v>9</v>
      </c>
    </row>
    <row r="3305" spans="1:6" x14ac:dyDescent="0.2">
      <c r="A3305">
        <v>2020</v>
      </c>
      <c r="B3305" s="36">
        <v>1100</v>
      </c>
      <c r="C3305" s="90" t="str">
        <f>VLOOKUP(B3305,'All Districts'!$A$3:$B$874,2,FALSE)</f>
        <v>Hudson</v>
      </c>
      <c r="D3305" s="40">
        <v>1526295</v>
      </c>
      <c r="E3305">
        <f>VLOOKUP(C3305,'All Districts'!$B$3:$C$874,2,FALSE)</f>
        <v>3614940</v>
      </c>
      <c r="F3305" s="91">
        <f>COUNTIF($E$2:$E$7106,E3305)</f>
        <v>9</v>
      </c>
    </row>
    <row r="3306" spans="1:6" x14ac:dyDescent="0.2">
      <c r="A3306" s="10">
        <v>2021</v>
      </c>
      <c r="B3306" s="52">
        <v>1100</v>
      </c>
      <c r="C3306" s="90" t="str">
        <f>VLOOKUP(B3306,'All Districts'!$A$3:$B$874,2,FALSE)</f>
        <v>Hudson</v>
      </c>
      <c r="D3306" s="76">
        <v>1664982</v>
      </c>
      <c r="E3306">
        <f>VLOOKUP(C3306,'All Districts'!$B$3:$C$874,2,FALSE)</f>
        <v>3614940</v>
      </c>
      <c r="F3306" s="91">
        <f>COUNTIF($E$2:$E$7106,E3306)</f>
        <v>9</v>
      </c>
    </row>
    <row r="3307" spans="1:6" x14ac:dyDescent="0.2">
      <c r="A3307">
        <v>2022</v>
      </c>
      <c r="B3307" s="36">
        <v>1100</v>
      </c>
      <c r="C3307" s="90" t="str">
        <f>VLOOKUP(B3307,'All Districts'!$A$3:$B$874,2,FALSE)</f>
        <v>Hudson</v>
      </c>
      <c r="D3307" s="82">
        <v>1710000</v>
      </c>
      <c r="E3307">
        <f>VLOOKUP(C3307,'All Districts'!$B$3:$C$874,2,FALSE)</f>
        <v>3614940</v>
      </c>
      <c r="F3307" s="91">
        <f>COUNTIF($E$2:$E$7106,E3307)</f>
        <v>9</v>
      </c>
    </row>
    <row r="3308" spans="1:6" x14ac:dyDescent="0.2">
      <c r="A3308">
        <v>2023</v>
      </c>
      <c r="B3308" s="36">
        <v>1100</v>
      </c>
      <c r="C3308" s="90" t="str">
        <f>VLOOKUP(B3308,'All Districts'!$A$3:$B$874,2,FALSE)</f>
        <v>Hudson</v>
      </c>
      <c r="D3308" s="40">
        <v>1868851</v>
      </c>
      <c r="E3308">
        <f>VLOOKUP(C3308,'All Districts'!$B$3:$C$874,2,FALSE)</f>
        <v>3614940</v>
      </c>
      <c r="F3308" s="91">
        <f>COUNTIF($E$2:$E$7106,E3308)</f>
        <v>9</v>
      </c>
    </row>
    <row r="3309" spans="1:6" x14ac:dyDescent="0.2">
      <c r="A3309">
        <v>2015</v>
      </c>
      <c r="B3309" s="13">
        <v>2250</v>
      </c>
      <c r="C3309" s="90" t="str">
        <f>VLOOKUP(B3309,'All Districts'!$A$3:$B$874,2,FALSE)</f>
        <v>Hudson Falls</v>
      </c>
      <c r="D3309" s="14">
        <v>2289634</v>
      </c>
      <c r="E3309">
        <f>VLOOKUP(C3309,'All Districts'!$B$3:$C$874,2,FALSE)</f>
        <v>3614970</v>
      </c>
      <c r="F3309" s="91">
        <f>COUNTIF($E$2:$E$7106,E3309)</f>
        <v>9</v>
      </c>
    </row>
    <row r="3310" spans="1:6" x14ac:dyDescent="0.2">
      <c r="A3310">
        <v>2016</v>
      </c>
      <c r="B3310" s="13">
        <v>2250</v>
      </c>
      <c r="C3310" s="90" t="str">
        <f>VLOOKUP(B3310,'All Districts'!$A$3:$B$874,2,FALSE)</f>
        <v>Hudson Falls</v>
      </c>
      <c r="D3310" s="16">
        <v>1830096</v>
      </c>
      <c r="E3310">
        <f>VLOOKUP(C3310,'All Districts'!$B$3:$C$874,2,FALSE)</f>
        <v>3614970</v>
      </c>
      <c r="F3310" s="91">
        <f>COUNTIF($E$2:$E$7106,E3310)</f>
        <v>9</v>
      </c>
    </row>
    <row r="3311" spans="1:6" x14ac:dyDescent="0.2">
      <c r="A3311">
        <v>2017</v>
      </c>
      <c r="B3311" s="13">
        <v>2250</v>
      </c>
      <c r="C3311" s="90" t="str">
        <f>VLOOKUP(B3311,'All Districts'!$A$3:$B$874,2,FALSE)</f>
        <v>Hudson Falls</v>
      </c>
      <c r="D3311" s="16">
        <v>1660295</v>
      </c>
      <c r="E3311">
        <f>VLOOKUP(C3311,'All Districts'!$B$3:$C$874,2,FALSE)</f>
        <v>3614970</v>
      </c>
      <c r="F3311" s="91">
        <f>COUNTIF($E$2:$E$7106,E3311)</f>
        <v>9</v>
      </c>
    </row>
    <row r="3312" spans="1:6" x14ac:dyDescent="0.2">
      <c r="A3312" s="10">
        <v>2018</v>
      </c>
      <c r="B3312" s="13">
        <v>2250</v>
      </c>
      <c r="C3312" s="90" t="str">
        <f>VLOOKUP(B3312,'All Districts'!$A$3:$B$874,2,FALSE)</f>
        <v>Hudson Falls</v>
      </c>
      <c r="D3312" s="15">
        <v>1431289</v>
      </c>
      <c r="E3312">
        <f>VLOOKUP(C3312,'All Districts'!$B$3:$C$874,2,FALSE)</f>
        <v>3614970</v>
      </c>
      <c r="F3312" s="91">
        <f>COUNTIF($E$2:$E$7106,E3312)</f>
        <v>9</v>
      </c>
    </row>
    <row r="3313" spans="1:6" x14ac:dyDescent="0.2">
      <c r="A3313">
        <v>2019</v>
      </c>
      <c r="B3313" s="36">
        <v>2250</v>
      </c>
      <c r="C3313" s="90" t="str">
        <f>VLOOKUP(B3313,'All Districts'!$A$3:$B$874,2,FALSE)</f>
        <v>Hudson Falls</v>
      </c>
      <c r="D3313" s="40">
        <v>1581491</v>
      </c>
      <c r="E3313">
        <f>VLOOKUP(C3313,'All Districts'!$B$3:$C$874,2,FALSE)</f>
        <v>3614970</v>
      </c>
      <c r="F3313" s="91">
        <f>COUNTIF($E$2:$E$7106,E3313)</f>
        <v>9</v>
      </c>
    </row>
    <row r="3314" spans="1:6" x14ac:dyDescent="0.2">
      <c r="A3314">
        <v>2020</v>
      </c>
      <c r="B3314" s="36">
        <v>2250</v>
      </c>
      <c r="C3314" s="90" t="str">
        <f>VLOOKUP(B3314,'All Districts'!$A$3:$B$874,2,FALSE)</f>
        <v>Hudson Falls</v>
      </c>
      <c r="D3314" s="40">
        <v>1336255</v>
      </c>
      <c r="E3314">
        <f>VLOOKUP(C3314,'All Districts'!$B$3:$C$874,2,FALSE)</f>
        <v>3614970</v>
      </c>
      <c r="F3314" s="91">
        <f>COUNTIF($E$2:$E$7106,E3314)</f>
        <v>9</v>
      </c>
    </row>
    <row r="3315" spans="1:6" x14ac:dyDescent="0.2">
      <c r="A3315" s="10">
        <v>2021</v>
      </c>
      <c r="B3315" s="52">
        <v>2250</v>
      </c>
      <c r="C3315" s="90" t="str">
        <f>VLOOKUP(B3315,'All Districts'!$A$3:$B$874,2,FALSE)</f>
        <v>Hudson Falls</v>
      </c>
      <c r="D3315" s="76">
        <v>1439511</v>
      </c>
      <c r="E3315">
        <f>VLOOKUP(C3315,'All Districts'!$B$3:$C$874,2,FALSE)</f>
        <v>3614970</v>
      </c>
      <c r="F3315" s="91">
        <f>COUNTIF($E$2:$E$7106,E3315)</f>
        <v>9</v>
      </c>
    </row>
    <row r="3316" spans="1:6" x14ac:dyDescent="0.2">
      <c r="A3316">
        <v>2022</v>
      </c>
      <c r="B3316" s="36">
        <v>2250</v>
      </c>
      <c r="C3316" s="90" t="str">
        <f>VLOOKUP(B3316,'All Districts'!$A$3:$B$874,2,FALSE)</f>
        <v>Hudson Falls</v>
      </c>
      <c r="D3316" s="82">
        <v>1632082</v>
      </c>
      <c r="E3316">
        <f>VLOOKUP(C3316,'All Districts'!$B$3:$C$874,2,FALSE)</f>
        <v>3614970</v>
      </c>
      <c r="F3316" s="91">
        <f>COUNTIF($E$2:$E$7106,E3316)</f>
        <v>9</v>
      </c>
    </row>
    <row r="3317" spans="1:6" x14ac:dyDescent="0.2">
      <c r="A3317">
        <v>2023</v>
      </c>
      <c r="B3317" s="36">
        <v>2250</v>
      </c>
      <c r="C3317" s="90" t="str">
        <f>VLOOKUP(B3317,'All Districts'!$A$3:$B$874,2,FALSE)</f>
        <v>Hudson Falls</v>
      </c>
      <c r="D3317" s="40">
        <v>1860348</v>
      </c>
      <c r="E3317">
        <f>VLOOKUP(C3317,'All Districts'!$B$3:$C$874,2,FALSE)</f>
        <v>3614970</v>
      </c>
      <c r="F3317" s="91">
        <f>COUNTIF($E$2:$E$7106,E3317)</f>
        <v>9</v>
      </c>
    </row>
    <row r="3318" spans="1:6" x14ac:dyDescent="0.2">
      <c r="A3318">
        <v>2015</v>
      </c>
      <c r="B3318" s="13">
        <v>3979</v>
      </c>
      <c r="C3318" s="90" t="str">
        <f>VLOOKUP(B3318,'All Districts'!$A$3:$B$874,2,FALSE)</f>
        <v>Hunter-Tannersville</v>
      </c>
      <c r="D3318" s="14">
        <v>688333</v>
      </c>
      <c r="E3318">
        <f>VLOOKUP(C3318,'All Districts'!$B$3:$C$874,2,FALSE)</f>
        <v>3615060</v>
      </c>
      <c r="F3318" s="91">
        <f>COUNTIF($E$2:$E$7106,E3318)</f>
        <v>9</v>
      </c>
    </row>
    <row r="3319" spans="1:6" x14ac:dyDescent="0.2">
      <c r="A3319">
        <v>2016</v>
      </c>
      <c r="B3319" s="13">
        <v>3979</v>
      </c>
      <c r="C3319" s="90" t="str">
        <f>VLOOKUP(B3319,'All Districts'!$A$3:$B$874,2,FALSE)</f>
        <v>Hunter-Tannersville</v>
      </c>
      <c r="D3319" s="16">
        <v>531964</v>
      </c>
      <c r="E3319">
        <f>VLOOKUP(C3319,'All Districts'!$B$3:$C$874,2,FALSE)</f>
        <v>3615060</v>
      </c>
      <c r="F3319" s="91">
        <f>COUNTIF($E$2:$E$7106,E3319)</f>
        <v>9</v>
      </c>
    </row>
    <row r="3320" spans="1:6" x14ac:dyDescent="0.2">
      <c r="A3320">
        <v>2017</v>
      </c>
      <c r="B3320" s="13">
        <v>3979</v>
      </c>
      <c r="C3320" s="90" t="str">
        <f>VLOOKUP(B3320,'All Districts'!$A$3:$B$874,2,FALSE)</f>
        <v>Hunter-Tannersville</v>
      </c>
      <c r="D3320" s="16">
        <v>473060</v>
      </c>
      <c r="E3320">
        <f>VLOOKUP(C3320,'All Districts'!$B$3:$C$874,2,FALSE)</f>
        <v>3615060</v>
      </c>
      <c r="F3320" s="91">
        <f>COUNTIF($E$2:$E$7106,E3320)</f>
        <v>9</v>
      </c>
    </row>
    <row r="3321" spans="1:6" x14ac:dyDescent="0.2">
      <c r="A3321" s="10">
        <v>2018</v>
      </c>
      <c r="B3321" s="13">
        <v>3979</v>
      </c>
      <c r="C3321" s="90" t="str">
        <f>VLOOKUP(B3321,'All Districts'!$A$3:$B$874,2,FALSE)</f>
        <v>Hunter-Tannersville</v>
      </c>
      <c r="D3321" s="15">
        <v>400456</v>
      </c>
      <c r="E3321">
        <f>VLOOKUP(C3321,'All Districts'!$B$3:$C$874,2,FALSE)</f>
        <v>3615060</v>
      </c>
      <c r="F3321" s="91">
        <f>COUNTIF($E$2:$E$7106,E3321)</f>
        <v>9</v>
      </c>
    </row>
    <row r="3322" spans="1:6" x14ac:dyDescent="0.2">
      <c r="A3322">
        <v>2019</v>
      </c>
      <c r="B3322" s="36">
        <v>3979</v>
      </c>
      <c r="C3322" s="90" t="str">
        <f>VLOOKUP(B3322,'All Districts'!$A$3:$B$874,2,FALSE)</f>
        <v>Hunter-Tannersville</v>
      </c>
      <c r="D3322" s="40">
        <v>436610</v>
      </c>
      <c r="E3322">
        <f>VLOOKUP(C3322,'All Districts'!$B$3:$C$874,2,FALSE)</f>
        <v>3615060</v>
      </c>
      <c r="F3322" s="91">
        <f>COUNTIF($E$2:$E$7106,E3322)</f>
        <v>9</v>
      </c>
    </row>
    <row r="3323" spans="1:6" x14ac:dyDescent="0.2">
      <c r="A3323">
        <v>2020</v>
      </c>
      <c r="B3323" s="36">
        <v>3979</v>
      </c>
      <c r="C3323" s="90" t="str">
        <f>VLOOKUP(B3323,'All Districts'!$A$3:$B$874,2,FALSE)</f>
        <v>Hunter-Tannersville</v>
      </c>
      <c r="D3323" s="40">
        <v>396234</v>
      </c>
      <c r="E3323">
        <f>VLOOKUP(C3323,'All Districts'!$B$3:$C$874,2,FALSE)</f>
        <v>3615060</v>
      </c>
      <c r="F3323" s="91">
        <f>COUNTIF($E$2:$E$7106,E3323)</f>
        <v>9</v>
      </c>
    </row>
    <row r="3324" spans="1:6" x14ac:dyDescent="0.2">
      <c r="A3324" s="10">
        <v>2021</v>
      </c>
      <c r="B3324" s="55">
        <v>3979</v>
      </c>
      <c r="C3324" s="90" t="str">
        <f>VLOOKUP(B3324,'All Districts'!$A$3:$B$874,2,FALSE)</f>
        <v>Hunter-Tannersville</v>
      </c>
      <c r="D3324" s="76">
        <v>437128</v>
      </c>
      <c r="E3324">
        <f>VLOOKUP(C3324,'All Districts'!$B$3:$C$874,2,FALSE)</f>
        <v>3615060</v>
      </c>
      <c r="F3324" s="91">
        <f>COUNTIF($E$2:$E$7106,E3324)</f>
        <v>9</v>
      </c>
    </row>
    <row r="3325" spans="1:6" x14ac:dyDescent="0.2">
      <c r="A3325">
        <v>2022</v>
      </c>
      <c r="B3325" s="36">
        <v>3979</v>
      </c>
      <c r="C3325" s="90" t="str">
        <f>VLOOKUP(B3325,'All Districts'!$A$3:$B$874,2,FALSE)</f>
        <v>Hunter-Tannersville</v>
      </c>
      <c r="D3325" s="82">
        <v>487281</v>
      </c>
      <c r="E3325">
        <f>VLOOKUP(C3325,'All Districts'!$B$3:$C$874,2,FALSE)</f>
        <v>3615060</v>
      </c>
      <c r="F3325" s="91">
        <f>COUNTIF($E$2:$E$7106,E3325)</f>
        <v>9</v>
      </c>
    </row>
    <row r="3326" spans="1:6" x14ac:dyDescent="0.2">
      <c r="A3326">
        <v>2023</v>
      </c>
      <c r="B3326" s="36">
        <v>3979</v>
      </c>
      <c r="C3326" s="90" t="str">
        <f>VLOOKUP(B3326,'All Districts'!$A$3:$B$874,2,FALSE)</f>
        <v>Hunter-Tannersville</v>
      </c>
      <c r="D3326" s="40">
        <v>534448</v>
      </c>
      <c r="E3326">
        <f>VLOOKUP(C3326,'All Districts'!$B$3:$C$874,2,FALSE)</f>
        <v>3615060</v>
      </c>
      <c r="F3326" s="91">
        <f>COUNTIF($E$2:$E$7106,E3326)</f>
        <v>9</v>
      </c>
    </row>
    <row r="3327" spans="1:6" x14ac:dyDescent="0.2">
      <c r="A3327">
        <v>2015</v>
      </c>
      <c r="B3327" s="13">
        <v>2255</v>
      </c>
      <c r="C3327" s="90" t="str">
        <f>VLOOKUP(B3327,'All Districts'!$A$3:$B$874,2,FALSE)</f>
        <v>Huntington</v>
      </c>
      <c r="D3327" s="14">
        <v>7339718</v>
      </c>
      <c r="E3327">
        <f>VLOOKUP(C3327,'All Districts'!$B$3:$C$874,2,FALSE)</f>
        <v>3615090</v>
      </c>
      <c r="F3327" s="91">
        <f>COUNTIF($E$2:$E$7106,E3327)</f>
        <v>9</v>
      </c>
    </row>
    <row r="3328" spans="1:6" x14ac:dyDescent="0.2">
      <c r="A3328">
        <v>2016</v>
      </c>
      <c r="B3328" s="13">
        <v>2255</v>
      </c>
      <c r="C3328" s="90" t="str">
        <f>VLOOKUP(B3328,'All Districts'!$A$3:$B$874,2,FALSE)</f>
        <v>Huntington</v>
      </c>
      <c r="D3328" s="16">
        <v>5707152</v>
      </c>
      <c r="E3328">
        <f>VLOOKUP(C3328,'All Districts'!$B$3:$C$874,2,FALSE)</f>
        <v>3615090</v>
      </c>
      <c r="F3328" s="91">
        <f>COUNTIF($E$2:$E$7106,E3328)</f>
        <v>9</v>
      </c>
    </row>
    <row r="3329" spans="1:6" x14ac:dyDescent="0.2">
      <c r="A3329">
        <v>2017</v>
      </c>
      <c r="B3329" s="13">
        <v>2255</v>
      </c>
      <c r="C3329" s="90" t="str">
        <f>VLOOKUP(B3329,'All Districts'!$A$3:$B$874,2,FALSE)</f>
        <v>Huntington</v>
      </c>
      <c r="D3329" s="16">
        <v>5307536</v>
      </c>
      <c r="E3329">
        <f>VLOOKUP(C3329,'All Districts'!$B$3:$C$874,2,FALSE)</f>
        <v>3615090</v>
      </c>
      <c r="F3329" s="91">
        <f>COUNTIF($E$2:$E$7106,E3329)</f>
        <v>9</v>
      </c>
    </row>
    <row r="3330" spans="1:6" x14ac:dyDescent="0.2">
      <c r="A3330" s="10">
        <v>2018</v>
      </c>
      <c r="B3330" s="13">
        <v>2255</v>
      </c>
      <c r="C3330" s="90" t="str">
        <f>VLOOKUP(B3330,'All Districts'!$A$3:$B$874,2,FALSE)</f>
        <v>Huntington</v>
      </c>
      <c r="D3330" s="15">
        <v>4572058</v>
      </c>
      <c r="E3330">
        <f>VLOOKUP(C3330,'All Districts'!$B$3:$C$874,2,FALSE)</f>
        <v>3615090</v>
      </c>
      <c r="F3330" s="91">
        <f>COUNTIF($E$2:$E$7106,E3330)</f>
        <v>9</v>
      </c>
    </row>
    <row r="3331" spans="1:6" x14ac:dyDescent="0.2">
      <c r="A3331">
        <v>2019</v>
      </c>
      <c r="B3331" s="36">
        <v>2255</v>
      </c>
      <c r="C3331" s="90" t="str">
        <f>VLOOKUP(B3331,'All Districts'!$A$3:$B$874,2,FALSE)</f>
        <v>Huntington</v>
      </c>
      <c r="D3331" s="40">
        <v>5025998</v>
      </c>
      <c r="E3331">
        <f>VLOOKUP(C3331,'All Districts'!$B$3:$C$874,2,FALSE)</f>
        <v>3615090</v>
      </c>
      <c r="F3331" s="91">
        <f>COUNTIF($E$2:$E$7106,E3331)</f>
        <v>9</v>
      </c>
    </row>
    <row r="3332" spans="1:6" x14ac:dyDescent="0.2">
      <c r="A3332">
        <v>2020</v>
      </c>
      <c r="B3332" s="36">
        <v>2255</v>
      </c>
      <c r="C3332" s="90" t="str">
        <f>VLOOKUP(B3332,'All Districts'!$A$3:$B$874,2,FALSE)</f>
        <v>Huntington</v>
      </c>
      <c r="D3332" s="40">
        <v>4270139</v>
      </c>
      <c r="E3332">
        <f>VLOOKUP(C3332,'All Districts'!$B$3:$C$874,2,FALSE)</f>
        <v>3615090</v>
      </c>
      <c r="F3332" s="91">
        <f>COUNTIF($E$2:$E$7106,E3332)</f>
        <v>9</v>
      </c>
    </row>
    <row r="3333" spans="1:6" x14ac:dyDescent="0.2">
      <c r="A3333" s="10">
        <v>2021</v>
      </c>
      <c r="B3333" s="73">
        <v>2255</v>
      </c>
      <c r="C3333" s="90" t="str">
        <f>VLOOKUP(B3333,'All Districts'!$A$3:$B$874,2,FALSE)</f>
        <v>Huntington</v>
      </c>
      <c r="D3333" s="75">
        <v>4604351</v>
      </c>
      <c r="E3333">
        <f>VLOOKUP(C3333,'All Districts'!$B$3:$C$874,2,FALSE)</f>
        <v>3615090</v>
      </c>
      <c r="F3333" s="91">
        <f>COUNTIF($E$2:$E$7106,E3333)</f>
        <v>9</v>
      </c>
    </row>
    <row r="3334" spans="1:6" x14ac:dyDescent="0.2">
      <c r="A3334">
        <v>2022</v>
      </c>
      <c r="B3334" s="36">
        <v>2255</v>
      </c>
      <c r="C3334" s="90" t="str">
        <f>VLOOKUP(B3334,'All Districts'!$A$3:$B$874,2,FALSE)</f>
        <v>Huntington</v>
      </c>
      <c r="D3334" s="82">
        <v>4884355</v>
      </c>
      <c r="E3334">
        <f>VLOOKUP(C3334,'All Districts'!$B$3:$C$874,2,FALSE)</f>
        <v>3615090</v>
      </c>
      <c r="F3334" s="91">
        <f>COUNTIF($E$2:$E$7106,E3334)</f>
        <v>9</v>
      </c>
    </row>
    <row r="3335" spans="1:6" x14ac:dyDescent="0.2">
      <c r="A3335">
        <v>2023</v>
      </c>
      <c r="B3335" s="36">
        <v>2255</v>
      </c>
      <c r="C3335" s="90" t="str">
        <f>VLOOKUP(B3335,'All Districts'!$A$3:$B$874,2,FALSE)</f>
        <v>Huntington</v>
      </c>
      <c r="D3335" s="40">
        <v>5560872</v>
      </c>
      <c r="E3335">
        <f>VLOOKUP(C3335,'All Districts'!$B$3:$C$874,2,FALSE)</f>
        <v>3615090</v>
      </c>
      <c r="F3335" s="91">
        <f>COUNTIF($E$2:$E$7106,E3335)</f>
        <v>9</v>
      </c>
    </row>
    <row r="3336" spans="1:6" x14ac:dyDescent="0.2">
      <c r="A3336">
        <v>2015</v>
      </c>
      <c r="B3336" s="13">
        <v>2260</v>
      </c>
      <c r="C3336" s="90" t="str">
        <f>VLOOKUP(B3336,'All Districts'!$A$3:$B$874,2,FALSE)</f>
        <v>Hyde Park</v>
      </c>
      <c r="D3336" s="14">
        <v>5420365</v>
      </c>
      <c r="E3336">
        <f>VLOOKUP(C3336,'All Districts'!$B$3:$C$874,2,FALSE)</f>
        <v>3615180</v>
      </c>
      <c r="F3336" s="91">
        <f>COUNTIF($E$2:$E$7106,E3336)</f>
        <v>9</v>
      </c>
    </row>
    <row r="3337" spans="1:6" x14ac:dyDescent="0.2">
      <c r="A3337">
        <v>2016</v>
      </c>
      <c r="B3337" s="13">
        <v>2260</v>
      </c>
      <c r="C3337" s="90" t="str">
        <f>VLOOKUP(B3337,'All Districts'!$A$3:$B$874,2,FALSE)</f>
        <v>Hyde Park</v>
      </c>
      <c r="D3337" s="16">
        <v>4162004</v>
      </c>
      <c r="E3337">
        <f>VLOOKUP(C3337,'All Districts'!$B$3:$C$874,2,FALSE)</f>
        <v>3615180</v>
      </c>
      <c r="F3337" s="91">
        <f>COUNTIF($E$2:$E$7106,E3337)</f>
        <v>9</v>
      </c>
    </row>
    <row r="3338" spans="1:6" x14ac:dyDescent="0.2">
      <c r="A3338">
        <v>2017</v>
      </c>
      <c r="B3338" s="13">
        <v>2260</v>
      </c>
      <c r="C3338" s="90" t="str">
        <f>VLOOKUP(B3338,'All Districts'!$A$3:$B$874,2,FALSE)</f>
        <v>Hyde Park</v>
      </c>
      <c r="D3338" s="16">
        <v>3729036</v>
      </c>
      <c r="E3338">
        <f>VLOOKUP(C3338,'All Districts'!$B$3:$C$874,2,FALSE)</f>
        <v>3615180</v>
      </c>
      <c r="F3338" s="91">
        <f>COUNTIF($E$2:$E$7106,E3338)</f>
        <v>9</v>
      </c>
    </row>
    <row r="3339" spans="1:6" x14ac:dyDescent="0.2">
      <c r="A3339" s="10">
        <v>2018</v>
      </c>
      <c r="B3339" s="13">
        <v>2260</v>
      </c>
      <c r="C3339" s="90" t="str">
        <f>VLOOKUP(B3339,'All Districts'!$A$3:$B$874,2,FALSE)</f>
        <v>Hyde Park</v>
      </c>
      <c r="D3339" s="15">
        <v>3138799</v>
      </c>
      <c r="E3339">
        <f>VLOOKUP(C3339,'All Districts'!$B$3:$C$874,2,FALSE)</f>
        <v>3615180</v>
      </c>
      <c r="F3339" s="91">
        <f>COUNTIF($E$2:$E$7106,E3339)</f>
        <v>9</v>
      </c>
    </row>
    <row r="3340" spans="1:6" x14ac:dyDescent="0.2">
      <c r="A3340">
        <v>2019</v>
      </c>
      <c r="B3340" s="36">
        <v>2260</v>
      </c>
      <c r="C3340" s="90" t="str">
        <f>VLOOKUP(B3340,'All Districts'!$A$3:$B$874,2,FALSE)</f>
        <v>Hyde Park</v>
      </c>
      <c r="D3340" s="40">
        <v>3459553</v>
      </c>
      <c r="E3340">
        <f>VLOOKUP(C3340,'All Districts'!$B$3:$C$874,2,FALSE)</f>
        <v>3615180</v>
      </c>
      <c r="F3340" s="91">
        <f>COUNTIF($E$2:$E$7106,E3340)</f>
        <v>9</v>
      </c>
    </row>
    <row r="3341" spans="1:6" x14ac:dyDescent="0.2">
      <c r="A3341">
        <v>2020</v>
      </c>
      <c r="B3341" s="36">
        <v>2260</v>
      </c>
      <c r="C3341" s="90" t="str">
        <f>VLOOKUP(B3341,'All Districts'!$A$3:$B$874,2,FALSE)</f>
        <v>Hyde Park</v>
      </c>
      <c r="D3341" s="40">
        <v>2934750</v>
      </c>
      <c r="E3341">
        <f>VLOOKUP(C3341,'All Districts'!$B$3:$C$874,2,FALSE)</f>
        <v>3615180</v>
      </c>
      <c r="F3341" s="91">
        <f>COUNTIF($E$2:$E$7106,E3341)</f>
        <v>9</v>
      </c>
    </row>
    <row r="3342" spans="1:6" x14ac:dyDescent="0.2">
      <c r="A3342" s="10">
        <v>2021</v>
      </c>
      <c r="B3342" s="52">
        <v>2260</v>
      </c>
      <c r="C3342" s="90" t="str">
        <f>VLOOKUP(B3342,'All Districts'!$A$3:$B$874,2,FALSE)</f>
        <v>Hyde Park</v>
      </c>
      <c r="D3342" s="75">
        <v>3134908</v>
      </c>
      <c r="E3342">
        <f>VLOOKUP(C3342,'All Districts'!$B$3:$C$874,2,FALSE)</f>
        <v>3615180</v>
      </c>
      <c r="F3342" s="91">
        <f>COUNTIF($E$2:$E$7106,E3342)</f>
        <v>9</v>
      </c>
    </row>
    <row r="3343" spans="1:6" x14ac:dyDescent="0.2">
      <c r="A3343">
        <v>2022</v>
      </c>
      <c r="B3343" s="36">
        <v>2260</v>
      </c>
      <c r="C3343" s="90" t="str">
        <f>VLOOKUP(B3343,'All Districts'!$A$3:$B$874,2,FALSE)</f>
        <v>Hyde Park</v>
      </c>
      <c r="D3343" s="82">
        <v>3387152</v>
      </c>
      <c r="E3343">
        <f>VLOOKUP(C3343,'All Districts'!$B$3:$C$874,2,FALSE)</f>
        <v>3615180</v>
      </c>
      <c r="F3343" s="91">
        <f>COUNTIF($E$2:$E$7106,E3343)</f>
        <v>9</v>
      </c>
    </row>
    <row r="3344" spans="1:6" x14ac:dyDescent="0.2">
      <c r="A3344">
        <v>2023</v>
      </c>
      <c r="B3344" s="36">
        <v>2260</v>
      </c>
      <c r="C3344" s="90" t="str">
        <f>VLOOKUP(B3344,'All Districts'!$A$3:$B$874,2,FALSE)</f>
        <v>Hyde Park</v>
      </c>
      <c r="D3344" s="40">
        <v>3786792</v>
      </c>
      <c r="E3344">
        <f>VLOOKUP(C3344,'All Districts'!$B$3:$C$874,2,FALSE)</f>
        <v>3615180</v>
      </c>
      <c r="F3344" s="91">
        <f>COUNTIF($E$2:$E$7106,E3344)</f>
        <v>9</v>
      </c>
    </row>
    <row r="3345" spans="1:6" x14ac:dyDescent="0.2">
      <c r="A3345">
        <v>2015</v>
      </c>
      <c r="B3345" s="13">
        <v>5693</v>
      </c>
      <c r="C3345" s="90" t="str">
        <f>VLOOKUP(B3345,'All Districts'!$A$3:$B$874,2,FALSE)</f>
        <v>Indian Lake</v>
      </c>
      <c r="D3345" s="15">
        <v>372262</v>
      </c>
      <c r="E3345">
        <f>VLOOKUP(C3345,'All Districts'!$B$3:$C$874,2,FALSE)</f>
        <v>3615270</v>
      </c>
      <c r="F3345" s="91">
        <f>COUNTIF($E$2:$E$7106,E3345)</f>
        <v>9</v>
      </c>
    </row>
    <row r="3346" spans="1:6" x14ac:dyDescent="0.2">
      <c r="A3346">
        <v>2016</v>
      </c>
      <c r="B3346" s="13">
        <v>5693</v>
      </c>
      <c r="C3346" s="90" t="str">
        <f>VLOOKUP(B3346,'All Districts'!$A$3:$B$874,2,FALSE)</f>
        <v>Indian Lake</v>
      </c>
      <c r="D3346" s="16">
        <v>281610</v>
      </c>
      <c r="E3346">
        <f>VLOOKUP(C3346,'All Districts'!$B$3:$C$874,2,FALSE)</f>
        <v>3615270</v>
      </c>
      <c r="F3346" s="91">
        <f>COUNTIF($E$2:$E$7106,E3346)</f>
        <v>9</v>
      </c>
    </row>
    <row r="3347" spans="1:6" x14ac:dyDescent="0.2">
      <c r="A3347">
        <v>2017</v>
      </c>
      <c r="B3347" s="13">
        <v>5693</v>
      </c>
      <c r="C3347" s="90" t="str">
        <f>VLOOKUP(B3347,'All Districts'!$A$3:$B$874,2,FALSE)</f>
        <v>Indian Lake</v>
      </c>
      <c r="D3347" s="16">
        <v>231919</v>
      </c>
      <c r="E3347">
        <f>VLOOKUP(C3347,'All Districts'!$B$3:$C$874,2,FALSE)</f>
        <v>3615270</v>
      </c>
      <c r="F3347" s="91">
        <f>COUNTIF($E$2:$E$7106,E3347)</f>
        <v>9</v>
      </c>
    </row>
    <row r="3348" spans="1:6" x14ac:dyDescent="0.2">
      <c r="A3348" s="10">
        <v>2018</v>
      </c>
      <c r="B3348" s="13">
        <v>5693</v>
      </c>
      <c r="C3348" s="90" t="str">
        <f>VLOOKUP(B3348,'All Districts'!$A$3:$B$874,2,FALSE)</f>
        <v>Indian Lake</v>
      </c>
      <c r="D3348" s="15">
        <v>197991</v>
      </c>
      <c r="E3348">
        <f>VLOOKUP(C3348,'All Districts'!$B$3:$C$874,2,FALSE)</f>
        <v>3615270</v>
      </c>
      <c r="F3348" s="91">
        <f>COUNTIF($E$2:$E$7106,E3348)</f>
        <v>9</v>
      </c>
    </row>
    <row r="3349" spans="1:6" x14ac:dyDescent="0.2">
      <c r="A3349">
        <v>2019</v>
      </c>
      <c r="B3349" s="36">
        <v>5693</v>
      </c>
      <c r="C3349" s="90" t="str">
        <f>VLOOKUP(B3349,'All Districts'!$A$3:$B$874,2,FALSE)</f>
        <v>Indian Lake</v>
      </c>
      <c r="D3349" s="40">
        <v>219226</v>
      </c>
      <c r="E3349">
        <f>VLOOKUP(C3349,'All Districts'!$B$3:$C$874,2,FALSE)</f>
        <v>3615270</v>
      </c>
      <c r="F3349" s="91">
        <f>COUNTIF($E$2:$E$7106,E3349)</f>
        <v>9</v>
      </c>
    </row>
    <row r="3350" spans="1:6" x14ac:dyDescent="0.2">
      <c r="A3350">
        <v>2020</v>
      </c>
      <c r="B3350" s="36">
        <v>5693</v>
      </c>
      <c r="C3350" s="90" t="str">
        <f>VLOOKUP(B3350,'All Districts'!$A$3:$B$874,2,FALSE)</f>
        <v>Indian Lake</v>
      </c>
      <c r="D3350" s="40">
        <v>181573</v>
      </c>
      <c r="E3350">
        <f>VLOOKUP(C3350,'All Districts'!$B$3:$C$874,2,FALSE)</f>
        <v>3615270</v>
      </c>
      <c r="F3350" s="91">
        <f>COUNTIF($E$2:$E$7106,E3350)</f>
        <v>9</v>
      </c>
    </row>
    <row r="3351" spans="1:6" x14ac:dyDescent="0.2">
      <c r="A3351" s="10">
        <v>2021</v>
      </c>
      <c r="B3351" s="52">
        <v>5693</v>
      </c>
      <c r="C3351" s="90" t="str">
        <f>VLOOKUP(B3351,'All Districts'!$A$3:$B$874,2,FALSE)</f>
        <v>Indian Lake</v>
      </c>
      <c r="D3351" s="75">
        <v>202860</v>
      </c>
      <c r="E3351">
        <f>VLOOKUP(C3351,'All Districts'!$B$3:$C$874,2,FALSE)</f>
        <v>3615270</v>
      </c>
      <c r="F3351" s="91">
        <f>COUNTIF($E$2:$E$7106,E3351)</f>
        <v>9</v>
      </c>
    </row>
    <row r="3352" spans="1:6" x14ac:dyDescent="0.2">
      <c r="A3352">
        <v>2022</v>
      </c>
      <c r="B3352" s="36">
        <v>5693</v>
      </c>
      <c r="C3352" s="90" t="str">
        <f>VLOOKUP(B3352,'All Districts'!$A$3:$B$874,2,FALSE)</f>
        <v>Indian Lake</v>
      </c>
      <c r="D3352" s="82">
        <v>228118</v>
      </c>
      <c r="E3352">
        <f>VLOOKUP(C3352,'All Districts'!$B$3:$C$874,2,FALSE)</f>
        <v>3615270</v>
      </c>
      <c r="F3352" s="91">
        <f>COUNTIF($E$2:$E$7106,E3352)</f>
        <v>9</v>
      </c>
    </row>
    <row r="3353" spans="1:6" x14ac:dyDescent="0.2">
      <c r="A3353">
        <v>2023</v>
      </c>
      <c r="B3353" s="36">
        <v>5693</v>
      </c>
      <c r="C3353" s="90" t="str">
        <f>VLOOKUP(B3353,'All Districts'!$A$3:$B$874,2,FALSE)</f>
        <v>Indian Lake</v>
      </c>
      <c r="D3353" s="40">
        <v>238146</v>
      </c>
      <c r="E3353">
        <f>VLOOKUP(C3353,'All Districts'!$B$3:$C$874,2,FALSE)</f>
        <v>3615270</v>
      </c>
      <c r="F3353" s="91">
        <f>COUNTIF($E$2:$E$7106,E3353)</f>
        <v>9</v>
      </c>
    </row>
    <row r="3354" spans="1:6" x14ac:dyDescent="0.2">
      <c r="A3354">
        <v>2015</v>
      </c>
      <c r="B3354" s="13">
        <v>2266</v>
      </c>
      <c r="C3354" s="90" t="str">
        <f>VLOOKUP(B3354,'All Districts'!$A$3:$B$874,2,FALSE)</f>
        <v>Indian River</v>
      </c>
      <c r="D3354" s="14">
        <v>4361645</v>
      </c>
      <c r="E3354">
        <f>VLOOKUP(C3354,'All Districts'!$B$3:$C$874,2,FALSE)</f>
        <v>3615300</v>
      </c>
      <c r="F3354" s="91">
        <f>COUNTIF($E$2:$E$7106,E3354)</f>
        <v>9</v>
      </c>
    </row>
    <row r="3355" spans="1:6" x14ac:dyDescent="0.2">
      <c r="A3355">
        <v>2016</v>
      </c>
      <c r="B3355" s="13">
        <v>2266</v>
      </c>
      <c r="C3355" s="90" t="str">
        <f>VLOOKUP(B3355,'All Districts'!$A$3:$B$874,2,FALSE)</f>
        <v>Indian River</v>
      </c>
      <c r="D3355" s="16">
        <v>3385864</v>
      </c>
      <c r="E3355">
        <f>VLOOKUP(C3355,'All Districts'!$B$3:$C$874,2,FALSE)</f>
        <v>3615300</v>
      </c>
      <c r="F3355" s="91">
        <f>COUNTIF($E$2:$E$7106,E3355)</f>
        <v>9</v>
      </c>
    </row>
    <row r="3356" spans="1:6" x14ac:dyDescent="0.2">
      <c r="A3356">
        <v>2017</v>
      </c>
      <c r="B3356" s="13">
        <v>2266</v>
      </c>
      <c r="C3356" s="90" t="str">
        <f>VLOOKUP(B3356,'All Districts'!$A$3:$B$874,2,FALSE)</f>
        <v>Indian River</v>
      </c>
      <c r="D3356" s="16">
        <v>3054231</v>
      </c>
      <c r="E3356">
        <f>VLOOKUP(C3356,'All Districts'!$B$3:$C$874,2,FALSE)</f>
        <v>3615300</v>
      </c>
      <c r="F3356" s="91">
        <f>COUNTIF($E$2:$E$7106,E3356)</f>
        <v>9</v>
      </c>
    </row>
    <row r="3357" spans="1:6" x14ac:dyDescent="0.2">
      <c r="A3357" s="10">
        <v>2018</v>
      </c>
      <c r="B3357" s="13">
        <v>2266</v>
      </c>
      <c r="C3357" s="90" t="str">
        <f>VLOOKUP(B3357,'All Districts'!$A$3:$B$874,2,FALSE)</f>
        <v>Indian River</v>
      </c>
      <c r="D3357" s="15">
        <v>2605522</v>
      </c>
      <c r="E3357">
        <f>VLOOKUP(C3357,'All Districts'!$B$3:$C$874,2,FALSE)</f>
        <v>3615300</v>
      </c>
      <c r="F3357" s="91">
        <f>COUNTIF($E$2:$E$7106,E3357)</f>
        <v>9</v>
      </c>
    </row>
    <row r="3358" spans="1:6" x14ac:dyDescent="0.2">
      <c r="A3358">
        <v>2019</v>
      </c>
      <c r="B3358" s="36">
        <v>2266</v>
      </c>
      <c r="C3358" s="90" t="str">
        <f>VLOOKUP(B3358,'All Districts'!$A$3:$B$874,2,FALSE)</f>
        <v>Indian River</v>
      </c>
      <c r="D3358" s="40">
        <v>2888150</v>
      </c>
      <c r="E3358">
        <f>VLOOKUP(C3358,'All Districts'!$B$3:$C$874,2,FALSE)</f>
        <v>3615300</v>
      </c>
      <c r="F3358" s="91">
        <f>COUNTIF($E$2:$E$7106,E3358)</f>
        <v>9</v>
      </c>
    </row>
    <row r="3359" spans="1:6" x14ac:dyDescent="0.2">
      <c r="A3359">
        <v>2020</v>
      </c>
      <c r="B3359" s="36">
        <v>2266</v>
      </c>
      <c r="C3359" s="90" t="str">
        <f>VLOOKUP(B3359,'All Districts'!$A$3:$B$874,2,FALSE)</f>
        <v>Indian River</v>
      </c>
      <c r="D3359" s="40">
        <v>2428649</v>
      </c>
      <c r="E3359">
        <f>VLOOKUP(C3359,'All Districts'!$B$3:$C$874,2,FALSE)</f>
        <v>3615300</v>
      </c>
      <c r="F3359" s="91">
        <f>COUNTIF($E$2:$E$7106,E3359)</f>
        <v>9</v>
      </c>
    </row>
    <row r="3360" spans="1:6" x14ac:dyDescent="0.2">
      <c r="A3360" s="10">
        <v>2021</v>
      </c>
      <c r="B3360" s="55">
        <v>2266</v>
      </c>
      <c r="C3360" s="90" t="str">
        <f>VLOOKUP(B3360,'All Districts'!$A$3:$B$874,2,FALSE)</f>
        <v>Indian River</v>
      </c>
      <c r="D3360" s="75">
        <v>2595318</v>
      </c>
      <c r="E3360">
        <f>VLOOKUP(C3360,'All Districts'!$B$3:$C$874,2,FALSE)</f>
        <v>3615300</v>
      </c>
      <c r="F3360" s="91">
        <f>COUNTIF($E$2:$E$7106,E3360)</f>
        <v>9</v>
      </c>
    </row>
    <row r="3361" spans="1:6" x14ac:dyDescent="0.2">
      <c r="A3361">
        <v>2022</v>
      </c>
      <c r="B3361" s="36">
        <v>2266</v>
      </c>
      <c r="C3361" s="90" t="str">
        <f>VLOOKUP(B3361,'All Districts'!$A$3:$B$874,2,FALSE)</f>
        <v>Indian River</v>
      </c>
      <c r="D3361" s="82">
        <v>2722438</v>
      </c>
      <c r="E3361">
        <f>VLOOKUP(C3361,'All Districts'!$B$3:$C$874,2,FALSE)</f>
        <v>3615300</v>
      </c>
      <c r="F3361" s="91">
        <f>COUNTIF($E$2:$E$7106,E3361)</f>
        <v>9</v>
      </c>
    </row>
    <row r="3362" spans="1:6" x14ac:dyDescent="0.2">
      <c r="A3362">
        <v>2023</v>
      </c>
      <c r="B3362" s="36">
        <v>2266</v>
      </c>
      <c r="C3362" s="90" t="str">
        <f>VLOOKUP(B3362,'All Districts'!$A$3:$B$874,2,FALSE)</f>
        <v>Indian River</v>
      </c>
      <c r="D3362" s="40">
        <v>3022451</v>
      </c>
      <c r="E3362">
        <f>VLOOKUP(C3362,'All Districts'!$B$3:$C$874,2,FALSE)</f>
        <v>3615300</v>
      </c>
      <c r="F3362" s="91">
        <f>COUNTIF($E$2:$E$7106,E3362)</f>
        <v>9</v>
      </c>
    </row>
    <row r="3363" spans="1:6" x14ac:dyDescent="0.2">
      <c r="A3363">
        <v>2015</v>
      </c>
      <c r="B3363" s="13">
        <v>4124</v>
      </c>
      <c r="C3363" s="90" t="str">
        <f>VLOOKUP(B3363,'All Districts'!$A$3:$B$874,2,FALSE)</f>
        <v>Inlet</v>
      </c>
      <c r="D3363" s="14">
        <v>54247</v>
      </c>
      <c r="E3363">
        <f>VLOOKUP(C3363,'All Districts'!$B$3:$C$874,2,FALSE)</f>
        <v>3615330</v>
      </c>
      <c r="F3363" s="91">
        <f>COUNTIF($E$2:$E$7106,E3363)</f>
        <v>9</v>
      </c>
    </row>
    <row r="3364" spans="1:6" x14ac:dyDescent="0.2">
      <c r="A3364">
        <v>2016</v>
      </c>
      <c r="B3364" s="13">
        <v>4124</v>
      </c>
      <c r="C3364" s="90" t="str">
        <f>VLOOKUP(B3364,'All Districts'!$A$3:$B$874,2,FALSE)</f>
        <v>Inlet</v>
      </c>
      <c r="D3364" s="16">
        <v>37194</v>
      </c>
      <c r="E3364">
        <f>VLOOKUP(C3364,'All Districts'!$B$3:$C$874,2,FALSE)</f>
        <v>3615330</v>
      </c>
      <c r="F3364" s="91">
        <f>COUNTIF($E$2:$E$7106,E3364)</f>
        <v>9</v>
      </c>
    </row>
    <row r="3365" spans="1:6" x14ac:dyDescent="0.2">
      <c r="A3365">
        <v>2017</v>
      </c>
      <c r="B3365" s="13">
        <v>4124</v>
      </c>
      <c r="C3365" s="90" t="str">
        <f>VLOOKUP(B3365,'All Districts'!$A$3:$B$874,2,FALSE)</f>
        <v>Inlet</v>
      </c>
      <c r="D3365" s="16">
        <v>35448</v>
      </c>
      <c r="E3365">
        <f>VLOOKUP(C3365,'All Districts'!$B$3:$C$874,2,FALSE)</f>
        <v>3615330</v>
      </c>
      <c r="F3365" s="91">
        <f>COUNTIF($E$2:$E$7106,E3365)</f>
        <v>9</v>
      </c>
    </row>
    <row r="3366" spans="1:6" x14ac:dyDescent="0.2">
      <c r="A3366" s="10">
        <v>2018</v>
      </c>
      <c r="B3366" s="13">
        <v>4124</v>
      </c>
      <c r="C3366" s="90" t="str">
        <f>VLOOKUP(B3366,'All Districts'!$A$3:$B$874,2,FALSE)</f>
        <v>Inlet</v>
      </c>
      <c r="D3366" s="15">
        <v>31813</v>
      </c>
      <c r="E3366">
        <f>VLOOKUP(C3366,'All Districts'!$B$3:$C$874,2,FALSE)</f>
        <v>3615330</v>
      </c>
      <c r="F3366" s="91">
        <f>COUNTIF($E$2:$E$7106,E3366)</f>
        <v>9</v>
      </c>
    </row>
    <row r="3367" spans="1:6" x14ac:dyDescent="0.2">
      <c r="A3367">
        <v>2019</v>
      </c>
      <c r="B3367" s="36">
        <v>4124</v>
      </c>
      <c r="C3367" s="90" t="str">
        <f>VLOOKUP(B3367,'All Districts'!$A$3:$B$874,2,FALSE)</f>
        <v>Inlet</v>
      </c>
      <c r="D3367" s="40">
        <v>33626</v>
      </c>
      <c r="E3367">
        <f>VLOOKUP(C3367,'All Districts'!$B$3:$C$874,2,FALSE)</f>
        <v>3615330</v>
      </c>
      <c r="F3367" s="91">
        <f>COUNTIF($E$2:$E$7106,E3367)</f>
        <v>9</v>
      </c>
    </row>
    <row r="3368" spans="1:6" x14ac:dyDescent="0.2">
      <c r="A3368">
        <v>2020</v>
      </c>
      <c r="B3368" s="36">
        <v>4124</v>
      </c>
      <c r="C3368" s="90" t="str">
        <f>VLOOKUP(B3368,'All Districts'!$A$3:$B$874,2,FALSE)</f>
        <v>Inlet</v>
      </c>
      <c r="D3368" s="40">
        <v>1734</v>
      </c>
      <c r="E3368">
        <f>VLOOKUP(C3368,'All Districts'!$B$3:$C$874,2,FALSE)</f>
        <v>3615330</v>
      </c>
      <c r="F3368" s="91">
        <f>COUNTIF($E$2:$E$7106,E3368)</f>
        <v>9</v>
      </c>
    </row>
    <row r="3369" spans="1:6" x14ac:dyDescent="0.2">
      <c r="A3369" s="10">
        <v>2021</v>
      </c>
      <c r="B3369" s="52">
        <v>4124</v>
      </c>
      <c r="C3369" s="90" t="str">
        <f>VLOOKUP(B3369,'All Districts'!$A$3:$B$874,2,FALSE)</f>
        <v>Inlet</v>
      </c>
      <c r="D3369" s="76">
        <v>1982</v>
      </c>
      <c r="E3369">
        <f>VLOOKUP(C3369,'All Districts'!$B$3:$C$874,2,FALSE)</f>
        <v>3615330</v>
      </c>
      <c r="F3369" s="91">
        <f>COUNTIF($E$2:$E$7106,E3369)</f>
        <v>9</v>
      </c>
    </row>
    <row r="3370" spans="1:6" x14ac:dyDescent="0.2">
      <c r="A3370">
        <v>2022</v>
      </c>
      <c r="B3370" s="36">
        <v>4124</v>
      </c>
      <c r="C3370" s="90" t="str">
        <f>VLOOKUP(B3370,'All Districts'!$A$3:$B$874,2,FALSE)</f>
        <v>Inlet</v>
      </c>
      <c r="D3370" s="82">
        <v>2019</v>
      </c>
      <c r="E3370">
        <f>VLOOKUP(C3370,'All Districts'!$B$3:$C$874,2,FALSE)</f>
        <v>3615330</v>
      </c>
      <c r="F3370" s="91">
        <f>COUNTIF($E$2:$E$7106,E3370)</f>
        <v>9</v>
      </c>
    </row>
    <row r="3371" spans="1:6" x14ac:dyDescent="0.2">
      <c r="A3371">
        <v>2023</v>
      </c>
      <c r="B3371" s="36">
        <v>4124</v>
      </c>
      <c r="C3371" s="90" t="str">
        <f>VLOOKUP(B3371,'All Districts'!$A$3:$B$874,2,FALSE)</f>
        <v>Inlet</v>
      </c>
      <c r="D3371" s="40">
        <v>2205</v>
      </c>
      <c r="E3371">
        <f>VLOOKUP(C3371,'All Districts'!$B$3:$C$874,2,FALSE)</f>
        <v>3615330</v>
      </c>
      <c r="F3371" s="91">
        <f>COUNTIF($E$2:$E$7106,E3371)</f>
        <v>9</v>
      </c>
    </row>
    <row r="3372" spans="1:6" x14ac:dyDescent="0.2">
      <c r="A3372">
        <v>2015</v>
      </c>
      <c r="B3372" s="13">
        <v>2271</v>
      </c>
      <c r="C3372" s="90" t="str">
        <f>VLOOKUP(B3372,'All Districts'!$A$3:$B$874,2,FALSE)</f>
        <v>Iroquois</v>
      </c>
      <c r="D3372" s="14">
        <v>2818538</v>
      </c>
      <c r="E3372">
        <f>VLOOKUP(C3372,'All Districts'!$B$3:$C$874,2,FALSE)</f>
        <v>3615360</v>
      </c>
      <c r="F3372" s="91">
        <f>COUNTIF($E$2:$E$7106,E3372)</f>
        <v>9</v>
      </c>
    </row>
    <row r="3373" spans="1:6" x14ac:dyDescent="0.2">
      <c r="A3373">
        <v>2016</v>
      </c>
      <c r="B3373" s="13">
        <v>2271</v>
      </c>
      <c r="C3373" s="90" t="str">
        <f>VLOOKUP(B3373,'All Districts'!$A$3:$B$874,2,FALSE)</f>
        <v>Iroquois</v>
      </c>
      <c r="D3373" s="16">
        <v>2200036</v>
      </c>
      <c r="E3373">
        <f>VLOOKUP(C3373,'All Districts'!$B$3:$C$874,2,FALSE)</f>
        <v>3615360</v>
      </c>
      <c r="F3373" s="91">
        <f>COUNTIF($E$2:$E$7106,E3373)</f>
        <v>9</v>
      </c>
    </row>
    <row r="3374" spans="1:6" x14ac:dyDescent="0.2">
      <c r="A3374">
        <v>2017</v>
      </c>
      <c r="B3374" s="13">
        <v>2271</v>
      </c>
      <c r="C3374" s="90" t="str">
        <f>VLOOKUP(B3374,'All Districts'!$A$3:$B$874,2,FALSE)</f>
        <v>Iroquois</v>
      </c>
      <c r="D3374" s="16">
        <v>1994100</v>
      </c>
      <c r="E3374">
        <f>VLOOKUP(C3374,'All Districts'!$B$3:$C$874,2,FALSE)</f>
        <v>3615360</v>
      </c>
      <c r="F3374" s="91">
        <f>COUNTIF($E$2:$E$7106,E3374)</f>
        <v>9</v>
      </c>
    </row>
    <row r="3375" spans="1:6" x14ac:dyDescent="0.2">
      <c r="A3375" s="10">
        <v>2018</v>
      </c>
      <c r="B3375" s="13">
        <v>2271</v>
      </c>
      <c r="C3375" s="90" t="str">
        <f>VLOOKUP(B3375,'All Districts'!$A$3:$B$874,2,FALSE)</f>
        <v>Iroquois</v>
      </c>
      <c r="D3375" s="15">
        <v>1690863</v>
      </c>
      <c r="E3375">
        <f>VLOOKUP(C3375,'All Districts'!$B$3:$C$874,2,FALSE)</f>
        <v>3615360</v>
      </c>
      <c r="F3375" s="91">
        <f>COUNTIF($E$2:$E$7106,E3375)</f>
        <v>9</v>
      </c>
    </row>
    <row r="3376" spans="1:6" x14ac:dyDescent="0.2">
      <c r="A3376">
        <v>2019</v>
      </c>
      <c r="B3376" s="36">
        <v>2271</v>
      </c>
      <c r="C3376" s="90" t="str">
        <f>VLOOKUP(B3376,'All Districts'!$A$3:$B$874,2,FALSE)</f>
        <v>Iroquois</v>
      </c>
      <c r="D3376" s="40">
        <v>1935012</v>
      </c>
      <c r="E3376">
        <f>VLOOKUP(C3376,'All Districts'!$B$3:$C$874,2,FALSE)</f>
        <v>3615360</v>
      </c>
      <c r="F3376" s="91">
        <f>COUNTIF($E$2:$E$7106,E3376)</f>
        <v>9</v>
      </c>
    </row>
    <row r="3377" spans="1:6" x14ac:dyDescent="0.2">
      <c r="A3377">
        <v>2020</v>
      </c>
      <c r="B3377" s="36">
        <v>2271</v>
      </c>
      <c r="C3377" s="90" t="str">
        <f>VLOOKUP(B3377,'All Districts'!$A$3:$B$874,2,FALSE)</f>
        <v>Iroquois</v>
      </c>
      <c r="D3377" s="40">
        <v>1647203</v>
      </c>
      <c r="E3377">
        <f>VLOOKUP(C3377,'All Districts'!$B$3:$C$874,2,FALSE)</f>
        <v>3615360</v>
      </c>
      <c r="F3377" s="91">
        <f>COUNTIF($E$2:$E$7106,E3377)</f>
        <v>9</v>
      </c>
    </row>
    <row r="3378" spans="1:6" x14ac:dyDescent="0.2">
      <c r="A3378" s="10">
        <v>2021</v>
      </c>
      <c r="B3378" s="52">
        <v>2271</v>
      </c>
      <c r="C3378" s="90" t="str">
        <f>VLOOKUP(B3378,'All Districts'!$A$3:$B$874,2,FALSE)</f>
        <v>Iroquois</v>
      </c>
      <c r="D3378" s="75">
        <v>1807734</v>
      </c>
      <c r="E3378">
        <f>VLOOKUP(C3378,'All Districts'!$B$3:$C$874,2,FALSE)</f>
        <v>3615360</v>
      </c>
      <c r="F3378" s="91">
        <f>COUNTIF($E$2:$E$7106,E3378)</f>
        <v>9</v>
      </c>
    </row>
    <row r="3379" spans="1:6" x14ac:dyDescent="0.2">
      <c r="A3379">
        <v>2022</v>
      </c>
      <c r="B3379" s="36">
        <v>2271</v>
      </c>
      <c r="C3379" s="90" t="str">
        <f>VLOOKUP(B3379,'All Districts'!$A$3:$B$874,2,FALSE)</f>
        <v>Iroquois</v>
      </c>
      <c r="D3379" s="82">
        <v>1900145</v>
      </c>
      <c r="E3379">
        <f>VLOOKUP(C3379,'All Districts'!$B$3:$C$874,2,FALSE)</f>
        <v>3615360</v>
      </c>
      <c r="F3379" s="91">
        <f>COUNTIF($E$2:$E$7106,E3379)</f>
        <v>9</v>
      </c>
    </row>
    <row r="3380" spans="1:6" x14ac:dyDescent="0.2">
      <c r="A3380">
        <v>2023</v>
      </c>
      <c r="B3380" s="36">
        <v>2271</v>
      </c>
      <c r="C3380" s="90" t="str">
        <f>VLOOKUP(B3380,'All Districts'!$A$3:$B$874,2,FALSE)</f>
        <v>Iroquois</v>
      </c>
      <c r="D3380" s="40">
        <v>2089741</v>
      </c>
      <c r="E3380">
        <f>VLOOKUP(C3380,'All Districts'!$B$3:$C$874,2,FALSE)</f>
        <v>3615360</v>
      </c>
      <c r="F3380" s="91">
        <f>COUNTIF($E$2:$E$7106,E3380)</f>
        <v>9</v>
      </c>
    </row>
    <row r="3381" spans="1:6" x14ac:dyDescent="0.2">
      <c r="A3381">
        <v>2015</v>
      </c>
      <c r="B3381" s="13">
        <v>5801</v>
      </c>
      <c r="C3381" s="90" t="str">
        <f>VLOOKUP(B3381,'All Districts'!$A$3:$B$874,2,FALSE)</f>
        <v>Irvington</v>
      </c>
      <c r="D3381" s="15">
        <v>3726288</v>
      </c>
      <c r="E3381">
        <f>VLOOKUP(C3381,'All Districts'!$B$3:$C$874,2,FALSE)</f>
        <v>3615450</v>
      </c>
      <c r="F3381" s="91">
        <f>COUNTIF($E$2:$E$7106,E3381)</f>
        <v>9</v>
      </c>
    </row>
    <row r="3382" spans="1:6" x14ac:dyDescent="0.2">
      <c r="A3382">
        <v>2016</v>
      </c>
      <c r="B3382" s="13">
        <v>5801</v>
      </c>
      <c r="C3382" s="90" t="str">
        <f>VLOOKUP(B3382,'All Districts'!$A$3:$B$874,2,FALSE)</f>
        <v>Irvington</v>
      </c>
      <c r="D3382" s="16">
        <v>2964671</v>
      </c>
      <c r="E3382">
        <f>VLOOKUP(C3382,'All Districts'!$B$3:$C$874,2,FALSE)</f>
        <v>3615450</v>
      </c>
      <c r="F3382" s="91">
        <f>COUNTIF($E$2:$E$7106,E3382)</f>
        <v>9</v>
      </c>
    </row>
    <row r="3383" spans="1:6" x14ac:dyDescent="0.2">
      <c r="A3383">
        <v>2017</v>
      </c>
      <c r="B3383" s="13">
        <v>5801</v>
      </c>
      <c r="C3383" s="90" t="str">
        <f>VLOOKUP(B3383,'All Districts'!$A$3:$B$874,2,FALSE)</f>
        <v>Irvington</v>
      </c>
      <c r="D3383" s="16">
        <v>2713687</v>
      </c>
      <c r="E3383">
        <f>VLOOKUP(C3383,'All Districts'!$B$3:$C$874,2,FALSE)</f>
        <v>3615450</v>
      </c>
      <c r="F3383" s="91">
        <f>COUNTIF($E$2:$E$7106,E3383)</f>
        <v>9</v>
      </c>
    </row>
    <row r="3384" spans="1:6" x14ac:dyDescent="0.2">
      <c r="A3384" s="10">
        <v>2018</v>
      </c>
      <c r="B3384" s="13">
        <v>5801</v>
      </c>
      <c r="C3384" s="90" t="str">
        <f>VLOOKUP(B3384,'All Districts'!$A$3:$B$874,2,FALSE)</f>
        <v>Irvington</v>
      </c>
      <c r="D3384" s="15">
        <v>2336077</v>
      </c>
      <c r="E3384">
        <f>VLOOKUP(C3384,'All Districts'!$B$3:$C$874,2,FALSE)</f>
        <v>3615450</v>
      </c>
      <c r="F3384" s="91">
        <f>COUNTIF($E$2:$E$7106,E3384)</f>
        <v>9</v>
      </c>
    </row>
    <row r="3385" spans="1:6" x14ac:dyDescent="0.2">
      <c r="A3385">
        <v>2019</v>
      </c>
      <c r="B3385" s="36">
        <v>5801</v>
      </c>
      <c r="C3385" s="90" t="str">
        <f>VLOOKUP(B3385,'All Districts'!$A$3:$B$874,2,FALSE)</f>
        <v>Irvington</v>
      </c>
      <c r="D3385" s="40">
        <v>2578844</v>
      </c>
      <c r="E3385">
        <f>VLOOKUP(C3385,'All Districts'!$B$3:$C$874,2,FALSE)</f>
        <v>3615450</v>
      </c>
      <c r="F3385" s="91">
        <f>COUNTIF($E$2:$E$7106,E3385)</f>
        <v>9</v>
      </c>
    </row>
    <row r="3386" spans="1:6" x14ac:dyDescent="0.2">
      <c r="A3386">
        <v>2020</v>
      </c>
      <c r="B3386" s="36">
        <v>5801</v>
      </c>
      <c r="C3386" s="90" t="str">
        <f>VLOOKUP(B3386,'All Districts'!$A$3:$B$874,2,FALSE)</f>
        <v>Irvington</v>
      </c>
      <c r="D3386" s="40">
        <v>2179164</v>
      </c>
      <c r="E3386">
        <f>VLOOKUP(C3386,'All Districts'!$B$3:$C$874,2,FALSE)</f>
        <v>3615450</v>
      </c>
      <c r="F3386" s="91">
        <f>COUNTIF($E$2:$E$7106,E3386)</f>
        <v>9</v>
      </c>
    </row>
    <row r="3387" spans="1:6" x14ac:dyDescent="0.2">
      <c r="A3387" s="10">
        <v>2021</v>
      </c>
      <c r="B3387" s="52">
        <v>5801</v>
      </c>
      <c r="C3387" s="90" t="str">
        <f>VLOOKUP(B3387,'All Districts'!$A$3:$B$874,2,FALSE)</f>
        <v>Irvington</v>
      </c>
      <c r="D3387" s="75">
        <v>2372060</v>
      </c>
      <c r="E3387">
        <f>VLOOKUP(C3387,'All Districts'!$B$3:$C$874,2,FALSE)</f>
        <v>3615450</v>
      </c>
      <c r="F3387" s="91">
        <f>COUNTIF($E$2:$E$7106,E3387)</f>
        <v>9</v>
      </c>
    </row>
    <row r="3388" spans="1:6" x14ac:dyDescent="0.2">
      <c r="A3388">
        <v>2022</v>
      </c>
      <c r="B3388" s="36">
        <v>5801</v>
      </c>
      <c r="C3388" s="90" t="str">
        <f>VLOOKUP(B3388,'All Districts'!$A$3:$B$874,2,FALSE)</f>
        <v>Irvington</v>
      </c>
      <c r="D3388" s="82">
        <v>2509135</v>
      </c>
      <c r="E3388">
        <f>VLOOKUP(C3388,'All Districts'!$B$3:$C$874,2,FALSE)</f>
        <v>3615450</v>
      </c>
      <c r="F3388" s="91">
        <f>COUNTIF($E$2:$E$7106,E3388)</f>
        <v>9</v>
      </c>
    </row>
    <row r="3389" spans="1:6" x14ac:dyDescent="0.2">
      <c r="A3389">
        <v>2023</v>
      </c>
      <c r="B3389" s="36">
        <v>5801</v>
      </c>
      <c r="C3389" s="90" t="str">
        <f>VLOOKUP(B3389,'All Districts'!$A$3:$B$874,2,FALSE)</f>
        <v>Irvington</v>
      </c>
      <c r="D3389" s="40">
        <v>2733771</v>
      </c>
      <c r="E3389">
        <f>VLOOKUP(C3389,'All Districts'!$B$3:$C$874,2,FALSE)</f>
        <v>3615450</v>
      </c>
      <c r="F3389" s="91">
        <f>COUNTIF($E$2:$E$7106,E3389)</f>
        <v>9</v>
      </c>
    </row>
    <row r="3390" spans="1:6" x14ac:dyDescent="0.2">
      <c r="A3390">
        <v>2015</v>
      </c>
      <c r="B3390" s="13">
        <v>4365</v>
      </c>
      <c r="C3390" s="90" t="str">
        <f>VLOOKUP(B3390,'All Districts'!$A$3:$B$874,2,FALSE)</f>
        <v>Island Park</v>
      </c>
      <c r="D3390" s="14">
        <v>1836705</v>
      </c>
      <c r="E3390">
        <f>VLOOKUP(C3390,'All Districts'!$B$3:$C$874,2,FALSE)</f>
        <v>3615480</v>
      </c>
      <c r="F3390" s="91">
        <f>COUNTIF($E$2:$E$7106,E3390)</f>
        <v>9</v>
      </c>
    </row>
    <row r="3391" spans="1:6" x14ac:dyDescent="0.2">
      <c r="A3391">
        <v>2016</v>
      </c>
      <c r="B3391" s="13">
        <v>4365</v>
      </c>
      <c r="C3391" s="90" t="str">
        <f>VLOOKUP(B3391,'All Districts'!$A$3:$B$874,2,FALSE)</f>
        <v>Island Park</v>
      </c>
      <c r="D3391" s="16">
        <v>1422586</v>
      </c>
      <c r="E3391">
        <f>VLOOKUP(C3391,'All Districts'!$B$3:$C$874,2,FALSE)</f>
        <v>3615480</v>
      </c>
      <c r="F3391" s="91">
        <f>COUNTIF($E$2:$E$7106,E3391)</f>
        <v>9</v>
      </c>
    </row>
    <row r="3392" spans="1:6" x14ac:dyDescent="0.2">
      <c r="A3392">
        <v>2017</v>
      </c>
      <c r="B3392" s="13">
        <v>4365</v>
      </c>
      <c r="C3392" s="90" t="str">
        <f>VLOOKUP(B3392,'All Districts'!$A$3:$B$874,2,FALSE)</f>
        <v>Island Park</v>
      </c>
      <c r="D3392" s="16">
        <v>1328685</v>
      </c>
      <c r="E3392">
        <f>VLOOKUP(C3392,'All Districts'!$B$3:$C$874,2,FALSE)</f>
        <v>3615480</v>
      </c>
      <c r="F3392" s="91">
        <f>COUNTIF($E$2:$E$7106,E3392)</f>
        <v>9</v>
      </c>
    </row>
    <row r="3393" spans="1:6" x14ac:dyDescent="0.2">
      <c r="A3393" s="10">
        <v>2018</v>
      </c>
      <c r="B3393" s="13">
        <v>4365</v>
      </c>
      <c r="C3393" s="90" t="str">
        <f>VLOOKUP(B3393,'All Districts'!$A$3:$B$874,2,FALSE)</f>
        <v>Island Park</v>
      </c>
      <c r="D3393" s="15">
        <v>1165727</v>
      </c>
      <c r="E3393">
        <f>VLOOKUP(C3393,'All Districts'!$B$3:$C$874,2,FALSE)</f>
        <v>3615480</v>
      </c>
      <c r="F3393" s="91">
        <f>COUNTIF($E$2:$E$7106,E3393)</f>
        <v>9</v>
      </c>
    </row>
    <row r="3394" spans="1:6" x14ac:dyDescent="0.2">
      <c r="A3394">
        <v>2019</v>
      </c>
      <c r="B3394" s="36">
        <v>4365</v>
      </c>
      <c r="C3394" s="90" t="str">
        <f>VLOOKUP(B3394,'All Districts'!$A$3:$B$874,2,FALSE)</f>
        <v>Island Park</v>
      </c>
      <c r="D3394" s="40">
        <v>1226174</v>
      </c>
      <c r="E3394">
        <f>VLOOKUP(C3394,'All Districts'!$B$3:$C$874,2,FALSE)</f>
        <v>3615480</v>
      </c>
      <c r="F3394" s="91">
        <f>COUNTIF($E$2:$E$7106,E3394)</f>
        <v>9</v>
      </c>
    </row>
    <row r="3395" spans="1:6" x14ac:dyDescent="0.2">
      <c r="A3395">
        <v>2020</v>
      </c>
      <c r="B3395" s="36">
        <v>4365</v>
      </c>
      <c r="C3395" s="90" t="str">
        <f>VLOOKUP(B3395,'All Districts'!$A$3:$B$874,2,FALSE)</f>
        <v>Island Park</v>
      </c>
      <c r="D3395" s="40">
        <v>978923</v>
      </c>
      <c r="E3395">
        <f>VLOOKUP(C3395,'All Districts'!$B$3:$C$874,2,FALSE)</f>
        <v>3615480</v>
      </c>
      <c r="F3395" s="91">
        <f>COUNTIF($E$2:$E$7106,E3395)</f>
        <v>9</v>
      </c>
    </row>
    <row r="3396" spans="1:6" x14ac:dyDescent="0.2">
      <c r="A3396" s="10">
        <v>2021</v>
      </c>
      <c r="B3396" s="52">
        <v>4365</v>
      </c>
      <c r="C3396" s="90" t="str">
        <f>VLOOKUP(B3396,'All Districts'!$A$3:$B$874,2,FALSE)</f>
        <v>Island Park</v>
      </c>
      <c r="D3396" s="76">
        <v>1049547</v>
      </c>
      <c r="E3396">
        <f>VLOOKUP(C3396,'All Districts'!$B$3:$C$874,2,FALSE)</f>
        <v>3615480</v>
      </c>
      <c r="F3396" s="91">
        <f>COUNTIF($E$2:$E$7106,E3396)</f>
        <v>9</v>
      </c>
    </row>
    <row r="3397" spans="1:6" x14ac:dyDescent="0.2">
      <c r="A3397">
        <v>2022</v>
      </c>
      <c r="B3397" s="36">
        <v>4365</v>
      </c>
      <c r="C3397" s="90" t="str">
        <f>VLOOKUP(B3397,'All Districts'!$A$3:$B$874,2,FALSE)</f>
        <v>Island Park</v>
      </c>
      <c r="D3397" s="82">
        <v>1075669</v>
      </c>
      <c r="E3397">
        <f>VLOOKUP(C3397,'All Districts'!$B$3:$C$874,2,FALSE)</f>
        <v>3615480</v>
      </c>
      <c r="F3397" s="91">
        <f>COUNTIF($E$2:$E$7106,E3397)</f>
        <v>9</v>
      </c>
    </row>
    <row r="3398" spans="1:6" x14ac:dyDescent="0.2">
      <c r="A3398">
        <v>2023</v>
      </c>
      <c r="B3398" s="36">
        <v>4365</v>
      </c>
      <c r="C3398" s="90" t="str">
        <f>VLOOKUP(B3398,'All Districts'!$A$3:$B$874,2,FALSE)</f>
        <v>Island Park</v>
      </c>
      <c r="D3398" s="40">
        <v>1158550</v>
      </c>
      <c r="E3398">
        <f>VLOOKUP(C3398,'All Districts'!$B$3:$C$874,2,FALSE)</f>
        <v>3615480</v>
      </c>
      <c r="F3398" s="91">
        <f>COUNTIF($E$2:$E$7106,E3398)</f>
        <v>9</v>
      </c>
    </row>
    <row r="3399" spans="1:6" x14ac:dyDescent="0.2">
      <c r="A3399">
        <v>2015</v>
      </c>
      <c r="B3399" s="13">
        <v>2272</v>
      </c>
      <c r="C3399" s="90" t="str">
        <f>VLOOKUP(B3399,'All Districts'!$A$3:$B$874,2,FALSE)</f>
        <v>Island Trees</v>
      </c>
      <c r="D3399" s="14">
        <v>4423247</v>
      </c>
      <c r="E3399">
        <f>VLOOKUP(C3399,'All Districts'!$B$3:$C$874,2,FALSE)</f>
        <v>3615510</v>
      </c>
      <c r="F3399" s="91">
        <f>COUNTIF($E$2:$E$7106,E3399)</f>
        <v>9</v>
      </c>
    </row>
    <row r="3400" spans="1:6" x14ac:dyDescent="0.2">
      <c r="A3400">
        <v>2016</v>
      </c>
      <c r="B3400" s="13">
        <v>2272</v>
      </c>
      <c r="C3400" s="90" t="str">
        <f>VLOOKUP(B3400,'All Districts'!$A$3:$B$874,2,FALSE)</f>
        <v>Island Trees</v>
      </c>
      <c r="D3400" s="16">
        <v>3459172</v>
      </c>
      <c r="E3400">
        <f>VLOOKUP(C3400,'All Districts'!$B$3:$C$874,2,FALSE)</f>
        <v>3615510</v>
      </c>
      <c r="F3400" s="91">
        <f>COUNTIF($E$2:$E$7106,E3400)</f>
        <v>9</v>
      </c>
    </row>
    <row r="3401" spans="1:6" x14ac:dyDescent="0.2">
      <c r="A3401">
        <v>2017</v>
      </c>
      <c r="B3401" s="13">
        <v>2272</v>
      </c>
      <c r="C3401" s="90" t="str">
        <f>VLOOKUP(B3401,'All Districts'!$A$3:$B$874,2,FALSE)</f>
        <v>Island Trees</v>
      </c>
      <c r="D3401" s="16">
        <v>3095080</v>
      </c>
      <c r="E3401">
        <f>VLOOKUP(C3401,'All Districts'!$B$3:$C$874,2,FALSE)</f>
        <v>3615510</v>
      </c>
      <c r="F3401" s="91">
        <f>COUNTIF($E$2:$E$7106,E3401)</f>
        <v>9</v>
      </c>
    </row>
    <row r="3402" spans="1:6" x14ac:dyDescent="0.2">
      <c r="A3402" s="10">
        <v>2018</v>
      </c>
      <c r="B3402" s="13">
        <v>2272</v>
      </c>
      <c r="C3402" s="90" t="str">
        <f>VLOOKUP(B3402,'All Districts'!$A$3:$B$874,2,FALSE)</f>
        <v>Island Trees</v>
      </c>
      <c r="D3402" s="15">
        <v>2612318</v>
      </c>
      <c r="E3402">
        <f>VLOOKUP(C3402,'All Districts'!$B$3:$C$874,2,FALSE)</f>
        <v>3615510</v>
      </c>
      <c r="F3402" s="91">
        <f>COUNTIF($E$2:$E$7106,E3402)</f>
        <v>9</v>
      </c>
    </row>
    <row r="3403" spans="1:6" x14ac:dyDescent="0.2">
      <c r="A3403">
        <v>2019</v>
      </c>
      <c r="B3403" s="36">
        <v>2272</v>
      </c>
      <c r="C3403" s="90" t="str">
        <f>VLOOKUP(B3403,'All Districts'!$A$3:$B$874,2,FALSE)</f>
        <v>Island Trees</v>
      </c>
      <c r="D3403" s="40">
        <v>2904591</v>
      </c>
      <c r="E3403">
        <f>VLOOKUP(C3403,'All Districts'!$B$3:$C$874,2,FALSE)</f>
        <v>3615510</v>
      </c>
      <c r="F3403" s="91">
        <f>COUNTIF($E$2:$E$7106,E3403)</f>
        <v>9</v>
      </c>
    </row>
    <row r="3404" spans="1:6" x14ac:dyDescent="0.2">
      <c r="A3404">
        <v>2020</v>
      </c>
      <c r="B3404" s="36">
        <v>2272</v>
      </c>
      <c r="C3404" s="90" t="str">
        <f>VLOOKUP(B3404,'All Districts'!$A$3:$B$874,2,FALSE)</f>
        <v>Island Trees</v>
      </c>
      <c r="D3404" s="40">
        <v>2428840</v>
      </c>
      <c r="E3404">
        <f>VLOOKUP(C3404,'All Districts'!$B$3:$C$874,2,FALSE)</f>
        <v>3615510</v>
      </c>
      <c r="F3404" s="91">
        <f>COUNTIF($E$2:$E$7106,E3404)</f>
        <v>9</v>
      </c>
    </row>
    <row r="3405" spans="1:6" x14ac:dyDescent="0.2">
      <c r="A3405" s="10">
        <v>2021</v>
      </c>
      <c r="B3405" s="55">
        <v>2272</v>
      </c>
      <c r="C3405" s="90" t="str">
        <f>VLOOKUP(B3405,'All Districts'!$A$3:$B$874,2,FALSE)</f>
        <v>Island Trees</v>
      </c>
      <c r="D3405" s="75">
        <v>2608730</v>
      </c>
      <c r="E3405">
        <f>VLOOKUP(C3405,'All Districts'!$B$3:$C$874,2,FALSE)</f>
        <v>3615510</v>
      </c>
      <c r="F3405" s="91">
        <f>COUNTIF($E$2:$E$7106,E3405)</f>
        <v>9</v>
      </c>
    </row>
    <row r="3406" spans="1:6" x14ac:dyDescent="0.2">
      <c r="A3406">
        <v>2022</v>
      </c>
      <c r="B3406" s="36">
        <v>2272</v>
      </c>
      <c r="C3406" s="90" t="str">
        <f>VLOOKUP(B3406,'All Districts'!$A$3:$B$874,2,FALSE)</f>
        <v>Island Trees</v>
      </c>
      <c r="D3406" s="82">
        <v>2814982</v>
      </c>
      <c r="E3406">
        <f>VLOOKUP(C3406,'All Districts'!$B$3:$C$874,2,FALSE)</f>
        <v>3615510</v>
      </c>
      <c r="F3406" s="91">
        <f>COUNTIF($E$2:$E$7106,E3406)</f>
        <v>9</v>
      </c>
    </row>
    <row r="3407" spans="1:6" x14ac:dyDescent="0.2">
      <c r="A3407">
        <v>2023</v>
      </c>
      <c r="B3407" s="36">
        <v>2272</v>
      </c>
      <c r="C3407" s="90" t="str">
        <f>VLOOKUP(B3407,'All Districts'!$A$3:$B$874,2,FALSE)</f>
        <v>Island Trees</v>
      </c>
      <c r="D3407" s="40">
        <v>3029293</v>
      </c>
      <c r="E3407">
        <f>VLOOKUP(C3407,'All Districts'!$B$3:$C$874,2,FALSE)</f>
        <v>3615510</v>
      </c>
      <c r="F3407" s="91">
        <f>COUNTIF($E$2:$E$7106,E3407)</f>
        <v>9</v>
      </c>
    </row>
    <row r="3408" spans="1:6" x14ac:dyDescent="0.2">
      <c r="A3408">
        <v>2015</v>
      </c>
      <c r="B3408" s="13">
        <v>5418</v>
      </c>
      <c r="C3408" s="90" t="str">
        <f>VLOOKUP(B3408,'All Districts'!$A$3:$B$874,2,FALSE)</f>
        <v>Islip</v>
      </c>
      <c r="D3408" s="14">
        <v>5266079</v>
      </c>
      <c r="E3408">
        <f>VLOOKUP(C3408,'All Districts'!$B$3:$C$874,2,FALSE)</f>
        <v>3615540</v>
      </c>
      <c r="F3408" s="91">
        <f>COUNTIF($E$2:$E$7106,E3408)</f>
        <v>9</v>
      </c>
    </row>
    <row r="3409" spans="1:6" x14ac:dyDescent="0.2">
      <c r="A3409">
        <v>2016</v>
      </c>
      <c r="B3409" s="13">
        <v>5418</v>
      </c>
      <c r="C3409" s="90" t="str">
        <f>VLOOKUP(B3409,'All Districts'!$A$3:$B$874,2,FALSE)</f>
        <v>Islip</v>
      </c>
      <c r="D3409" s="16">
        <v>4144104</v>
      </c>
      <c r="E3409">
        <f>VLOOKUP(C3409,'All Districts'!$B$3:$C$874,2,FALSE)</f>
        <v>3615540</v>
      </c>
      <c r="F3409" s="91">
        <f>COUNTIF($E$2:$E$7106,E3409)</f>
        <v>9</v>
      </c>
    </row>
    <row r="3410" spans="1:6" x14ac:dyDescent="0.2">
      <c r="A3410">
        <v>2017</v>
      </c>
      <c r="B3410" s="13">
        <v>5418</v>
      </c>
      <c r="C3410" s="90" t="str">
        <f>VLOOKUP(B3410,'All Districts'!$A$3:$B$874,2,FALSE)</f>
        <v>Islip</v>
      </c>
      <c r="D3410" s="16">
        <v>3718350</v>
      </c>
      <c r="E3410">
        <f>VLOOKUP(C3410,'All Districts'!$B$3:$C$874,2,FALSE)</f>
        <v>3615540</v>
      </c>
      <c r="F3410" s="91">
        <f>COUNTIF($E$2:$E$7106,E3410)</f>
        <v>9</v>
      </c>
    </row>
    <row r="3411" spans="1:6" x14ac:dyDescent="0.2">
      <c r="A3411" s="10">
        <v>2018</v>
      </c>
      <c r="B3411" s="13">
        <v>5418</v>
      </c>
      <c r="C3411" s="90" t="str">
        <f>VLOOKUP(B3411,'All Districts'!$A$3:$B$874,2,FALSE)</f>
        <v>Islip</v>
      </c>
      <c r="D3411" s="15">
        <v>3188100</v>
      </c>
      <c r="E3411">
        <f>VLOOKUP(C3411,'All Districts'!$B$3:$C$874,2,FALSE)</f>
        <v>3615540</v>
      </c>
      <c r="F3411" s="91">
        <f>COUNTIF($E$2:$E$7106,E3411)</f>
        <v>9</v>
      </c>
    </row>
    <row r="3412" spans="1:6" x14ac:dyDescent="0.2">
      <c r="A3412">
        <v>2019</v>
      </c>
      <c r="B3412" s="36">
        <v>5418</v>
      </c>
      <c r="C3412" s="90" t="str">
        <f>VLOOKUP(B3412,'All Districts'!$A$3:$B$874,2,FALSE)</f>
        <v>Islip</v>
      </c>
      <c r="D3412" s="40">
        <v>3492401</v>
      </c>
      <c r="E3412">
        <f>VLOOKUP(C3412,'All Districts'!$B$3:$C$874,2,FALSE)</f>
        <v>3615540</v>
      </c>
      <c r="F3412" s="91">
        <f>COUNTIF($E$2:$E$7106,E3412)</f>
        <v>9</v>
      </c>
    </row>
    <row r="3413" spans="1:6" x14ac:dyDescent="0.2">
      <c r="A3413">
        <v>2020</v>
      </c>
      <c r="B3413" s="36">
        <v>5418</v>
      </c>
      <c r="C3413" s="90" t="str">
        <f>VLOOKUP(B3413,'All Districts'!$A$3:$B$874,2,FALSE)</f>
        <v>Islip</v>
      </c>
      <c r="D3413" s="40">
        <v>2905010</v>
      </c>
      <c r="E3413">
        <f>VLOOKUP(C3413,'All Districts'!$B$3:$C$874,2,FALSE)</f>
        <v>3615540</v>
      </c>
      <c r="F3413" s="91">
        <f>COUNTIF($E$2:$E$7106,E3413)</f>
        <v>9</v>
      </c>
    </row>
    <row r="3414" spans="1:6" x14ac:dyDescent="0.2">
      <c r="A3414" s="10">
        <v>2021</v>
      </c>
      <c r="B3414" s="52">
        <v>5418</v>
      </c>
      <c r="C3414" s="90" t="str">
        <f>VLOOKUP(B3414,'All Districts'!$A$3:$B$874,2,FALSE)</f>
        <v>Islip</v>
      </c>
      <c r="D3414" s="76">
        <v>3250220</v>
      </c>
      <c r="E3414">
        <f>VLOOKUP(C3414,'All Districts'!$B$3:$C$874,2,FALSE)</f>
        <v>3615540</v>
      </c>
      <c r="F3414" s="91">
        <f>COUNTIF($E$2:$E$7106,E3414)</f>
        <v>9</v>
      </c>
    </row>
    <row r="3415" spans="1:6" x14ac:dyDescent="0.2">
      <c r="A3415">
        <v>2022</v>
      </c>
      <c r="B3415" s="36">
        <v>5418</v>
      </c>
      <c r="C3415" s="90" t="str">
        <f>VLOOKUP(B3415,'All Districts'!$A$3:$B$874,2,FALSE)</f>
        <v>Islip</v>
      </c>
      <c r="D3415" s="82">
        <v>3352736</v>
      </c>
      <c r="E3415">
        <f>VLOOKUP(C3415,'All Districts'!$B$3:$C$874,2,FALSE)</f>
        <v>3615540</v>
      </c>
      <c r="F3415" s="91">
        <f>COUNTIF($E$2:$E$7106,E3415)</f>
        <v>9</v>
      </c>
    </row>
    <row r="3416" spans="1:6" x14ac:dyDescent="0.2">
      <c r="A3416">
        <v>2023</v>
      </c>
      <c r="B3416" s="36">
        <v>5418</v>
      </c>
      <c r="C3416" s="90" t="str">
        <f>VLOOKUP(B3416,'All Districts'!$A$3:$B$874,2,FALSE)</f>
        <v>Islip</v>
      </c>
      <c r="D3416" s="40">
        <v>3681074</v>
      </c>
      <c r="E3416">
        <f>VLOOKUP(C3416,'All Districts'!$B$3:$C$874,2,FALSE)</f>
        <v>3615540</v>
      </c>
      <c r="F3416" s="91">
        <f>COUNTIF($E$2:$E$7106,E3416)</f>
        <v>9</v>
      </c>
    </row>
    <row r="3417" spans="1:6" x14ac:dyDescent="0.2">
      <c r="A3417">
        <v>2015</v>
      </c>
      <c r="B3417" s="13">
        <v>1105</v>
      </c>
      <c r="C3417" s="90" t="str">
        <f>VLOOKUP(B3417,'All Districts'!$A$3:$B$874,2,FALSE)</f>
        <v>Ithaca</v>
      </c>
      <c r="D3417" s="14">
        <v>6361502</v>
      </c>
      <c r="E3417">
        <f>VLOOKUP(C3417,'All Districts'!$B$3:$C$874,2,FALSE)</f>
        <v>3615570</v>
      </c>
      <c r="F3417" s="91">
        <f>COUNTIF($E$2:$E$7106,E3417)</f>
        <v>9</v>
      </c>
    </row>
    <row r="3418" spans="1:6" x14ac:dyDescent="0.2">
      <c r="A3418">
        <v>2016</v>
      </c>
      <c r="B3418" s="13">
        <v>1105</v>
      </c>
      <c r="C3418" s="90" t="str">
        <f>VLOOKUP(B3418,'All Districts'!$A$3:$B$874,2,FALSE)</f>
        <v>Ithaca</v>
      </c>
      <c r="D3418" s="16">
        <v>4906864</v>
      </c>
      <c r="E3418">
        <f>VLOOKUP(C3418,'All Districts'!$B$3:$C$874,2,FALSE)</f>
        <v>3615570</v>
      </c>
      <c r="F3418" s="91">
        <f>COUNTIF($E$2:$E$7106,E3418)</f>
        <v>9</v>
      </c>
    </row>
    <row r="3419" spans="1:6" x14ac:dyDescent="0.2">
      <c r="A3419">
        <v>2017</v>
      </c>
      <c r="B3419" s="13">
        <v>1105</v>
      </c>
      <c r="C3419" s="90" t="str">
        <f>VLOOKUP(B3419,'All Districts'!$A$3:$B$874,2,FALSE)</f>
        <v>Ithaca</v>
      </c>
      <c r="D3419" s="16">
        <v>4485114</v>
      </c>
      <c r="E3419">
        <f>VLOOKUP(C3419,'All Districts'!$B$3:$C$874,2,FALSE)</f>
        <v>3615570</v>
      </c>
      <c r="F3419" s="91">
        <f>COUNTIF($E$2:$E$7106,E3419)</f>
        <v>9</v>
      </c>
    </row>
    <row r="3420" spans="1:6" x14ac:dyDescent="0.2">
      <c r="A3420" s="10">
        <v>2018</v>
      </c>
      <c r="B3420" s="13">
        <v>1105</v>
      </c>
      <c r="C3420" s="90" t="str">
        <f>VLOOKUP(B3420,'All Districts'!$A$3:$B$874,2,FALSE)</f>
        <v>Ithaca</v>
      </c>
      <c r="D3420" s="15">
        <v>3994249</v>
      </c>
      <c r="E3420">
        <f>VLOOKUP(C3420,'All Districts'!$B$3:$C$874,2,FALSE)</f>
        <v>3615570</v>
      </c>
      <c r="F3420" s="91">
        <f>COUNTIF($E$2:$E$7106,E3420)</f>
        <v>9</v>
      </c>
    </row>
    <row r="3421" spans="1:6" x14ac:dyDescent="0.2">
      <c r="A3421">
        <v>2019</v>
      </c>
      <c r="B3421" s="36">
        <v>1105</v>
      </c>
      <c r="C3421" s="90" t="str">
        <f>VLOOKUP(B3421,'All Districts'!$A$3:$B$874,2,FALSE)</f>
        <v>Ithaca</v>
      </c>
      <c r="D3421" s="40">
        <v>4442779</v>
      </c>
      <c r="E3421">
        <f>VLOOKUP(C3421,'All Districts'!$B$3:$C$874,2,FALSE)</f>
        <v>3615570</v>
      </c>
      <c r="F3421" s="91">
        <f>COUNTIF($E$2:$E$7106,E3421)</f>
        <v>9</v>
      </c>
    </row>
    <row r="3422" spans="1:6" x14ac:dyDescent="0.2">
      <c r="A3422">
        <v>2020</v>
      </c>
      <c r="B3422" s="36">
        <v>1105</v>
      </c>
      <c r="C3422" s="90" t="str">
        <f>VLOOKUP(B3422,'All Districts'!$A$3:$B$874,2,FALSE)</f>
        <v>Ithaca</v>
      </c>
      <c r="D3422" s="40">
        <v>3829669</v>
      </c>
      <c r="E3422">
        <f>VLOOKUP(C3422,'All Districts'!$B$3:$C$874,2,FALSE)</f>
        <v>3615570</v>
      </c>
      <c r="F3422" s="91">
        <f>COUNTIF($E$2:$E$7106,E3422)</f>
        <v>9</v>
      </c>
    </row>
    <row r="3423" spans="1:6" x14ac:dyDescent="0.2">
      <c r="A3423" s="10">
        <v>2021</v>
      </c>
      <c r="B3423" s="52">
        <v>1105</v>
      </c>
      <c r="C3423" s="90" t="str">
        <f>VLOOKUP(B3423,'All Districts'!$A$3:$B$874,2,FALSE)</f>
        <v>Ithaca</v>
      </c>
      <c r="D3423" s="76">
        <v>4143262</v>
      </c>
      <c r="E3423">
        <f>VLOOKUP(C3423,'All Districts'!$B$3:$C$874,2,FALSE)</f>
        <v>3615570</v>
      </c>
      <c r="F3423" s="91">
        <f>COUNTIF($E$2:$E$7106,E3423)</f>
        <v>9</v>
      </c>
    </row>
    <row r="3424" spans="1:6" x14ac:dyDescent="0.2">
      <c r="A3424">
        <v>2022</v>
      </c>
      <c r="B3424" s="36">
        <v>1105</v>
      </c>
      <c r="C3424" s="90" t="str">
        <f>VLOOKUP(B3424,'All Districts'!$A$3:$B$874,2,FALSE)</f>
        <v>Ithaca</v>
      </c>
      <c r="D3424" s="82">
        <v>4485260</v>
      </c>
      <c r="E3424">
        <f>VLOOKUP(C3424,'All Districts'!$B$3:$C$874,2,FALSE)</f>
        <v>3615570</v>
      </c>
      <c r="F3424" s="91">
        <f>COUNTIF($E$2:$E$7106,E3424)</f>
        <v>9</v>
      </c>
    </row>
    <row r="3425" spans="1:6" x14ac:dyDescent="0.2">
      <c r="A3425">
        <v>2023</v>
      </c>
      <c r="B3425" s="36">
        <v>1105</v>
      </c>
      <c r="C3425" s="90" t="str">
        <f>VLOOKUP(B3425,'All Districts'!$A$3:$B$874,2,FALSE)</f>
        <v>Ithaca</v>
      </c>
      <c r="D3425" s="40">
        <v>4902494</v>
      </c>
      <c r="E3425">
        <f>VLOOKUP(C3425,'All Districts'!$B$3:$C$874,2,FALSE)</f>
        <v>3615570</v>
      </c>
      <c r="F3425" s="91">
        <f>COUNTIF($E$2:$E$7106,E3425)</f>
        <v>9</v>
      </c>
    </row>
    <row r="3426" spans="1:6" x14ac:dyDescent="0.2">
      <c r="A3426">
        <v>2015</v>
      </c>
      <c r="B3426" s="13">
        <v>2090</v>
      </c>
      <c r="C3426" s="90" t="str">
        <f>VLOOKUP(B3426,'All Districts'!$A$3:$B$874,2,FALSE)</f>
        <v>Jamesville-Dewitt</v>
      </c>
      <c r="D3426" s="14">
        <v>3566596</v>
      </c>
      <c r="E3426">
        <f>VLOOKUP(C3426,'All Districts'!$B$3:$C$874,2,FALSE)</f>
        <v>3609090</v>
      </c>
      <c r="F3426" s="91">
        <f>COUNTIF($E$2:$E$7106,E3426)</f>
        <v>9</v>
      </c>
    </row>
    <row r="3427" spans="1:6" x14ac:dyDescent="0.2">
      <c r="A3427">
        <v>2016</v>
      </c>
      <c r="B3427" s="13">
        <v>2090</v>
      </c>
      <c r="C3427" s="90" t="str">
        <f>VLOOKUP(B3427,'All Districts'!$A$3:$B$874,2,FALSE)</f>
        <v>Jamesville-Dewitt</v>
      </c>
      <c r="D3427" s="16">
        <v>2781070</v>
      </c>
      <c r="E3427">
        <f>VLOOKUP(C3427,'All Districts'!$B$3:$C$874,2,FALSE)</f>
        <v>3609090</v>
      </c>
      <c r="F3427" s="91">
        <f>COUNTIF($E$2:$E$7106,E3427)</f>
        <v>9</v>
      </c>
    </row>
    <row r="3428" spans="1:6" x14ac:dyDescent="0.2">
      <c r="A3428">
        <v>2017</v>
      </c>
      <c r="B3428" s="13">
        <v>2090</v>
      </c>
      <c r="C3428" s="90" t="str">
        <f>VLOOKUP(B3428,'All Districts'!$A$3:$B$874,2,FALSE)</f>
        <v>Jamesville-Dewitt</v>
      </c>
      <c r="D3428" s="16">
        <v>2474134</v>
      </c>
      <c r="E3428">
        <f>VLOOKUP(C3428,'All Districts'!$B$3:$C$874,2,FALSE)</f>
        <v>3609090</v>
      </c>
      <c r="F3428" s="91">
        <f>COUNTIF($E$2:$E$7106,E3428)</f>
        <v>9</v>
      </c>
    </row>
    <row r="3429" spans="1:6" x14ac:dyDescent="0.2">
      <c r="A3429" s="10">
        <v>2018</v>
      </c>
      <c r="B3429" s="13">
        <v>2090</v>
      </c>
      <c r="C3429" s="90" t="str">
        <f>VLOOKUP(B3429,'All Districts'!$A$3:$B$874,2,FALSE)</f>
        <v>Jamesville-Dewitt</v>
      </c>
      <c r="D3429" s="15">
        <v>2092667</v>
      </c>
      <c r="E3429">
        <f>VLOOKUP(C3429,'All Districts'!$B$3:$C$874,2,FALSE)</f>
        <v>3609090</v>
      </c>
      <c r="F3429" s="91">
        <f>COUNTIF($E$2:$E$7106,E3429)</f>
        <v>9</v>
      </c>
    </row>
    <row r="3430" spans="1:6" x14ac:dyDescent="0.2">
      <c r="A3430">
        <v>2019</v>
      </c>
      <c r="B3430" s="36">
        <v>2090</v>
      </c>
      <c r="C3430" s="90" t="str">
        <f>VLOOKUP(B3430,'All Districts'!$A$3:$B$874,2,FALSE)</f>
        <v>Jamesville-Dewitt</v>
      </c>
      <c r="D3430" s="40">
        <v>2328652</v>
      </c>
      <c r="E3430">
        <f>VLOOKUP(C3430,'All Districts'!$B$3:$C$874,2,FALSE)</f>
        <v>3609090</v>
      </c>
      <c r="F3430" s="91">
        <f>COUNTIF($E$2:$E$7106,E3430)</f>
        <v>9</v>
      </c>
    </row>
    <row r="3431" spans="1:6" x14ac:dyDescent="0.2">
      <c r="A3431">
        <v>2020</v>
      </c>
      <c r="B3431" s="36">
        <v>2090</v>
      </c>
      <c r="C3431" s="90" t="str">
        <f>VLOOKUP(B3431,'All Districts'!$A$3:$B$874,2,FALSE)</f>
        <v>Jamesville-Dewitt</v>
      </c>
      <c r="D3431" s="40">
        <v>1981049</v>
      </c>
      <c r="E3431">
        <f>VLOOKUP(C3431,'All Districts'!$B$3:$C$874,2,FALSE)</f>
        <v>3609090</v>
      </c>
      <c r="F3431" s="91">
        <f>COUNTIF($E$2:$E$7106,E3431)</f>
        <v>9</v>
      </c>
    </row>
    <row r="3432" spans="1:6" x14ac:dyDescent="0.2">
      <c r="A3432" s="10">
        <v>2021</v>
      </c>
      <c r="B3432" s="52">
        <v>2090</v>
      </c>
      <c r="C3432" s="90" t="str">
        <f>VLOOKUP(B3432,'All Districts'!$A$3:$B$874,2,FALSE)</f>
        <v>Jamesville-Dewitt</v>
      </c>
      <c r="D3432" s="76">
        <v>2188193</v>
      </c>
      <c r="E3432">
        <f>VLOOKUP(C3432,'All Districts'!$B$3:$C$874,2,FALSE)</f>
        <v>3609090</v>
      </c>
      <c r="F3432" s="91">
        <f>COUNTIF($E$2:$E$7106,E3432)</f>
        <v>9</v>
      </c>
    </row>
    <row r="3433" spans="1:6" x14ac:dyDescent="0.2">
      <c r="A3433">
        <v>2022</v>
      </c>
      <c r="B3433" s="36">
        <v>2090</v>
      </c>
      <c r="C3433" s="90" t="str">
        <f>VLOOKUP(B3433,'All Districts'!$A$3:$B$874,2,FALSE)</f>
        <v>Jamesville-Dewitt</v>
      </c>
      <c r="D3433" s="82">
        <v>2376655</v>
      </c>
      <c r="E3433">
        <f>VLOOKUP(C3433,'All Districts'!$B$3:$C$874,2,FALSE)</f>
        <v>3609090</v>
      </c>
      <c r="F3433" s="91">
        <f>COUNTIF($E$2:$E$7106,E3433)</f>
        <v>9</v>
      </c>
    </row>
    <row r="3434" spans="1:6" x14ac:dyDescent="0.2">
      <c r="A3434">
        <v>2023</v>
      </c>
      <c r="B3434" s="36">
        <v>2090</v>
      </c>
      <c r="C3434" s="90" t="str">
        <f>VLOOKUP(B3434,'All Districts'!$A$3:$B$874,2,FALSE)</f>
        <v>Jamesville-Dewitt</v>
      </c>
      <c r="D3434" s="40">
        <v>2576095</v>
      </c>
      <c r="E3434">
        <f>VLOOKUP(C3434,'All Districts'!$B$3:$C$874,2,FALSE)</f>
        <v>3609090</v>
      </c>
      <c r="F3434" s="91">
        <f>COUNTIF($E$2:$E$7106,E3434)</f>
        <v>9</v>
      </c>
    </row>
    <row r="3435" spans="1:6" x14ac:dyDescent="0.2">
      <c r="A3435">
        <v>2015</v>
      </c>
      <c r="B3435" s="13">
        <v>5282</v>
      </c>
      <c r="C3435" s="90" t="str">
        <f>VLOOKUP(B3435,'All Districts'!$A$3:$B$874,2,FALSE)</f>
        <v>Jasper-Troupsburg</v>
      </c>
      <c r="D3435" s="14">
        <v>648552</v>
      </c>
      <c r="E3435">
        <f>VLOOKUP(C3435,'All Districts'!$B$3:$C$874,2,FALSE)</f>
        <v>3600007</v>
      </c>
      <c r="F3435" s="91">
        <f>COUNTIF($E$2:$E$7106,E3435)</f>
        <v>9</v>
      </c>
    </row>
    <row r="3436" spans="1:6" x14ac:dyDescent="0.2">
      <c r="A3436">
        <v>2016</v>
      </c>
      <c r="B3436" s="13">
        <v>5282</v>
      </c>
      <c r="C3436" s="90" t="str">
        <f>VLOOKUP(B3436,'All Districts'!$A$3:$B$874,2,FALSE)</f>
        <v>Jasper-Troupsburg</v>
      </c>
      <c r="D3436" s="16">
        <v>456590</v>
      </c>
      <c r="E3436">
        <f>VLOOKUP(C3436,'All Districts'!$B$3:$C$874,2,FALSE)</f>
        <v>3600007</v>
      </c>
      <c r="F3436" s="91">
        <f>COUNTIF($E$2:$E$7106,E3436)</f>
        <v>9</v>
      </c>
    </row>
    <row r="3437" spans="1:6" x14ac:dyDescent="0.2">
      <c r="A3437">
        <v>2017</v>
      </c>
      <c r="B3437" s="13">
        <v>5282</v>
      </c>
      <c r="C3437" s="90" t="str">
        <f>VLOOKUP(B3437,'All Districts'!$A$3:$B$874,2,FALSE)</f>
        <v>Jasper-Troupsburg</v>
      </c>
      <c r="D3437" s="16">
        <v>401724</v>
      </c>
      <c r="E3437">
        <f>VLOOKUP(C3437,'All Districts'!$B$3:$C$874,2,FALSE)</f>
        <v>3600007</v>
      </c>
      <c r="F3437" s="91">
        <f>COUNTIF($E$2:$E$7106,E3437)</f>
        <v>9</v>
      </c>
    </row>
    <row r="3438" spans="1:6" x14ac:dyDescent="0.2">
      <c r="A3438" s="10">
        <v>2018</v>
      </c>
      <c r="B3438" s="13">
        <v>5282</v>
      </c>
      <c r="C3438" s="90" t="str">
        <f>VLOOKUP(B3438,'All Districts'!$A$3:$B$874,2,FALSE)</f>
        <v>Jasper-Troupsburg</v>
      </c>
      <c r="D3438" s="15">
        <v>330715</v>
      </c>
      <c r="E3438">
        <f>VLOOKUP(C3438,'All Districts'!$B$3:$C$874,2,FALSE)</f>
        <v>3600007</v>
      </c>
      <c r="F3438" s="91">
        <f>COUNTIF($E$2:$E$7106,E3438)</f>
        <v>9</v>
      </c>
    </row>
    <row r="3439" spans="1:6" x14ac:dyDescent="0.2">
      <c r="A3439">
        <v>2019</v>
      </c>
      <c r="B3439" s="36">
        <v>5282</v>
      </c>
      <c r="C3439" s="90" t="str">
        <f>VLOOKUP(B3439,'All Districts'!$A$3:$B$874,2,FALSE)</f>
        <v>Jasper-Troupsburg</v>
      </c>
      <c r="D3439" s="40">
        <v>383825</v>
      </c>
      <c r="E3439">
        <f>VLOOKUP(C3439,'All Districts'!$B$3:$C$874,2,FALSE)</f>
        <v>3600007</v>
      </c>
      <c r="F3439" s="91">
        <f>COUNTIF($E$2:$E$7106,E3439)</f>
        <v>9</v>
      </c>
    </row>
    <row r="3440" spans="1:6" x14ac:dyDescent="0.2">
      <c r="A3440">
        <v>2020</v>
      </c>
      <c r="B3440" s="36">
        <v>5282</v>
      </c>
      <c r="C3440" s="90" t="str">
        <f>VLOOKUP(B3440,'All Districts'!$A$3:$B$874,2,FALSE)</f>
        <v>Jasper-Troupsburg</v>
      </c>
      <c r="D3440" s="40">
        <v>305593</v>
      </c>
      <c r="E3440">
        <f>VLOOKUP(C3440,'All Districts'!$B$3:$C$874,2,FALSE)</f>
        <v>3600007</v>
      </c>
      <c r="F3440" s="91">
        <f>COUNTIF($E$2:$E$7106,E3440)</f>
        <v>9</v>
      </c>
    </row>
    <row r="3441" spans="1:6" x14ac:dyDescent="0.2">
      <c r="A3441" s="10">
        <v>2021</v>
      </c>
      <c r="B3441" s="52">
        <v>5282</v>
      </c>
      <c r="C3441" s="90" t="str">
        <f>VLOOKUP(B3441,'All Districts'!$A$3:$B$874,2,FALSE)</f>
        <v>Jasper-Troupsburg</v>
      </c>
      <c r="D3441" s="75">
        <v>362135</v>
      </c>
      <c r="E3441">
        <f>VLOOKUP(C3441,'All Districts'!$B$3:$C$874,2,FALSE)</f>
        <v>3600007</v>
      </c>
      <c r="F3441" s="91">
        <f>COUNTIF($E$2:$E$7106,E3441)</f>
        <v>9</v>
      </c>
    </row>
    <row r="3442" spans="1:6" x14ac:dyDescent="0.2">
      <c r="A3442">
        <v>2022</v>
      </c>
      <c r="B3442" s="36">
        <v>5282</v>
      </c>
      <c r="C3442" s="90" t="str">
        <f>VLOOKUP(B3442,'All Districts'!$A$3:$B$874,2,FALSE)</f>
        <v>Jasper-Troupsburg</v>
      </c>
      <c r="D3442" s="82">
        <v>358340</v>
      </c>
      <c r="E3442">
        <f>VLOOKUP(C3442,'All Districts'!$B$3:$C$874,2,FALSE)</f>
        <v>3600007</v>
      </c>
      <c r="F3442" s="91">
        <f>COUNTIF($E$2:$E$7106,E3442)</f>
        <v>9</v>
      </c>
    </row>
    <row r="3443" spans="1:6" x14ac:dyDescent="0.2">
      <c r="A3443">
        <v>2023</v>
      </c>
      <c r="B3443" s="36">
        <v>5282</v>
      </c>
      <c r="C3443" s="90" t="str">
        <f>VLOOKUP(B3443,'All Districts'!$A$3:$B$874,2,FALSE)</f>
        <v>Jasper-Troupsburg</v>
      </c>
      <c r="D3443" s="40">
        <v>389876</v>
      </c>
      <c r="E3443">
        <f>VLOOKUP(C3443,'All Districts'!$B$3:$C$874,2,FALSE)</f>
        <v>3600007</v>
      </c>
      <c r="F3443" s="91">
        <f>COUNTIF($E$2:$E$7106,E3443)</f>
        <v>9</v>
      </c>
    </row>
    <row r="3444" spans="1:6" x14ac:dyDescent="0.2">
      <c r="A3444">
        <v>2015</v>
      </c>
      <c r="B3444" s="13">
        <v>5358</v>
      </c>
      <c r="C3444" s="90" t="str">
        <f>VLOOKUP(B3444,'All Districts'!$A$3:$B$874,2,FALSE)</f>
        <v>Riverhead</v>
      </c>
      <c r="D3444" s="14">
        <v>8047860</v>
      </c>
      <c r="E3444">
        <f>VLOOKUP(C3444,'All Districts'!$B$3:$C$874,2,FALSE)</f>
        <v>3624690</v>
      </c>
      <c r="F3444" s="91">
        <f>COUNTIF($E$2:$E$7106,E3444)</f>
        <v>9</v>
      </c>
    </row>
    <row r="3445" spans="1:6" x14ac:dyDescent="0.2">
      <c r="A3445">
        <v>2016</v>
      </c>
      <c r="B3445" s="13">
        <v>5358</v>
      </c>
      <c r="C3445" s="90" t="str">
        <f>VLOOKUP(B3445,'All Districts'!$A$3:$B$874,2,FALSE)</f>
        <v>Riverhead</v>
      </c>
      <c r="D3445" s="16">
        <v>6388816</v>
      </c>
      <c r="E3445">
        <f>VLOOKUP(C3445,'All Districts'!$B$3:$C$874,2,FALSE)</f>
        <v>3624690</v>
      </c>
      <c r="F3445" s="91">
        <f>COUNTIF($E$2:$E$7106,E3445)</f>
        <v>9</v>
      </c>
    </row>
    <row r="3446" spans="1:6" x14ac:dyDescent="0.2">
      <c r="A3446">
        <v>2017</v>
      </c>
      <c r="B3446" s="13">
        <v>5358</v>
      </c>
      <c r="C3446" s="90" t="str">
        <f>VLOOKUP(B3446,'All Districts'!$A$3:$B$874,2,FALSE)</f>
        <v>Riverhead</v>
      </c>
      <c r="D3446" s="16">
        <v>5765082</v>
      </c>
      <c r="E3446">
        <f>VLOOKUP(C3446,'All Districts'!$B$3:$C$874,2,FALSE)</f>
        <v>3624690</v>
      </c>
      <c r="F3446" s="91">
        <f>COUNTIF($E$2:$E$7106,E3446)</f>
        <v>9</v>
      </c>
    </row>
    <row r="3447" spans="1:6" x14ac:dyDescent="0.2">
      <c r="A3447" s="10">
        <v>2018</v>
      </c>
      <c r="B3447" s="13">
        <v>5358</v>
      </c>
      <c r="C3447" s="90" t="str">
        <f>VLOOKUP(B3447,'All Districts'!$A$3:$B$874,2,FALSE)</f>
        <v>Riverhead</v>
      </c>
      <c r="D3447" s="15">
        <v>4970944</v>
      </c>
      <c r="E3447">
        <f>VLOOKUP(C3447,'All Districts'!$B$3:$C$874,2,FALSE)</f>
        <v>3624690</v>
      </c>
      <c r="F3447" s="91">
        <f>COUNTIF($E$2:$E$7106,E3447)</f>
        <v>9</v>
      </c>
    </row>
    <row r="3448" spans="1:6" x14ac:dyDescent="0.2">
      <c r="A3448">
        <v>2019</v>
      </c>
      <c r="B3448" s="36">
        <v>5358</v>
      </c>
      <c r="C3448" s="90" t="str">
        <f>VLOOKUP(B3448,'All Districts'!$A$3:$B$874,2,FALSE)</f>
        <v>Riverhead</v>
      </c>
      <c r="D3448" s="40">
        <v>5476560</v>
      </c>
      <c r="E3448">
        <f>VLOOKUP(C3448,'All Districts'!$B$3:$C$874,2,FALSE)</f>
        <v>3624690</v>
      </c>
      <c r="F3448" s="91">
        <f>COUNTIF($E$2:$E$7106,E3448)</f>
        <v>9</v>
      </c>
    </row>
    <row r="3449" spans="1:6" x14ac:dyDescent="0.2">
      <c r="A3449">
        <v>2020</v>
      </c>
      <c r="B3449" s="36">
        <v>5358</v>
      </c>
      <c r="C3449" s="90" t="str">
        <f>VLOOKUP(B3449,'All Districts'!$A$3:$B$874,2,FALSE)</f>
        <v>Riverhead</v>
      </c>
      <c r="D3449" s="40">
        <v>4636853</v>
      </c>
      <c r="E3449">
        <f>VLOOKUP(C3449,'All Districts'!$B$3:$C$874,2,FALSE)</f>
        <v>3624690</v>
      </c>
      <c r="F3449" s="91">
        <f>COUNTIF($E$2:$E$7106,E3449)</f>
        <v>9</v>
      </c>
    </row>
    <row r="3450" spans="1:6" x14ac:dyDescent="0.2">
      <c r="A3450" s="10">
        <v>2021</v>
      </c>
      <c r="B3450" s="52">
        <v>5358</v>
      </c>
      <c r="C3450" s="90" t="str">
        <f>VLOOKUP(B3450,'All Districts'!$A$3:$B$874,2,FALSE)</f>
        <v>Riverhead</v>
      </c>
      <c r="D3450" s="76">
        <v>4930085</v>
      </c>
      <c r="E3450">
        <f>VLOOKUP(C3450,'All Districts'!$B$3:$C$874,2,FALSE)</f>
        <v>3624690</v>
      </c>
      <c r="F3450" s="91">
        <f>COUNTIF($E$2:$E$7106,E3450)</f>
        <v>9</v>
      </c>
    </row>
    <row r="3451" spans="1:6" x14ac:dyDescent="0.2">
      <c r="A3451">
        <v>2022</v>
      </c>
      <c r="B3451" s="36">
        <v>5358</v>
      </c>
      <c r="C3451" s="90" t="str">
        <f>VLOOKUP(B3451,'All Districts'!$A$3:$B$874,2,FALSE)</f>
        <v>Riverhead</v>
      </c>
      <c r="D3451" s="82">
        <v>5619147</v>
      </c>
      <c r="E3451">
        <f>VLOOKUP(C3451,'All Districts'!$B$3:$C$874,2,FALSE)</f>
        <v>3624690</v>
      </c>
      <c r="F3451" s="91">
        <f>COUNTIF($E$2:$E$7106,E3451)</f>
        <v>9</v>
      </c>
    </row>
    <row r="3452" spans="1:6" x14ac:dyDescent="0.2">
      <c r="A3452">
        <v>2023</v>
      </c>
      <c r="B3452" s="36">
        <v>5358</v>
      </c>
      <c r="C3452" s="90" t="str">
        <f>VLOOKUP(B3452,'All Districts'!$A$3:$B$874,2,FALSE)</f>
        <v>Riverhead</v>
      </c>
      <c r="D3452" s="40">
        <v>6330943</v>
      </c>
      <c r="E3452">
        <f>VLOOKUP(C3452,'All Districts'!$B$3:$C$874,2,FALSE)</f>
        <v>3624690</v>
      </c>
      <c r="F3452" s="91">
        <f>COUNTIF($E$2:$E$7106,E3452)</f>
        <v>9</v>
      </c>
    </row>
    <row r="3453" spans="1:6" x14ac:dyDescent="0.2">
      <c r="A3453">
        <v>2015</v>
      </c>
      <c r="B3453" s="13">
        <v>6044</v>
      </c>
      <c r="C3453" s="90" t="str">
        <f>VLOOKUP(B3453,'All Districts'!$A$3:$B$874,2,FALSE)</f>
        <v>Jefferson-Lewis-Hamilton-Herkimer-Oneida</v>
      </c>
      <c r="D3453" s="15">
        <v>2593195</v>
      </c>
      <c r="E3453">
        <f>VLOOKUP(C3453,'All Districts'!$B$3:$C$874,2,FALSE)</f>
        <v>3680440</v>
      </c>
      <c r="F3453" s="91">
        <f>COUNTIF($E$2:$E$7106,E3453)</f>
        <v>9</v>
      </c>
    </row>
    <row r="3454" spans="1:6" x14ac:dyDescent="0.2">
      <c r="A3454">
        <v>2016</v>
      </c>
      <c r="B3454" s="13">
        <v>6044</v>
      </c>
      <c r="C3454" s="90" t="str">
        <f>VLOOKUP(B3454,'All Districts'!$A$3:$B$874,2,FALSE)</f>
        <v>Jefferson-Lewis-Hamilton-Herkimer-Oneida</v>
      </c>
      <c r="D3454" s="16">
        <v>1855161</v>
      </c>
      <c r="E3454">
        <f>VLOOKUP(C3454,'All Districts'!$B$3:$C$874,2,FALSE)</f>
        <v>3680440</v>
      </c>
      <c r="F3454" s="91">
        <f>COUNTIF($E$2:$E$7106,E3454)</f>
        <v>9</v>
      </c>
    </row>
    <row r="3455" spans="1:6" x14ac:dyDescent="0.2">
      <c r="A3455">
        <v>2017</v>
      </c>
      <c r="B3455" s="13">
        <v>6044</v>
      </c>
      <c r="C3455" s="90" t="str">
        <f>VLOOKUP(B3455,'All Districts'!$A$3:$B$874,2,FALSE)</f>
        <v>Jefferson-Lewis-Hamilton-Herkimer-Oneida</v>
      </c>
      <c r="D3455" s="16">
        <v>1643608</v>
      </c>
      <c r="E3455">
        <f>VLOOKUP(C3455,'All Districts'!$B$3:$C$874,2,FALSE)</f>
        <v>3680440</v>
      </c>
      <c r="F3455" s="91">
        <f>COUNTIF($E$2:$E$7106,E3455)</f>
        <v>9</v>
      </c>
    </row>
    <row r="3456" spans="1:6" x14ac:dyDescent="0.2">
      <c r="A3456" s="10">
        <v>2018</v>
      </c>
      <c r="B3456" s="13">
        <v>6044</v>
      </c>
      <c r="C3456" s="90" t="str">
        <f>VLOOKUP(B3456,'All Districts'!$A$3:$B$874,2,FALSE)</f>
        <v>Jefferson-Lewis-Hamilton-Herkimer-Oneida</v>
      </c>
      <c r="D3456" s="15">
        <v>1362772</v>
      </c>
      <c r="E3456">
        <f>VLOOKUP(C3456,'All Districts'!$B$3:$C$874,2,FALSE)</f>
        <v>3680440</v>
      </c>
      <c r="F3456" s="91">
        <f>COUNTIF($E$2:$E$7106,E3456)</f>
        <v>9</v>
      </c>
    </row>
    <row r="3457" spans="1:6" x14ac:dyDescent="0.2">
      <c r="A3457">
        <v>2019</v>
      </c>
      <c r="B3457" s="36">
        <v>6044</v>
      </c>
      <c r="C3457" s="90" t="str">
        <f>VLOOKUP(B3457,'All Districts'!$A$3:$B$874,2,FALSE)</f>
        <v>Jefferson-Lewis-Hamilton-Herkimer-Oneida</v>
      </c>
      <c r="D3457" s="40">
        <v>1543048</v>
      </c>
      <c r="E3457">
        <f>VLOOKUP(C3457,'All Districts'!$B$3:$C$874,2,FALSE)</f>
        <v>3680440</v>
      </c>
      <c r="F3457" s="91">
        <f>COUNTIF($E$2:$E$7106,E3457)</f>
        <v>9</v>
      </c>
    </row>
    <row r="3458" spans="1:6" x14ac:dyDescent="0.2">
      <c r="A3458">
        <v>2020</v>
      </c>
      <c r="B3458" s="36">
        <v>6044</v>
      </c>
      <c r="C3458" s="90" t="str">
        <f>VLOOKUP(B3458,'All Districts'!$A$3:$B$874,2,FALSE)</f>
        <v>Jefferson-Lewis-Hamilton-Herkimer-Oneida</v>
      </c>
      <c r="D3458" s="40">
        <v>1310310</v>
      </c>
      <c r="E3458">
        <f>VLOOKUP(C3458,'All Districts'!$B$3:$C$874,2,FALSE)</f>
        <v>3680440</v>
      </c>
      <c r="F3458" s="91">
        <f>COUNTIF($E$2:$E$7106,E3458)</f>
        <v>9</v>
      </c>
    </row>
    <row r="3459" spans="1:6" x14ac:dyDescent="0.2">
      <c r="A3459" s="10">
        <v>2021</v>
      </c>
      <c r="B3459" s="52">
        <v>6044</v>
      </c>
      <c r="C3459" s="90" t="str">
        <f>VLOOKUP(B3459,'All Districts'!$A$3:$B$874,2,FALSE)</f>
        <v>Jefferson-Lewis-Hamilton-Herkimer-Oneida</v>
      </c>
      <c r="D3459" s="76">
        <v>1411162</v>
      </c>
      <c r="E3459">
        <f>VLOOKUP(C3459,'All Districts'!$B$3:$C$874,2,FALSE)</f>
        <v>3680440</v>
      </c>
      <c r="F3459" s="91">
        <f>COUNTIF($E$2:$E$7106,E3459)</f>
        <v>9</v>
      </c>
    </row>
    <row r="3460" spans="1:6" x14ac:dyDescent="0.2">
      <c r="A3460">
        <v>2022</v>
      </c>
      <c r="B3460" s="36">
        <v>6044</v>
      </c>
      <c r="C3460" s="90" t="str">
        <f>VLOOKUP(B3460,'All Districts'!$A$3:$B$874,2,FALSE)</f>
        <v>Jefferson-Lewis-Hamilton-Herkimer-Oneida</v>
      </c>
      <c r="D3460" s="82">
        <v>1448701</v>
      </c>
      <c r="E3460">
        <f>VLOOKUP(C3460,'All Districts'!$B$3:$C$874,2,FALSE)</f>
        <v>3680440</v>
      </c>
      <c r="F3460" s="91">
        <f>COUNTIF($E$2:$E$7106,E3460)</f>
        <v>9</v>
      </c>
    </row>
    <row r="3461" spans="1:6" x14ac:dyDescent="0.2">
      <c r="A3461">
        <v>2023</v>
      </c>
      <c r="B3461" s="36">
        <v>6044</v>
      </c>
      <c r="C3461" s="90" t="str">
        <f>VLOOKUP(B3461,'All Districts'!$A$3:$B$874,2,FALSE)</f>
        <v>Jefferson-Lewis-Hamilton-Herkimer-Oneida</v>
      </c>
      <c r="D3461" s="40">
        <v>1539110</v>
      </c>
      <c r="E3461">
        <f>VLOOKUP(C3461,'All Districts'!$B$3:$C$874,2,FALSE)</f>
        <v>3680440</v>
      </c>
      <c r="F3461" s="91">
        <f>COUNTIF($E$2:$E$7106,E3461)</f>
        <v>9</v>
      </c>
    </row>
    <row r="3462" spans="1:6" x14ac:dyDescent="0.2">
      <c r="A3462">
        <v>2015</v>
      </c>
      <c r="B3462" s="13">
        <v>2275</v>
      </c>
      <c r="C3462" s="90" t="str">
        <f>VLOOKUP(B3462,'All Districts'!$A$3:$B$874,2,FALSE)</f>
        <v>Jericho</v>
      </c>
      <c r="D3462" s="14">
        <v>8383830</v>
      </c>
      <c r="E3462">
        <f>VLOOKUP(C3462,'All Districts'!$B$3:$C$874,2,FALSE)</f>
        <v>3615810</v>
      </c>
      <c r="F3462" s="91">
        <f>COUNTIF($E$2:$E$7106,E3462)</f>
        <v>9</v>
      </c>
    </row>
    <row r="3463" spans="1:6" x14ac:dyDescent="0.2">
      <c r="A3463">
        <v>2016</v>
      </c>
      <c r="B3463" s="13">
        <v>2275</v>
      </c>
      <c r="C3463" s="90" t="str">
        <f>VLOOKUP(B3463,'All Districts'!$A$3:$B$874,2,FALSE)</f>
        <v>Jericho</v>
      </c>
      <c r="D3463" s="16">
        <v>6354997</v>
      </c>
      <c r="E3463">
        <f>VLOOKUP(C3463,'All Districts'!$B$3:$C$874,2,FALSE)</f>
        <v>3615810</v>
      </c>
      <c r="F3463" s="91">
        <f>COUNTIF($E$2:$E$7106,E3463)</f>
        <v>9</v>
      </c>
    </row>
    <row r="3464" spans="1:6" x14ac:dyDescent="0.2">
      <c r="A3464">
        <v>2017</v>
      </c>
      <c r="B3464" s="13">
        <v>2275</v>
      </c>
      <c r="C3464" s="90" t="str">
        <f>VLOOKUP(B3464,'All Districts'!$A$3:$B$874,2,FALSE)</f>
        <v>Jericho</v>
      </c>
      <c r="D3464" s="16">
        <v>5704789</v>
      </c>
      <c r="E3464">
        <f>VLOOKUP(C3464,'All Districts'!$B$3:$C$874,2,FALSE)</f>
        <v>3615810</v>
      </c>
      <c r="F3464" s="91">
        <f>COUNTIF($E$2:$E$7106,E3464)</f>
        <v>9</v>
      </c>
    </row>
    <row r="3465" spans="1:6" x14ac:dyDescent="0.2">
      <c r="A3465" s="10">
        <v>2018</v>
      </c>
      <c r="B3465" s="13">
        <v>2275</v>
      </c>
      <c r="C3465" s="90" t="str">
        <f>VLOOKUP(B3465,'All Districts'!$A$3:$B$874,2,FALSE)</f>
        <v>Jericho</v>
      </c>
      <c r="D3465" s="15">
        <v>4897009</v>
      </c>
      <c r="E3465">
        <f>VLOOKUP(C3465,'All Districts'!$B$3:$C$874,2,FALSE)</f>
        <v>3615810</v>
      </c>
      <c r="F3465" s="91">
        <f>COUNTIF($E$2:$E$7106,E3465)</f>
        <v>9</v>
      </c>
    </row>
    <row r="3466" spans="1:6" x14ac:dyDescent="0.2">
      <c r="A3466">
        <v>2019</v>
      </c>
      <c r="B3466" s="36">
        <v>2275</v>
      </c>
      <c r="C3466" s="90" t="str">
        <f>VLOOKUP(B3466,'All Districts'!$A$3:$B$874,2,FALSE)</f>
        <v>Jericho</v>
      </c>
      <c r="D3466" s="40">
        <v>5415866</v>
      </c>
      <c r="E3466">
        <f>VLOOKUP(C3466,'All Districts'!$B$3:$C$874,2,FALSE)</f>
        <v>3615810</v>
      </c>
      <c r="F3466" s="91">
        <f>COUNTIF($E$2:$E$7106,E3466)</f>
        <v>9</v>
      </c>
    </row>
    <row r="3467" spans="1:6" x14ac:dyDescent="0.2">
      <c r="A3467">
        <v>2020</v>
      </c>
      <c r="B3467" s="36">
        <v>2275</v>
      </c>
      <c r="C3467" s="90" t="str">
        <f>VLOOKUP(B3467,'All Districts'!$A$3:$B$874,2,FALSE)</f>
        <v>Jericho</v>
      </c>
      <c r="D3467" s="40">
        <v>4636993</v>
      </c>
      <c r="E3467">
        <f>VLOOKUP(C3467,'All Districts'!$B$3:$C$874,2,FALSE)</f>
        <v>3615810</v>
      </c>
      <c r="F3467" s="91">
        <f>COUNTIF($E$2:$E$7106,E3467)</f>
        <v>9</v>
      </c>
    </row>
    <row r="3468" spans="1:6" x14ac:dyDescent="0.2">
      <c r="A3468" s="10">
        <v>2021</v>
      </c>
      <c r="B3468" s="55">
        <v>2275</v>
      </c>
      <c r="C3468" s="90" t="str">
        <f>VLOOKUP(B3468,'All Districts'!$A$3:$B$874,2,FALSE)</f>
        <v>Jericho</v>
      </c>
      <c r="D3468" s="76">
        <v>5089351</v>
      </c>
      <c r="E3468">
        <f>VLOOKUP(C3468,'All Districts'!$B$3:$C$874,2,FALSE)</f>
        <v>3615810</v>
      </c>
      <c r="F3468" s="91">
        <f>COUNTIF($E$2:$E$7106,E3468)</f>
        <v>9</v>
      </c>
    </row>
    <row r="3469" spans="1:6" x14ac:dyDescent="0.2">
      <c r="A3469">
        <v>2022</v>
      </c>
      <c r="B3469" s="36">
        <v>2275</v>
      </c>
      <c r="C3469" s="90" t="str">
        <f>VLOOKUP(B3469,'All Districts'!$A$3:$B$874,2,FALSE)</f>
        <v>Jericho</v>
      </c>
      <c r="D3469" s="82">
        <v>5288647</v>
      </c>
      <c r="E3469">
        <f>VLOOKUP(C3469,'All Districts'!$B$3:$C$874,2,FALSE)</f>
        <v>3615810</v>
      </c>
      <c r="F3469" s="91">
        <f>COUNTIF($E$2:$E$7106,E3469)</f>
        <v>9</v>
      </c>
    </row>
    <row r="3470" spans="1:6" x14ac:dyDescent="0.2">
      <c r="A3470">
        <v>2023</v>
      </c>
      <c r="B3470" s="36">
        <v>2275</v>
      </c>
      <c r="C3470" s="90" t="str">
        <f>VLOOKUP(B3470,'All Districts'!$A$3:$B$874,2,FALSE)</f>
        <v>Jericho</v>
      </c>
      <c r="D3470" s="40">
        <v>5696776</v>
      </c>
      <c r="E3470">
        <f>VLOOKUP(C3470,'All Districts'!$B$3:$C$874,2,FALSE)</f>
        <v>3615810</v>
      </c>
      <c r="F3470" s="91">
        <f>COUNTIF($E$2:$E$7106,E3470)</f>
        <v>9</v>
      </c>
    </row>
    <row r="3471" spans="1:6" x14ac:dyDescent="0.2">
      <c r="A3471">
        <v>2015</v>
      </c>
      <c r="B3471" s="13">
        <v>5688</v>
      </c>
      <c r="C3471" s="90" t="str">
        <f>VLOOKUP(B3471,'All Districts'!$A$3:$B$874,2,FALSE)</f>
        <v>Johnsburg</v>
      </c>
      <c r="D3471" s="14">
        <v>518823</v>
      </c>
      <c r="E3471">
        <f>VLOOKUP(C3471,'All Districts'!$B$3:$C$874,2,FALSE)</f>
        <v>3615870</v>
      </c>
      <c r="F3471" s="91">
        <f>COUNTIF($E$2:$E$7106,E3471)</f>
        <v>9</v>
      </c>
    </row>
    <row r="3472" spans="1:6" x14ac:dyDescent="0.2">
      <c r="A3472">
        <v>2016</v>
      </c>
      <c r="B3472" s="13">
        <v>5688</v>
      </c>
      <c r="C3472" s="90" t="str">
        <f>VLOOKUP(B3472,'All Districts'!$A$3:$B$874,2,FALSE)</f>
        <v>Johnsburg</v>
      </c>
      <c r="D3472" s="16">
        <v>387872</v>
      </c>
      <c r="E3472">
        <f>VLOOKUP(C3472,'All Districts'!$B$3:$C$874,2,FALSE)</f>
        <v>3615870</v>
      </c>
      <c r="F3472" s="91">
        <f>COUNTIF($E$2:$E$7106,E3472)</f>
        <v>9</v>
      </c>
    </row>
    <row r="3473" spans="1:6" x14ac:dyDescent="0.2">
      <c r="A3473">
        <v>2017</v>
      </c>
      <c r="B3473" s="13">
        <v>5688</v>
      </c>
      <c r="C3473" s="90" t="str">
        <f>VLOOKUP(B3473,'All Districts'!$A$3:$B$874,2,FALSE)</f>
        <v>Johnsburg</v>
      </c>
      <c r="D3473" s="16">
        <v>348452</v>
      </c>
      <c r="E3473">
        <f>VLOOKUP(C3473,'All Districts'!$B$3:$C$874,2,FALSE)</f>
        <v>3615870</v>
      </c>
      <c r="F3473" s="91">
        <f>COUNTIF($E$2:$E$7106,E3473)</f>
        <v>9</v>
      </c>
    </row>
    <row r="3474" spans="1:6" x14ac:dyDescent="0.2">
      <c r="A3474" s="10">
        <v>2018</v>
      </c>
      <c r="B3474" s="13">
        <v>5688</v>
      </c>
      <c r="C3474" s="90" t="str">
        <f>VLOOKUP(B3474,'All Districts'!$A$3:$B$874,2,FALSE)</f>
        <v>Johnsburg</v>
      </c>
      <c r="D3474" s="15">
        <v>288840</v>
      </c>
      <c r="E3474">
        <f>VLOOKUP(C3474,'All Districts'!$B$3:$C$874,2,FALSE)</f>
        <v>3615870</v>
      </c>
      <c r="F3474" s="91">
        <f>COUNTIF($E$2:$E$7106,E3474)</f>
        <v>9</v>
      </c>
    </row>
    <row r="3475" spans="1:6" x14ac:dyDescent="0.2">
      <c r="A3475">
        <v>2019</v>
      </c>
      <c r="B3475" s="36">
        <v>5688</v>
      </c>
      <c r="C3475" s="90" t="str">
        <f>VLOOKUP(B3475,'All Districts'!$A$3:$B$874,2,FALSE)</f>
        <v>Johnsburg</v>
      </c>
      <c r="D3475" s="40">
        <v>319036</v>
      </c>
      <c r="E3475">
        <f>VLOOKUP(C3475,'All Districts'!$B$3:$C$874,2,FALSE)</f>
        <v>3615870</v>
      </c>
      <c r="F3475" s="91">
        <f>COUNTIF($E$2:$E$7106,E3475)</f>
        <v>9</v>
      </c>
    </row>
    <row r="3476" spans="1:6" x14ac:dyDescent="0.2">
      <c r="A3476">
        <v>2020</v>
      </c>
      <c r="B3476" s="36">
        <v>5688</v>
      </c>
      <c r="C3476" s="90" t="str">
        <f>VLOOKUP(B3476,'All Districts'!$A$3:$B$874,2,FALSE)</f>
        <v>Johnsburg</v>
      </c>
      <c r="D3476" s="40">
        <v>265796</v>
      </c>
      <c r="E3476">
        <f>VLOOKUP(C3476,'All Districts'!$B$3:$C$874,2,FALSE)</f>
        <v>3615870</v>
      </c>
      <c r="F3476" s="91">
        <f>COUNTIF($E$2:$E$7106,E3476)</f>
        <v>9</v>
      </c>
    </row>
    <row r="3477" spans="1:6" x14ac:dyDescent="0.2">
      <c r="A3477" s="10">
        <v>2021</v>
      </c>
      <c r="B3477" s="52">
        <v>5688</v>
      </c>
      <c r="C3477" s="90" t="str">
        <f>VLOOKUP(B3477,'All Districts'!$A$3:$B$874,2,FALSE)</f>
        <v>Johnsburg</v>
      </c>
      <c r="D3477" s="75">
        <v>291229</v>
      </c>
      <c r="E3477">
        <f>VLOOKUP(C3477,'All Districts'!$B$3:$C$874,2,FALSE)</f>
        <v>3615870</v>
      </c>
      <c r="F3477" s="91">
        <f>COUNTIF($E$2:$E$7106,E3477)</f>
        <v>9</v>
      </c>
    </row>
    <row r="3478" spans="1:6" x14ac:dyDescent="0.2">
      <c r="A3478">
        <v>2022</v>
      </c>
      <c r="B3478" s="36">
        <v>5688</v>
      </c>
      <c r="C3478" s="90" t="str">
        <f>VLOOKUP(B3478,'All Districts'!$A$3:$B$874,2,FALSE)</f>
        <v>Johnsburg</v>
      </c>
      <c r="D3478" s="82">
        <v>306278</v>
      </c>
      <c r="E3478">
        <f>VLOOKUP(C3478,'All Districts'!$B$3:$C$874,2,FALSE)</f>
        <v>3615870</v>
      </c>
      <c r="F3478" s="91">
        <f>COUNTIF($E$2:$E$7106,E3478)</f>
        <v>9</v>
      </c>
    </row>
    <row r="3479" spans="1:6" x14ac:dyDescent="0.2">
      <c r="A3479">
        <v>2023</v>
      </c>
      <c r="B3479" s="36">
        <v>5688</v>
      </c>
      <c r="C3479" s="90" t="str">
        <f>VLOOKUP(B3479,'All Districts'!$A$3:$B$874,2,FALSE)</f>
        <v>Johnsburg</v>
      </c>
      <c r="D3479" s="40">
        <v>330104</v>
      </c>
      <c r="E3479">
        <f>VLOOKUP(C3479,'All Districts'!$B$3:$C$874,2,FALSE)</f>
        <v>3615870</v>
      </c>
      <c r="F3479" s="91">
        <f>COUNTIF($E$2:$E$7106,E3479)</f>
        <v>9</v>
      </c>
    </row>
    <row r="3480" spans="1:6" x14ac:dyDescent="0.2">
      <c r="A3480">
        <v>2015</v>
      </c>
      <c r="B3480" s="13">
        <v>2280</v>
      </c>
      <c r="C3480" s="90" t="str">
        <f>VLOOKUP(B3480,'All Districts'!$A$3:$B$874,2,FALSE)</f>
        <v>Johnson City</v>
      </c>
      <c r="D3480" s="14">
        <v>2565796</v>
      </c>
      <c r="E3480">
        <f>VLOOKUP(C3480,'All Districts'!$B$3:$C$874,2,FALSE)</f>
        <v>3615900</v>
      </c>
      <c r="F3480" s="91">
        <f>COUNTIF($E$2:$E$7106,E3480)</f>
        <v>9</v>
      </c>
    </row>
    <row r="3481" spans="1:6" x14ac:dyDescent="0.2">
      <c r="A3481">
        <v>2016</v>
      </c>
      <c r="B3481" s="13">
        <v>2280</v>
      </c>
      <c r="C3481" s="90" t="str">
        <f>VLOOKUP(B3481,'All Districts'!$A$3:$B$874,2,FALSE)</f>
        <v>Johnson City</v>
      </c>
      <c r="D3481" s="16">
        <v>2055000</v>
      </c>
      <c r="E3481">
        <f>VLOOKUP(C3481,'All Districts'!$B$3:$C$874,2,FALSE)</f>
        <v>3615900</v>
      </c>
      <c r="F3481" s="91">
        <f>COUNTIF($E$2:$E$7106,E3481)</f>
        <v>9</v>
      </c>
    </row>
    <row r="3482" spans="1:6" x14ac:dyDescent="0.2">
      <c r="A3482">
        <v>2017</v>
      </c>
      <c r="B3482" s="13">
        <v>2280</v>
      </c>
      <c r="C3482" s="90" t="str">
        <f>VLOOKUP(B3482,'All Districts'!$A$3:$B$874,2,FALSE)</f>
        <v>Johnson City</v>
      </c>
      <c r="D3482" s="16">
        <v>1856077</v>
      </c>
      <c r="E3482">
        <f>VLOOKUP(C3482,'All Districts'!$B$3:$C$874,2,FALSE)</f>
        <v>3615900</v>
      </c>
      <c r="F3482" s="91">
        <f>COUNTIF($E$2:$E$7106,E3482)</f>
        <v>9</v>
      </c>
    </row>
    <row r="3483" spans="1:6" x14ac:dyDescent="0.2">
      <c r="A3483" s="10">
        <v>2018</v>
      </c>
      <c r="B3483" s="13">
        <v>2280</v>
      </c>
      <c r="C3483" s="90" t="str">
        <f>VLOOKUP(B3483,'All Districts'!$A$3:$B$874,2,FALSE)</f>
        <v>Johnson City</v>
      </c>
      <c r="D3483" s="15">
        <v>1602238</v>
      </c>
      <c r="E3483">
        <f>VLOOKUP(C3483,'All Districts'!$B$3:$C$874,2,FALSE)</f>
        <v>3615900</v>
      </c>
      <c r="F3483" s="91">
        <f>COUNTIF($E$2:$E$7106,E3483)</f>
        <v>9</v>
      </c>
    </row>
    <row r="3484" spans="1:6" x14ac:dyDescent="0.2">
      <c r="A3484">
        <v>2019</v>
      </c>
      <c r="B3484" s="36">
        <v>2280</v>
      </c>
      <c r="C3484" s="90" t="str">
        <f>VLOOKUP(B3484,'All Districts'!$A$3:$B$874,2,FALSE)</f>
        <v>Johnson City</v>
      </c>
      <c r="D3484" s="40">
        <v>1804568</v>
      </c>
      <c r="E3484">
        <f>VLOOKUP(C3484,'All Districts'!$B$3:$C$874,2,FALSE)</f>
        <v>3615900</v>
      </c>
      <c r="F3484" s="91">
        <f>COUNTIF($E$2:$E$7106,E3484)</f>
        <v>9</v>
      </c>
    </row>
    <row r="3485" spans="1:6" x14ac:dyDescent="0.2">
      <c r="A3485">
        <v>2020</v>
      </c>
      <c r="B3485" s="36">
        <v>2280</v>
      </c>
      <c r="C3485" s="90" t="str">
        <f>VLOOKUP(B3485,'All Districts'!$A$3:$B$874,2,FALSE)</f>
        <v>Johnson City</v>
      </c>
      <c r="D3485" s="40">
        <v>1502330</v>
      </c>
      <c r="E3485">
        <f>VLOOKUP(C3485,'All Districts'!$B$3:$C$874,2,FALSE)</f>
        <v>3615900</v>
      </c>
      <c r="F3485" s="91">
        <f>COUNTIF($E$2:$E$7106,E3485)</f>
        <v>9</v>
      </c>
    </row>
    <row r="3486" spans="1:6" x14ac:dyDescent="0.2">
      <c r="A3486" s="10">
        <v>2021</v>
      </c>
      <c r="B3486" s="52">
        <v>2280</v>
      </c>
      <c r="C3486" s="90" t="str">
        <f>VLOOKUP(B3486,'All Districts'!$A$3:$B$874,2,FALSE)</f>
        <v>Johnson City</v>
      </c>
      <c r="D3486" s="76">
        <v>1580435</v>
      </c>
      <c r="E3486">
        <f>VLOOKUP(C3486,'All Districts'!$B$3:$C$874,2,FALSE)</f>
        <v>3615900</v>
      </c>
      <c r="F3486" s="91">
        <f>COUNTIF($E$2:$E$7106,E3486)</f>
        <v>9</v>
      </c>
    </row>
    <row r="3487" spans="1:6" x14ac:dyDescent="0.2">
      <c r="A3487">
        <v>2022</v>
      </c>
      <c r="B3487" s="36">
        <v>2280</v>
      </c>
      <c r="C3487" s="90" t="str">
        <f>VLOOKUP(B3487,'All Districts'!$A$3:$B$874,2,FALSE)</f>
        <v>Johnson City</v>
      </c>
      <c r="D3487" s="82">
        <v>1718598</v>
      </c>
      <c r="E3487">
        <f>VLOOKUP(C3487,'All Districts'!$B$3:$C$874,2,FALSE)</f>
        <v>3615900</v>
      </c>
      <c r="F3487" s="91">
        <f>COUNTIF($E$2:$E$7106,E3487)</f>
        <v>9</v>
      </c>
    </row>
    <row r="3488" spans="1:6" x14ac:dyDescent="0.2">
      <c r="A3488">
        <v>2023</v>
      </c>
      <c r="B3488" s="36">
        <v>2280</v>
      </c>
      <c r="C3488" s="90" t="str">
        <f>VLOOKUP(B3488,'All Districts'!$A$3:$B$874,2,FALSE)</f>
        <v>Johnson City</v>
      </c>
      <c r="D3488" s="40">
        <v>1934259</v>
      </c>
      <c r="E3488">
        <f>VLOOKUP(C3488,'All Districts'!$B$3:$C$874,2,FALSE)</f>
        <v>3615900</v>
      </c>
      <c r="F3488" s="91">
        <f>COUNTIF($E$2:$E$7106,E3488)</f>
        <v>9</v>
      </c>
    </row>
    <row r="3489" spans="1:6" x14ac:dyDescent="0.2">
      <c r="A3489">
        <v>2015</v>
      </c>
      <c r="B3489" s="13">
        <v>1115</v>
      </c>
      <c r="C3489" s="90" t="str">
        <f>VLOOKUP(B3489,'All Districts'!$A$3:$B$874,2,FALSE)</f>
        <v>Johnstown</v>
      </c>
      <c r="D3489" s="14">
        <v>1687464</v>
      </c>
      <c r="E3489">
        <f>VLOOKUP(C3489,'All Districts'!$B$3:$C$874,2,FALSE)</f>
        <v>3615980</v>
      </c>
      <c r="F3489" s="91">
        <f>COUNTIF($E$2:$E$7106,E3489)</f>
        <v>9</v>
      </c>
    </row>
    <row r="3490" spans="1:6" x14ac:dyDescent="0.2">
      <c r="A3490">
        <v>2016</v>
      </c>
      <c r="B3490" s="13">
        <v>1115</v>
      </c>
      <c r="C3490" s="90" t="str">
        <f>VLOOKUP(B3490,'All Districts'!$A$3:$B$874,2,FALSE)</f>
        <v>Johnstown</v>
      </c>
      <c r="D3490" s="16">
        <v>1352443</v>
      </c>
      <c r="E3490">
        <f>VLOOKUP(C3490,'All Districts'!$B$3:$C$874,2,FALSE)</f>
        <v>3615980</v>
      </c>
      <c r="F3490" s="91">
        <f>COUNTIF($E$2:$E$7106,E3490)</f>
        <v>9</v>
      </c>
    </row>
    <row r="3491" spans="1:6" x14ac:dyDescent="0.2">
      <c r="A3491">
        <v>2017</v>
      </c>
      <c r="B3491" s="13">
        <v>1115</v>
      </c>
      <c r="C3491" s="90" t="str">
        <f>VLOOKUP(B3491,'All Districts'!$A$3:$B$874,2,FALSE)</f>
        <v>Johnstown</v>
      </c>
      <c r="D3491" s="16">
        <v>1191155</v>
      </c>
      <c r="E3491">
        <f>VLOOKUP(C3491,'All Districts'!$B$3:$C$874,2,FALSE)</f>
        <v>3615980</v>
      </c>
      <c r="F3491" s="91">
        <f>COUNTIF($E$2:$E$7106,E3491)</f>
        <v>9</v>
      </c>
    </row>
    <row r="3492" spans="1:6" x14ac:dyDescent="0.2">
      <c r="A3492" s="10">
        <v>2018</v>
      </c>
      <c r="B3492" s="13">
        <v>1115</v>
      </c>
      <c r="C3492" s="90" t="str">
        <f>VLOOKUP(B3492,'All Districts'!$A$3:$B$874,2,FALSE)</f>
        <v>Johnstown</v>
      </c>
      <c r="D3492" s="15">
        <v>1056296</v>
      </c>
      <c r="E3492">
        <f>VLOOKUP(C3492,'All Districts'!$B$3:$C$874,2,FALSE)</f>
        <v>3615980</v>
      </c>
      <c r="F3492" s="91">
        <f>COUNTIF($E$2:$E$7106,E3492)</f>
        <v>9</v>
      </c>
    </row>
    <row r="3493" spans="1:6" x14ac:dyDescent="0.2">
      <c r="A3493">
        <v>2019</v>
      </c>
      <c r="B3493" s="36">
        <v>1115</v>
      </c>
      <c r="C3493" s="90" t="str">
        <f>VLOOKUP(B3493,'All Districts'!$A$3:$B$874,2,FALSE)</f>
        <v>Johnstown</v>
      </c>
      <c r="D3493" s="40">
        <v>1125199</v>
      </c>
      <c r="E3493">
        <f>VLOOKUP(C3493,'All Districts'!$B$3:$C$874,2,FALSE)</f>
        <v>3615980</v>
      </c>
      <c r="F3493" s="91">
        <f>COUNTIF($E$2:$E$7106,E3493)</f>
        <v>9</v>
      </c>
    </row>
    <row r="3494" spans="1:6" x14ac:dyDescent="0.2">
      <c r="A3494">
        <v>2020</v>
      </c>
      <c r="B3494" s="36">
        <v>1115</v>
      </c>
      <c r="C3494" s="90" t="str">
        <f>VLOOKUP(B3494,'All Districts'!$A$3:$B$874,2,FALSE)</f>
        <v>Johnstown</v>
      </c>
      <c r="D3494" s="40">
        <v>847869</v>
      </c>
      <c r="E3494">
        <f>VLOOKUP(C3494,'All Districts'!$B$3:$C$874,2,FALSE)</f>
        <v>3615980</v>
      </c>
      <c r="F3494" s="91">
        <f>COUNTIF($E$2:$E$7106,E3494)</f>
        <v>9</v>
      </c>
    </row>
    <row r="3495" spans="1:6" x14ac:dyDescent="0.2">
      <c r="A3495" s="10">
        <v>2021</v>
      </c>
      <c r="B3495" s="52">
        <v>1115</v>
      </c>
      <c r="C3495" s="90" t="str">
        <f>VLOOKUP(B3495,'All Districts'!$A$3:$B$874,2,FALSE)</f>
        <v>Johnstown</v>
      </c>
      <c r="D3495" s="76">
        <v>939090</v>
      </c>
      <c r="E3495">
        <f>VLOOKUP(C3495,'All Districts'!$B$3:$C$874,2,FALSE)</f>
        <v>3615980</v>
      </c>
      <c r="F3495" s="91">
        <f>COUNTIF($E$2:$E$7106,E3495)</f>
        <v>9</v>
      </c>
    </row>
    <row r="3496" spans="1:6" x14ac:dyDescent="0.2">
      <c r="A3496">
        <v>2022</v>
      </c>
      <c r="B3496" s="36">
        <v>1115</v>
      </c>
      <c r="C3496" s="90" t="str">
        <f>VLOOKUP(B3496,'All Districts'!$A$3:$B$874,2,FALSE)</f>
        <v>Johnstown</v>
      </c>
      <c r="D3496" s="82">
        <v>1055903</v>
      </c>
      <c r="E3496">
        <f>VLOOKUP(C3496,'All Districts'!$B$3:$C$874,2,FALSE)</f>
        <v>3615980</v>
      </c>
      <c r="F3496" s="91">
        <f>COUNTIF($E$2:$E$7106,E3496)</f>
        <v>9</v>
      </c>
    </row>
    <row r="3497" spans="1:6" x14ac:dyDescent="0.2">
      <c r="A3497">
        <v>2023</v>
      </c>
      <c r="B3497" s="36">
        <v>1115</v>
      </c>
      <c r="C3497" s="90" t="str">
        <f>VLOOKUP(B3497,'All Districts'!$A$3:$B$874,2,FALSE)</f>
        <v>Johnstown</v>
      </c>
      <c r="D3497" s="40">
        <v>1190215</v>
      </c>
      <c r="E3497">
        <f>VLOOKUP(C3497,'All Districts'!$B$3:$C$874,2,FALSE)</f>
        <v>3615980</v>
      </c>
      <c r="F3497" s="91">
        <f>COUNTIF($E$2:$E$7106,E3497)</f>
        <v>9</v>
      </c>
    </row>
    <row r="3498" spans="1:6" x14ac:dyDescent="0.2">
      <c r="A3498">
        <v>2015</v>
      </c>
      <c r="B3498" s="13">
        <v>2281</v>
      </c>
      <c r="C3498" s="90" t="str">
        <f>VLOOKUP(B3498,'All Districts'!$A$3:$B$874,2,FALSE)</f>
        <v>Jordan-Elbridge</v>
      </c>
      <c r="D3498" s="14">
        <v>1617978</v>
      </c>
      <c r="E3498">
        <f>VLOOKUP(C3498,'All Districts'!$B$3:$C$874,2,FALSE)</f>
        <v>3615990</v>
      </c>
      <c r="F3498" s="91">
        <f>COUNTIF($E$2:$E$7106,E3498)</f>
        <v>9</v>
      </c>
    </row>
    <row r="3499" spans="1:6" x14ac:dyDescent="0.2">
      <c r="A3499">
        <v>2016</v>
      </c>
      <c r="B3499" s="13">
        <v>2281</v>
      </c>
      <c r="C3499" s="90" t="str">
        <f>VLOOKUP(B3499,'All Districts'!$A$3:$B$874,2,FALSE)</f>
        <v>Jordan-Elbridge</v>
      </c>
      <c r="D3499" s="16">
        <v>1252446</v>
      </c>
      <c r="E3499">
        <f>VLOOKUP(C3499,'All Districts'!$B$3:$C$874,2,FALSE)</f>
        <v>3615990</v>
      </c>
      <c r="F3499" s="91">
        <f>COUNTIF($E$2:$E$7106,E3499)</f>
        <v>9</v>
      </c>
    </row>
    <row r="3500" spans="1:6" x14ac:dyDescent="0.2">
      <c r="A3500">
        <v>2017</v>
      </c>
      <c r="B3500" s="13">
        <v>2281</v>
      </c>
      <c r="C3500" s="90" t="str">
        <f>VLOOKUP(B3500,'All Districts'!$A$3:$B$874,2,FALSE)</f>
        <v>Jordan-Elbridge</v>
      </c>
      <c r="D3500" s="16">
        <v>1145591</v>
      </c>
      <c r="E3500">
        <f>VLOOKUP(C3500,'All Districts'!$B$3:$C$874,2,FALSE)</f>
        <v>3615990</v>
      </c>
      <c r="F3500" s="91">
        <f>COUNTIF($E$2:$E$7106,E3500)</f>
        <v>9</v>
      </c>
    </row>
    <row r="3501" spans="1:6" x14ac:dyDescent="0.2">
      <c r="A3501" s="10">
        <v>2018</v>
      </c>
      <c r="B3501" s="13">
        <v>2281</v>
      </c>
      <c r="C3501" s="90" t="str">
        <f>VLOOKUP(B3501,'All Districts'!$A$3:$B$874,2,FALSE)</f>
        <v>Jordan-Elbridge</v>
      </c>
      <c r="D3501" s="15">
        <v>989982</v>
      </c>
      <c r="E3501">
        <f>VLOOKUP(C3501,'All Districts'!$B$3:$C$874,2,FALSE)</f>
        <v>3615990</v>
      </c>
      <c r="F3501" s="91">
        <f>COUNTIF($E$2:$E$7106,E3501)</f>
        <v>9</v>
      </c>
    </row>
    <row r="3502" spans="1:6" x14ac:dyDescent="0.2">
      <c r="A3502">
        <v>2019</v>
      </c>
      <c r="B3502" s="36">
        <v>2281</v>
      </c>
      <c r="C3502" s="90" t="str">
        <f>VLOOKUP(B3502,'All Districts'!$A$3:$B$874,2,FALSE)</f>
        <v>Jordan-Elbridge</v>
      </c>
      <c r="D3502" s="40">
        <v>1090155</v>
      </c>
      <c r="E3502">
        <f>VLOOKUP(C3502,'All Districts'!$B$3:$C$874,2,FALSE)</f>
        <v>3615990</v>
      </c>
      <c r="F3502" s="91">
        <f>COUNTIF($E$2:$E$7106,E3502)</f>
        <v>9</v>
      </c>
    </row>
    <row r="3503" spans="1:6" x14ac:dyDescent="0.2">
      <c r="A3503">
        <v>2020</v>
      </c>
      <c r="B3503" s="36">
        <v>2281</v>
      </c>
      <c r="C3503" s="90" t="str">
        <f>VLOOKUP(B3503,'All Districts'!$A$3:$B$874,2,FALSE)</f>
        <v>Jordan-Elbridge</v>
      </c>
      <c r="D3503" s="40">
        <v>897051</v>
      </c>
      <c r="E3503">
        <f>VLOOKUP(C3503,'All Districts'!$B$3:$C$874,2,FALSE)</f>
        <v>3615990</v>
      </c>
      <c r="F3503" s="91">
        <f>COUNTIF($E$2:$E$7106,E3503)</f>
        <v>9</v>
      </c>
    </row>
    <row r="3504" spans="1:6" x14ac:dyDescent="0.2">
      <c r="A3504" s="10">
        <v>2021</v>
      </c>
      <c r="B3504" s="72">
        <v>2281</v>
      </c>
      <c r="C3504" s="90" t="str">
        <f>VLOOKUP(B3504,'All Districts'!$A$3:$B$874,2,FALSE)</f>
        <v>Jordan-Elbridge</v>
      </c>
      <c r="D3504" s="79">
        <v>923650</v>
      </c>
      <c r="E3504">
        <f>VLOOKUP(C3504,'All Districts'!$B$3:$C$874,2,FALSE)</f>
        <v>3615990</v>
      </c>
      <c r="F3504" s="91">
        <f>COUNTIF($E$2:$E$7106,E3504)</f>
        <v>9</v>
      </c>
    </row>
    <row r="3505" spans="1:6" x14ac:dyDescent="0.2">
      <c r="A3505">
        <v>2022</v>
      </c>
      <c r="B3505" s="36">
        <v>2281</v>
      </c>
      <c r="C3505" s="90" t="str">
        <f>VLOOKUP(B3505,'All Districts'!$A$3:$B$874,2,FALSE)</f>
        <v>Jordan-Elbridge</v>
      </c>
      <c r="D3505" s="82">
        <v>1108473</v>
      </c>
      <c r="E3505">
        <f>VLOOKUP(C3505,'All Districts'!$B$3:$C$874,2,FALSE)</f>
        <v>3615990</v>
      </c>
      <c r="F3505" s="91">
        <f>COUNTIF($E$2:$E$7106,E3505)</f>
        <v>9</v>
      </c>
    </row>
    <row r="3506" spans="1:6" x14ac:dyDescent="0.2">
      <c r="A3506">
        <v>2023</v>
      </c>
      <c r="B3506" s="36">
        <v>2281</v>
      </c>
      <c r="C3506" s="90" t="str">
        <f>VLOOKUP(B3506,'All Districts'!$A$3:$B$874,2,FALSE)</f>
        <v>Jordan-Elbridge</v>
      </c>
      <c r="D3506" s="40">
        <v>1193386</v>
      </c>
      <c r="E3506">
        <f>VLOOKUP(C3506,'All Districts'!$B$3:$C$874,2,FALSE)</f>
        <v>3615990</v>
      </c>
      <c r="F3506" s="91">
        <f>COUNTIF($E$2:$E$7106,E3506)</f>
        <v>9</v>
      </c>
    </row>
    <row r="3507" spans="1:6" x14ac:dyDescent="0.2">
      <c r="A3507">
        <v>2015</v>
      </c>
      <c r="B3507" s="13">
        <v>2282</v>
      </c>
      <c r="C3507" s="90" t="str">
        <f>VLOOKUP(B3507,'All Districts'!$A$3:$B$874,2,FALSE)</f>
        <v>Katonah-Lewisboro</v>
      </c>
      <c r="D3507" s="14">
        <v>7563264</v>
      </c>
      <c r="E3507">
        <f>VLOOKUP(C3507,'All Districts'!$B$3:$C$874,2,FALSE)</f>
        <v>3616080</v>
      </c>
      <c r="F3507" s="91">
        <f>COUNTIF($E$2:$E$7106,E3507)</f>
        <v>9</v>
      </c>
    </row>
    <row r="3508" spans="1:6" x14ac:dyDescent="0.2">
      <c r="A3508">
        <v>2016</v>
      </c>
      <c r="B3508" s="13">
        <v>2282</v>
      </c>
      <c r="C3508" s="90" t="str">
        <f>VLOOKUP(B3508,'All Districts'!$A$3:$B$874,2,FALSE)</f>
        <v>Katonah-Lewisboro</v>
      </c>
      <c r="D3508" s="16">
        <v>5766857</v>
      </c>
      <c r="E3508">
        <f>VLOOKUP(C3508,'All Districts'!$B$3:$C$874,2,FALSE)</f>
        <v>3616080</v>
      </c>
      <c r="F3508" s="91">
        <f>COUNTIF($E$2:$E$7106,E3508)</f>
        <v>9</v>
      </c>
    </row>
    <row r="3509" spans="1:6" x14ac:dyDescent="0.2">
      <c r="A3509">
        <v>2017</v>
      </c>
      <c r="B3509" s="13">
        <v>2282</v>
      </c>
      <c r="C3509" s="90" t="str">
        <f>VLOOKUP(B3509,'All Districts'!$A$3:$B$874,2,FALSE)</f>
        <v>Katonah-Lewisboro</v>
      </c>
      <c r="D3509" s="16">
        <v>5171780</v>
      </c>
      <c r="E3509">
        <f>VLOOKUP(C3509,'All Districts'!$B$3:$C$874,2,FALSE)</f>
        <v>3616080</v>
      </c>
      <c r="F3509" s="91">
        <f>COUNTIF($E$2:$E$7106,E3509)</f>
        <v>9</v>
      </c>
    </row>
    <row r="3510" spans="1:6" x14ac:dyDescent="0.2">
      <c r="A3510" s="10">
        <v>2018</v>
      </c>
      <c r="B3510" s="13">
        <v>2282</v>
      </c>
      <c r="C3510" s="90" t="str">
        <f>VLOOKUP(B3510,'All Districts'!$A$3:$B$874,2,FALSE)</f>
        <v>Katonah-Lewisboro</v>
      </c>
      <c r="D3510" s="15">
        <v>4279226</v>
      </c>
      <c r="E3510">
        <f>VLOOKUP(C3510,'All Districts'!$B$3:$C$874,2,FALSE)</f>
        <v>3616080</v>
      </c>
      <c r="F3510" s="91">
        <f>COUNTIF($E$2:$E$7106,E3510)</f>
        <v>9</v>
      </c>
    </row>
    <row r="3511" spans="1:6" x14ac:dyDescent="0.2">
      <c r="A3511">
        <v>2019</v>
      </c>
      <c r="B3511" s="36">
        <v>2282</v>
      </c>
      <c r="C3511" s="90" t="str">
        <f>VLOOKUP(B3511,'All Districts'!$A$3:$B$874,2,FALSE)</f>
        <v>Katonah-Lewisboro</v>
      </c>
      <c r="D3511" s="40">
        <v>4736853</v>
      </c>
      <c r="E3511">
        <f>VLOOKUP(C3511,'All Districts'!$B$3:$C$874,2,FALSE)</f>
        <v>3616080</v>
      </c>
      <c r="F3511" s="91">
        <f>COUNTIF($E$2:$E$7106,E3511)</f>
        <v>9</v>
      </c>
    </row>
    <row r="3512" spans="1:6" x14ac:dyDescent="0.2">
      <c r="A3512">
        <v>2020</v>
      </c>
      <c r="B3512" s="36">
        <v>2282</v>
      </c>
      <c r="C3512" s="90" t="str">
        <f>VLOOKUP(B3512,'All Districts'!$A$3:$B$874,2,FALSE)</f>
        <v>Katonah-Lewisboro</v>
      </c>
      <c r="D3512" s="40">
        <v>3956743</v>
      </c>
      <c r="E3512">
        <f>VLOOKUP(C3512,'All Districts'!$B$3:$C$874,2,FALSE)</f>
        <v>3616080</v>
      </c>
      <c r="F3512" s="91">
        <f>COUNTIF($E$2:$E$7106,E3512)</f>
        <v>9</v>
      </c>
    </row>
    <row r="3513" spans="1:6" x14ac:dyDescent="0.2">
      <c r="A3513" s="10">
        <v>2021</v>
      </c>
      <c r="B3513" s="55">
        <v>2282</v>
      </c>
      <c r="C3513" s="90" t="str">
        <f>VLOOKUP(B3513,'All Districts'!$A$3:$B$874,2,FALSE)</f>
        <v>Katonah-Lewisboro</v>
      </c>
      <c r="D3513" s="75">
        <v>4220224</v>
      </c>
      <c r="E3513">
        <f>VLOOKUP(C3513,'All Districts'!$B$3:$C$874,2,FALSE)</f>
        <v>3616080</v>
      </c>
      <c r="F3513" s="91">
        <f>COUNTIF($E$2:$E$7106,E3513)</f>
        <v>9</v>
      </c>
    </row>
    <row r="3514" spans="1:6" x14ac:dyDescent="0.2">
      <c r="A3514">
        <v>2022</v>
      </c>
      <c r="B3514" s="36">
        <v>2282</v>
      </c>
      <c r="C3514" s="90" t="str">
        <f>VLOOKUP(B3514,'All Districts'!$A$3:$B$874,2,FALSE)</f>
        <v>Katonah-Lewisboro</v>
      </c>
      <c r="D3514" s="82">
        <v>4394848</v>
      </c>
      <c r="E3514">
        <f>VLOOKUP(C3514,'All Districts'!$B$3:$C$874,2,FALSE)</f>
        <v>3616080</v>
      </c>
      <c r="F3514" s="91">
        <f>COUNTIF($E$2:$E$7106,E3514)</f>
        <v>9</v>
      </c>
    </row>
    <row r="3515" spans="1:6" x14ac:dyDescent="0.2">
      <c r="A3515">
        <v>2023</v>
      </c>
      <c r="B3515" s="36">
        <v>2282</v>
      </c>
      <c r="C3515" s="90" t="str">
        <f>VLOOKUP(B3515,'All Districts'!$A$3:$B$874,2,FALSE)</f>
        <v>Katonah-Lewisboro</v>
      </c>
      <c r="D3515" s="40">
        <v>4790022</v>
      </c>
      <c r="E3515">
        <f>VLOOKUP(C3515,'All Districts'!$B$3:$C$874,2,FALSE)</f>
        <v>3616080</v>
      </c>
      <c r="F3515" s="91">
        <f>COUNTIF($E$2:$E$7106,E3515)</f>
        <v>9</v>
      </c>
    </row>
    <row r="3516" spans="1:6" x14ac:dyDescent="0.2">
      <c r="A3516">
        <v>2015</v>
      </c>
      <c r="B3516" s="13">
        <v>3471</v>
      </c>
      <c r="C3516" s="90" t="str">
        <f>VLOOKUP(B3516,'All Districts'!$A$3:$B$874,2,FALSE)</f>
        <v>Keene</v>
      </c>
      <c r="D3516" s="14">
        <v>361395</v>
      </c>
      <c r="E3516">
        <f>VLOOKUP(C3516,'All Districts'!$B$3:$C$874,2,FALSE)</f>
        <v>3616140</v>
      </c>
      <c r="F3516" s="91">
        <f>COUNTIF($E$2:$E$7106,E3516)</f>
        <v>9</v>
      </c>
    </row>
    <row r="3517" spans="1:6" x14ac:dyDescent="0.2">
      <c r="A3517">
        <v>2016</v>
      </c>
      <c r="B3517" s="13">
        <v>3471</v>
      </c>
      <c r="C3517" s="90" t="str">
        <f>VLOOKUP(B3517,'All Districts'!$A$3:$B$874,2,FALSE)</f>
        <v>Keene</v>
      </c>
      <c r="D3517" s="16">
        <v>266362</v>
      </c>
      <c r="E3517">
        <f>VLOOKUP(C3517,'All Districts'!$B$3:$C$874,2,FALSE)</f>
        <v>3616140</v>
      </c>
      <c r="F3517" s="91">
        <f>COUNTIF($E$2:$E$7106,E3517)</f>
        <v>9</v>
      </c>
    </row>
    <row r="3518" spans="1:6" x14ac:dyDescent="0.2">
      <c r="A3518">
        <v>2017</v>
      </c>
      <c r="B3518" s="13">
        <v>3471</v>
      </c>
      <c r="C3518" s="90" t="str">
        <f>VLOOKUP(B3518,'All Districts'!$A$3:$B$874,2,FALSE)</f>
        <v>Keene</v>
      </c>
      <c r="D3518" s="16">
        <v>252017</v>
      </c>
      <c r="E3518">
        <f>VLOOKUP(C3518,'All Districts'!$B$3:$C$874,2,FALSE)</f>
        <v>3616140</v>
      </c>
      <c r="F3518" s="91">
        <f>COUNTIF($E$2:$E$7106,E3518)</f>
        <v>9</v>
      </c>
    </row>
    <row r="3519" spans="1:6" x14ac:dyDescent="0.2">
      <c r="A3519" s="10">
        <v>2018</v>
      </c>
      <c r="B3519" s="13">
        <v>3471</v>
      </c>
      <c r="C3519" s="90" t="str">
        <f>VLOOKUP(B3519,'All Districts'!$A$3:$B$874,2,FALSE)</f>
        <v>Keene</v>
      </c>
      <c r="D3519" s="15">
        <v>219724</v>
      </c>
      <c r="E3519">
        <f>VLOOKUP(C3519,'All Districts'!$B$3:$C$874,2,FALSE)</f>
        <v>3616140</v>
      </c>
      <c r="F3519" s="91">
        <f>COUNTIF($E$2:$E$7106,E3519)</f>
        <v>9</v>
      </c>
    </row>
    <row r="3520" spans="1:6" x14ac:dyDescent="0.2">
      <c r="A3520">
        <v>2019</v>
      </c>
      <c r="B3520" s="36">
        <v>3471</v>
      </c>
      <c r="C3520" s="90" t="str">
        <f>VLOOKUP(B3520,'All Districts'!$A$3:$B$874,2,FALSE)</f>
        <v>Keene</v>
      </c>
      <c r="D3520" s="40">
        <v>243547</v>
      </c>
      <c r="E3520">
        <f>VLOOKUP(C3520,'All Districts'!$B$3:$C$874,2,FALSE)</f>
        <v>3616140</v>
      </c>
      <c r="F3520" s="91">
        <f>COUNTIF($E$2:$E$7106,E3520)</f>
        <v>9</v>
      </c>
    </row>
    <row r="3521" spans="1:6" x14ac:dyDescent="0.2">
      <c r="A3521">
        <v>2020</v>
      </c>
      <c r="B3521" s="36">
        <v>3471</v>
      </c>
      <c r="C3521" s="90" t="str">
        <f>VLOOKUP(B3521,'All Districts'!$A$3:$B$874,2,FALSE)</f>
        <v>Keene</v>
      </c>
      <c r="D3521" s="40">
        <v>205866</v>
      </c>
      <c r="E3521">
        <f>VLOOKUP(C3521,'All Districts'!$B$3:$C$874,2,FALSE)</f>
        <v>3616140</v>
      </c>
      <c r="F3521" s="91">
        <f>COUNTIF($E$2:$E$7106,E3521)</f>
        <v>9</v>
      </c>
    </row>
    <row r="3522" spans="1:6" x14ac:dyDescent="0.2">
      <c r="A3522" s="10">
        <v>2021</v>
      </c>
      <c r="B3522" s="71">
        <v>3471</v>
      </c>
      <c r="C3522" s="90" t="str">
        <f>VLOOKUP(B3522,'All Districts'!$A$3:$B$874,2,FALSE)</f>
        <v>Keene</v>
      </c>
      <c r="D3522" s="75">
        <v>226769</v>
      </c>
      <c r="E3522">
        <f>VLOOKUP(C3522,'All Districts'!$B$3:$C$874,2,FALSE)</f>
        <v>3616140</v>
      </c>
      <c r="F3522" s="91">
        <f>COUNTIF($E$2:$E$7106,E3522)</f>
        <v>9</v>
      </c>
    </row>
    <row r="3523" spans="1:6" x14ac:dyDescent="0.2">
      <c r="A3523">
        <v>2022</v>
      </c>
      <c r="B3523" s="36">
        <v>3471</v>
      </c>
      <c r="C3523" s="90" t="str">
        <f>VLOOKUP(B3523,'All Districts'!$A$3:$B$874,2,FALSE)</f>
        <v>Keene</v>
      </c>
      <c r="D3523" s="82">
        <v>237793</v>
      </c>
      <c r="E3523">
        <f>VLOOKUP(C3523,'All Districts'!$B$3:$C$874,2,FALSE)</f>
        <v>3616140</v>
      </c>
      <c r="F3523" s="91">
        <f>COUNTIF($E$2:$E$7106,E3523)</f>
        <v>9</v>
      </c>
    </row>
    <row r="3524" spans="1:6" x14ac:dyDescent="0.2">
      <c r="A3524">
        <v>2023</v>
      </c>
      <c r="B3524" s="36">
        <v>3471</v>
      </c>
      <c r="C3524" s="90" t="str">
        <f>VLOOKUP(B3524,'All Districts'!$A$3:$B$874,2,FALSE)</f>
        <v>Keene</v>
      </c>
      <c r="D3524" s="40">
        <v>255041</v>
      </c>
      <c r="E3524">
        <f>VLOOKUP(C3524,'All Districts'!$B$3:$C$874,2,FALSE)</f>
        <v>3616140</v>
      </c>
      <c r="F3524" s="91">
        <f>COUNTIF($E$2:$E$7106,E3524)</f>
        <v>9</v>
      </c>
    </row>
    <row r="3525" spans="1:6" x14ac:dyDescent="0.2">
      <c r="A3525">
        <v>2015</v>
      </c>
      <c r="B3525" s="13">
        <v>4259</v>
      </c>
      <c r="C3525" s="90" t="str">
        <f>VLOOKUP(B3525,'All Districts'!$A$3:$B$874,2,FALSE)</f>
        <v>Kendall</v>
      </c>
      <c r="D3525" s="14">
        <v>878888</v>
      </c>
      <c r="E3525">
        <f>VLOOKUP(C3525,'All Districts'!$B$3:$C$874,2,FALSE)</f>
        <v>3616200</v>
      </c>
      <c r="F3525" s="91">
        <f>COUNTIF($E$2:$E$7106,E3525)</f>
        <v>9</v>
      </c>
    </row>
    <row r="3526" spans="1:6" x14ac:dyDescent="0.2">
      <c r="A3526">
        <v>2016</v>
      </c>
      <c r="B3526" s="13">
        <v>4259</v>
      </c>
      <c r="C3526" s="90" t="str">
        <f>VLOOKUP(B3526,'All Districts'!$A$3:$B$874,2,FALSE)</f>
        <v>Kendall</v>
      </c>
      <c r="D3526" s="16">
        <v>666541</v>
      </c>
      <c r="E3526">
        <f>VLOOKUP(C3526,'All Districts'!$B$3:$C$874,2,FALSE)</f>
        <v>3616200</v>
      </c>
      <c r="F3526" s="91">
        <f>COUNTIF($E$2:$E$7106,E3526)</f>
        <v>9</v>
      </c>
    </row>
    <row r="3527" spans="1:6" x14ac:dyDescent="0.2">
      <c r="A3527">
        <v>2017</v>
      </c>
      <c r="B3527" s="13">
        <v>4259</v>
      </c>
      <c r="C3527" s="90" t="str">
        <f>VLOOKUP(B3527,'All Districts'!$A$3:$B$874,2,FALSE)</f>
        <v>Kendall</v>
      </c>
      <c r="D3527" s="16">
        <v>600595</v>
      </c>
      <c r="E3527">
        <f>VLOOKUP(C3527,'All Districts'!$B$3:$C$874,2,FALSE)</f>
        <v>3616200</v>
      </c>
      <c r="F3527" s="91">
        <f>COUNTIF($E$2:$E$7106,E3527)</f>
        <v>9</v>
      </c>
    </row>
    <row r="3528" spans="1:6" x14ac:dyDescent="0.2">
      <c r="A3528" s="10">
        <v>2018</v>
      </c>
      <c r="B3528" s="13">
        <v>4259</v>
      </c>
      <c r="C3528" s="90" t="str">
        <f>VLOOKUP(B3528,'All Districts'!$A$3:$B$874,2,FALSE)</f>
        <v>Kendall</v>
      </c>
      <c r="D3528" s="15">
        <v>500775</v>
      </c>
      <c r="E3528">
        <f>VLOOKUP(C3528,'All Districts'!$B$3:$C$874,2,FALSE)</f>
        <v>3616200</v>
      </c>
      <c r="F3528" s="91">
        <f>COUNTIF($E$2:$E$7106,E3528)</f>
        <v>9</v>
      </c>
    </row>
    <row r="3529" spans="1:6" x14ac:dyDescent="0.2">
      <c r="A3529">
        <v>2019</v>
      </c>
      <c r="B3529" s="36">
        <v>4259</v>
      </c>
      <c r="C3529" s="90" t="str">
        <f>VLOOKUP(B3529,'All Districts'!$A$3:$B$874,2,FALSE)</f>
        <v>Kendall</v>
      </c>
      <c r="D3529" s="40">
        <v>554075</v>
      </c>
      <c r="E3529">
        <f>VLOOKUP(C3529,'All Districts'!$B$3:$C$874,2,FALSE)</f>
        <v>3616200</v>
      </c>
      <c r="F3529" s="91">
        <f>COUNTIF($E$2:$E$7106,E3529)</f>
        <v>9</v>
      </c>
    </row>
    <row r="3530" spans="1:6" x14ac:dyDescent="0.2">
      <c r="A3530">
        <v>2020</v>
      </c>
      <c r="B3530" s="36">
        <v>4259</v>
      </c>
      <c r="C3530" s="90" t="str">
        <f>VLOOKUP(B3530,'All Districts'!$A$3:$B$874,2,FALSE)</f>
        <v>Kendall</v>
      </c>
      <c r="D3530" s="40">
        <v>452708</v>
      </c>
      <c r="E3530">
        <f>VLOOKUP(C3530,'All Districts'!$B$3:$C$874,2,FALSE)</f>
        <v>3616200</v>
      </c>
      <c r="F3530" s="91">
        <f>COUNTIF($E$2:$E$7106,E3530)</f>
        <v>9</v>
      </c>
    </row>
    <row r="3531" spans="1:6" x14ac:dyDescent="0.2">
      <c r="A3531" s="10">
        <v>2021</v>
      </c>
      <c r="B3531" s="52">
        <v>4259</v>
      </c>
      <c r="C3531" s="90" t="str">
        <f>VLOOKUP(B3531,'All Districts'!$A$3:$B$874,2,FALSE)</f>
        <v>Kendall</v>
      </c>
      <c r="D3531" s="76">
        <v>490515</v>
      </c>
      <c r="E3531">
        <f>VLOOKUP(C3531,'All Districts'!$B$3:$C$874,2,FALSE)</f>
        <v>3616200</v>
      </c>
      <c r="F3531" s="91">
        <f>COUNTIF($E$2:$E$7106,E3531)</f>
        <v>9</v>
      </c>
    </row>
    <row r="3532" spans="1:6" x14ac:dyDescent="0.2">
      <c r="A3532">
        <v>2022</v>
      </c>
      <c r="B3532" s="36">
        <v>4259</v>
      </c>
      <c r="C3532" s="90" t="str">
        <f>VLOOKUP(B3532,'All Districts'!$A$3:$B$874,2,FALSE)</f>
        <v>Kendall</v>
      </c>
      <c r="D3532" s="82">
        <v>514284</v>
      </c>
      <c r="E3532">
        <f>VLOOKUP(C3532,'All Districts'!$B$3:$C$874,2,FALSE)</f>
        <v>3616200</v>
      </c>
      <c r="F3532" s="91">
        <f>COUNTIF($E$2:$E$7106,E3532)</f>
        <v>9</v>
      </c>
    </row>
    <row r="3533" spans="1:6" x14ac:dyDescent="0.2">
      <c r="A3533">
        <v>2023</v>
      </c>
      <c r="B3533" s="36">
        <v>4259</v>
      </c>
      <c r="C3533" s="90" t="str">
        <f>VLOOKUP(B3533,'All Districts'!$A$3:$B$874,2,FALSE)</f>
        <v>Kendall</v>
      </c>
      <c r="D3533" s="40">
        <v>557730</v>
      </c>
      <c r="E3533">
        <f>VLOOKUP(C3533,'All Districts'!$B$3:$C$874,2,FALSE)</f>
        <v>3616200</v>
      </c>
      <c r="F3533" s="91">
        <f>COUNTIF($E$2:$E$7106,E3533)</f>
        <v>9</v>
      </c>
    </row>
    <row r="3534" spans="1:6" x14ac:dyDescent="0.2">
      <c r="A3534">
        <v>2015</v>
      </c>
      <c r="B3534" s="13">
        <v>2285</v>
      </c>
      <c r="C3534" s="90" t="str">
        <f>VLOOKUP(B3534,'All Districts'!$A$3:$B$874,2,FALSE)</f>
        <v>Kenmore-Town of Tonawanda</v>
      </c>
      <c r="D3534" s="14">
        <v>10272304</v>
      </c>
      <c r="E3534">
        <f>VLOOKUP(C3534,'All Districts'!$B$3:$C$874,2,FALSE)</f>
        <v>3616230</v>
      </c>
      <c r="F3534" s="91">
        <f>COUNTIF($E$2:$E$7106,E3534)</f>
        <v>9</v>
      </c>
    </row>
    <row r="3535" spans="1:6" x14ac:dyDescent="0.2">
      <c r="A3535">
        <v>2016</v>
      </c>
      <c r="B3535" s="13">
        <v>2285</v>
      </c>
      <c r="C3535" s="90" t="str">
        <f>VLOOKUP(B3535,'All Districts'!$A$3:$B$874,2,FALSE)</f>
        <v>Kenmore-Town of Tonawanda</v>
      </c>
      <c r="D3535" s="16">
        <v>7911857</v>
      </c>
      <c r="E3535">
        <f>VLOOKUP(C3535,'All Districts'!$B$3:$C$874,2,FALSE)</f>
        <v>3616230</v>
      </c>
      <c r="F3535" s="91">
        <f>COUNTIF($E$2:$E$7106,E3535)</f>
        <v>9</v>
      </c>
    </row>
    <row r="3536" spans="1:6" x14ac:dyDescent="0.2">
      <c r="A3536">
        <v>2017</v>
      </c>
      <c r="B3536" s="13">
        <v>2285</v>
      </c>
      <c r="C3536" s="90" t="str">
        <f>VLOOKUP(B3536,'All Districts'!$A$3:$B$874,2,FALSE)</f>
        <v>Kenmore-Town of Tonawanda</v>
      </c>
      <c r="D3536" s="16">
        <v>7265828</v>
      </c>
      <c r="E3536">
        <f>VLOOKUP(C3536,'All Districts'!$B$3:$C$874,2,FALSE)</f>
        <v>3616230</v>
      </c>
      <c r="F3536" s="91">
        <f>COUNTIF($E$2:$E$7106,E3536)</f>
        <v>9</v>
      </c>
    </row>
    <row r="3537" spans="1:6" x14ac:dyDescent="0.2">
      <c r="A3537" s="10">
        <v>2018</v>
      </c>
      <c r="B3537" s="13">
        <v>2285</v>
      </c>
      <c r="C3537" s="90" t="str">
        <f>VLOOKUP(B3537,'All Districts'!$A$3:$B$874,2,FALSE)</f>
        <v>Kenmore-Town of Tonawanda</v>
      </c>
      <c r="D3537" s="15">
        <v>6147654</v>
      </c>
      <c r="E3537">
        <f>VLOOKUP(C3537,'All Districts'!$B$3:$C$874,2,FALSE)</f>
        <v>3616230</v>
      </c>
      <c r="F3537" s="91">
        <f>COUNTIF($E$2:$E$7106,E3537)</f>
        <v>9</v>
      </c>
    </row>
    <row r="3538" spans="1:6" x14ac:dyDescent="0.2">
      <c r="A3538">
        <v>2019</v>
      </c>
      <c r="B3538" s="36">
        <v>2285</v>
      </c>
      <c r="C3538" s="90" t="str">
        <f>VLOOKUP(B3538,'All Districts'!$A$3:$B$874,2,FALSE)</f>
        <v>Kenmore-Town of Tonawanda</v>
      </c>
      <c r="D3538" s="40">
        <v>6862228</v>
      </c>
      <c r="E3538">
        <f>VLOOKUP(C3538,'All Districts'!$B$3:$C$874,2,FALSE)</f>
        <v>3616230</v>
      </c>
      <c r="F3538" s="91">
        <f>COUNTIF($E$2:$E$7106,E3538)</f>
        <v>9</v>
      </c>
    </row>
    <row r="3539" spans="1:6" x14ac:dyDescent="0.2">
      <c r="A3539">
        <v>2020</v>
      </c>
      <c r="B3539" s="36">
        <v>2285</v>
      </c>
      <c r="C3539" s="90" t="str">
        <f>VLOOKUP(B3539,'All Districts'!$A$3:$B$874,2,FALSE)</f>
        <v>Kenmore-Town of Tonawanda</v>
      </c>
      <c r="D3539" s="40">
        <v>5928746</v>
      </c>
      <c r="E3539">
        <f>VLOOKUP(C3539,'All Districts'!$B$3:$C$874,2,FALSE)</f>
        <v>3616230</v>
      </c>
      <c r="F3539" s="91">
        <f>COUNTIF($E$2:$E$7106,E3539)</f>
        <v>9</v>
      </c>
    </row>
    <row r="3540" spans="1:6" x14ac:dyDescent="0.2">
      <c r="A3540" s="10">
        <v>2021</v>
      </c>
      <c r="B3540" s="55">
        <v>2285</v>
      </c>
      <c r="C3540" s="90" t="str">
        <f>VLOOKUP(B3540,'All Districts'!$A$3:$B$874,2,FALSE)</f>
        <v>Kenmore-Town of Tonawanda</v>
      </c>
      <c r="D3540" s="75">
        <v>6355704</v>
      </c>
      <c r="E3540">
        <f>VLOOKUP(C3540,'All Districts'!$B$3:$C$874,2,FALSE)</f>
        <v>3616230</v>
      </c>
      <c r="F3540" s="91">
        <f>COUNTIF($E$2:$E$7106,E3540)</f>
        <v>9</v>
      </c>
    </row>
    <row r="3541" spans="1:6" x14ac:dyDescent="0.2">
      <c r="A3541">
        <v>2022</v>
      </c>
      <c r="B3541" s="36">
        <v>2285</v>
      </c>
      <c r="C3541" s="90" t="str">
        <f>VLOOKUP(B3541,'All Districts'!$A$3:$B$874,2,FALSE)</f>
        <v>Kenmore-Town of Tonawanda</v>
      </c>
      <c r="D3541" s="82">
        <v>6940498</v>
      </c>
      <c r="E3541">
        <f>VLOOKUP(C3541,'All Districts'!$B$3:$C$874,2,FALSE)</f>
        <v>3616230</v>
      </c>
      <c r="F3541" s="91">
        <f>COUNTIF($E$2:$E$7106,E3541)</f>
        <v>9</v>
      </c>
    </row>
    <row r="3542" spans="1:6" x14ac:dyDescent="0.2">
      <c r="A3542">
        <v>2023</v>
      </c>
      <c r="B3542" s="36">
        <v>2285</v>
      </c>
      <c r="C3542" s="90" t="str">
        <f>VLOOKUP(B3542,'All Districts'!$A$3:$B$874,2,FALSE)</f>
        <v>Kenmore-Town of Tonawanda</v>
      </c>
      <c r="D3542" s="40">
        <v>7820979</v>
      </c>
      <c r="E3542">
        <f>VLOOKUP(C3542,'All Districts'!$B$3:$C$874,2,FALSE)</f>
        <v>3616230</v>
      </c>
      <c r="F3542" s="91">
        <f>COUNTIF($E$2:$E$7106,E3542)</f>
        <v>9</v>
      </c>
    </row>
    <row r="3543" spans="1:6" x14ac:dyDescent="0.2">
      <c r="A3543">
        <v>2015</v>
      </c>
      <c r="B3543" s="13">
        <v>8403</v>
      </c>
      <c r="C3543" s="90" t="str">
        <f>VLOOKUP(B3543,'All Districts'!$A$3:$B$874,2,FALSE)</f>
        <v>King Center</v>
      </c>
      <c r="D3543" s="15">
        <v>360502</v>
      </c>
      <c r="E3543">
        <f>VLOOKUP(C3543,'All Districts'!$B$3:$C$874,2,FALSE)</f>
        <v>3600035</v>
      </c>
      <c r="F3543" s="91">
        <f>COUNTIF($E$2:$E$7106,E3543)</f>
        <v>9</v>
      </c>
    </row>
    <row r="3544" spans="1:6" x14ac:dyDescent="0.2">
      <c r="A3544">
        <v>2016</v>
      </c>
      <c r="B3544" s="13">
        <v>8403</v>
      </c>
      <c r="C3544" s="90" t="str">
        <f>VLOOKUP(B3544,'All Districts'!$A$3:$B$874,2,FALSE)</f>
        <v>King Center</v>
      </c>
      <c r="D3544" s="16">
        <v>282822</v>
      </c>
      <c r="E3544">
        <f>VLOOKUP(C3544,'All Districts'!$B$3:$C$874,2,FALSE)</f>
        <v>3600035</v>
      </c>
      <c r="F3544" s="91">
        <f>COUNTIF($E$2:$E$7106,E3544)</f>
        <v>9</v>
      </c>
    </row>
    <row r="3545" spans="1:6" x14ac:dyDescent="0.2">
      <c r="A3545">
        <v>2017</v>
      </c>
      <c r="B3545" s="13">
        <v>8403</v>
      </c>
      <c r="C3545" s="90" t="str">
        <f>VLOOKUP(B3545,'All Districts'!$A$3:$B$874,2,FALSE)</f>
        <v>King Center</v>
      </c>
      <c r="D3545" s="16">
        <v>293443</v>
      </c>
      <c r="E3545">
        <f>VLOOKUP(C3545,'All Districts'!$B$3:$C$874,2,FALSE)</f>
        <v>3600035</v>
      </c>
      <c r="F3545" s="91">
        <f>COUNTIF($E$2:$E$7106,E3545)</f>
        <v>9</v>
      </c>
    </row>
    <row r="3546" spans="1:6" x14ac:dyDescent="0.2">
      <c r="A3546" s="10">
        <v>2018</v>
      </c>
      <c r="B3546" s="13">
        <v>8403</v>
      </c>
      <c r="C3546" s="90" t="str">
        <f>VLOOKUP(B3546,'All Districts'!$A$3:$B$874,2,FALSE)</f>
        <v>King Center</v>
      </c>
      <c r="D3546" s="15">
        <v>279247</v>
      </c>
      <c r="E3546">
        <f>VLOOKUP(C3546,'All Districts'!$B$3:$C$874,2,FALSE)</f>
        <v>3600035</v>
      </c>
      <c r="F3546" s="91">
        <f>COUNTIF($E$2:$E$7106,E3546)</f>
        <v>9</v>
      </c>
    </row>
    <row r="3547" spans="1:6" x14ac:dyDescent="0.2">
      <c r="A3547">
        <v>2019</v>
      </c>
      <c r="B3547" s="36">
        <v>8403</v>
      </c>
      <c r="C3547" s="90" t="str">
        <f>VLOOKUP(B3547,'All Districts'!$A$3:$B$874,2,FALSE)</f>
        <v>King Center</v>
      </c>
      <c r="D3547" s="40">
        <v>335074</v>
      </c>
      <c r="E3547">
        <f>VLOOKUP(C3547,'All Districts'!$B$3:$C$874,2,FALSE)</f>
        <v>3600035</v>
      </c>
      <c r="F3547" s="91">
        <f>COUNTIF($E$2:$E$7106,E3547)</f>
        <v>9</v>
      </c>
    </row>
    <row r="3548" spans="1:6" x14ac:dyDescent="0.2">
      <c r="A3548">
        <v>2020</v>
      </c>
      <c r="B3548" s="36">
        <v>8403</v>
      </c>
      <c r="C3548" s="90" t="str">
        <f>VLOOKUP(B3548,'All Districts'!$A$3:$B$874,2,FALSE)</f>
        <v>King Center</v>
      </c>
      <c r="D3548" s="40">
        <v>305037</v>
      </c>
      <c r="E3548">
        <f>VLOOKUP(C3548,'All Districts'!$B$3:$C$874,2,FALSE)</f>
        <v>3600035</v>
      </c>
      <c r="F3548" s="91">
        <f>COUNTIF($E$2:$E$7106,E3548)</f>
        <v>9</v>
      </c>
    </row>
    <row r="3549" spans="1:6" x14ac:dyDescent="0.2">
      <c r="A3549" s="10">
        <v>2021</v>
      </c>
      <c r="B3549" s="55">
        <v>8403</v>
      </c>
      <c r="C3549" s="90" t="str">
        <f>VLOOKUP(B3549,'All Districts'!$A$3:$B$874,2,FALSE)</f>
        <v>King Center</v>
      </c>
      <c r="D3549" s="75">
        <v>319688</v>
      </c>
      <c r="E3549">
        <f>VLOOKUP(C3549,'All Districts'!$B$3:$C$874,2,FALSE)</f>
        <v>3600035</v>
      </c>
      <c r="F3549" s="91">
        <f>COUNTIF($E$2:$E$7106,E3549)</f>
        <v>9</v>
      </c>
    </row>
    <row r="3550" spans="1:6" x14ac:dyDescent="0.2">
      <c r="A3550">
        <v>2022</v>
      </c>
      <c r="B3550" s="36">
        <v>8403</v>
      </c>
      <c r="C3550" s="90" t="str">
        <f>VLOOKUP(B3550,'All Districts'!$A$3:$B$874,2,FALSE)</f>
        <v>King Center</v>
      </c>
      <c r="D3550" s="82">
        <v>348826</v>
      </c>
      <c r="E3550">
        <f>VLOOKUP(C3550,'All Districts'!$B$3:$C$874,2,FALSE)</f>
        <v>3600035</v>
      </c>
      <c r="F3550" s="91">
        <f>COUNTIF($E$2:$E$7106,E3550)</f>
        <v>9</v>
      </c>
    </row>
    <row r="3551" spans="1:6" x14ac:dyDescent="0.2">
      <c r="A3551">
        <v>2023</v>
      </c>
      <c r="B3551" s="36">
        <v>8403</v>
      </c>
      <c r="C3551" s="90" t="str">
        <f>VLOOKUP(B3551,'All Districts'!$A$3:$B$874,2,FALSE)</f>
        <v>King Center</v>
      </c>
      <c r="D3551" s="40">
        <v>385645</v>
      </c>
      <c r="E3551">
        <f>VLOOKUP(C3551,'All Districts'!$B$3:$C$874,2,FALSE)</f>
        <v>3600035</v>
      </c>
      <c r="F3551" s="91">
        <f>COUNTIF($E$2:$E$7106,E3551)</f>
        <v>9</v>
      </c>
    </row>
    <row r="3552" spans="1:6" x14ac:dyDescent="0.2">
      <c r="A3552">
        <v>2015</v>
      </c>
      <c r="B3552" s="13">
        <v>2286</v>
      </c>
      <c r="C3552" s="90" t="str">
        <f>VLOOKUP(B3552,'All Districts'!$A$3:$B$874,2,FALSE)</f>
        <v>Kings Park</v>
      </c>
      <c r="D3552" s="14">
        <v>5737217</v>
      </c>
      <c r="E3552">
        <f>VLOOKUP(C3552,'All Districts'!$B$3:$C$874,2,FALSE)</f>
        <v>3616260</v>
      </c>
      <c r="F3552" s="91">
        <f>COUNTIF($E$2:$E$7106,E3552)</f>
        <v>9</v>
      </c>
    </row>
    <row r="3553" spans="1:6" x14ac:dyDescent="0.2">
      <c r="A3553">
        <v>2016</v>
      </c>
      <c r="B3553" s="13">
        <v>2286</v>
      </c>
      <c r="C3553" s="90" t="str">
        <f>VLOOKUP(B3553,'All Districts'!$A$3:$B$874,2,FALSE)</f>
        <v>Kings Park</v>
      </c>
      <c r="D3553" s="16">
        <v>4391445</v>
      </c>
      <c r="E3553">
        <f>VLOOKUP(C3553,'All Districts'!$B$3:$C$874,2,FALSE)</f>
        <v>3616260</v>
      </c>
      <c r="F3553" s="91">
        <f>COUNTIF($E$2:$E$7106,E3553)</f>
        <v>9</v>
      </c>
    </row>
    <row r="3554" spans="1:6" x14ac:dyDescent="0.2">
      <c r="A3554">
        <v>2017</v>
      </c>
      <c r="B3554" s="13">
        <v>2286</v>
      </c>
      <c r="C3554" s="90" t="str">
        <f>VLOOKUP(B3554,'All Districts'!$A$3:$B$874,2,FALSE)</f>
        <v>Kings Park</v>
      </c>
      <c r="D3554" s="16">
        <v>3929326</v>
      </c>
      <c r="E3554">
        <f>VLOOKUP(C3554,'All Districts'!$B$3:$C$874,2,FALSE)</f>
        <v>3616260</v>
      </c>
      <c r="F3554" s="91">
        <f>COUNTIF($E$2:$E$7106,E3554)</f>
        <v>9</v>
      </c>
    </row>
    <row r="3555" spans="1:6" x14ac:dyDescent="0.2">
      <c r="A3555" s="10">
        <v>2018</v>
      </c>
      <c r="B3555" s="13">
        <v>2286</v>
      </c>
      <c r="C3555" s="90" t="str">
        <f>VLOOKUP(B3555,'All Districts'!$A$3:$B$874,2,FALSE)</f>
        <v>Kings Park</v>
      </c>
      <c r="D3555" s="15">
        <v>3367297</v>
      </c>
      <c r="E3555">
        <f>VLOOKUP(C3555,'All Districts'!$B$3:$C$874,2,FALSE)</f>
        <v>3616260</v>
      </c>
      <c r="F3555" s="91">
        <f>COUNTIF($E$2:$E$7106,E3555)</f>
        <v>9</v>
      </c>
    </row>
    <row r="3556" spans="1:6" x14ac:dyDescent="0.2">
      <c r="A3556">
        <v>2019</v>
      </c>
      <c r="B3556" s="36">
        <v>2286</v>
      </c>
      <c r="C3556" s="90" t="str">
        <f>VLOOKUP(B3556,'All Districts'!$A$3:$B$874,2,FALSE)</f>
        <v>Kings Park</v>
      </c>
      <c r="D3556" s="40">
        <v>3762128</v>
      </c>
      <c r="E3556">
        <f>VLOOKUP(C3556,'All Districts'!$B$3:$C$874,2,FALSE)</f>
        <v>3616260</v>
      </c>
      <c r="F3556" s="91">
        <f>COUNTIF($E$2:$E$7106,E3556)</f>
        <v>9</v>
      </c>
    </row>
    <row r="3557" spans="1:6" x14ac:dyDescent="0.2">
      <c r="A3557">
        <v>2020</v>
      </c>
      <c r="B3557" s="36">
        <v>2286</v>
      </c>
      <c r="C3557" s="90" t="str">
        <f>VLOOKUP(B3557,'All Districts'!$A$3:$B$874,2,FALSE)</f>
        <v>Kings Park</v>
      </c>
      <c r="D3557" s="40">
        <v>3153686</v>
      </c>
      <c r="E3557">
        <f>VLOOKUP(C3557,'All Districts'!$B$3:$C$874,2,FALSE)</f>
        <v>3616260</v>
      </c>
      <c r="F3557" s="91">
        <f>COUNTIF($E$2:$E$7106,E3557)</f>
        <v>9</v>
      </c>
    </row>
    <row r="3558" spans="1:6" x14ac:dyDescent="0.2">
      <c r="A3558" s="10">
        <v>2021</v>
      </c>
      <c r="B3558" s="52">
        <v>2286</v>
      </c>
      <c r="C3558" s="90" t="str">
        <f>VLOOKUP(B3558,'All Districts'!$A$3:$B$874,2,FALSE)</f>
        <v>Kings Park</v>
      </c>
      <c r="D3558" s="76">
        <v>3440413</v>
      </c>
      <c r="E3558">
        <f>VLOOKUP(C3558,'All Districts'!$B$3:$C$874,2,FALSE)</f>
        <v>3616260</v>
      </c>
      <c r="F3558" s="91">
        <f>COUNTIF($E$2:$E$7106,E3558)</f>
        <v>9</v>
      </c>
    </row>
    <row r="3559" spans="1:6" x14ac:dyDescent="0.2">
      <c r="A3559">
        <v>2022</v>
      </c>
      <c r="B3559" s="36">
        <v>2286</v>
      </c>
      <c r="C3559" s="90" t="str">
        <f>VLOOKUP(B3559,'All Districts'!$A$3:$B$874,2,FALSE)</f>
        <v>Kings Park</v>
      </c>
      <c r="D3559" s="82">
        <v>3478359</v>
      </c>
      <c r="E3559">
        <f>VLOOKUP(C3559,'All Districts'!$B$3:$C$874,2,FALSE)</f>
        <v>3616260</v>
      </c>
      <c r="F3559" s="91">
        <f>COUNTIF($E$2:$E$7106,E3559)</f>
        <v>9</v>
      </c>
    </row>
    <row r="3560" spans="1:6" x14ac:dyDescent="0.2">
      <c r="A3560">
        <v>2023</v>
      </c>
      <c r="B3560" s="36">
        <v>2286</v>
      </c>
      <c r="C3560" s="90" t="str">
        <f>VLOOKUP(B3560,'All Districts'!$A$3:$B$874,2,FALSE)</f>
        <v>Kings Park</v>
      </c>
      <c r="D3560" s="40">
        <v>3859687</v>
      </c>
      <c r="E3560">
        <f>VLOOKUP(C3560,'All Districts'!$B$3:$C$874,2,FALSE)</f>
        <v>3616260</v>
      </c>
      <c r="F3560" s="91">
        <f>COUNTIF($E$2:$E$7106,E3560)</f>
        <v>9</v>
      </c>
    </row>
    <row r="3561" spans="1:6" x14ac:dyDescent="0.2">
      <c r="A3561">
        <v>2015</v>
      </c>
      <c r="B3561" s="13">
        <v>1120</v>
      </c>
      <c r="C3561" s="90" t="str">
        <f>VLOOKUP(B3561,'All Districts'!$A$3:$B$874,2,FALSE)</f>
        <v>Kingston</v>
      </c>
      <c r="D3561" s="14">
        <v>10205646</v>
      </c>
      <c r="E3561">
        <f>VLOOKUP(C3561,'All Districts'!$B$3:$C$874,2,FALSE)</f>
        <v>3616290</v>
      </c>
      <c r="F3561" s="91">
        <f>COUNTIF($E$2:$E$7106,E3561)</f>
        <v>9</v>
      </c>
    </row>
    <row r="3562" spans="1:6" x14ac:dyDescent="0.2">
      <c r="A3562">
        <v>2016</v>
      </c>
      <c r="B3562" s="13">
        <v>1120</v>
      </c>
      <c r="C3562" s="90" t="str">
        <f>VLOOKUP(B3562,'All Districts'!$A$3:$B$874,2,FALSE)</f>
        <v>Kingston</v>
      </c>
      <c r="D3562" s="16">
        <v>8165206</v>
      </c>
      <c r="E3562">
        <f>VLOOKUP(C3562,'All Districts'!$B$3:$C$874,2,FALSE)</f>
        <v>3616290</v>
      </c>
      <c r="F3562" s="91">
        <f>COUNTIF($E$2:$E$7106,E3562)</f>
        <v>9</v>
      </c>
    </row>
    <row r="3563" spans="1:6" x14ac:dyDescent="0.2">
      <c r="A3563">
        <v>2017</v>
      </c>
      <c r="B3563" s="13">
        <v>1120</v>
      </c>
      <c r="C3563" s="90" t="str">
        <f>VLOOKUP(B3563,'All Districts'!$A$3:$B$874,2,FALSE)</f>
        <v>Kingston</v>
      </c>
      <c r="D3563" s="16">
        <v>7432826</v>
      </c>
      <c r="E3563">
        <f>VLOOKUP(C3563,'All Districts'!$B$3:$C$874,2,FALSE)</f>
        <v>3616290</v>
      </c>
      <c r="F3563" s="91">
        <f>COUNTIF($E$2:$E$7106,E3563)</f>
        <v>9</v>
      </c>
    </row>
    <row r="3564" spans="1:6" x14ac:dyDescent="0.2">
      <c r="A3564" s="10">
        <v>2018</v>
      </c>
      <c r="B3564" s="13">
        <v>1120</v>
      </c>
      <c r="C3564" s="90" t="str">
        <f>VLOOKUP(B3564,'All Districts'!$A$3:$B$874,2,FALSE)</f>
        <v>Kingston</v>
      </c>
      <c r="D3564" s="15">
        <v>6257022</v>
      </c>
      <c r="E3564">
        <f>VLOOKUP(C3564,'All Districts'!$B$3:$C$874,2,FALSE)</f>
        <v>3616290</v>
      </c>
      <c r="F3564" s="91">
        <f>COUNTIF($E$2:$E$7106,E3564)</f>
        <v>9</v>
      </c>
    </row>
    <row r="3565" spans="1:6" x14ac:dyDescent="0.2">
      <c r="A3565">
        <v>2019</v>
      </c>
      <c r="B3565" s="36">
        <v>1120</v>
      </c>
      <c r="C3565" s="90" t="str">
        <f>VLOOKUP(B3565,'All Districts'!$A$3:$B$874,2,FALSE)</f>
        <v>Kingston</v>
      </c>
      <c r="D3565" s="40">
        <v>7217880</v>
      </c>
      <c r="E3565">
        <f>VLOOKUP(C3565,'All Districts'!$B$3:$C$874,2,FALSE)</f>
        <v>3616290</v>
      </c>
      <c r="F3565" s="91">
        <f>COUNTIF($E$2:$E$7106,E3565)</f>
        <v>9</v>
      </c>
    </row>
    <row r="3566" spans="1:6" x14ac:dyDescent="0.2">
      <c r="A3566">
        <v>2020</v>
      </c>
      <c r="B3566" s="36">
        <v>1120</v>
      </c>
      <c r="C3566" s="90" t="str">
        <f>VLOOKUP(B3566,'All Districts'!$A$3:$B$874,2,FALSE)</f>
        <v>Kingston</v>
      </c>
      <c r="D3566" s="40">
        <v>6054018</v>
      </c>
      <c r="E3566">
        <f>VLOOKUP(C3566,'All Districts'!$B$3:$C$874,2,FALSE)</f>
        <v>3616290</v>
      </c>
      <c r="F3566" s="91">
        <f>COUNTIF($E$2:$E$7106,E3566)</f>
        <v>9</v>
      </c>
    </row>
    <row r="3567" spans="1:6" x14ac:dyDescent="0.2">
      <c r="A3567" s="10">
        <v>2021</v>
      </c>
      <c r="B3567" s="52">
        <v>1120</v>
      </c>
      <c r="C3567" s="90" t="str">
        <f>VLOOKUP(B3567,'All Districts'!$A$3:$B$874,2,FALSE)</f>
        <v>Kingston</v>
      </c>
      <c r="D3567" s="75">
        <v>6348876</v>
      </c>
      <c r="E3567">
        <f>VLOOKUP(C3567,'All Districts'!$B$3:$C$874,2,FALSE)</f>
        <v>3616290</v>
      </c>
      <c r="F3567" s="91">
        <f>COUNTIF($E$2:$E$7106,E3567)</f>
        <v>9</v>
      </c>
    </row>
    <row r="3568" spans="1:6" x14ac:dyDescent="0.2">
      <c r="A3568">
        <v>2022</v>
      </c>
      <c r="B3568" s="36">
        <v>1120</v>
      </c>
      <c r="C3568" s="90" t="str">
        <f>VLOOKUP(B3568,'All Districts'!$A$3:$B$874,2,FALSE)</f>
        <v>Kingston</v>
      </c>
      <c r="D3568" s="82">
        <v>7018267</v>
      </c>
      <c r="E3568">
        <f>VLOOKUP(C3568,'All Districts'!$B$3:$C$874,2,FALSE)</f>
        <v>3616290</v>
      </c>
      <c r="F3568" s="91">
        <f>COUNTIF($E$2:$E$7106,E3568)</f>
        <v>9</v>
      </c>
    </row>
    <row r="3569" spans="1:6" x14ac:dyDescent="0.2">
      <c r="A3569">
        <v>2023</v>
      </c>
      <c r="B3569" s="36">
        <v>1120</v>
      </c>
      <c r="C3569" s="90" t="str">
        <f>VLOOKUP(B3569,'All Districts'!$A$3:$B$874,2,FALSE)</f>
        <v>Kingston</v>
      </c>
      <c r="D3569" s="40">
        <v>7820521</v>
      </c>
      <c r="E3569">
        <f>VLOOKUP(C3569,'All Districts'!$B$3:$C$874,2,FALSE)</f>
        <v>3616290</v>
      </c>
      <c r="F3569" s="91">
        <f>COUNTIF($E$2:$E$7106,E3569)</f>
        <v>9</v>
      </c>
    </row>
    <row r="3570" spans="1:6" x14ac:dyDescent="0.2">
      <c r="A3570">
        <v>2015</v>
      </c>
      <c r="B3570" s="13">
        <v>4620</v>
      </c>
      <c r="C3570" s="90" t="str">
        <f>VLOOKUP(B3570,'All Districts'!$A$3:$B$874,2,FALSE)</f>
        <v>Kiryas Joel Village</v>
      </c>
      <c r="D3570" s="14">
        <v>1093872</v>
      </c>
      <c r="E3570">
        <f>VLOOKUP(C3570,'All Districts'!$B$3:$C$874,2,FALSE)</f>
        <v>3604758</v>
      </c>
      <c r="F3570" s="91">
        <f>COUNTIF($E$2:$E$7106,E3570)</f>
        <v>9</v>
      </c>
    </row>
    <row r="3571" spans="1:6" x14ac:dyDescent="0.2">
      <c r="A3571">
        <v>2016</v>
      </c>
      <c r="B3571" s="13">
        <v>4620</v>
      </c>
      <c r="C3571" s="90" t="str">
        <f>VLOOKUP(B3571,'All Districts'!$A$3:$B$874,2,FALSE)</f>
        <v>Kiryas Joel Village</v>
      </c>
      <c r="D3571" s="16">
        <v>847932</v>
      </c>
      <c r="E3571">
        <f>VLOOKUP(C3571,'All Districts'!$B$3:$C$874,2,FALSE)</f>
        <v>3604758</v>
      </c>
      <c r="F3571" s="91">
        <f>COUNTIF($E$2:$E$7106,E3571)</f>
        <v>9</v>
      </c>
    </row>
    <row r="3572" spans="1:6" x14ac:dyDescent="0.2">
      <c r="A3572">
        <v>2017</v>
      </c>
      <c r="B3572" s="13">
        <v>4620</v>
      </c>
      <c r="C3572" s="90" t="str">
        <f>VLOOKUP(B3572,'All Districts'!$A$3:$B$874,2,FALSE)</f>
        <v>Kiryas Joel Village</v>
      </c>
      <c r="D3572" s="16">
        <v>767749</v>
      </c>
      <c r="E3572">
        <f>VLOOKUP(C3572,'All Districts'!$B$3:$C$874,2,FALSE)</f>
        <v>3604758</v>
      </c>
      <c r="F3572" s="91">
        <f>COUNTIF($E$2:$E$7106,E3572)</f>
        <v>9</v>
      </c>
    </row>
    <row r="3573" spans="1:6" x14ac:dyDescent="0.2">
      <c r="A3573" s="10">
        <v>2018</v>
      </c>
      <c r="B3573" s="13">
        <v>4620</v>
      </c>
      <c r="C3573" s="90" t="str">
        <f>VLOOKUP(B3573,'All Districts'!$A$3:$B$874,2,FALSE)</f>
        <v>Kiryas Joel Village</v>
      </c>
      <c r="D3573" s="15">
        <v>680037</v>
      </c>
      <c r="E3573">
        <f>VLOOKUP(C3573,'All Districts'!$B$3:$C$874,2,FALSE)</f>
        <v>3604758</v>
      </c>
      <c r="F3573" s="91">
        <f>COUNTIF($E$2:$E$7106,E3573)</f>
        <v>9</v>
      </c>
    </row>
    <row r="3574" spans="1:6" x14ac:dyDescent="0.2">
      <c r="A3574">
        <v>2019</v>
      </c>
      <c r="B3574" s="36">
        <v>4620</v>
      </c>
      <c r="C3574" s="90" t="str">
        <f>VLOOKUP(B3574,'All Districts'!$A$3:$B$874,2,FALSE)</f>
        <v>Kiryas Joel Village</v>
      </c>
      <c r="D3574" s="40">
        <v>797140</v>
      </c>
      <c r="E3574">
        <f>VLOOKUP(C3574,'All Districts'!$B$3:$C$874,2,FALSE)</f>
        <v>3604758</v>
      </c>
      <c r="F3574" s="91">
        <f>COUNTIF($E$2:$E$7106,E3574)</f>
        <v>9</v>
      </c>
    </row>
    <row r="3575" spans="1:6" x14ac:dyDescent="0.2">
      <c r="A3575">
        <v>2020</v>
      </c>
      <c r="B3575" s="36">
        <v>4620</v>
      </c>
      <c r="C3575" s="90" t="str">
        <f>VLOOKUP(B3575,'All Districts'!$A$3:$B$874,2,FALSE)</f>
        <v>Kiryas Joel Village</v>
      </c>
      <c r="D3575" s="40">
        <v>717072</v>
      </c>
      <c r="E3575">
        <f>VLOOKUP(C3575,'All Districts'!$B$3:$C$874,2,FALSE)</f>
        <v>3604758</v>
      </c>
      <c r="F3575" s="91">
        <f>COUNTIF($E$2:$E$7106,E3575)</f>
        <v>9</v>
      </c>
    </row>
    <row r="3576" spans="1:6" x14ac:dyDescent="0.2">
      <c r="A3576" s="10">
        <v>2021</v>
      </c>
      <c r="B3576" s="55">
        <v>4620</v>
      </c>
      <c r="C3576" s="90" t="str">
        <f>VLOOKUP(B3576,'All Districts'!$A$3:$B$874,2,FALSE)</f>
        <v>Kiryas Joel Village</v>
      </c>
      <c r="D3576" s="75">
        <v>749898</v>
      </c>
      <c r="E3576">
        <f>VLOOKUP(C3576,'All Districts'!$B$3:$C$874,2,FALSE)</f>
        <v>3604758</v>
      </c>
      <c r="F3576" s="91">
        <f>COUNTIF($E$2:$E$7106,E3576)</f>
        <v>9</v>
      </c>
    </row>
    <row r="3577" spans="1:6" x14ac:dyDescent="0.2">
      <c r="A3577">
        <v>2022</v>
      </c>
      <c r="B3577" s="36">
        <v>4620</v>
      </c>
      <c r="C3577" s="90" t="str">
        <f>VLOOKUP(B3577,'All Districts'!$A$3:$B$874,2,FALSE)</f>
        <v>Kiryas Joel Village</v>
      </c>
      <c r="D3577" s="82">
        <v>818947</v>
      </c>
      <c r="E3577">
        <f>VLOOKUP(C3577,'All Districts'!$B$3:$C$874,2,FALSE)</f>
        <v>3604758</v>
      </c>
      <c r="F3577" s="91">
        <f>COUNTIF($E$2:$E$7106,E3577)</f>
        <v>9</v>
      </c>
    </row>
    <row r="3578" spans="1:6" x14ac:dyDescent="0.2">
      <c r="A3578">
        <v>2023</v>
      </c>
      <c r="B3578" s="36">
        <v>4620</v>
      </c>
      <c r="C3578" s="90" t="str">
        <f>VLOOKUP(B3578,'All Districts'!$A$3:$B$874,2,FALSE)</f>
        <v>Kiryas Joel Village</v>
      </c>
      <c r="D3578" s="40">
        <v>934353</v>
      </c>
      <c r="E3578">
        <f>VLOOKUP(C3578,'All Districts'!$B$3:$C$874,2,FALSE)</f>
        <v>3604758</v>
      </c>
      <c r="F3578" s="91">
        <f>COUNTIF($E$2:$E$7106,E3578)</f>
        <v>9</v>
      </c>
    </row>
    <row r="3579" spans="1:6" x14ac:dyDescent="0.2">
      <c r="A3579">
        <v>2015</v>
      </c>
      <c r="B3579" s="13">
        <v>4104</v>
      </c>
      <c r="C3579" s="90" t="str">
        <f>VLOOKUP(B3579,'All Districts'!$A$3:$B$874,2,FALSE)</f>
        <v>La Fargeville</v>
      </c>
      <c r="D3579" s="14">
        <v>524103</v>
      </c>
      <c r="E3579">
        <f>VLOOKUP(C3579,'All Districts'!$B$3:$C$874,2,FALSE)</f>
        <v>3616380</v>
      </c>
      <c r="F3579" s="91">
        <f>COUNTIF($E$2:$E$7106,E3579)</f>
        <v>9</v>
      </c>
    </row>
    <row r="3580" spans="1:6" x14ac:dyDescent="0.2">
      <c r="A3580">
        <v>2016</v>
      </c>
      <c r="B3580" s="13">
        <v>4104</v>
      </c>
      <c r="C3580" s="90" t="str">
        <f>VLOOKUP(B3580,'All Districts'!$A$3:$B$874,2,FALSE)</f>
        <v>La Fargeville</v>
      </c>
      <c r="D3580" s="16">
        <v>403288</v>
      </c>
      <c r="E3580">
        <f>VLOOKUP(C3580,'All Districts'!$B$3:$C$874,2,FALSE)</f>
        <v>3616380</v>
      </c>
      <c r="F3580" s="91">
        <f>COUNTIF($E$2:$E$7106,E3580)</f>
        <v>9</v>
      </c>
    </row>
    <row r="3581" spans="1:6" x14ac:dyDescent="0.2">
      <c r="A3581">
        <v>2017</v>
      </c>
      <c r="B3581" s="13">
        <v>4104</v>
      </c>
      <c r="C3581" s="90" t="str">
        <f>VLOOKUP(B3581,'All Districts'!$A$3:$B$874,2,FALSE)</f>
        <v>La Fargeville</v>
      </c>
      <c r="D3581" s="16">
        <v>367088</v>
      </c>
      <c r="E3581">
        <f>VLOOKUP(C3581,'All Districts'!$B$3:$C$874,2,FALSE)</f>
        <v>3616380</v>
      </c>
      <c r="F3581" s="91">
        <f>COUNTIF($E$2:$E$7106,E3581)</f>
        <v>9</v>
      </c>
    </row>
    <row r="3582" spans="1:6" x14ac:dyDescent="0.2">
      <c r="A3582" s="10">
        <v>2018</v>
      </c>
      <c r="B3582" s="13">
        <v>4104</v>
      </c>
      <c r="C3582" s="90" t="str">
        <f>VLOOKUP(B3582,'All Districts'!$A$3:$B$874,2,FALSE)</f>
        <v>La Fargeville</v>
      </c>
      <c r="D3582" s="15">
        <v>319551</v>
      </c>
      <c r="E3582">
        <f>VLOOKUP(C3582,'All Districts'!$B$3:$C$874,2,FALSE)</f>
        <v>3616380</v>
      </c>
      <c r="F3582" s="91">
        <f>COUNTIF($E$2:$E$7106,E3582)</f>
        <v>9</v>
      </c>
    </row>
    <row r="3583" spans="1:6" x14ac:dyDescent="0.2">
      <c r="A3583">
        <v>2019</v>
      </c>
      <c r="B3583" s="36">
        <v>4104</v>
      </c>
      <c r="C3583" s="90" t="str">
        <f>VLOOKUP(B3583,'All Districts'!$A$3:$B$874,2,FALSE)</f>
        <v>La Fargeville</v>
      </c>
      <c r="D3583" s="40">
        <v>358709</v>
      </c>
      <c r="E3583">
        <f>VLOOKUP(C3583,'All Districts'!$B$3:$C$874,2,FALSE)</f>
        <v>3616380</v>
      </c>
      <c r="F3583" s="91">
        <f>COUNTIF($E$2:$E$7106,E3583)</f>
        <v>9</v>
      </c>
    </row>
    <row r="3584" spans="1:6" x14ac:dyDescent="0.2">
      <c r="A3584">
        <v>2020</v>
      </c>
      <c r="B3584" s="36">
        <v>4104</v>
      </c>
      <c r="C3584" s="90" t="str">
        <f>VLOOKUP(B3584,'All Districts'!$A$3:$B$874,2,FALSE)</f>
        <v>La Fargeville</v>
      </c>
      <c r="D3584" s="40">
        <v>302789</v>
      </c>
      <c r="E3584">
        <f>VLOOKUP(C3584,'All Districts'!$B$3:$C$874,2,FALSE)</f>
        <v>3616380</v>
      </c>
      <c r="F3584" s="91">
        <f>COUNTIF($E$2:$E$7106,E3584)</f>
        <v>9</v>
      </c>
    </row>
    <row r="3585" spans="1:6" x14ac:dyDescent="0.2">
      <c r="A3585" s="10">
        <v>2021</v>
      </c>
      <c r="B3585" s="52">
        <v>4104</v>
      </c>
      <c r="C3585" s="90" t="str">
        <f>VLOOKUP(B3585,'All Districts'!$A$3:$B$874,2,FALSE)</f>
        <v>La Fargeville</v>
      </c>
      <c r="D3585" s="76">
        <v>320047</v>
      </c>
      <c r="E3585">
        <f>VLOOKUP(C3585,'All Districts'!$B$3:$C$874,2,FALSE)</f>
        <v>3616380</v>
      </c>
      <c r="F3585" s="91">
        <f>COUNTIF($E$2:$E$7106,E3585)</f>
        <v>9</v>
      </c>
    </row>
    <row r="3586" spans="1:6" x14ac:dyDescent="0.2">
      <c r="A3586">
        <v>2022</v>
      </c>
      <c r="B3586" s="36">
        <v>4104</v>
      </c>
      <c r="C3586" s="90" t="str">
        <f>VLOOKUP(B3586,'All Districts'!$A$3:$B$874,2,FALSE)</f>
        <v>La Fargeville</v>
      </c>
      <c r="D3586" s="82">
        <v>349289</v>
      </c>
      <c r="E3586">
        <f>VLOOKUP(C3586,'All Districts'!$B$3:$C$874,2,FALSE)</f>
        <v>3616380</v>
      </c>
      <c r="F3586" s="91">
        <f>COUNTIF($E$2:$E$7106,E3586)</f>
        <v>9</v>
      </c>
    </row>
    <row r="3587" spans="1:6" x14ac:dyDescent="0.2">
      <c r="A3587">
        <v>2023</v>
      </c>
      <c r="B3587" s="36">
        <v>4104</v>
      </c>
      <c r="C3587" s="90" t="str">
        <f>VLOOKUP(B3587,'All Districts'!$A$3:$B$874,2,FALSE)</f>
        <v>La Fargeville</v>
      </c>
      <c r="D3587" s="40">
        <v>364681</v>
      </c>
      <c r="E3587">
        <f>VLOOKUP(C3587,'All Districts'!$B$3:$C$874,2,FALSE)</f>
        <v>3616380</v>
      </c>
      <c r="F3587" s="91">
        <f>COUNTIF($E$2:$E$7106,E3587)</f>
        <v>9</v>
      </c>
    </row>
    <row r="3588" spans="1:6" x14ac:dyDescent="0.2">
      <c r="A3588">
        <v>2015</v>
      </c>
      <c r="B3588" s="13">
        <v>4532</v>
      </c>
      <c r="C3588" s="90" t="str">
        <f>VLOOKUP(B3588,'All Districts'!$A$3:$B$874,2,FALSE)</f>
        <v>La Fayette</v>
      </c>
      <c r="D3588" s="14">
        <v>1409358</v>
      </c>
      <c r="E3588">
        <f>VLOOKUP(C3588,'All Districts'!$B$3:$C$874,2,FALSE)</f>
        <v>3616410</v>
      </c>
      <c r="F3588" s="91">
        <f>COUNTIF($E$2:$E$7106,E3588)</f>
        <v>9</v>
      </c>
    </row>
    <row r="3589" spans="1:6" x14ac:dyDescent="0.2">
      <c r="A3589">
        <v>2016</v>
      </c>
      <c r="B3589" s="13">
        <v>4532</v>
      </c>
      <c r="C3589" s="90" t="str">
        <f>VLOOKUP(B3589,'All Districts'!$A$3:$B$874,2,FALSE)</f>
        <v>La Fayette</v>
      </c>
      <c r="D3589" s="16">
        <v>1086957</v>
      </c>
      <c r="E3589">
        <f>VLOOKUP(C3589,'All Districts'!$B$3:$C$874,2,FALSE)</f>
        <v>3616410</v>
      </c>
      <c r="F3589" s="91">
        <f>COUNTIF($E$2:$E$7106,E3589)</f>
        <v>9</v>
      </c>
    </row>
    <row r="3590" spans="1:6" x14ac:dyDescent="0.2">
      <c r="A3590">
        <v>2017</v>
      </c>
      <c r="B3590" s="13">
        <v>4532</v>
      </c>
      <c r="C3590" s="90" t="str">
        <f>VLOOKUP(B3590,'All Districts'!$A$3:$B$874,2,FALSE)</f>
        <v>La Fayette</v>
      </c>
      <c r="D3590" s="16">
        <v>1019271</v>
      </c>
      <c r="E3590">
        <f>VLOOKUP(C3590,'All Districts'!$B$3:$C$874,2,FALSE)</f>
        <v>3616410</v>
      </c>
      <c r="F3590" s="91">
        <f>COUNTIF($E$2:$E$7106,E3590)</f>
        <v>9</v>
      </c>
    </row>
    <row r="3591" spans="1:6" x14ac:dyDescent="0.2">
      <c r="A3591" s="10">
        <v>2018</v>
      </c>
      <c r="B3591" s="13">
        <v>4532</v>
      </c>
      <c r="C3591" s="90" t="str">
        <f>VLOOKUP(B3591,'All Districts'!$A$3:$B$874,2,FALSE)</f>
        <v>La Fayette</v>
      </c>
      <c r="D3591" s="15">
        <v>923125</v>
      </c>
      <c r="E3591">
        <f>VLOOKUP(C3591,'All Districts'!$B$3:$C$874,2,FALSE)</f>
        <v>3616410</v>
      </c>
      <c r="F3591" s="91">
        <f>COUNTIF($E$2:$E$7106,E3591)</f>
        <v>9</v>
      </c>
    </row>
    <row r="3592" spans="1:6" x14ac:dyDescent="0.2">
      <c r="A3592">
        <v>2019</v>
      </c>
      <c r="B3592" s="36">
        <v>4532</v>
      </c>
      <c r="C3592" s="90" t="str">
        <f>VLOOKUP(B3592,'All Districts'!$A$3:$B$874,2,FALSE)</f>
        <v>La Fayette</v>
      </c>
      <c r="D3592" s="40">
        <v>1032958</v>
      </c>
      <c r="E3592">
        <f>VLOOKUP(C3592,'All Districts'!$B$3:$C$874,2,FALSE)</f>
        <v>3616410</v>
      </c>
      <c r="F3592" s="91">
        <f>COUNTIF($E$2:$E$7106,E3592)</f>
        <v>9</v>
      </c>
    </row>
    <row r="3593" spans="1:6" x14ac:dyDescent="0.2">
      <c r="A3593">
        <v>2020</v>
      </c>
      <c r="B3593" s="36">
        <v>4532</v>
      </c>
      <c r="C3593" s="90" t="str">
        <f>VLOOKUP(B3593,'All Districts'!$A$3:$B$874,2,FALSE)</f>
        <v>La Fayette</v>
      </c>
      <c r="D3593" s="40">
        <v>891644</v>
      </c>
      <c r="E3593">
        <f>VLOOKUP(C3593,'All Districts'!$B$3:$C$874,2,FALSE)</f>
        <v>3616410</v>
      </c>
      <c r="F3593" s="91">
        <f>COUNTIF($E$2:$E$7106,E3593)</f>
        <v>9</v>
      </c>
    </row>
    <row r="3594" spans="1:6" x14ac:dyDescent="0.2">
      <c r="A3594" s="10">
        <v>2021</v>
      </c>
      <c r="B3594" s="52">
        <v>4532</v>
      </c>
      <c r="C3594" s="90" t="str">
        <f>VLOOKUP(B3594,'All Districts'!$A$3:$B$874,2,FALSE)</f>
        <v>La Fayette</v>
      </c>
      <c r="D3594" s="76">
        <v>949249</v>
      </c>
      <c r="E3594">
        <f>VLOOKUP(C3594,'All Districts'!$B$3:$C$874,2,FALSE)</f>
        <v>3616410</v>
      </c>
      <c r="F3594" s="91">
        <f>COUNTIF($E$2:$E$7106,E3594)</f>
        <v>9</v>
      </c>
    </row>
    <row r="3595" spans="1:6" x14ac:dyDescent="0.2">
      <c r="A3595">
        <v>2022</v>
      </c>
      <c r="B3595" s="36">
        <v>4532</v>
      </c>
      <c r="C3595" s="90" t="str">
        <f>VLOOKUP(B3595,'All Districts'!$A$3:$B$874,2,FALSE)</f>
        <v>La Fayette</v>
      </c>
      <c r="D3595" s="82">
        <v>1015230</v>
      </c>
      <c r="E3595">
        <f>VLOOKUP(C3595,'All Districts'!$B$3:$C$874,2,FALSE)</f>
        <v>3616410</v>
      </c>
      <c r="F3595" s="91">
        <f>COUNTIF($E$2:$E$7106,E3595)</f>
        <v>9</v>
      </c>
    </row>
    <row r="3596" spans="1:6" x14ac:dyDescent="0.2">
      <c r="A3596">
        <v>2023</v>
      </c>
      <c r="B3596" s="36">
        <v>4532</v>
      </c>
      <c r="C3596" s="90" t="str">
        <f>VLOOKUP(B3596,'All Districts'!$A$3:$B$874,2,FALSE)</f>
        <v>La Fayette</v>
      </c>
      <c r="D3596" s="40">
        <v>1104828</v>
      </c>
      <c r="E3596">
        <f>VLOOKUP(C3596,'All Districts'!$B$3:$C$874,2,FALSE)</f>
        <v>3616410</v>
      </c>
      <c r="F3596" s="91">
        <f>COUNTIF($E$2:$E$7106,E3596)</f>
        <v>9</v>
      </c>
    </row>
    <row r="3597" spans="1:6" x14ac:dyDescent="0.2">
      <c r="A3597">
        <v>2015</v>
      </c>
      <c r="B3597" s="13">
        <v>1125</v>
      </c>
      <c r="C3597" s="90" t="str">
        <f>VLOOKUP(B3597,'All Districts'!$A$3:$B$874,2,FALSE)</f>
        <v>Lackawanna</v>
      </c>
      <c r="D3597" s="14">
        <v>2448452</v>
      </c>
      <c r="E3597">
        <f>VLOOKUP(C3597,'All Districts'!$B$3:$C$874,2,FALSE)</f>
        <v>3616440</v>
      </c>
      <c r="F3597" s="91">
        <f>COUNTIF($E$2:$E$7106,E3597)</f>
        <v>9</v>
      </c>
    </row>
    <row r="3598" spans="1:6" x14ac:dyDescent="0.2">
      <c r="A3598">
        <v>2016</v>
      </c>
      <c r="B3598" s="13">
        <v>1125</v>
      </c>
      <c r="C3598" s="90" t="str">
        <f>VLOOKUP(B3598,'All Districts'!$A$3:$B$874,2,FALSE)</f>
        <v>Lackawanna</v>
      </c>
      <c r="D3598" s="16">
        <v>1898626</v>
      </c>
      <c r="E3598">
        <f>VLOOKUP(C3598,'All Districts'!$B$3:$C$874,2,FALSE)</f>
        <v>3616440</v>
      </c>
      <c r="F3598" s="91">
        <f>COUNTIF($E$2:$E$7106,E3598)</f>
        <v>9</v>
      </c>
    </row>
    <row r="3599" spans="1:6" x14ac:dyDescent="0.2">
      <c r="A3599">
        <v>2017</v>
      </c>
      <c r="B3599" s="13">
        <v>1125</v>
      </c>
      <c r="C3599" s="90" t="str">
        <f>VLOOKUP(B3599,'All Districts'!$A$3:$B$874,2,FALSE)</f>
        <v>Lackawanna</v>
      </c>
      <c r="D3599" s="16">
        <v>1750198</v>
      </c>
      <c r="E3599">
        <f>VLOOKUP(C3599,'All Districts'!$B$3:$C$874,2,FALSE)</f>
        <v>3616440</v>
      </c>
      <c r="F3599" s="91">
        <f>COUNTIF($E$2:$E$7106,E3599)</f>
        <v>9</v>
      </c>
    </row>
    <row r="3600" spans="1:6" x14ac:dyDescent="0.2">
      <c r="A3600" s="10">
        <v>2018</v>
      </c>
      <c r="B3600" s="13">
        <v>1125</v>
      </c>
      <c r="C3600" s="90" t="str">
        <f>VLOOKUP(B3600,'All Districts'!$A$3:$B$874,2,FALSE)</f>
        <v>Lackawanna</v>
      </c>
      <c r="D3600" s="15">
        <v>1524140</v>
      </c>
      <c r="E3600">
        <f>VLOOKUP(C3600,'All Districts'!$B$3:$C$874,2,FALSE)</f>
        <v>3616440</v>
      </c>
      <c r="F3600" s="91">
        <f>COUNTIF($E$2:$E$7106,E3600)</f>
        <v>9</v>
      </c>
    </row>
    <row r="3601" spans="1:6" x14ac:dyDescent="0.2">
      <c r="A3601">
        <v>2019</v>
      </c>
      <c r="B3601" s="36">
        <v>1125</v>
      </c>
      <c r="C3601" s="90" t="str">
        <f>VLOOKUP(B3601,'All Districts'!$A$3:$B$874,2,FALSE)</f>
        <v>Lackawanna</v>
      </c>
      <c r="D3601" s="40">
        <v>1716589</v>
      </c>
      <c r="E3601">
        <f>VLOOKUP(C3601,'All Districts'!$B$3:$C$874,2,FALSE)</f>
        <v>3616440</v>
      </c>
      <c r="F3601" s="91">
        <f>COUNTIF($E$2:$E$7106,E3601)</f>
        <v>9</v>
      </c>
    </row>
    <row r="3602" spans="1:6" x14ac:dyDescent="0.2">
      <c r="A3602">
        <v>2020</v>
      </c>
      <c r="B3602" s="36">
        <v>1125</v>
      </c>
      <c r="C3602" s="90" t="str">
        <f>VLOOKUP(B3602,'All Districts'!$A$3:$B$874,2,FALSE)</f>
        <v>Lackawanna</v>
      </c>
      <c r="D3602" s="40">
        <v>1482353</v>
      </c>
      <c r="E3602">
        <f>VLOOKUP(C3602,'All Districts'!$B$3:$C$874,2,FALSE)</f>
        <v>3616440</v>
      </c>
      <c r="F3602" s="91">
        <f>COUNTIF($E$2:$E$7106,E3602)</f>
        <v>9</v>
      </c>
    </row>
    <row r="3603" spans="1:6" x14ac:dyDescent="0.2">
      <c r="A3603" s="10">
        <v>2021</v>
      </c>
      <c r="B3603" s="52">
        <v>1125</v>
      </c>
      <c r="C3603" s="90" t="str">
        <f>VLOOKUP(B3603,'All Districts'!$A$3:$B$874,2,FALSE)</f>
        <v>Lackawanna</v>
      </c>
      <c r="D3603" s="76">
        <v>1571370</v>
      </c>
      <c r="E3603">
        <f>VLOOKUP(C3603,'All Districts'!$B$3:$C$874,2,FALSE)</f>
        <v>3616440</v>
      </c>
      <c r="F3603" s="91">
        <f>COUNTIF($E$2:$E$7106,E3603)</f>
        <v>9</v>
      </c>
    </row>
    <row r="3604" spans="1:6" x14ac:dyDescent="0.2">
      <c r="A3604">
        <v>2022</v>
      </c>
      <c r="B3604" s="36">
        <v>1125</v>
      </c>
      <c r="C3604" s="90" t="str">
        <f>VLOOKUP(B3604,'All Districts'!$A$3:$B$874,2,FALSE)</f>
        <v>Lackawanna</v>
      </c>
      <c r="D3604" s="82">
        <v>1731874</v>
      </c>
      <c r="E3604">
        <f>VLOOKUP(C3604,'All Districts'!$B$3:$C$874,2,FALSE)</f>
        <v>3616440</v>
      </c>
      <c r="F3604" s="91">
        <f>COUNTIF($E$2:$E$7106,E3604)</f>
        <v>9</v>
      </c>
    </row>
    <row r="3605" spans="1:6" x14ac:dyDescent="0.2">
      <c r="A3605">
        <v>2023</v>
      </c>
      <c r="B3605" s="36">
        <v>1125</v>
      </c>
      <c r="C3605" s="90" t="str">
        <f>VLOOKUP(B3605,'All Districts'!$A$3:$B$874,2,FALSE)</f>
        <v>Lackawanna</v>
      </c>
      <c r="D3605" s="40">
        <v>1975848</v>
      </c>
      <c r="E3605">
        <f>VLOOKUP(C3605,'All Districts'!$B$3:$C$874,2,FALSE)</f>
        <v>3616440</v>
      </c>
      <c r="F3605" s="91">
        <f>COUNTIF($E$2:$E$7106,E3605)</f>
        <v>9</v>
      </c>
    </row>
    <row r="3606" spans="1:6" x14ac:dyDescent="0.2">
      <c r="A3606">
        <v>2015</v>
      </c>
      <c r="B3606" s="13">
        <v>5687</v>
      </c>
      <c r="C3606" s="90" t="str">
        <f>VLOOKUP(B3606,'All Districts'!$A$3:$B$874,2,FALSE)</f>
        <v>Lake George</v>
      </c>
      <c r="D3606" s="14">
        <v>1355187</v>
      </c>
      <c r="E3606">
        <f>VLOOKUP(C3606,'All Districts'!$B$3:$C$874,2,FALSE)</f>
        <v>3616470</v>
      </c>
      <c r="F3606" s="91">
        <f>COUNTIF($E$2:$E$7106,E3606)</f>
        <v>9</v>
      </c>
    </row>
    <row r="3607" spans="1:6" x14ac:dyDescent="0.2">
      <c r="A3607">
        <v>2016</v>
      </c>
      <c r="B3607" s="13">
        <v>5687</v>
      </c>
      <c r="C3607" s="90" t="str">
        <f>VLOOKUP(B3607,'All Districts'!$A$3:$B$874,2,FALSE)</f>
        <v>Lake George</v>
      </c>
      <c r="D3607" s="16">
        <v>1065901</v>
      </c>
      <c r="E3607">
        <f>VLOOKUP(C3607,'All Districts'!$B$3:$C$874,2,FALSE)</f>
        <v>3616470</v>
      </c>
      <c r="F3607" s="91">
        <f>COUNTIF($E$2:$E$7106,E3607)</f>
        <v>9</v>
      </c>
    </row>
    <row r="3608" spans="1:6" x14ac:dyDescent="0.2">
      <c r="A3608">
        <v>2017</v>
      </c>
      <c r="B3608" s="13">
        <v>5687</v>
      </c>
      <c r="C3608" s="90" t="str">
        <f>VLOOKUP(B3608,'All Districts'!$A$3:$B$874,2,FALSE)</f>
        <v>Lake George</v>
      </c>
      <c r="D3608" s="16">
        <v>961665</v>
      </c>
      <c r="E3608">
        <f>VLOOKUP(C3608,'All Districts'!$B$3:$C$874,2,FALSE)</f>
        <v>3616470</v>
      </c>
      <c r="F3608" s="91">
        <f>COUNTIF($E$2:$E$7106,E3608)</f>
        <v>9</v>
      </c>
    </row>
    <row r="3609" spans="1:6" x14ac:dyDescent="0.2">
      <c r="A3609" s="10">
        <v>2018</v>
      </c>
      <c r="B3609" s="13">
        <v>5687</v>
      </c>
      <c r="C3609" s="90" t="str">
        <f>VLOOKUP(B3609,'All Districts'!$A$3:$B$874,2,FALSE)</f>
        <v>Lake George</v>
      </c>
      <c r="D3609" s="15">
        <v>827091</v>
      </c>
      <c r="E3609">
        <f>VLOOKUP(C3609,'All Districts'!$B$3:$C$874,2,FALSE)</f>
        <v>3616470</v>
      </c>
      <c r="F3609" s="91">
        <f>COUNTIF($E$2:$E$7106,E3609)</f>
        <v>9</v>
      </c>
    </row>
    <row r="3610" spans="1:6" x14ac:dyDescent="0.2">
      <c r="A3610">
        <v>2019</v>
      </c>
      <c r="B3610" s="36">
        <v>5687</v>
      </c>
      <c r="C3610" s="90" t="str">
        <f>VLOOKUP(B3610,'All Districts'!$A$3:$B$874,2,FALSE)</f>
        <v>Lake George</v>
      </c>
      <c r="D3610" s="40">
        <v>905432</v>
      </c>
      <c r="E3610">
        <f>VLOOKUP(C3610,'All Districts'!$B$3:$C$874,2,FALSE)</f>
        <v>3616470</v>
      </c>
      <c r="F3610" s="91">
        <f>COUNTIF($E$2:$E$7106,E3610)</f>
        <v>9</v>
      </c>
    </row>
    <row r="3611" spans="1:6" x14ac:dyDescent="0.2">
      <c r="A3611">
        <v>2020</v>
      </c>
      <c r="B3611" s="36">
        <v>5687</v>
      </c>
      <c r="C3611" s="90" t="str">
        <f>VLOOKUP(B3611,'All Districts'!$A$3:$B$874,2,FALSE)</f>
        <v>Lake George</v>
      </c>
      <c r="D3611" s="40">
        <v>770573</v>
      </c>
      <c r="E3611">
        <f>VLOOKUP(C3611,'All Districts'!$B$3:$C$874,2,FALSE)</f>
        <v>3616470</v>
      </c>
      <c r="F3611" s="91">
        <f>COUNTIF($E$2:$E$7106,E3611)</f>
        <v>9</v>
      </c>
    </row>
    <row r="3612" spans="1:6" x14ac:dyDescent="0.2">
      <c r="A3612" s="10">
        <v>2021</v>
      </c>
      <c r="B3612" s="52">
        <v>5687</v>
      </c>
      <c r="C3612" s="90" t="str">
        <f>VLOOKUP(B3612,'All Districts'!$A$3:$B$874,2,FALSE)</f>
        <v>Lake George</v>
      </c>
      <c r="D3612" s="75">
        <v>867145</v>
      </c>
      <c r="E3612">
        <f>VLOOKUP(C3612,'All Districts'!$B$3:$C$874,2,FALSE)</f>
        <v>3616470</v>
      </c>
      <c r="F3612" s="91">
        <f>COUNTIF($E$2:$E$7106,E3612)</f>
        <v>9</v>
      </c>
    </row>
    <row r="3613" spans="1:6" x14ac:dyDescent="0.2">
      <c r="A3613">
        <v>2022</v>
      </c>
      <c r="B3613" s="36">
        <v>5687</v>
      </c>
      <c r="C3613" s="90" t="str">
        <f>VLOOKUP(B3613,'All Districts'!$A$3:$B$874,2,FALSE)</f>
        <v>Lake George</v>
      </c>
      <c r="D3613" s="82">
        <v>849296</v>
      </c>
      <c r="E3613">
        <f>VLOOKUP(C3613,'All Districts'!$B$3:$C$874,2,FALSE)</f>
        <v>3616470</v>
      </c>
      <c r="F3613" s="91">
        <f>COUNTIF($E$2:$E$7106,E3613)</f>
        <v>9</v>
      </c>
    </row>
    <row r="3614" spans="1:6" x14ac:dyDescent="0.2">
      <c r="A3614">
        <v>2023</v>
      </c>
      <c r="B3614" s="36">
        <v>5687</v>
      </c>
      <c r="C3614" s="90" t="str">
        <f>VLOOKUP(B3614,'All Districts'!$A$3:$B$874,2,FALSE)</f>
        <v>Lake George</v>
      </c>
      <c r="D3614" s="40">
        <v>873607</v>
      </c>
      <c r="E3614">
        <f>VLOOKUP(C3614,'All Districts'!$B$3:$C$874,2,FALSE)</f>
        <v>3616470</v>
      </c>
      <c r="F3614" s="91">
        <f>COUNTIF($E$2:$E$7106,E3614)</f>
        <v>9</v>
      </c>
    </row>
    <row r="3615" spans="1:6" x14ac:dyDescent="0.2">
      <c r="A3615">
        <v>2015</v>
      </c>
      <c r="B3615" s="13">
        <v>3855</v>
      </c>
      <c r="C3615" s="90" t="str">
        <f>VLOOKUP(B3615,'All Districts'!$A$3:$B$874,2,FALSE)</f>
        <v>Lake Placid</v>
      </c>
      <c r="D3615" s="14">
        <v>1054208</v>
      </c>
      <c r="E3615">
        <f>VLOOKUP(C3615,'All Districts'!$B$3:$C$874,2,FALSE)</f>
        <v>3616500</v>
      </c>
      <c r="F3615" s="91">
        <f>COUNTIF($E$2:$E$7106,E3615)</f>
        <v>9</v>
      </c>
    </row>
    <row r="3616" spans="1:6" x14ac:dyDescent="0.2">
      <c r="A3616">
        <v>2016</v>
      </c>
      <c r="B3616" s="13">
        <v>3855</v>
      </c>
      <c r="C3616" s="90" t="str">
        <f>VLOOKUP(B3616,'All Districts'!$A$3:$B$874,2,FALSE)</f>
        <v>Lake Placid</v>
      </c>
      <c r="D3616" s="16">
        <v>836002</v>
      </c>
      <c r="E3616">
        <f>VLOOKUP(C3616,'All Districts'!$B$3:$C$874,2,FALSE)</f>
        <v>3616500</v>
      </c>
      <c r="F3616" s="91">
        <f>COUNTIF($E$2:$E$7106,E3616)</f>
        <v>9</v>
      </c>
    </row>
    <row r="3617" spans="1:6" x14ac:dyDescent="0.2">
      <c r="A3617">
        <v>2017</v>
      </c>
      <c r="B3617" s="13">
        <v>3855</v>
      </c>
      <c r="C3617" s="90" t="str">
        <f>VLOOKUP(B3617,'All Districts'!$A$3:$B$874,2,FALSE)</f>
        <v>Lake Placid</v>
      </c>
      <c r="D3617" s="16">
        <v>758384</v>
      </c>
      <c r="E3617">
        <f>VLOOKUP(C3617,'All Districts'!$B$3:$C$874,2,FALSE)</f>
        <v>3616500</v>
      </c>
      <c r="F3617" s="91">
        <f>COUNTIF($E$2:$E$7106,E3617)</f>
        <v>9</v>
      </c>
    </row>
    <row r="3618" spans="1:6" x14ac:dyDescent="0.2">
      <c r="A3618" s="10">
        <v>2018</v>
      </c>
      <c r="B3618" s="13">
        <v>3855</v>
      </c>
      <c r="C3618" s="90" t="str">
        <f>VLOOKUP(B3618,'All Districts'!$A$3:$B$874,2,FALSE)</f>
        <v>Lake Placid</v>
      </c>
      <c r="D3618" s="15">
        <v>656417</v>
      </c>
      <c r="E3618">
        <f>VLOOKUP(C3618,'All Districts'!$B$3:$C$874,2,FALSE)</f>
        <v>3616500</v>
      </c>
      <c r="F3618" s="91">
        <f>COUNTIF($E$2:$E$7106,E3618)</f>
        <v>9</v>
      </c>
    </row>
    <row r="3619" spans="1:6" x14ac:dyDescent="0.2">
      <c r="A3619">
        <v>2019</v>
      </c>
      <c r="B3619" s="36">
        <v>3855</v>
      </c>
      <c r="C3619" s="90" t="str">
        <f>VLOOKUP(B3619,'All Districts'!$A$3:$B$874,2,FALSE)</f>
        <v>Lake Placid</v>
      </c>
      <c r="D3619" s="40">
        <v>730593</v>
      </c>
      <c r="E3619">
        <f>VLOOKUP(C3619,'All Districts'!$B$3:$C$874,2,FALSE)</f>
        <v>3616500</v>
      </c>
      <c r="F3619" s="91">
        <f>COUNTIF($E$2:$E$7106,E3619)</f>
        <v>9</v>
      </c>
    </row>
    <row r="3620" spans="1:6" x14ac:dyDescent="0.2">
      <c r="A3620">
        <v>2020</v>
      </c>
      <c r="B3620" s="36">
        <v>3855</v>
      </c>
      <c r="C3620" s="90" t="str">
        <f>VLOOKUP(B3620,'All Districts'!$A$3:$B$874,2,FALSE)</f>
        <v>Lake Placid</v>
      </c>
      <c r="D3620" s="40">
        <v>598463</v>
      </c>
      <c r="E3620">
        <f>VLOOKUP(C3620,'All Districts'!$B$3:$C$874,2,FALSE)</f>
        <v>3616500</v>
      </c>
      <c r="F3620" s="91">
        <f>COUNTIF($E$2:$E$7106,E3620)</f>
        <v>9</v>
      </c>
    </row>
    <row r="3621" spans="1:6" x14ac:dyDescent="0.2">
      <c r="A3621" s="10">
        <v>2021</v>
      </c>
      <c r="B3621" s="52">
        <v>3855</v>
      </c>
      <c r="C3621" s="90" t="str">
        <f>VLOOKUP(B3621,'All Districts'!$A$3:$B$874,2,FALSE)</f>
        <v>Lake Placid</v>
      </c>
      <c r="D3621" s="75">
        <v>641131</v>
      </c>
      <c r="E3621">
        <f>VLOOKUP(C3621,'All Districts'!$B$3:$C$874,2,FALSE)</f>
        <v>3616500</v>
      </c>
      <c r="F3621" s="91">
        <f>COUNTIF($E$2:$E$7106,E3621)</f>
        <v>9</v>
      </c>
    </row>
    <row r="3622" spans="1:6" x14ac:dyDescent="0.2">
      <c r="A3622">
        <v>2022</v>
      </c>
      <c r="B3622" s="36">
        <v>3855</v>
      </c>
      <c r="C3622" s="90" t="str">
        <f>VLOOKUP(B3622,'All Districts'!$A$3:$B$874,2,FALSE)</f>
        <v>Lake Placid</v>
      </c>
      <c r="D3622" s="82">
        <v>698993</v>
      </c>
      <c r="E3622">
        <f>VLOOKUP(C3622,'All Districts'!$B$3:$C$874,2,FALSE)</f>
        <v>3616500</v>
      </c>
      <c r="F3622" s="91">
        <f>COUNTIF($E$2:$E$7106,E3622)</f>
        <v>9</v>
      </c>
    </row>
    <row r="3623" spans="1:6" x14ac:dyDescent="0.2">
      <c r="A3623">
        <v>2023</v>
      </c>
      <c r="B3623" s="36">
        <v>3855</v>
      </c>
      <c r="C3623" s="90" t="str">
        <f>VLOOKUP(B3623,'All Districts'!$A$3:$B$874,2,FALSE)</f>
        <v>Lake Placid</v>
      </c>
      <c r="D3623" s="40">
        <v>761315</v>
      </c>
      <c r="E3623">
        <f>VLOOKUP(C3623,'All Districts'!$B$3:$C$874,2,FALSE)</f>
        <v>3616500</v>
      </c>
      <c r="F3623" s="91">
        <f>COUNTIF($E$2:$E$7106,E3623)</f>
        <v>9</v>
      </c>
    </row>
    <row r="3624" spans="1:6" x14ac:dyDescent="0.2">
      <c r="A3624">
        <v>2015</v>
      </c>
      <c r="B3624" s="13">
        <v>4004</v>
      </c>
      <c r="C3624" s="90" t="str">
        <f>VLOOKUP(B3624,'All Districts'!$A$3:$B$874,2,FALSE)</f>
        <v>Lake Pleasant</v>
      </c>
      <c r="D3624" s="14">
        <v>245331</v>
      </c>
      <c r="E3624">
        <f>VLOOKUP(C3624,'All Districts'!$B$3:$C$874,2,FALSE)</f>
        <v>3616530</v>
      </c>
      <c r="F3624" s="91">
        <f>COUNTIF($E$2:$E$7106,E3624)</f>
        <v>9</v>
      </c>
    </row>
    <row r="3625" spans="1:6" x14ac:dyDescent="0.2">
      <c r="A3625">
        <v>2016</v>
      </c>
      <c r="B3625" s="13">
        <v>4004</v>
      </c>
      <c r="C3625" s="90" t="str">
        <f>VLOOKUP(B3625,'All Districts'!$A$3:$B$874,2,FALSE)</f>
        <v>Lake Pleasant</v>
      </c>
      <c r="D3625" s="16">
        <v>186961</v>
      </c>
      <c r="E3625">
        <f>VLOOKUP(C3625,'All Districts'!$B$3:$C$874,2,FALSE)</f>
        <v>3616530</v>
      </c>
      <c r="F3625" s="91">
        <f>COUNTIF($E$2:$E$7106,E3625)</f>
        <v>9</v>
      </c>
    </row>
    <row r="3626" spans="1:6" x14ac:dyDescent="0.2">
      <c r="A3626">
        <v>2017</v>
      </c>
      <c r="B3626" s="13">
        <v>4004</v>
      </c>
      <c r="C3626" s="90" t="str">
        <f>VLOOKUP(B3626,'All Districts'!$A$3:$B$874,2,FALSE)</f>
        <v>Lake Pleasant</v>
      </c>
      <c r="D3626" s="16">
        <v>160624</v>
      </c>
      <c r="E3626">
        <f>VLOOKUP(C3626,'All Districts'!$B$3:$C$874,2,FALSE)</f>
        <v>3616530</v>
      </c>
      <c r="F3626" s="91">
        <f>COUNTIF($E$2:$E$7106,E3626)</f>
        <v>9</v>
      </c>
    </row>
    <row r="3627" spans="1:6" x14ac:dyDescent="0.2">
      <c r="A3627" s="10">
        <v>2018</v>
      </c>
      <c r="B3627" s="13">
        <v>4004</v>
      </c>
      <c r="C3627" s="90" t="str">
        <f>VLOOKUP(B3627,'All Districts'!$A$3:$B$874,2,FALSE)</f>
        <v>Lake Pleasant</v>
      </c>
      <c r="D3627" s="15">
        <v>136383</v>
      </c>
      <c r="E3627">
        <f>VLOOKUP(C3627,'All Districts'!$B$3:$C$874,2,FALSE)</f>
        <v>3616530</v>
      </c>
      <c r="F3627" s="91">
        <f>COUNTIF($E$2:$E$7106,E3627)</f>
        <v>9</v>
      </c>
    </row>
    <row r="3628" spans="1:6" x14ac:dyDescent="0.2">
      <c r="A3628">
        <v>2019</v>
      </c>
      <c r="B3628" s="36">
        <v>4004</v>
      </c>
      <c r="C3628" s="90" t="str">
        <f>VLOOKUP(B3628,'All Districts'!$A$3:$B$874,2,FALSE)</f>
        <v>Lake Pleasant</v>
      </c>
      <c r="D3628" s="40">
        <v>157396</v>
      </c>
      <c r="E3628">
        <f>VLOOKUP(C3628,'All Districts'!$B$3:$C$874,2,FALSE)</f>
        <v>3616530</v>
      </c>
      <c r="F3628" s="91">
        <f>COUNTIF($E$2:$E$7106,E3628)</f>
        <v>9</v>
      </c>
    </row>
    <row r="3629" spans="1:6" x14ac:dyDescent="0.2">
      <c r="A3629">
        <v>2020</v>
      </c>
      <c r="B3629" s="36">
        <v>4004</v>
      </c>
      <c r="C3629" s="90" t="str">
        <f>VLOOKUP(B3629,'All Districts'!$A$3:$B$874,2,FALSE)</f>
        <v>Lake Pleasant</v>
      </c>
      <c r="D3629" s="40">
        <v>128433</v>
      </c>
      <c r="E3629">
        <f>VLOOKUP(C3629,'All Districts'!$B$3:$C$874,2,FALSE)</f>
        <v>3616530</v>
      </c>
      <c r="F3629" s="91">
        <f>COUNTIF($E$2:$E$7106,E3629)</f>
        <v>9</v>
      </c>
    </row>
    <row r="3630" spans="1:6" x14ac:dyDescent="0.2">
      <c r="A3630" s="10">
        <v>2021</v>
      </c>
      <c r="B3630" s="52">
        <v>4004</v>
      </c>
      <c r="C3630" s="90" t="str">
        <f>VLOOKUP(B3630,'All Districts'!$A$3:$B$874,2,FALSE)</f>
        <v>Lake Pleasant</v>
      </c>
      <c r="D3630" s="75">
        <v>140361</v>
      </c>
      <c r="E3630">
        <f>VLOOKUP(C3630,'All Districts'!$B$3:$C$874,2,FALSE)</f>
        <v>3616530</v>
      </c>
      <c r="F3630" s="91">
        <f>COUNTIF($E$2:$E$7106,E3630)</f>
        <v>9</v>
      </c>
    </row>
    <row r="3631" spans="1:6" x14ac:dyDescent="0.2">
      <c r="A3631">
        <v>2022</v>
      </c>
      <c r="B3631" s="36">
        <v>4004</v>
      </c>
      <c r="C3631" s="90" t="str">
        <f>VLOOKUP(B3631,'All Districts'!$A$3:$B$874,2,FALSE)</f>
        <v>Lake Pleasant</v>
      </c>
      <c r="D3631" s="82">
        <v>150215</v>
      </c>
      <c r="E3631">
        <f>VLOOKUP(C3631,'All Districts'!$B$3:$C$874,2,FALSE)</f>
        <v>3616530</v>
      </c>
      <c r="F3631" s="91">
        <f>COUNTIF($E$2:$E$7106,E3631)</f>
        <v>9</v>
      </c>
    </row>
    <row r="3632" spans="1:6" x14ac:dyDescent="0.2">
      <c r="A3632">
        <v>2023</v>
      </c>
      <c r="B3632" s="36">
        <v>4004</v>
      </c>
      <c r="C3632" s="90" t="str">
        <f>VLOOKUP(B3632,'All Districts'!$A$3:$B$874,2,FALSE)</f>
        <v>Lake Pleasant</v>
      </c>
      <c r="D3632" s="40">
        <v>170133</v>
      </c>
      <c r="E3632">
        <f>VLOOKUP(C3632,'All Districts'!$B$3:$C$874,2,FALSE)</f>
        <v>3616530</v>
      </c>
      <c r="F3632" s="91">
        <f>COUNTIF($E$2:$E$7106,E3632)</f>
        <v>9</v>
      </c>
    </row>
    <row r="3633" spans="1:6" x14ac:dyDescent="0.2">
      <c r="A3633">
        <v>2015</v>
      </c>
      <c r="B3633" s="13">
        <v>2289</v>
      </c>
      <c r="C3633" s="90" t="str">
        <f>VLOOKUP(B3633,'All Districts'!$A$3:$B$874,2,FALSE)</f>
        <v>Lakeland</v>
      </c>
      <c r="D3633" s="14">
        <v>10721199</v>
      </c>
      <c r="E3633">
        <f>VLOOKUP(C3633,'All Districts'!$B$3:$C$874,2,FALSE)</f>
        <v>3616620</v>
      </c>
      <c r="F3633" s="91">
        <f>COUNTIF($E$2:$E$7106,E3633)</f>
        <v>9</v>
      </c>
    </row>
    <row r="3634" spans="1:6" x14ac:dyDescent="0.2">
      <c r="A3634">
        <v>2016</v>
      </c>
      <c r="B3634" s="13">
        <v>2289</v>
      </c>
      <c r="C3634" s="90" t="str">
        <f>VLOOKUP(B3634,'All Districts'!$A$3:$B$874,2,FALSE)</f>
        <v>Lakeland</v>
      </c>
      <c r="D3634" s="16">
        <v>8058201</v>
      </c>
      <c r="E3634">
        <f>VLOOKUP(C3634,'All Districts'!$B$3:$C$874,2,FALSE)</f>
        <v>3616620</v>
      </c>
      <c r="F3634" s="91">
        <f>COUNTIF($E$2:$E$7106,E3634)</f>
        <v>9</v>
      </c>
    </row>
    <row r="3635" spans="1:6" x14ac:dyDescent="0.2">
      <c r="A3635">
        <v>2017</v>
      </c>
      <c r="B3635" s="13">
        <v>2289</v>
      </c>
      <c r="C3635" s="90" t="str">
        <f>VLOOKUP(B3635,'All Districts'!$A$3:$B$874,2,FALSE)</f>
        <v>Lakeland</v>
      </c>
      <c r="D3635" s="16">
        <v>7310119</v>
      </c>
      <c r="E3635">
        <f>VLOOKUP(C3635,'All Districts'!$B$3:$C$874,2,FALSE)</f>
        <v>3616620</v>
      </c>
      <c r="F3635" s="91">
        <f>COUNTIF($E$2:$E$7106,E3635)</f>
        <v>9</v>
      </c>
    </row>
    <row r="3636" spans="1:6" x14ac:dyDescent="0.2">
      <c r="A3636" s="10">
        <v>2018</v>
      </c>
      <c r="B3636" s="13">
        <v>2289</v>
      </c>
      <c r="C3636" s="90" t="str">
        <f>VLOOKUP(B3636,'All Districts'!$A$3:$B$874,2,FALSE)</f>
        <v>Lakeland</v>
      </c>
      <c r="D3636" s="15">
        <v>6224275</v>
      </c>
      <c r="E3636">
        <f>VLOOKUP(C3636,'All Districts'!$B$3:$C$874,2,FALSE)</f>
        <v>3616620</v>
      </c>
      <c r="F3636" s="91">
        <f>COUNTIF($E$2:$E$7106,E3636)</f>
        <v>9</v>
      </c>
    </row>
    <row r="3637" spans="1:6" x14ac:dyDescent="0.2">
      <c r="A3637">
        <v>2019</v>
      </c>
      <c r="B3637" s="36">
        <v>2289</v>
      </c>
      <c r="C3637" s="90" t="str">
        <f>VLOOKUP(B3637,'All Districts'!$A$3:$B$874,2,FALSE)</f>
        <v>Lakeland</v>
      </c>
      <c r="D3637" s="40">
        <v>6887284</v>
      </c>
      <c r="E3637">
        <f>VLOOKUP(C3637,'All Districts'!$B$3:$C$874,2,FALSE)</f>
        <v>3616620</v>
      </c>
      <c r="F3637" s="91">
        <f>COUNTIF($E$2:$E$7106,E3637)</f>
        <v>9</v>
      </c>
    </row>
    <row r="3638" spans="1:6" x14ac:dyDescent="0.2">
      <c r="A3638">
        <v>2020</v>
      </c>
      <c r="B3638" s="36">
        <v>2289</v>
      </c>
      <c r="C3638" s="90" t="str">
        <f>VLOOKUP(B3638,'All Districts'!$A$3:$B$874,2,FALSE)</f>
        <v>Lakeland</v>
      </c>
      <c r="D3638" s="40">
        <v>5981209</v>
      </c>
      <c r="E3638">
        <f>VLOOKUP(C3638,'All Districts'!$B$3:$C$874,2,FALSE)</f>
        <v>3616620</v>
      </c>
      <c r="F3638" s="91">
        <f>COUNTIF($E$2:$E$7106,E3638)</f>
        <v>9</v>
      </c>
    </row>
    <row r="3639" spans="1:6" x14ac:dyDescent="0.2">
      <c r="A3639" s="10">
        <v>2021</v>
      </c>
      <c r="B3639" s="52">
        <v>2289</v>
      </c>
      <c r="C3639" s="90" t="str">
        <f>VLOOKUP(B3639,'All Districts'!$A$3:$B$874,2,FALSE)</f>
        <v>Lakeland</v>
      </c>
      <c r="D3639" s="75">
        <v>6558014</v>
      </c>
      <c r="E3639">
        <f>VLOOKUP(C3639,'All Districts'!$B$3:$C$874,2,FALSE)</f>
        <v>3616620</v>
      </c>
      <c r="F3639" s="91">
        <f>COUNTIF($E$2:$E$7106,E3639)</f>
        <v>9</v>
      </c>
    </row>
    <row r="3640" spans="1:6" x14ac:dyDescent="0.2">
      <c r="A3640">
        <v>2022</v>
      </c>
      <c r="B3640" s="36">
        <v>2289</v>
      </c>
      <c r="C3640" s="90" t="str">
        <f>VLOOKUP(B3640,'All Districts'!$A$3:$B$874,2,FALSE)</f>
        <v>Lakeland</v>
      </c>
      <c r="D3640" s="82">
        <v>7093690</v>
      </c>
      <c r="E3640">
        <f>VLOOKUP(C3640,'All Districts'!$B$3:$C$874,2,FALSE)</f>
        <v>3616620</v>
      </c>
      <c r="F3640" s="91">
        <f>COUNTIF($E$2:$E$7106,E3640)</f>
        <v>9</v>
      </c>
    </row>
    <row r="3641" spans="1:6" x14ac:dyDescent="0.2">
      <c r="A3641">
        <v>2023</v>
      </c>
      <c r="B3641" s="36">
        <v>2289</v>
      </c>
      <c r="C3641" s="90" t="str">
        <f>VLOOKUP(B3641,'All Districts'!$A$3:$B$874,2,FALSE)</f>
        <v>Lakeland</v>
      </c>
      <c r="D3641" s="40">
        <v>7659725</v>
      </c>
      <c r="E3641">
        <f>VLOOKUP(C3641,'All Districts'!$B$3:$C$874,2,FALSE)</f>
        <v>3616620</v>
      </c>
      <c r="F3641" s="91">
        <f>COUNTIF($E$2:$E$7106,E3641)</f>
        <v>9</v>
      </c>
    </row>
    <row r="3642" spans="1:6" x14ac:dyDescent="0.2">
      <c r="A3642">
        <v>2015</v>
      </c>
      <c r="B3642" s="13">
        <v>2290</v>
      </c>
      <c r="C3642" s="90" t="str">
        <f>VLOOKUP(B3642,'All Districts'!$A$3:$B$874,2,FALSE)</f>
        <v>Lancaster</v>
      </c>
      <c r="D3642" s="14">
        <v>5641396</v>
      </c>
      <c r="E3642">
        <f>VLOOKUP(C3642,'All Districts'!$B$3:$C$874,2,FALSE)</f>
        <v>3616680</v>
      </c>
      <c r="F3642" s="91">
        <f>COUNTIF($E$2:$E$7106,E3642)</f>
        <v>9</v>
      </c>
    </row>
    <row r="3643" spans="1:6" x14ac:dyDescent="0.2">
      <c r="A3643">
        <v>2016</v>
      </c>
      <c r="B3643" s="13">
        <v>2290</v>
      </c>
      <c r="C3643" s="90" t="str">
        <f>VLOOKUP(B3643,'All Districts'!$A$3:$B$874,2,FALSE)</f>
        <v>Lancaster</v>
      </c>
      <c r="D3643" s="16">
        <v>4442301</v>
      </c>
      <c r="E3643">
        <f>VLOOKUP(C3643,'All Districts'!$B$3:$C$874,2,FALSE)</f>
        <v>3616680</v>
      </c>
      <c r="F3643" s="91">
        <f>COUNTIF($E$2:$E$7106,E3643)</f>
        <v>9</v>
      </c>
    </row>
    <row r="3644" spans="1:6" x14ac:dyDescent="0.2">
      <c r="A3644">
        <v>2017</v>
      </c>
      <c r="B3644" s="13">
        <v>2290</v>
      </c>
      <c r="C3644" s="90" t="str">
        <f>VLOOKUP(B3644,'All Districts'!$A$3:$B$874,2,FALSE)</f>
        <v>Lancaster</v>
      </c>
      <c r="D3644" s="16">
        <v>4061699</v>
      </c>
      <c r="E3644">
        <f>VLOOKUP(C3644,'All Districts'!$B$3:$C$874,2,FALSE)</f>
        <v>3616680</v>
      </c>
      <c r="F3644" s="91">
        <f>COUNTIF($E$2:$E$7106,E3644)</f>
        <v>9</v>
      </c>
    </row>
    <row r="3645" spans="1:6" x14ac:dyDescent="0.2">
      <c r="A3645" s="10">
        <v>2018</v>
      </c>
      <c r="B3645" s="13">
        <v>2290</v>
      </c>
      <c r="C3645" s="90" t="str">
        <f>VLOOKUP(B3645,'All Districts'!$A$3:$B$874,2,FALSE)</f>
        <v>Lancaster</v>
      </c>
      <c r="D3645" s="15">
        <v>3540618</v>
      </c>
      <c r="E3645">
        <f>VLOOKUP(C3645,'All Districts'!$B$3:$C$874,2,FALSE)</f>
        <v>3616680</v>
      </c>
      <c r="F3645" s="91">
        <f>COUNTIF($E$2:$E$7106,E3645)</f>
        <v>9</v>
      </c>
    </row>
    <row r="3646" spans="1:6" x14ac:dyDescent="0.2">
      <c r="A3646">
        <v>2019</v>
      </c>
      <c r="B3646" s="36">
        <v>2290</v>
      </c>
      <c r="C3646" s="90" t="str">
        <f>VLOOKUP(B3646,'All Districts'!$A$3:$B$874,2,FALSE)</f>
        <v>Lancaster</v>
      </c>
      <c r="D3646" s="40">
        <v>4022610</v>
      </c>
      <c r="E3646">
        <f>VLOOKUP(C3646,'All Districts'!$B$3:$C$874,2,FALSE)</f>
        <v>3616680</v>
      </c>
      <c r="F3646" s="91">
        <f>COUNTIF($E$2:$E$7106,E3646)</f>
        <v>9</v>
      </c>
    </row>
    <row r="3647" spans="1:6" x14ac:dyDescent="0.2">
      <c r="A3647">
        <v>2020</v>
      </c>
      <c r="B3647" s="36">
        <v>2290</v>
      </c>
      <c r="C3647" s="90" t="str">
        <f>VLOOKUP(B3647,'All Districts'!$A$3:$B$874,2,FALSE)</f>
        <v>Lancaster</v>
      </c>
      <c r="D3647" s="40">
        <v>3441428</v>
      </c>
      <c r="E3647">
        <f>VLOOKUP(C3647,'All Districts'!$B$3:$C$874,2,FALSE)</f>
        <v>3616680</v>
      </c>
      <c r="F3647" s="91">
        <f>COUNTIF($E$2:$E$7106,E3647)</f>
        <v>9</v>
      </c>
    </row>
    <row r="3648" spans="1:6" x14ac:dyDescent="0.2">
      <c r="A3648" s="10">
        <v>2021</v>
      </c>
      <c r="B3648" s="52">
        <v>2290</v>
      </c>
      <c r="C3648" s="90" t="str">
        <f>VLOOKUP(B3648,'All Districts'!$A$3:$B$874,2,FALSE)</f>
        <v>Lancaster</v>
      </c>
      <c r="D3648" s="76">
        <v>3754145</v>
      </c>
      <c r="E3648">
        <f>VLOOKUP(C3648,'All Districts'!$B$3:$C$874,2,FALSE)</f>
        <v>3616680</v>
      </c>
      <c r="F3648" s="91">
        <f>COUNTIF($E$2:$E$7106,E3648)</f>
        <v>9</v>
      </c>
    </row>
    <row r="3649" spans="1:6" x14ac:dyDescent="0.2">
      <c r="A3649">
        <v>2022</v>
      </c>
      <c r="B3649" s="36">
        <v>2290</v>
      </c>
      <c r="C3649" s="90" t="str">
        <f>VLOOKUP(B3649,'All Districts'!$A$3:$B$874,2,FALSE)</f>
        <v>Lancaster</v>
      </c>
      <c r="D3649" s="82">
        <v>3989743</v>
      </c>
      <c r="E3649">
        <f>VLOOKUP(C3649,'All Districts'!$B$3:$C$874,2,FALSE)</f>
        <v>3616680</v>
      </c>
      <c r="F3649" s="91">
        <f>COUNTIF($E$2:$E$7106,E3649)</f>
        <v>9</v>
      </c>
    </row>
    <row r="3650" spans="1:6" x14ac:dyDescent="0.2">
      <c r="A3650">
        <v>2023</v>
      </c>
      <c r="B3650" s="36">
        <v>2290</v>
      </c>
      <c r="C3650" s="90" t="str">
        <f>VLOOKUP(B3650,'All Districts'!$A$3:$B$874,2,FALSE)</f>
        <v>Lancaster</v>
      </c>
      <c r="D3650" s="40">
        <v>4312505</v>
      </c>
      <c r="E3650">
        <f>VLOOKUP(C3650,'All Districts'!$B$3:$C$874,2,FALSE)</f>
        <v>3616680</v>
      </c>
      <c r="F3650" s="91">
        <f>COUNTIF($E$2:$E$7106,E3650)</f>
        <v>9</v>
      </c>
    </row>
    <row r="3651" spans="1:6" x14ac:dyDescent="0.2">
      <c r="A3651">
        <v>2015</v>
      </c>
      <c r="B3651" s="13">
        <v>5535</v>
      </c>
      <c r="C3651" s="90" t="str">
        <f>VLOOKUP(B3651,'All Districts'!$A$3:$B$874,2,FALSE)</f>
        <v>Lansing</v>
      </c>
      <c r="D3651" s="14">
        <v>1570774</v>
      </c>
      <c r="E3651">
        <f>VLOOKUP(C3651,'All Districts'!$B$3:$C$874,2,FALSE)</f>
        <v>3616710</v>
      </c>
      <c r="F3651" s="91">
        <f>COUNTIF($E$2:$E$7106,E3651)</f>
        <v>9</v>
      </c>
    </row>
    <row r="3652" spans="1:6" x14ac:dyDescent="0.2">
      <c r="A3652">
        <v>2016</v>
      </c>
      <c r="B3652" s="13">
        <v>5535</v>
      </c>
      <c r="C3652" s="90" t="str">
        <f>VLOOKUP(B3652,'All Districts'!$A$3:$B$874,2,FALSE)</f>
        <v>Lansing</v>
      </c>
      <c r="D3652" s="16">
        <v>1232992</v>
      </c>
      <c r="E3652">
        <f>VLOOKUP(C3652,'All Districts'!$B$3:$C$874,2,FALSE)</f>
        <v>3616710</v>
      </c>
      <c r="F3652" s="91">
        <f>COUNTIF($E$2:$E$7106,E3652)</f>
        <v>9</v>
      </c>
    </row>
    <row r="3653" spans="1:6" x14ac:dyDescent="0.2">
      <c r="A3653">
        <v>2017</v>
      </c>
      <c r="B3653" s="13">
        <v>5535</v>
      </c>
      <c r="C3653" s="90" t="str">
        <f>VLOOKUP(B3653,'All Districts'!$A$3:$B$874,2,FALSE)</f>
        <v>Lansing</v>
      </c>
      <c r="D3653" s="16">
        <v>1118540</v>
      </c>
      <c r="E3653">
        <f>VLOOKUP(C3653,'All Districts'!$B$3:$C$874,2,FALSE)</f>
        <v>3616710</v>
      </c>
      <c r="F3653" s="91">
        <f>COUNTIF($E$2:$E$7106,E3653)</f>
        <v>9</v>
      </c>
    </row>
    <row r="3654" spans="1:6" x14ac:dyDescent="0.2">
      <c r="A3654" s="10">
        <v>2018</v>
      </c>
      <c r="B3654" s="13">
        <v>5535</v>
      </c>
      <c r="C3654" s="90" t="str">
        <f>VLOOKUP(B3654,'All Districts'!$A$3:$B$874,2,FALSE)</f>
        <v>Lansing</v>
      </c>
      <c r="D3654" s="15">
        <v>958500</v>
      </c>
      <c r="E3654">
        <f>VLOOKUP(C3654,'All Districts'!$B$3:$C$874,2,FALSE)</f>
        <v>3616710</v>
      </c>
      <c r="F3654" s="91">
        <f>COUNTIF($E$2:$E$7106,E3654)</f>
        <v>9</v>
      </c>
    </row>
    <row r="3655" spans="1:6" x14ac:dyDescent="0.2">
      <c r="A3655">
        <v>2019</v>
      </c>
      <c r="B3655" s="36">
        <v>5535</v>
      </c>
      <c r="C3655" s="90" t="str">
        <f>VLOOKUP(B3655,'All Districts'!$A$3:$B$874,2,FALSE)</f>
        <v>Lansing</v>
      </c>
      <c r="D3655" s="40">
        <v>1066325</v>
      </c>
      <c r="E3655">
        <f>VLOOKUP(C3655,'All Districts'!$B$3:$C$874,2,FALSE)</f>
        <v>3616710</v>
      </c>
      <c r="F3655" s="91">
        <f>COUNTIF($E$2:$E$7106,E3655)</f>
        <v>9</v>
      </c>
    </row>
    <row r="3656" spans="1:6" x14ac:dyDescent="0.2">
      <c r="A3656">
        <v>2020</v>
      </c>
      <c r="B3656" s="36">
        <v>5535</v>
      </c>
      <c r="C3656" s="90" t="str">
        <f>VLOOKUP(B3656,'All Districts'!$A$3:$B$874,2,FALSE)</f>
        <v>Lansing</v>
      </c>
      <c r="D3656" s="40">
        <v>933469</v>
      </c>
      <c r="E3656">
        <f>VLOOKUP(C3656,'All Districts'!$B$3:$C$874,2,FALSE)</f>
        <v>3616710</v>
      </c>
      <c r="F3656" s="91">
        <f>COUNTIF($E$2:$E$7106,E3656)</f>
        <v>9</v>
      </c>
    </row>
    <row r="3657" spans="1:6" x14ac:dyDescent="0.2">
      <c r="A3657" s="10">
        <v>2021</v>
      </c>
      <c r="B3657" s="52">
        <v>5535</v>
      </c>
      <c r="C3657" s="90" t="str">
        <f>VLOOKUP(B3657,'All Districts'!$A$3:$B$874,2,FALSE)</f>
        <v>Lansing</v>
      </c>
      <c r="D3657" s="75">
        <v>979478</v>
      </c>
      <c r="E3657">
        <f>VLOOKUP(C3657,'All Districts'!$B$3:$C$874,2,FALSE)</f>
        <v>3616710</v>
      </c>
      <c r="F3657" s="91">
        <f>COUNTIF($E$2:$E$7106,E3657)</f>
        <v>9</v>
      </c>
    </row>
    <row r="3658" spans="1:6" x14ac:dyDescent="0.2">
      <c r="A3658">
        <v>2022</v>
      </c>
      <c r="B3658" s="36">
        <v>5535</v>
      </c>
      <c r="C3658" s="90" t="str">
        <f>VLOOKUP(B3658,'All Districts'!$A$3:$B$874,2,FALSE)</f>
        <v>Lansing</v>
      </c>
      <c r="D3658" s="82">
        <v>1084023</v>
      </c>
      <c r="E3658">
        <f>VLOOKUP(C3658,'All Districts'!$B$3:$C$874,2,FALSE)</f>
        <v>3616710</v>
      </c>
      <c r="F3658" s="91">
        <f>COUNTIF($E$2:$E$7106,E3658)</f>
        <v>9</v>
      </c>
    </row>
    <row r="3659" spans="1:6" x14ac:dyDescent="0.2">
      <c r="A3659">
        <v>2023</v>
      </c>
      <c r="B3659" s="36">
        <v>5535</v>
      </c>
      <c r="C3659" s="90" t="str">
        <f>VLOOKUP(B3659,'All Districts'!$A$3:$B$874,2,FALSE)</f>
        <v>Lansing</v>
      </c>
      <c r="D3659" s="40">
        <v>1241753</v>
      </c>
      <c r="E3659">
        <f>VLOOKUP(C3659,'All Districts'!$B$3:$C$874,2,FALSE)</f>
        <v>3616710</v>
      </c>
      <c r="F3659" s="91">
        <f>COUNTIF($E$2:$E$7106,E3659)</f>
        <v>9</v>
      </c>
    </row>
    <row r="3660" spans="1:6" x14ac:dyDescent="0.2">
      <c r="A3660">
        <v>2015</v>
      </c>
      <c r="B3660" s="13">
        <v>2295</v>
      </c>
      <c r="C3660" s="90" t="str">
        <f>VLOOKUP(B3660,'All Districts'!$A$3:$B$874,2,FALSE)</f>
        <v>Lansingburgh</v>
      </c>
      <c r="D3660" s="14">
        <v>2587288</v>
      </c>
      <c r="E3660">
        <f>VLOOKUP(C3660,'All Districts'!$B$3:$C$874,2,FALSE)</f>
        <v>3616740</v>
      </c>
      <c r="F3660" s="91">
        <f>COUNTIF($E$2:$E$7106,E3660)</f>
        <v>9</v>
      </c>
    </row>
    <row r="3661" spans="1:6" x14ac:dyDescent="0.2">
      <c r="A3661">
        <v>2016</v>
      </c>
      <c r="B3661" s="13">
        <v>2295</v>
      </c>
      <c r="C3661" s="90" t="str">
        <f>VLOOKUP(B3661,'All Districts'!$A$3:$B$874,2,FALSE)</f>
        <v>Lansingburgh</v>
      </c>
      <c r="D3661" s="16">
        <v>1998474</v>
      </c>
      <c r="E3661">
        <f>VLOOKUP(C3661,'All Districts'!$B$3:$C$874,2,FALSE)</f>
        <v>3616740</v>
      </c>
      <c r="F3661" s="91">
        <f>COUNTIF($E$2:$E$7106,E3661)</f>
        <v>9</v>
      </c>
    </row>
    <row r="3662" spans="1:6" x14ac:dyDescent="0.2">
      <c r="A3662">
        <v>2017</v>
      </c>
      <c r="B3662" s="13">
        <v>2295</v>
      </c>
      <c r="C3662" s="90" t="str">
        <f>VLOOKUP(B3662,'All Districts'!$A$3:$B$874,2,FALSE)</f>
        <v>Lansingburgh</v>
      </c>
      <c r="D3662" s="16">
        <v>1841183</v>
      </c>
      <c r="E3662">
        <f>VLOOKUP(C3662,'All Districts'!$B$3:$C$874,2,FALSE)</f>
        <v>3616740</v>
      </c>
      <c r="F3662" s="91">
        <f>COUNTIF($E$2:$E$7106,E3662)</f>
        <v>9</v>
      </c>
    </row>
    <row r="3663" spans="1:6" x14ac:dyDescent="0.2">
      <c r="A3663" s="10">
        <v>2018</v>
      </c>
      <c r="B3663" s="13">
        <v>2295</v>
      </c>
      <c r="C3663" s="90" t="str">
        <f>VLOOKUP(B3663,'All Districts'!$A$3:$B$874,2,FALSE)</f>
        <v>Lansingburgh</v>
      </c>
      <c r="D3663" s="15">
        <v>1635047</v>
      </c>
      <c r="E3663">
        <f>VLOOKUP(C3663,'All Districts'!$B$3:$C$874,2,FALSE)</f>
        <v>3616740</v>
      </c>
      <c r="F3663" s="91">
        <f>COUNTIF($E$2:$E$7106,E3663)</f>
        <v>9</v>
      </c>
    </row>
    <row r="3664" spans="1:6" x14ac:dyDescent="0.2">
      <c r="A3664">
        <v>2019</v>
      </c>
      <c r="B3664" s="36">
        <v>2295</v>
      </c>
      <c r="C3664" s="90" t="str">
        <f>VLOOKUP(B3664,'All Districts'!$A$3:$B$874,2,FALSE)</f>
        <v>Lansingburgh</v>
      </c>
      <c r="D3664" s="40">
        <v>1915197</v>
      </c>
      <c r="E3664">
        <f>VLOOKUP(C3664,'All Districts'!$B$3:$C$874,2,FALSE)</f>
        <v>3616740</v>
      </c>
      <c r="F3664" s="91">
        <f>COUNTIF($E$2:$E$7106,E3664)</f>
        <v>9</v>
      </c>
    </row>
    <row r="3665" spans="1:6" x14ac:dyDescent="0.2">
      <c r="A3665">
        <v>2020</v>
      </c>
      <c r="B3665" s="36">
        <v>2295</v>
      </c>
      <c r="C3665" s="90" t="str">
        <f>VLOOKUP(B3665,'All Districts'!$A$3:$B$874,2,FALSE)</f>
        <v>Lansingburgh</v>
      </c>
      <c r="D3665" s="40">
        <v>1632443</v>
      </c>
      <c r="E3665">
        <f>VLOOKUP(C3665,'All Districts'!$B$3:$C$874,2,FALSE)</f>
        <v>3616740</v>
      </c>
      <c r="F3665" s="91">
        <f>COUNTIF($E$2:$E$7106,E3665)</f>
        <v>9</v>
      </c>
    </row>
    <row r="3666" spans="1:6" x14ac:dyDescent="0.2">
      <c r="A3666" s="10">
        <v>2021</v>
      </c>
      <c r="B3666" s="52">
        <v>2295</v>
      </c>
      <c r="C3666" s="90" t="str">
        <f>VLOOKUP(B3666,'All Districts'!$A$3:$B$874,2,FALSE)</f>
        <v>Lansingburgh</v>
      </c>
      <c r="D3666" s="76">
        <v>1775305</v>
      </c>
      <c r="E3666">
        <f>VLOOKUP(C3666,'All Districts'!$B$3:$C$874,2,FALSE)</f>
        <v>3616740</v>
      </c>
      <c r="F3666" s="91">
        <f>COUNTIF($E$2:$E$7106,E3666)</f>
        <v>9</v>
      </c>
    </row>
    <row r="3667" spans="1:6" x14ac:dyDescent="0.2">
      <c r="A3667">
        <v>2022</v>
      </c>
      <c r="B3667" s="36">
        <v>2295</v>
      </c>
      <c r="C3667" s="90" t="str">
        <f>VLOOKUP(B3667,'All Districts'!$A$3:$B$874,2,FALSE)</f>
        <v>Lansingburgh</v>
      </c>
      <c r="D3667" s="82">
        <v>2037379</v>
      </c>
      <c r="E3667">
        <f>VLOOKUP(C3667,'All Districts'!$B$3:$C$874,2,FALSE)</f>
        <v>3616740</v>
      </c>
      <c r="F3667" s="91">
        <f>COUNTIF($E$2:$E$7106,E3667)</f>
        <v>9</v>
      </c>
    </row>
    <row r="3668" spans="1:6" x14ac:dyDescent="0.2">
      <c r="A3668">
        <v>2023</v>
      </c>
      <c r="B3668" s="36">
        <v>2295</v>
      </c>
      <c r="C3668" s="90" t="str">
        <f>VLOOKUP(B3668,'All Districts'!$A$3:$B$874,2,FALSE)</f>
        <v>Lansingburgh</v>
      </c>
      <c r="D3668" s="40">
        <v>2449228</v>
      </c>
      <c r="E3668">
        <f>VLOOKUP(C3668,'All Districts'!$B$3:$C$874,2,FALSE)</f>
        <v>3616740</v>
      </c>
      <c r="F3668" s="91">
        <f>COUNTIF($E$2:$E$7106,E3668)</f>
        <v>9</v>
      </c>
    </row>
    <row r="3669" spans="1:6" x14ac:dyDescent="0.2">
      <c r="A3669">
        <v>2015</v>
      </c>
      <c r="B3669" s="13">
        <v>3996</v>
      </c>
      <c r="C3669" s="90" t="str">
        <f>VLOOKUP(B3669,'All Districts'!$A$3:$B$874,2,FALSE)</f>
        <v>Laurens</v>
      </c>
      <c r="D3669" s="14">
        <v>394059</v>
      </c>
      <c r="E3669">
        <f>VLOOKUP(C3669,'All Districts'!$B$3:$C$874,2,FALSE)</f>
        <v>3616800</v>
      </c>
      <c r="F3669" s="91">
        <f>COUNTIF($E$2:$E$7106,E3669)</f>
        <v>9</v>
      </c>
    </row>
    <row r="3670" spans="1:6" x14ac:dyDescent="0.2">
      <c r="A3670">
        <v>2016</v>
      </c>
      <c r="B3670" s="13">
        <v>3996</v>
      </c>
      <c r="C3670" s="90" t="str">
        <f>VLOOKUP(B3670,'All Districts'!$A$3:$B$874,2,FALSE)</f>
        <v>Laurens</v>
      </c>
      <c r="D3670" s="16">
        <v>311937</v>
      </c>
      <c r="E3670">
        <f>VLOOKUP(C3670,'All Districts'!$B$3:$C$874,2,FALSE)</f>
        <v>3616800</v>
      </c>
      <c r="F3670" s="91">
        <f>COUNTIF($E$2:$E$7106,E3670)</f>
        <v>9</v>
      </c>
    </row>
    <row r="3671" spans="1:6" x14ac:dyDescent="0.2">
      <c r="A3671">
        <v>2017</v>
      </c>
      <c r="B3671" s="13">
        <v>3996</v>
      </c>
      <c r="C3671" s="90" t="str">
        <f>VLOOKUP(B3671,'All Districts'!$A$3:$B$874,2,FALSE)</f>
        <v>Laurens</v>
      </c>
      <c r="D3671" s="16">
        <v>277239</v>
      </c>
      <c r="E3671">
        <f>VLOOKUP(C3671,'All Districts'!$B$3:$C$874,2,FALSE)</f>
        <v>3616800</v>
      </c>
      <c r="F3671" s="91">
        <f>COUNTIF($E$2:$E$7106,E3671)</f>
        <v>9</v>
      </c>
    </row>
    <row r="3672" spans="1:6" x14ac:dyDescent="0.2">
      <c r="A3672" s="10">
        <v>2018</v>
      </c>
      <c r="B3672" s="13">
        <v>3996</v>
      </c>
      <c r="C3672" s="90" t="str">
        <f>VLOOKUP(B3672,'All Districts'!$A$3:$B$874,2,FALSE)</f>
        <v>Laurens</v>
      </c>
      <c r="D3672" s="15">
        <v>233603</v>
      </c>
      <c r="E3672">
        <f>VLOOKUP(C3672,'All Districts'!$B$3:$C$874,2,FALSE)</f>
        <v>3616800</v>
      </c>
      <c r="F3672" s="91">
        <f>COUNTIF($E$2:$E$7106,E3672)</f>
        <v>9</v>
      </c>
    </row>
    <row r="3673" spans="1:6" x14ac:dyDescent="0.2">
      <c r="A3673">
        <v>2019</v>
      </c>
      <c r="B3673" s="36">
        <v>3996</v>
      </c>
      <c r="C3673" s="90" t="str">
        <f>VLOOKUP(B3673,'All Districts'!$A$3:$B$874,2,FALSE)</f>
        <v>Laurens</v>
      </c>
      <c r="D3673" s="40">
        <v>259804</v>
      </c>
      <c r="E3673">
        <f>VLOOKUP(C3673,'All Districts'!$B$3:$C$874,2,FALSE)</f>
        <v>3616800</v>
      </c>
      <c r="F3673" s="91">
        <f>COUNTIF($E$2:$E$7106,E3673)</f>
        <v>9</v>
      </c>
    </row>
    <row r="3674" spans="1:6" x14ac:dyDescent="0.2">
      <c r="A3674">
        <v>2020</v>
      </c>
      <c r="B3674" s="36">
        <v>3996</v>
      </c>
      <c r="C3674" s="90" t="str">
        <f>VLOOKUP(B3674,'All Districts'!$A$3:$B$874,2,FALSE)</f>
        <v>Laurens</v>
      </c>
      <c r="D3674" s="40">
        <v>221748</v>
      </c>
      <c r="E3674">
        <f>VLOOKUP(C3674,'All Districts'!$B$3:$C$874,2,FALSE)</f>
        <v>3616800</v>
      </c>
      <c r="F3674" s="91">
        <f>COUNTIF($E$2:$E$7106,E3674)</f>
        <v>9</v>
      </c>
    </row>
    <row r="3675" spans="1:6" x14ac:dyDescent="0.2">
      <c r="A3675" s="10">
        <v>2021</v>
      </c>
      <c r="B3675" s="71">
        <v>3996</v>
      </c>
      <c r="C3675" s="90" t="str">
        <f>VLOOKUP(B3675,'All Districts'!$A$3:$B$874,2,FALSE)</f>
        <v>Laurens</v>
      </c>
      <c r="D3675" s="80">
        <v>221078</v>
      </c>
      <c r="E3675">
        <f>VLOOKUP(C3675,'All Districts'!$B$3:$C$874,2,FALSE)</f>
        <v>3616800</v>
      </c>
      <c r="F3675" s="91">
        <f>COUNTIF($E$2:$E$7106,E3675)</f>
        <v>9</v>
      </c>
    </row>
    <row r="3676" spans="1:6" x14ac:dyDescent="0.2">
      <c r="A3676">
        <v>2022</v>
      </c>
      <c r="B3676" s="36">
        <v>3996</v>
      </c>
      <c r="C3676" s="90" t="str">
        <f>VLOOKUP(B3676,'All Districts'!$A$3:$B$874,2,FALSE)</f>
        <v>Laurens</v>
      </c>
      <c r="D3676" s="82">
        <v>231048</v>
      </c>
      <c r="E3676">
        <f>VLOOKUP(C3676,'All Districts'!$B$3:$C$874,2,FALSE)</f>
        <v>3616800</v>
      </c>
      <c r="F3676" s="91">
        <f>COUNTIF($E$2:$E$7106,E3676)</f>
        <v>9</v>
      </c>
    </row>
    <row r="3677" spans="1:6" x14ac:dyDescent="0.2">
      <c r="A3677">
        <v>2023</v>
      </c>
      <c r="B3677" s="36">
        <v>3996</v>
      </c>
      <c r="C3677" s="90" t="str">
        <f>VLOOKUP(B3677,'All Districts'!$A$3:$B$874,2,FALSE)</f>
        <v>Laurens</v>
      </c>
      <c r="D3677" s="40">
        <v>250351</v>
      </c>
      <c r="E3677">
        <f>VLOOKUP(C3677,'All Districts'!$B$3:$C$874,2,FALSE)</f>
        <v>3616800</v>
      </c>
      <c r="F3677" s="91">
        <f>COUNTIF($E$2:$E$7106,E3677)</f>
        <v>9</v>
      </c>
    </row>
    <row r="3678" spans="1:6" x14ac:dyDescent="0.2">
      <c r="A3678">
        <v>2015</v>
      </c>
      <c r="B3678" s="13">
        <v>2300</v>
      </c>
      <c r="C3678" s="90" t="str">
        <f>VLOOKUP(B3678,'All Districts'!$A$3:$B$874,2,FALSE)</f>
        <v>Lawrence</v>
      </c>
      <c r="D3678" s="14">
        <v>6487620</v>
      </c>
      <c r="E3678">
        <f>VLOOKUP(C3678,'All Districts'!$B$3:$C$874,2,FALSE)</f>
        <v>3616830</v>
      </c>
      <c r="F3678" s="91">
        <f>COUNTIF($E$2:$E$7106,E3678)</f>
        <v>9</v>
      </c>
    </row>
    <row r="3679" spans="1:6" x14ac:dyDescent="0.2">
      <c r="A3679">
        <v>2016</v>
      </c>
      <c r="B3679" s="13">
        <v>2300</v>
      </c>
      <c r="C3679" s="90" t="str">
        <f>VLOOKUP(B3679,'All Districts'!$A$3:$B$874,2,FALSE)</f>
        <v>Lawrence</v>
      </c>
      <c r="D3679" s="16">
        <v>4819499</v>
      </c>
      <c r="E3679">
        <f>VLOOKUP(C3679,'All Districts'!$B$3:$C$874,2,FALSE)</f>
        <v>3616830</v>
      </c>
      <c r="F3679" s="91">
        <f>COUNTIF($E$2:$E$7106,E3679)</f>
        <v>9</v>
      </c>
    </row>
    <row r="3680" spans="1:6" x14ac:dyDescent="0.2">
      <c r="A3680">
        <v>2017</v>
      </c>
      <c r="B3680" s="13">
        <v>2300</v>
      </c>
      <c r="C3680" s="90" t="str">
        <f>VLOOKUP(B3680,'All Districts'!$A$3:$B$874,2,FALSE)</f>
        <v>Lawrence</v>
      </c>
      <c r="D3680" s="16">
        <v>4131134</v>
      </c>
      <c r="E3680">
        <f>VLOOKUP(C3680,'All Districts'!$B$3:$C$874,2,FALSE)</f>
        <v>3616830</v>
      </c>
      <c r="F3680" s="91">
        <f>COUNTIF($E$2:$E$7106,E3680)</f>
        <v>9</v>
      </c>
    </row>
    <row r="3681" spans="1:6" x14ac:dyDescent="0.2">
      <c r="A3681" s="10">
        <v>2018</v>
      </c>
      <c r="B3681" s="13">
        <v>2300</v>
      </c>
      <c r="C3681" s="90" t="str">
        <f>VLOOKUP(B3681,'All Districts'!$A$3:$B$874,2,FALSE)</f>
        <v>Lawrence</v>
      </c>
      <c r="D3681" s="15">
        <v>3452060</v>
      </c>
      <c r="E3681">
        <f>VLOOKUP(C3681,'All Districts'!$B$3:$C$874,2,FALSE)</f>
        <v>3616830</v>
      </c>
      <c r="F3681" s="91">
        <f>COUNTIF($E$2:$E$7106,E3681)</f>
        <v>9</v>
      </c>
    </row>
    <row r="3682" spans="1:6" x14ac:dyDescent="0.2">
      <c r="A3682">
        <v>2019</v>
      </c>
      <c r="B3682" s="36">
        <v>2300</v>
      </c>
      <c r="C3682" s="90" t="str">
        <f>VLOOKUP(B3682,'All Districts'!$A$3:$B$874,2,FALSE)</f>
        <v>Lawrence</v>
      </c>
      <c r="D3682" s="40">
        <v>3662817</v>
      </c>
      <c r="E3682">
        <f>VLOOKUP(C3682,'All Districts'!$B$3:$C$874,2,FALSE)</f>
        <v>3616830</v>
      </c>
      <c r="F3682" s="91">
        <f>COUNTIF($E$2:$E$7106,E3682)</f>
        <v>9</v>
      </c>
    </row>
    <row r="3683" spans="1:6" x14ac:dyDescent="0.2">
      <c r="A3683">
        <v>2020</v>
      </c>
      <c r="B3683" s="36">
        <v>2300</v>
      </c>
      <c r="C3683" s="90" t="str">
        <f>VLOOKUP(B3683,'All Districts'!$A$3:$B$874,2,FALSE)</f>
        <v>Lawrence</v>
      </c>
      <c r="D3683" s="40">
        <v>2979963</v>
      </c>
      <c r="E3683">
        <f>VLOOKUP(C3683,'All Districts'!$B$3:$C$874,2,FALSE)</f>
        <v>3616830</v>
      </c>
      <c r="F3683" s="91">
        <f>COUNTIF($E$2:$E$7106,E3683)</f>
        <v>9</v>
      </c>
    </row>
    <row r="3684" spans="1:6" x14ac:dyDescent="0.2">
      <c r="A3684" s="10">
        <v>2021</v>
      </c>
      <c r="B3684" s="52">
        <v>2300</v>
      </c>
      <c r="C3684" s="90" t="str">
        <f>VLOOKUP(B3684,'All Districts'!$A$3:$B$874,2,FALSE)</f>
        <v>Lawrence</v>
      </c>
      <c r="D3684" s="75">
        <v>2998712</v>
      </c>
      <c r="E3684">
        <f>VLOOKUP(C3684,'All Districts'!$B$3:$C$874,2,FALSE)</f>
        <v>3616830</v>
      </c>
      <c r="F3684" s="91">
        <f>COUNTIF($E$2:$E$7106,E3684)</f>
        <v>9</v>
      </c>
    </row>
    <row r="3685" spans="1:6" x14ac:dyDescent="0.2">
      <c r="A3685">
        <v>2022</v>
      </c>
      <c r="B3685" s="36">
        <v>2300</v>
      </c>
      <c r="C3685" s="90" t="str">
        <f>VLOOKUP(B3685,'All Districts'!$A$3:$B$874,2,FALSE)</f>
        <v>Lawrence</v>
      </c>
      <c r="D3685" s="82">
        <v>3064651</v>
      </c>
      <c r="E3685">
        <f>VLOOKUP(C3685,'All Districts'!$B$3:$C$874,2,FALSE)</f>
        <v>3616830</v>
      </c>
      <c r="F3685" s="91">
        <f>COUNTIF($E$2:$E$7106,E3685)</f>
        <v>9</v>
      </c>
    </row>
    <row r="3686" spans="1:6" x14ac:dyDescent="0.2">
      <c r="A3686">
        <v>2023</v>
      </c>
      <c r="B3686" s="36">
        <v>2300</v>
      </c>
      <c r="C3686" s="90" t="str">
        <f>VLOOKUP(B3686,'All Districts'!$A$3:$B$874,2,FALSE)</f>
        <v>Lawrence</v>
      </c>
      <c r="D3686" s="40">
        <v>3145613</v>
      </c>
      <c r="E3686">
        <f>VLOOKUP(C3686,'All Districts'!$B$3:$C$874,2,FALSE)</f>
        <v>3616830</v>
      </c>
      <c r="F3686" s="91">
        <f>COUNTIF($E$2:$E$7106,E3686)</f>
        <v>9</v>
      </c>
    </row>
    <row r="3687" spans="1:6" x14ac:dyDescent="0.2">
      <c r="A3687">
        <v>2015</v>
      </c>
      <c r="B3687" s="13">
        <v>2305</v>
      </c>
      <c r="C3687" s="90" t="str">
        <f>VLOOKUP(B3687,'All Districts'!$A$3:$B$874,2,FALSE)</f>
        <v>Le Roy</v>
      </c>
      <c r="D3687" s="14">
        <v>1364678</v>
      </c>
      <c r="E3687">
        <f>VLOOKUP(C3687,'All Districts'!$B$3:$C$874,2,FALSE)</f>
        <v>3616950</v>
      </c>
      <c r="F3687" s="91">
        <f>COUNTIF($E$2:$E$7106,E3687)</f>
        <v>9</v>
      </c>
    </row>
    <row r="3688" spans="1:6" x14ac:dyDescent="0.2">
      <c r="A3688">
        <v>2016</v>
      </c>
      <c r="B3688" s="13">
        <v>2305</v>
      </c>
      <c r="C3688" s="90" t="str">
        <f>VLOOKUP(B3688,'All Districts'!$A$3:$B$874,2,FALSE)</f>
        <v>Le Roy</v>
      </c>
      <c r="D3688" s="16">
        <v>1090822</v>
      </c>
      <c r="E3688">
        <f>VLOOKUP(C3688,'All Districts'!$B$3:$C$874,2,FALSE)</f>
        <v>3616950</v>
      </c>
      <c r="F3688" s="91">
        <f>COUNTIF($E$2:$E$7106,E3688)</f>
        <v>9</v>
      </c>
    </row>
    <row r="3689" spans="1:6" x14ac:dyDescent="0.2">
      <c r="A3689">
        <v>2017</v>
      </c>
      <c r="B3689" s="13">
        <v>2305</v>
      </c>
      <c r="C3689" s="90" t="str">
        <f>VLOOKUP(B3689,'All Districts'!$A$3:$B$874,2,FALSE)</f>
        <v>Le Roy</v>
      </c>
      <c r="D3689" s="16">
        <v>985910</v>
      </c>
      <c r="E3689">
        <f>VLOOKUP(C3689,'All Districts'!$B$3:$C$874,2,FALSE)</f>
        <v>3616950</v>
      </c>
      <c r="F3689" s="91">
        <f>COUNTIF($E$2:$E$7106,E3689)</f>
        <v>9</v>
      </c>
    </row>
    <row r="3690" spans="1:6" x14ac:dyDescent="0.2">
      <c r="A3690" s="10">
        <v>2018</v>
      </c>
      <c r="B3690" s="13">
        <v>2305</v>
      </c>
      <c r="C3690" s="90" t="str">
        <f>VLOOKUP(B3690,'All Districts'!$A$3:$B$874,2,FALSE)</f>
        <v>Le Roy</v>
      </c>
      <c r="D3690" s="15">
        <v>838204</v>
      </c>
      <c r="E3690">
        <f>VLOOKUP(C3690,'All Districts'!$B$3:$C$874,2,FALSE)</f>
        <v>3616950</v>
      </c>
      <c r="F3690" s="91">
        <f>COUNTIF($E$2:$E$7106,E3690)</f>
        <v>9</v>
      </c>
    </row>
    <row r="3691" spans="1:6" x14ac:dyDescent="0.2">
      <c r="A3691">
        <v>2019</v>
      </c>
      <c r="B3691" s="36">
        <v>2305</v>
      </c>
      <c r="C3691" s="90" t="str">
        <f>VLOOKUP(B3691,'All Districts'!$A$3:$B$874,2,FALSE)</f>
        <v>Le Roy</v>
      </c>
      <c r="D3691" s="40">
        <v>942732</v>
      </c>
      <c r="E3691">
        <f>VLOOKUP(C3691,'All Districts'!$B$3:$C$874,2,FALSE)</f>
        <v>3616950</v>
      </c>
      <c r="F3691" s="91">
        <f>COUNTIF($E$2:$E$7106,E3691)</f>
        <v>9</v>
      </c>
    </row>
    <row r="3692" spans="1:6" x14ac:dyDescent="0.2">
      <c r="A3692">
        <v>2020</v>
      </c>
      <c r="B3692" s="36">
        <v>2305</v>
      </c>
      <c r="C3692" s="90" t="str">
        <f>VLOOKUP(B3692,'All Districts'!$A$3:$B$874,2,FALSE)</f>
        <v>Le Roy</v>
      </c>
      <c r="D3692" s="40">
        <v>807603</v>
      </c>
      <c r="E3692">
        <f>VLOOKUP(C3692,'All Districts'!$B$3:$C$874,2,FALSE)</f>
        <v>3616950</v>
      </c>
      <c r="F3692" s="91">
        <f>COUNTIF($E$2:$E$7106,E3692)</f>
        <v>9</v>
      </c>
    </row>
    <row r="3693" spans="1:6" x14ac:dyDescent="0.2">
      <c r="A3693" s="10">
        <v>2021</v>
      </c>
      <c r="B3693" s="52">
        <v>2305</v>
      </c>
      <c r="C3693" s="90" t="str">
        <f>VLOOKUP(B3693,'All Districts'!$A$3:$B$874,2,FALSE)</f>
        <v>Le Roy</v>
      </c>
      <c r="D3693" s="76">
        <v>858769</v>
      </c>
      <c r="E3693">
        <f>VLOOKUP(C3693,'All Districts'!$B$3:$C$874,2,FALSE)</f>
        <v>3616950</v>
      </c>
      <c r="F3693" s="91">
        <f>COUNTIF($E$2:$E$7106,E3693)</f>
        <v>9</v>
      </c>
    </row>
    <row r="3694" spans="1:6" x14ac:dyDescent="0.2">
      <c r="A3694">
        <v>2022</v>
      </c>
      <c r="B3694" s="36">
        <v>2305</v>
      </c>
      <c r="C3694" s="90" t="str">
        <f>VLOOKUP(B3694,'All Districts'!$A$3:$B$874,2,FALSE)</f>
        <v>Le Roy</v>
      </c>
      <c r="D3694" s="82">
        <v>946424</v>
      </c>
      <c r="E3694">
        <f>VLOOKUP(C3694,'All Districts'!$B$3:$C$874,2,FALSE)</f>
        <v>3616950</v>
      </c>
      <c r="F3694" s="91">
        <f>COUNTIF($E$2:$E$7106,E3694)</f>
        <v>9</v>
      </c>
    </row>
    <row r="3695" spans="1:6" x14ac:dyDescent="0.2">
      <c r="A3695">
        <v>2023</v>
      </c>
      <c r="B3695" s="36">
        <v>2305</v>
      </c>
      <c r="C3695" s="90" t="str">
        <f>VLOOKUP(B3695,'All Districts'!$A$3:$B$874,2,FALSE)</f>
        <v>Le Roy</v>
      </c>
      <c r="D3695" s="40">
        <v>1019454</v>
      </c>
      <c r="E3695">
        <f>VLOOKUP(C3695,'All Districts'!$B$3:$C$874,2,FALSE)</f>
        <v>3616950</v>
      </c>
      <c r="F3695" s="91">
        <f>COUNTIF($E$2:$E$7106,E3695)</f>
        <v>9</v>
      </c>
    </row>
    <row r="3696" spans="1:6" x14ac:dyDescent="0.2">
      <c r="A3696">
        <v>2015</v>
      </c>
      <c r="B3696" s="13">
        <v>4183</v>
      </c>
      <c r="C3696" s="90" t="str">
        <f>VLOOKUP(B3696,'All Districts'!$A$3:$B$874,2,FALSE)</f>
        <v>Letchworth</v>
      </c>
      <c r="D3696" s="14">
        <v>1111042</v>
      </c>
      <c r="E3696">
        <f>VLOOKUP(C3696,'All Districts'!$B$3:$C$874,2,FALSE)</f>
        <v>3617130</v>
      </c>
      <c r="F3696" s="91">
        <f>COUNTIF($E$2:$E$7106,E3696)</f>
        <v>9</v>
      </c>
    </row>
    <row r="3697" spans="1:6" x14ac:dyDescent="0.2">
      <c r="A3697">
        <v>2016</v>
      </c>
      <c r="B3697" s="13">
        <v>4183</v>
      </c>
      <c r="C3697" s="90" t="str">
        <f>VLOOKUP(B3697,'All Districts'!$A$3:$B$874,2,FALSE)</f>
        <v>Letchworth</v>
      </c>
      <c r="D3697" s="16">
        <v>863934</v>
      </c>
      <c r="E3697">
        <f>VLOOKUP(C3697,'All Districts'!$B$3:$C$874,2,FALSE)</f>
        <v>3617130</v>
      </c>
      <c r="F3697" s="91">
        <f>COUNTIF($E$2:$E$7106,E3697)</f>
        <v>9</v>
      </c>
    </row>
    <row r="3698" spans="1:6" x14ac:dyDescent="0.2">
      <c r="A3698">
        <v>2017</v>
      </c>
      <c r="B3698" s="13">
        <v>4183</v>
      </c>
      <c r="C3698" s="90" t="str">
        <f>VLOOKUP(B3698,'All Districts'!$A$3:$B$874,2,FALSE)</f>
        <v>Letchworth</v>
      </c>
      <c r="D3698" s="16">
        <v>787171</v>
      </c>
      <c r="E3698">
        <f>VLOOKUP(C3698,'All Districts'!$B$3:$C$874,2,FALSE)</f>
        <v>3617130</v>
      </c>
      <c r="F3698" s="91">
        <f>COUNTIF($E$2:$E$7106,E3698)</f>
        <v>9</v>
      </c>
    </row>
    <row r="3699" spans="1:6" x14ac:dyDescent="0.2">
      <c r="A3699" s="10">
        <v>2018</v>
      </c>
      <c r="B3699" s="13">
        <v>4183</v>
      </c>
      <c r="C3699" s="90" t="str">
        <f>VLOOKUP(B3699,'All Districts'!$A$3:$B$874,2,FALSE)</f>
        <v>Letchworth</v>
      </c>
      <c r="D3699" s="15">
        <v>669739</v>
      </c>
      <c r="E3699">
        <f>VLOOKUP(C3699,'All Districts'!$B$3:$C$874,2,FALSE)</f>
        <v>3617130</v>
      </c>
      <c r="F3699" s="91">
        <f>COUNTIF($E$2:$E$7106,E3699)</f>
        <v>9</v>
      </c>
    </row>
    <row r="3700" spans="1:6" x14ac:dyDescent="0.2">
      <c r="A3700">
        <v>2019</v>
      </c>
      <c r="B3700" s="36">
        <v>4183</v>
      </c>
      <c r="C3700" s="90" t="str">
        <f>VLOOKUP(B3700,'All Districts'!$A$3:$B$874,2,FALSE)</f>
        <v>Letchworth</v>
      </c>
      <c r="D3700" s="40">
        <v>736874</v>
      </c>
      <c r="E3700">
        <f>VLOOKUP(C3700,'All Districts'!$B$3:$C$874,2,FALSE)</f>
        <v>3617130</v>
      </c>
      <c r="F3700" s="91">
        <f>COUNTIF($E$2:$E$7106,E3700)</f>
        <v>9</v>
      </c>
    </row>
    <row r="3701" spans="1:6" x14ac:dyDescent="0.2">
      <c r="A3701">
        <v>2020</v>
      </c>
      <c r="B3701" s="36">
        <v>4183</v>
      </c>
      <c r="C3701" s="90" t="str">
        <f>VLOOKUP(B3701,'All Districts'!$A$3:$B$874,2,FALSE)</f>
        <v>Letchworth</v>
      </c>
      <c r="D3701" s="40">
        <v>635630</v>
      </c>
      <c r="E3701">
        <f>VLOOKUP(C3701,'All Districts'!$B$3:$C$874,2,FALSE)</f>
        <v>3617130</v>
      </c>
      <c r="F3701" s="91">
        <f>COUNTIF($E$2:$E$7106,E3701)</f>
        <v>9</v>
      </c>
    </row>
    <row r="3702" spans="1:6" x14ac:dyDescent="0.2">
      <c r="A3702" s="10">
        <v>2021</v>
      </c>
      <c r="B3702" s="52">
        <v>4183</v>
      </c>
      <c r="C3702" s="90" t="str">
        <f>VLOOKUP(B3702,'All Districts'!$A$3:$B$874,2,FALSE)</f>
        <v>Letchworth</v>
      </c>
      <c r="D3702" s="75">
        <v>682432</v>
      </c>
      <c r="E3702">
        <f>VLOOKUP(C3702,'All Districts'!$B$3:$C$874,2,FALSE)</f>
        <v>3617130</v>
      </c>
      <c r="F3702" s="91">
        <f>COUNTIF($E$2:$E$7106,E3702)</f>
        <v>9</v>
      </c>
    </row>
    <row r="3703" spans="1:6" x14ac:dyDescent="0.2">
      <c r="A3703">
        <v>2022</v>
      </c>
      <c r="B3703" s="36">
        <v>4183</v>
      </c>
      <c r="C3703" s="90" t="str">
        <f>VLOOKUP(B3703,'All Districts'!$A$3:$B$874,2,FALSE)</f>
        <v>Letchworth</v>
      </c>
      <c r="D3703" s="82">
        <v>717458</v>
      </c>
      <c r="E3703">
        <f>VLOOKUP(C3703,'All Districts'!$B$3:$C$874,2,FALSE)</f>
        <v>3617130</v>
      </c>
      <c r="F3703" s="91">
        <f>COUNTIF($E$2:$E$7106,E3703)</f>
        <v>9</v>
      </c>
    </row>
    <row r="3704" spans="1:6" x14ac:dyDescent="0.2">
      <c r="A3704">
        <v>2023</v>
      </c>
      <c r="B3704" s="36">
        <v>4183</v>
      </c>
      <c r="C3704" s="90" t="str">
        <f>VLOOKUP(B3704,'All Districts'!$A$3:$B$874,2,FALSE)</f>
        <v>Letchworth</v>
      </c>
      <c r="D3704" s="40">
        <v>751889</v>
      </c>
      <c r="E3704">
        <f>VLOOKUP(C3704,'All Districts'!$B$3:$C$874,2,FALSE)</f>
        <v>3617130</v>
      </c>
      <c r="F3704" s="91">
        <f>COUNTIF($E$2:$E$7106,E3704)</f>
        <v>9</v>
      </c>
    </row>
    <row r="3705" spans="1:6" x14ac:dyDescent="0.2">
      <c r="A3705">
        <v>2015</v>
      </c>
      <c r="B3705" s="13">
        <v>2310</v>
      </c>
      <c r="C3705" s="90" t="str">
        <f>VLOOKUP(B3705,'All Districts'!$A$3:$B$874,2,FALSE)</f>
        <v>Levittown</v>
      </c>
      <c r="D3705" s="14">
        <v>15939033</v>
      </c>
      <c r="E3705">
        <f>VLOOKUP(C3705,'All Districts'!$B$3:$C$874,2,FALSE)</f>
        <v>3617160</v>
      </c>
      <c r="F3705" s="91">
        <f>COUNTIF($E$2:$E$7106,E3705)</f>
        <v>9</v>
      </c>
    </row>
    <row r="3706" spans="1:6" x14ac:dyDescent="0.2">
      <c r="A3706">
        <v>2016</v>
      </c>
      <c r="B3706" s="13">
        <v>2310</v>
      </c>
      <c r="C3706" s="90" t="str">
        <f>VLOOKUP(B3706,'All Districts'!$A$3:$B$874,2,FALSE)</f>
        <v>Levittown</v>
      </c>
      <c r="D3706" s="16">
        <v>12275702</v>
      </c>
      <c r="E3706">
        <f>VLOOKUP(C3706,'All Districts'!$B$3:$C$874,2,FALSE)</f>
        <v>3617160</v>
      </c>
      <c r="F3706" s="91">
        <f>COUNTIF($E$2:$E$7106,E3706)</f>
        <v>9</v>
      </c>
    </row>
    <row r="3707" spans="1:6" x14ac:dyDescent="0.2">
      <c r="A3707">
        <v>2017</v>
      </c>
      <c r="B3707" s="13">
        <v>2310</v>
      </c>
      <c r="C3707" s="90" t="str">
        <f>VLOOKUP(B3707,'All Districts'!$A$3:$B$874,2,FALSE)</f>
        <v>Levittown</v>
      </c>
      <c r="D3707" s="16">
        <v>11001206</v>
      </c>
      <c r="E3707">
        <f>VLOOKUP(C3707,'All Districts'!$B$3:$C$874,2,FALSE)</f>
        <v>3617160</v>
      </c>
      <c r="F3707" s="91">
        <f>COUNTIF($E$2:$E$7106,E3707)</f>
        <v>9</v>
      </c>
    </row>
    <row r="3708" spans="1:6" x14ac:dyDescent="0.2">
      <c r="A3708" s="10">
        <v>2018</v>
      </c>
      <c r="B3708" s="13">
        <v>2310</v>
      </c>
      <c r="C3708" s="90" t="str">
        <f>VLOOKUP(B3708,'All Districts'!$A$3:$B$874,2,FALSE)</f>
        <v>Levittown</v>
      </c>
      <c r="D3708" s="15">
        <v>9282646</v>
      </c>
      <c r="E3708">
        <f>VLOOKUP(C3708,'All Districts'!$B$3:$C$874,2,FALSE)</f>
        <v>3617160</v>
      </c>
      <c r="F3708" s="91">
        <f>COUNTIF($E$2:$E$7106,E3708)</f>
        <v>9</v>
      </c>
    </row>
    <row r="3709" spans="1:6" x14ac:dyDescent="0.2">
      <c r="A3709">
        <v>2019</v>
      </c>
      <c r="B3709" s="36">
        <v>2310</v>
      </c>
      <c r="C3709" s="90" t="str">
        <f>VLOOKUP(B3709,'All Districts'!$A$3:$B$874,2,FALSE)</f>
        <v>Levittown</v>
      </c>
      <c r="D3709" s="40">
        <v>10143127</v>
      </c>
      <c r="E3709">
        <f>VLOOKUP(C3709,'All Districts'!$B$3:$C$874,2,FALSE)</f>
        <v>3617160</v>
      </c>
      <c r="F3709" s="91">
        <f>COUNTIF($E$2:$E$7106,E3709)</f>
        <v>9</v>
      </c>
    </row>
    <row r="3710" spans="1:6" x14ac:dyDescent="0.2">
      <c r="A3710">
        <v>2020</v>
      </c>
      <c r="B3710" s="36">
        <v>2310</v>
      </c>
      <c r="C3710" s="90" t="str">
        <f>VLOOKUP(B3710,'All Districts'!$A$3:$B$874,2,FALSE)</f>
        <v>Levittown</v>
      </c>
      <c r="D3710" s="40">
        <v>8443927</v>
      </c>
      <c r="E3710">
        <f>VLOOKUP(C3710,'All Districts'!$B$3:$C$874,2,FALSE)</f>
        <v>3617160</v>
      </c>
      <c r="F3710" s="91">
        <f>COUNTIF($E$2:$E$7106,E3710)</f>
        <v>9</v>
      </c>
    </row>
    <row r="3711" spans="1:6" x14ac:dyDescent="0.2">
      <c r="A3711" s="10">
        <v>2021</v>
      </c>
      <c r="B3711" s="55">
        <v>2310</v>
      </c>
      <c r="C3711" s="90" t="str">
        <f>VLOOKUP(B3711,'All Districts'!$A$3:$B$874,2,FALSE)</f>
        <v>Levittown</v>
      </c>
      <c r="D3711" s="76">
        <v>8911786</v>
      </c>
      <c r="E3711">
        <f>VLOOKUP(C3711,'All Districts'!$B$3:$C$874,2,FALSE)</f>
        <v>3617160</v>
      </c>
      <c r="F3711" s="91">
        <f>COUNTIF($E$2:$E$7106,E3711)</f>
        <v>9</v>
      </c>
    </row>
    <row r="3712" spans="1:6" x14ac:dyDescent="0.2">
      <c r="A3712">
        <v>2022</v>
      </c>
      <c r="B3712" s="36">
        <v>2310</v>
      </c>
      <c r="C3712" s="90" t="str">
        <f>VLOOKUP(B3712,'All Districts'!$A$3:$B$874,2,FALSE)</f>
        <v>Levittown</v>
      </c>
      <c r="D3712" s="82">
        <v>9102219</v>
      </c>
      <c r="E3712">
        <f>VLOOKUP(C3712,'All Districts'!$B$3:$C$874,2,FALSE)</f>
        <v>3617160</v>
      </c>
      <c r="F3712" s="91">
        <f>COUNTIF($E$2:$E$7106,E3712)</f>
        <v>9</v>
      </c>
    </row>
    <row r="3713" spans="1:6" x14ac:dyDescent="0.2">
      <c r="A3713">
        <v>2023</v>
      </c>
      <c r="B3713" s="36">
        <v>2310</v>
      </c>
      <c r="C3713" s="90" t="str">
        <f>VLOOKUP(B3713,'All Districts'!$A$3:$B$874,2,FALSE)</f>
        <v>Levittown</v>
      </c>
      <c r="D3713" s="40">
        <v>9982446</v>
      </c>
      <c r="E3713">
        <f>VLOOKUP(C3713,'All Districts'!$B$3:$C$874,2,FALSE)</f>
        <v>3617160</v>
      </c>
      <c r="F3713" s="91">
        <f>COUNTIF($E$2:$E$7106,E3713)</f>
        <v>9</v>
      </c>
    </row>
    <row r="3714" spans="1:6" x14ac:dyDescent="0.2">
      <c r="A3714">
        <v>2015</v>
      </c>
      <c r="B3714" s="13">
        <v>2315</v>
      </c>
      <c r="C3714" s="90" t="str">
        <f>VLOOKUP(B3714,'All Districts'!$A$3:$B$874,2,FALSE)</f>
        <v>Lewiston-Porter</v>
      </c>
      <c r="D3714" s="14">
        <v>2567141</v>
      </c>
      <c r="E3714">
        <f>VLOOKUP(C3714,'All Districts'!$B$3:$C$874,2,FALSE)</f>
        <v>3617190</v>
      </c>
      <c r="F3714" s="91">
        <f>COUNTIF($E$2:$E$7106,E3714)</f>
        <v>9</v>
      </c>
    </row>
    <row r="3715" spans="1:6" x14ac:dyDescent="0.2">
      <c r="A3715">
        <v>2016</v>
      </c>
      <c r="B3715" s="13">
        <v>2315</v>
      </c>
      <c r="C3715" s="90" t="str">
        <f>VLOOKUP(B3715,'All Districts'!$A$3:$B$874,2,FALSE)</f>
        <v>Lewiston-Porter</v>
      </c>
      <c r="D3715" s="16">
        <v>1942902</v>
      </c>
      <c r="E3715">
        <f>VLOOKUP(C3715,'All Districts'!$B$3:$C$874,2,FALSE)</f>
        <v>3617190</v>
      </c>
      <c r="F3715" s="91">
        <f>COUNTIF($E$2:$E$7106,E3715)</f>
        <v>9</v>
      </c>
    </row>
    <row r="3716" spans="1:6" x14ac:dyDescent="0.2">
      <c r="A3716">
        <v>2017</v>
      </c>
      <c r="B3716" s="13">
        <v>2315</v>
      </c>
      <c r="C3716" s="90" t="str">
        <f>VLOOKUP(B3716,'All Districts'!$A$3:$B$874,2,FALSE)</f>
        <v>Lewiston-Porter</v>
      </c>
      <c r="D3716" s="16">
        <v>1776333</v>
      </c>
      <c r="E3716">
        <f>VLOOKUP(C3716,'All Districts'!$B$3:$C$874,2,FALSE)</f>
        <v>3617190</v>
      </c>
      <c r="F3716" s="91">
        <f>COUNTIF($E$2:$E$7106,E3716)</f>
        <v>9</v>
      </c>
    </row>
    <row r="3717" spans="1:6" x14ac:dyDescent="0.2">
      <c r="A3717" s="10">
        <v>2018</v>
      </c>
      <c r="B3717" s="13">
        <v>2315</v>
      </c>
      <c r="C3717" s="90" t="str">
        <f>VLOOKUP(B3717,'All Districts'!$A$3:$B$874,2,FALSE)</f>
        <v>Lewiston-Porter</v>
      </c>
      <c r="D3717" s="15">
        <v>1591604</v>
      </c>
      <c r="E3717">
        <f>VLOOKUP(C3717,'All Districts'!$B$3:$C$874,2,FALSE)</f>
        <v>3617190</v>
      </c>
      <c r="F3717" s="91">
        <f>COUNTIF($E$2:$E$7106,E3717)</f>
        <v>9</v>
      </c>
    </row>
    <row r="3718" spans="1:6" x14ac:dyDescent="0.2">
      <c r="A3718">
        <v>2019</v>
      </c>
      <c r="B3718" s="36">
        <v>2315</v>
      </c>
      <c r="C3718" s="90" t="str">
        <f>VLOOKUP(B3718,'All Districts'!$A$3:$B$874,2,FALSE)</f>
        <v>Lewiston-Porter</v>
      </c>
      <c r="D3718" s="40">
        <v>1759063</v>
      </c>
      <c r="E3718">
        <f>VLOOKUP(C3718,'All Districts'!$B$3:$C$874,2,FALSE)</f>
        <v>3617190</v>
      </c>
      <c r="F3718" s="91">
        <f>COUNTIF($E$2:$E$7106,E3718)</f>
        <v>9</v>
      </c>
    </row>
    <row r="3719" spans="1:6" x14ac:dyDescent="0.2">
      <c r="A3719">
        <v>2020</v>
      </c>
      <c r="B3719" s="36">
        <v>2315</v>
      </c>
      <c r="C3719" s="90" t="str">
        <f>VLOOKUP(B3719,'All Districts'!$A$3:$B$874,2,FALSE)</f>
        <v>Lewiston-Porter</v>
      </c>
      <c r="D3719" s="40">
        <v>1471310</v>
      </c>
      <c r="E3719">
        <f>VLOOKUP(C3719,'All Districts'!$B$3:$C$874,2,FALSE)</f>
        <v>3617190</v>
      </c>
      <c r="F3719" s="91">
        <f>COUNTIF($E$2:$E$7106,E3719)</f>
        <v>9</v>
      </c>
    </row>
    <row r="3720" spans="1:6" x14ac:dyDescent="0.2">
      <c r="A3720" s="10">
        <v>2021</v>
      </c>
      <c r="B3720" s="52">
        <v>2315</v>
      </c>
      <c r="C3720" s="90" t="str">
        <f>VLOOKUP(B3720,'All Districts'!$A$3:$B$874,2,FALSE)</f>
        <v>Lewiston-Porter</v>
      </c>
      <c r="D3720" s="76">
        <v>1606012</v>
      </c>
      <c r="E3720">
        <f>VLOOKUP(C3720,'All Districts'!$B$3:$C$874,2,FALSE)</f>
        <v>3617190</v>
      </c>
      <c r="F3720" s="91">
        <f>COUNTIF($E$2:$E$7106,E3720)</f>
        <v>9</v>
      </c>
    </row>
    <row r="3721" spans="1:6" x14ac:dyDescent="0.2">
      <c r="A3721">
        <v>2022</v>
      </c>
      <c r="B3721" s="36">
        <v>2315</v>
      </c>
      <c r="C3721" s="90" t="str">
        <f>VLOOKUP(B3721,'All Districts'!$A$3:$B$874,2,FALSE)</f>
        <v>Lewiston-Porter</v>
      </c>
      <c r="D3721" s="82">
        <v>1738457</v>
      </c>
      <c r="E3721">
        <f>VLOOKUP(C3721,'All Districts'!$B$3:$C$874,2,FALSE)</f>
        <v>3617190</v>
      </c>
      <c r="F3721" s="91">
        <f>COUNTIF($E$2:$E$7106,E3721)</f>
        <v>9</v>
      </c>
    </row>
    <row r="3722" spans="1:6" x14ac:dyDescent="0.2">
      <c r="A3722">
        <v>2023</v>
      </c>
      <c r="B3722" s="36">
        <v>2315</v>
      </c>
      <c r="C3722" s="90" t="str">
        <f>VLOOKUP(B3722,'All Districts'!$A$3:$B$874,2,FALSE)</f>
        <v>Lewiston-Porter</v>
      </c>
      <c r="D3722" s="40">
        <v>1898289</v>
      </c>
      <c r="E3722">
        <f>VLOOKUP(C3722,'All Districts'!$B$3:$C$874,2,FALSE)</f>
        <v>3617190</v>
      </c>
      <c r="F3722" s="91">
        <f>COUNTIF($E$2:$E$7106,E3722)</f>
        <v>9</v>
      </c>
    </row>
    <row r="3723" spans="1:6" x14ac:dyDescent="0.2">
      <c r="A3723">
        <v>2015</v>
      </c>
      <c r="B3723" s="13">
        <v>2317</v>
      </c>
      <c r="C3723" s="90" t="str">
        <f>VLOOKUP(B3723,'All Districts'!$A$3:$B$874,2,FALSE)</f>
        <v>Liberty</v>
      </c>
      <c r="D3723" s="14">
        <v>2457612</v>
      </c>
      <c r="E3723">
        <f>VLOOKUP(C3723,'All Districts'!$B$3:$C$874,2,FALSE)</f>
        <v>3617220</v>
      </c>
      <c r="F3723" s="91">
        <f>COUNTIF($E$2:$E$7106,E3723)</f>
        <v>9</v>
      </c>
    </row>
    <row r="3724" spans="1:6" x14ac:dyDescent="0.2">
      <c r="A3724">
        <v>2016</v>
      </c>
      <c r="B3724" s="13">
        <v>2317</v>
      </c>
      <c r="C3724" s="90" t="str">
        <f>VLOOKUP(B3724,'All Districts'!$A$3:$B$874,2,FALSE)</f>
        <v>Liberty</v>
      </c>
      <c r="D3724" s="16">
        <v>1913813</v>
      </c>
      <c r="E3724">
        <f>VLOOKUP(C3724,'All Districts'!$B$3:$C$874,2,FALSE)</f>
        <v>3617220</v>
      </c>
      <c r="F3724" s="91">
        <f>COUNTIF($E$2:$E$7106,E3724)</f>
        <v>9</v>
      </c>
    </row>
    <row r="3725" spans="1:6" x14ac:dyDescent="0.2">
      <c r="A3725">
        <v>2017</v>
      </c>
      <c r="B3725" s="13">
        <v>2317</v>
      </c>
      <c r="C3725" s="90" t="str">
        <f>VLOOKUP(B3725,'All Districts'!$A$3:$B$874,2,FALSE)</f>
        <v>Liberty</v>
      </c>
      <c r="D3725" s="16">
        <v>1733815</v>
      </c>
      <c r="E3725">
        <f>VLOOKUP(C3725,'All Districts'!$B$3:$C$874,2,FALSE)</f>
        <v>3617220</v>
      </c>
      <c r="F3725" s="91">
        <f>COUNTIF($E$2:$E$7106,E3725)</f>
        <v>9</v>
      </c>
    </row>
    <row r="3726" spans="1:6" x14ac:dyDescent="0.2">
      <c r="A3726" s="10">
        <v>2018</v>
      </c>
      <c r="B3726" s="13">
        <v>2317</v>
      </c>
      <c r="C3726" s="90" t="str">
        <f>VLOOKUP(B3726,'All Districts'!$A$3:$B$874,2,FALSE)</f>
        <v>Liberty</v>
      </c>
      <c r="D3726" s="15">
        <v>1481396</v>
      </c>
      <c r="E3726">
        <f>VLOOKUP(C3726,'All Districts'!$B$3:$C$874,2,FALSE)</f>
        <v>3617220</v>
      </c>
      <c r="F3726" s="91">
        <f>COUNTIF($E$2:$E$7106,E3726)</f>
        <v>9</v>
      </c>
    </row>
    <row r="3727" spans="1:6" x14ac:dyDescent="0.2">
      <c r="A3727">
        <v>2019</v>
      </c>
      <c r="B3727" s="36">
        <v>2317</v>
      </c>
      <c r="C3727" s="90" t="str">
        <f>VLOOKUP(B3727,'All Districts'!$A$3:$B$874,2,FALSE)</f>
        <v>Liberty</v>
      </c>
      <c r="D3727" s="40">
        <v>1704138</v>
      </c>
      <c r="E3727">
        <f>VLOOKUP(C3727,'All Districts'!$B$3:$C$874,2,FALSE)</f>
        <v>3617220</v>
      </c>
      <c r="F3727" s="91">
        <f>COUNTIF($E$2:$E$7106,E3727)</f>
        <v>9</v>
      </c>
    </row>
    <row r="3728" spans="1:6" x14ac:dyDescent="0.2">
      <c r="A3728">
        <v>2020</v>
      </c>
      <c r="B3728" s="36">
        <v>2317</v>
      </c>
      <c r="C3728" s="90" t="str">
        <f>VLOOKUP(B3728,'All Districts'!$A$3:$B$874,2,FALSE)</f>
        <v>Liberty</v>
      </c>
      <c r="D3728" s="40">
        <v>1446582</v>
      </c>
      <c r="E3728">
        <f>VLOOKUP(C3728,'All Districts'!$B$3:$C$874,2,FALSE)</f>
        <v>3617220</v>
      </c>
      <c r="F3728" s="91">
        <f>COUNTIF($E$2:$E$7106,E3728)</f>
        <v>9</v>
      </c>
    </row>
    <row r="3729" spans="1:6" x14ac:dyDescent="0.2">
      <c r="A3729" s="10">
        <v>2021</v>
      </c>
      <c r="B3729" s="52">
        <v>2317</v>
      </c>
      <c r="C3729" s="90" t="str">
        <f>VLOOKUP(B3729,'All Districts'!$A$3:$B$874,2,FALSE)</f>
        <v>Liberty</v>
      </c>
      <c r="D3729" s="76">
        <v>1541509</v>
      </c>
      <c r="E3729">
        <f>VLOOKUP(C3729,'All Districts'!$B$3:$C$874,2,FALSE)</f>
        <v>3617220</v>
      </c>
      <c r="F3729" s="91">
        <f>COUNTIF($E$2:$E$7106,E3729)</f>
        <v>9</v>
      </c>
    </row>
    <row r="3730" spans="1:6" x14ac:dyDescent="0.2">
      <c r="A3730">
        <v>2022</v>
      </c>
      <c r="B3730" s="36">
        <v>2317</v>
      </c>
      <c r="C3730" s="90" t="str">
        <f>VLOOKUP(B3730,'All Districts'!$A$3:$B$874,2,FALSE)</f>
        <v>Liberty</v>
      </c>
      <c r="D3730" s="82">
        <v>1655300</v>
      </c>
      <c r="E3730">
        <f>VLOOKUP(C3730,'All Districts'!$B$3:$C$874,2,FALSE)</f>
        <v>3617220</v>
      </c>
      <c r="F3730" s="91">
        <f>COUNTIF($E$2:$E$7106,E3730)</f>
        <v>9</v>
      </c>
    </row>
    <row r="3731" spans="1:6" x14ac:dyDescent="0.2">
      <c r="A3731">
        <v>2023</v>
      </c>
      <c r="B3731" s="36">
        <v>2317</v>
      </c>
      <c r="C3731" s="90" t="str">
        <f>VLOOKUP(B3731,'All Districts'!$A$3:$B$874,2,FALSE)</f>
        <v>Liberty</v>
      </c>
      <c r="D3731" s="40">
        <v>1825921</v>
      </c>
      <c r="E3731">
        <f>VLOOKUP(C3731,'All Districts'!$B$3:$C$874,2,FALSE)</f>
        <v>3617220</v>
      </c>
      <c r="F3731" s="91">
        <f>COUNTIF($E$2:$E$7106,E3731)</f>
        <v>9</v>
      </c>
    </row>
    <row r="3732" spans="1:6" x14ac:dyDescent="0.2">
      <c r="A3732">
        <v>2015</v>
      </c>
      <c r="B3732" s="13">
        <v>2320</v>
      </c>
      <c r="C3732" s="90" t="str">
        <f>VLOOKUP(B3732,'All Districts'!$A$3:$B$874,2,FALSE)</f>
        <v>Lindenhurst</v>
      </c>
      <c r="D3732" s="14">
        <v>10454074</v>
      </c>
      <c r="E3732">
        <f>VLOOKUP(C3732,'All Districts'!$B$3:$C$874,2,FALSE)</f>
        <v>3617380</v>
      </c>
      <c r="F3732" s="91">
        <f>COUNTIF($E$2:$E$7106,E3732)</f>
        <v>9</v>
      </c>
    </row>
    <row r="3733" spans="1:6" x14ac:dyDescent="0.2">
      <c r="A3733">
        <v>2016</v>
      </c>
      <c r="B3733" s="13">
        <v>2320</v>
      </c>
      <c r="C3733" s="90" t="str">
        <f>VLOOKUP(B3733,'All Districts'!$A$3:$B$874,2,FALSE)</f>
        <v>Lindenhurst</v>
      </c>
      <c r="D3733" s="16">
        <v>8206333</v>
      </c>
      <c r="E3733">
        <f>VLOOKUP(C3733,'All Districts'!$B$3:$C$874,2,FALSE)</f>
        <v>3617380</v>
      </c>
      <c r="F3733" s="91">
        <f>COUNTIF($E$2:$E$7106,E3733)</f>
        <v>9</v>
      </c>
    </row>
    <row r="3734" spans="1:6" x14ac:dyDescent="0.2">
      <c r="A3734">
        <v>2017</v>
      </c>
      <c r="B3734" s="13">
        <v>2320</v>
      </c>
      <c r="C3734" s="90" t="str">
        <f>VLOOKUP(B3734,'All Districts'!$A$3:$B$874,2,FALSE)</f>
        <v>Lindenhurst</v>
      </c>
      <c r="D3734" s="16">
        <v>7368308</v>
      </c>
      <c r="E3734">
        <f>VLOOKUP(C3734,'All Districts'!$B$3:$C$874,2,FALSE)</f>
        <v>3617380</v>
      </c>
      <c r="F3734" s="91">
        <f>COUNTIF($E$2:$E$7106,E3734)</f>
        <v>9</v>
      </c>
    </row>
    <row r="3735" spans="1:6" x14ac:dyDescent="0.2">
      <c r="A3735" s="10">
        <v>2018</v>
      </c>
      <c r="B3735" s="13">
        <v>2320</v>
      </c>
      <c r="C3735" s="90" t="str">
        <f>VLOOKUP(B3735,'All Districts'!$A$3:$B$874,2,FALSE)</f>
        <v>Lindenhurst</v>
      </c>
      <c r="D3735" s="15">
        <v>6183492</v>
      </c>
      <c r="E3735">
        <f>VLOOKUP(C3735,'All Districts'!$B$3:$C$874,2,FALSE)</f>
        <v>3617380</v>
      </c>
      <c r="F3735" s="91">
        <f>COUNTIF($E$2:$E$7106,E3735)</f>
        <v>9</v>
      </c>
    </row>
    <row r="3736" spans="1:6" x14ac:dyDescent="0.2">
      <c r="A3736">
        <v>2019</v>
      </c>
      <c r="B3736" s="36">
        <v>2320</v>
      </c>
      <c r="C3736" s="90" t="str">
        <f>VLOOKUP(B3736,'All Districts'!$A$3:$B$874,2,FALSE)</f>
        <v>Lindenhurst</v>
      </c>
      <c r="D3736" s="40">
        <v>6797141</v>
      </c>
      <c r="E3736">
        <f>VLOOKUP(C3736,'All Districts'!$B$3:$C$874,2,FALSE)</f>
        <v>3617380</v>
      </c>
      <c r="F3736" s="91">
        <f>COUNTIF($E$2:$E$7106,E3736)</f>
        <v>9</v>
      </c>
    </row>
    <row r="3737" spans="1:6" x14ac:dyDescent="0.2">
      <c r="A3737">
        <v>2020</v>
      </c>
      <c r="B3737" s="36">
        <v>2320</v>
      </c>
      <c r="C3737" s="90" t="str">
        <f>VLOOKUP(B3737,'All Districts'!$A$3:$B$874,2,FALSE)</f>
        <v>Lindenhurst</v>
      </c>
      <c r="D3737" s="40">
        <v>5820453</v>
      </c>
      <c r="E3737">
        <f>VLOOKUP(C3737,'All Districts'!$B$3:$C$874,2,FALSE)</f>
        <v>3617380</v>
      </c>
      <c r="F3737" s="91">
        <f>COUNTIF($E$2:$E$7106,E3737)</f>
        <v>9</v>
      </c>
    </row>
    <row r="3738" spans="1:6" x14ac:dyDescent="0.2">
      <c r="A3738" s="10">
        <v>2021</v>
      </c>
      <c r="B3738" s="52">
        <v>2320</v>
      </c>
      <c r="C3738" s="90" t="str">
        <f>VLOOKUP(B3738,'All Districts'!$A$3:$B$874,2,FALSE)</f>
        <v>Lindenhurst</v>
      </c>
      <c r="D3738" s="76">
        <v>6416335</v>
      </c>
      <c r="E3738">
        <f>VLOOKUP(C3738,'All Districts'!$B$3:$C$874,2,FALSE)</f>
        <v>3617380</v>
      </c>
      <c r="F3738" s="91">
        <f>COUNTIF($E$2:$E$7106,E3738)</f>
        <v>9</v>
      </c>
    </row>
    <row r="3739" spans="1:6" x14ac:dyDescent="0.2">
      <c r="A3739">
        <v>2022</v>
      </c>
      <c r="B3739" s="36">
        <v>2320</v>
      </c>
      <c r="C3739" s="90" t="str">
        <f>VLOOKUP(B3739,'All Districts'!$A$3:$B$874,2,FALSE)</f>
        <v>Lindenhurst</v>
      </c>
      <c r="D3739" s="82">
        <v>6897399</v>
      </c>
      <c r="E3739">
        <f>VLOOKUP(C3739,'All Districts'!$B$3:$C$874,2,FALSE)</f>
        <v>3617380</v>
      </c>
      <c r="F3739" s="91">
        <f>COUNTIF($E$2:$E$7106,E3739)</f>
        <v>9</v>
      </c>
    </row>
    <row r="3740" spans="1:6" x14ac:dyDescent="0.2">
      <c r="A3740">
        <v>2023</v>
      </c>
      <c r="B3740" s="36">
        <v>2320</v>
      </c>
      <c r="C3740" s="90" t="str">
        <f>VLOOKUP(B3740,'All Districts'!$A$3:$B$874,2,FALSE)</f>
        <v>Lindenhurst</v>
      </c>
      <c r="D3740" s="40">
        <v>7525567</v>
      </c>
      <c r="E3740">
        <f>VLOOKUP(C3740,'All Districts'!$B$3:$C$874,2,FALSE)</f>
        <v>3617380</v>
      </c>
      <c r="F3740" s="91">
        <f>COUNTIF($E$2:$E$7106,E3740)</f>
        <v>9</v>
      </c>
    </row>
    <row r="3741" spans="1:6" x14ac:dyDescent="0.2">
      <c r="A3741">
        <v>2015</v>
      </c>
      <c r="B3741" s="13">
        <v>5002</v>
      </c>
      <c r="C3741" s="90" t="str">
        <f>VLOOKUP(B3741,'All Districts'!$A$3:$B$874,2,FALSE)</f>
        <v>Lisbon</v>
      </c>
      <c r="D3741" s="14">
        <v>593695</v>
      </c>
      <c r="E3741">
        <f>VLOOKUP(C3741,'All Districts'!$B$3:$C$874,2,FALSE)</f>
        <v>3617430</v>
      </c>
      <c r="F3741" s="91">
        <f>COUNTIF($E$2:$E$7106,E3741)</f>
        <v>9</v>
      </c>
    </row>
    <row r="3742" spans="1:6" x14ac:dyDescent="0.2">
      <c r="A3742">
        <v>2016</v>
      </c>
      <c r="B3742" s="13">
        <v>5002</v>
      </c>
      <c r="C3742" s="90" t="str">
        <f>VLOOKUP(B3742,'All Districts'!$A$3:$B$874,2,FALSE)</f>
        <v>Lisbon</v>
      </c>
      <c r="D3742" s="16">
        <v>388298</v>
      </c>
      <c r="E3742">
        <f>VLOOKUP(C3742,'All Districts'!$B$3:$C$874,2,FALSE)</f>
        <v>3617430</v>
      </c>
      <c r="F3742" s="91">
        <f>COUNTIF($E$2:$E$7106,E3742)</f>
        <v>9</v>
      </c>
    </row>
    <row r="3743" spans="1:6" x14ac:dyDescent="0.2">
      <c r="A3743">
        <v>2017</v>
      </c>
      <c r="B3743" s="13">
        <v>5002</v>
      </c>
      <c r="C3743" s="90" t="str">
        <f>VLOOKUP(B3743,'All Districts'!$A$3:$B$874,2,FALSE)</f>
        <v>Lisbon</v>
      </c>
      <c r="D3743" s="16">
        <v>410496</v>
      </c>
      <c r="E3743">
        <f>VLOOKUP(C3743,'All Districts'!$B$3:$C$874,2,FALSE)</f>
        <v>3617430</v>
      </c>
      <c r="F3743" s="91">
        <f>COUNTIF($E$2:$E$7106,E3743)</f>
        <v>9</v>
      </c>
    </row>
    <row r="3744" spans="1:6" x14ac:dyDescent="0.2">
      <c r="A3744" s="10">
        <v>2018</v>
      </c>
      <c r="B3744" s="13">
        <v>5002</v>
      </c>
      <c r="C3744" s="90" t="str">
        <f>VLOOKUP(B3744,'All Districts'!$A$3:$B$874,2,FALSE)</f>
        <v>Lisbon</v>
      </c>
      <c r="D3744" s="15">
        <v>354810</v>
      </c>
      <c r="E3744">
        <f>VLOOKUP(C3744,'All Districts'!$B$3:$C$874,2,FALSE)</f>
        <v>3617430</v>
      </c>
      <c r="F3744" s="91">
        <f>COUNTIF($E$2:$E$7106,E3744)</f>
        <v>9</v>
      </c>
    </row>
    <row r="3745" spans="1:6" x14ac:dyDescent="0.2">
      <c r="A3745">
        <v>2019</v>
      </c>
      <c r="B3745" s="36">
        <v>5002</v>
      </c>
      <c r="C3745" s="90" t="str">
        <f>VLOOKUP(B3745,'All Districts'!$A$3:$B$874,2,FALSE)</f>
        <v>Lisbon</v>
      </c>
      <c r="D3745" s="40">
        <v>402940</v>
      </c>
      <c r="E3745">
        <f>VLOOKUP(C3745,'All Districts'!$B$3:$C$874,2,FALSE)</f>
        <v>3617430</v>
      </c>
      <c r="F3745" s="91">
        <f>COUNTIF($E$2:$E$7106,E3745)</f>
        <v>9</v>
      </c>
    </row>
    <row r="3746" spans="1:6" x14ac:dyDescent="0.2">
      <c r="A3746">
        <v>2020</v>
      </c>
      <c r="B3746" s="36">
        <v>5002</v>
      </c>
      <c r="C3746" s="90" t="str">
        <f>VLOOKUP(B3746,'All Districts'!$A$3:$B$874,2,FALSE)</f>
        <v>Lisbon</v>
      </c>
      <c r="D3746" s="40">
        <v>340798</v>
      </c>
      <c r="E3746">
        <f>VLOOKUP(C3746,'All Districts'!$B$3:$C$874,2,FALSE)</f>
        <v>3617430</v>
      </c>
      <c r="F3746" s="91">
        <f>COUNTIF($E$2:$E$7106,E3746)</f>
        <v>9</v>
      </c>
    </row>
    <row r="3747" spans="1:6" x14ac:dyDescent="0.2">
      <c r="A3747" s="10">
        <v>2021</v>
      </c>
      <c r="B3747" s="52">
        <v>5002</v>
      </c>
      <c r="C3747" s="90" t="str">
        <f>VLOOKUP(B3747,'All Districts'!$A$3:$B$874,2,FALSE)</f>
        <v>Lisbon</v>
      </c>
      <c r="D3747" s="75">
        <v>374316</v>
      </c>
      <c r="E3747">
        <f>VLOOKUP(C3747,'All Districts'!$B$3:$C$874,2,FALSE)</f>
        <v>3617430</v>
      </c>
      <c r="F3747" s="91">
        <f>COUNTIF($E$2:$E$7106,E3747)</f>
        <v>9</v>
      </c>
    </row>
    <row r="3748" spans="1:6" x14ac:dyDescent="0.2">
      <c r="A3748">
        <v>2022</v>
      </c>
      <c r="B3748" s="36">
        <v>5002</v>
      </c>
      <c r="C3748" s="90" t="str">
        <f>VLOOKUP(B3748,'All Districts'!$A$3:$B$874,2,FALSE)</f>
        <v>Lisbon</v>
      </c>
      <c r="D3748" s="82">
        <v>406075</v>
      </c>
      <c r="E3748">
        <f>VLOOKUP(C3748,'All Districts'!$B$3:$C$874,2,FALSE)</f>
        <v>3617430</v>
      </c>
      <c r="F3748" s="91">
        <f>COUNTIF($E$2:$E$7106,E3748)</f>
        <v>9</v>
      </c>
    </row>
    <row r="3749" spans="1:6" x14ac:dyDescent="0.2">
      <c r="A3749">
        <v>2023</v>
      </c>
      <c r="B3749" s="36">
        <v>5002</v>
      </c>
      <c r="C3749" s="90" t="str">
        <f>VLOOKUP(B3749,'All Districts'!$A$3:$B$874,2,FALSE)</f>
        <v>Lisbon</v>
      </c>
      <c r="D3749" s="40">
        <v>457143</v>
      </c>
      <c r="E3749">
        <f>VLOOKUP(C3749,'All Districts'!$B$3:$C$874,2,FALSE)</f>
        <v>3617430</v>
      </c>
      <c r="F3749" s="91">
        <f>COUNTIF($E$2:$E$7106,E3749)</f>
        <v>9</v>
      </c>
    </row>
    <row r="3750" spans="1:6" x14ac:dyDescent="0.2">
      <c r="A3750">
        <v>2015</v>
      </c>
      <c r="B3750" s="13">
        <v>1130</v>
      </c>
      <c r="C3750" s="90" t="str">
        <f>VLOOKUP(B3750,'All Districts'!$A$3:$B$874,2,FALSE)</f>
        <v>Little Falls</v>
      </c>
      <c r="D3750" s="14">
        <v>1107491</v>
      </c>
      <c r="E3750">
        <f>VLOOKUP(C3750,'All Districts'!$B$3:$C$874,2,FALSE)</f>
        <v>3617460</v>
      </c>
      <c r="F3750" s="91">
        <f>COUNTIF($E$2:$E$7106,E3750)</f>
        <v>9</v>
      </c>
    </row>
    <row r="3751" spans="1:6" x14ac:dyDescent="0.2">
      <c r="A3751">
        <v>2016</v>
      </c>
      <c r="B3751" s="13">
        <v>1130</v>
      </c>
      <c r="C3751" s="90" t="str">
        <f>VLOOKUP(B3751,'All Districts'!$A$3:$B$874,2,FALSE)</f>
        <v>Little Falls</v>
      </c>
      <c r="D3751" s="16">
        <v>844360</v>
      </c>
      <c r="E3751">
        <f>VLOOKUP(C3751,'All Districts'!$B$3:$C$874,2,FALSE)</f>
        <v>3617460</v>
      </c>
      <c r="F3751" s="91">
        <f>COUNTIF($E$2:$E$7106,E3751)</f>
        <v>9</v>
      </c>
    </row>
    <row r="3752" spans="1:6" x14ac:dyDescent="0.2">
      <c r="A3752">
        <v>2017</v>
      </c>
      <c r="B3752" s="13">
        <v>1130</v>
      </c>
      <c r="C3752" s="90" t="str">
        <f>VLOOKUP(B3752,'All Districts'!$A$3:$B$874,2,FALSE)</f>
        <v>Little Falls</v>
      </c>
      <c r="D3752" s="16">
        <v>771814</v>
      </c>
      <c r="E3752">
        <f>VLOOKUP(C3752,'All Districts'!$B$3:$C$874,2,FALSE)</f>
        <v>3617460</v>
      </c>
      <c r="F3752" s="91">
        <f>COUNTIF($E$2:$E$7106,E3752)</f>
        <v>9</v>
      </c>
    </row>
    <row r="3753" spans="1:6" x14ac:dyDescent="0.2">
      <c r="A3753" s="10">
        <v>2018</v>
      </c>
      <c r="B3753" s="13">
        <v>1130</v>
      </c>
      <c r="C3753" s="90" t="str">
        <f>VLOOKUP(B3753,'All Districts'!$A$3:$B$874,2,FALSE)</f>
        <v>Little Falls</v>
      </c>
      <c r="D3753" s="15">
        <v>689506</v>
      </c>
      <c r="E3753">
        <f>VLOOKUP(C3753,'All Districts'!$B$3:$C$874,2,FALSE)</f>
        <v>3617460</v>
      </c>
      <c r="F3753" s="91">
        <f>COUNTIF($E$2:$E$7106,E3753)</f>
        <v>9</v>
      </c>
    </row>
    <row r="3754" spans="1:6" x14ac:dyDescent="0.2">
      <c r="A3754">
        <v>2019</v>
      </c>
      <c r="B3754" s="36">
        <v>1130</v>
      </c>
      <c r="C3754" s="90" t="str">
        <f>VLOOKUP(B3754,'All Districts'!$A$3:$B$874,2,FALSE)</f>
        <v>Little Falls</v>
      </c>
      <c r="D3754" s="40">
        <v>787349</v>
      </c>
      <c r="E3754">
        <f>VLOOKUP(C3754,'All Districts'!$B$3:$C$874,2,FALSE)</f>
        <v>3617460</v>
      </c>
      <c r="F3754" s="91">
        <f>COUNTIF($E$2:$E$7106,E3754)</f>
        <v>9</v>
      </c>
    </row>
    <row r="3755" spans="1:6" x14ac:dyDescent="0.2">
      <c r="A3755">
        <v>2020</v>
      </c>
      <c r="B3755" s="36">
        <v>1130</v>
      </c>
      <c r="C3755" s="90" t="str">
        <f>VLOOKUP(B3755,'All Districts'!$A$3:$B$874,2,FALSE)</f>
        <v>Little Falls</v>
      </c>
      <c r="D3755" s="40">
        <v>688565</v>
      </c>
      <c r="E3755">
        <f>VLOOKUP(C3755,'All Districts'!$B$3:$C$874,2,FALSE)</f>
        <v>3617460</v>
      </c>
      <c r="F3755" s="91">
        <f>COUNTIF($E$2:$E$7106,E3755)</f>
        <v>9</v>
      </c>
    </row>
    <row r="3756" spans="1:6" x14ac:dyDescent="0.2">
      <c r="A3756" s="10">
        <v>2021</v>
      </c>
      <c r="B3756" s="52">
        <v>1130</v>
      </c>
      <c r="C3756" s="90" t="str">
        <f>VLOOKUP(B3756,'All Districts'!$A$3:$B$874,2,FALSE)</f>
        <v>Little Falls</v>
      </c>
      <c r="D3756" s="76">
        <v>711092</v>
      </c>
      <c r="E3756">
        <f>VLOOKUP(C3756,'All Districts'!$B$3:$C$874,2,FALSE)</f>
        <v>3617460</v>
      </c>
      <c r="F3756" s="91">
        <f>COUNTIF($E$2:$E$7106,E3756)</f>
        <v>9</v>
      </c>
    </row>
    <row r="3757" spans="1:6" x14ac:dyDescent="0.2">
      <c r="A3757">
        <v>2022</v>
      </c>
      <c r="B3757" s="36">
        <v>1130</v>
      </c>
      <c r="C3757" s="90" t="str">
        <f>VLOOKUP(B3757,'All Districts'!$A$3:$B$874,2,FALSE)</f>
        <v>Little Falls</v>
      </c>
      <c r="D3757" s="82">
        <v>802511</v>
      </c>
      <c r="E3757">
        <f>VLOOKUP(C3757,'All Districts'!$B$3:$C$874,2,FALSE)</f>
        <v>3617460</v>
      </c>
      <c r="F3757" s="91">
        <f>COUNTIF($E$2:$E$7106,E3757)</f>
        <v>9</v>
      </c>
    </row>
    <row r="3758" spans="1:6" x14ac:dyDescent="0.2">
      <c r="A3758">
        <v>2023</v>
      </c>
      <c r="B3758" s="36">
        <v>1130</v>
      </c>
      <c r="C3758" s="90" t="str">
        <f>VLOOKUP(B3758,'All Districts'!$A$3:$B$874,2,FALSE)</f>
        <v>Little Falls</v>
      </c>
      <c r="D3758" s="40">
        <v>855137</v>
      </c>
      <c r="E3758">
        <f>VLOOKUP(C3758,'All Districts'!$B$3:$C$874,2,FALSE)</f>
        <v>3617460</v>
      </c>
      <c r="F3758" s="91">
        <f>COUNTIF($E$2:$E$7106,E3758)</f>
        <v>9</v>
      </c>
    </row>
    <row r="3759" spans="1:6" x14ac:dyDescent="0.2">
      <c r="A3759">
        <v>2015</v>
      </c>
      <c r="B3759" s="13">
        <v>5380</v>
      </c>
      <c r="C3759" s="90" t="str">
        <f>VLOOKUP(B3759,'All Districts'!$A$3:$B$874,2,FALSE)</f>
        <v>Little Flower at Wading River</v>
      </c>
      <c r="D3759" s="14">
        <v>537784</v>
      </c>
      <c r="E3759">
        <f>VLOOKUP(C3759,'All Districts'!$B$3:$C$874,2,FALSE)</f>
        <v>3617400</v>
      </c>
      <c r="F3759" s="91">
        <f>COUNTIF($E$2:$E$7106,E3759)</f>
        <v>9</v>
      </c>
    </row>
    <row r="3760" spans="1:6" x14ac:dyDescent="0.2">
      <c r="A3760">
        <v>2016</v>
      </c>
      <c r="B3760" s="13">
        <v>5380</v>
      </c>
      <c r="C3760" s="90" t="str">
        <f>VLOOKUP(B3760,'All Districts'!$A$3:$B$874,2,FALSE)</f>
        <v>Little Flower at Wading River</v>
      </c>
      <c r="D3760" s="16">
        <v>407918</v>
      </c>
      <c r="E3760">
        <f>VLOOKUP(C3760,'All Districts'!$B$3:$C$874,2,FALSE)</f>
        <v>3617400</v>
      </c>
      <c r="F3760" s="91">
        <f>COUNTIF($E$2:$E$7106,E3760)</f>
        <v>9</v>
      </c>
    </row>
    <row r="3761" spans="1:6" x14ac:dyDescent="0.2">
      <c r="A3761">
        <v>2017</v>
      </c>
      <c r="B3761" s="13">
        <v>5380</v>
      </c>
      <c r="C3761" s="90" t="str">
        <f>VLOOKUP(B3761,'All Districts'!$A$3:$B$874,2,FALSE)</f>
        <v>Little Flower at Wading River</v>
      </c>
      <c r="D3761" s="16">
        <v>359327</v>
      </c>
      <c r="E3761">
        <f>VLOOKUP(C3761,'All Districts'!$B$3:$C$874,2,FALSE)</f>
        <v>3617400</v>
      </c>
      <c r="F3761" s="91">
        <f>COUNTIF($E$2:$E$7106,E3761)</f>
        <v>9</v>
      </c>
    </row>
    <row r="3762" spans="1:6" x14ac:dyDescent="0.2">
      <c r="A3762" s="10">
        <v>2018</v>
      </c>
      <c r="B3762" s="13">
        <v>5380</v>
      </c>
      <c r="C3762" s="90" t="str">
        <f>VLOOKUP(B3762,'All Districts'!$A$3:$B$874,2,FALSE)</f>
        <v>Little Flower at Wading River</v>
      </c>
      <c r="D3762" s="15">
        <v>316941</v>
      </c>
      <c r="E3762">
        <f>VLOOKUP(C3762,'All Districts'!$B$3:$C$874,2,FALSE)</f>
        <v>3617400</v>
      </c>
      <c r="F3762" s="91">
        <f>COUNTIF($E$2:$E$7106,E3762)</f>
        <v>9</v>
      </c>
    </row>
    <row r="3763" spans="1:6" x14ac:dyDescent="0.2">
      <c r="A3763">
        <v>2019</v>
      </c>
      <c r="B3763" s="36">
        <v>5380</v>
      </c>
      <c r="C3763" s="90" t="str">
        <f>VLOOKUP(B3763,'All Districts'!$A$3:$B$874,2,FALSE)</f>
        <v>Little Flower at Wading River</v>
      </c>
      <c r="D3763" s="40">
        <v>358237</v>
      </c>
      <c r="E3763">
        <f>VLOOKUP(C3763,'All Districts'!$B$3:$C$874,2,FALSE)</f>
        <v>3617400</v>
      </c>
      <c r="F3763" s="91">
        <f>COUNTIF($E$2:$E$7106,E3763)</f>
        <v>9</v>
      </c>
    </row>
    <row r="3764" spans="1:6" x14ac:dyDescent="0.2">
      <c r="A3764">
        <v>2020</v>
      </c>
      <c r="B3764" s="36">
        <v>5380</v>
      </c>
      <c r="C3764" s="90" t="str">
        <f>VLOOKUP(B3764,'All Districts'!$A$3:$B$874,2,FALSE)</f>
        <v>Little Flower at Wading River</v>
      </c>
      <c r="D3764" s="40">
        <v>304768</v>
      </c>
      <c r="E3764">
        <f>VLOOKUP(C3764,'All Districts'!$B$3:$C$874,2,FALSE)</f>
        <v>3617400</v>
      </c>
      <c r="F3764" s="91">
        <f>COUNTIF($E$2:$E$7106,E3764)</f>
        <v>9</v>
      </c>
    </row>
    <row r="3765" spans="1:6" x14ac:dyDescent="0.2">
      <c r="A3765" s="10">
        <v>2021</v>
      </c>
      <c r="B3765" s="52">
        <v>5380</v>
      </c>
      <c r="C3765" s="90" t="str">
        <f>VLOOKUP(B3765,'All Districts'!$A$3:$B$874,2,FALSE)</f>
        <v>Little Flower at Wading River</v>
      </c>
      <c r="D3765" s="75">
        <v>298885</v>
      </c>
      <c r="E3765">
        <f>VLOOKUP(C3765,'All Districts'!$B$3:$C$874,2,FALSE)</f>
        <v>3617400</v>
      </c>
      <c r="F3765" s="91">
        <f>COUNTIF($E$2:$E$7106,E3765)</f>
        <v>9</v>
      </c>
    </row>
    <row r="3766" spans="1:6" x14ac:dyDescent="0.2">
      <c r="A3766">
        <v>2022</v>
      </c>
      <c r="B3766" s="36">
        <v>5380</v>
      </c>
      <c r="C3766" s="90" t="str">
        <f>VLOOKUP(B3766,'All Districts'!$A$3:$B$874,2,FALSE)</f>
        <v>Little Flower at Wading River</v>
      </c>
      <c r="D3766" s="82">
        <v>329899</v>
      </c>
      <c r="E3766">
        <f>VLOOKUP(C3766,'All Districts'!$B$3:$C$874,2,FALSE)</f>
        <v>3617400</v>
      </c>
      <c r="F3766" s="91">
        <f>COUNTIF($E$2:$E$7106,E3766)</f>
        <v>9</v>
      </c>
    </row>
    <row r="3767" spans="1:6" x14ac:dyDescent="0.2">
      <c r="A3767">
        <v>2023</v>
      </c>
      <c r="B3767" s="36">
        <v>5380</v>
      </c>
      <c r="C3767" s="90" t="str">
        <f>VLOOKUP(B3767,'All Districts'!$A$3:$B$874,2,FALSE)</f>
        <v>Little Flower at Wading River</v>
      </c>
      <c r="D3767" s="40">
        <v>354438</v>
      </c>
      <c r="E3767">
        <f>VLOOKUP(C3767,'All Districts'!$B$3:$C$874,2,FALSE)</f>
        <v>3617400</v>
      </c>
      <c r="F3767" s="91">
        <f>COUNTIF($E$2:$E$7106,E3767)</f>
        <v>9</v>
      </c>
    </row>
    <row r="3768" spans="1:6" x14ac:dyDescent="0.2">
      <c r="A3768">
        <v>2015</v>
      </c>
      <c r="B3768" s="13">
        <v>2325</v>
      </c>
      <c r="C3768" s="90" t="str">
        <f>VLOOKUP(B3768,'All Districts'!$A$3:$B$874,2,FALSE)</f>
        <v>Liverpool</v>
      </c>
      <c r="D3768" s="14">
        <v>9202706</v>
      </c>
      <c r="E3768">
        <f>VLOOKUP(C3768,'All Districts'!$B$3:$C$874,2,FALSE)</f>
        <v>3617520</v>
      </c>
      <c r="F3768" s="91">
        <f>COUNTIF($E$2:$E$7106,E3768)</f>
        <v>9</v>
      </c>
    </row>
    <row r="3769" spans="1:6" x14ac:dyDescent="0.2">
      <c r="A3769">
        <v>2016</v>
      </c>
      <c r="B3769" s="13">
        <v>2325</v>
      </c>
      <c r="C3769" s="90" t="str">
        <f>VLOOKUP(B3769,'All Districts'!$A$3:$B$874,2,FALSE)</f>
        <v>Liverpool</v>
      </c>
      <c r="D3769" s="16">
        <v>7239961</v>
      </c>
      <c r="E3769">
        <f>VLOOKUP(C3769,'All Districts'!$B$3:$C$874,2,FALSE)</f>
        <v>3617520</v>
      </c>
      <c r="F3769" s="91">
        <f>COUNTIF($E$2:$E$7106,E3769)</f>
        <v>9</v>
      </c>
    </row>
    <row r="3770" spans="1:6" x14ac:dyDescent="0.2">
      <c r="A3770">
        <v>2017</v>
      </c>
      <c r="B3770" s="13">
        <v>2325</v>
      </c>
      <c r="C3770" s="90" t="str">
        <f>VLOOKUP(B3770,'All Districts'!$A$3:$B$874,2,FALSE)</f>
        <v>Liverpool</v>
      </c>
      <c r="D3770" s="16">
        <v>6547803</v>
      </c>
      <c r="E3770">
        <f>VLOOKUP(C3770,'All Districts'!$B$3:$C$874,2,FALSE)</f>
        <v>3617520</v>
      </c>
      <c r="F3770" s="91">
        <f>COUNTIF($E$2:$E$7106,E3770)</f>
        <v>9</v>
      </c>
    </row>
    <row r="3771" spans="1:6" x14ac:dyDescent="0.2">
      <c r="A3771" s="10">
        <v>2018</v>
      </c>
      <c r="B3771" s="13">
        <v>2325</v>
      </c>
      <c r="C3771" s="90" t="str">
        <f>VLOOKUP(B3771,'All Districts'!$A$3:$B$874,2,FALSE)</f>
        <v>Liverpool</v>
      </c>
      <c r="D3771" s="15">
        <v>5692541</v>
      </c>
      <c r="E3771">
        <f>VLOOKUP(C3771,'All Districts'!$B$3:$C$874,2,FALSE)</f>
        <v>3617520</v>
      </c>
      <c r="F3771" s="91">
        <f>COUNTIF($E$2:$E$7106,E3771)</f>
        <v>9</v>
      </c>
    </row>
    <row r="3772" spans="1:6" x14ac:dyDescent="0.2">
      <c r="A3772">
        <v>2019</v>
      </c>
      <c r="B3772" s="36">
        <v>2325</v>
      </c>
      <c r="C3772" s="90" t="str">
        <f>VLOOKUP(B3772,'All Districts'!$A$3:$B$874,2,FALSE)</f>
        <v>Liverpool</v>
      </c>
      <c r="D3772" s="40">
        <v>6232368</v>
      </c>
      <c r="E3772">
        <f>VLOOKUP(C3772,'All Districts'!$B$3:$C$874,2,FALSE)</f>
        <v>3617520</v>
      </c>
      <c r="F3772" s="91">
        <f>COUNTIF($E$2:$E$7106,E3772)</f>
        <v>9</v>
      </c>
    </row>
    <row r="3773" spans="1:6" x14ac:dyDescent="0.2">
      <c r="A3773">
        <v>2020</v>
      </c>
      <c r="B3773" s="36">
        <v>2325</v>
      </c>
      <c r="C3773" s="90" t="str">
        <f>VLOOKUP(B3773,'All Districts'!$A$3:$B$874,2,FALSE)</f>
        <v>Liverpool</v>
      </c>
      <c r="D3773" s="40">
        <v>5299149</v>
      </c>
      <c r="E3773">
        <f>VLOOKUP(C3773,'All Districts'!$B$3:$C$874,2,FALSE)</f>
        <v>3617520</v>
      </c>
      <c r="F3773" s="91">
        <f>COUNTIF($E$2:$E$7106,E3773)</f>
        <v>9</v>
      </c>
    </row>
    <row r="3774" spans="1:6" x14ac:dyDescent="0.2">
      <c r="A3774" s="10">
        <v>2021</v>
      </c>
      <c r="B3774" s="52">
        <v>2325</v>
      </c>
      <c r="C3774" s="90" t="str">
        <f>VLOOKUP(B3774,'All Districts'!$A$3:$B$874,2,FALSE)</f>
        <v>Liverpool</v>
      </c>
      <c r="D3774" s="76">
        <v>5773850</v>
      </c>
      <c r="E3774">
        <f>VLOOKUP(C3774,'All Districts'!$B$3:$C$874,2,FALSE)</f>
        <v>3617520</v>
      </c>
      <c r="F3774" s="91">
        <f>COUNTIF($E$2:$E$7106,E3774)</f>
        <v>9</v>
      </c>
    </row>
    <row r="3775" spans="1:6" x14ac:dyDescent="0.2">
      <c r="A3775">
        <v>2022</v>
      </c>
      <c r="B3775" s="36">
        <v>2325</v>
      </c>
      <c r="C3775" s="90" t="str">
        <f>VLOOKUP(B3775,'All Districts'!$A$3:$B$874,2,FALSE)</f>
        <v>Liverpool</v>
      </c>
      <c r="D3775" s="82">
        <v>6202196</v>
      </c>
      <c r="E3775">
        <f>VLOOKUP(C3775,'All Districts'!$B$3:$C$874,2,FALSE)</f>
        <v>3617520</v>
      </c>
      <c r="F3775" s="91">
        <f>COUNTIF($E$2:$E$7106,E3775)</f>
        <v>9</v>
      </c>
    </row>
    <row r="3776" spans="1:6" x14ac:dyDescent="0.2">
      <c r="A3776">
        <v>2023</v>
      </c>
      <c r="B3776" s="36">
        <v>2325</v>
      </c>
      <c r="C3776" s="90" t="str">
        <f>VLOOKUP(B3776,'All Districts'!$A$3:$B$874,2,FALSE)</f>
        <v>Liverpool</v>
      </c>
      <c r="D3776" s="40">
        <v>6749340</v>
      </c>
      <c r="E3776">
        <f>VLOOKUP(C3776,'All Districts'!$B$3:$C$874,2,FALSE)</f>
        <v>3617520</v>
      </c>
      <c r="F3776" s="91">
        <f>COUNTIF($E$2:$E$7106,E3776)</f>
        <v>9</v>
      </c>
    </row>
    <row r="3777" spans="1:6" x14ac:dyDescent="0.2">
      <c r="A3777">
        <v>2015</v>
      </c>
      <c r="B3777" s="13">
        <v>5506</v>
      </c>
      <c r="C3777" s="90" t="str">
        <f>VLOOKUP(B3777,'All Districts'!$A$3:$B$874,2,FALSE)</f>
        <v>Livingston Manor</v>
      </c>
      <c r="D3777" s="14">
        <v>747910</v>
      </c>
      <c r="E3777">
        <f>VLOOKUP(C3777,'All Districts'!$B$3:$C$874,2,FALSE)</f>
        <v>3617580</v>
      </c>
      <c r="F3777" s="91">
        <f>COUNTIF($E$2:$E$7106,E3777)</f>
        <v>9</v>
      </c>
    </row>
    <row r="3778" spans="1:6" x14ac:dyDescent="0.2">
      <c r="A3778">
        <v>2016</v>
      </c>
      <c r="B3778" s="13">
        <v>5506</v>
      </c>
      <c r="C3778" s="90" t="str">
        <f>VLOOKUP(B3778,'All Districts'!$A$3:$B$874,2,FALSE)</f>
        <v>Livingston Manor</v>
      </c>
      <c r="D3778" s="16">
        <v>599443</v>
      </c>
      <c r="E3778">
        <f>VLOOKUP(C3778,'All Districts'!$B$3:$C$874,2,FALSE)</f>
        <v>3617580</v>
      </c>
      <c r="F3778" s="91">
        <f>COUNTIF($E$2:$E$7106,E3778)</f>
        <v>9</v>
      </c>
    </row>
    <row r="3779" spans="1:6" x14ac:dyDescent="0.2">
      <c r="A3779">
        <v>2017</v>
      </c>
      <c r="B3779" s="13">
        <v>5506</v>
      </c>
      <c r="C3779" s="90" t="str">
        <f>VLOOKUP(B3779,'All Districts'!$A$3:$B$874,2,FALSE)</f>
        <v>Livingston Manor</v>
      </c>
      <c r="D3779" s="16">
        <v>540718</v>
      </c>
      <c r="E3779">
        <f>VLOOKUP(C3779,'All Districts'!$B$3:$C$874,2,FALSE)</f>
        <v>3617580</v>
      </c>
      <c r="F3779" s="91">
        <f>COUNTIF($E$2:$E$7106,E3779)</f>
        <v>9</v>
      </c>
    </row>
    <row r="3780" spans="1:6" x14ac:dyDescent="0.2">
      <c r="A3780" s="10">
        <v>2018</v>
      </c>
      <c r="B3780" s="13">
        <v>5506</v>
      </c>
      <c r="C3780" s="90" t="str">
        <f>VLOOKUP(B3780,'All Districts'!$A$3:$B$874,2,FALSE)</f>
        <v>Livingston Manor</v>
      </c>
      <c r="D3780" s="15">
        <v>450213</v>
      </c>
      <c r="E3780">
        <f>VLOOKUP(C3780,'All Districts'!$B$3:$C$874,2,FALSE)</f>
        <v>3617580</v>
      </c>
      <c r="F3780" s="91">
        <f>COUNTIF($E$2:$E$7106,E3780)</f>
        <v>9</v>
      </c>
    </row>
    <row r="3781" spans="1:6" x14ac:dyDescent="0.2">
      <c r="A3781">
        <v>2019</v>
      </c>
      <c r="B3781" s="36">
        <v>5506</v>
      </c>
      <c r="C3781" s="90" t="str">
        <f>VLOOKUP(B3781,'All Districts'!$A$3:$B$874,2,FALSE)</f>
        <v>Livingston Manor</v>
      </c>
      <c r="D3781" s="40">
        <v>504749</v>
      </c>
      <c r="E3781">
        <f>VLOOKUP(C3781,'All Districts'!$B$3:$C$874,2,FALSE)</f>
        <v>3617580</v>
      </c>
      <c r="F3781" s="91">
        <f>COUNTIF($E$2:$E$7106,E3781)</f>
        <v>9</v>
      </c>
    </row>
    <row r="3782" spans="1:6" x14ac:dyDescent="0.2">
      <c r="A3782">
        <v>2020</v>
      </c>
      <c r="B3782" s="36">
        <v>5506</v>
      </c>
      <c r="C3782" s="90" t="str">
        <f>VLOOKUP(B3782,'All Districts'!$A$3:$B$874,2,FALSE)</f>
        <v>Livingston Manor</v>
      </c>
      <c r="D3782" s="40">
        <v>430920</v>
      </c>
      <c r="E3782">
        <f>VLOOKUP(C3782,'All Districts'!$B$3:$C$874,2,FALSE)</f>
        <v>3617580</v>
      </c>
      <c r="F3782" s="91">
        <f>COUNTIF($E$2:$E$7106,E3782)</f>
        <v>9</v>
      </c>
    </row>
    <row r="3783" spans="1:6" x14ac:dyDescent="0.2">
      <c r="A3783" s="10">
        <v>2021</v>
      </c>
      <c r="B3783" s="52">
        <v>5506</v>
      </c>
      <c r="C3783" s="90" t="str">
        <f>VLOOKUP(B3783,'All Districts'!$A$3:$B$874,2,FALSE)</f>
        <v>Livingston Manor</v>
      </c>
      <c r="D3783" s="76">
        <v>459517</v>
      </c>
      <c r="E3783">
        <f>VLOOKUP(C3783,'All Districts'!$B$3:$C$874,2,FALSE)</f>
        <v>3617580</v>
      </c>
      <c r="F3783" s="91">
        <f>COUNTIF($E$2:$E$7106,E3783)</f>
        <v>9</v>
      </c>
    </row>
    <row r="3784" spans="1:6" x14ac:dyDescent="0.2">
      <c r="A3784">
        <v>2022</v>
      </c>
      <c r="B3784" s="36">
        <v>5506</v>
      </c>
      <c r="C3784" s="90" t="str">
        <f>VLOOKUP(B3784,'All Districts'!$A$3:$B$874,2,FALSE)</f>
        <v>Livingston Manor</v>
      </c>
      <c r="D3784" s="82">
        <v>510576</v>
      </c>
      <c r="E3784">
        <f>VLOOKUP(C3784,'All Districts'!$B$3:$C$874,2,FALSE)</f>
        <v>3617580</v>
      </c>
      <c r="F3784" s="91">
        <f>COUNTIF($E$2:$E$7106,E3784)</f>
        <v>9</v>
      </c>
    </row>
    <row r="3785" spans="1:6" x14ac:dyDescent="0.2">
      <c r="A3785">
        <v>2023</v>
      </c>
      <c r="B3785" s="36">
        <v>5506</v>
      </c>
      <c r="C3785" s="90" t="str">
        <f>VLOOKUP(B3785,'All Districts'!$A$3:$B$874,2,FALSE)</f>
        <v>Livingston Manor</v>
      </c>
      <c r="D3785" s="40">
        <v>539870</v>
      </c>
      <c r="E3785">
        <f>VLOOKUP(C3785,'All Districts'!$B$3:$C$874,2,FALSE)</f>
        <v>3617580</v>
      </c>
      <c r="F3785" s="91">
        <f>COUNTIF($E$2:$E$7106,E3785)</f>
        <v>9</v>
      </c>
    </row>
    <row r="3786" spans="1:6" x14ac:dyDescent="0.2">
      <c r="A3786">
        <v>2015</v>
      </c>
      <c r="B3786" s="13">
        <v>2328</v>
      </c>
      <c r="C3786" s="90" t="str">
        <f>VLOOKUP(B3786,'All Districts'!$A$3:$B$874,2,FALSE)</f>
        <v>Livonia</v>
      </c>
      <c r="D3786" s="14">
        <v>2120380</v>
      </c>
      <c r="E3786">
        <f>VLOOKUP(C3786,'All Districts'!$B$3:$C$874,2,FALSE)</f>
        <v>3617640</v>
      </c>
      <c r="F3786" s="91">
        <f>COUNTIF($E$2:$E$7106,E3786)</f>
        <v>9</v>
      </c>
    </row>
    <row r="3787" spans="1:6" x14ac:dyDescent="0.2">
      <c r="A3787">
        <v>2016</v>
      </c>
      <c r="B3787" s="13">
        <v>2328</v>
      </c>
      <c r="C3787" s="90" t="str">
        <f>VLOOKUP(B3787,'All Districts'!$A$3:$B$874,2,FALSE)</f>
        <v>Livonia</v>
      </c>
      <c r="D3787" s="16">
        <v>1626280</v>
      </c>
      <c r="E3787">
        <f>VLOOKUP(C3787,'All Districts'!$B$3:$C$874,2,FALSE)</f>
        <v>3617640</v>
      </c>
      <c r="F3787" s="91">
        <f>COUNTIF($E$2:$E$7106,E3787)</f>
        <v>9</v>
      </c>
    </row>
    <row r="3788" spans="1:6" x14ac:dyDescent="0.2">
      <c r="A3788">
        <v>2017</v>
      </c>
      <c r="B3788" s="13">
        <v>2328</v>
      </c>
      <c r="C3788" s="90" t="str">
        <f>VLOOKUP(B3788,'All Districts'!$A$3:$B$874,2,FALSE)</f>
        <v>Livonia</v>
      </c>
      <c r="D3788" s="16">
        <v>1504952</v>
      </c>
      <c r="E3788">
        <f>VLOOKUP(C3788,'All Districts'!$B$3:$C$874,2,FALSE)</f>
        <v>3617640</v>
      </c>
      <c r="F3788" s="91">
        <f>COUNTIF($E$2:$E$7106,E3788)</f>
        <v>9</v>
      </c>
    </row>
    <row r="3789" spans="1:6" x14ac:dyDescent="0.2">
      <c r="A3789" s="10">
        <v>2018</v>
      </c>
      <c r="B3789" s="13">
        <v>2328</v>
      </c>
      <c r="C3789" s="90" t="str">
        <f>VLOOKUP(B3789,'All Districts'!$A$3:$B$874,2,FALSE)</f>
        <v>Livonia</v>
      </c>
      <c r="D3789" s="15">
        <v>1261150</v>
      </c>
      <c r="E3789">
        <f>VLOOKUP(C3789,'All Districts'!$B$3:$C$874,2,FALSE)</f>
        <v>3617640</v>
      </c>
      <c r="F3789" s="91">
        <f>COUNTIF($E$2:$E$7106,E3789)</f>
        <v>9</v>
      </c>
    </row>
    <row r="3790" spans="1:6" x14ac:dyDescent="0.2">
      <c r="A3790">
        <v>2019</v>
      </c>
      <c r="B3790" s="36">
        <v>2328</v>
      </c>
      <c r="C3790" s="90" t="str">
        <f>VLOOKUP(B3790,'All Districts'!$A$3:$B$874,2,FALSE)</f>
        <v>Livonia</v>
      </c>
      <c r="D3790" s="40">
        <v>1383743</v>
      </c>
      <c r="E3790">
        <f>VLOOKUP(C3790,'All Districts'!$B$3:$C$874,2,FALSE)</f>
        <v>3617640</v>
      </c>
      <c r="F3790" s="91">
        <f>COUNTIF($E$2:$E$7106,E3790)</f>
        <v>9</v>
      </c>
    </row>
    <row r="3791" spans="1:6" x14ac:dyDescent="0.2">
      <c r="A3791">
        <v>2020</v>
      </c>
      <c r="B3791" s="36">
        <v>2328</v>
      </c>
      <c r="C3791" s="90" t="str">
        <f>VLOOKUP(B3791,'All Districts'!$A$3:$B$874,2,FALSE)</f>
        <v>Livonia</v>
      </c>
      <c r="D3791" s="40">
        <v>1134330</v>
      </c>
      <c r="E3791">
        <f>VLOOKUP(C3791,'All Districts'!$B$3:$C$874,2,FALSE)</f>
        <v>3617640</v>
      </c>
      <c r="F3791" s="91">
        <f>COUNTIF($E$2:$E$7106,E3791)</f>
        <v>9</v>
      </c>
    </row>
    <row r="3792" spans="1:6" x14ac:dyDescent="0.2">
      <c r="A3792" s="10">
        <v>2021</v>
      </c>
      <c r="B3792" s="55">
        <v>2328</v>
      </c>
      <c r="C3792" s="90" t="str">
        <f>VLOOKUP(B3792,'All Districts'!$A$3:$B$874,2,FALSE)</f>
        <v>Livonia</v>
      </c>
      <c r="D3792" s="76">
        <v>1081467</v>
      </c>
      <c r="E3792">
        <f>VLOOKUP(C3792,'All Districts'!$B$3:$C$874,2,FALSE)</f>
        <v>3617640</v>
      </c>
      <c r="F3792" s="91">
        <f>COUNTIF($E$2:$E$7106,E3792)</f>
        <v>9</v>
      </c>
    </row>
    <row r="3793" spans="1:6" x14ac:dyDescent="0.2">
      <c r="A3793">
        <v>2022</v>
      </c>
      <c r="B3793" s="36">
        <v>2328</v>
      </c>
      <c r="C3793" s="90" t="str">
        <f>VLOOKUP(B3793,'All Districts'!$A$3:$B$874,2,FALSE)</f>
        <v>Livonia</v>
      </c>
      <c r="D3793" s="82">
        <v>1170781</v>
      </c>
      <c r="E3793">
        <f>VLOOKUP(C3793,'All Districts'!$B$3:$C$874,2,FALSE)</f>
        <v>3617640</v>
      </c>
      <c r="F3793" s="91">
        <f>COUNTIF($E$2:$E$7106,E3793)</f>
        <v>9</v>
      </c>
    </row>
    <row r="3794" spans="1:6" x14ac:dyDescent="0.2">
      <c r="A3794">
        <v>2023</v>
      </c>
      <c r="B3794" s="36">
        <v>2328</v>
      </c>
      <c r="C3794" s="90" t="str">
        <f>VLOOKUP(B3794,'All Districts'!$A$3:$B$874,2,FALSE)</f>
        <v>Livonia</v>
      </c>
      <c r="D3794" s="40">
        <v>1214101</v>
      </c>
      <c r="E3794">
        <f>VLOOKUP(C3794,'All Districts'!$B$3:$C$874,2,FALSE)</f>
        <v>3617640</v>
      </c>
      <c r="F3794" s="91">
        <f>COUNTIF($E$2:$E$7106,E3794)</f>
        <v>9</v>
      </c>
    </row>
    <row r="3795" spans="1:6" x14ac:dyDescent="0.2">
      <c r="A3795">
        <v>2015</v>
      </c>
      <c r="B3795" s="13">
        <v>1135</v>
      </c>
      <c r="C3795" s="90" t="str">
        <f>VLOOKUP(B3795,'All Districts'!$A$3:$B$874,2,FALSE)</f>
        <v>Lockport</v>
      </c>
      <c r="D3795" s="14">
        <v>5874736</v>
      </c>
      <c r="E3795">
        <f>VLOOKUP(C3795,'All Districts'!$B$3:$C$874,2,FALSE)</f>
        <v>3617670</v>
      </c>
      <c r="F3795" s="91">
        <f>COUNTIF($E$2:$E$7106,E3795)</f>
        <v>9</v>
      </c>
    </row>
    <row r="3796" spans="1:6" x14ac:dyDescent="0.2">
      <c r="A3796">
        <v>2016</v>
      </c>
      <c r="B3796" s="13">
        <v>1135</v>
      </c>
      <c r="C3796" s="90" t="str">
        <f>VLOOKUP(B3796,'All Districts'!$A$3:$B$874,2,FALSE)</f>
        <v>Lockport</v>
      </c>
      <c r="D3796" s="16">
        <v>4472927</v>
      </c>
      <c r="E3796">
        <f>VLOOKUP(C3796,'All Districts'!$B$3:$C$874,2,FALSE)</f>
        <v>3617670</v>
      </c>
      <c r="F3796" s="91">
        <f>COUNTIF($E$2:$E$7106,E3796)</f>
        <v>9</v>
      </c>
    </row>
    <row r="3797" spans="1:6" x14ac:dyDescent="0.2">
      <c r="A3797">
        <v>2017</v>
      </c>
      <c r="B3797" s="13">
        <v>1135</v>
      </c>
      <c r="C3797" s="90" t="str">
        <f>VLOOKUP(B3797,'All Districts'!$A$3:$B$874,2,FALSE)</f>
        <v>Lockport</v>
      </c>
      <c r="D3797" s="16">
        <v>4055615</v>
      </c>
      <c r="E3797">
        <f>VLOOKUP(C3797,'All Districts'!$B$3:$C$874,2,FALSE)</f>
        <v>3617670</v>
      </c>
      <c r="F3797" s="91">
        <f>COUNTIF($E$2:$E$7106,E3797)</f>
        <v>9</v>
      </c>
    </row>
    <row r="3798" spans="1:6" x14ac:dyDescent="0.2">
      <c r="A3798" s="10">
        <v>2018</v>
      </c>
      <c r="B3798" s="13">
        <v>1135</v>
      </c>
      <c r="C3798" s="90" t="str">
        <f>VLOOKUP(B3798,'All Districts'!$A$3:$B$874,2,FALSE)</f>
        <v>Lockport</v>
      </c>
      <c r="D3798" s="15">
        <v>3485253</v>
      </c>
      <c r="E3798">
        <f>VLOOKUP(C3798,'All Districts'!$B$3:$C$874,2,FALSE)</f>
        <v>3617670</v>
      </c>
      <c r="F3798" s="91">
        <f>COUNTIF($E$2:$E$7106,E3798)</f>
        <v>9</v>
      </c>
    </row>
    <row r="3799" spans="1:6" x14ac:dyDescent="0.2">
      <c r="A3799">
        <v>2019</v>
      </c>
      <c r="B3799" s="36">
        <v>1135</v>
      </c>
      <c r="C3799" s="90" t="str">
        <f>VLOOKUP(B3799,'All Districts'!$A$3:$B$874,2,FALSE)</f>
        <v>Lockport</v>
      </c>
      <c r="D3799" s="40">
        <v>3872272</v>
      </c>
      <c r="E3799">
        <f>VLOOKUP(C3799,'All Districts'!$B$3:$C$874,2,FALSE)</f>
        <v>3617670</v>
      </c>
      <c r="F3799" s="91">
        <f>COUNTIF($E$2:$E$7106,E3799)</f>
        <v>9</v>
      </c>
    </row>
    <row r="3800" spans="1:6" x14ac:dyDescent="0.2">
      <c r="A3800">
        <v>2020</v>
      </c>
      <c r="B3800" s="36">
        <v>1135</v>
      </c>
      <c r="C3800" s="90" t="str">
        <f>VLOOKUP(B3800,'All Districts'!$A$3:$B$874,2,FALSE)</f>
        <v>Lockport</v>
      </c>
      <c r="D3800" s="40">
        <v>3346186</v>
      </c>
      <c r="E3800">
        <f>VLOOKUP(C3800,'All Districts'!$B$3:$C$874,2,FALSE)</f>
        <v>3617670</v>
      </c>
      <c r="F3800" s="91">
        <f>COUNTIF($E$2:$E$7106,E3800)</f>
        <v>9</v>
      </c>
    </row>
    <row r="3801" spans="1:6" x14ac:dyDescent="0.2">
      <c r="A3801" s="10">
        <v>2021</v>
      </c>
      <c r="B3801" s="52">
        <v>1135</v>
      </c>
      <c r="C3801" s="90" t="str">
        <f>VLOOKUP(B3801,'All Districts'!$A$3:$B$874,2,FALSE)</f>
        <v>Lockport</v>
      </c>
      <c r="D3801" s="75">
        <v>3665126</v>
      </c>
      <c r="E3801">
        <f>VLOOKUP(C3801,'All Districts'!$B$3:$C$874,2,FALSE)</f>
        <v>3617670</v>
      </c>
      <c r="F3801" s="91">
        <f>COUNTIF($E$2:$E$7106,E3801)</f>
        <v>9</v>
      </c>
    </row>
    <row r="3802" spans="1:6" x14ac:dyDescent="0.2">
      <c r="A3802">
        <v>2022</v>
      </c>
      <c r="B3802" s="36">
        <v>1135</v>
      </c>
      <c r="C3802" s="90" t="str">
        <f>VLOOKUP(B3802,'All Districts'!$A$3:$B$874,2,FALSE)</f>
        <v>Lockport</v>
      </c>
      <c r="D3802" s="82">
        <v>4035378</v>
      </c>
      <c r="E3802">
        <f>VLOOKUP(C3802,'All Districts'!$B$3:$C$874,2,FALSE)</f>
        <v>3617670</v>
      </c>
      <c r="F3802" s="91">
        <f>COUNTIF($E$2:$E$7106,E3802)</f>
        <v>9</v>
      </c>
    </row>
    <row r="3803" spans="1:6" x14ac:dyDescent="0.2">
      <c r="A3803">
        <v>2023</v>
      </c>
      <c r="B3803" s="36">
        <v>1135</v>
      </c>
      <c r="C3803" s="90" t="str">
        <f>VLOOKUP(B3803,'All Districts'!$A$3:$B$874,2,FALSE)</f>
        <v>Lockport</v>
      </c>
      <c r="D3803" s="40">
        <v>4426362</v>
      </c>
      <c r="E3803">
        <f>VLOOKUP(C3803,'All Districts'!$B$3:$C$874,2,FALSE)</f>
        <v>3617670</v>
      </c>
      <c r="F3803" s="91">
        <f>COUNTIF($E$2:$E$7106,E3803)</f>
        <v>9</v>
      </c>
    </row>
    <row r="3804" spans="1:6" x14ac:dyDescent="0.2">
      <c r="A3804">
        <v>2015</v>
      </c>
      <c r="B3804" s="13">
        <v>2330</v>
      </c>
      <c r="C3804" s="90" t="str">
        <f>VLOOKUP(B3804,'All Districts'!$A$3:$B$874,2,FALSE)</f>
        <v>Locust Valley</v>
      </c>
      <c r="D3804" s="14">
        <v>5300948</v>
      </c>
      <c r="E3804">
        <f>VLOOKUP(C3804,'All Districts'!$B$3:$C$874,2,FALSE)</f>
        <v>3617700</v>
      </c>
      <c r="F3804" s="91">
        <f>COUNTIF($E$2:$E$7106,E3804)</f>
        <v>9</v>
      </c>
    </row>
    <row r="3805" spans="1:6" x14ac:dyDescent="0.2">
      <c r="A3805">
        <v>2016</v>
      </c>
      <c r="B3805" s="13">
        <v>2330</v>
      </c>
      <c r="C3805" s="90" t="str">
        <f>VLOOKUP(B3805,'All Districts'!$A$3:$B$874,2,FALSE)</f>
        <v>Locust Valley</v>
      </c>
      <c r="D3805" s="16">
        <v>4137514</v>
      </c>
      <c r="E3805">
        <f>VLOOKUP(C3805,'All Districts'!$B$3:$C$874,2,FALSE)</f>
        <v>3617700</v>
      </c>
      <c r="F3805" s="91">
        <f>COUNTIF($E$2:$E$7106,E3805)</f>
        <v>9</v>
      </c>
    </row>
    <row r="3806" spans="1:6" x14ac:dyDescent="0.2">
      <c r="A3806">
        <v>2017</v>
      </c>
      <c r="B3806" s="13">
        <v>2330</v>
      </c>
      <c r="C3806" s="90" t="str">
        <f>VLOOKUP(B3806,'All Districts'!$A$3:$B$874,2,FALSE)</f>
        <v>Locust Valley</v>
      </c>
      <c r="D3806" s="16">
        <v>3809532</v>
      </c>
      <c r="E3806">
        <f>VLOOKUP(C3806,'All Districts'!$B$3:$C$874,2,FALSE)</f>
        <v>3617700</v>
      </c>
      <c r="F3806" s="91">
        <f>COUNTIF($E$2:$E$7106,E3806)</f>
        <v>9</v>
      </c>
    </row>
    <row r="3807" spans="1:6" x14ac:dyDescent="0.2">
      <c r="A3807" s="10">
        <v>2018</v>
      </c>
      <c r="B3807" s="13">
        <v>2330</v>
      </c>
      <c r="C3807" s="90" t="str">
        <f>VLOOKUP(B3807,'All Districts'!$A$3:$B$874,2,FALSE)</f>
        <v>Locust Valley</v>
      </c>
      <c r="D3807" s="15">
        <v>3213201</v>
      </c>
      <c r="E3807">
        <f>VLOOKUP(C3807,'All Districts'!$B$3:$C$874,2,FALSE)</f>
        <v>3617700</v>
      </c>
      <c r="F3807" s="91">
        <f>COUNTIF($E$2:$E$7106,E3807)</f>
        <v>9</v>
      </c>
    </row>
    <row r="3808" spans="1:6" x14ac:dyDescent="0.2">
      <c r="A3808">
        <v>2019</v>
      </c>
      <c r="B3808" s="36">
        <v>2330</v>
      </c>
      <c r="C3808" s="90" t="str">
        <f>VLOOKUP(B3808,'All Districts'!$A$3:$B$874,2,FALSE)</f>
        <v>Locust Valley</v>
      </c>
      <c r="D3808" s="40">
        <v>3649364</v>
      </c>
      <c r="E3808">
        <f>VLOOKUP(C3808,'All Districts'!$B$3:$C$874,2,FALSE)</f>
        <v>3617700</v>
      </c>
      <c r="F3808" s="91">
        <f>COUNTIF($E$2:$E$7106,E3808)</f>
        <v>9</v>
      </c>
    </row>
    <row r="3809" spans="1:6" x14ac:dyDescent="0.2">
      <c r="A3809">
        <v>2020</v>
      </c>
      <c r="B3809" s="36">
        <v>2330</v>
      </c>
      <c r="C3809" s="90" t="str">
        <f>VLOOKUP(B3809,'All Districts'!$A$3:$B$874,2,FALSE)</f>
        <v>Locust Valley</v>
      </c>
      <c r="D3809" s="40">
        <v>3051898</v>
      </c>
      <c r="E3809">
        <f>VLOOKUP(C3809,'All Districts'!$B$3:$C$874,2,FALSE)</f>
        <v>3617700</v>
      </c>
      <c r="F3809" s="91">
        <f>COUNTIF($E$2:$E$7106,E3809)</f>
        <v>9</v>
      </c>
    </row>
    <row r="3810" spans="1:6" x14ac:dyDescent="0.2">
      <c r="A3810" s="10">
        <v>2021</v>
      </c>
      <c r="B3810" s="52">
        <v>2330</v>
      </c>
      <c r="C3810" s="90" t="str">
        <f>VLOOKUP(B3810,'All Districts'!$A$3:$B$874,2,FALSE)</f>
        <v>Locust Valley</v>
      </c>
      <c r="D3810" s="76">
        <v>3357722</v>
      </c>
      <c r="E3810">
        <f>VLOOKUP(C3810,'All Districts'!$B$3:$C$874,2,FALSE)</f>
        <v>3617700</v>
      </c>
      <c r="F3810" s="91">
        <f>COUNTIF($E$2:$E$7106,E3810)</f>
        <v>9</v>
      </c>
    </row>
    <row r="3811" spans="1:6" x14ac:dyDescent="0.2">
      <c r="A3811">
        <v>2022</v>
      </c>
      <c r="B3811" s="36">
        <v>2330</v>
      </c>
      <c r="C3811" s="90" t="str">
        <f>VLOOKUP(B3811,'All Districts'!$A$3:$B$874,2,FALSE)</f>
        <v>Locust Valley</v>
      </c>
      <c r="D3811" s="82">
        <v>3516218</v>
      </c>
      <c r="E3811">
        <f>VLOOKUP(C3811,'All Districts'!$B$3:$C$874,2,FALSE)</f>
        <v>3617700</v>
      </c>
      <c r="F3811" s="91">
        <f>COUNTIF($E$2:$E$7106,E3811)</f>
        <v>9</v>
      </c>
    </row>
    <row r="3812" spans="1:6" x14ac:dyDescent="0.2">
      <c r="A3812">
        <v>2023</v>
      </c>
      <c r="B3812" s="36">
        <v>2330</v>
      </c>
      <c r="C3812" s="90" t="str">
        <f>VLOOKUP(B3812,'All Districts'!$A$3:$B$874,2,FALSE)</f>
        <v>Locust Valley</v>
      </c>
      <c r="D3812" s="40">
        <v>3839024</v>
      </c>
      <c r="E3812">
        <f>VLOOKUP(C3812,'All Districts'!$B$3:$C$874,2,FALSE)</f>
        <v>3617700</v>
      </c>
      <c r="F3812" s="91">
        <f>COUNTIF($E$2:$E$7106,E3812)</f>
        <v>9</v>
      </c>
    </row>
    <row r="3813" spans="1:6" x14ac:dyDescent="0.2">
      <c r="A3813">
        <v>2015</v>
      </c>
      <c r="B3813" s="13">
        <v>1140</v>
      </c>
      <c r="C3813" s="90" t="str">
        <f>VLOOKUP(B3813,'All Districts'!$A$3:$B$874,2,FALSE)</f>
        <v>Long Beach</v>
      </c>
      <c r="D3813" s="14">
        <v>9459801</v>
      </c>
      <c r="E3813">
        <f>VLOOKUP(C3813,'All Districts'!$B$3:$C$874,2,FALSE)</f>
        <v>3617730</v>
      </c>
      <c r="F3813" s="91">
        <f>COUNTIF($E$2:$E$7106,E3813)</f>
        <v>9</v>
      </c>
    </row>
    <row r="3814" spans="1:6" x14ac:dyDescent="0.2">
      <c r="A3814">
        <v>2016</v>
      </c>
      <c r="B3814" s="13">
        <v>1140</v>
      </c>
      <c r="C3814" s="90" t="str">
        <f>VLOOKUP(B3814,'All Districts'!$A$3:$B$874,2,FALSE)</f>
        <v>Long Beach</v>
      </c>
      <c r="D3814" s="16">
        <v>7258449</v>
      </c>
      <c r="E3814">
        <f>VLOOKUP(C3814,'All Districts'!$B$3:$C$874,2,FALSE)</f>
        <v>3617730</v>
      </c>
      <c r="F3814" s="91">
        <f>COUNTIF($E$2:$E$7106,E3814)</f>
        <v>9</v>
      </c>
    </row>
    <row r="3815" spans="1:6" x14ac:dyDescent="0.2">
      <c r="A3815">
        <v>2017</v>
      </c>
      <c r="B3815" s="13">
        <v>1140</v>
      </c>
      <c r="C3815" s="90" t="str">
        <f>VLOOKUP(B3815,'All Districts'!$A$3:$B$874,2,FALSE)</f>
        <v>Long Beach</v>
      </c>
      <c r="D3815" s="16">
        <v>6404638</v>
      </c>
      <c r="E3815">
        <f>VLOOKUP(C3815,'All Districts'!$B$3:$C$874,2,FALSE)</f>
        <v>3617730</v>
      </c>
      <c r="F3815" s="91">
        <f>COUNTIF($E$2:$E$7106,E3815)</f>
        <v>9</v>
      </c>
    </row>
    <row r="3816" spans="1:6" x14ac:dyDescent="0.2">
      <c r="A3816" s="10">
        <v>2018</v>
      </c>
      <c r="B3816" s="13">
        <v>1140</v>
      </c>
      <c r="C3816" s="90" t="str">
        <f>VLOOKUP(B3816,'All Districts'!$A$3:$B$874,2,FALSE)</f>
        <v>Long Beach</v>
      </c>
      <c r="D3816" s="15">
        <v>5424899</v>
      </c>
      <c r="E3816">
        <f>VLOOKUP(C3816,'All Districts'!$B$3:$C$874,2,FALSE)</f>
        <v>3617730</v>
      </c>
      <c r="F3816" s="91">
        <f>COUNTIF($E$2:$E$7106,E3816)</f>
        <v>9</v>
      </c>
    </row>
    <row r="3817" spans="1:6" x14ac:dyDescent="0.2">
      <c r="A3817">
        <v>2019</v>
      </c>
      <c r="B3817" s="36">
        <v>1140</v>
      </c>
      <c r="C3817" s="90" t="str">
        <f>VLOOKUP(B3817,'All Districts'!$A$3:$B$874,2,FALSE)</f>
        <v>Long Beach</v>
      </c>
      <c r="D3817" s="40">
        <v>6023390</v>
      </c>
      <c r="E3817">
        <f>VLOOKUP(C3817,'All Districts'!$B$3:$C$874,2,FALSE)</f>
        <v>3617730</v>
      </c>
      <c r="F3817" s="91">
        <f>COUNTIF($E$2:$E$7106,E3817)</f>
        <v>9</v>
      </c>
    </row>
    <row r="3818" spans="1:6" x14ac:dyDescent="0.2">
      <c r="A3818">
        <v>2020</v>
      </c>
      <c r="B3818" s="36">
        <v>1140</v>
      </c>
      <c r="C3818" s="90" t="str">
        <f>VLOOKUP(B3818,'All Districts'!$A$3:$B$874,2,FALSE)</f>
        <v>Long Beach</v>
      </c>
      <c r="D3818" s="40">
        <v>5016663</v>
      </c>
      <c r="E3818">
        <f>VLOOKUP(C3818,'All Districts'!$B$3:$C$874,2,FALSE)</f>
        <v>3617730</v>
      </c>
      <c r="F3818" s="91">
        <f>COUNTIF($E$2:$E$7106,E3818)</f>
        <v>9</v>
      </c>
    </row>
    <row r="3819" spans="1:6" x14ac:dyDescent="0.2">
      <c r="A3819" s="10">
        <v>2021</v>
      </c>
      <c r="B3819" s="52">
        <v>1140</v>
      </c>
      <c r="C3819" s="90" t="str">
        <f>VLOOKUP(B3819,'All Districts'!$A$3:$B$874,2,FALSE)</f>
        <v>Long Beach</v>
      </c>
      <c r="D3819" s="76">
        <v>5597190</v>
      </c>
      <c r="E3819">
        <f>VLOOKUP(C3819,'All Districts'!$B$3:$C$874,2,FALSE)</f>
        <v>3617730</v>
      </c>
      <c r="F3819" s="91">
        <f>COUNTIF($E$2:$E$7106,E3819)</f>
        <v>9</v>
      </c>
    </row>
    <row r="3820" spans="1:6" x14ac:dyDescent="0.2">
      <c r="A3820">
        <v>2022</v>
      </c>
      <c r="B3820" s="36">
        <v>1140</v>
      </c>
      <c r="C3820" s="90" t="str">
        <f>VLOOKUP(B3820,'All Districts'!$A$3:$B$874,2,FALSE)</f>
        <v>Long Beach</v>
      </c>
      <c r="D3820" s="82">
        <v>5762463</v>
      </c>
      <c r="E3820">
        <f>VLOOKUP(C3820,'All Districts'!$B$3:$C$874,2,FALSE)</f>
        <v>3617730</v>
      </c>
      <c r="F3820" s="91">
        <f>COUNTIF($E$2:$E$7106,E3820)</f>
        <v>9</v>
      </c>
    </row>
    <row r="3821" spans="1:6" x14ac:dyDescent="0.2">
      <c r="A3821">
        <v>2023</v>
      </c>
      <c r="B3821" s="36">
        <v>1140</v>
      </c>
      <c r="C3821" s="90" t="str">
        <f>VLOOKUP(B3821,'All Districts'!$A$3:$B$874,2,FALSE)</f>
        <v>Long Beach</v>
      </c>
      <c r="D3821" s="40">
        <v>6193248</v>
      </c>
      <c r="E3821">
        <f>VLOOKUP(C3821,'All Districts'!$B$3:$C$874,2,FALSE)</f>
        <v>3617730</v>
      </c>
      <c r="F3821" s="91">
        <f>COUNTIF($E$2:$E$7106,E3821)</f>
        <v>9</v>
      </c>
    </row>
    <row r="3822" spans="1:6" x14ac:dyDescent="0.2">
      <c r="A3822">
        <v>2015</v>
      </c>
      <c r="B3822" s="13">
        <v>3856</v>
      </c>
      <c r="C3822" s="90" t="str">
        <f>VLOOKUP(B3822,'All Districts'!$A$3:$B$874,2,FALSE)</f>
        <v>Long Lake</v>
      </c>
      <c r="D3822" s="14">
        <v>211758</v>
      </c>
      <c r="E3822">
        <f>VLOOKUP(C3822,'All Districts'!$B$3:$C$874,2,FALSE)</f>
        <v>3617760</v>
      </c>
      <c r="F3822" s="91">
        <f>COUNTIF($E$2:$E$7106,E3822)</f>
        <v>9</v>
      </c>
    </row>
    <row r="3823" spans="1:6" x14ac:dyDescent="0.2">
      <c r="A3823">
        <v>2016</v>
      </c>
      <c r="B3823" s="13">
        <v>3856</v>
      </c>
      <c r="C3823" s="90" t="str">
        <f>VLOOKUP(B3823,'All Districts'!$A$3:$B$874,2,FALSE)</f>
        <v>Long Lake</v>
      </c>
      <c r="D3823" s="16">
        <v>161015</v>
      </c>
      <c r="E3823">
        <f>VLOOKUP(C3823,'All Districts'!$B$3:$C$874,2,FALSE)</f>
        <v>3617760</v>
      </c>
      <c r="F3823" s="91">
        <f>COUNTIF($E$2:$E$7106,E3823)</f>
        <v>9</v>
      </c>
    </row>
    <row r="3824" spans="1:6" x14ac:dyDescent="0.2">
      <c r="A3824">
        <v>2017</v>
      </c>
      <c r="B3824" s="13">
        <v>3856</v>
      </c>
      <c r="C3824" s="90" t="str">
        <f>VLOOKUP(B3824,'All Districts'!$A$3:$B$874,2,FALSE)</f>
        <v>Long Lake</v>
      </c>
      <c r="D3824" s="16">
        <v>146778</v>
      </c>
      <c r="E3824">
        <f>VLOOKUP(C3824,'All Districts'!$B$3:$C$874,2,FALSE)</f>
        <v>3617760</v>
      </c>
      <c r="F3824" s="91">
        <f>COUNTIF($E$2:$E$7106,E3824)</f>
        <v>9</v>
      </c>
    </row>
    <row r="3825" spans="1:6" x14ac:dyDescent="0.2">
      <c r="A3825" s="10">
        <v>2018</v>
      </c>
      <c r="B3825" s="13">
        <v>3856</v>
      </c>
      <c r="C3825" s="90" t="str">
        <f>VLOOKUP(B3825,'All Districts'!$A$3:$B$874,2,FALSE)</f>
        <v>Long Lake</v>
      </c>
      <c r="D3825" s="15">
        <v>122509</v>
      </c>
      <c r="E3825">
        <f>VLOOKUP(C3825,'All Districts'!$B$3:$C$874,2,FALSE)</f>
        <v>3617760</v>
      </c>
      <c r="F3825" s="91">
        <f>COUNTIF($E$2:$E$7106,E3825)</f>
        <v>9</v>
      </c>
    </row>
    <row r="3826" spans="1:6" x14ac:dyDescent="0.2">
      <c r="A3826">
        <v>2019</v>
      </c>
      <c r="B3826" s="36">
        <v>3856</v>
      </c>
      <c r="C3826" s="90" t="str">
        <f>VLOOKUP(B3826,'All Districts'!$A$3:$B$874,2,FALSE)</f>
        <v>Long Lake</v>
      </c>
      <c r="D3826" s="40">
        <v>126046</v>
      </c>
      <c r="E3826">
        <f>VLOOKUP(C3826,'All Districts'!$B$3:$C$874,2,FALSE)</f>
        <v>3617760</v>
      </c>
      <c r="F3826" s="91">
        <f>COUNTIF($E$2:$E$7106,E3826)</f>
        <v>9</v>
      </c>
    </row>
    <row r="3827" spans="1:6" x14ac:dyDescent="0.2">
      <c r="A3827">
        <v>2020</v>
      </c>
      <c r="B3827" s="36">
        <v>3856</v>
      </c>
      <c r="C3827" s="90" t="str">
        <f>VLOOKUP(B3827,'All Districts'!$A$3:$B$874,2,FALSE)</f>
        <v>Long Lake</v>
      </c>
      <c r="D3827" s="40">
        <v>111428</v>
      </c>
      <c r="E3827">
        <f>VLOOKUP(C3827,'All Districts'!$B$3:$C$874,2,FALSE)</f>
        <v>3617760</v>
      </c>
      <c r="F3827" s="91">
        <f>COUNTIF($E$2:$E$7106,E3827)</f>
        <v>9</v>
      </c>
    </row>
    <row r="3828" spans="1:6" x14ac:dyDescent="0.2">
      <c r="A3828" s="10">
        <v>2021</v>
      </c>
      <c r="B3828" s="52">
        <v>3856</v>
      </c>
      <c r="C3828" s="90" t="str">
        <f>VLOOKUP(B3828,'All Districts'!$A$3:$B$874,2,FALSE)</f>
        <v>Long Lake</v>
      </c>
      <c r="D3828" s="75">
        <v>121224</v>
      </c>
      <c r="E3828">
        <f>VLOOKUP(C3828,'All Districts'!$B$3:$C$874,2,FALSE)</f>
        <v>3617760</v>
      </c>
      <c r="F3828" s="91">
        <f>COUNTIF($E$2:$E$7106,E3828)</f>
        <v>9</v>
      </c>
    </row>
    <row r="3829" spans="1:6" x14ac:dyDescent="0.2">
      <c r="A3829">
        <v>2022</v>
      </c>
      <c r="B3829" s="36">
        <v>3856</v>
      </c>
      <c r="C3829" s="90" t="str">
        <f>VLOOKUP(B3829,'All Districts'!$A$3:$B$874,2,FALSE)</f>
        <v>Long Lake</v>
      </c>
      <c r="D3829" s="82">
        <v>127088</v>
      </c>
      <c r="E3829">
        <f>VLOOKUP(C3829,'All Districts'!$B$3:$C$874,2,FALSE)</f>
        <v>3617760</v>
      </c>
      <c r="F3829" s="91">
        <f>COUNTIF($E$2:$E$7106,E3829)</f>
        <v>9</v>
      </c>
    </row>
    <row r="3830" spans="1:6" x14ac:dyDescent="0.2">
      <c r="A3830">
        <v>2023</v>
      </c>
      <c r="B3830" s="36">
        <v>3856</v>
      </c>
      <c r="C3830" s="90" t="str">
        <f>VLOOKUP(B3830,'All Districts'!$A$3:$B$874,2,FALSE)</f>
        <v>Long Lake</v>
      </c>
      <c r="D3830" s="40">
        <v>141131</v>
      </c>
      <c r="E3830">
        <f>VLOOKUP(C3830,'All Districts'!$B$3:$C$874,2,FALSE)</f>
        <v>3617760</v>
      </c>
      <c r="F3830" s="91">
        <f>COUNTIF($E$2:$E$7106,E3830)</f>
        <v>9</v>
      </c>
    </row>
    <row r="3831" spans="1:6" x14ac:dyDescent="0.2">
      <c r="A3831">
        <v>2015</v>
      </c>
      <c r="B3831" s="13">
        <v>2378</v>
      </c>
      <c r="C3831" s="90" t="str">
        <f>VLOOKUP(B3831,'All Districts'!$A$3:$B$874,2,FALSE)</f>
        <v>Longwood at Middle Island</v>
      </c>
      <c r="D3831" s="14">
        <v>15076947</v>
      </c>
      <c r="E3831">
        <f>VLOOKUP(C3831,'All Districts'!$B$3:$C$874,2,FALSE)</f>
        <v>3619230</v>
      </c>
      <c r="F3831" s="91">
        <f>COUNTIF($E$2:$E$7106,E3831)</f>
        <v>9</v>
      </c>
    </row>
    <row r="3832" spans="1:6" x14ac:dyDescent="0.2">
      <c r="A3832">
        <v>2016</v>
      </c>
      <c r="B3832" s="13">
        <v>2378</v>
      </c>
      <c r="C3832" s="90" t="str">
        <f>VLOOKUP(B3832,'All Districts'!$A$3:$B$874,2,FALSE)</f>
        <v>Longwood at Middle Island</v>
      </c>
      <c r="D3832" s="16">
        <v>11976079</v>
      </c>
      <c r="E3832">
        <f>VLOOKUP(C3832,'All Districts'!$B$3:$C$874,2,FALSE)</f>
        <v>3619230</v>
      </c>
      <c r="F3832" s="91">
        <f>COUNTIF($E$2:$E$7106,E3832)</f>
        <v>9</v>
      </c>
    </row>
    <row r="3833" spans="1:6" x14ac:dyDescent="0.2">
      <c r="A3833">
        <v>2017</v>
      </c>
      <c r="B3833" s="13">
        <v>2378</v>
      </c>
      <c r="C3833" s="90" t="str">
        <f>VLOOKUP(B3833,'All Districts'!$A$3:$B$874,2,FALSE)</f>
        <v>Longwood at Middle Island</v>
      </c>
      <c r="D3833" s="16">
        <v>10873675</v>
      </c>
      <c r="E3833">
        <f>VLOOKUP(C3833,'All Districts'!$B$3:$C$874,2,FALSE)</f>
        <v>3619230</v>
      </c>
      <c r="F3833" s="91">
        <f>COUNTIF($E$2:$E$7106,E3833)</f>
        <v>9</v>
      </c>
    </row>
    <row r="3834" spans="1:6" x14ac:dyDescent="0.2">
      <c r="A3834" s="10">
        <v>2018</v>
      </c>
      <c r="B3834" s="13">
        <v>2378</v>
      </c>
      <c r="C3834" s="90" t="str">
        <f>VLOOKUP(B3834,'All Districts'!$A$3:$B$874,2,FALSE)</f>
        <v>Longwood at Middle Island</v>
      </c>
      <c r="D3834" s="15">
        <v>9258146</v>
      </c>
      <c r="E3834">
        <f>VLOOKUP(C3834,'All Districts'!$B$3:$C$874,2,FALSE)</f>
        <v>3619230</v>
      </c>
      <c r="F3834" s="91">
        <f>COUNTIF($E$2:$E$7106,E3834)</f>
        <v>9</v>
      </c>
    </row>
    <row r="3835" spans="1:6" x14ac:dyDescent="0.2">
      <c r="A3835">
        <v>2019</v>
      </c>
      <c r="B3835" s="36">
        <v>2378</v>
      </c>
      <c r="C3835" s="90" t="str">
        <f>VLOOKUP(B3835,'All Districts'!$A$3:$B$874,2,FALSE)</f>
        <v>Longwood at Middle Island</v>
      </c>
      <c r="D3835" s="40">
        <v>10282610</v>
      </c>
      <c r="E3835">
        <f>VLOOKUP(C3835,'All Districts'!$B$3:$C$874,2,FALSE)</f>
        <v>3619230</v>
      </c>
      <c r="F3835" s="91">
        <f>COUNTIF($E$2:$E$7106,E3835)</f>
        <v>9</v>
      </c>
    </row>
    <row r="3836" spans="1:6" x14ac:dyDescent="0.2">
      <c r="A3836">
        <v>2020</v>
      </c>
      <c r="B3836" s="36">
        <v>2378</v>
      </c>
      <c r="C3836" s="90" t="str">
        <f>VLOOKUP(B3836,'All Districts'!$A$3:$B$874,2,FALSE)</f>
        <v>Longwood at Middle Island</v>
      </c>
      <c r="D3836" s="40">
        <v>8798639</v>
      </c>
      <c r="E3836">
        <f>VLOOKUP(C3836,'All Districts'!$B$3:$C$874,2,FALSE)</f>
        <v>3619230</v>
      </c>
      <c r="F3836" s="91">
        <f>COUNTIF($E$2:$E$7106,E3836)</f>
        <v>9</v>
      </c>
    </row>
    <row r="3837" spans="1:6" x14ac:dyDescent="0.2">
      <c r="A3837" s="10">
        <v>2021</v>
      </c>
      <c r="B3837" s="52">
        <v>2378</v>
      </c>
      <c r="C3837" s="90" t="str">
        <f>VLOOKUP(B3837,'All Districts'!$A$3:$B$874,2,FALSE)</f>
        <v>Longwood at Middle Island</v>
      </c>
      <c r="D3837" s="75">
        <v>9658600</v>
      </c>
      <c r="E3837">
        <f>VLOOKUP(C3837,'All Districts'!$B$3:$C$874,2,FALSE)</f>
        <v>3619230</v>
      </c>
      <c r="F3837" s="91">
        <f>COUNTIF($E$2:$E$7106,E3837)</f>
        <v>9</v>
      </c>
    </row>
    <row r="3838" spans="1:6" x14ac:dyDescent="0.2">
      <c r="A3838">
        <v>2022</v>
      </c>
      <c r="B3838" s="36">
        <v>2378</v>
      </c>
      <c r="C3838" s="90" t="str">
        <f>VLOOKUP(B3838,'All Districts'!$A$3:$B$874,2,FALSE)</f>
        <v>Longwood at Middle Island</v>
      </c>
      <c r="D3838" s="82">
        <v>10304871</v>
      </c>
      <c r="E3838">
        <f>VLOOKUP(C3838,'All Districts'!$B$3:$C$874,2,FALSE)</f>
        <v>3619230</v>
      </c>
      <c r="F3838" s="91">
        <f>COUNTIF($E$2:$E$7106,E3838)</f>
        <v>9</v>
      </c>
    </row>
    <row r="3839" spans="1:6" x14ac:dyDescent="0.2">
      <c r="A3839">
        <v>2023</v>
      </c>
      <c r="B3839" s="36">
        <v>2378</v>
      </c>
      <c r="C3839" s="90" t="str">
        <f>VLOOKUP(B3839,'All Districts'!$A$3:$B$874,2,FALSE)</f>
        <v>Longwood at Middle Island</v>
      </c>
      <c r="D3839" s="40">
        <v>11290934</v>
      </c>
      <c r="E3839">
        <f>VLOOKUP(C3839,'All Districts'!$B$3:$C$874,2,FALSE)</f>
        <v>3619230</v>
      </c>
      <c r="F3839" s="91">
        <f>COUNTIF($E$2:$E$7106,E3839)</f>
        <v>9</v>
      </c>
    </row>
    <row r="3840" spans="1:6" x14ac:dyDescent="0.2">
      <c r="A3840">
        <v>2015</v>
      </c>
      <c r="B3840" s="13">
        <v>4142</v>
      </c>
      <c r="C3840" s="90" t="str">
        <f>VLOOKUP(B3840,'All Districts'!$A$3:$B$874,2,FALSE)</f>
        <v>Lowville</v>
      </c>
      <c r="D3840" s="14">
        <v>1628831</v>
      </c>
      <c r="E3840">
        <f>VLOOKUP(C3840,'All Districts'!$B$3:$C$874,2,FALSE)</f>
        <v>3617820</v>
      </c>
      <c r="F3840" s="91">
        <f>COUNTIF($E$2:$E$7106,E3840)</f>
        <v>9</v>
      </c>
    </row>
    <row r="3841" spans="1:6" x14ac:dyDescent="0.2">
      <c r="A3841">
        <v>2016</v>
      </c>
      <c r="B3841" s="13">
        <v>4142</v>
      </c>
      <c r="C3841" s="90" t="str">
        <f>VLOOKUP(B3841,'All Districts'!$A$3:$B$874,2,FALSE)</f>
        <v>Lowville</v>
      </c>
      <c r="D3841" s="16">
        <v>1259127</v>
      </c>
      <c r="E3841">
        <f>VLOOKUP(C3841,'All Districts'!$B$3:$C$874,2,FALSE)</f>
        <v>3617820</v>
      </c>
      <c r="F3841" s="91">
        <f>COUNTIF($E$2:$E$7106,E3841)</f>
        <v>9</v>
      </c>
    </row>
    <row r="3842" spans="1:6" x14ac:dyDescent="0.2">
      <c r="A3842">
        <v>2017</v>
      </c>
      <c r="B3842" s="13">
        <v>4142</v>
      </c>
      <c r="C3842" s="90" t="str">
        <f>VLOOKUP(B3842,'All Districts'!$A$3:$B$874,2,FALSE)</f>
        <v>Lowville</v>
      </c>
      <c r="D3842" s="16">
        <v>1150438</v>
      </c>
      <c r="E3842">
        <f>VLOOKUP(C3842,'All Districts'!$B$3:$C$874,2,FALSE)</f>
        <v>3617820</v>
      </c>
      <c r="F3842" s="91">
        <f>COUNTIF($E$2:$E$7106,E3842)</f>
        <v>9</v>
      </c>
    </row>
    <row r="3843" spans="1:6" x14ac:dyDescent="0.2">
      <c r="A3843" s="10">
        <v>2018</v>
      </c>
      <c r="B3843" s="13">
        <v>4142</v>
      </c>
      <c r="C3843" s="90" t="str">
        <f>VLOOKUP(B3843,'All Districts'!$A$3:$B$874,2,FALSE)</f>
        <v>Lowville</v>
      </c>
      <c r="D3843" s="15">
        <v>985517</v>
      </c>
      <c r="E3843">
        <f>VLOOKUP(C3843,'All Districts'!$B$3:$C$874,2,FALSE)</f>
        <v>3617820</v>
      </c>
      <c r="F3843" s="91">
        <f>COUNTIF($E$2:$E$7106,E3843)</f>
        <v>9</v>
      </c>
    </row>
    <row r="3844" spans="1:6" x14ac:dyDescent="0.2">
      <c r="A3844">
        <v>2019</v>
      </c>
      <c r="B3844" s="36">
        <v>4142</v>
      </c>
      <c r="C3844" s="90" t="str">
        <f>VLOOKUP(B3844,'All Districts'!$A$3:$B$874,2,FALSE)</f>
        <v>Lowville</v>
      </c>
      <c r="D3844" s="40">
        <v>1065605</v>
      </c>
      <c r="E3844">
        <f>VLOOKUP(C3844,'All Districts'!$B$3:$C$874,2,FALSE)</f>
        <v>3617820</v>
      </c>
      <c r="F3844" s="91">
        <f>COUNTIF($E$2:$E$7106,E3844)</f>
        <v>9</v>
      </c>
    </row>
    <row r="3845" spans="1:6" x14ac:dyDescent="0.2">
      <c r="A3845">
        <v>2020</v>
      </c>
      <c r="B3845" s="36">
        <v>4142</v>
      </c>
      <c r="C3845" s="90" t="str">
        <f>VLOOKUP(B3845,'All Districts'!$A$3:$B$874,2,FALSE)</f>
        <v>Lowville</v>
      </c>
      <c r="D3845" s="40">
        <v>914447</v>
      </c>
      <c r="E3845">
        <f>VLOOKUP(C3845,'All Districts'!$B$3:$C$874,2,FALSE)</f>
        <v>3617820</v>
      </c>
      <c r="F3845" s="91">
        <f>COUNTIF($E$2:$E$7106,E3845)</f>
        <v>9</v>
      </c>
    </row>
    <row r="3846" spans="1:6" x14ac:dyDescent="0.2">
      <c r="A3846" s="10">
        <v>2021</v>
      </c>
      <c r="B3846" s="52">
        <v>4142</v>
      </c>
      <c r="C3846" s="90" t="str">
        <f>VLOOKUP(B3846,'All Districts'!$A$3:$B$874,2,FALSE)</f>
        <v>Lowville</v>
      </c>
      <c r="D3846" s="76">
        <v>982644</v>
      </c>
      <c r="E3846">
        <f>VLOOKUP(C3846,'All Districts'!$B$3:$C$874,2,FALSE)</f>
        <v>3617820</v>
      </c>
      <c r="F3846" s="91">
        <f>COUNTIF($E$2:$E$7106,E3846)</f>
        <v>9</v>
      </c>
    </row>
    <row r="3847" spans="1:6" x14ac:dyDescent="0.2">
      <c r="A3847">
        <v>2022</v>
      </c>
      <c r="B3847" s="36">
        <v>4142</v>
      </c>
      <c r="C3847" s="90" t="str">
        <f>VLOOKUP(B3847,'All Districts'!$A$3:$B$874,2,FALSE)</f>
        <v>Lowville</v>
      </c>
      <c r="D3847" s="82">
        <v>1033047</v>
      </c>
      <c r="E3847">
        <f>VLOOKUP(C3847,'All Districts'!$B$3:$C$874,2,FALSE)</f>
        <v>3617820</v>
      </c>
      <c r="F3847" s="91">
        <f>COUNTIF($E$2:$E$7106,E3847)</f>
        <v>9</v>
      </c>
    </row>
    <row r="3848" spans="1:6" x14ac:dyDescent="0.2">
      <c r="A3848">
        <v>2023</v>
      </c>
      <c r="B3848" s="36">
        <v>4142</v>
      </c>
      <c r="C3848" s="90" t="str">
        <f>VLOOKUP(B3848,'All Districts'!$A$3:$B$874,2,FALSE)</f>
        <v>Lowville</v>
      </c>
      <c r="D3848" s="40">
        <v>1082202</v>
      </c>
      <c r="E3848">
        <f>VLOOKUP(C3848,'All Districts'!$B$3:$C$874,2,FALSE)</f>
        <v>3617820</v>
      </c>
      <c r="F3848" s="91">
        <f>COUNTIF($E$2:$E$7106,E3848)</f>
        <v>9</v>
      </c>
    </row>
    <row r="3849" spans="1:6" x14ac:dyDescent="0.2">
      <c r="A3849">
        <v>2015</v>
      </c>
      <c r="B3849" s="13">
        <v>4135</v>
      </c>
      <c r="C3849" s="90" t="str">
        <f>VLOOKUP(B3849,'All Districts'!$A$3:$B$874,2,FALSE)</f>
        <v>Lyme</v>
      </c>
      <c r="D3849" s="14">
        <v>401646</v>
      </c>
      <c r="E3849">
        <f>VLOOKUP(C3849,'All Districts'!$B$3:$C$874,2,FALSE)</f>
        <v>3617880</v>
      </c>
      <c r="F3849" s="91">
        <f>COUNTIF($E$2:$E$7106,E3849)</f>
        <v>9</v>
      </c>
    </row>
    <row r="3850" spans="1:6" x14ac:dyDescent="0.2">
      <c r="A3850">
        <v>2016</v>
      </c>
      <c r="B3850" s="13">
        <v>4135</v>
      </c>
      <c r="C3850" s="90" t="str">
        <f>VLOOKUP(B3850,'All Districts'!$A$3:$B$874,2,FALSE)</f>
        <v>Lyme</v>
      </c>
      <c r="D3850" s="16">
        <v>279041</v>
      </c>
      <c r="E3850">
        <f>VLOOKUP(C3850,'All Districts'!$B$3:$C$874,2,FALSE)</f>
        <v>3617880</v>
      </c>
      <c r="F3850" s="91">
        <f>COUNTIF($E$2:$E$7106,E3850)</f>
        <v>9</v>
      </c>
    </row>
    <row r="3851" spans="1:6" x14ac:dyDescent="0.2">
      <c r="A3851">
        <v>2017</v>
      </c>
      <c r="B3851" s="13">
        <v>4135</v>
      </c>
      <c r="C3851" s="90" t="str">
        <f>VLOOKUP(B3851,'All Districts'!$A$3:$B$874,2,FALSE)</f>
        <v>Lyme</v>
      </c>
      <c r="D3851" s="16">
        <v>247544</v>
      </c>
      <c r="E3851">
        <f>VLOOKUP(C3851,'All Districts'!$B$3:$C$874,2,FALSE)</f>
        <v>3617880</v>
      </c>
      <c r="F3851" s="91">
        <f>COUNTIF($E$2:$E$7106,E3851)</f>
        <v>9</v>
      </c>
    </row>
    <row r="3852" spans="1:6" x14ac:dyDescent="0.2">
      <c r="A3852" s="10">
        <v>2018</v>
      </c>
      <c r="B3852" s="13">
        <v>4135</v>
      </c>
      <c r="C3852" s="90" t="str">
        <f>VLOOKUP(B3852,'All Districts'!$A$3:$B$874,2,FALSE)</f>
        <v>Lyme</v>
      </c>
      <c r="D3852" s="15">
        <v>218657</v>
      </c>
      <c r="E3852">
        <f>VLOOKUP(C3852,'All Districts'!$B$3:$C$874,2,FALSE)</f>
        <v>3617880</v>
      </c>
      <c r="F3852" s="91">
        <f>COUNTIF($E$2:$E$7106,E3852)</f>
        <v>9</v>
      </c>
    </row>
    <row r="3853" spans="1:6" x14ac:dyDescent="0.2">
      <c r="A3853">
        <v>2019</v>
      </c>
      <c r="B3853" s="36">
        <v>4135</v>
      </c>
      <c r="C3853" s="90" t="str">
        <f>VLOOKUP(B3853,'All Districts'!$A$3:$B$874,2,FALSE)</f>
        <v>Lyme</v>
      </c>
      <c r="D3853" s="40">
        <v>251309</v>
      </c>
      <c r="E3853">
        <f>VLOOKUP(C3853,'All Districts'!$B$3:$C$874,2,FALSE)</f>
        <v>3617880</v>
      </c>
      <c r="F3853" s="91">
        <f>COUNTIF($E$2:$E$7106,E3853)</f>
        <v>9</v>
      </c>
    </row>
    <row r="3854" spans="1:6" x14ac:dyDescent="0.2">
      <c r="A3854">
        <v>2020</v>
      </c>
      <c r="B3854" s="36">
        <v>4135</v>
      </c>
      <c r="C3854" s="90" t="str">
        <f>VLOOKUP(B3854,'All Districts'!$A$3:$B$874,2,FALSE)</f>
        <v>Lyme</v>
      </c>
      <c r="D3854" s="40">
        <v>212151</v>
      </c>
      <c r="E3854">
        <f>VLOOKUP(C3854,'All Districts'!$B$3:$C$874,2,FALSE)</f>
        <v>3617880</v>
      </c>
      <c r="F3854" s="91">
        <f>COUNTIF($E$2:$E$7106,E3854)</f>
        <v>9</v>
      </c>
    </row>
    <row r="3855" spans="1:6" x14ac:dyDescent="0.2">
      <c r="A3855" s="10">
        <v>2021</v>
      </c>
      <c r="B3855" s="52">
        <v>4135</v>
      </c>
      <c r="C3855" s="90" t="str">
        <f>VLOOKUP(B3855,'All Districts'!$A$3:$B$874,2,FALSE)</f>
        <v>Lyme</v>
      </c>
      <c r="D3855" s="76">
        <v>229290</v>
      </c>
      <c r="E3855">
        <f>VLOOKUP(C3855,'All Districts'!$B$3:$C$874,2,FALSE)</f>
        <v>3617880</v>
      </c>
      <c r="F3855" s="91">
        <f>COUNTIF($E$2:$E$7106,E3855)</f>
        <v>9</v>
      </c>
    </row>
    <row r="3856" spans="1:6" x14ac:dyDescent="0.2">
      <c r="A3856">
        <v>2022</v>
      </c>
      <c r="B3856" s="36">
        <v>4135</v>
      </c>
      <c r="C3856" s="90" t="str">
        <f>VLOOKUP(B3856,'All Districts'!$A$3:$B$874,2,FALSE)</f>
        <v>Lyme</v>
      </c>
      <c r="D3856" s="82">
        <v>245347</v>
      </c>
      <c r="E3856">
        <f>VLOOKUP(C3856,'All Districts'!$B$3:$C$874,2,FALSE)</f>
        <v>3617880</v>
      </c>
      <c r="F3856" s="91">
        <f>COUNTIF($E$2:$E$7106,E3856)</f>
        <v>9</v>
      </c>
    </row>
    <row r="3857" spans="1:6" x14ac:dyDescent="0.2">
      <c r="A3857">
        <v>2023</v>
      </c>
      <c r="B3857" s="36">
        <v>4135</v>
      </c>
      <c r="C3857" s="90" t="str">
        <f>VLOOKUP(B3857,'All Districts'!$A$3:$B$874,2,FALSE)</f>
        <v>Lyme</v>
      </c>
      <c r="D3857" s="40">
        <v>264874</v>
      </c>
      <c r="E3857">
        <f>VLOOKUP(C3857,'All Districts'!$B$3:$C$874,2,FALSE)</f>
        <v>3617880</v>
      </c>
      <c r="F3857" s="91">
        <f>COUNTIF($E$2:$E$7106,E3857)</f>
        <v>9</v>
      </c>
    </row>
    <row r="3858" spans="1:6" x14ac:dyDescent="0.2">
      <c r="A3858">
        <v>2015</v>
      </c>
      <c r="B3858" s="13">
        <v>2335</v>
      </c>
      <c r="C3858" s="90" t="str">
        <f>VLOOKUP(B3858,'All Districts'!$A$3:$B$874,2,FALSE)</f>
        <v>Lynbrook</v>
      </c>
      <c r="D3858" s="14">
        <v>5983799</v>
      </c>
      <c r="E3858">
        <f>VLOOKUP(C3858,'All Districts'!$B$3:$C$874,2,FALSE)</f>
        <v>3617910</v>
      </c>
      <c r="F3858" s="91">
        <f>COUNTIF($E$2:$E$7106,E3858)</f>
        <v>9</v>
      </c>
    </row>
    <row r="3859" spans="1:6" x14ac:dyDescent="0.2">
      <c r="A3859">
        <v>2016</v>
      </c>
      <c r="B3859" s="13">
        <v>2335</v>
      </c>
      <c r="C3859" s="90" t="str">
        <f>VLOOKUP(B3859,'All Districts'!$A$3:$B$874,2,FALSE)</f>
        <v>Lynbrook</v>
      </c>
      <c r="D3859" s="16">
        <v>4783343</v>
      </c>
      <c r="E3859">
        <f>VLOOKUP(C3859,'All Districts'!$B$3:$C$874,2,FALSE)</f>
        <v>3617910</v>
      </c>
      <c r="F3859" s="91">
        <f>COUNTIF($E$2:$E$7106,E3859)</f>
        <v>9</v>
      </c>
    </row>
    <row r="3860" spans="1:6" x14ac:dyDescent="0.2">
      <c r="A3860">
        <v>2017</v>
      </c>
      <c r="B3860" s="13">
        <v>2335</v>
      </c>
      <c r="C3860" s="90" t="str">
        <f>VLOOKUP(B3860,'All Districts'!$A$3:$B$874,2,FALSE)</f>
        <v>Lynbrook</v>
      </c>
      <c r="D3860" s="16">
        <v>4305519</v>
      </c>
      <c r="E3860">
        <f>VLOOKUP(C3860,'All Districts'!$B$3:$C$874,2,FALSE)</f>
        <v>3617910</v>
      </c>
      <c r="F3860" s="91">
        <f>COUNTIF($E$2:$E$7106,E3860)</f>
        <v>9</v>
      </c>
    </row>
    <row r="3861" spans="1:6" x14ac:dyDescent="0.2">
      <c r="A3861" s="10">
        <v>2018</v>
      </c>
      <c r="B3861" s="13">
        <v>2335</v>
      </c>
      <c r="C3861" s="90" t="str">
        <f>VLOOKUP(B3861,'All Districts'!$A$3:$B$874,2,FALSE)</f>
        <v>Lynbrook</v>
      </c>
      <c r="D3861" s="15">
        <v>3688074</v>
      </c>
      <c r="E3861">
        <f>VLOOKUP(C3861,'All Districts'!$B$3:$C$874,2,FALSE)</f>
        <v>3617910</v>
      </c>
      <c r="F3861" s="91">
        <f>COUNTIF($E$2:$E$7106,E3861)</f>
        <v>9</v>
      </c>
    </row>
    <row r="3862" spans="1:6" x14ac:dyDescent="0.2">
      <c r="A3862">
        <v>2019</v>
      </c>
      <c r="B3862" s="36">
        <v>2335</v>
      </c>
      <c r="C3862" s="90" t="str">
        <f>VLOOKUP(B3862,'All Districts'!$A$3:$B$874,2,FALSE)</f>
        <v>Lynbrook</v>
      </c>
      <c r="D3862" s="40">
        <v>4101502</v>
      </c>
      <c r="E3862">
        <f>VLOOKUP(C3862,'All Districts'!$B$3:$C$874,2,FALSE)</f>
        <v>3617910</v>
      </c>
      <c r="F3862" s="91">
        <f>COUNTIF($E$2:$E$7106,E3862)</f>
        <v>9</v>
      </c>
    </row>
    <row r="3863" spans="1:6" x14ac:dyDescent="0.2">
      <c r="A3863">
        <v>2020</v>
      </c>
      <c r="B3863" s="36">
        <v>2335</v>
      </c>
      <c r="C3863" s="90" t="str">
        <f>VLOOKUP(B3863,'All Districts'!$A$3:$B$874,2,FALSE)</f>
        <v>Lynbrook</v>
      </c>
      <c r="D3863" s="40">
        <v>3479836</v>
      </c>
      <c r="E3863">
        <f>VLOOKUP(C3863,'All Districts'!$B$3:$C$874,2,FALSE)</f>
        <v>3617910</v>
      </c>
      <c r="F3863" s="91">
        <f>COUNTIF($E$2:$E$7106,E3863)</f>
        <v>9</v>
      </c>
    </row>
    <row r="3864" spans="1:6" x14ac:dyDescent="0.2">
      <c r="A3864" s="10">
        <v>2021</v>
      </c>
      <c r="B3864" s="52">
        <v>2335</v>
      </c>
      <c r="C3864" s="90" t="str">
        <f>VLOOKUP(B3864,'All Districts'!$A$3:$B$874,2,FALSE)</f>
        <v>Lynbrook</v>
      </c>
      <c r="D3864" s="75">
        <v>3825086</v>
      </c>
      <c r="E3864">
        <f>VLOOKUP(C3864,'All Districts'!$B$3:$C$874,2,FALSE)</f>
        <v>3617910</v>
      </c>
      <c r="F3864" s="91">
        <f>COUNTIF($E$2:$E$7106,E3864)</f>
        <v>9</v>
      </c>
    </row>
    <row r="3865" spans="1:6" x14ac:dyDescent="0.2">
      <c r="A3865">
        <v>2022</v>
      </c>
      <c r="B3865" s="36">
        <v>2335</v>
      </c>
      <c r="C3865" s="90" t="str">
        <f>VLOOKUP(B3865,'All Districts'!$A$3:$B$874,2,FALSE)</f>
        <v>Lynbrook</v>
      </c>
      <c r="D3865" s="82">
        <v>4017706</v>
      </c>
      <c r="E3865">
        <f>VLOOKUP(C3865,'All Districts'!$B$3:$C$874,2,FALSE)</f>
        <v>3617910</v>
      </c>
      <c r="F3865" s="91">
        <f>COUNTIF($E$2:$E$7106,E3865)</f>
        <v>9</v>
      </c>
    </row>
    <row r="3866" spans="1:6" x14ac:dyDescent="0.2">
      <c r="A3866">
        <v>2023</v>
      </c>
      <c r="B3866" s="36">
        <v>2335</v>
      </c>
      <c r="C3866" s="90" t="str">
        <f>VLOOKUP(B3866,'All Districts'!$A$3:$B$874,2,FALSE)</f>
        <v>Lynbrook</v>
      </c>
      <c r="D3866" s="40">
        <v>4421913</v>
      </c>
      <c r="E3866">
        <f>VLOOKUP(C3866,'All Districts'!$B$3:$C$874,2,FALSE)</f>
        <v>3617910</v>
      </c>
      <c r="F3866" s="91">
        <f>COUNTIF($E$2:$E$7106,E3866)</f>
        <v>9</v>
      </c>
    </row>
    <row r="3867" spans="1:6" x14ac:dyDescent="0.2">
      <c r="A3867">
        <v>2015</v>
      </c>
      <c r="B3867" s="13">
        <v>4557</v>
      </c>
      <c r="C3867" s="90" t="str">
        <f>VLOOKUP(B3867,'All Districts'!$A$3:$B$874,2,FALSE)</f>
        <v>Lyncourt</v>
      </c>
      <c r="D3867" s="14">
        <v>526766</v>
      </c>
      <c r="E3867">
        <f>VLOOKUP(C3867,'All Districts'!$B$3:$C$874,2,FALSE)</f>
        <v>3617940</v>
      </c>
      <c r="F3867" s="91">
        <f>COUNTIF($E$2:$E$7106,E3867)</f>
        <v>9</v>
      </c>
    </row>
    <row r="3868" spans="1:6" x14ac:dyDescent="0.2">
      <c r="A3868">
        <v>2016</v>
      </c>
      <c r="B3868" s="13">
        <v>4557</v>
      </c>
      <c r="C3868" s="90" t="str">
        <f>VLOOKUP(B3868,'All Districts'!$A$3:$B$874,2,FALSE)</f>
        <v>Lyncourt</v>
      </c>
      <c r="D3868" s="16">
        <v>420700</v>
      </c>
      <c r="E3868">
        <f>VLOOKUP(C3868,'All Districts'!$B$3:$C$874,2,FALSE)</f>
        <v>3617940</v>
      </c>
      <c r="F3868" s="91">
        <f>COUNTIF($E$2:$E$7106,E3868)</f>
        <v>9</v>
      </c>
    </row>
    <row r="3869" spans="1:6" x14ac:dyDescent="0.2">
      <c r="A3869">
        <v>2017</v>
      </c>
      <c r="B3869" s="13">
        <v>4557</v>
      </c>
      <c r="C3869" s="90" t="str">
        <f>VLOOKUP(B3869,'All Districts'!$A$3:$B$874,2,FALSE)</f>
        <v>Lyncourt</v>
      </c>
      <c r="D3869" s="16">
        <v>397944</v>
      </c>
      <c r="E3869">
        <f>VLOOKUP(C3869,'All Districts'!$B$3:$C$874,2,FALSE)</f>
        <v>3617940</v>
      </c>
      <c r="F3869" s="91">
        <f>COUNTIF($E$2:$E$7106,E3869)</f>
        <v>9</v>
      </c>
    </row>
    <row r="3870" spans="1:6" x14ac:dyDescent="0.2">
      <c r="A3870" s="10">
        <v>2018</v>
      </c>
      <c r="B3870" s="13">
        <v>4557</v>
      </c>
      <c r="C3870" s="90" t="str">
        <f>VLOOKUP(B3870,'All Districts'!$A$3:$B$874,2,FALSE)</f>
        <v>Lyncourt</v>
      </c>
      <c r="D3870" s="15">
        <v>330708</v>
      </c>
      <c r="E3870">
        <f>VLOOKUP(C3870,'All Districts'!$B$3:$C$874,2,FALSE)</f>
        <v>3617940</v>
      </c>
      <c r="F3870" s="91">
        <f>COUNTIF($E$2:$E$7106,E3870)</f>
        <v>9</v>
      </c>
    </row>
    <row r="3871" spans="1:6" x14ac:dyDescent="0.2">
      <c r="A3871">
        <v>2019</v>
      </c>
      <c r="B3871" s="36">
        <v>4557</v>
      </c>
      <c r="C3871" s="90" t="str">
        <f>VLOOKUP(B3871,'All Districts'!$A$3:$B$874,2,FALSE)</f>
        <v>Lyncourt</v>
      </c>
      <c r="D3871" s="40">
        <v>377919</v>
      </c>
      <c r="E3871">
        <f>VLOOKUP(C3871,'All Districts'!$B$3:$C$874,2,FALSE)</f>
        <v>3617940</v>
      </c>
      <c r="F3871" s="91">
        <f>COUNTIF($E$2:$E$7106,E3871)</f>
        <v>9</v>
      </c>
    </row>
    <row r="3872" spans="1:6" x14ac:dyDescent="0.2">
      <c r="A3872">
        <v>2020</v>
      </c>
      <c r="B3872" s="36">
        <v>4557</v>
      </c>
      <c r="C3872" s="90" t="str">
        <f>VLOOKUP(B3872,'All Districts'!$A$3:$B$874,2,FALSE)</f>
        <v>Lyncourt</v>
      </c>
      <c r="D3872" s="40">
        <v>330544</v>
      </c>
      <c r="E3872">
        <f>VLOOKUP(C3872,'All Districts'!$B$3:$C$874,2,FALSE)</f>
        <v>3617940</v>
      </c>
      <c r="F3872" s="91">
        <f>COUNTIF($E$2:$E$7106,E3872)</f>
        <v>9</v>
      </c>
    </row>
    <row r="3873" spans="1:6" x14ac:dyDescent="0.2">
      <c r="A3873" s="10">
        <v>2021</v>
      </c>
      <c r="B3873" s="52">
        <v>4557</v>
      </c>
      <c r="C3873" s="90" t="str">
        <f>VLOOKUP(B3873,'All Districts'!$A$3:$B$874,2,FALSE)</f>
        <v>Lyncourt</v>
      </c>
      <c r="D3873" s="75">
        <v>370296</v>
      </c>
      <c r="E3873">
        <f>VLOOKUP(C3873,'All Districts'!$B$3:$C$874,2,FALSE)</f>
        <v>3617940</v>
      </c>
      <c r="F3873" s="91">
        <f>COUNTIF($E$2:$E$7106,E3873)</f>
        <v>9</v>
      </c>
    </row>
    <row r="3874" spans="1:6" x14ac:dyDescent="0.2">
      <c r="A3874">
        <v>2022</v>
      </c>
      <c r="B3874" s="36">
        <v>4557</v>
      </c>
      <c r="C3874" s="90" t="str">
        <f>VLOOKUP(B3874,'All Districts'!$A$3:$B$874,2,FALSE)</f>
        <v>Lyncourt</v>
      </c>
      <c r="D3874" s="82">
        <v>406008</v>
      </c>
      <c r="E3874">
        <f>VLOOKUP(C3874,'All Districts'!$B$3:$C$874,2,FALSE)</f>
        <v>3617940</v>
      </c>
      <c r="F3874" s="91">
        <f>COUNTIF($E$2:$E$7106,E3874)</f>
        <v>9</v>
      </c>
    </row>
    <row r="3875" spans="1:6" x14ac:dyDescent="0.2">
      <c r="A3875">
        <v>2023</v>
      </c>
      <c r="B3875" s="36">
        <v>4557</v>
      </c>
      <c r="C3875" s="90" t="str">
        <f>VLOOKUP(B3875,'All Districts'!$A$3:$B$874,2,FALSE)</f>
        <v>Lyncourt</v>
      </c>
      <c r="D3875" s="40">
        <v>447177</v>
      </c>
      <c r="E3875">
        <f>VLOOKUP(C3875,'All Districts'!$B$3:$C$874,2,FALSE)</f>
        <v>3617940</v>
      </c>
      <c r="F3875" s="91">
        <f>COUNTIF($E$2:$E$7106,E3875)</f>
        <v>9</v>
      </c>
    </row>
    <row r="3876" spans="1:6" x14ac:dyDescent="0.2">
      <c r="A3876">
        <v>2015</v>
      </c>
      <c r="B3876" s="13">
        <v>4680</v>
      </c>
      <c r="C3876" s="90" t="str">
        <f>VLOOKUP(B3876,'All Districts'!$A$3:$B$874,2,FALSE)</f>
        <v>Lyndonville</v>
      </c>
      <c r="D3876" s="14">
        <v>796714</v>
      </c>
      <c r="E3876">
        <f>VLOOKUP(C3876,'All Districts'!$B$3:$C$874,2,FALSE)</f>
        <v>3617970</v>
      </c>
      <c r="F3876" s="91">
        <f>COUNTIF($E$2:$E$7106,E3876)</f>
        <v>9</v>
      </c>
    </row>
    <row r="3877" spans="1:6" x14ac:dyDescent="0.2">
      <c r="A3877">
        <v>2016</v>
      </c>
      <c r="B3877" s="13">
        <v>4680</v>
      </c>
      <c r="C3877" s="90" t="str">
        <f>VLOOKUP(B3877,'All Districts'!$A$3:$B$874,2,FALSE)</f>
        <v>Lyndonville</v>
      </c>
      <c r="D3877" s="16">
        <v>609563</v>
      </c>
      <c r="E3877">
        <f>VLOOKUP(C3877,'All Districts'!$B$3:$C$874,2,FALSE)</f>
        <v>3617970</v>
      </c>
      <c r="F3877" s="91">
        <f>COUNTIF($E$2:$E$7106,E3877)</f>
        <v>9</v>
      </c>
    </row>
    <row r="3878" spans="1:6" x14ac:dyDescent="0.2">
      <c r="A3878">
        <v>2017</v>
      </c>
      <c r="B3878" s="13">
        <v>4680</v>
      </c>
      <c r="C3878" s="90" t="str">
        <f>VLOOKUP(B3878,'All Districts'!$A$3:$B$874,2,FALSE)</f>
        <v>Lyndonville</v>
      </c>
      <c r="D3878" s="16">
        <v>548997</v>
      </c>
      <c r="E3878">
        <f>VLOOKUP(C3878,'All Districts'!$B$3:$C$874,2,FALSE)</f>
        <v>3617970</v>
      </c>
      <c r="F3878" s="91">
        <f>COUNTIF($E$2:$E$7106,E3878)</f>
        <v>9</v>
      </c>
    </row>
    <row r="3879" spans="1:6" x14ac:dyDescent="0.2">
      <c r="A3879" s="10">
        <v>2018</v>
      </c>
      <c r="B3879" s="13">
        <v>4680</v>
      </c>
      <c r="C3879" s="90" t="str">
        <f>VLOOKUP(B3879,'All Districts'!$A$3:$B$874,2,FALSE)</f>
        <v>Lyndonville</v>
      </c>
      <c r="D3879" s="15">
        <v>482246</v>
      </c>
      <c r="E3879">
        <f>VLOOKUP(C3879,'All Districts'!$B$3:$C$874,2,FALSE)</f>
        <v>3617970</v>
      </c>
      <c r="F3879" s="91">
        <f>COUNTIF($E$2:$E$7106,E3879)</f>
        <v>9</v>
      </c>
    </row>
    <row r="3880" spans="1:6" x14ac:dyDescent="0.2">
      <c r="A3880">
        <v>2019</v>
      </c>
      <c r="B3880" s="36">
        <v>4680</v>
      </c>
      <c r="C3880" s="90" t="str">
        <f>VLOOKUP(B3880,'All Districts'!$A$3:$B$874,2,FALSE)</f>
        <v>Lyndonville</v>
      </c>
      <c r="D3880" s="40">
        <v>547066</v>
      </c>
      <c r="E3880">
        <f>VLOOKUP(C3880,'All Districts'!$B$3:$C$874,2,FALSE)</f>
        <v>3617970</v>
      </c>
      <c r="F3880" s="91">
        <f>COUNTIF($E$2:$E$7106,E3880)</f>
        <v>9</v>
      </c>
    </row>
    <row r="3881" spans="1:6" x14ac:dyDescent="0.2">
      <c r="A3881">
        <v>2020</v>
      </c>
      <c r="B3881" s="36">
        <v>4680</v>
      </c>
      <c r="C3881" s="90" t="str">
        <f>VLOOKUP(B3881,'All Districts'!$A$3:$B$874,2,FALSE)</f>
        <v>Lyndonville</v>
      </c>
      <c r="D3881" s="40">
        <v>464704</v>
      </c>
      <c r="E3881">
        <f>VLOOKUP(C3881,'All Districts'!$B$3:$C$874,2,FALSE)</f>
        <v>3617970</v>
      </c>
      <c r="F3881" s="91">
        <f>COUNTIF($E$2:$E$7106,E3881)</f>
        <v>9</v>
      </c>
    </row>
    <row r="3882" spans="1:6" x14ac:dyDescent="0.2">
      <c r="A3882" s="10">
        <v>2021</v>
      </c>
      <c r="B3882" s="52">
        <v>4680</v>
      </c>
      <c r="C3882" s="90" t="str">
        <f>VLOOKUP(B3882,'All Districts'!$A$3:$B$874,2,FALSE)</f>
        <v>Lyndonville</v>
      </c>
      <c r="D3882" s="76">
        <v>518875</v>
      </c>
      <c r="E3882">
        <f>VLOOKUP(C3882,'All Districts'!$B$3:$C$874,2,FALSE)</f>
        <v>3617970</v>
      </c>
      <c r="F3882" s="91">
        <f>COUNTIF($E$2:$E$7106,E3882)</f>
        <v>9</v>
      </c>
    </row>
    <row r="3883" spans="1:6" x14ac:dyDescent="0.2">
      <c r="A3883">
        <v>2022</v>
      </c>
      <c r="B3883" s="36">
        <v>4680</v>
      </c>
      <c r="C3883" s="90" t="str">
        <f>VLOOKUP(B3883,'All Districts'!$A$3:$B$874,2,FALSE)</f>
        <v>Lyndonville</v>
      </c>
      <c r="D3883" s="82">
        <v>586457</v>
      </c>
      <c r="E3883">
        <f>VLOOKUP(C3883,'All Districts'!$B$3:$C$874,2,FALSE)</f>
        <v>3617970</v>
      </c>
      <c r="F3883" s="91">
        <f>COUNTIF($E$2:$E$7106,E3883)</f>
        <v>9</v>
      </c>
    </row>
    <row r="3884" spans="1:6" x14ac:dyDescent="0.2">
      <c r="A3884">
        <v>2023</v>
      </c>
      <c r="B3884" s="36">
        <v>4680</v>
      </c>
      <c r="C3884" s="90" t="str">
        <f>VLOOKUP(B3884,'All Districts'!$A$3:$B$874,2,FALSE)</f>
        <v>Lyndonville</v>
      </c>
      <c r="D3884" s="40">
        <v>591892</v>
      </c>
      <c r="E3884">
        <f>VLOOKUP(C3884,'All Districts'!$B$3:$C$874,2,FALSE)</f>
        <v>3617970</v>
      </c>
      <c r="F3884" s="91">
        <f>COUNTIF($E$2:$E$7106,E3884)</f>
        <v>9</v>
      </c>
    </row>
    <row r="3885" spans="1:6" x14ac:dyDescent="0.2">
      <c r="A3885">
        <v>2015</v>
      </c>
      <c r="B3885" s="13">
        <v>4594</v>
      </c>
      <c r="C3885" s="90" t="str">
        <f>VLOOKUP(B3885,'All Districts'!$A$3:$B$874,2,FALSE)</f>
        <v>Lyons</v>
      </c>
      <c r="D3885" s="14">
        <v>1037418</v>
      </c>
      <c r="E3885">
        <f>VLOOKUP(C3885,'All Districts'!$B$3:$C$874,2,FALSE)</f>
        <v>3618030</v>
      </c>
      <c r="F3885" s="91">
        <f>COUNTIF($E$2:$E$7106,E3885)</f>
        <v>9</v>
      </c>
    </row>
    <row r="3886" spans="1:6" x14ac:dyDescent="0.2">
      <c r="A3886">
        <v>2016</v>
      </c>
      <c r="B3886" s="13">
        <v>4594</v>
      </c>
      <c r="C3886" s="90" t="str">
        <f>VLOOKUP(B3886,'All Districts'!$A$3:$B$874,2,FALSE)</f>
        <v>Lyons</v>
      </c>
      <c r="D3886" s="16">
        <v>777390</v>
      </c>
      <c r="E3886">
        <f>VLOOKUP(C3886,'All Districts'!$B$3:$C$874,2,FALSE)</f>
        <v>3618030</v>
      </c>
      <c r="F3886" s="91">
        <f>COUNTIF($E$2:$E$7106,E3886)</f>
        <v>9</v>
      </c>
    </row>
    <row r="3887" spans="1:6" x14ac:dyDescent="0.2">
      <c r="A3887">
        <v>2017</v>
      </c>
      <c r="B3887" s="13">
        <v>4594</v>
      </c>
      <c r="C3887" s="90" t="str">
        <f>VLOOKUP(B3887,'All Districts'!$A$3:$B$874,2,FALSE)</f>
        <v>Lyons</v>
      </c>
      <c r="D3887" s="16">
        <v>869582</v>
      </c>
      <c r="E3887">
        <f>VLOOKUP(C3887,'All Districts'!$B$3:$C$874,2,FALSE)</f>
        <v>3618030</v>
      </c>
      <c r="F3887" s="91">
        <f>COUNTIF($E$2:$E$7106,E3887)</f>
        <v>9</v>
      </c>
    </row>
    <row r="3888" spans="1:6" x14ac:dyDescent="0.2">
      <c r="A3888" s="10">
        <v>2018</v>
      </c>
      <c r="B3888" s="13">
        <v>4594</v>
      </c>
      <c r="C3888" s="90" t="str">
        <f>VLOOKUP(B3888,'All Districts'!$A$3:$B$874,2,FALSE)</f>
        <v>Lyons</v>
      </c>
      <c r="D3888" s="15">
        <v>662139</v>
      </c>
      <c r="E3888">
        <f>VLOOKUP(C3888,'All Districts'!$B$3:$C$874,2,FALSE)</f>
        <v>3618030</v>
      </c>
      <c r="F3888" s="91">
        <f>COUNTIF($E$2:$E$7106,E3888)</f>
        <v>9</v>
      </c>
    </row>
    <row r="3889" spans="1:6" x14ac:dyDescent="0.2">
      <c r="A3889">
        <v>2019</v>
      </c>
      <c r="B3889" s="36">
        <v>4594</v>
      </c>
      <c r="C3889" s="90" t="str">
        <f>VLOOKUP(B3889,'All Districts'!$A$3:$B$874,2,FALSE)</f>
        <v>Lyons</v>
      </c>
      <c r="D3889" s="40">
        <v>724914</v>
      </c>
      <c r="E3889">
        <f>VLOOKUP(C3889,'All Districts'!$B$3:$C$874,2,FALSE)</f>
        <v>3618030</v>
      </c>
      <c r="F3889" s="91">
        <f>COUNTIF($E$2:$E$7106,E3889)</f>
        <v>9</v>
      </c>
    </row>
    <row r="3890" spans="1:6" x14ac:dyDescent="0.2">
      <c r="A3890">
        <v>2020</v>
      </c>
      <c r="B3890" s="36">
        <v>4594</v>
      </c>
      <c r="C3890" s="90" t="str">
        <f>VLOOKUP(B3890,'All Districts'!$A$3:$B$874,2,FALSE)</f>
        <v>Lyons</v>
      </c>
      <c r="D3890" s="40">
        <v>628444</v>
      </c>
      <c r="E3890">
        <f>VLOOKUP(C3890,'All Districts'!$B$3:$C$874,2,FALSE)</f>
        <v>3618030</v>
      </c>
      <c r="F3890" s="91">
        <f>COUNTIF($E$2:$E$7106,E3890)</f>
        <v>9</v>
      </c>
    </row>
    <row r="3891" spans="1:6" x14ac:dyDescent="0.2">
      <c r="A3891" s="10">
        <v>2021</v>
      </c>
      <c r="B3891" s="52">
        <v>4594</v>
      </c>
      <c r="C3891" s="90" t="str">
        <f>VLOOKUP(B3891,'All Districts'!$A$3:$B$874,2,FALSE)</f>
        <v>Lyons</v>
      </c>
      <c r="D3891" s="76">
        <v>633267</v>
      </c>
      <c r="E3891">
        <f>VLOOKUP(C3891,'All Districts'!$B$3:$C$874,2,FALSE)</f>
        <v>3618030</v>
      </c>
      <c r="F3891" s="91">
        <f>COUNTIF($E$2:$E$7106,E3891)</f>
        <v>9</v>
      </c>
    </row>
    <row r="3892" spans="1:6" x14ac:dyDescent="0.2">
      <c r="A3892">
        <v>2022</v>
      </c>
      <c r="B3892" s="36">
        <v>4594</v>
      </c>
      <c r="C3892" s="90" t="str">
        <f>VLOOKUP(B3892,'All Districts'!$A$3:$B$874,2,FALSE)</f>
        <v>Lyons</v>
      </c>
      <c r="D3892" s="82">
        <v>747181</v>
      </c>
      <c r="E3892">
        <f>VLOOKUP(C3892,'All Districts'!$B$3:$C$874,2,FALSE)</f>
        <v>3618030</v>
      </c>
      <c r="F3892" s="91">
        <f>COUNTIF($E$2:$E$7106,E3892)</f>
        <v>9</v>
      </c>
    </row>
    <row r="3893" spans="1:6" x14ac:dyDescent="0.2">
      <c r="A3893">
        <v>2023</v>
      </c>
      <c r="B3893" s="36">
        <v>4594</v>
      </c>
      <c r="C3893" s="90" t="str">
        <f>VLOOKUP(B3893,'All Districts'!$A$3:$B$874,2,FALSE)</f>
        <v>Lyons</v>
      </c>
      <c r="D3893" s="40">
        <v>829233</v>
      </c>
      <c r="E3893">
        <f>VLOOKUP(C3893,'All Districts'!$B$3:$C$874,2,FALSE)</f>
        <v>3618030</v>
      </c>
      <c r="F3893" s="91">
        <f>COUNTIF($E$2:$E$7106,E3893)</f>
        <v>9</v>
      </c>
    </row>
    <row r="3894" spans="1:6" x14ac:dyDescent="0.2">
      <c r="A3894">
        <v>2015</v>
      </c>
      <c r="B3894" s="13">
        <v>4205</v>
      </c>
      <c r="C3894" s="90" t="str">
        <f>VLOOKUP(B3894,'All Districts'!$A$3:$B$874,2,FALSE)</f>
        <v>Madison</v>
      </c>
      <c r="D3894" s="14">
        <v>505670</v>
      </c>
      <c r="E3894">
        <f>VLOOKUP(C3894,'All Districts'!$B$3:$C$874,2,FALSE)</f>
        <v>3618080</v>
      </c>
      <c r="F3894" s="91">
        <f>COUNTIF($E$2:$E$7106,E3894)</f>
        <v>9</v>
      </c>
    </row>
    <row r="3895" spans="1:6" x14ac:dyDescent="0.2">
      <c r="A3895">
        <v>2016</v>
      </c>
      <c r="B3895" s="13">
        <v>4205</v>
      </c>
      <c r="C3895" s="90" t="str">
        <f>VLOOKUP(B3895,'All Districts'!$A$3:$B$874,2,FALSE)</f>
        <v>Madison</v>
      </c>
      <c r="D3895" s="16">
        <v>398138</v>
      </c>
      <c r="E3895">
        <f>VLOOKUP(C3895,'All Districts'!$B$3:$C$874,2,FALSE)</f>
        <v>3618080</v>
      </c>
      <c r="F3895" s="91">
        <f>COUNTIF($E$2:$E$7106,E3895)</f>
        <v>9</v>
      </c>
    </row>
    <row r="3896" spans="1:6" x14ac:dyDescent="0.2">
      <c r="A3896">
        <v>2017</v>
      </c>
      <c r="B3896" s="13">
        <v>4205</v>
      </c>
      <c r="C3896" s="90" t="str">
        <f>VLOOKUP(B3896,'All Districts'!$A$3:$B$874,2,FALSE)</f>
        <v>Madison</v>
      </c>
      <c r="D3896" s="16">
        <v>354103</v>
      </c>
      <c r="E3896">
        <f>VLOOKUP(C3896,'All Districts'!$B$3:$C$874,2,FALSE)</f>
        <v>3618080</v>
      </c>
      <c r="F3896" s="91">
        <f>COUNTIF($E$2:$E$7106,E3896)</f>
        <v>9</v>
      </c>
    </row>
    <row r="3897" spans="1:6" x14ac:dyDescent="0.2">
      <c r="A3897" s="10">
        <v>2018</v>
      </c>
      <c r="B3897" s="13">
        <v>4205</v>
      </c>
      <c r="C3897" s="90" t="str">
        <f>VLOOKUP(B3897,'All Districts'!$A$3:$B$874,2,FALSE)</f>
        <v>Madison</v>
      </c>
      <c r="D3897" s="15">
        <v>309915</v>
      </c>
      <c r="E3897">
        <f>VLOOKUP(C3897,'All Districts'!$B$3:$C$874,2,FALSE)</f>
        <v>3618080</v>
      </c>
      <c r="F3897" s="91">
        <f>COUNTIF($E$2:$E$7106,E3897)</f>
        <v>9</v>
      </c>
    </row>
    <row r="3898" spans="1:6" x14ac:dyDescent="0.2">
      <c r="A3898">
        <v>2019</v>
      </c>
      <c r="B3898" s="36">
        <v>4205</v>
      </c>
      <c r="C3898" s="90" t="str">
        <f>VLOOKUP(B3898,'All Districts'!$A$3:$B$874,2,FALSE)</f>
        <v>Madison</v>
      </c>
      <c r="D3898" s="40">
        <v>336227</v>
      </c>
      <c r="E3898">
        <f>VLOOKUP(C3898,'All Districts'!$B$3:$C$874,2,FALSE)</f>
        <v>3618080</v>
      </c>
      <c r="F3898" s="91">
        <f>COUNTIF($E$2:$E$7106,E3898)</f>
        <v>9</v>
      </c>
    </row>
    <row r="3899" spans="1:6" x14ac:dyDescent="0.2">
      <c r="A3899">
        <v>2020</v>
      </c>
      <c r="B3899" s="36">
        <v>4205</v>
      </c>
      <c r="C3899" s="90" t="str">
        <f>VLOOKUP(B3899,'All Districts'!$A$3:$B$874,2,FALSE)</f>
        <v>Madison</v>
      </c>
      <c r="D3899" s="40">
        <v>283531</v>
      </c>
      <c r="E3899">
        <f>VLOOKUP(C3899,'All Districts'!$B$3:$C$874,2,FALSE)</f>
        <v>3618080</v>
      </c>
      <c r="F3899" s="91">
        <f>COUNTIF($E$2:$E$7106,E3899)</f>
        <v>9</v>
      </c>
    </row>
    <row r="3900" spans="1:6" x14ac:dyDescent="0.2">
      <c r="A3900" s="10">
        <v>2021</v>
      </c>
      <c r="B3900" s="55">
        <v>4205</v>
      </c>
      <c r="C3900" s="90" t="str">
        <f>VLOOKUP(B3900,'All Districts'!$A$3:$B$874,2,FALSE)</f>
        <v>Madison</v>
      </c>
      <c r="D3900" s="79">
        <v>322012</v>
      </c>
      <c r="E3900">
        <f>VLOOKUP(C3900,'All Districts'!$B$3:$C$874,2,FALSE)</f>
        <v>3618080</v>
      </c>
      <c r="F3900" s="91">
        <f>COUNTIF($E$2:$E$7106,E3900)</f>
        <v>9</v>
      </c>
    </row>
    <row r="3901" spans="1:6" x14ac:dyDescent="0.2">
      <c r="A3901">
        <v>2022</v>
      </c>
      <c r="B3901" s="36">
        <v>4205</v>
      </c>
      <c r="C3901" s="90" t="str">
        <f>VLOOKUP(B3901,'All Districts'!$A$3:$B$874,2,FALSE)</f>
        <v>Madison</v>
      </c>
      <c r="D3901" s="82">
        <v>355386</v>
      </c>
      <c r="E3901">
        <f>VLOOKUP(C3901,'All Districts'!$B$3:$C$874,2,FALSE)</f>
        <v>3618080</v>
      </c>
      <c r="F3901" s="91">
        <f>COUNTIF($E$2:$E$7106,E3901)</f>
        <v>9</v>
      </c>
    </row>
    <row r="3902" spans="1:6" x14ac:dyDescent="0.2">
      <c r="A3902">
        <v>2023</v>
      </c>
      <c r="B3902" s="36">
        <v>4205</v>
      </c>
      <c r="C3902" s="90" t="str">
        <f>VLOOKUP(B3902,'All Districts'!$A$3:$B$874,2,FALSE)</f>
        <v>Madison</v>
      </c>
      <c r="D3902" s="40">
        <v>392078</v>
      </c>
      <c r="E3902">
        <f>VLOOKUP(C3902,'All Districts'!$B$3:$C$874,2,FALSE)</f>
        <v>3618080</v>
      </c>
      <c r="F3902" s="91">
        <f>COUNTIF($E$2:$E$7106,E3902)</f>
        <v>9</v>
      </c>
    </row>
    <row r="3903" spans="1:6" x14ac:dyDescent="0.2">
      <c r="A3903">
        <v>2015</v>
      </c>
      <c r="B3903" s="13">
        <v>6050</v>
      </c>
      <c r="C3903" s="90" t="str">
        <f>VLOOKUP(B3903,'All Districts'!$A$3:$B$874,2,FALSE)</f>
        <v>Madison-Oneida</v>
      </c>
      <c r="D3903" s="15">
        <v>2246626</v>
      </c>
      <c r="E3903">
        <f>VLOOKUP(C3903,'All Districts'!$B$3:$C$874,2,FALSE)</f>
        <v>3680480</v>
      </c>
      <c r="F3903" s="91">
        <f>COUNTIF($E$2:$E$7106,E3903)</f>
        <v>9</v>
      </c>
    </row>
    <row r="3904" spans="1:6" x14ac:dyDescent="0.2">
      <c r="A3904">
        <v>2016</v>
      </c>
      <c r="B3904" s="13">
        <v>6050</v>
      </c>
      <c r="C3904" s="90" t="str">
        <f>VLOOKUP(B3904,'All Districts'!$A$3:$B$874,2,FALSE)</f>
        <v>Madison-Oneida</v>
      </c>
      <c r="D3904" s="16">
        <v>1676890</v>
      </c>
      <c r="E3904">
        <f>VLOOKUP(C3904,'All Districts'!$B$3:$C$874,2,FALSE)</f>
        <v>3680480</v>
      </c>
      <c r="F3904" s="91">
        <f>COUNTIF($E$2:$E$7106,E3904)</f>
        <v>9</v>
      </c>
    </row>
    <row r="3905" spans="1:6" x14ac:dyDescent="0.2">
      <c r="A3905">
        <v>2017</v>
      </c>
      <c r="B3905" s="13">
        <v>6050</v>
      </c>
      <c r="C3905" s="90" t="str">
        <f>VLOOKUP(B3905,'All Districts'!$A$3:$B$874,2,FALSE)</f>
        <v>Madison-Oneida</v>
      </c>
      <c r="D3905" s="16">
        <v>1492645</v>
      </c>
      <c r="E3905">
        <f>VLOOKUP(C3905,'All Districts'!$B$3:$C$874,2,FALSE)</f>
        <v>3680480</v>
      </c>
      <c r="F3905" s="91">
        <f>COUNTIF($E$2:$E$7106,E3905)</f>
        <v>9</v>
      </c>
    </row>
    <row r="3906" spans="1:6" x14ac:dyDescent="0.2">
      <c r="A3906" s="10">
        <v>2018</v>
      </c>
      <c r="B3906" s="13">
        <v>6050</v>
      </c>
      <c r="C3906" s="90" t="str">
        <f>VLOOKUP(B3906,'All Districts'!$A$3:$B$874,2,FALSE)</f>
        <v>Madison-Oneida</v>
      </c>
      <c r="D3906" s="15">
        <v>1387707</v>
      </c>
      <c r="E3906">
        <f>VLOOKUP(C3906,'All Districts'!$B$3:$C$874,2,FALSE)</f>
        <v>3680480</v>
      </c>
      <c r="F3906" s="91">
        <f>COUNTIF($E$2:$E$7106,E3906)</f>
        <v>9</v>
      </c>
    </row>
    <row r="3907" spans="1:6" x14ac:dyDescent="0.2">
      <c r="A3907">
        <v>2019</v>
      </c>
      <c r="B3907" s="36">
        <v>6050</v>
      </c>
      <c r="C3907" s="90" t="str">
        <f>VLOOKUP(B3907,'All Districts'!$A$3:$B$874,2,FALSE)</f>
        <v>Madison-Oneida</v>
      </c>
      <c r="D3907" s="40">
        <v>1460733</v>
      </c>
      <c r="E3907">
        <f>VLOOKUP(C3907,'All Districts'!$B$3:$C$874,2,FALSE)</f>
        <v>3680480</v>
      </c>
      <c r="F3907" s="91">
        <f>COUNTIF($E$2:$E$7106,E3907)</f>
        <v>9</v>
      </c>
    </row>
    <row r="3908" spans="1:6" x14ac:dyDescent="0.2">
      <c r="A3908">
        <v>2020</v>
      </c>
      <c r="B3908" s="36">
        <v>6050</v>
      </c>
      <c r="C3908" s="90" t="str">
        <f>VLOOKUP(B3908,'All Districts'!$A$3:$B$874,2,FALSE)</f>
        <v>Madison-Oneida</v>
      </c>
      <c r="D3908" s="40">
        <v>1259550</v>
      </c>
      <c r="E3908">
        <f>VLOOKUP(C3908,'All Districts'!$B$3:$C$874,2,FALSE)</f>
        <v>3680480</v>
      </c>
      <c r="F3908" s="91">
        <f>COUNTIF($E$2:$E$7106,E3908)</f>
        <v>9</v>
      </c>
    </row>
    <row r="3909" spans="1:6" x14ac:dyDescent="0.2">
      <c r="A3909" s="10">
        <v>2021</v>
      </c>
      <c r="B3909" s="52">
        <v>6050</v>
      </c>
      <c r="C3909" s="90" t="str">
        <f>VLOOKUP(B3909,'All Districts'!$A$3:$B$874,2,FALSE)</f>
        <v>Madison-Oneida</v>
      </c>
      <c r="D3909" s="76">
        <v>1296933</v>
      </c>
      <c r="E3909">
        <f>VLOOKUP(C3909,'All Districts'!$B$3:$C$874,2,FALSE)</f>
        <v>3680480</v>
      </c>
      <c r="F3909" s="91">
        <f>COUNTIF($E$2:$E$7106,E3909)</f>
        <v>9</v>
      </c>
    </row>
    <row r="3910" spans="1:6" x14ac:dyDescent="0.2">
      <c r="A3910">
        <v>2022</v>
      </c>
      <c r="B3910" s="36">
        <v>6050</v>
      </c>
      <c r="C3910" s="90" t="str">
        <f>VLOOKUP(B3910,'All Districts'!$A$3:$B$874,2,FALSE)</f>
        <v>Madison-Oneida</v>
      </c>
      <c r="D3910" s="82">
        <v>1579700</v>
      </c>
      <c r="E3910">
        <f>VLOOKUP(C3910,'All Districts'!$B$3:$C$874,2,FALSE)</f>
        <v>3680480</v>
      </c>
      <c r="F3910" s="91">
        <f>COUNTIF($E$2:$E$7106,E3910)</f>
        <v>9</v>
      </c>
    </row>
    <row r="3911" spans="1:6" x14ac:dyDescent="0.2">
      <c r="A3911">
        <v>2023</v>
      </c>
      <c r="B3911" s="36">
        <v>6050</v>
      </c>
      <c r="C3911" s="90" t="str">
        <f>VLOOKUP(B3911,'All Districts'!$A$3:$B$874,2,FALSE)</f>
        <v>Madison-Oneida</v>
      </c>
      <c r="D3911" s="40">
        <v>1831486</v>
      </c>
      <c r="E3911">
        <f>VLOOKUP(C3911,'All Districts'!$B$3:$C$874,2,FALSE)</f>
        <v>3680480</v>
      </c>
      <c r="F3911" s="91">
        <f>COUNTIF($E$2:$E$7106,E3911)</f>
        <v>9</v>
      </c>
    </row>
    <row r="3912" spans="1:6" x14ac:dyDescent="0.2">
      <c r="A3912">
        <v>2015</v>
      </c>
      <c r="B3912" s="13">
        <v>5003</v>
      </c>
      <c r="C3912" s="90" t="str">
        <f>VLOOKUP(B3912,'All Districts'!$A$3:$B$874,2,FALSE)</f>
        <v>Madrid-Waddington</v>
      </c>
      <c r="D3912" s="14">
        <v>696246</v>
      </c>
      <c r="E3912">
        <f>VLOOKUP(C3912,'All Districts'!$B$3:$C$874,2,FALSE)</f>
        <v>3618090</v>
      </c>
      <c r="F3912" s="91">
        <f>COUNTIF($E$2:$E$7106,E3912)</f>
        <v>9</v>
      </c>
    </row>
    <row r="3913" spans="1:6" x14ac:dyDescent="0.2">
      <c r="A3913">
        <v>2016</v>
      </c>
      <c r="B3913" s="13">
        <v>5003</v>
      </c>
      <c r="C3913" s="90" t="str">
        <f>VLOOKUP(B3913,'All Districts'!$A$3:$B$874,2,FALSE)</f>
        <v>Madrid-Waddington</v>
      </c>
      <c r="D3913" s="16">
        <v>568677</v>
      </c>
      <c r="E3913">
        <f>VLOOKUP(C3913,'All Districts'!$B$3:$C$874,2,FALSE)</f>
        <v>3618090</v>
      </c>
      <c r="F3913" s="91">
        <f>COUNTIF($E$2:$E$7106,E3913)</f>
        <v>9</v>
      </c>
    </row>
    <row r="3914" spans="1:6" x14ac:dyDescent="0.2">
      <c r="A3914">
        <v>2017</v>
      </c>
      <c r="B3914" s="13">
        <v>5003</v>
      </c>
      <c r="C3914" s="90" t="str">
        <f>VLOOKUP(B3914,'All Districts'!$A$3:$B$874,2,FALSE)</f>
        <v>Madrid-Waddington</v>
      </c>
      <c r="D3914" s="16">
        <v>513915</v>
      </c>
      <c r="E3914">
        <f>VLOOKUP(C3914,'All Districts'!$B$3:$C$874,2,FALSE)</f>
        <v>3618090</v>
      </c>
      <c r="F3914" s="91">
        <f>COUNTIF($E$2:$E$7106,E3914)</f>
        <v>9</v>
      </c>
    </row>
    <row r="3915" spans="1:6" x14ac:dyDescent="0.2">
      <c r="A3915" s="10">
        <v>2018</v>
      </c>
      <c r="B3915" s="13">
        <v>5003</v>
      </c>
      <c r="C3915" s="90" t="str">
        <f>VLOOKUP(B3915,'All Districts'!$A$3:$B$874,2,FALSE)</f>
        <v>Madrid-Waddington</v>
      </c>
      <c r="D3915" s="15">
        <v>443589</v>
      </c>
      <c r="E3915">
        <f>VLOOKUP(C3915,'All Districts'!$B$3:$C$874,2,FALSE)</f>
        <v>3618090</v>
      </c>
      <c r="F3915" s="91">
        <f>COUNTIF($E$2:$E$7106,E3915)</f>
        <v>9</v>
      </c>
    </row>
    <row r="3916" spans="1:6" x14ac:dyDescent="0.2">
      <c r="A3916">
        <v>2019</v>
      </c>
      <c r="B3916" s="36">
        <v>5003</v>
      </c>
      <c r="C3916" s="90" t="str">
        <f>VLOOKUP(B3916,'All Districts'!$A$3:$B$874,2,FALSE)</f>
        <v>Madrid-Waddington</v>
      </c>
      <c r="D3916" s="40">
        <v>476197</v>
      </c>
      <c r="E3916">
        <f>VLOOKUP(C3916,'All Districts'!$B$3:$C$874,2,FALSE)</f>
        <v>3618090</v>
      </c>
      <c r="F3916" s="91">
        <f>COUNTIF($E$2:$E$7106,E3916)</f>
        <v>9</v>
      </c>
    </row>
    <row r="3917" spans="1:6" x14ac:dyDescent="0.2">
      <c r="A3917">
        <v>2020</v>
      </c>
      <c r="B3917" s="36">
        <v>5003</v>
      </c>
      <c r="C3917" s="90" t="str">
        <f>VLOOKUP(B3917,'All Districts'!$A$3:$B$874,2,FALSE)</f>
        <v>Madrid-Waddington</v>
      </c>
      <c r="D3917" s="40">
        <v>429116</v>
      </c>
      <c r="E3917">
        <f>VLOOKUP(C3917,'All Districts'!$B$3:$C$874,2,FALSE)</f>
        <v>3618090</v>
      </c>
      <c r="F3917" s="91">
        <f>COUNTIF($E$2:$E$7106,E3917)</f>
        <v>9</v>
      </c>
    </row>
    <row r="3918" spans="1:6" x14ac:dyDescent="0.2">
      <c r="A3918" s="10">
        <v>2021</v>
      </c>
      <c r="B3918" s="52">
        <v>5003</v>
      </c>
      <c r="C3918" s="90" t="str">
        <f>VLOOKUP(B3918,'All Districts'!$A$3:$B$874,2,FALSE)</f>
        <v>Madrid-Waddington</v>
      </c>
      <c r="D3918" s="76">
        <v>467594</v>
      </c>
      <c r="E3918">
        <f>VLOOKUP(C3918,'All Districts'!$B$3:$C$874,2,FALSE)</f>
        <v>3618090</v>
      </c>
      <c r="F3918" s="91">
        <f>COUNTIF($E$2:$E$7106,E3918)</f>
        <v>9</v>
      </c>
    </row>
    <row r="3919" spans="1:6" x14ac:dyDescent="0.2">
      <c r="A3919">
        <v>2022</v>
      </c>
      <c r="B3919" s="36">
        <v>5003</v>
      </c>
      <c r="C3919" s="90" t="str">
        <f>VLOOKUP(B3919,'All Districts'!$A$3:$B$874,2,FALSE)</f>
        <v>Madrid-Waddington</v>
      </c>
      <c r="D3919" s="82">
        <v>519927</v>
      </c>
      <c r="E3919">
        <f>VLOOKUP(C3919,'All Districts'!$B$3:$C$874,2,FALSE)</f>
        <v>3618090</v>
      </c>
      <c r="F3919" s="91">
        <f>COUNTIF($E$2:$E$7106,E3919)</f>
        <v>9</v>
      </c>
    </row>
    <row r="3920" spans="1:6" x14ac:dyDescent="0.2">
      <c r="A3920">
        <v>2023</v>
      </c>
      <c r="B3920" s="36">
        <v>5003</v>
      </c>
      <c r="C3920" s="90" t="str">
        <f>VLOOKUP(B3920,'All Districts'!$A$3:$B$874,2,FALSE)</f>
        <v>Madrid-Waddington</v>
      </c>
      <c r="D3920" s="40">
        <v>539944</v>
      </c>
      <c r="E3920">
        <f>VLOOKUP(C3920,'All Districts'!$B$3:$C$874,2,FALSE)</f>
        <v>3618090</v>
      </c>
      <c r="F3920" s="91">
        <f>COUNTIF($E$2:$E$7106,E3920)</f>
        <v>9</v>
      </c>
    </row>
    <row r="3921" spans="1:6" x14ac:dyDescent="0.2">
      <c r="A3921">
        <v>2015</v>
      </c>
      <c r="B3921" s="13">
        <v>2338</v>
      </c>
      <c r="C3921" s="90" t="str">
        <f>VLOOKUP(B3921,'All Districts'!$A$3:$B$874,2,FALSE)</f>
        <v>Mahopac</v>
      </c>
      <c r="D3921" s="14">
        <v>8351519</v>
      </c>
      <c r="E3921">
        <f>VLOOKUP(C3921,'All Districts'!$B$3:$C$874,2,FALSE)</f>
        <v>3618120</v>
      </c>
      <c r="F3921" s="91">
        <f>COUNTIF($E$2:$E$7106,E3921)</f>
        <v>9</v>
      </c>
    </row>
    <row r="3922" spans="1:6" x14ac:dyDescent="0.2">
      <c r="A3922">
        <v>2016</v>
      </c>
      <c r="B3922" s="13">
        <v>2338</v>
      </c>
      <c r="C3922" s="90" t="str">
        <f>VLOOKUP(B3922,'All Districts'!$A$3:$B$874,2,FALSE)</f>
        <v>Mahopac</v>
      </c>
      <c r="D3922" s="16">
        <v>6538741</v>
      </c>
      <c r="E3922">
        <f>VLOOKUP(C3922,'All Districts'!$B$3:$C$874,2,FALSE)</f>
        <v>3618120</v>
      </c>
      <c r="F3922" s="91">
        <f>COUNTIF($E$2:$E$7106,E3922)</f>
        <v>9</v>
      </c>
    </row>
    <row r="3923" spans="1:6" x14ac:dyDescent="0.2">
      <c r="A3923">
        <v>2017</v>
      </c>
      <c r="B3923" s="13">
        <v>2338</v>
      </c>
      <c r="C3923" s="90" t="str">
        <f>VLOOKUP(B3923,'All Districts'!$A$3:$B$874,2,FALSE)</f>
        <v>Mahopac</v>
      </c>
      <c r="D3923" s="16">
        <v>5953062</v>
      </c>
      <c r="E3923">
        <f>VLOOKUP(C3923,'All Districts'!$B$3:$C$874,2,FALSE)</f>
        <v>3618120</v>
      </c>
      <c r="F3923" s="91">
        <f>COUNTIF($E$2:$E$7106,E3923)</f>
        <v>9</v>
      </c>
    </row>
    <row r="3924" spans="1:6" x14ac:dyDescent="0.2">
      <c r="A3924" s="10">
        <v>2018</v>
      </c>
      <c r="B3924" s="13">
        <v>2338</v>
      </c>
      <c r="C3924" s="90" t="str">
        <f>VLOOKUP(B3924,'All Districts'!$A$3:$B$874,2,FALSE)</f>
        <v>Mahopac</v>
      </c>
      <c r="D3924" s="15">
        <v>5076847</v>
      </c>
      <c r="E3924">
        <f>VLOOKUP(C3924,'All Districts'!$B$3:$C$874,2,FALSE)</f>
        <v>3618120</v>
      </c>
      <c r="F3924" s="91">
        <f>COUNTIF($E$2:$E$7106,E3924)</f>
        <v>9</v>
      </c>
    </row>
    <row r="3925" spans="1:6" x14ac:dyDescent="0.2">
      <c r="A3925">
        <v>2019</v>
      </c>
      <c r="B3925" s="36">
        <v>2338</v>
      </c>
      <c r="C3925" s="90" t="str">
        <f>VLOOKUP(B3925,'All Districts'!$A$3:$B$874,2,FALSE)</f>
        <v>Mahopac</v>
      </c>
      <c r="D3925" s="40">
        <v>5604714</v>
      </c>
      <c r="E3925">
        <f>VLOOKUP(C3925,'All Districts'!$B$3:$C$874,2,FALSE)</f>
        <v>3618120</v>
      </c>
      <c r="F3925" s="91">
        <f>COUNTIF($E$2:$E$7106,E3925)</f>
        <v>9</v>
      </c>
    </row>
    <row r="3926" spans="1:6" x14ac:dyDescent="0.2">
      <c r="A3926">
        <v>2020</v>
      </c>
      <c r="B3926" s="36">
        <v>2338</v>
      </c>
      <c r="C3926" s="90" t="str">
        <f>VLOOKUP(B3926,'All Districts'!$A$3:$B$874,2,FALSE)</f>
        <v>Mahopac</v>
      </c>
      <c r="D3926" s="40">
        <v>4727858</v>
      </c>
      <c r="E3926">
        <f>VLOOKUP(C3926,'All Districts'!$B$3:$C$874,2,FALSE)</f>
        <v>3618120</v>
      </c>
      <c r="F3926" s="91">
        <f>COUNTIF($E$2:$E$7106,E3926)</f>
        <v>9</v>
      </c>
    </row>
    <row r="3927" spans="1:6" x14ac:dyDescent="0.2">
      <c r="A3927" s="10">
        <v>2021</v>
      </c>
      <c r="B3927" s="52">
        <v>2338</v>
      </c>
      <c r="C3927" s="90" t="str">
        <f>VLOOKUP(B3927,'All Districts'!$A$3:$B$874,2,FALSE)</f>
        <v>Mahopac</v>
      </c>
      <c r="D3927" s="76">
        <v>5182837</v>
      </c>
      <c r="E3927">
        <f>VLOOKUP(C3927,'All Districts'!$B$3:$C$874,2,FALSE)</f>
        <v>3618120</v>
      </c>
      <c r="F3927" s="91">
        <f>COUNTIF($E$2:$E$7106,E3927)</f>
        <v>9</v>
      </c>
    </row>
    <row r="3928" spans="1:6" x14ac:dyDescent="0.2">
      <c r="A3928">
        <v>2022</v>
      </c>
      <c r="B3928" s="36">
        <v>2338</v>
      </c>
      <c r="C3928" s="90" t="str">
        <f>VLOOKUP(B3928,'All Districts'!$A$3:$B$874,2,FALSE)</f>
        <v>Mahopac</v>
      </c>
      <c r="D3928" s="82">
        <v>5529865</v>
      </c>
      <c r="E3928">
        <f>VLOOKUP(C3928,'All Districts'!$B$3:$C$874,2,FALSE)</f>
        <v>3618120</v>
      </c>
      <c r="F3928" s="91">
        <f>COUNTIF($E$2:$E$7106,E3928)</f>
        <v>9</v>
      </c>
    </row>
    <row r="3929" spans="1:6" x14ac:dyDescent="0.2">
      <c r="A3929">
        <v>2023</v>
      </c>
      <c r="B3929" s="36">
        <v>2338</v>
      </c>
      <c r="C3929" s="90" t="str">
        <f>VLOOKUP(B3929,'All Districts'!$A$3:$B$874,2,FALSE)</f>
        <v>Mahopac</v>
      </c>
      <c r="D3929" s="40">
        <v>5673502</v>
      </c>
      <c r="E3929">
        <f>VLOOKUP(C3929,'All Districts'!$B$3:$C$874,2,FALSE)</f>
        <v>3618120</v>
      </c>
      <c r="F3929" s="91">
        <f>COUNTIF($E$2:$E$7106,E3929)</f>
        <v>9</v>
      </c>
    </row>
    <row r="3930" spans="1:6" x14ac:dyDescent="0.2">
      <c r="A3930">
        <v>2015</v>
      </c>
      <c r="B3930" s="13">
        <v>2339</v>
      </c>
      <c r="C3930" s="90" t="str">
        <f>VLOOKUP(B3930,'All Districts'!$A$3:$B$874,2,FALSE)</f>
        <v>Maine-Endwell</v>
      </c>
      <c r="D3930" s="14">
        <v>2396196</v>
      </c>
      <c r="E3930">
        <f>VLOOKUP(C3930,'All Districts'!$B$3:$C$874,2,FALSE)</f>
        <v>3618150</v>
      </c>
      <c r="F3930" s="91">
        <f>COUNTIF($E$2:$E$7106,E3930)</f>
        <v>9</v>
      </c>
    </row>
    <row r="3931" spans="1:6" x14ac:dyDescent="0.2">
      <c r="A3931">
        <v>2016</v>
      </c>
      <c r="B3931" s="13">
        <v>2339</v>
      </c>
      <c r="C3931" s="90" t="str">
        <f>VLOOKUP(B3931,'All Districts'!$A$3:$B$874,2,FALSE)</f>
        <v>Maine-Endwell</v>
      </c>
      <c r="D3931" s="16">
        <v>1909894</v>
      </c>
      <c r="E3931">
        <f>VLOOKUP(C3931,'All Districts'!$B$3:$C$874,2,FALSE)</f>
        <v>3618150</v>
      </c>
      <c r="F3931" s="91">
        <f>COUNTIF($E$2:$E$7106,E3931)</f>
        <v>9</v>
      </c>
    </row>
    <row r="3932" spans="1:6" x14ac:dyDescent="0.2">
      <c r="A3932">
        <v>2017</v>
      </c>
      <c r="B3932" s="13">
        <v>2339</v>
      </c>
      <c r="C3932" s="90" t="str">
        <f>VLOOKUP(B3932,'All Districts'!$A$3:$B$874,2,FALSE)</f>
        <v>Maine-Endwell</v>
      </c>
      <c r="D3932" s="16">
        <v>1710648</v>
      </c>
      <c r="E3932">
        <f>VLOOKUP(C3932,'All Districts'!$B$3:$C$874,2,FALSE)</f>
        <v>3618150</v>
      </c>
      <c r="F3932" s="91">
        <f>COUNTIF($E$2:$E$7106,E3932)</f>
        <v>9</v>
      </c>
    </row>
    <row r="3933" spans="1:6" x14ac:dyDescent="0.2">
      <c r="A3933" s="10">
        <v>2018</v>
      </c>
      <c r="B3933" s="13">
        <v>2339</v>
      </c>
      <c r="C3933" s="90" t="str">
        <f>VLOOKUP(B3933,'All Districts'!$A$3:$B$874,2,FALSE)</f>
        <v>Maine-Endwell</v>
      </c>
      <c r="D3933" s="15">
        <v>1506753</v>
      </c>
      <c r="E3933">
        <f>VLOOKUP(C3933,'All Districts'!$B$3:$C$874,2,FALSE)</f>
        <v>3618150</v>
      </c>
      <c r="F3933" s="91">
        <f>COUNTIF($E$2:$E$7106,E3933)</f>
        <v>9</v>
      </c>
    </row>
    <row r="3934" spans="1:6" x14ac:dyDescent="0.2">
      <c r="A3934">
        <v>2019</v>
      </c>
      <c r="B3934" s="36">
        <v>2339</v>
      </c>
      <c r="C3934" s="90" t="str">
        <f>VLOOKUP(B3934,'All Districts'!$A$3:$B$874,2,FALSE)</f>
        <v>Maine-Endwell</v>
      </c>
      <c r="D3934" s="40">
        <v>1566659</v>
      </c>
      <c r="E3934">
        <f>VLOOKUP(C3934,'All Districts'!$B$3:$C$874,2,FALSE)</f>
        <v>3618150</v>
      </c>
      <c r="F3934" s="91">
        <f>COUNTIF($E$2:$E$7106,E3934)</f>
        <v>9</v>
      </c>
    </row>
    <row r="3935" spans="1:6" x14ac:dyDescent="0.2">
      <c r="A3935">
        <v>2020</v>
      </c>
      <c r="B3935" s="36">
        <v>2339</v>
      </c>
      <c r="C3935" s="90" t="str">
        <f>VLOOKUP(B3935,'All Districts'!$A$3:$B$874,2,FALSE)</f>
        <v>Maine-Endwell</v>
      </c>
      <c r="D3935" s="40">
        <v>1340623</v>
      </c>
      <c r="E3935">
        <f>VLOOKUP(C3935,'All Districts'!$B$3:$C$874,2,FALSE)</f>
        <v>3618150</v>
      </c>
      <c r="F3935" s="91">
        <f>COUNTIF($E$2:$E$7106,E3935)</f>
        <v>9</v>
      </c>
    </row>
    <row r="3936" spans="1:6" x14ac:dyDescent="0.2">
      <c r="A3936" s="10">
        <v>2021</v>
      </c>
      <c r="B3936" s="52">
        <v>2339</v>
      </c>
      <c r="C3936" s="90" t="str">
        <f>VLOOKUP(B3936,'All Districts'!$A$3:$B$874,2,FALSE)</f>
        <v>Maine-Endwell</v>
      </c>
      <c r="D3936" s="76">
        <v>1377059</v>
      </c>
      <c r="E3936">
        <f>VLOOKUP(C3936,'All Districts'!$B$3:$C$874,2,FALSE)</f>
        <v>3618150</v>
      </c>
      <c r="F3936" s="91">
        <f>COUNTIF($E$2:$E$7106,E3936)</f>
        <v>9</v>
      </c>
    </row>
    <row r="3937" spans="1:6" x14ac:dyDescent="0.2">
      <c r="A3937">
        <v>2022</v>
      </c>
      <c r="B3937" s="36">
        <v>2339</v>
      </c>
      <c r="C3937" s="90" t="str">
        <f>VLOOKUP(B3937,'All Districts'!$A$3:$B$874,2,FALSE)</f>
        <v>Maine-Endwell</v>
      </c>
      <c r="D3937" s="82">
        <v>1562436</v>
      </c>
      <c r="E3937">
        <f>VLOOKUP(C3937,'All Districts'!$B$3:$C$874,2,FALSE)</f>
        <v>3618150</v>
      </c>
      <c r="F3937" s="91">
        <f>COUNTIF($E$2:$E$7106,E3937)</f>
        <v>9</v>
      </c>
    </row>
    <row r="3938" spans="1:6" x14ac:dyDescent="0.2">
      <c r="A3938">
        <v>2023</v>
      </c>
      <c r="B3938" s="36">
        <v>2339</v>
      </c>
      <c r="C3938" s="90" t="str">
        <f>VLOOKUP(B3938,'All Districts'!$A$3:$B$874,2,FALSE)</f>
        <v>Maine-Endwell</v>
      </c>
      <c r="D3938" s="40">
        <v>1797647</v>
      </c>
      <c r="E3938">
        <f>VLOOKUP(C3938,'All Districts'!$B$3:$C$874,2,FALSE)</f>
        <v>3618150</v>
      </c>
      <c r="F3938" s="91">
        <f>COUNTIF($E$2:$E$7106,E3938)</f>
        <v>9</v>
      </c>
    </row>
    <row r="3939" spans="1:6" x14ac:dyDescent="0.2">
      <c r="A3939">
        <v>2015</v>
      </c>
      <c r="B3939" s="13">
        <v>2340</v>
      </c>
      <c r="C3939" s="90" t="str">
        <f>VLOOKUP(B3939,'All Districts'!$A$3:$B$874,2,FALSE)</f>
        <v>Malone</v>
      </c>
      <c r="D3939" s="14">
        <v>2694882</v>
      </c>
      <c r="E3939">
        <f>VLOOKUP(C3939,'All Districts'!$B$3:$C$874,2,FALSE)</f>
        <v>3618180</v>
      </c>
      <c r="F3939" s="91">
        <f>COUNTIF($E$2:$E$7106,E3939)</f>
        <v>9</v>
      </c>
    </row>
    <row r="3940" spans="1:6" x14ac:dyDescent="0.2">
      <c r="A3940">
        <v>2016</v>
      </c>
      <c r="B3940" s="13">
        <v>2340</v>
      </c>
      <c r="C3940" s="90" t="str">
        <f>VLOOKUP(B3940,'All Districts'!$A$3:$B$874,2,FALSE)</f>
        <v>Malone</v>
      </c>
      <c r="D3940" s="16">
        <v>2155908</v>
      </c>
      <c r="E3940">
        <f>VLOOKUP(C3940,'All Districts'!$B$3:$C$874,2,FALSE)</f>
        <v>3618180</v>
      </c>
      <c r="F3940" s="91">
        <f>COUNTIF($E$2:$E$7106,E3940)</f>
        <v>9</v>
      </c>
    </row>
    <row r="3941" spans="1:6" x14ac:dyDescent="0.2">
      <c r="A3941">
        <v>2017</v>
      </c>
      <c r="B3941" s="13">
        <v>2340</v>
      </c>
      <c r="C3941" s="90" t="str">
        <f>VLOOKUP(B3941,'All Districts'!$A$3:$B$874,2,FALSE)</f>
        <v>Malone</v>
      </c>
      <c r="D3941" s="16">
        <v>1962449</v>
      </c>
      <c r="E3941">
        <f>VLOOKUP(C3941,'All Districts'!$B$3:$C$874,2,FALSE)</f>
        <v>3618180</v>
      </c>
      <c r="F3941" s="91">
        <f>COUNTIF($E$2:$E$7106,E3941)</f>
        <v>9</v>
      </c>
    </row>
    <row r="3942" spans="1:6" x14ac:dyDescent="0.2">
      <c r="A3942" s="10">
        <v>2018</v>
      </c>
      <c r="B3942" s="13">
        <v>2340</v>
      </c>
      <c r="C3942" s="90" t="str">
        <f>VLOOKUP(B3942,'All Districts'!$A$3:$B$874,2,FALSE)</f>
        <v>Malone</v>
      </c>
      <c r="D3942" s="15">
        <v>1701044</v>
      </c>
      <c r="E3942">
        <f>VLOOKUP(C3942,'All Districts'!$B$3:$C$874,2,FALSE)</f>
        <v>3618180</v>
      </c>
      <c r="F3942" s="91">
        <f>COUNTIF($E$2:$E$7106,E3942)</f>
        <v>9</v>
      </c>
    </row>
    <row r="3943" spans="1:6" x14ac:dyDescent="0.2">
      <c r="A3943">
        <v>2019</v>
      </c>
      <c r="B3943" s="36">
        <v>2340</v>
      </c>
      <c r="C3943" s="90" t="str">
        <f>VLOOKUP(B3943,'All Districts'!$A$3:$B$874,2,FALSE)</f>
        <v>Malone</v>
      </c>
      <c r="D3943" s="40">
        <v>1870025</v>
      </c>
      <c r="E3943">
        <f>VLOOKUP(C3943,'All Districts'!$B$3:$C$874,2,FALSE)</f>
        <v>3618180</v>
      </c>
      <c r="F3943" s="91">
        <f>COUNTIF($E$2:$E$7106,E3943)</f>
        <v>9</v>
      </c>
    </row>
    <row r="3944" spans="1:6" x14ac:dyDescent="0.2">
      <c r="A3944">
        <v>2020</v>
      </c>
      <c r="B3944" s="36">
        <v>2340</v>
      </c>
      <c r="C3944" s="90" t="str">
        <f>VLOOKUP(B3944,'All Districts'!$A$3:$B$874,2,FALSE)</f>
        <v>Malone</v>
      </c>
      <c r="D3944" s="40">
        <v>1611159</v>
      </c>
      <c r="E3944">
        <f>VLOOKUP(C3944,'All Districts'!$B$3:$C$874,2,FALSE)</f>
        <v>3618180</v>
      </c>
      <c r="F3944" s="91">
        <f>COUNTIF($E$2:$E$7106,E3944)</f>
        <v>9</v>
      </c>
    </row>
    <row r="3945" spans="1:6" x14ac:dyDescent="0.2">
      <c r="A3945" s="10">
        <v>2021</v>
      </c>
      <c r="B3945" s="52">
        <v>2340</v>
      </c>
      <c r="C3945" s="90" t="str">
        <f>VLOOKUP(B3945,'All Districts'!$A$3:$B$874,2,FALSE)</f>
        <v>Malone</v>
      </c>
      <c r="D3945" s="75">
        <v>1750889</v>
      </c>
      <c r="E3945">
        <f>VLOOKUP(C3945,'All Districts'!$B$3:$C$874,2,FALSE)</f>
        <v>3618180</v>
      </c>
      <c r="F3945" s="91">
        <f>COUNTIF($E$2:$E$7106,E3945)</f>
        <v>9</v>
      </c>
    </row>
    <row r="3946" spans="1:6" x14ac:dyDescent="0.2">
      <c r="A3946">
        <v>2022</v>
      </c>
      <c r="B3946" s="36">
        <v>2340</v>
      </c>
      <c r="C3946" s="90" t="str">
        <f>VLOOKUP(B3946,'All Districts'!$A$3:$B$874,2,FALSE)</f>
        <v>Malone</v>
      </c>
      <c r="D3946" s="82">
        <v>1998239</v>
      </c>
      <c r="E3946">
        <f>VLOOKUP(C3946,'All Districts'!$B$3:$C$874,2,FALSE)</f>
        <v>3618180</v>
      </c>
      <c r="F3946" s="91">
        <f>COUNTIF($E$2:$E$7106,E3946)</f>
        <v>9</v>
      </c>
    </row>
    <row r="3947" spans="1:6" x14ac:dyDescent="0.2">
      <c r="A3947">
        <v>2023</v>
      </c>
      <c r="B3947" s="36">
        <v>2340</v>
      </c>
      <c r="C3947" s="90" t="str">
        <f>VLOOKUP(B3947,'All Districts'!$A$3:$B$874,2,FALSE)</f>
        <v>Malone</v>
      </c>
      <c r="D3947" s="40">
        <v>2331980</v>
      </c>
      <c r="E3947">
        <f>VLOOKUP(C3947,'All Districts'!$B$3:$C$874,2,FALSE)</f>
        <v>3618180</v>
      </c>
      <c r="F3947" s="91">
        <f>COUNTIF($E$2:$E$7106,E3947)</f>
        <v>9</v>
      </c>
    </row>
    <row r="3948" spans="1:6" x14ac:dyDescent="0.2">
      <c r="A3948">
        <v>2015</v>
      </c>
      <c r="B3948" s="13">
        <v>2345</v>
      </c>
      <c r="C3948" s="90" t="str">
        <f>VLOOKUP(B3948,'All Districts'!$A$3:$B$874,2,FALSE)</f>
        <v>Malverne</v>
      </c>
      <c r="D3948" s="14">
        <v>3497379</v>
      </c>
      <c r="E3948">
        <f>VLOOKUP(C3948,'All Districts'!$B$3:$C$874,2,FALSE)</f>
        <v>3618210</v>
      </c>
      <c r="F3948" s="91">
        <f>COUNTIF($E$2:$E$7106,E3948)</f>
        <v>9</v>
      </c>
    </row>
    <row r="3949" spans="1:6" x14ac:dyDescent="0.2">
      <c r="A3949">
        <v>2016</v>
      </c>
      <c r="B3949" s="13">
        <v>2345</v>
      </c>
      <c r="C3949" s="90" t="str">
        <f>VLOOKUP(B3949,'All Districts'!$A$3:$B$874,2,FALSE)</f>
        <v>Malverne</v>
      </c>
      <c r="D3949" s="16">
        <v>2701160</v>
      </c>
      <c r="E3949">
        <f>VLOOKUP(C3949,'All Districts'!$B$3:$C$874,2,FALSE)</f>
        <v>3618210</v>
      </c>
      <c r="F3949" s="91">
        <f>COUNTIF($E$2:$E$7106,E3949)</f>
        <v>9</v>
      </c>
    </row>
    <row r="3950" spans="1:6" x14ac:dyDescent="0.2">
      <c r="A3950">
        <v>2017</v>
      </c>
      <c r="B3950" s="13">
        <v>2345</v>
      </c>
      <c r="C3950" s="90" t="str">
        <f>VLOOKUP(B3950,'All Districts'!$A$3:$B$874,2,FALSE)</f>
        <v>Malverne</v>
      </c>
      <c r="D3950" s="16">
        <v>2496335</v>
      </c>
      <c r="E3950">
        <f>VLOOKUP(C3950,'All Districts'!$B$3:$C$874,2,FALSE)</f>
        <v>3618210</v>
      </c>
      <c r="F3950" s="91">
        <f>COUNTIF($E$2:$E$7106,E3950)</f>
        <v>9</v>
      </c>
    </row>
    <row r="3951" spans="1:6" x14ac:dyDescent="0.2">
      <c r="A3951" s="10">
        <v>2018</v>
      </c>
      <c r="B3951" s="13">
        <v>2345</v>
      </c>
      <c r="C3951" s="90" t="str">
        <f>VLOOKUP(B3951,'All Districts'!$A$3:$B$874,2,FALSE)</f>
        <v>Malverne</v>
      </c>
      <c r="D3951" s="15">
        <v>2169210</v>
      </c>
      <c r="E3951">
        <f>VLOOKUP(C3951,'All Districts'!$B$3:$C$874,2,FALSE)</f>
        <v>3618210</v>
      </c>
      <c r="F3951" s="91">
        <f>COUNTIF($E$2:$E$7106,E3951)</f>
        <v>9</v>
      </c>
    </row>
    <row r="3952" spans="1:6" x14ac:dyDescent="0.2">
      <c r="A3952">
        <v>2019</v>
      </c>
      <c r="B3952" s="36">
        <v>2345</v>
      </c>
      <c r="C3952" s="90" t="str">
        <f>VLOOKUP(B3952,'All Districts'!$A$3:$B$874,2,FALSE)</f>
        <v>Malverne</v>
      </c>
      <c r="D3952" s="40">
        <v>2340651</v>
      </c>
      <c r="E3952">
        <f>VLOOKUP(C3952,'All Districts'!$B$3:$C$874,2,FALSE)</f>
        <v>3618210</v>
      </c>
      <c r="F3952" s="91">
        <f>COUNTIF($E$2:$E$7106,E3952)</f>
        <v>9</v>
      </c>
    </row>
    <row r="3953" spans="1:6" x14ac:dyDescent="0.2">
      <c r="A3953">
        <v>2020</v>
      </c>
      <c r="B3953" s="36">
        <v>2345</v>
      </c>
      <c r="C3953" s="90" t="str">
        <f>VLOOKUP(B3953,'All Districts'!$A$3:$B$874,2,FALSE)</f>
        <v>Malverne</v>
      </c>
      <c r="D3953" s="40">
        <v>1968055</v>
      </c>
      <c r="E3953">
        <f>VLOOKUP(C3953,'All Districts'!$B$3:$C$874,2,FALSE)</f>
        <v>3618210</v>
      </c>
      <c r="F3953" s="91">
        <f>COUNTIF($E$2:$E$7106,E3953)</f>
        <v>9</v>
      </c>
    </row>
    <row r="3954" spans="1:6" x14ac:dyDescent="0.2">
      <c r="A3954" s="10">
        <v>2021</v>
      </c>
      <c r="B3954" s="52">
        <v>2345</v>
      </c>
      <c r="C3954" s="90" t="str">
        <f>VLOOKUP(B3954,'All Districts'!$A$3:$B$874,2,FALSE)</f>
        <v>Malverne</v>
      </c>
      <c r="D3954" s="75">
        <v>2150340</v>
      </c>
      <c r="E3954">
        <f>VLOOKUP(C3954,'All Districts'!$B$3:$C$874,2,FALSE)</f>
        <v>3618210</v>
      </c>
      <c r="F3954" s="91">
        <f>COUNTIF($E$2:$E$7106,E3954)</f>
        <v>9</v>
      </c>
    </row>
    <row r="3955" spans="1:6" x14ac:dyDescent="0.2">
      <c r="A3955">
        <v>2022</v>
      </c>
      <c r="B3955" s="36">
        <v>2345</v>
      </c>
      <c r="C3955" s="90" t="str">
        <f>VLOOKUP(B3955,'All Districts'!$A$3:$B$874,2,FALSE)</f>
        <v>Malverne</v>
      </c>
      <c r="D3955" s="82">
        <v>2365547</v>
      </c>
      <c r="E3955">
        <f>VLOOKUP(C3955,'All Districts'!$B$3:$C$874,2,FALSE)</f>
        <v>3618210</v>
      </c>
      <c r="F3955" s="91">
        <f>COUNTIF($E$2:$E$7106,E3955)</f>
        <v>9</v>
      </c>
    </row>
    <row r="3956" spans="1:6" x14ac:dyDescent="0.2">
      <c r="A3956">
        <v>2023</v>
      </c>
      <c r="B3956" s="36">
        <v>2345</v>
      </c>
      <c r="C3956" s="90" t="str">
        <f>VLOOKUP(B3956,'All Districts'!$A$3:$B$874,2,FALSE)</f>
        <v>Malverne</v>
      </c>
      <c r="D3956" s="40">
        <v>2586028</v>
      </c>
      <c r="E3956">
        <f>VLOOKUP(C3956,'All Districts'!$B$3:$C$874,2,FALSE)</f>
        <v>3618210</v>
      </c>
      <c r="F3956" s="91">
        <f>COUNTIF($E$2:$E$7106,E3956)</f>
        <v>9</v>
      </c>
    </row>
    <row r="3957" spans="1:6" x14ac:dyDescent="0.2">
      <c r="A3957">
        <v>2015</v>
      </c>
      <c r="B3957" s="13">
        <v>2350</v>
      </c>
      <c r="C3957" s="90" t="str">
        <f>VLOOKUP(B3957,'All Districts'!$A$3:$B$874,2,FALSE)</f>
        <v>Mamaroneck</v>
      </c>
      <c r="D3957" s="14">
        <v>9559143</v>
      </c>
      <c r="E3957">
        <f>VLOOKUP(C3957,'All Districts'!$B$3:$C$874,2,FALSE)</f>
        <v>3618240</v>
      </c>
      <c r="F3957" s="91">
        <f>COUNTIF($E$2:$E$7106,E3957)</f>
        <v>9</v>
      </c>
    </row>
    <row r="3958" spans="1:6" x14ac:dyDescent="0.2">
      <c r="A3958">
        <v>2016</v>
      </c>
      <c r="B3958" s="13">
        <v>2350</v>
      </c>
      <c r="C3958" s="90" t="str">
        <f>VLOOKUP(B3958,'All Districts'!$A$3:$B$874,2,FALSE)</f>
        <v>Mamaroneck</v>
      </c>
      <c r="D3958" s="16">
        <v>7682283</v>
      </c>
      <c r="E3958">
        <f>VLOOKUP(C3958,'All Districts'!$B$3:$C$874,2,FALSE)</f>
        <v>3618240</v>
      </c>
      <c r="F3958" s="91">
        <f>COUNTIF($E$2:$E$7106,E3958)</f>
        <v>9</v>
      </c>
    </row>
    <row r="3959" spans="1:6" x14ac:dyDescent="0.2">
      <c r="A3959">
        <v>2017</v>
      </c>
      <c r="B3959" s="13">
        <v>2350</v>
      </c>
      <c r="C3959" s="90" t="str">
        <f>VLOOKUP(B3959,'All Districts'!$A$3:$B$874,2,FALSE)</f>
        <v>Mamaroneck</v>
      </c>
      <c r="D3959" s="16">
        <v>6833039</v>
      </c>
      <c r="E3959">
        <f>VLOOKUP(C3959,'All Districts'!$B$3:$C$874,2,FALSE)</f>
        <v>3618240</v>
      </c>
      <c r="F3959" s="91">
        <f>COUNTIF($E$2:$E$7106,E3959)</f>
        <v>9</v>
      </c>
    </row>
    <row r="3960" spans="1:6" x14ac:dyDescent="0.2">
      <c r="A3960" s="10">
        <v>2018</v>
      </c>
      <c r="B3960" s="13">
        <v>2350</v>
      </c>
      <c r="C3960" s="90" t="str">
        <f>VLOOKUP(B3960,'All Districts'!$A$3:$B$874,2,FALSE)</f>
        <v>Mamaroneck</v>
      </c>
      <c r="D3960" s="15">
        <v>5813815</v>
      </c>
      <c r="E3960">
        <f>VLOOKUP(C3960,'All Districts'!$B$3:$C$874,2,FALSE)</f>
        <v>3618240</v>
      </c>
      <c r="F3960" s="91">
        <f>COUNTIF($E$2:$E$7106,E3960)</f>
        <v>9</v>
      </c>
    </row>
    <row r="3961" spans="1:6" x14ac:dyDescent="0.2">
      <c r="A3961">
        <v>2019</v>
      </c>
      <c r="B3961" s="36">
        <v>2350</v>
      </c>
      <c r="C3961" s="90" t="str">
        <f>VLOOKUP(B3961,'All Districts'!$A$3:$B$874,2,FALSE)</f>
        <v>Mamaroneck</v>
      </c>
      <c r="D3961" s="40">
        <v>6526773</v>
      </c>
      <c r="E3961">
        <f>VLOOKUP(C3961,'All Districts'!$B$3:$C$874,2,FALSE)</f>
        <v>3618240</v>
      </c>
      <c r="F3961" s="91">
        <f>COUNTIF($E$2:$E$7106,E3961)</f>
        <v>9</v>
      </c>
    </row>
    <row r="3962" spans="1:6" x14ac:dyDescent="0.2">
      <c r="A3962">
        <v>2020</v>
      </c>
      <c r="B3962" s="36">
        <v>2350</v>
      </c>
      <c r="C3962" s="90" t="str">
        <f>VLOOKUP(B3962,'All Districts'!$A$3:$B$874,2,FALSE)</f>
        <v>Mamaroneck</v>
      </c>
      <c r="D3962" s="40">
        <v>5586168</v>
      </c>
      <c r="E3962">
        <f>VLOOKUP(C3962,'All Districts'!$B$3:$C$874,2,FALSE)</f>
        <v>3618240</v>
      </c>
      <c r="F3962" s="91">
        <f>COUNTIF($E$2:$E$7106,E3962)</f>
        <v>9</v>
      </c>
    </row>
    <row r="3963" spans="1:6" x14ac:dyDescent="0.2">
      <c r="A3963" s="10">
        <v>2021</v>
      </c>
      <c r="B3963" s="52">
        <v>2350</v>
      </c>
      <c r="C3963" s="90" t="str">
        <f>VLOOKUP(B3963,'All Districts'!$A$3:$B$874,2,FALSE)</f>
        <v>Mamaroneck</v>
      </c>
      <c r="D3963" s="76">
        <v>5945604</v>
      </c>
      <c r="E3963">
        <f>VLOOKUP(C3963,'All Districts'!$B$3:$C$874,2,FALSE)</f>
        <v>3618240</v>
      </c>
      <c r="F3963" s="91">
        <f>COUNTIF($E$2:$E$7106,E3963)</f>
        <v>9</v>
      </c>
    </row>
    <row r="3964" spans="1:6" x14ac:dyDescent="0.2">
      <c r="A3964">
        <v>2022</v>
      </c>
      <c r="B3964" s="36">
        <v>2350</v>
      </c>
      <c r="C3964" s="90" t="str">
        <f>VLOOKUP(B3964,'All Districts'!$A$3:$B$874,2,FALSE)</f>
        <v>Mamaroneck</v>
      </c>
      <c r="D3964" s="82">
        <v>6288040</v>
      </c>
      <c r="E3964">
        <f>VLOOKUP(C3964,'All Districts'!$B$3:$C$874,2,FALSE)</f>
        <v>3618240</v>
      </c>
      <c r="F3964" s="91">
        <f>COUNTIF($E$2:$E$7106,E3964)</f>
        <v>9</v>
      </c>
    </row>
    <row r="3965" spans="1:6" x14ac:dyDescent="0.2">
      <c r="A3965">
        <v>2023</v>
      </c>
      <c r="B3965" s="36">
        <v>2350</v>
      </c>
      <c r="C3965" s="90" t="str">
        <f>VLOOKUP(B3965,'All Districts'!$A$3:$B$874,2,FALSE)</f>
        <v>Mamaroneck</v>
      </c>
      <c r="D3965" s="40">
        <v>6682451</v>
      </c>
      <c r="E3965">
        <f>VLOOKUP(C3965,'All Districts'!$B$3:$C$874,2,FALSE)</f>
        <v>3618240</v>
      </c>
      <c r="F3965" s="91">
        <f>COUNTIF($E$2:$E$7106,E3965)</f>
        <v>9</v>
      </c>
    </row>
    <row r="3966" spans="1:6" x14ac:dyDescent="0.2">
      <c r="A3966">
        <v>2015</v>
      </c>
      <c r="B3966" s="13">
        <v>4583</v>
      </c>
      <c r="C3966" s="90" t="str">
        <f>VLOOKUP(B3966,'All Districts'!$A$3:$B$874,2,FALSE)</f>
        <v>Manchester-Shortsville</v>
      </c>
      <c r="D3966" s="14">
        <v>880822</v>
      </c>
      <c r="E3966">
        <f>VLOOKUP(C3966,'All Districts'!$B$3:$C$874,2,FALSE)</f>
        <v>3624270</v>
      </c>
      <c r="F3966" s="91">
        <f>COUNTIF($E$2:$E$7106,E3966)</f>
        <v>9</v>
      </c>
    </row>
    <row r="3967" spans="1:6" x14ac:dyDescent="0.2">
      <c r="A3967">
        <v>2016</v>
      </c>
      <c r="B3967" s="13">
        <v>4583</v>
      </c>
      <c r="C3967" s="90" t="str">
        <f>VLOOKUP(B3967,'All Districts'!$A$3:$B$874,2,FALSE)</f>
        <v>Manchester-Shortsville</v>
      </c>
      <c r="D3967" s="16">
        <v>662931</v>
      </c>
      <c r="E3967">
        <f>VLOOKUP(C3967,'All Districts'!$B$3:$C$874,2,FALSE)</f>
        <v>3624270</v>
      </c>
      <c r="F3967" s="91">
        <f>COUNTIF($E$2:$E$7106,E3967)</f>
        <v>9</v>
      </c>
    </row>
    <row r="3968" spans="1:6" x14ac:dyDescent="0.2">
      <c r="A3968">
        <v>2017</v>
      </c>
      <c r="B3968" s="13">
        <v>4583</v>
      </c>
      <c r="C3968" s="90" t="str">
        <f>VLOOKUP(B3968,'All Districts'!$A$3:$B$874,2,FALSE)</f>
        <v>Manchester-Shortsville</v>
      </c>
      <c r="D3968" s="16">
        <v>621960</v>
      </c>
      <c r="E3968">
        <f>VLOOKUP(C3968,'All Districts'!$B$3:$C$874,2,FALSE)</f>
        <v>3624270</v>
      </c>
      <c r="F3968" s="91">
        <f>COUNTIF($E$2:$E$7106,E3968)</f>
        <v>9</v>
      </c>
    </row>
    <row r="3969" spans="1:6" x14ac:dyDescent="0.2">
      <c r="A3969" s="10">
        <v>2018</v>
      </c>
      <c r="B3969" s="13">
        <v>4583</v>
      </c>
      <c r="C3969" s="90" t="str">
        <f>VLOOKUP(B3969,'All Districts'!$A$3:$B$874,2,FALSE)</f>
        <v>Manchester-Shortsville</v>
      </c>
      <c r="D3969" s="15">
        <v>552104</v>
      </c>
      <c r="E3969">
        <f>VLOOKUP(C3969,'All Districts'!$B$3:$C$874,2,FALSE)</f>
        <v>3624270</v>
      </c>
      <c r="F3969" s="91">
        <f>COUNTIF($E$2:$E$7106,E3969)</f>
        <v>9</v>
      </c>
    </row>
    <row r="3970" spans="1:6" x14ac:dyDescent="0.2">
      <c r="A3970">
        <v>2019</v>
      </c>
      <c r="B3970" s="36">
        <v>4583</v>
      </c>
      <c r="C3970" s="90" t="str">
        <f>VLOOKUP(B3970,'All Districts'!$A$3:$B$874,2,FALSE)</f>
        <v>Manchester-Shortsville</v>
      </c>
      <c r="D3970" s="40">
        <v>610355</v>
      </c>
      <c r="E3970">
        <f>VLOOKUP(C3970,'All Districts'!$B$3:$C$874,2,FALSE)</f>
        <v>3624270</v>
      </c>
      <c r="F3970" s="91">
        <f>COUNTIF($E$2:$E$7106,E3970)</f>
        <v>9</v>
      </c>
    </row>
    <row r="3971" spans="1:6" x14ac:dyDescent="0.2">
      <c r="A3971">
        <v>2020</v>
      </c>
      <c r="B3971" s="36">
        <v>4583</v>
      </c>
      <c r="C3971" s="90" t="str">
        <f>VLOOKUP(B3971,'All Districts'!$A$3:$B$874,2,FALSE)</f>
        <v>Manchester-Shortsville</v>
      </c>
      <c r="D3971" s="40">
        <v>500705</v>
      </c>
      <c r="E3971">
        <f>VLOOKUP(C3971,'All Districts'!$B$3:$C$874,2,FALSE)</f>
        <v>3624270</v>
      </c>
      <c r="F3971" s="91">
        <f>COUNTIF($E$2:$E$7106,E3971)</f>
        <v>9</v>
      </c>
    </row>
    <row r="3972" spans="1:6" x14ac:dyDescent="0.2">
      <c r="A3972" s="10">
        <v>2021</v>
      </c>
      <c r="B3972" s="52">
        <v>4583</v>
      </c>
      <c r="C3972" s="90" t="str">
        <f>VLOOKUP(B3972,'All Districts'!$A$3:$B$874,2,FALSE)</f>
        <v>Manchester-Shortsville</v>
      </c>
      <c r="D3972" s="75">
        <v>519481</v>
      </c>
      <c r="E3972">
        <f>VLOOKUP(C3972,'All Districts'!$B$3:$C$874,2,FALSE)</f>
        <v>3624270</v>
      </c>
      <c r="F3972" s="91">
        <f>COUNTIF($E$2:$E$7106,E3972)</f>
        <v>9</v>
      </c>
    </row>
    <row r="3973" spans="1:6" x14ac:dyDescent="0.2">
      <c r="A3973">
        <v>2022</v>
      </c>
      <c r="B3973" s="36">
        <v>4583</v>
      </c>
      <c r="C3973" s="90" t="str">
        <f>VLOOKUP(B3973,'All Districts'!$A$3:$B$874,2,FALSE)</f>
        <v>Manchester-Shortsville</v>
      </c>
      <c r="D3973" s="82">
        <v>605503</v>
      </c>
      <c r="E3973">
        <f>VLOOKUP(C3973,'All Districts'!$B$3:$C$874,2,FALSE)</f>
        <v>3624270</v>
      </c>
      <c r="F3973" s="91">
        <f>COUNTIF($E$2:$E$7106,E3973)</f>
        <v>9</v>
      </c>
    </row>
    <row r="3974" spans="1:6" x14ac:dyDescent="0.2">
      <c r="A3974">
        <v>2023</v>
      </c>
      <c r="B3974" s="36">
        <v>4583</v>
      </c>
      <c r="C3974" s="90" t="str">
        <f>VLOOKUP(B3974,'All Districts'!$A$3:$B$874,2,FALSE)</f>
        <v>Manchester-Shortsville</v>
      </c>
      <c r="D3974" s="40">
        <v>664847</v>
      </c>
      <c r="E3974">
        <f>VLOOKUP(C3974,'All Districts'!$B$3:$C$874,2,FALSE)</f>
        <v>3624270</v>
      </c>
      <c r="F3974" s="91">
        <f>COUNTIF($E$2:$E$7106,E3974)</f>
        <v>9</v>
      </c>
    </row>
    <row r="3975" spans="1:6" x14ac:dyDescent="0.2">
      <c r="A3975">
        <v>2015</v>
      </c>
      <c r="B3975" s="13">
        <v>2355</v>
      </c>
      <c r="C3975" s="90" t="str">
        <f>VLOOKUP(B3975,'All Districts'!$A$3:$B$874,2,FALSE)</f>
        <v>Manhasset</v>
      </c>
      <c r="D3975" s="14">
        <v>6857442</v>
      </c>
      <c r="E3975">
        <f>VLOOKUP(C3975,'All Districts'!$B$3:$C$874,2,FALSE)</f>
        <v>3618270</v>
      </c>
      <c r="F3975" s="91">
        <f>COUNTIF($E$2:$E$7106,E3975)</f>
        <v>9</v>
      </c>
    </row>
    <row r="3976" spans="1:6" x14ac:dyDescent="0.2">
      <c r="A3976">
        <v>2016</v>
      </c>
      <c r="B3976" s="13">
        <v>2355</v>
      </c>
      <c r="C3976" s="90" t="str">
        <f>VLOOKUP(B3976,'All Districts'!$A$3:$B$874,2,FALSE)</f>
        <v>Manhasset</v>
      </c>
      <c r="D3976" s="16">
        <v>5433344</v>
      </c>
      <c r="E3976">
        <f>VLOOKUP(C3976,'All Districts'!$B$3:$C$874,2,FALSE)</f>
        <v>3618270</v>
      </c>
      <c r="F3976" s="91">
        <f>COUNTIF($E$2:$E$7106,E3976)</f>
        <v>9</v>
      </c>
    </row>
    <row r="3977" spans="1:6" x14ac:dyDescent="0.2">
      <c r="A3977">
        <v>2017</v>
      </c>
      <c r="B3977" s="13">
        <v>2355</v>
      </c>
      <c r="C3977" s="90" t="str">
        <f>VLOOKUP(B3977,'All Districts'!$A$3:$B$874,2,FALSE)</f>
        <v>Manhasset</v>
      </c>
      <c r="D3977" s="16">
        <v>4832101</v>
      </c>
      <c r="E3977">
        <f>VLOOKUP(C3977,'All Districts'!$B$3:$C$874,2,FALSE)</f>
        <v>3618270</v>
      </c>
      <c r="F3977" s="91">
        <f>COUNTIF($E$2:$E$7106,E3977)</f>
        <v>9</v>
      </c>
    </row>
    <row r="3978" spans="1:6" x14ac:dyDescent="0.2">
      <c r="A3978" s="10">
        <v>2018</v>
      </c>
      <c r="B3978" s="13">
        <v>2355</v>
      </c>
      <c r="C3978" s="90" t="str">
        <f>VLOOKUP(B3978,'All Districts'!$A$3:$B$874,2,FALSE)</f>
        <v>Manhasset</v>
      </c>
      <c r="D3978" s="15">
        <v>4108623</v>
      </c>
      <c r="E3978">
        <f>VLOOKUP(C3978,'All Districts'!$B$3:$C$874,2,FALSE)</f>
        <v>3618270</v>
      </c>
      <c r="F3978" s="91">
        <f>COUNTIF($E$2:$E$7106,E3978)</f>
        <v>9</v>
      </c>
    </row>
    <row r="3979" spans="1:6" x14ac:dyDescent="0.2">
      <c r="A3979">
        <v>2019</v>
      </c>
      <c r="B3979" s="36">
        <v>2355</v>
      </c>
      <c r="C3979" s="90" t="str">
        <f>VLOOKUP(B3979,'All Districts'!$A$3:$B$874,2,FALSE)</f>
        <v>Manhasset</v>
      </c>
      <c r="D3979" s="40">
        <v>4464846</v>
      </c>
      <c r="E3979">
        <f>VLOOKUP(C3979,'All Districts'!$B$3:$C$874,2,FALSE)</f>
        <v>3618270</v>
      </c>
      <c r="F3979" s="91">
        <f>COUNTIF($E$2:$E$7106,E3979)</f>
        <v>9</v>
      </c>
    </row>
    <row r="3980" spans="1:6" x14ac:dyDescent="0.2">
      <c r="A3980">
        <v>2020</v>
      </c>
      <c r="B3980" s="36">
        <v>2355</v>
      </c>
      <c r="C3980" s="90" t="str">
        <f>VLOOKUP(B3980,'All Districts'!$A$3:$B$874,2,FALSE)</f>
        <v>Manhasset</v>
      </c>
      <c r="D3980" s="40">
        <v>3768389</v>
      </c>
      <c r="E3980">
        <f>VLOOKUP(C3980,'All Districts'!$B$3:$C$874,2,FALSE)</f>
        <v>3618270</v>
      </c>
      <c r="F3980" s="91">
        <f>COUNTIF($E$2:$E$7106,E3980)</f>
        <v>9</v>
      </c>
    </row>
    <row r="3981" spans="1:6" x14ac:dyDescent="0.2">
      <c r="A3981" s="10">
        <v>2021</v>
      </c>
      <c r="B3981" s="52">
        <v>2355</v>
      </c>
      <c r="C3981" s="90" t="str">
        <f>VLOOKUP(B3981,'All Districts'!$A$3:$B$874,2,FALSE)</f>
        <v>Manhasset</v>
      </c>
      <c r="D3981" s="76">
        <v>4202768</v>
      </c>
      <c r="E3981">
        <f>VLOOKUP(C3981,'All Districts'!$B$3:$C$874,2,FALSE)</f>
        <v>3618270</v>
      </c>
      <c r="F3981" s="91">
        <f>COUNTIF($E$2:$E$7106,E3981)</f>
        <v>9</v>
      </c>
    </row>
    <row r="3982" spans="1:6" x14ac:dyDescent="0.2">
      <c r="A3982">
        <v>2022</v>
      </c>
      <c r="B3982" s="36">
        <v>2355</v>
      </c>
      <c r="C3982" s="90" t="str">
        <f>VLOOKUP(B3982,'All Districts'!$A$3:$B$874,2,FALSE)</f>
        <v>Manhasset</v>
      </c>
      <c r="D3982" s="82">
        <v>4344046</v>
      </c>
      <c r="E3982">
        <f>VLOOKUP(C3982,'All Districts'!$B$3:$C$874,2,FALSE)</f>
        <v>3618270</v>
      </c>
      <c r="F3982" s="91">
        <f>COUNTIF($E$2:$E$7106,E3982)</f>
        <v>9</v>
      </c>
    </row>
    <row r="3983" spans="1:6" x14ac:dyDescent="0.2">
      <c r="A3983">
        <v>2023</v>
      </c>
      <c r="B3983" s="36">
        <v>2355</v>
      </c>
      <c r="C3983" s="90" t="str">
        <f>VLOOKUP(B3983,'All Districts'!$A$3:$B$874,2,FALSE)</f>
        <v>Manhasset</v>
      </c>
      <c r="D3983" s="40">
        <v>4620055</v>
      </c>
      <c r="E3983">
        <f>VLOOKUP(C3983,'All Districts'!$B$3:$C$874,2,FALSE)</f>
        <v>3618270</v>
      </c>
      <c r="F3983" s="91">
        <f>COUNTIF($E$2:$E$7106,E3983)</f>
        <v>9</v>
      </c>
    </row>
    <row r="3984" spans="1:6" x14ac:dyDescent="0.2">
      <c r="A3984">
        <v>2015</v>
      </c>
      <c r="B3984" s="13">
        <v>3531</v>
      </c>
      <c r="C3984" s="90" t="str">
        <f>VLOOKUP(B3984,'All Districts'!$A$3:$B$874,2,FALSE)</f>
        <v>Marathon</v>
      </c>
      <c r="D3984" s="14">
        <v>852012</v>
      </c>
      <c r="E3984">
        <f>VLOOKUP(C3984,'All Districts'!$B$3:$C$874,2,FALSE)</f>
        <v>3618450</v>
      </c>
      <c r="F3984" s="91">
        <f>COUNTIF($E$2:$E$7106,E3984)</f>
        <v>9</v>
      </c>
    </row>
    <row r="3985" spans="1:6" x14ac:dyDescent="0.2">
      <c r="A3985">
        <v>2016</v>
      </c>
      <c r="B3985" s="13">
        <v>3531</v>
      </c>
      <c r="C3985" s="90" t="str">
        <f>VLOOKUP(B3985,'All Districts'!$A$3:$B$874,2,FALSE)</f>
        <v>Marathon</v>
      </c>
      <c r="D3985" s="16">
        <v>746799</v>
      </c>
      <c r="E3985">
        <f>VLOOKUP(C3985,'All Districts'!$B$3:$C$874,2,FALSE)</f>
        <v>3618450</v>
      </c>
      <c r="F3985" s="91">
        <f>COUNTIF($E$2:$E$7106,E3985)</f>
        <v>9</v>
      </c>
    </row>
    <row r="3986" spans="1:6" x14ac:dyDescent="0.2">
      <c r="A3986">
        <v>2017</v>
      </c>
      <c r="B3986" s="13">
        <v>3531</v>
      </c>
      <c r="C3986" s="90" t="str">
        <f>VLOOKUP(B3986,'All Districts'!$A$3:$B$874,2,FALSE)</f>
        <v>Marathon</v>
      </c>
      <c r="D3986" s="16">
        <v>668319</v>
      </c>
      <c r="E3986">
        <f>VLOOKUP(C3986,'All Districts'!$B$3:$C$874,2,FALSE)</f>
        <v>3618450</v>
      </c>
      <c r="F3986" s="91">
        <f>COUNTIF($E$2:$E$7106,E3986)</f>
        <v>9</v>
      </c>
    </row>
    <row r="3987" spans="1:6" x14ac:dyDescent="0.2">
      <c r="A3987" s="10">
        <v>2018</v>
      </c>
      <c r="B3987" s="13">
        <v>3531</v>
      </c>
      <c r="C3987" s="90" t="str">
        <f>VLOOKUP(B3987,'All Districts'!$A$3:$B$874,2,FALSE)</f>
        <v>Marathon</v>
      </c>
      <c r="D3987" s="15">
        <v>587038</v>
      </c>
      <c r="E3987">
        <f>VLOOKUP(C3987,'All Districts'!$B$3:$C$874,2,FALSE)</f>
        <v>3618450</v>
      </c>
      <c r="F3987" s="91">
        <f>COUNTIF($E$2:$E$7106,E3987)</f>
        <v>9</v>
      </c>
    </row>
    <row r="3988" spans="1:6" x14ac:dyDescent="0.2">
      <c r="A3988">
        <v>2019</v>
      </c>
      <c r="B3988" s="36">
        <v>3531</v>
      </c>
      <c r="C3988" s="90" t="str">
        <f>VLOOKUP(B3988,'All Districts'!$A$3:$B$874,2,FALSE)</f>
        <v>Marathon</v>
      </c>
      <c r="D3988" s="40">
        <v>644591</v>
      </c>
      <c r="E3988">
        <f>VLOOKUP(C3988,'All Districts'!$B$3:$C$874,2,FALSE)</f>
        <v>3618450</v>
      </c>
      <c r="F3988" s="91">
        <f>COUNTIF($E$2:$E$7106,E3988)</f>
        <v>9</v>
      </c>
    </row>
    <row r="3989" spans="1:6" x14ac:dyDescent="0.2">
      <c r="A3989">
        <v>2020</v>
      </c>
      <c r="B3989" s="36">
        <v>3531</v>
      </c>
      <c r="C3989" s="90" t="str">
        <f>VLOOKUP(B3989,'All Districts'!$A$3:$B$874,2,FALSE)</f>
        <v>Marathon</v>
      </c>
      <c r="D3989" s="40">
        <v>553810</v>
      </c>
      <c r="E3989">
        <f>VLOOKUP(C3989,'All Districts'!$B$3:$C$874,2,FALSE)</f>
        <v>3618450</v>
      </c>
      <c r="F3989" s="91">
        <f>COUNTIF($E$2:$E$7106,E3989)</f>
        <v>9</v>
      </c>
    </row>
    <row r="3990" spans="1:6" x14ac:dyDescent="0.2">
      <c r="A3990" s="10">
        <v>2021</v>
      </c>
      <c r="B3990" s="55">
        <v>3531</v>
      </c>
      <c r="C3990" s="90" t="str">
        <f>VLOOKUP(B3990,'All Districts'!$A$3:$B$874,2,FALSE)</f>
        <v>Marathon</v>
      </c>
      <c r="D3990" s="75">
        <v>602047</v>
      </c>
      <c r="E3990">
        <f>VLOOKUP(C3990,'All Districts'!$B$3:$C$874,2,FALSE)</f>
        <v>3618450</v>
      </c>
      <c r="F3990" s="91">
        <f>COUNTIF($E$2:$E$7106,E3990)</f>
        <v>9</v>
      </c>
    </row>
    <row r="3991" spans="1:6" x14ac:dyDescent="0.2">
      <c r="A3991">
        <v>2022</v>
      </c>
      <c r="B3991" s="36">
        <v>3531</v>
      </c>
      <c r="C3991" s="90" t="str">
        <f>VLOOKUP(B3991,'All Districts'!$A$3:$B$874,2,FALSE)</f>
        <v>Marathon</v>
      </c>
      <c r="D3991" s="82">
        <v>637638</v>
      </c>
      <c r="E3991">
        <f>VLOOKUP(C3991,'All Districts'!$B$3:$C$874,2,FALSE)</f>
        <v>3618450</v>
      </c>
      <c r="F3991" s="91">
        <f>COUNTIF($E$2:$E$7106,E3991)</f>
        <v>9</v>
      </c>
    </row>
    <row r="3992" spans="1:6" x14ac:dyDescent="0.2">
      <c r="A3992">
        <v>2023</v>
      </c>
      <c r="B3992" s="36">
        <v>3531</v>
      </c>
      <c r="C3992" s="90" t="str">
        <f>VLOOKUP(B3992,'All Districts'!$A$3:$B$874,2,FALSE)</f>
        <v>Marathon</v>
      </c>
      <c r="D3992" s="40">
        <v>662518</v>
      </c>
      <c r="E3992">
        <f>VLOOKUP(C3992,'All Districts'!$B$3:$C$874,2,FALSE)</f>
        <v>3618450</v>
      </c>
      <c r="F3992" s="91">
        <f>COUNTIF($E$2:$E$7106,E3992)</f>
        <v>9</v>
      </c>
    </row>
    <row r="3993" spans="1:6" x14ac:dyDescent="0.2">
      <c r="A3993">
        <v>2015</v>
      </c>
      <c r="B3993" s="13">
        <v>2361</v>
      </c>
      <c r="C3993" s="90" t="str">
        <f>VLOOKUP(B3993,'All Districts'!$A$3:$B$874,2,FALSE)</f>
        <v>Marcellus</v>
      </c>
      <c r="D3993" s="14">
        <v>2151547</v>
      </c>
      <c r="E3993">
        <f>VLOOKUP(C3993,'All Districts'!$B$3:$C$874,2,FALSE)</f>
        <v>3618480</v>
      </c>
      <c r="F3993" s="91">
        <f>COUNTIF($E$2:$E$7106,E3993)</f>
        <v>9</v>
      </c>
    </row>
    <row r="3994" spans="1:6" x14ac:dyDescent="0.2">
      <c r="A3994">
        <v>2016</v>
      </c>
      <c r="B3994" s="13">
        <v>2361</v>
      </c>
      <c r="C3994" s="90" t="str">
        <f>VLOOKUP(B3994,'All Districts'!$A$3:$B$874,2,FALSE)</f>
        <v>Marcellus</v>
      </c>
      <c r="D3994" s="16">
        <v>1637927</v>
      </c>
      <c r="E3994">
        <f>VLOOKUP(C3994,'All Districts'!$B$3:$C$874,2,FALSE)</f>
        <v>3618480</v>
      </c>
      <c r="F3994" s="91">
        <f>COUNTIF($E$2:$E$7106,E3994)</f>
        <v>9</v>
      </c>
    </row>
    <row r="3995" spans="1:6" x14ac:dyDescent="0.2">
      <c r="A3995">
        <v>2017</v>
      </c>
      <c r="B3995" s="13">
        <v>2361</v>
      </c>
      <c r="C3995" s="90" t="str">
        <f>VLOOKUP(B3995,'All Districts'!$A$3:$B$874,2,FALSE)</f>
        <v>Marcellus</v>
      </c>
      <c r="D3995" s="16">
        <v>1522779</v>
      </c>
      <c r="E3995">
        <f>VLOOKUP(C3995,'All Districts'!$B$3:$C$874,2,FALSE)</f>
        <v>3618480</v>
      </c>
      <c r="F3995" s="91">
        <f>COUNTIF($E$2:$E$7106,E3995)</f>
        <v>9</v>
      </c>
    </row>
    <row r="3996" spans="1:6" x14ac:dyDescent="0.2">
      <c r="A3996" s="10">
        <v>2018</v>
      </c>
      <c r="B3996" s="13">
        <v>2361</v>
      </c>
      <c r="C3996" s="90" t="str">
        <f>VLOOKUP(B3996,'All Districts'!$A$3:$B$874,2,FALSE)</f>
        <v>Marcellus</v>
      </c>
      <c r="D3996" s="15">
        <v>1301586</v>
      </c>
      <c r="E3996">
        <f>VLOOKUP(C3996,'All Districts'!$B$3:$C$874,2,FALSE)</f>
        <v>3618480</v>
      </c>
      <c r="F3996" s="91">
        <f>COUNTIF($E$2:$E$7106,E3996)</f>
        <v>9</v>
      </c>
    </row>
    <row r="3997" spans="1:6" x14ac:dyDescent="0.2">
      <c r="A3997">
        <v>2019</v>
      </c>
      <c r="B3997" s="36">
        <v>2361</v>
      </c>
      <c r="C3997" s="90" t="str">
        <f>VLOOKUP(B3997,'All Districts'!$A$3:$B$874,2,FALSE)</f>
        <v>Marcellus</v>
      </c>
      <c r="D3997" s="40">
        <v>1454606</v>
      </c>
      <c r="E3997">
        <f>VLOOKUP(C3997,'All Districts'!$B$3:$C$874,2,FALSE)</f>
        <v>3618480</v>
      </c>
      <c r="F3997" s="91">
        <f>COUNTIF($E$2:$E$7106,E3997)</f>
        <v>9</v>
      </c>
    </row>
    <row r="3998" spans="1:6" x14ac:dyDescent="0.2">
      <c r="A3998">
        <v>2020</v>
      </c>
      <c r="B3998" s="36">
        <v>2361</v>
      </c>
      <c r="C3998" s="90" t="str">
        <f>VLOOKUP(B3998,'All Districts'!$A$3:$B$874,2,FALSE)</f>
        <v>Marcellus</v>
      </c>
      <c r="D3998" s="40">
        <v>1206998</v>
      </c>
      <c r="E3998">
        <f>VLOOKUP(C3998,'All Districts'!$B$3:$C$874,2,FALSE)</f>
        <v>3618480</v>
      </c>
      <c r="F3998" s="91">
        <f>COUNTIF($E$2:$E$7106,E3998)</f>
        <v>9</v>
      </c>
    </row>
    <row r="3999" spans="1:6" x14ac:dyDescent="0.2">
      <c r="A3999" s="10">
        <v>2021</v>
      </c>
      <c r="B3999" s="52">
        <v>2361</v>
      </c>
      <c r="C3999" s="90" t="str">
        <f>VLOOKUP(B3999,'All Districts'!$A$3:$B$874,2,FALSE)</f>
        <v>Marcellus</v>
      </c>
      <c r="D3999" s="76">
        <v>1285431</v>
      </c>
      <c r="E3999">
        <f>VLOOKUP(C3999,'All Districts'!$B$3:$C$874,2,FALSE)</f>
        <v>3618480</v>
      </c>
      <c r="F3999" s="91">
        <f>COUNTIF($E$2:$E$7106,E3999)</f>
        <v>9</v>
      </c>
    </row>
    <row r="4000" spans="1:6" x14ac:dyDescent="0.2">
      <c r="A4000">
        <v>2022</v>
      </c>
      <c r="B4000" s="36">
        <v>2361</v>
      </c>
      <c r="C4000" s="90" t="str">
        <f>VLOOKUP(B4000,'All Districts'!$A$3:$B$874,2,FALSE)</f>
        <v>Marcellus</v>
      </c>
      <c r="D4000" s="82">
        <v>1419390</v>
      </c>
      <c r="E4000">
        <f>VLOOKUP(C4000,'All Districts'!$B$3:$C$874,2,FALSE)</f>
        <v>3618480</v>
      </c>
      <c r="F4000" s="91">
        <f>COUNTIF($E$2:$E$7106,E4000)</f>
        <v>9</v>
      </c>
    </row>
    <row r="4001" spans="1:6" x14ac:dyDescent="0.2">
      <c r="A4001">
        <v>2023</v>
      </c>
      <c r="B4001" s="36">
        <v>2361</v>
      </c>
      <c r="C4001" s="90" t="str">
        <f>VLOOKUP(B4001,'All Districts'!$A$3:$B$874,2,FALSE)</f>
        <v>Marcellus</v>
      </c>
      <c r="D4001" s="40">
        <v>1574667</v>
      </c>
      <c r="E4001">
        <f>VLOOKUP(C4001,'All Districts'!$B$3:$C$874,2,FALSE)</f>
        <v>3618480</v>
      </c>
      <c r="F4001" s="91">
        <f>COUNTIF($E$2:$E$7106,E4001)</f>
        <v>9</v>
      </c>
    </row>
    <row r="4002" spans="1:6" x14ac:dyDescent="0.2">
      <c r="A4002">
        <v>2015</v>
      </c>
      <c r="B4002" s="13">
        <v>3983</v>
      </c>
      <c r="C4002" s="90" t="str">
        <f>VLOOKUP(B4002,'All Districts'!$A$3:$B$874,2,FALSE)</f>
        <v>Margaretville</v>
      </c>
      <c r="D4002" s="14">
        <v>541904</v>
      </c>
      <c r="E4002">
        <f>VLOOKUP(C4002,'All Districts'!$B$3:$C$874,2,FALSE)</f>
        <v>3618510</v>
      </c>
      <c r="F4002" s="91">
        <f>COUNTIF($E$2:$E$7106,E4002)</f>
        <v>9</v>
      </c>
    </row>
    <row r="4003" spans="1:6" x14ac:dyDescent="0.2">
      <c r="A4003">
        <v>2016</v>
      </c>
      <c r="B4003" s="13">
        <v>3983</v>
      </c>
      <c r="C4003" s="90" t="str">
        <f>VLOOKUP(B4003,'All Districts'!$A$3:$B$874,2,FALSE)</f>
        <v>Margaretville</v>
      </c>
      <c r="D4003" s="16">
        <v>380722</v>
      </c>
      <c r="E4003">
        <f>VLOOKUP(C4003,'All Districts'!$B$3:$C$874,2,FALSE)</f>
        <v>3618510</v>
      </c>
      <c r="F4003" s="91">
        <f>COUNTIF($E$2:$E$7106,E4003)</f>
        <v>9</v>
      </c>
    </row>
    <row r="4004" spans="1:6" x14ac:dyDescent="0.2">
      <c r="A4004">
        <v>2017</v>
      </c>
      <c r="B4004" s="13">
        <v>3983</v>
      </c>
      <c r="C4004" s="90" t="str">
        <f>VLOOKUP(B4004,'All Districts'!$A$3:$B$874,2,FALSE)</f>
        <v>Margaretville</v>
      </c>
      <c r="D4004" s="16">
        <v>336371</v>
      </c>
      <c r="E4004">
        <f>VLOOKUP(C4004,'All Districts'!$B$3:$C$874,2,FALSE)</f>
        <v>3618510</v>
      </c>
      <c r="F4004" s="91">
        <f>COUNTIF($E$2:$E$7106,E4004)</f>
        <v>9</v>
      </c>
    </row>
    <row r="4005" spans="1:6" x14ac:dyDescent="0.2">
      <c r="A4005" s="10">
        <v>2018</v>
      </c>
      <c r="B4005" s="13">
        <v>3983</v>
      </c>
      <c r="C4005" s="90" t="str">
        <f>VLOOKUP(B4005,'All Districts'!$A$3:$B$874,2,FALSE)</f>
        <v>Margaretville</v>
      </c>
      <c r="D4005" s="15">
        <v>286638</v>
      </c>
      <c r="E4005">
        <f>VLOOKUP(C4005,'All Districts'!$B$3:$C$874,2,FALSE)</f>
        <v>3618510</v>
      </c>
      <c r="F4005" s="91">
        <f>COUNTIF($E$2:$E$7106,E4005)</f>
        <v>9</v>
      </c>
    </row>
    <row r="4006" spans="1:6" x14ac:dyDescent="0.2">
      <c r="A4006">
        <v>2019</v>
      </c>
      <c r="B4006" s="36">
        <v>3983</v>
      </c>
      <c r="C4006" s="90" t="str">
        <f>VLOOKUP(B4006,'All Districts'!$A$3:$B$874,2,FALSE)</f>
        <v>Margaretville</v>
      </c>
      <c r="D4006" s="40">
        <v>317897</v>
      </c>
      <c r="E4006">
        <f>VLOOKUP(C4006,'All Districts'!$B$3:$C$874,2,FALSE)</f>
        <v>3618510</v>
      </c>
      <c r="F4006" s="91">
        <f>COUNTIF($E$2:$E$7106,E4006)</f>
        <v>9</v>
      </c>
    </row>
    <row r="4007" spans="1:6" x14ac:dyDescent="0.2">
      <c r="A4007">
        <v>2020</v>
      </c>
      <c r="B4007" s="36">
        <v>3983</v>
      </c>
      <c r="C4007" s="90" t="str">
        <f>VLOOKUP(B4007,'All Districts'!$A$3:$B$874,2,FALSE)</f>
        <v>Margaretville</v>
      </c>
      <c r="D4007" s="40">
        <v>259146</v>
      </c>
      <c r="E4007">
        <f>VLOOKUP(C4007,'All Districts'!$B$3:$C$874,2,FALSE)</f>
        <v>3618510</v>
      </c>
      <c r="F4007" s="91">
        <f>COUNTIF($E$2:$E$7106,E4007)</f>
        <v>9</v>
      </c>
    </row>
    <row r="4008" spans="1:6" x14ac:dyDescent="0.2">
      <c r="A4008" s="10">
        <v>2021</v>
      </c>
      <c r="B4008" s="55">
        <v>3983</v>
      </c>
      <c r="C4008" s="90" t="str">
        <f>VLOOKUP(B4008,'All Districts'!$A$3:$B$874,2,FALSE)</f>
        <v>Margaretville</v>
      </c>
      <c r="D4008" s="75">
        <v>287665</v>
      </c>
      <c r="E4008">
        <f>VLOOKUP(C4008,'All Districts'!$B$3:$C$874,2,FALSE)</f>
        <v>3618510</v>
      </c>
      <c r="F4008" s="91">
        <f>COUNTIF($E$2:$E$7106,E4008)</f>
        <v>9</v>
      </c>
    </row>
    <row r="4009" spans="1:6" x14ac:dyDescent="0.2">
      <c r="A4009">
        <v>2022</v>
      </c>
      <c r="B4009" s="36">
        <v>3983</v>
      </c>
      <c r="C4009" s="90" t="str">
        <f>VLOOKUP(B4009,'All Districts'!$A$3:$B$874,2,FALSE)</f>
        <v>Margaretville</v>
      </c>
      <c r="D4009" s="82">
        <v>313859</v>
      </c>
      <c r="E4009">
        <f>VLOOKUP(C4009,'All Districts'!$B$3:$C$874,2,FALSE)</f>
        <v>3618510</v>
      </c>
      <c r="F4009" s="91">
        <f>COUNTIF($E$2:$E$7106,E4009)</f>
        <v>9</v>
      </c>
    </row>
    <row r="4010" spans="1:6" x14ac:dyDescent="0.2">
      <c r="A4010">
        <v>2023</v>
      </c>
      <c r="B4010" s="36">
        <v>3983</v>
      </c>
      <c r="C4010" s="90" t="str">
        <f>VLOOKUP(B4010,'All Districts'!$A$3:$B$874,2,FALSE)</f>
        <v>Margaretville</v>
      </c>
      <c r="D4010" s="40">
        <v>362707</v>
      </c>
      <c r="E4010">
        <f>VLOOKUP(C4010,'All Districts'!$B$3:$C$874,2,FALSE)</f>
        <v>3618510</v>
      </c>
      <c r="F4010" s="91">
        <f>COUNTIF($E$2:$E$7106,E4010)</f>
        <v>9</v>
      </c>
    </row>
    <row r="4011" spans="1:6" x14ac:dyDescent="0.2">
      <c r="A4011">
        <v>2015</v>
      </c>
      <c r="B4011" s="13">
        <v>4596</v>
      </c>
      <c r="C4011" s="90" t="str">
        <f>VLOOKUP(B4011,'All Districts'!$A$3:$B$874,2,FALSE)</f>
        <v>Marion</v>
      </c>
      <c r="D4011" s="14">
        <v>906824</v>
      </c>
      <c r="E4011">
        <f>VLOOKUP(C4011,'All Districts'!$B$3:$C$874,2,FALSE)</f>
        <v>3618540</v>
      </c>
      <c r="F4011" s="91">
        <f>COUNTIF($E$2:$E$7106,E4011)</f>
        <v>9</v>
      </c>
    </row>
    <row r="4012" spans="1:6" x14ac:dyDescent="0.2">
      <c r="A4012">
        <v>2016</v>
      </c>
      <c r="B4012" s="13">
        <v>4596</v>
      </c>
      <c r="C4012" s="90" t="str">
        <f>VLOOKUP(B4012,'All Districts'!$A$3:$B$874,2,FALSE)</f>
        <v>Marion</v>
      </c>
      <c r="D4012" s="16">
        <v>688121</v>
      </c>
      <c r="E4012">
        <f>VLOOKUP(C4012,'All Districts'!$B$3:$C$874,2,FALSE)</f>
        <v>3618540</v>
      </c>
      <c r="F4012" s="91">
        <f>COUNTIF($E$2:$E$7106,E4012)</f>
        <v>9</v>
      </c>
    </row>
    <row r="4013" spans="1:6" x14ac:dyDescent="0.2">
      <c r="A4013">
        <v>2017</v>
      </c>
      <c r="B4013" s="13">
        <v>4596</v>
      </c>
      <c r="C4013" s="90" t="str">
        <f>VLOOKUP(B4013,'All Districts'!$A$3:$B$874,2,FALSE)</f>
        <v>Marion</v>
      </c>
      <c r="D4013" s="16">
        <v>631589</v>
      </c>
      <c r="E4013">
        <f>VLOOKUP(C4013,'All Districts'!$B$3:$C$874,2,FALSE)</f>
        <v>3618540</v>
      </c>
      <c r="F4013" s="91">
        <f>COUNTIF($E$2:$E$7106,E4013)</f>
        <v>9</v>
      </c>
    </row>
    <row r="4014" spans="1:6" x14ac:dyDescent="0.2">
      <c r="A4014" s="10">
        <v>2018</v>
      </c>
      <c r="B4014" s="13">
        <v>4596</v>
      </c>
      <c r="C4014" s="90" t="str">
        <f>VLOOKUP(B4014,'All Districts'!$A$3:$B$874,2,FALSE)</f>
        <v>Marion</v>
      </c>
      <c r="D4014" s="15">
        <v>543784</v>
      </c>
      <c r="E4014">
        <f>VLOOKUP(C4014,'All Districts'!$B$3:$C$874,2,FALSE)</f>
        <v>3618540</v>
      </c>
      <c r="F4014" s="91">
        <f>COUNTIF($E$2:$E$7106,E4014)</f>
        <v>9</v>
      </c>
    </row>
    <row r="4015" spans="1:6" x14ac:dyDescent="0.2">
      <c r="A4015">
        <v>2019</v>
      </c>
      <c r="B4015" s="36">
        <v>4596</v>
      </c>
      <c r="C4015" s="90" t="str">
        <f>VLOOKUP(B4015,'All Districts'!$A$3:$B$874,2,FALSE)</f>
        <v>Marion</v>
      </c>
      <c r="D4015" s="40">
        <v>617364</v>
      </c>
      <c r="E4015">
        <f>VLOOKUP(C4015,'All Districts'!$B$3:$C$874,2,FALSE)</f>
        <v>3618540</v>
      </c>
      <c r="F4015" s="91">
        <f>COUNTIF($E$2:$E$7106,E4015)</f>
        <v>9</v>
      </c>
    </row>
    <row r="4016" spans="1:6" x14ac:dyDescent="0.2">
      <c r="A4016">
        <v>2020</v>
      </c>
      <c r="B4016" s="36">
        <v>4596</v>
      </c>
      <c r="C4016" s="90" t="str">
        <f>VLOOKUP(B4016,'All Districts'!$A$3:$B$874,2,FALSE)</f>
        <v>Marion</v>
      </c>
      <c r="D4016" s="40">
        <v>524247</v>
      </c>
      <c r="E4016">
        <f>VLOOKUP(C4016,'All Districts'!$B$3:$C$874,2,FALSE)</f>
        <v>3618540</v>
      </c>
      <c r="F4016" s="91">
        <f>COUNTIF($E$2:$E$7106,E4016)</f>
        <v>9</v>
      </c>
    </row>
    <row r="4017" spans="1:6" x14ac:dyDescent="0.2">
      <c r="A4017" s="10">
        <v>2021</v>
      </c>
      <c r="B4017" s="52">
        <v>4596</v>
      </c>
      <c r="C4017" s="90" t="str">
        <f>VLOOKUP(B4017,'All Districts'!$A$3:$B$874,2,FALSE)</f>
        <v>Marion</v>
      </c>
      <c r="D4017" s="76">
        <v>572507</v>
      </c>
      <c r="E4017">
        <f>VLOOKUP(C4017,'All Districts'!$B$3:$C$874,2,FALSE)</f>
        <v>3618540</v>
      </c>
      <c r="F4017" s="91">
        <f>COUNTIF($E$2:$E$7106,E4017)</f>
        <v>9</v>
      </c>
    </row>
    <row r="4018" spans="1:6" x14ac:dyDescent="0.2">
      <c r="A4018">
        <v>2022</v>
      </c>
      <c r="B4018" s="36">
        <v>4596</v>
      </c>
      <c r="C4018" s="90" t="str">
        <f>VLOOKUP(B4018,'All Districts'!$A$3:$B$874,2,FALSE)</f>
        <v>Marion</v>
      </c>
      <c r="D4018" s="82">
        <v>648229</v>
      </c>
      <c r="E4018">
        <f>VLOOKUP(C4018,'All Districts'!$B$3:$C$874,2,FALSE)</f>
        <v>3618540</v>
      </c>
      <c r="F4018" s="91">
        <f>COUNTIF($E$2:$E$7106,E4018)</f>
        <v>9</v>
      </c>
    </row>
    <row r="4019" spans="1:6" x14ac:dyDescent="0.2">
      <c r="A4019">
        <v>2023</v>
      </c>
      <c r="B4019" s="36">
        <v>4596</v>
      </c>
      <c r="C4019" s="90" t="str">
        <f>VLOOKUP(B4019,'All Districts'!$A$3:$B$874,2,FALSE)</f>
        <v>Marion</v>
      </c>
      <c r="D4019" s="40">
        <v>698632</v>
      </c>
      <c r="E4019">
        <f>VLOOKUP(C4019,'All Districts'!$B$3:$C$874,2,FALSE)</f>
        <v>3618540</v>
      </c>
      <c r="F4019" s="91">
        <f>COUNTIF($E$2:$E$7106,E4019)</f>
        <v>9</v>
      </c>
    </row>
    <row r="4020" spans="1:6" x14ac:dyDescent="0.2">
      <c r="A4020">
        <v>2015</v>
      </c>
      <c r="B4020" s="13">
        <v>2364</v>
      </c>
      <c r="C4020" s="90" t="str">
        <f>VLOOKUP(B4020,'All Districts'!$A$3:$B$874,2,FALSE)</f>
        <v>Marlboro</v>
      </c>
      <c r="D4020" s="14">
        <v>3004618</v>
      </c>
      <c r="E4020">
        <f>VLOOKUP(C4020,'All Districts'!$B$3:$C$874,2,FALSE)</f>
        <v>3618570</v>
      </c>
      <c r="F4020" s="91">
        <f>COUNTIF($E$2:$E$7106,E4020)</f>
        <v>9</v>
      </c>
    </row>
    <row r="4021" spans="1:6" x14ac:dyDescent="0.2">
      <c r="A4021">
        <v>2016</v>
      </c>
      <c r="B4021" s="13">
        <v>2364</v>
      </c>
      <c r="C4021" s="90" t="str">
        <f>VLOOKUP(B4021,'All Districts'!$A$3:$B$874,2,FALSE)</f>
        <v>Marlboro</v>
      </c>
      <c r="D4021" s="16">
        <v>2320720</v>
      </c>
      <c r="E4021">
        <f>VLOOKUP(C4021,'All Districts'!$B$3:$C$874,2,FALSE)</f>
        <v>3618570</v>
      </c>
      <c r="F4021" s="91">
        <f>COUNTIF($E$2:$E$7106,E4021)</f>
        <v>9</v>
      </c>
    </row>
    <row r="4022" spans="1:6" x14ac:dyDescent="0.2">
      <c r="A4022">
        <v>2017</v>
      </c>
      <c r="B4022" s="13">
        <v>2364</v>
      </c>
      <c r="C4022" s="90" t="str">
        <f>VLOOKUP(B4022,'All Districts'!$A$3:$B$874,2,FALSE)</f>
        <v>Marlboro</v>
      </c>
      <c r="D4022" s="16">
        <v>2100155</v>
      </c>
      <c r="E4022">
        <f>VLOOKUP(C4022,'All Districts'!$B$3:$C$874,2,FALSE)</f>
        <v>3618570</v>
      </c>
      <c r="F4022" s="91">
        <f>COUNTIF($E$2:$E$7106,E4022)</f>
        <v>9</v>
      </c>
    </row>
    <row r="4023" spans="1:6" x14ac:dyDescent="0.2">
      <c r="A4023" s="10">
        <v>2018</v>
      </c>
      <c r="B4023" s="13">
        <v>2364</v>
      </c>
      <c r="C4023" s="90" t="str">
        <f>VLOOKUP(B4023,'All Districts'!$A$3:$B$874,2,FALSE)</f>
        <v>Marlboro</v>
      </c>
      <c r="D4023" s="15">
        <v>1847618</v>
      </c>
      <c r="E4023">
        <f>VLOOKUP(C4023,'All Districts'!$B$3:$C$874,2,FALSE)</f>
        <v>3618570</v>
      </c>
      <c r="F4023" s="91">
        <f>COUNTIF($E$2:$E$7106,E4023)</f>
        <v>9</v>
      </c>
    </row>
    <row r="4024" spans="1:6" x14ac:dyDescent="0.2">
      <c r="A4024">
        <v>2019</v>
      </c>
      <c r="B4024" s="36">
        <v>2364</v>
      </c>
      <c r="C4024" s="90" t="str">
        <f>VLOOKUP(B4024,'All Districts'!$A$3:$B$874,2,FALSE)</f>
        <v>Marlboro</v>
      </c>
      <c r="D4024" s="40">
        <v>2073252</v>
      </c>
      <c r="E4024">
        <f>VLOOKUP(C4024,'All Districts'!$B$3:$C$874,2,FALSE)</f>
        <v>3618570</v>
      </c>
      <c r="F4024" s="91">
        <f>COUNTIF($E$2:$E$7106,E4024)</f>
        <v>9</v>
      </c>
    </row>
    <row r="4025" spans="1:6" x14ac:dyDescent="0.2">
      <c r="A4025">
        <v>2020</v>
      </c>
      <c r="B4025" s="36">
        <v>2364</v>
      </c>
      <c r="C4025" s="90" t="str">
        <f>VLOOKUP(B4025,'All Districts'!$A$3:$B$874,2,FALSE)</f>
        <v>Marlboro</v>
      </c>
      <c r="D4025" s="40">
        <v>1773129</v>
      </c>
      <c r="E4025">
        <f>VLOOKUP(C4025,'All Districts'!$B$3:$C$874,2,FALSE)</f>
        <v>3618570</v>
      </c>
      <c r="F4025" s="91">
        <f>COUNTIF($E$2:$E$7106,E4025)</f>
        <v>9</v>
      </c>
    </row>
    <row r="4026" spans="1:6" x14ac:dyDescent="0.2">
      <c r="A4026" s="10">
        <v>2021</v>
      </c>
      <c r="B4026" s="52">
        <v>2364</v>
      </c>
      <c r="C4026" s="90" t="str">
        <f>VLOOKUP(B4026,'All Districts'!$A$3:$B$874,2,FALSE)</f>
        <v>Marlboro</v>
      </c>
      <c r="D4026" s="76">
        <v>1969259</v>
      </c>
      <c r="E4026">
        <f>VLOOKUP(C4026,'All Districts'!$B$3:$C$874,2,FALSE)</f>
        <v>3618570</v>
      </c>
      <c r="F4026" s="91">
        <f>COUNTIF($E$2:$E$7106,E4026)</f>
        <v>9</v>
      </c>
    </row>
    <row r="4027" spans="1:6" x14ac:dyDescent="0.2">
      <c r="A4027">
        <v>2022</v>
      </c>
      <c r="B4027" s="36">
        <v>2364</v>
      </c>
      <c r="C4027" s="90" t="str">
        <f>VLOOKUP(B4027,'All Districts'!$A$3:$B$874,2,FALSE)</f>
        <v>Marlboro</v>
      </c>
      <c r="D4027" s="82">
        <v>2152955</v>
      </c>
      <c r="E4027">
        <f>VLOOKUP(C4027,'All Districts'!$B$3:$C$874,2,FALSE)</f>
        <v>3618570</v>
      </c>
      <c r="F4027" s="91">
        <f>COUNTIF($E$2:$E$7106,E4027)</f>
        <v>9</v>
      </c>
    </row>
    <row r="4028" spans="1:6" x14ac:dyDescent="0.2">
      <c r="A4028">
        <v>2023</v>
      </c>
      <c r="B4028" s="36">
        <v>2364</v>
      </c>
      <c r="C4028" s="90" t="str">
        <f>VLOOKUP(B4028,'All Districts'!$A$3:$B$874,2,FALSE)</f>
        <v>Marlboro</v>
      </c>
      <c r="D4028" s="40">
        <v>2306423</v>
      </c>
      <c r="E4028">
        <f>VLOOKUP(C4028,'All Districts'!$B$3:$C$874,2,FALSE)</f>
        <v>3618570</v>
      </c>
      <c r="F4028" s="91">
        <f>COUNTIF($E$2:$E$7106,E4028)</f>
        <v>9</v>
      </c>
    </row>
    <row r="4029" spans="1:6" x14ac:dyDescent="0.2">
      <c r="A4029">
        <v>2015</v>
      </c>
      <c r="B4029" s="13">
        <v>2365</v>
      </c>
      <c r="C4029" s="90" t="str">
        <f>VLOOKUP(B4029,'All Districts'!$A$3:$B$874,2,FALSE)</f>
        <v>Massapequa</v>
      </c>
      <c r="D4029" s="14">
        <v>14707385</v>
      </c>
      <c r="E4029">
        <f>VLOOKUP(C4029,'All Districts'!$B$3:$C$874,2,FALSE)</f>
        <v>3618630</v>
      </c>
      <c r="F4029" s="91">
        <f>COUNTIF($E$2:$E$7106,E4029)</f>
        <v>9</v>
      </c>
    </row>
    <row r="4030" spans="1:6" x14ac:dyDescent="0.2">
      <c r="A4030">
        <v>2016</v>
      </c>
      <c r="B4030" s="13">
        <v>2365</v>
      </c>
      <c r="C4030" s="90" t="str">
        <f>VLOOKUP(B4030,'All Districts'!$A$3:$B$874,2,FALSE)</f>
        <v>Massapequa</v>
      </c>
      <c r="D4030" s="16">
        <v>11570811</v>
      </c>
      <c r="E4030">
        <f>VLOOKUP(C4030,'All Districts'!$B$3:$C$874,2,FALSE)</f>
        <v>3618630</v>
      </c>
      <c r="F4030" s="91">
        <f>COUNTIF($E$2:$E$7106,E4030)</f>
        <v>9</v>
      </c>
    </row>
    <row r="4031" spans="1:6" x14ac:dyDescent="0.2">
      <c r="A4031">
        <v>2017</v>
      </c>
      <c r="B4031" s="13">
        <v>2365</v>
      </c>
      <c r="C4031" s="90" t="str">
        <f>VLOOKUP(B4031,'All Districts'!$A$3:$B$874,2,FALSE)</f>
        <v>Massapequa</v>
      </c>
      <c r="D4031" s="16">
        <v>10371457</v>
      </c>
      <c r="E4031">
        <f>VLOOKUP(C4031,'All Districts'!$B$3:$C$874,2,FALSE)</f>
        <v>3618630</v>
      </c>
      <c r="F4031" s="91">
        <f>COUNTIF($E$2:$E$7106,E4031)</f>
        <v>9</v>
      </c>
    </row>
    <row r="4032" spans="1:6" x14ac:dyDescent="0.2">
      <c r="A4032" s="10">
        <v>2018</v>
      </c>
      <c r="B4032" s="13">
        <v>2365</v>
      </c>
      <c r="C4032" s="90" t="str">
        <f>VLOOKUP(B4032,'All Districts'!$A$3:$B$874,2,FALSE)</f>
        <v>Massapequa</v>
      </c>
      <c r="D4032" s="15">
        <v>9214596</v>
      </c>
      <c r="E4032">
        <f>VLOOKUP(C4032,'All Districts'!$B$3:$C$874,2,FALSE)</f>
        <v>3618630</v>
      </c>
      <c r="F4032" s="91">
        <f>COUNTIF($E$2:$E$7106,E4032)</f>
        <v>9</v>
      </c>
    </row>
    <row r="4033" spans="1:6" x14ac:dyDescent="0.2">
      <c r="A4033">
        <v>2019</v>
      </c>
      <c r="B4033" s="36">
        <v>2365</v>
      </c>
      <c r="C4033" s="90" t="str">
        <f>VLOOKUP(B4033,'All Districts'!$A$3:$B$874,2,FALSE)</f>
        <v>Massapequa</v>
      </c>
      <c r="D4033" s="40">
        <v>9897640</v>
      </c>
      <c r="E4033">
        <f>VLOOKUP(C4033,'All Districts'!$B$3:$C$874,2,FALSE)</f>
        <v>3618630</v>
      </c>
      <c r="F4033" s="91">
        <f>COUNTIF($E$2:$E$7106,E4033)</f>
        <v>9</v>
      </c>
    </row>
    <row r="4034" spans="1:6" x14ac:dyDescent="0.2">
      <c r="A4034">
        <v>2020</v>
      </c>
      <c r="B4034" s="36">
        <v>2365</v>
      </c>
      <c r="C4034" s="90" t="str">
        <f>VLOOKUP(B4034,'All Districts'!$A$3:$B$874,2,FALSE)</f>
        <v>Massapequa</v>
      </c>
      <c r="D4034" s="40">
        <v>8371577</v>
      </c>
      <c r="E4034">
        <f>VLOOKUP(C4034,'All Districts'!$B$3:$C$874,2,FALSE)</f>
        <v>3618630</v>
      </c>
      <c r="F4034" s="91">
        <f>COUNTIF($E$2:$E$7106,E4034)</f>
        <v>9</v>
      </c>
    </row>
    <row r="4035" spans="1:6" x14ac:dyDescent="0.2">
      <c r="A4035" s="10">
        <v>2021</v>
      </c>
      <c r="B4035" s="52">
        <v>2365</v>
      </c>
      <c r="C4035" s="90" t="str">
        <f>VLOOKUP(B4035,'All Districts'!$A$3:$B$874,2,FALSE)</f>
        <v>Massapequa</v>
      </c>
      <c r="D4035" s="76">
        <v>9098166</v>
      </c>
      <c r="E4035">
        <f>VLOOKUP(C4035,'All Districts'!$B$3:$C$874,2,FALSE)</f>
        <v>3618630</v>
      </c>
      <c r="F4035" s="91">
        <f>COUNTIF($E$2:$E$7106,E4035)</f>
        <v>9</v>
      </c>
    </row>
    <row r="4036" spans="1:6" x14ac:dyDescent="0.2">
      <c r="A4036">
        <v>2022</v>
      </c>
      <c r="B4036" s="36">
        <v>2365</v>
      </c>
      <c r="C4036" s="90" t="str">
        <f>VLOOKUP(B4036,'All Districts'!$A$3:$B$874,2,FALSE)</f>
        <v>Massapequa</v>
      </c>
      <c r="D4036" s="82">
        <v>9408368</v>
      </c>
      <c r="E4036">
        <f>VLOOKUP(C4036,'All Districts'!$B$3:$C$874,2,FALSE)</f>
        <v>3618630</v>
      </c>
      <c r="F4036" s="91">
        <f>COUNTIF($E$2:$E$7106,E4036)</f>
        <v>9</v>
      </c>
    </row>
    <row r="4037" spans="1:6" x14ac:dyDescent="0.2">
      <c r="A4037">
        <v>2023</v>
      </c>
      <c r="B4037" s="36">
        <v>2365</v>
      </c>
      <c r="C4037" s="90" t="str">
        <f>VLOOKUP(B4037,'All Districts'!$A$3:$B$874,2,FALSE)</f>
        <v>Massapequa</v>
      </c>
      <c r="D4037" s="40">
        <v>10001489</v>
      </c>
      <c r="E4037">
        <f>VLOOKUP(C4037,'All Districts'!$B$3:$C$874,2,FALSE)</f>
        <v>3618630</v>
      </c>
      <c r="F4037" s="91">
        <f>COUNTIF($E$2:$E$7106,E4037)</f>
        <v>9</v>
      </c>
    </row>
    <row r="4038" spans="1:6" x14ac:dyDescent="0.2">
      <c r="A4038">
        <v>2015</v>
      </c>
      <c r="B4038" s="13">
        <v>2370</v>
      </c>
      <c r="C4038" s="90" t="str">
        <f>VLOOKUP(B4038,'All Districts'!$A$3:$B$874,2,FALSE)</f>
        <v>Massena</v>
      </c>
      <c r="D4038" s="14">
        <v>2451367</v>
      </c>
      <c r="E4038">
        <f>VLOOKUP(C4038,'All Districts'!$B$3:$C$874,2,FALSE)</f>
        <v>3618660</v>
      </c>
      <c r="F4038" s="91">
        <f>COUNTIF($E$2:$E$7106,E4038)</f>
        <v>9</v>
      </c>
    </row>
    <row r="4039" spans="1:6" x14ac:dyDescent="0.2">
      <c r="A4039">
        <v>2016</v>
      </c>
      <c r="B4039" s="13">
        <v>2370</v>
      </c>
      <c r="C4039" s="90" t="str">
        <f>VLOOKUP(B4039,'All Districts'!$A$3:$B$874,2,FALSE)</f>
        <v>Massena</v>
      </c>
      <c r="D4039" s="16">
        <v>1908199</v>
      </c>
      <c r="E4039">
        <f>VLOOKUP(C4039,'All Districts'!$B$3:$C$874,2,FALSE)</f>
        <v>3618660</v>
      </c>
      <c r="F4039" s="91">
        <f>COUNTIF($E$2:$E$7106,E4039)</f>
        <v>9</v>
      </c>
    </row>
    <row r="4040" spans="1:6" x14ac:dyDescent="0.2">
      <c r="A4040">
        <v>2017</v>
      </c>
      <c r="B4040" s="13">
        <v>2370</v>
      </c>
      <c r="C4040" s="90" t="str">
        <f>VLOOKUP(B4040,'All Districts'!$A$3:$B$874,2,FALSE)</f>
        <v>Massena</v>
      </c>
      <c r="D4040" s="16">
        <v>1738379</v>
      </c>
      <c r="E4040">
        <f>VLOOKUP(C4040,'All Districts'!$B$3:$C$874,2,FALSE)</f>
        <v>3618660</v>
      </c>
      <c r="F4040" s="91">
        <f>COUNTIF($E$2:$E$7106,E4040)</f>
        <v>9</v>
      </c>
    </row>
    <row r="4041" spans="1:6" x14ac:dyDescent="0.2">
      <c r="A4041" s="10">
        <v>2018</v>
      </c>
      <c r="B4041" s="13">
        <v>2370</v>
      </c>
      <c r="C4041" s="90" t="str">
        <f>VLOOKUP(B4041,'All Districts'!$A$3:$B$874,2,FALSE)</f>
        <v>Massena</v>
      </c>
      <c r="D4041" s="15">
        <v>1518382</v>
      </c>
      <c r="E4041">
        <f>VLOOKUP(C4041,'All Districts'!$B$3:$C$874,2,FALSE)</f>
        <v>3618660</v>
      </c>
      <c r="F4041" s="91">
        <f>COUNTIF($E$2:$E$7106,E4041)</f>
        <v>9</v>
      </c>
    </row>
    <row r="4042" spans="1:6" x14ac:dyDescent="0.2">
      <c r="A4042">
        <v>2019</v>
      </c>
      <c r="B4042" s="36">
        <v>2370</v>
      </c>
      <c r="C4042" s="90" t="str">
        <f>VLOOKUP(B4042,'All Districts'!$A$3:$B$874,2,FALSE)</f>
        <v>Massena</v>
      </c>
      <c r="D4042" s="40">
        <v>1657076</v>
      </c>
      <c r="E4042">
        <f>VLOOKUP(C4042,'All Districts'!$B$3:$C$874,2,FALSE)</f>
        <v>3618660</v>
      </c>
      <c r="F4042" s="91">
        <f>COUNTIF($E$2:$E$7106,E4042)</f>
        <v>9</v>
      </c>
    </row>
    <row r="4043" spans="1:6" x14ac:dyDescent="0.2">
      <c r="A4043">
        <v>2020</v>
      </c>
      <c r="B4043" s="36">
        <v>2370</v>
      </c>
      <c r="C4043" s="90" t="str">
        <f>VLOOKUP(B4043,'All Districts'!$A$3:$B$874,2,FALSE)</f>
        <v>Massena</v>
      </c>
      <c r="D4043" s="40">
        <v>1398549</v>
      </c>
      <c r="E4043">
        <f>VLOOKUP(C4043,'All Districts'!$B$3:$C$874,2,FALSE)</f>
        <v>3618660</v>
      </c>
      <c r="F4043" s="91">
        <f>COUNTIF($E$2:$E$7106,E4043)</f>
        <v>9</v>
      </c>
    </row>
    <row r="4044" spans="1:6" x14ac:dyDescent="0.2">
      <c r="A4044" s="10">
        <v>2021</v>
      </c>
      <c r="B4044" s="55">
        <v>2370</v>
      </c>
      <c r="C4044" s="90" t="str">
        <f>VLOOKUP(B4044,'All Districts'!$A$3:$B$874,2,FALSE)</f>
        <v>Massena</v>
      </c>
      <c r="D4044" s="76">
        <v>1542426</v>
      </c>
      <c r="E4044">
        <f>VLOOKUP(C4044,'All Districts'!$B$3:$C$874,2,FALSE)</f>
        <v>3618660</v>
      </c>
      <c r="F4044" s="91">
        <f>COUNTIF($E$2:$E$7106,E4044)</f>
        <v>9</v>
      </c>
    </row>
    <row r="4045" spans="1:6" x14ac:dyDescent="0.2">
      <c r="A4045">
        <v>2022</v>
      </c>
      <c r="B4045" s="36">
        <v>2370</v>
      </c>
      <c r="C4045" s="90" t="str">
        <f>VLOOKUP(B4045,'All Districts'!$A$3:$B$874,2,FALSE)</f>
        <v>Massena</v>
      </c>
      <c r="D4045" s="82">
        <v>1728396</v>
      </c>
      <c r="E4045">
        <f>VLOOKUP(C4045,'All Districts'!$B$3:$C$874,2,FALSE)</f>
        <v>3618660</v>
      </c>
      <c r="F4045" s="91">
        <f>COUNTIF($E$2:$E$7106,E4045)</f>
        <v>9</v>
      </c>
    </row>
    <row r="4046" spans="1:6" x14ac:dyDescent="0.2">
      <c r="A4046">
        <v>2023</v>
      </c>
      <c r="B4046" s="36">
        <v>2370</v>
      </c>
      <c r="C4046" s="90" t="str">
        <f>VLOOKUP(B4046,'All Districts'!$A$3:$B$874,2,FALSE)</f>
        <v>Massena</v>
      </c>
      <c r="D4046" s="40">
        <v>1913073</v>
      </c>
      <c r="E4046">
        <f>VLOOKUP(C4046,'All Districts'!$B$3:$C$874,2,FALSE)</f>
        <v>3618660</v>
      </c>
      <c r="F4046" s="91">
        <f>COUNTIF($E$2:$E$7106,E4046)</f>
        <v>9</v>
      </c>
    </row>
    <row r="4047" spans="1:6" x14ac:dyDescent="0.2">
      <c r="A4047">
        <v>2015</v>
      </c>
      <c r="B4047" s="13">
        <v>5375</v>
      </c>
      <c r="C4047" s="90" t="str">
        <f>VLOOKUP(B4047,'All Districts'!$A$3:$B$874,2,FALSE)</f>
        <v>Mattituck-Cutchogue</v>
      </c>
      <c r="D4047" s="14">
        <v>2829911</v>
      </c>
      <c r="E4047">
        <f>VLOOKUP(C4047,'All Districts'!$B$3:$C$874,2,FALSE)</f>
        <v>3600021</v>
      </c>
      <c r="F4047" s="91">
        <f>COUNTIF($E$2:$E$7106,E4047)</f>
        <v>9</v>
      </c>
    </row>
    <row r="4048" spans="1:6" x14ac:dyDescent="0.2">
      <c r="A4048">
        <v>2016</v>
      </c>
      <c r="B4048" s="13">
        <v>5375</v>
      </c>
      <c r="C4048" s="90" t="str">
        <f>VLOOKUP(B4048,'All Districts'!$A$3:$B$874,2,FALSE)</f>
        <v>Mattituck-Cutchogue</v>
      </c>
      <c r="D4048" s="16">
        <v>2135007</v>
      </c>
      <c r="E4048">
        <f>VLOOKUP(C4048,'All Districts'!$B$3:$C$874,2,FALSE)</f>
        <v>3600021</v>
      </c>
      <c r="F4048" s="91">
        <f>COUNTIF($E$2:$E$7106,E4048)</f>
        <v>9</v>
      </c>
    </row>
    <row r="4049" spans="1:6" x14ac:dyDescent="0.2">
      <c r="A4049">
        <v>2017</v>
      </c>
      <c r="B4049" s="13">
        <v>5375</v>
      </c>
      <c r="C4049" s="90" t="str">
        <f>VLOOKUP(B4049,'All Districts'!$A$3:$B$874,2,FALSE)</f>
        <v>Mattituck-Cutchogue</v>
      </c>
      <c r="D4049" s="16">
        <v>1909243</v>
      </c>
      <c r="E4049">
        <f>VLOOKUP(C4049,'All Districts'!$B$3:$C$874,2,FALSE)</f>
        <v>3600021</v>
      </c>
      <c r="F4049" s="91">
        <f>COUNTIF($E$2:$E$7106,E4049)</f>
        <v>9</v>
      </c>
    </row>
    <row r="4050" spans="1:6" x14ac:dyDescent="0.2">
      <c r="A4050" s="10">
        <v>2018</v>
      </c>
      <c r="B4050" s="13">
        <v>5375</v>
      </c>
      <c r="C4050" s="90" t="str">
        <f>VLOOKUP(B4050,'All Districts'!$A$3:$B$874,2,FALSE)</f>
        <v>Mattituck-Cutchogue</v>
      </c>
      <c r="D4050" s="15">
        <v>1622511</v>
      </c>
      <c r="E4050">
        <f>VLOOKUP(C4050,'All Districts'!$B$3:$C$874,2,FALSE)</f>
        <v>3600021</v>
      </c>
      <c r="F4050" s="91">
        <f>COUNTIF($E$2:$E$7106,E4050)</f>
        <v>9</v>
      </c>
    </row>
    <row r="4051" spans="1:6" x14ac:dyDescent="0.2">
      <c r="A4051">
        <v>2019</v>
      </c>
      <c r="B4051" s="36">
        <v>5375</v>
      </c>
      <c r="C4051" s="90" t="str">
        <f>VLOOKUP(B4051,'All Districts'!$A$3:$B$874,2,FALSE)</f>
        <v>Mattituck-Cutchogue</v>
      </c>
      <c r="D4051" s="40">
        <v>1723180</v>
      </c>
      <c r="E4051">
        <f>VLOOKUP(C4051,'All Districts'!$B$3:$C$874,2,FALSE)</f>
        <v>3600021</v>
      </c>
      <c r="F4051" s="91">
        <f>COUNTIF($E$2:$E$7106,E4051)</f>
        <v>9</v>
      </c>
    </row>
    <row r="4052" spans="1:6" x14ac:dyDescent="0.2">
      <c r="A4052">
        <v>2020</v>
      </c>
      <c r="B4052" s="36">
        <v>5375</v>
      </c>
      <c r="C4052" s="90" t="str">
        <f>VLOOKUP(B4052,'All Districts'!$A$3:$B$874,2,FALSE)</f>
        <v>Mattituck-Cutchogue</v>
      </c>
      <c r="D4052" s="40">
        <v>1427243</v>
      </c>
      <c r="E4052">
        <f>VLOOKUP(C4052,'All Districts'!$B$3:$C$874,2,FALSE)</f>
        <v>3600021</v>
      </c>
      <c r="F4052" s="91">
        <f>COUNTIF($E$2:$E$7106,E4052)</f>
        <v>9</v>
      </c>
    </row>
    <row r="4053" spans="1:6" x14ac:dyDescent="0.2">
      <c r="A4053" s="10">
        <v>2021</v>
      </c>
      <c r="B4053" s="52">
        <v>5375</v>
      </c>
      <c r="C4053" s="90" t="str">
        <f>VLOOKUP(B4053,'All Districts'!$A$3:$B$874,2,FALSE)</f>
        <v>Mattituck-Cutchogue</v>
      </c>
      <c r="D4053" s="76">
        <v>1573769</v>
      </c>
      <c r="E4053">
        <f>VLOOKUP(C4053,'All Districts'!$B$3:$C$874,2,FALSE)</f>
        <v>3600021</v>
      </c>
      <c r="F4053" s="91">
        <f>COUNTIF($E$2:$E$7106,E4053)</f>
        <v>9</v>
      </c>
    </row>
    <row r="4054" spans="1:6" x14ac:dyDescent="0.2">
      <c r="A4054">
        <v>2022</v>
      </c>
      <c r="B4054" s="36">
        <v>5375</v>
      </c>
      <c r="C4054" s="90" t="str">
        <f>VLOOKUP(B4054,'All Districts'!$A$3:$B$874,2,FALSE)</f>
        <v>Mattituck-Cutchogue</v>
      </c>
      <c r="D4054" s="82">
        <v>1642227</v>
      </c>
      <c r="E4054">
        <f>VLOOKUP(C4054,'All Districts'!$B$3:$C$874,2,FALSE)</f>
        <v>3600021</v>
      </c>
      <c r="F4054" s="91">
        <f>COUNTIF($E$2:$E$7106,E4054)</f>
        <v>9</v>
      </c>
    </row>
    <row r="4055" spans="1:6" x14ac:dyDescent="0.2">
      <c r="A4055">
        <v>2023</v>
      </c>
      <c r="B4055" s="36">
        <v>5375</v>
      </c>
      <c r="C4055" s="90" t="str">
        <f>VLOOKUP(B4055,'All Districts'!$A$3:$B$874,2,FALSE)</f>
        <v>Mattituck-Cutchogue</v>
      </c>
      <c r="D4055" s="40">
        <v>1690456</v>
      </c>
      <c r="E4055">
        <f>VLOOKUP(C4055,'All Districts'!$B$3:$C$874,2,FALSE)</f>
        <v>3600021</v>
      </c>
      <c r="F4055" s="91">
        <f>COUNTIF($E$2:$E$7106,E4055)</f>
        <v>9</v>
      </c>
    </row>
    <row r="4056" spans="1:6" x14ac:dyDescent="0.2">
      <c r="A4056">
        <v>2015</v>
      </c>
      <c r="B4056" s="13">
        <v>4014</v>
      </c>
      <c r="C4056" s="90" t="str">
        <f>VLOOKUP(B4056,'All Districts'!$A$3:$B$874,2,FALSE)</f>
        <v>Mayfield</v>
      </c>
      <c r="D4056" s="14">
        <v>892605</v>
      </c>
      <c r="E4056">
        <f>VLOOKUP(C4056,'All Districts'!$B$3:$C$874,2,FALSE)</f>
        <v>3618750</v>
      </c>
      <c r="F4056" s="91">
        <f>COUNTIF($E$2:$E$7106,E4056)</f>
        <v>9</v>
      </c>
    </row>
    <row r="4057" spans="1:6" x14ac:dyDescent="0.2">
      <c r="A4057">
        <v>2016</v>
      </c>
      <c r="B4057" s="13">
        <v>4014</v>
      </c>
      <c r="C4057" s="90" t="str">
        <f>VLOOKUP(B4057,'All Districts'!$A$3:$B$874,2,FALSE)</f>
        <v>Mayfield</v>
      </c>
      <c r="D4057" s="16">
        <v>727862</v>
      </c>
      <c r="E4057">
        <f>VLOOKUP(C4057,'All Districts'!$B$3:$C$874,2,FALSE)</f>
        <v>3618750</v>
      </c>
      <c r="F4057" s="91">
        <f>COUNTIF($E$2:$E$7106,E4057)</f>
        <v>9</v>
      </c>
    </row>
    <row r="4058" spans="1:6" x14ac:dyDescent="0.2">
      <c r="A4058">
        <v>2017</v>
      </c>
      <c r="B4058" s="13">
        <v>4014</v>
      </c>
      <c r="C4058" s="90" t="str">
        <f>VLOOKUP(B4058,'All Districts'!$A$3:$B$874,2,FALSE)</f>
        <v>Mayfield</v>
      </c>
      <c r="D4058" s="16">
        <v>653784</v>
      </c>
      <c r="E4058">
        <f>VLOOKUP(C4058,'All Districts'!$B$3:$C$874,2,FALSE)</f>
        <v>3618750</v>
      </c>
      <c r="F4058" s="91">
        <f>COUNTIF($E$2:$E$7106,E4058)</f>
        <v>9</v>
      </c>
    </row>
    <row r="4059" spans="1:6" x14ac:dyDescent="0.2">
      <c r="A4059" s="10">
        <v>2018</v>
      </c>
      <c r="B4059" s="13">
        <v>4014</v>
      </c>
      <c r="C4059" s="90" t="str">
        <f>VLOOKUP(B4059,'All Districts'!$A$3:$B$874,2,FALSE)</f>
        <v>Mayfield</v>
      </c>
      <c r="D4059" s="15">
        <v>555449</v>
      </c>
      <c r="E4059">
        <f>VLOOKUP(C4059,'All Districts'!$B$3:$C$874,2,FALSE)</f>
        <v>3618750</v>
      </c>
      <c r="F4059" s="91">
        <f>COUNTIF($E$2:$E$7106,E4059)</f>
        <v>9</v>
      </c>
    </row>
    <row r="4060" spans="1:6" x14ac:dyDescent="0.2">
      <c r="A4060">
        <v>2019</v>
      </c>
      <c r="B4060" s="36">
        <v>4014</v>
      </c>
      <c r="C4060" s="90" t="str">
        <f>VLOOKUP(B4060,'All Districts'!$A$3:$B$874,2,FALSE)</f>
        <v>Mayfield</v>
      </c>
      <c r="D4060" s="40">
        <v>586797</v>
      </c>
      <c r="E4060">
        <f>VLOOKUP(C4060,'All Districts'!$B$3:$C$874,2,FALSE)</f>
        <v>3618750</v>
      </c>
      <c r="F4060" s="91">
        <f>COUNTIF($E$2:$E$7106,E4060)</f>
        <v>9</v>
      </c>
    </row>
    <row r="4061" spans="1:6" x14ac:dyDescent="0.2">
      <c r="A4061">
        <v>2020</v>
      </c>
      <c r="B4061" s="36">
        <v>4014</v>
      </c>
      <c r="C4061" s="90" t="str">
        <f>VLOOKUP(B4061,'All Districts'!$A$3:$B$874,2,FALSE)</f>
        <v>Mayfield</v>
      </c>
      <c r="D4061" s="40">
        <v>513553</v>
      </c>
      <c r="E4061">
        <f>VLOOKUP(C4061,'All Districts'!$B$3:$C$874,2,FALSE)</f>
        <v>3618750</v>
      </c>
      <c r="F4061" s="91">
        <f>COUNTIF($E$2:$E$7106,E4061)</f>
        <v>9</v>
      </c>
    </row>
    <row r="4062" spans="1:6" x14ac:dyDescent="0.2">
      <c r="A4062" s="10">
        <v>2021</v>
      </c>
      <c r="B4062" s="52">
        <v>4014</v>
      </c>
      <c r="C4062" s="90" t="str">
        <f>VLOOKUP(B4062,'All Districts'!$A$3:$B$874,2,FALSE)</f>
        <v>Mayfield</v>
      </c>
      <c r="D4062" s="76">
        <v>561132</v>
      </c>
      <c r="E4062">
        <f>VLOOKUP(C4062,'All Districts'!$B$3:$C$874,2,FALSE)</f>
        <v>3618750</v>
      </c>
      <c r="F4062" s="91">
        <f>COUNTIF($E$2:$E$7106,E4062)</f>
        <v>9</v>
      </c>
    </row>
    <row r="4063" spans="1:6" x14ac:dyDescent="0.2">
      <c r="A4063">
        <v>2022</v>
      </c>
      <c r="B4063" s="36">
        <v>4014</v>
      </c>
      <c r="C4063" s="90" t="str">
        <f>VLOOKUP(B4063,'All Districts'!$A$3:$B$874,2,FALSE)</f>
        <v>Mayfield</v>
      </c>
      <c r="D4063" s="82">
        <v>607305</v>
      </c>
      <c r="E4063">
        <f>VLOOKUP(C4063,'All Districts'!$B$3:$C$874,2,FALSE)</f>
        <v>3618750</v>
      </c>
      <c r="F4063" s="91">
        <f>COUNTIF($E$2:$E$7106,E4063)</f>
        <v>9</v>
      </c>
    </row>
    <row r="4064" spans="1:6" x14ac:dyDescent="0.2">
      <c r="A4064">
        <v>2023</v>
      </c>
      <c r="B4064" s="36">
        <v>4014</v>
      </c>
      <c r="C4064" s="90" t="str">
        <f>VLOOKUP(B4064,'All Districts'!$A$3:$B$874,2,FALSE)</f>
        <v>Mayfield</v>
      </c>
      <c r="D4064" s="40">
        <v>661353</v>
      </c>
      <c r="E4064">
        <f>VLOOKUP(C4064,'All Districts'!$B$3:$C$874,2,FALSE)</f>
        <v>3618750</v>
      </c>
      <c r="F4064" s="91">
        <f>COUNTIF($E$2:$E$7106,E4064)</f>
        <v>9</v>
      </c>
    </row>
    <row r="4065" spans="1:6" x14ac:dyDescent="0.2">
      <c r="A4065">
        <v>2015</v>
      </c>
      <c r="B4065" s="13">
        <v>3527</v>
      </c>
      <c r="C4065" s="90" t="str">
        <f>VLOOKUP(B4065,'All Districts'!$A$3:$B$874,2,FALSE)</f>
        <v>McGraw</v>
      </c>
      <c r="D4065" s="14">
        <v>710973</v>
      </c>
      <c r="E4065">
        <f>VLOOKUP(C4065,'All Districts'!$B$3:$C$874,2,FALSE)</f>
        <v>3618840</v>
      </c>
      <c r="F4065" s="91">
        <f>COUNTIF($E$2:$E$7106,E4065)</f>
        <v>9</v>
      </c>
    </row>
    <row r="4066" spans="1:6" x14ac:dyDescent="0.2">
      <c r="A4066">
        <v>2016</v>
      </c>
      <c r="B4066" s="13">
        <v>3527</v>
      </c>
      <c r="C4066" s="90" t="str">
        <f>VLOOKUP(B4066,'All Districts'!$A$3:$B$874,2,FALSE)</f>
        <v>McGraw</v>
      </c>
      <c r="D4066" s="16">
        <v>524019</v>
      </c>
      <c r="E4066">
        <f>VLOOKUP(C4066,'All Districts'!$B$3:$C$874,2,FALSE)</f>
        <v>3618840</v>
      </c>
      <c r="F4066" s="91">
        <f>COUNTIF($E$2:$E$7106,E4066)</f>
        <v>9</v>
      </c>
    </row>
    <row r="4067" spans="1:6" x14ac:dyDescent="0.2">
      <c r="A4067">
        <v>2017</v>
      </c>
      <c r="B4067" s="13">
        <v>3527</v>
      </c>
      <c r="C4067" s="90" t="str">
        <f>VLOOKUP(B4067,'All Districts'!$A$3:$B$874,2,FALSE)</f>
        <v>McGraw</v>
      </c>
      <c r="D4067" s="16">
        <v>477542</v>
      </c>
      <c r="E4067">
        <f>VLOOKUP(C4067,'All Districts'!$B$3:$C$874,2,FALSE)</f>
        <v>3618840</v>
      </c>
      <c r="F4067" s="91">
        <f>COUNTIF($E$2:$E$7106,E4067)</f>
        <v>9</v>
      </c>
    </row>
    <row r="4068" spans="1:6" x14ac:dyDescent="0.2">
      <c r="A4068" s="10">
        <v>2018</v>
      </c>
      <c r="B4068" s="13">
        <v>3527</v>
      </c>
      <c r="C4068" s="90" t="str">
        <f>VLOOKUP(B4068,'All Districts'!$A$3:$B$874,2,FALSE)</f>
        <v>McGraw</v>
      </c>
      <c r="D4068" s="15">
        <v>409419</v>
      </c>
      <c r="E4068">
        <f>VLOOKUP(C4068,'All Districts'!$B$3:$C$874,2,FALSE)</f>
        <v>3618840</v>
      </c>
      <c r="F4068" s="91">
        <f>COUNTIF($E$2:$E$7106,E4068)</f>
        <v>9</v>
      </c>
    </row>
    <row r="4069" spans="1:6" x14ac:dyDescent="0.2">
      <c r="A4069">
        <v>2019</v>
      </c>
      <c r="B4069" s="36">
        <v>3527</v>
      </c>
      <c r="C4069" s="90" t="str">
        <f>VLOOKUP(B4069,'All Districts'!$A$3:$B$874,2,FALSE)</f>
        <v>McGraw</v>
      </c>
      <c r="D4069" s="40">
        <v>459788</v>
      </c>
      <c r="E4069">
        <f>VLOOKUP(C4069,'All Districts'!$B$3:$C$874,2,FALSE)</f>
        <v>3618840</v>
      </c>
      <c r="F4069" s="91">
        <f>COUNTIF($E$2:$E$7106,E4069)</f>
        <v>9</v>
      </c>
    </row>
    <row r="4070" spans="1:6" x14ac:dyDescent="0.2">
      <c r="A4070">
        <v>2020</v>
      </c>
      <c r="B4070" s="36">
        <v>3527</v>
      </c>
      <c r="C4070" s="90" t="str">
        <f>VLOOKUP(B4070,'All Districts'!$A$3:$B$874,2,FALSE)</f>
        <v>McGraw</v>
      </c>
      <c r="D4070" s="40">
        <v>394335</v>
      </c>
      <c r="E4070">
        <f>VLOOKUP(C4070,'All Districts'!$B$3:$C$874,2,FALSE)</f>
        <v>3618840</v>
      </c>
      <c r="F4070" s="91">
        <f>COUNTIF($E$2:$E$7106,E4070)</f>
        <v>9</v>
      </c>
    </row>
    <row r="4071" spans="1:6" x14ac:dyDescent="0.2">
      <c r="A4071" s="10">
        <v>2021</v>
      </c>
      <c r="B4071" s="71">
        <v>3527</v>
      </c>
      <c r="C4071" s="90" t="str">
        <f>VLOOKUP(B4071,'All Districts'!$A$3:$B$874,2,FALSE)</f>
        <v>McGraw</v>
      </c>
      <c r="D4071" s="76">
        <v>424773</v>
      </c>
      <c r="E4071">
        <f>VLOOKUP(C4071,'All Districts'!$B$3:$C$874,2,FALSE)</f>
        <v>3618840</v>
      </c>
      <c r="F4071" s="91">
        <f>COUNTIF($E$2:$E$7106,E4071)</f>
        <v>9</v>
      </c>
    </row>
    <row r="4072" spans="1:6" x14ac:dyDescent="0.2">
      <c r="A4072">
        <v>2022</v>
      </c>
      <c r="B4072" s="36">
        <v>3527</v>
      </c>
      <c r="C4072" s="90" t="str">
        <f>VLOOKUP(B4072,'All Districts'!$A$3:$B$874,2,FALSE)</f>
        <v>McGraw</v>
      </c>
      <c r="D4072" s="82">
        <v>503660</v>
      </c>
      <c r="E4072">
        <f>VLOOKUP(C4072,'All Districts'!$B$3:$C$874,2,FALSE)</f>
        <v>3618840</v>
      </c>
      <c r="F4072" s="91">
        <f>COUNTIF($E$2:$E$7106,E4072)</f>
        <v>9</v>
      </c>
    </row>
    <row r="4073" spans="1:6" x14ac:dyDescent="0.2">
      <c r="A4073">
        <v>2023</v>
      </c>
      <c r="B4073" s="36">
        <v>3527</v>
      </c>
      <c r="C4073" s="90" t="str">
        <f>VLOOKUP(B4073,'All Districts'!$A$3:$B$874,2,FALSE)</f>
        <v>McGraw</v>
      </c>
      <c r="D4073" s="40">
        <v>555285</v>
      </c>
      <c r="E4073">
        <f>VLOOKUP(C4073,'All Districts'!$B$3:$C$874,2,FALSE)</f>
        <v>3618840</v>
      </c>
      <c r="F4073" s="91">
        <f>COUNTIF($E$2:$E$7106,E4073)</f>
        <v>9</v>
      </c>
    </row>
    <row r="4074" spans="1:6" x14ac:dyDescent="0.2">
      <c r="A4074">
        <v>2015</v>
      </c>
      <c r="B4074" s="13">
        <v>1145</v>
      </c>
      <c r="C4074" s="90" t="str">
        <f>VLOOKUP(B4074,'All Districts'!$A$3:$B$874,2,FALSE)</f>
        <v>Mechanicville</v>
      </c>
      <c r="D4074" s="14">
        <v>1295959</v>
      </c>
      <c r="E4074">
        <f>VLOOKUP(C4074,'All Districts'!$B$3:$C$874,2,FALSE)</f>
        <v>3618900</v>
      </c>
      <c r="F4074" s="91">
        <f>COUNTIF($E$2:$E$7106,E4074)</f>
        <v>9</v>
      </c>
    </row>
    <row r="4075" spans="1:6" x14ac:dyDescent="0.2">
      <c r="A4075">
        <v>2016</v>
      </c>
      <c r="B4075" s="13">
        <v>1145</v>
      </c>
      <c r="C4075" s="90" t="str">
        <f>VLOOKUP(B4075,'All Districts'!$A$3:$B$874,2,FALSE)</f>
        <v>Mechanicville</v>
      </c>
      <c r="D4075" s="16">
        <v>1025353</v>
      </c>
      <c r="E4075">
        <f>VLOOKUP(C4075,'All Districts'!$B$3:$C$874,2,FALSE)</f>
        <v>3618900</v>
      </c>
      <c r="F4075" s="91">
        <f>COUNTIF($E$2:$E$7106,E4075)</f>
        <v>9</v>
      </c>
    </row>
    <row r="4076" spans="1:6" x14ac:dyDescent="0.2">
      <c r="A4076">
        <v>2017</v>
      </c>
      <c r="B4076" s="13">
        <v>1145</v>
      </c>
      <c r="C4076" s="90" t="str">
        <f>VLOOKUP(B4076,'All Districts'!$A$3:$B$874,2,FALSE)</f>
        <v>Mechanicville</v>
      </c>
      <c r="D4076" s="16">
        <v>940645</v>
      </c>
      <c r="E4076">
        <f>VLOOKUP(C4076,'All Districts'!$B$3:$C$874,2,FALSE)</f>
        <v>3618900</v>
      </c>
      <c r="F4076" s="91">
        <f>COUNTIF($E$2:$E$7106,E4076)</f>
        <v>9</v>
      </c>
    </row>
    <row r="4077" spans="1:6" x14ac:dyDescent="0.2">
      <c r="A4077" s="10">
        <v>2018</v>
      </c>
      <c r="B4077" s="13">
        <v>1145</v>
      </c>
      <c r="C4077" s="90" t="str">
        <f>VLOOKUP(B4077,'All Districts'!$A$3:$B$874,2,FALSE)</f>
        <v>Mechanicville</v>
      </c>
      <c r="D4077" s="15">
        <v>818023</v>
      </c>
      <c r="E4077">
        <f>VLOOKUP(C4077,'All Districts'!$B$3:$C$874,2,FALSE)</f>
        <v>3618900</v>
      </c>
      <c r="F4077" s="91">
        <f>COUNTIF($E$2:$E$7106,E4077)</f>
        <v>9</v>
      </c>
    </row>
    <row r="4078" spans="1:6" x14ac:dyDescent="0.2">
      <c r="A4078">
        <v>2019</v>
      </c>
      <c r="B4078" s="36">
        <v>1145</v>
      </c>
      <c r="C4078" s="90" t="str">
        <f>VLOOKUP(B4078,'All Districts'!$A$3:$B$874,2,FALSE)</f>
        <v>Mechanicville</v>
      </c>
      <c r="D4078" s="40">
        <v>931653</v>
      </c>
      <c r="E4078">
        <f>VLOOKUP(C4078,'All Districts'!$B$3:$C$874,2,FALSE)</f>
        <v>3618900</v>
      </c>
      <c r="F4078" s="91">
        <f>COUNTIF($E$2:$E$7106,E4078)</f>
        <v>9</v>
      </c>
    </row>
    <row r="4079" spans="1:6" x14ac:dyDescent="0.2">
      <c r="A4079">
        <v>2020</v>
      </c>
      <c r="B4079" s="36">
        <v>1145</v>
      </c>
      <c r="C4079" s="90" t="str">
        <f>VLOOKUP(B4079,'All Districts'!$A$3:$B$874,2,FALSE)</f>
        <v>Mechanicville</v>
      </c>
      <c r="D4079" s="40">
        <v>806613</v>
      </c>
      <c r="E4079">
        <f>VLOOKUP(C4079,'All Districts'!$B$3:$C$874,2,FALSE)</f>
        <v>3618900</v>
      </c>
      <c r="F4079" s="91">
        <f>COUNTIF($E$2:$E$7106,E4079)</f>
        <v>9</v>
      </c>
    </row>
    <row r="4080" spans="1:6" x14ac:dyDescent="0.2">
      <c r="A4080" s="10">
        <v>2021</v>
      </c>
      <c r="B4080" s="52">
        <v>1145</v>
      </c>
      <c r="C4080" s="90" t="str">
        <f>VLOOKUP(B4080,'All Districts'!$A$3:$B$874,2,FALSE)</f>
        <v>Mechanicville</v>
      </c>
      <c r="D4080" s="75">
        <v>837321</v>
      </c>
      <c r="E4080">
        <f>VLOOKUP(C4080,'All Districts'!$B$3:$C$874,2,FALSE)</f>
        <v>3618900</v>
      </c>
      <c r="F4080" s="91">
        <f>COUNTIF($E$2:$E$7106,E4080)</f>
        <v>9</v>
      </c>
    </row>
    <row r="4081" spans="1:6" x14ac:dyDescent="0.2">
      <c r="A4081">
        <v>2022</v>
      </c>
      <c r="B4081" s="36">
        <v>1145</v>
      </c>
      <c r="C4081" s="90" t="str">
        <f>VLOOKUP(B4081,'All Districts'!$A$3:$B$874,2,FALSE)</f>
        <v>Mechanicville</v>
      </c>
      <c r="D4081" s="82">
        <v>1005119</v>
      </c>
      <c r="E4081">
        <f>VLOOKUP(C4081,'All Districts'!$B$3:$C$874,2,FALSE)</f>
        <v>3618900</v>
      </c>
      <c r="F4081" s="91">
        <f>COUNTIF($E$2:$E$7106,E4081)</f>
        <v>9</v>
      </c>
    </row>
    <row r="4082" spans="1:6" x14ac:dyDescent="0.2">
      <c r="A4082">
        <v>2023</v>
      </c>
      <c r="B4082" s="36">
        <v>1145</v>
      </c>
      <c r="C4082" s="90" t="str">
        <f>VLOOKUP(B4082,'All Districts'!$A$3:$B$874,2,FALSE)</f>
        <v>Mechanicville</v>
      </c>
      <c r="D4082" s="40">
        <v>1095689</v>
      </c>
      <c r="E4082">
        <f>VLOOKUP(C4082,'All Districts'!$B$3:$C$874,2,FALSE)</f>
        <v>3618900</v>
      </c>
      <c r="F4082" s="91">
        <f>COUNTIF($E$2:$E$7106,E4082)</f>
        <v>9</v>
      </c>
    </row>
    <row r="4083" spans="1:6" x14ac:dyDescent="0.2">
      <c r="A4083">
        <v>2015</v>
      </c>
      <c r="B4083" s="13">
        <v>2375</v>
      </c>
      <c r="C4083" s="90" t="str">
        <f>VLOOKUP(B4083,'All Districts'!$A$3:$B$874,2,FALSE)</f>
        <v>Medina</v>
      </c>
      <c r="D4083" s="14">
        <v>2046928</v>
      </c>
      <c r="E4083">
        <f>VLOOKUP(C4083,'All Districts'!$B$3:$C$874,2,FALSE)</f>
        <v>3618960</v>
      </c>
      <c r="F4083" s="91">
        <f>COUNTIF($E$2:$E$7106,E4083)</f>
        <v>9</v>
      </c>
    </row>
    <row r="4084" spans="1:6" x14ac:dyDescent="0.2">
      <c r="A4084">
        <v>2016</v>
      </c>
      <c r="B4084" s="13">
        <v>2375</v>
      </c>
      <c r="C4084" s="90" t="str">
        <f>VLOOKUP(B4084,'All Districts'!$A$3:$B$874,2,FALSE)</f>
        <v>Medina</v>
      </c>
      <c r="D4084" s="16">
        <v>1599683</v>
      </c>
      <c r="E4084">
        <f>VLOOKUP(C4084,'All Districts'!$B$3:$C$874,2,FALSE)</f>
        <v>3618960</v>
      </c>
      <c r="F4084" s="91">
        <f>COUNTIF($E$2:$E$7106,E4084)</f>
        <v>9</v>
      </c>
    </row>
    <row r="4085" spans="1:6" x14ac:dyDescent="0.2">
      <c r="A4085">
        <v>2017</v>
      </c>
      <c r="B4085" s="13">
        <v>2375</v>
      </c>
      <c r="C4085" s="90" t="str">
        <f>VLOOKUP(B4085,'All Districts'!$A$3:$B$874,2,FALSE)</f>
        <v>Medina</v>
      </c>
      <c r="D4085" s="16">
        <v>1474892</v>
      </c>
      <c r="E4085">
        <f>VLOOKUP(C4085,'All Districts'!$B$3:$C$874,2,FALSE)</f>
        <v>3618960</v>
      </c>
      <c r="F4085" s="91">
        <f>COUNTIF($E$2:$E$7106,E4085)</f>
        <v>9</v>
      </c>
    </row>
    <row r="4086" spans="1:6" x14ac:dyDescent="0.2">
      <c r="A4086" s="10">
        <v>2018</v>
      </c>
      <c r="B4086" s="13">
        <v>2375</v>
      </c>
      <c r="C4086" s="90" t="str">
        <f>VLOOKUP(B4086,'All Districts'!$A$3:$B$874,2,FALSE)</f>
        <v>Medina</v>
      </c>
      <c r="D4086" s="15">
        <v>1252894</v>
      </c>
      <c r="E4086">
        <f>VLOOKUP(C4086,'All Districts'!$B$3:$C$874,2,FALSE)</f>
        <v>3618960</v>
      </c>
      <c r="F4086" s="91">
        <f>COUNTIF($E$2:$E$7106,E4086)</f>
        <v>9</v>
      </c>
    </row>
    <row r="4087" spans="1:6" x14ac:dyDescent="0.2">
      <c r="A4087">
        <v>2019</v>
      </c>
      <c r="B4087" s="36">
        <v>2375</v>
      </c>
      <c r="C4087" s="90" t="str">
        <f>VLOOKUP(B4087,'All Districts'!$A$3:$B$874,2,FALSE)</f>
        <v>Medina</v>
      </c>
      <c r="D4087" s="40">
        <v>1309478</v>
      </c>
      <c r="E4087">
        <f>VLOOKUP(C4087,'All Districts'!$B$3:$C$874,2,FALSE)</f>
        <v>3618960</v>
      </c>
      <c r="F4087" s="91">
        <f>COUNTIF($E$2:$E$7106,E4087)</f>
        <v>9</v>
      </c>
    </row>
    <row r="4088" spans="1:6" x14ac:dyDescent="0.2">
      <c r="A4088">
        <v>2020</v>
      </c>
      <c r="B4088" s="36">
        <v>2375</v>
      </c>
      <c r="C4088" s="90" t="str">
        <f>VLOOKUP(B4088,'All Districts'!$A$3:$B$874,2,FALSE)</f>
        <v>Medina</v>
      </c>
      <c r="D4088" s="40">
        <v>1103896</v>
      </c>
      <c r="E4088">
        <f>VLOOKUP(C4088,'All Districts'!$B$3:$C$874,2,FALSE)</f>
        <v>3618960</v>
      </c>
      <c r="F4088" s="91">
        <f>COUNTIF($E$2:$E$7106,E4088)</f>
        <v>9</v>
      </c>
    </row>
    <row r="4089" spans="1:6" x14ac:dyDescent="0.2">
      <c r="A4089" s="10">
        <v>2021</v>
      </c>
      <c r="B4089" s="52">
        <v>2375</v>
      </c>
      <c r="C4089" s="90" t="str">
        <f>VLOOKUP(B4089,'All Districts'!$A$3:$B$874,2,FALSE)</f>
        <v>Medina</v>
      </c>
      <c r="D4089" s="75">
        <v>1202818</v>
      </c>
      <c r="E4089">
        <f>VLOOKUP(C4089,'All Districts'!$B$3:$C$874,2,FALSE)</f>
        <v>3618960</v>
      </c>
      <c r="F4089" s="91">
        <f>COUNTIF($E$2:$E$7106,E4089)</f>
        <v>9</v>
      </c>
    </row>
    <row r="4090" spans="1:6" x14ac:dyDescent="0.2">
      <c r="A4090">
        <v>2022</v>
      </c>
      <c r="B4090" s="36">
        <v>2375</v>
      </c>
      <c r="C4090" s="90" t="str">
        <f>VLOOKUP(B4090,'All Districts'!$A$3:$B$874,2,FALSE)</f>
        <v>Medina</v>
      </c>
      <c r="D4090" s="82">
        <v>1289826</v>
      </c>
      <c r="E4090">
        <f>VLOOKUP(C4090,'All Districts'!$B$3:$C$874,2,FALSE)</f>
        <v>3618960</v>
      </c>
      <c r="F4090" s="91">
        <f>COUNTIF($E$2:$E$7106,E4090)</f>
        <v>9</v>
      </c>
    </row>
    <row r="4091" spans="1:6" x14ac:dyDescent="0.2">
      <c r="A4091">
        <v>2023</v>
      </c>
      <c r="B4091" s="36">
        <v>2375</v>
      </c>
      <c r="C4091" s="90" t="str">
        <f>VLOOKUP(B4091,'All Districts'!$A$3:$B$874,2,FALSE)</f>
        <v>Medina</v>
      </c>
      <c r="D4091" s="40">
        <v>1409365</v>
      </c>
      <c r="E4091">
        <f>VLOOKUP(C4091,'All Districts'!$B$3:$C$874,2,FALSE)</f>
        <v>3618960</v>
      </c>
      <c r="F4091" s="91">
        <f>COUNTIF($E$2:$E$7106,E4091)</f>
        <v>9</v>
      </c>
    </row>
    <row r="4092" spans="1:6" x14ac:dyDescent="0.2">
      <c r="A4092">
        <v>2015</v>
      </c>
      <c r="B4092" s="13">
        <v>3048</v>
      </c>
      <c r="C4092" s="90" t="str">
        <f>VLOOKUP(B4092,'All Districts'!$A$3:$B$874,2,FALSE)</f>
        <v>Menands</v>
      </c>
      <c r="D4092" s="14">
        <v>380950</v>
      </c>
      <c r="E4092">
        <f>VLOOKUP(C4092,'All Districts'!$B$3:$C$874,2,FALSE)</f>
        <v>3618990</v>
      </c>
      <c r="F4092" s="91">
        <f>COUNTIF($E$2:$E$7106,E4092)</f>
        <v>9</v>
      </c>
    </row>
    <row r="4093" spans="1:6" x14ac:dyDescent="0.2">
      <c r="A4093">
        <v>2016</v>
      </c>
      <c r="B4093" s="13">
        <v>3048</v>
      </c>
      <c r="C4093" s="90" t="str">
        <f>VLOOKUP(B4093,'All Districts'!$A$3:$B$874,2,FALSE)</f>
        <v>Menands</v>
      </c>
      <c r="D4093" s="16">
        <v>285342</v>
      </c>
      <c r="E4093">
        <f>VLOOKUP(C4093,'All Districts'!$B$3:$C$874,2,FALSE)</f>
        <v>3618990</v>
      </c>
      <c r="F4093" s="91">
        <f>COUNTIF($E$2:$E$7106,E4093)</f>
        <v>9</v>
      </c>
    </row>
    <row r="4094" spans="1:6" x14ac:dyDescent="0.2">
      <c r="A4094">
        <v>2017</v>
      </c>
      <c r="B4094" s="13">
        <v>3048</v>
      </c>
      <c r="C4094" s="90" t="str">
        <f>VLOOKUP(B4094,'All Districts'!$A$3:$B$874,2,FALSE)</f>
        <v>Menands</v>
      </c>
      <c r="D4094" s="16">
        <v>278474</v>
      </c>
      <c r="E4094">
        <f>VLOOKUP(C4094,'All Districts'!$B$3:$C$874,2,FALSE)</f>
        <v>3618990</v>
      </c>
      <c r="F4094" s="91">
        <f>COUNTIF($E$2:$E$7106,E4094)</f>
        <v>9</v>
      </c>
    </row>
    <row r="4095" spans="1:6" x14ac:dyDescent="0.2">
      <c r="A4095" s="10">
        <v>2018</v>
      </c>
      <c r="B4095" s="13">
        <v>3048</v>
      </c>
      <c r="C4095" s="90" t="str">
        <f>VLOOKUP(B4095,'All Districts'!$A$3:$B$874,2,FALSE)</f>
        <v>Menands</v>
      </c>
      <c r="D4095" s="15">
        <v>233812</v>
      </c>
      <c r="E4095">
        <f>VLOOKUP(C4095,'All Districts'!$B$3:$C$874,2,FALSE)</f>
        <v>3618990</v>
      </c>
      <c r="F4095" s="91">
        <f>COUNTIF($E$2:$E$7106,E4095)</f>
        <v>9</v>
      </c>
    </row>
    <row r="4096" spans="1:6" x14ac:dyDescent="0.2">
      <c r="A4096">
        <v>2019</v>
      </c>
      <c r="B4096" s="36">
        <v>3048</v>
      </c>
      <c r="C4096" s="90" t="str">
        <f>VLOOKUP(B4096,'All Districts'!$A$3:$B$874,2,FALSE)</f>
        <v>Menands</v>
      </c>
      <c r="D4096" s="40">
        <v>278369</v>
      </c>
      <c r="E4096">
        <f>VLOOKUP(C4096,'All Districts'!$B$3:$C$874,2,FALSE)</f>
        <v>3618990</v>
      </c>
      <c r="F4096" s="91">
        <f>COUNTIF($E$2:$E$7106,E4096)</f>
        <v>9</v>
      </c>
    </row>
    <row r="4097" spans="1:6" x14ac:dyDescent="0.2">
      <c r="A4097">
        <v>2020</v>
      </c>
      <c r="B4097" s="36">
        <v>3048</v>
      </c>
      <c r="C4097" s="90" t="str">
        <f>VLOOKUP(B4097,'All Districts'!$A$3:$B$874,2,FALSE)</f>
        <v>Menands</v>
      </c>
      <c r="D4097" s="40">
        <v>217503</v>
      </c>
      <c r="E4097">
        <f>VLOOKUP(C4097,'All Districts'!$B$3:$C$874,2,FALSE)</f>
        <v>3618990</v>
      </c>
      <c r="F4097" s="91">
        <f>COUNTIF($E$2:$E$7106,E4097)</f>
        <v>9</v>
      </c>
    </row>
    <row r="4098" spans="1:6" x14ac:dyDescent="0.2">
      <c r="A4098" s="10">
        <v>2021</v>
      </c>
      <c r="B4098" s="52">
        <v>3048</v>
      </c>
      <c r="C4098" s="90" t="str">
        <f>VLOOKUP(B4098,'All Districts'!$A$3:$B$874,2,FALSE)</f>
        <v>Menands</v>
      </c>
      <c r="D4098" s="75">
        <v>240258</v>
      </c>
      <c r="E4098">
        <f>VLOOKUP(C4098,'All Districts'!$B$3:$C$874,2,FALSE)</f>
        <v>3618990</v>
      </c>
      <c r="F4098" s="91">
        <f>COUNTIF($E$2:$E$7106,E4098)</f>
        <v>9</v>
      </c>
    </row>
    <row r="4099" spans="1:6" x14ac:dyDescent="0.2">
      <c r="A4099">
        <v>2022</v>
      </c>
      <c r="B4099" s="36">
        <v>3048</v>
      </c>
      <c r="C4099" s="90" t="str">
        <f>VLOOKUP(B4099,'All Districts'!$A$3:$B$874,2,FALSE)</f>
        <v>Menands</v>
      </c>
      <c r="D4099" s="82">
        <v>269089</v>
      </c>
      <c r="E4099">
        <f>VLOOKUP(C4099,'All Districts'!$B$3:$C$874,2,FALSE)</f>
        <v>3618990</v>
      </c>
      <c r="F4099" s="91">
        <f>COUNTIF($E$2:$E$7106,E4099)</f>
        <v>9</v>
      </c>
    </row>
    <row r="4100" spans="1:6" x14ac:dyDescent="0.2">
      <c r="A4100">
        <v>2023</v>
      </c>
      <c r="B4100" s="36">
        <v>3048</v>
      </c>
      <c r="C4100" s="90" t="str">
        <f>VLOOKUP(B4100,'All Districts'!$A$3:$B$874,2,FALSE)</f>
        <v>Menands</v>
      </c>
      <c r="D4100" s="40">
        <v>281524</v>
      </c>
      <c r="E4100">
        <f>VLOOKUP(C4100,'All Districts'!$B$3:$C$874,2,FALSE)</f>
        <v>3618990</v>
      </c>
      <c r="F4100" s="91">
        <f>COUNTIF($E$2:$E$7106,E4100)</f>
        <v>9</v>
      </c>
    </row>
    <row r="4101" spans="1:6" x14ac:dyDescent="0.2">
      <c r="A4101">
        <v>2015</v>
      </c>
      <c r="B4101" s="13">
        <v>4361</v>
      </c>
      <c r="C4101" s="90" t="str">
        <f>VLOOKUP(B4101,'All Districts'!$A$3:$B$874,2,FALSE)</f>
        <v>Merrick</v>
      </c>
      <c r="D4101" s="14">
        <v>3820111</v>
      </c>
      <c r="E4101">
        <f>VLOOKUP(C4101,'All Districts'!$B$3:$C$874,2,FALSE)</f>
        <v>3619110</v>
      </c>
      <c r="F4101" s="91">
        <f>COUNTIF($E$2:$E$7106,E4101)</f>
        <v>9</v>
      </c>
    </row>
    <row r="4102" spans="1:6" x14ac:dyDescent="0.2">
      <c r="A4102">
        <v>2016</v>
      </c>
      <c r="B4102" s="13">
        <v>4361</v>
      </c>
      <c r="C4102" s="90" t="str">
        <f>VLOOKUP(B4102,'All Districts'!$A$3:$B$874,2,FALSE)</f>
        <v>Merrick</v>
      </c>
      <c r="D4102" s="16">
        <v>2976288</v>
      </c>
      <c r="E4102">
        <f>VLOOKUP(C4102,'All Districts'!$B$3:$C$874,2,FALSE)</f>
        <v>3619110</v>
      </c>
      <c r="F4102" s="91">
        <f>COUNTIF($E$2:$E$7106,E4102)</f>
        <v>9</v>
      </c>
    </row>
    <row r="4103" spans="1:6" x14ac:dyDescent="0.2">
      <c r="A4103">
        <v>2017</v>
      </c>
      <c r="B4103" s="13">
        <v>4361</v>
      </c>
      <c r="C4103" s="90" t="str">
        <f>VLOOKUP(B4103,'All Districts'!$A$3:$B$874,2,FALSE)</f>
        <v>Merrick</v>
      </c>
      <c r="D4103" s="16">
        <v>2702079</v>
      </c>
      <c r="E4103">
        <f>VLOOKUP(C4103,'All Districts'!$B$3:$C$874,2,FALSE)</f>
        <v>3619110</v>
      </c>
      <c r="F4103" s="91">
        <f>COUNTIF($E$2:$E$7106,E4103)</f>
        <v>9</v>
      </c>
    </row>
    <row r="4104" spans="1:6" x14ac:dyDescent="0.2">
      <c r="A4104" s="10">
        <v>2018</v>
      </c>
      <c r="B4104" s="13">
        <v>4361</v>
      </c>
      <c r="C4104" s="90" t="str">
        <f>VLOOKUP(B4104,'All Districts'!$A$3:$B$874,2,FALSE)</f>
        <v>Merrick</v>
      </c>
      <c r="D4104" s="15">
        <v>2326545</v>
      </c>
      <c r="E4104">
        <f>VLOOKUP(C4104,'All Districts'!$B$3:$C$874,2,FALSE)</f>
        <v>3619110</v>
      </c>
      <c r="F4104" s="91">
        <f>COUNTIF($E$2:$E$7106,E4104)</f>
        <v>9</v>
      </c>
    </row>
    <row r="4105" spans="1:6" x14ac:dyDescent="0.2">
      <c r="A4105">
        <v>2019</v>
      </c>
      <c r="B4105" s="36">
        <v>4361</v>
      </c>
      <c r="C4105" s="90" t="str">
        <f>VLOOKUP(B4105,'All Districts'!$A$3:$B$874,2,FALSE)</f>
        <v>Merrick</v>
      </c>
      <c r="D4105" s="40">
        <v>2616479</v>
      </c>
      <c r="E4105">
        <f>VLOOKUP(C4105,'All Districts'!$B$3:$C$874,2,FALSE)</f>
        <v>3619110</v>
      </c>
      <c r="F4105" s="91">
        <f>COUNTIF($E$2:$E$7106,E4105)</f>
        <v>9</v>
      </c>
    </row>
    <row r="4106" spans="1:6" x14ac:dyDescent="0.2">
      <c r="A4106">
        <v>2020</v>
      </c>
      <c r="B4106" s="36">
        <v>4361</v>
      </c>
      <c r="C4106" s="90" t="str">
        <f>VLOOKUP(B4106,'All Districts'!$A$3:$B$874,2,FALSE)</f>
        <v>Merrick</v>
      </c>
      <c r="D4106" s="40">
        <v>2266744</v>
      </c>
      <c r="E4106">
        <f>VLOOKUP(C4106,'All Districts'!$B$3:$C$874,2,FALSE)</f>
        <v>3619110</v>
      </c>
      <c r="F4106" s="91">
        <f>COUNTIF($E$2:$E$7106,E4106)</f>
        <v>9</v>
      </c>
    </row>
    <row r="4107" spans="1:6" x14ac:dyDescent="0.2">
      <c r="A4107" s="10">
        <v>2021</v>
      </c>
      <c r="B4107" s="52">
        <v>4361</v>
      </c>
      <c r="C4107" s="90" t="str">
        <f>VLOOKUP(B4107,'All Districts'!$A$3:$B$874,2,FALSE)</f>
        <v>Merrick</v>
      </c>
      <c r="D4107" s="76">
        <v>2586521</v>
      </c>
      <c r="E4107">
        <f>VLOOKUP(C4107,'All Districts'!$B$3:$C$874,2,FALSE)</f>
        <v>3619110</v>
      </c>
      <c r="F4107" s="91">
        <f>COUNTIF($E$2:$E$7106,E4107)</f>
        <v>9</v>
      </c>
    </row>
    <row r="4108" spans="1:6" x14ac:dyDescent="0.2">
      <c r="A4108">
        <v>2022</v>
      </c>
      <c r="B4108" s="36">
        <v>4361</v>
      </c>
      <c r="C4108" s="90" t="str">
        <f>VLOOKUP(B4108,'All Districts'!$A$3:$B$874,2,FALSE)</f>
        <v>Merrick</v>
      </c>
      <c r="D4108" s="82">
        <v>2634522</v>
      </c>
      <c r="E4108">
        <f>VLOOKUP(C4108,'All Districts'!$B$3:$C$874,2,FALSE)</f>
        <v>3619110</v>
      </c>
      <c r="F4108" s="91">
        <f>COUNTIF($E$2:$E$7106,E4108)</f>
        <v>9</v>
      </c>
    </row>
    <row r="4109" spans="1:6" x14ac:dyDescent="0.2">
      <c r="A4109">
        <v>2023</v>
      </c>
      <c r="B4109" s="36">
        <v>4361</v>
      </c>
      <c r="C4109" s="90" t="str">
        <f>VLOOKUP(B4109,'All Districts'!$A$3:$B$874,2,FALSE)</f>
        <v>Merrick</v>
      </c>
      <c r="D4109" s="40">
        <v>2795547</v>
      </c>
      <c r="E4109">
        <f>VLOOKUP(C4109,'All Districts'!$B$3:$C$874,2,FALSE)</f>
        <v>3619110</v>
      </c>
      <c r="F4109" s="91">
        <f>COUNTIF($E$2:$E$7106,E4109)</f>
        <v>9</v>
      </c>
    </row>
    <row r="4110" spans="1:6" x14ac:dyDescent="0.2">
      <c r="A4110">
        <v>2015</v>
      </c>
      <c r="B4110" s="13">
        <v>2377</v>
      </c>
      <c r="C4110" s="90" t="str">
        <f>VLOOKUP(B4110,'All Districts'!$A$3:$B$874,2,FALSE)</f>
        <v>Mexico</v>
      </c>
      <c r="D4110" s="14">
        <v>3073607</v>
      </c>
      <c r="E4110">
        <f>VLOOKUP(C4110,'All Districts'!$B$3:$C$874,2,FALSE)</f>
        <v>3619170</v>
      </c>
      <c r="F4110" s="91">
        <f>COUNTIF($E$2:$E$7106,E4110)</f>
        <v>9</v>
      </c>
    </row>
    <row r="4111" spans="1:6" x14ac:dyDescent="0.2">
      <c r="A4111">
        <v>2016</v>
      </c>
      <c r="B4111" s="13">
        <v>2377</v>
      </c>
      <c r="C4111" s="90" t="str">
        <f>VLOOKUP(B4111,'All Districts'!$A$3:$B$874,2,FALSE)</f>
        <v>Mexico</v>
      </c>
      <c r="D4111" s="16">
        <v>2360981</v>
      </c>
      <c r="E4111">
        <f>VLOOKUP(C4111,'All Districts'!$B$3:$C$874,2,FALSE)</f>
        <v>3619170</v>
      </c>
      <c r="F4111" s="91">
        <f>COUNTIF($E$2:$E$7106,E4111)</f>
        <v>9</v>
      </c>
    </row>
    <row r="4112" spans="1:6" x14ac:dyDescent="0.2">
      <c r="A4112">
        <v>2017</v>
      </c>
      <c r="B4112" s="13">
        <v>2377</v>
      </c>
      <c r="C4112" s="90" t="str">
        <f>VLOOKUP(B4112,'All Districts'!$A$3:$B$874,2,FALSE)</f>
        <v>Mexico</v>
      </c>
      <c r="D4112" s="16">
        <v>2002149</v>
      </c>
      <c r="E4112">
        <f>VLOOKUP(C4112,'All Districts'!$B$3:$C$874,2,FALSE)</f>
        <v>3619170</v>
      </c>
      <c r="F4112" s="91">
        <f>COUNTIF($E$2:$E$7106,E4112)</f>
        <v>9</v>
      </c>
    </row>
    <row r="4113" spans="1:6" x14ac:dyDescent="0.2">
      <c r="A4113" s="10">
        <v>2018</v>
      </c>
      <c r="B4113" s="13">
        <v>2377</v>
      </c>
      <c r="C4113" s="90" t="str">
        <f>VLOOKUP(B4113,'All Districts'!$A$3:$B$874,2,FALSE)</f>
        <v>Mexico</v>
      </c>
      <c r="D4113" s="15">
        <v>1781451</v>
      </c>
      <c r="E4113">
        <f>VLOOKUP(C4113,'All Districts'!$B$3:$C$874,2,FALSE)</f>
        <v>3619170</v>
      </c>
      <c r="F4113" s="91">
        <f>COUNTIF($E$2:$E$7106,E4113)</f>
        <v>9</v>
      </c>
    </row>
    <row r="4114" spans="1:6" x14ac:dyDescent="0.2">
      <c r="A4114">
        <v>2019</v>
      </c>
      <c r="B4114" s="36">
        <v>2377</v>
      </c>
      <c r="C4114" s="90" t="str">
        <f>VLOOKUP(B4114,'All Districts'!$A$3:$B$874,2,FALSE)</f>
        <v>Mexico</v>
      </c>
      <c r="D4114" s="40">
        <v>2013896</v>
      </c>
      <c r="E4114">
        <f>VLOOKUP(C4114,'All Districts'!$B$3:$C$874,2,FALSE)</f>
        <v>3619170</v>
      </c>
      <c r="F4114" s="91">
        <f>COUNTIF($E$2:$E$7106,E4114)</f>
        <v>9</v>
      </c>
    </row>
    <row r="4115" spans="1:6" x14ac:dyDescent="0.2">
      <c r="A4115">
        <v>2020</v>
      </c>
      <c r="B4115" s="36">
        <v>2377</v>
      </c>
      <c r="C4115" s="90" t="str">
        <f>VLOOKUP(B4115,'All Districts'!$A$3:$B$874,2,FALSE)</f>
        <v>Mexico</v>
      </c>
      <c r="D4115" s="40">
        <v>1704841</v>
      </c>
      <c r="E4115">
        <f>VLOOKUP(C4115,'All Districts'!$B$3:$C$874,2,FALSE)</f>
        <v>3619170</v>
      </c>
      <c r="F4115" s="91">
        <f>COUNTIF($E$2:$E$7106,E4115)</f>
        <v>9</v>
      </c>
    </row>
    <row r="4116" spans="1:6" x14ac:dyDescent="0.2">
      <c r="A4116" s="10">
        <v>2021</v>
      </c>
      <c r="B4116" s="55">
        <v>2377</v>
      </c>
      <c r="C4116" s="90" t="str">
        <f>VLOOKUP(B4116,'All Districts'!$A$3:$B$874,2,FALSE)</f>
        <v>Mexico</v>
      </c>
      <c r="D4116" s="76">
        <v>1740328</v>
      </c>
      <c r="E4116">
        <f>VLOOKUP(C4116,'All Districts'!$B$3:$C$874,2,FALSE)</f>
        <v>3619170</v>
      </c>
      <c r="F4116" s="91">
        <f>COUNTIF($E$2:$E$7106,E4116)</f>
        <v>9</v>
      </c>
    </row>
    <row r="4117" spans="1:6" x14ac:dyDescent="0.2">
      <c r="A4117">
        <v>2022</v>
      </c>
      <c r="B4117" s="36">
        <v>2377</v>
      </c>
      <c r="C4117" s="90" t="str">
        <f>VLOOKUP(B4117,'All Districts'!$A$3:$B$874,2,FALSE)</f>
        <v>Mexico</v>
      </c>
      <c r="D4117" s="82">
        <v>1832908</v>
      </c>
      <c r="E4117">
        <f>VLOOKUP(C4117,'All Districts'!$B$3:$C$874,2,FALSE)</f>
        <v>3619170</v>
      </c>
      <c r="F4117" s="91">
        <f>COUNTIF($E$2:$E$7106,E4117)</f>
        <v>9</v>
      </c>
    </row>
    <row r="4118" spans="1:6" x14ac:dyDescent="0.2">
      <c r="A4118">
        <v>2023</v>
      </c>
      <c r="B4118" s="36">
        <v>2377</v>
      </c>
      <c r="C4118" s="90" t="str">
        <f>VLOOKUP(B4118,'All Districts'!$A$3:$B$874,2,FALSE)</f>
        <v>Mexico</v>
      </c>
      <c r="D4118" s="40">
        <v>2152813</v>
      </c>
      <c r="E4118">
        <f>VLOOKUP(C4118,'All Districts'!$B$3:$C$874,2,FALSE)</f>
        <v>3619170</v>
      </c>
      <c r="F4118" s="91">
        <f>COUNTIF($E$2:$E$7106,E4118)</f>
        <v>9</v>
      </c>
    </row>
    <row r="4119" spans="1:6" x14ac:dyDescent="0.2">
      <c r="A4119">
        <v>2015</v>
      </c>
      <c r="B4119" s="13">
        <v>2379</v>
      </c>
      <c r="C4119" s="90" t="str">
        <f>VLOOKUP(B4119,'All Districts'!$A$3:$B$874,2,FALSE)</f>
        <v>Middle Country</v>
      </c>
      <c r="D4119" s="14">
        <v>15498537</v>
      </c>
      <c r="E4119">
        <f>VLOOKUP(C4119,'All Districts'!$B$3:$C$874,2,FALSE)</f>
        <v>3619200</v>
      </c>
      <c r="F4119" s="91">
        <f>COUNTIF($E$2:$E$7106,E4119)</f>
        <v>9</v>
      </c>
    </row>
    <row r="4120" spans="1:6" x14ac:dyDescent="0.2">
      <c r="A4120">
        <v>2016</v>
      </c>
      <c r="B4120" s="13">
        <v>2379</v>
      </c>
      <c r="C4120" s="90" t="str">
        <f>VLOOKUP(B4120,'All Districts'!$A$3:$B$874,2,FALSE)</f>
        <v>Middle Country</v>
      </c>
      <c r="D4120" s="16">
        <v>12091668</v>
      </c>
      <c r="E4120">
        <f>VLOOKUP(C4120,'All Districts'!$B$3:$C$874,2,FALSE)</f>
        <v>3619200</v>
      </c>
      <c r="F4120" s="91">
        <f>COUNTIF($E$2:$E$7106,E4120)</f>
        <v>9</v>
      </c>
    </row>
    <row r="4121" spans="1:6" x14ac:dyDescent="0.2">
      <c r="A4121">
        <v>2017</v>
      </c>
      <c r="B4121" s="13">
        <v>2379</v>
      </c>
      <c r="C4121" s="90" t="str">
        <f>VLOOKUP(B4121,'All Districts'!$A$3:$B$874,2,FALSE)</f>
        <v>Middle Country</v>
      </c>
      <c r="D4121" s="16">
        <v>10894707</v>
      </c>
      <c r="E4121">
        <f>VLOOKUP(C4121,'All Districts'!$B$3:$C$874,2,FALSE)</f>
        <v>3619200</v>
      </c>
      <c r="F4121" s="91">
        <f>COUNTIF($E$2:$E$7106,E4121)</f>
        <v>9</v>
      </c>
    </row>
    <row r="4122" spans="1:6" x14ac:dyDescent="0.2">
      <c r="A4122" s="10">
        <v>2018</v>
      </c>
      <c r="B4122" s="13">
        <v>2379</v>
      </c>
      <c r="C4122" s="90" t="str">
        <f>VLOOKUP(B4122,'All Districts'!$A$3:$B$874,2,FALSE)</f>
        <v>Middle Country</v>
      </c>
      <c r="D4122" s="15">
        <v>9437164</v>
      </c>
      <c r="E4122">
        <f>VLOOKUP(C4122,'All Districts'!$B$3:$C$874,2,FALSE)</f>
        <v>3619200</v>
      </c>
      <c r="F4122" s="91">
        <f>COUNTIF($E$2:$E$7106,E4122)</f>
        <v>9</v>
      </c>
    </row>
    <row r="4123" spans="1:6" x14ac:dyDescent="0.2">
      <c r="A4123">
        <v>2019</v>
      </c>
      <c r="B4123" s="36">
        <v>2379</v>
      </c>
      <c r="C4123" s="90" t="str">
        <f>VLOOKUP(B4123,'All Districts'!$A$3:$B$874,2,FALSE)</f>
        <v>Middle Country</v>
      </c>
      <c r="D4123" s="40">
        <v>10624664</v>
      </c>
      <c r="E4123">
        <f>VLOOKUP(C4123,'All Districts'!$B$3:$C$874,2,FALSE)</f>
        <v>3619200</v>
      </c>
      <c r="F4123" s="91">
        <f>COUNTIF($E$2:$E$7106,E4123)</f>
        <v>9</v>
      </c>
    </row>
    <row r="4124" spans="1:6" x14ac:dyDescent="0.2">
      <c r="A4124">
        <v>2020</v>
      </c>
      <c r="B4124" s="36">
        <v>2379</v>
      </c>
      <c r="C4124" s="90" t="str">
        <f>VLOOKUP(B4124,'All Districts'!$A$3:$B$874,2,FALSE)</f>
        <v>Middle Country</v>
      </c>
      <c r="D4124" s="40">
        <v>9069775</v>
      </c>
      <c r="E4124">
        <f>VLOOKUP(C4124,'All Districts'!$B$3:$C$874,2,FALSE)</f>
        <v>3619200</v>
      </c>
      <c r="F4124" s="91">
        <f>COUNTIF($E$2:$E$7106,E4124)</f>
        <v>9</v>
      </c>
    </row>
    <row r="4125" spans="1:6" x14ac:dyDescent="0.2">
      <c r="A4125" s="10">
        <v>2021</v>
      </c>
      <c r="B4125" s="55">
        <v>2379</v>
      </c>
      <c r="C4125" s="90" t="str">
        <f>VLOOKUP(B4125,'All Districts'!$A$3:$B$874,2,FALSE)</f>
        <v>Middle Country</v>
      </c>
      <c r="D4125" s="76">
        <v>10235879</v>
      </c>
      <c r="E4125">
        <f>VLOOKUP(C4125,'All Districts'!$B$3:$C$874,2,FALSE)</f>
        <v>3619200</v>
      </c>
      <c r="F4125" s="91">
        <f>COUNTIF($E$2:$E$7106,E4125)</f>
        <v>9</v>
      </c>
    </row>
    <row r="4126" spans="1:6" x14ac:dyDescent="0.2">
      <c r="A4126">
        <v>2022</v>
      </c>
      <c r="B4126" s="36">
        <v>2379</v>
      </c>
      <c r="C4126" s="90" t="str">
        <f>VLOOKUP(B4126,'All Districts'!$A$3:$B$874,2,FALSE)</f>
        <v>Middle Country</v>
      </c>
      <c r="D4126" s="82">
        <v>10575423</v>
      </c>
      <c r="E4126">
        <f>VLOOKUP(C4126,'All Districts'!$B$3:$C$874,2,FALSE)</f>
        <v>3619200</v>
      </c>
      <c r="F4126" s="91">
        <f>COUNTIF($E$2:$E$7106,E4126)</f>
        <v>9</v>
      </c>
    </row>
    <row r="4127" spans="1:6" x14ac:dyDescent="0.2">
      <c r="A4127">
        <v>2023</v>
      </c>
      <c r="B4127" s="36">
        <v>2379</v>
      </c>
      <c r="C4127" s="90" t="str">
        <f>VLOOKUP(B4127,'All Districts'!$A$3:$B$874,2,FALSE)</f>
        <v>Middle Country</v>
      </c>
      <c r="D4127" s="40">
        <v>11193888</v>
      </c>
      <c r="E4127">
        <f>VLOOKUP(C4127,'All Districts'!$B$3:$C$874,2,FALSE)</f>
        <v>3619200</v>
      </c>
      <c r="F4127" s="91">
        <f>COUNTIF($E$2:$E$7106,E4127)</f>
        <v>9</v>
      </c>
    </row>
    <row r="4128" spans="1:6" x14ac:dyDescent="0.2">
      <c r="A4128">
        <v>2015</v>
      </c>
      <c r="B4128" s="13">
        <v>3042</v>
      </c>
      <c r="C4128" s="90" t="str">
        <f>VLOOKUP(B4128,'All Districts'!$A$3:$B$874,2,FALSE)</f>
        <v>Middleburgh</v>
      </c>
      <c r="D4128" s="14">
        <v>1204297</v>
      </c>
      <c r="E4128">
        <f>VLOOKUP(C4128,'All Districts'!$B$3:$C$874,2,FALSE)</f>
        <v>3619260</v>
      </c>
      <c r="F4128" s="91">
        <f>COUNTIF($E$2:$E$7106,E4128)</f>
        <v>9</v>
      </c>
    </row>
    <row r="4129" spans="1:6" x14ac:dyDescent="0.2">
      <c r="A4129">
        <v>2016</v>
      </c>
      <c r="B4129" s="13">
        <v>3042</v>
      </c>
      <c r="C4129" s="90" t="str">
        <f>VLOOKUP(B4129,'All Districts'!$A$3:$B$874,2,FALSE)</f>
        <v>Middleburgh</v>
      </c>
      <c r="D4129" s="16">
        <v>929089</v>
      </c>
      <c r="E4129">
        <f>VLOOKUP(C4129,'All Districts'!$B$3:$C$874,2,FALSE)</f>
        <v>3619260</v>
      </c>
      <c r="F4129" s="91">
        <f>COUNTIF($E$2:$E$7106,E4129)</f>
        <v>9</v>
      </c>
    </row>
    <row r="4130" spans="1:6" x14ac:dyDescent="0.2">
      <c r="A4130">
        <v>2017</v>
      </c>
      <c r="B4130" s="13">
        <v>3042</v>
      </c>
      <c r="C4130" s="90" t="str">
        <f>VLOOKUP(B4130,'All Districts'!$A$3:$B$874,2,FALSE)</f>
        <v>Middleburgh</v>
      </c>
      <c r="D4130" s="16">
        <v>835592</v>
      </c>
      <c r="E4130">
        <f>VLOOKUP(C4130,'All Districts'!$B$3:$C$874,2,FALSE)</f>
        <v>3619260</v>
      </c>
      <c r="F4130" s="91">
        <f>COUNTIF($E$2:$E$7106,E4130)</f>
        <v>9</v>
      </c>
    </row>
    <row r="4131" spans="1:6" x14ac:dyDescent="0.2">
      <c r="A4131" s="10">
        <v>2018</v>
      </c>
      <c r="B4131" s="13">
        <v>3042</v>
      </c>
      <c r="C4131" s="90" t="str">
        <f>VLOOKUP(B4131,'All Districts'!$A$3:$B$874,2,FALSE)</f>
        <v>Middleburgh</v>
      </c>
      <c r="D4131" s="15">
        <v>712999</v>
      </c>
      <c r="E4131">
        <f>VLOOKUP(C4131,'All Districts'!$B$3:$C$874,2,FALSE)</f>
        <v>3619260</v>
      </c>
      <c r="F4131" s="91">
        <f>COUNTIF($E$2:$E$7106,E4131)</f>
        <v>9</v>
      </c>
    </row>
    <row r="4132" spans="1:6" x14ac:dyDescent="0.2">
      <c r="A4132">
        <v>2019</v>
      </c>
      <c r="B4132" s="36">
        <v>3042</v>
      </c>
      <c r="C4132" s="90" t="str">
        <f>VLOOKUP(B4132,'All Districts'!$A$3:$B$874,2,FALSE)</f>
        <v>Middleburgh</v>
      </c>
      <c r="D4132" s="40">
        <v>733762</v>
      </c>
      <c r="E4132">
        <f>VLOOKUP(C4132,'All Districts'!$B$3:$C$874,2,FALSE)</f>
        <v>3619260</v>
      </c>
      <c r="F4132" s="91">
        <f>COUNTIF($E$2:$E$7106,E4132)</f>
        <v>9</v>
      </c>
    </row>
    <row r="4133" spans="1:6" x14ac:dyDescent="0.2">
      <c r="A4133">
        <v>2020</v>
      </c>
      <c r="B4133" s="36">
        <v>3042</v>
      </c>
      <c r="C4133" s="90" t="str">
        <f>VLOOKUP(B4133,'All Districts'!$A$3:$B$874,2,FALSE)</f>
        <v>Middleburgh</v>
      </c>
      <c r="D4133" s="40">
        <v>625891</v>
      </c>
      <c r="E4133">
        <f>VLOOKUP(C4133,'All Districts'!$B$3:$C$874,2,FALSE)</f>
        <v>3619260</v>
      </c>
      <c r="F4133" s="91">
        <f>COUNTIF($E$2:$E$7106,E4133)</f>
        <v>9</v>
      </c>
    </row>
    <row r="4134" spans="1:6" x14ac:dyDescent="0.2">
      <c r="A4134" s="10">
        <v>2021</v>
      </c>
      <c r="B4134" s="52">
        <v>3042</v>
      </c>
      <c r="C4134" s="90" t="str">
        <f>VLOOKUP(B4134,'All Districts'!$A$3:$B$874,2,FALSE)</f>
        <v>Middleburgh</v>
      </c>
      <c r="D4134" s="76">
        <v>644695</v>
      </c>
      <c r="E4134">
        <f>VLOOKUP(C4134,'All Districts'!$B$3:$C$874,2,FALSE)</f>
        <v>3619260</v>
      </c>
      <c r="F4134" s="91">
        <f>COUNTIF($E$2:$E$7106,E4134)</f>
        <v>9</v>
      </c>
    </row>
    <row r="4135" spans="1:6" x14ac:dyDescent="0.2">
      <c r="A4135">
        <v>2022</v>
      </c>
      <c r="B4135" s="36">
        <v>3042</v>
      </c>
      <c r="C4135" s="90" t="str">
        <f>VLOOKUP(B4135,'All Districts'!$A$3:$B$874,2,FALSE)</f>
        <v>Middleburgh</v>
      </c>
      <c r="D4135" s="82">
        <v>722376</v>
      </c>
      <c r="E4135">
        <f>VLOOKUP(C4135,'All Districts'!$B$3:$C$874,2,FALSE)</f>
        <v>3619260</v>
      </c>
      <c r="F4135" s="91">
        <f>COUNTIF($E$2:$E$7106,E4135)</f>
        <v>9</v>
      </c>
    </row>
    <row r="4136" spans="1:6" x14ac:dyDescent="0.2">
      <c r="A4136">
        <v>2023</v>
      </c>
      <c r="B4136" s="36">
        <v>3042</v>
      </c>
      <c r="C4136" s="90" t="str">
        <f>VLOOKUP(B4136,'All Districts'!$A$3:$B$874,2,FALSE)</f>
        <v>Middleburgh</v>
      </c>
      <c r="D4136" s="40">
        <v>707717</v>
      </c>
      <c r="E4136">
        <f>VLOOKUP(C4136,'All Districts'!$B$3:$C$874,2,FALSE)</f>
        <v>3619260</v>
      </c>
      <c r="F4136" s="91">
        <f>COUNTIF($E$2:$E$7106,E4136)</f>
        <v>9</v>
      </c>
    </row>
    <row r="4137" spans="1:6" x14ac:dyDescent="0.2">
      <c r="A4137">
        <v>2015</v>
      </c>
      <c r="B4137" s="13">
        <v>1150</v>
      </c>
      <c r="C4137" s="90" t="str">
        <f>VLOOKUP(B4137,'All Districts'!$A$3:$B$874,2,FALSE)</f>
        <v>Middletown</v>
      </c>
      <c r="D4137" s="14">
        <v>10032097</v>
      </c>
      <c r="E4137">
        <f>VLOOKUP(C4137,'All Districts'!$B$3:$C$874,2,FALSE)</f>
        <v>3619320</v>
      </c>
      <c r="F4137" s="91">
        <f>COUNTIF($E$2:$E$7106,E4137)</f>
        <v>9</v>
      </c>
    </row>
    <row r="4138" spans="1:6" x14ac:dyDescent="0.2">
      <c r="A4138">
        <v>2016</v>
      </c>
      <c r="B4138" s="13">
        <v>1150</v>
      </c>
      <c r="C4138" s="90" t="str">
        <f>VLOOKUP(B4138,'All Districts'!$A$3:$B$874,2,FALSE)</f>
        <v>Middletown</v>
      </c>
      <c r="D4138" s="16">
        <v>7590331</v>
      </c>
      <c r="E4138">
        <f>VLOOKUP(C4138,'All Districts'!$B$3:$C$874,2,FALSE)</f>
        <v>3619320</v>
      </c>
      <c r="F4138" s="91">
        <f>COUNTIF($E$2:$E$7106,E4138)</f>
        <v>9</v>
      </c>
    </row>
    <row r="4139" spans="1:6" x14ac:dyDescent="0.2">
      <c r="A4139">
        <v>2017</v>
      </c>
      <c r="B4139" s="13">
        <v>1150</v>
      </c>
      <c r="C4139" s="90" t="str">
        <f>VLOOKUP(B4139,'All Districts'!$A$3:$B$874,2,FALSE)</f>
        <v>Middletown</v>
      </c>
      <c r="D4139" s="16">
        <v>6882022</v>
      </c>
      <c r="E4139">
        <f>VLOOKUP(C4139,'All Districts'!$B$3:$C$874,2,FALSE)</f>
        <v>3619320</v>
      </c>
      <c r="F4139" s="91">
        <f>COUNTIF($E$2:$E$7106,E4139)</f>
        <v>9</v>
      </c>
    </row>
    <row r="4140" spans="1:6" x14ac:dyDescent="0.2">
      <c r="A4140" s="10">
        <v>2018</v>
      </c>
      <c r="B4140" s="13">
        <v>1150</v>
      </c>
      <c r="C4140" s="90" t="str">
        <f>VLOOKUP(B4140,'All Districts'!$A$3:$B$874,2,FALSE)</f>
        <v>Middletown</v>
      </c>
      <c r="D4140" s="15">
        <v>6091987</v>
      </c>
      <c r="E4140">
        <f>VLOOKUP(C4140,'All Districts'!$B$3:$C$874,2,FALSE)</f>
        <v>3619320</v>
      </c>
      <c r="F4140" s="91">
        <f>COUNTIF($E$2:$E$7106,E4140)</f>
        <v>9</v>
      </c>
    </row>
    <row r="4141" spans="1:6" x14ac:dyDescent="0.2">
      <c r="A4141">
        <v>2019</v>
      </c>
      <c r="B4141" s="36">
        <v>1150</v>
      </c>
      <c r="C4141" s="90" t="str">
        <f>VLOOKUP(B4141,'All Districts'!$A$3:$B$874,2,FALSE)</f>
        <v>Middletown</v>
      </c>
      <c r="D4141" s="40">
        <v>7055301</v>
      </c>
      <c r="E4141">
        <f>VLOOKUP(C4141,'All Districts'!$B$3:$C$874,2,FALSE)</f>
        <v>3619320</v>
      </c>
      <c r="F4141" s="91">
        <f>COUNTIF($E$2:$E$7106,E4141)</f>
        <v>9</v>
      </c>
    </row>
    <row r="4142" spans="1:6" x14ac:dyDescent="0.2">
      <c r="A4142">
        <v>2020</v>
      </c>
      <c r="B4142" s="36">
        <v>1150</v>
      </c>
      <c r="C4142" s="90" t="str">
        <f>VLOOKUP(B4142,'All Districts'!$A$3:$B$874,2,FALSE)</f>
        <v>Middletown</v>
      </c>
      <c r="D4142" s="40">
        <v>6158482</v>
      </c>
      <c r="E4142">
        <f>VLOOKUP(C4142,'All Districts'!$B$3:$C$874,2,FALSE)</f>
        <v>3619320</v>
      </c>
      <c r="F4142" s="91">
        <f>COUNTIF($E$2:$E$7106,E4142)</f>
        <v>9</v>
      </c>
    </row>
    <row r="4143" spans="1:6" x14ac:dyDescent="0.2">
      <c r="A4143" s="10">
        <v>2021</v>
      </c>
      <c r="B4143" s="52">
        <v>1150</v>
      </c>
      <c r="C4143" s="90" t="str">
        <f>VLOOKUP(B4143,'All Districts'!$A$3:$B$874,2,FALSE)</f>
        <v>Middletown</v>
      </c>
      <c r="D4143" s="76">
        <v>6892129</v>
      </c>
      <c r="E4143">
        <f>VLOOKUP(C4143,'All Districts'!$B$3:$C$874,2,FALSE)</f>
        <v>3619320</v>
      </c>
      <c r="F4143" s="91">
        <f>COUNTIF($E$2:$E$7106,E4143)</f>
        <v>9</v>
      </c>
    </row>
    <row r="4144" spans="1:6" x14ac:dyDescent="0.2">
      <c r="A4144">
        <v>2022</v>
      </c>
      <c r="B4144" s="36">
        <v>1150</v>
      </c>
      <c r="C4144" s="90" t="str">
        <f>VLOOKUP(B4144,'All Districts'!$A$3:$B$874,2,FALSE)</f>
        <v>Middletown</v>
      </c>
      <c r="D4144" s="82">
        <v>7524470</v>
      </c>
      <c r="E4144">
        <f>VLOOKUP(C4144,'All Districts'!$B$3:$C$874,2,FALSE)</f>
        <v>3619320</v>
      </c>
      <c r="F4144" s="91">
        <f>COUNTIF($E$2:$E$7106,E4144)</f>
        <v>9</v>
      </c>
    </row>
    <row r="4145" spans="1:6" x14ac:dyDescent="0.2">
      <c r="A4145">
        <v>2023</v>
      </c>
      <c r="B4145" s="36">
        <v>1150</v>
      </c>
      <c r="C4145" s="90" t="str">
        <f>VLOOKUP(B4145,'All Districts'!$A$3:$B$874,2,FALSE)</f>
        <v>Middletown</v>
      </c>
      <c r="D4145" s="40">
        <v>8840920</v>
      </c>
      <c r="E4145">
        <f>VLOOKUP(C4145,'All Districts'!$B$3:$C$874,2,FALSE)</f>
        <v>3619320</v>
      </c>
      <c r="F4145" s="91">
        <f>COUNTIF($E$2:$E$7106,E4145)</f>
        <v>9</v>
      </c>
    </row>
    <row r="4146" spans="1:6" x14ac:dyDescent="0.2">
      <c r="A4146">
        <v>2015</v>
      </c>
      <c r="B4146" s="13">
        <v>3995</v>
      </c>
      <c r="C4146" s="90" t="str">
        <f>VLOOKUP(B4146,'All Districts'!$A$3:$B$874,2,FALSE)</f>
        <v>Milford</v>
      </c>
      <c r="D4146" s="14">
        <v>479865</v>
      </c>
      <c r="E4146">
        <f>VLOOKUP(C4146,'All Districts'!$B$3:$C$874,2,FALSE)</f>
        <v>3619350</v>
      </c>
      <c r="F4146" s="91">
        <f>COUNTIF($E$2:$E$7106,E4146)</f>
        <v>9</v>
      </c>
    </row>
    <row r="4147" spans="1:6" x14ac:dyDescent="0.2">
      <c r="A4147">
        <v>2016</v>
      </c>
      <c r="B4147" s="13">
        <v>3995</v>
      </c>
      <c r="C4147" s="90" t="str">
        <f>VLOOKUP(B4147,'All Districts'!$A$3:$B$874,2,FALSE)</f>
        <v>Milford</v>
      </c>
      <c r="D4147" s="16">
        <v>367538</v>
      </c>
      <c r="E4147">
        <f>VLOOKUP(C4147,'All Districts'!$B$3:$C$874,2,FALSE)</f>
        <v>3619350</v>
      </c>
      <c r="F4147" s="91">
        <f>COUNTIF($E$2:$E$7106,E4147)</f>
        <v>9</v>
      </c>
    </row>
    <row r="4148" spans="1:6" x14ac:dyDescent="0.2">
      <c r="A4148">
        <v>2017</v>
      </c>
      <c r="B4148" s="13">
        <v>3995</v>
      </c>
      <c r="C4148" s="90" t="str">
        <f>VLOOKUP(B4148,'All Districts'!$A$3:$B$874,2,FALSE)</f>
        <v>Milford</v>
      </c>
      <c r="D4148" s="16">
        <v>344296</v>
      </c>
      <c r="E4148">
        <f>VLOOKUP(C4148,'All Districts'!$B$3:$C$874,2,FALSE)</f>
        <v>3619350</v>
      </c>
      <c r="F4148" s="91">
        <f>COUNTIF($E$2:$E$7106,E4148)</f>
        <v>9</v>
      </c>
    </row>
    <row r="4149" spans="1:6" x14ac:dyDescent="0.2">
      <c r="A4149" s="10">
        <v>2018</v>
      </c>
      <c r="B4149" s="13">
        <v>3995</v>
      </c>
      <c r="C4149" s="90" t="str">
        <f>VLOOKUP(B4149,'All Districts'!$A$3:$B$874,2,FALSE)</f>
        <v>Milford</v>
      </c>
      <c r="D4149" s="15">
        <v>291541</v>
      </c>
      <c r="E4149">
        <f>VLOOKUP(C4149,'All Districts'!$B$3:$C$874,2,FALSE)</f>
        <v>3619350</v>
      </c>
      <c r="F4149" s="91">
        <f>COUNTIF($E$2:$E$7106,E4149)</f>
        <v>9</v>
      </c>
    </row>
    <row r="4150" spans="1:6" x14ac:dyDescent="0.2">
      <c r="A4150">
        <v>2019</v>
      </c>
      <c r="B4150" s="36">
        <v>3995</v>
      </c>
      <c r="C4150" s="90" t="str">
        <f>VLOOKUP(B4150,'All Districts'!$A$3:$B$874,2,FALSE)</f>
        <v>Milford</v>
      </c>
      <c r="D4150" s="40">
        <v>325171</v>
      </c>
      <c r="E4150">
        <f>VLOOKUP(C4150,'All Districts'!$B$3:$C$874,2,FALSE)</f>
        <v>3619350</v>
      </c>
      <c r="F4150" s="91">
        <f>COUNTIF($E$2:$E$7106,E4150)</f>
        <v>9</v>
      </c>
    </row>
    <row r="4151" spans="1:6" x14ac:dyDescent="0.2">
      <c r="A4151">
        <v>2020</v>
      </c>
      <c r="B4151" s="36">
        <v>3995</v>
      </c>
      <c r="C4151" s="90" t="str">
        <f>VLOOKUP(B4151,'All Districts'!$A$3:$B$874,2,FALSE)</f>
        <v>Milford</v>
      </c>
      <c r="D4151" s="40">
        <v>281617</v>
      </c>
      <c r="E4151">
        <f>VLOOKUP(C4151,'All Districts'!$B$3:$C$874,2,FALSE)</f>
        <v>3619350</v>
      </c>
      <c r="F4151" s="91">
        <f>COUNTIF($E$2:$E$7106,E4151)</f>
        <v>9</v>
      </c>
    </row>
    <row r="4152" spans="1:6" x14ac:dyDescent="0.2">
      <c r="A4152" s="10">
        <v>2021</v>
      </c>
      <c r="B4152" s="55">
        <v>3995</v>
      </c>
      <c r="C4152" s="90" t="str">
        <f>VLOOKUP(B4152,'All Districts'!$A$3:$B$874,2,FALSE)</f>
        <v>Milford</v>
      </c>
      <c r="D4152" s="75">
        <v>280978</v>
      </c>
      <c r="E4152">
        <f>VLOOKUP(C4152,'All Districts'!$B$3:$C$874,2,FALSE)</f>
        <v>3619350</v>
      </c>
      <c r="F4152" s="91">
        <f>COUNTIF($E$2:$E$7106,E4152)</f>
        <v>9</v>
      </c>
    </row>
    <row r="4153" spans="1:6" x14ac:dyDescent="0.2">
      <c r="A4153">
        <v>2022</v>
      </c>
      <c r="B4153" s="36">
        <v>3995</v>
      </c>
      <c r="C4153" s="90" t="str">
        <f>VLOOKUP(B4153,'All Districts'!$A$3:$B$874,2,FALSE)</f>
        <v>Milford</v>
      </c>
      <c r="D4153" s="82">
        <v>297004</v>
      </c>
      <c r="E4153">
        <f>VLOOKUP(C4153,'All Districts'!$B$3:$C$874,2,FALSE)</f>
        <v>3619350</v>
      </c>
      <c r="F4153" s="91">
        <f>COUNTIF($E$2:$E$7106,E4153)</f>
        <v>9</v>
      </c>
    </row>
    <row r="4154" spans="1:6" x14ac:dyDescent="0.2">
      <c r="A4154">
        <v>2023</v>
      </c>
      <c r="B4154" s="36">
        <v>3995</v>
      </c>
      <c r="C4154" s="90" t="str">
        <f>VLOOKUP(B4154,'All Districts'!$A$3:$B$874,2,FALSE)</f>
        <v>Milford</v>
      </c>
      <c r="D4154" s="40">
        <v>325159</v>
      </c>
      <c r="E4154">
        <f>VLOOKUP(C4154,'All Districts'!$B$3:$C$874,2,FALSE)</f>
        <v>3619350</v>
      </c>
      <c r="F4154" s="91">
        <f>COUNTIF($E$2:$E$7106,E4154)</f>
        <v>9</v>
      </c>
    </row>
    <row r="4155" spans="1:6" x14ac:dyDescent="0.2">
      <c r="A4155">
        <v>2015</v>
      </c>
      <c r="B4155" s="13">
        <v>3636</v>
      </c>
      <c r="C4155" s="90" t="str">
        <f>VLOOKUP(B4155,'All Districts'!$A$3:$B$874,2,FALSE)</f>
        <v>Millbrook</v>
      </c>
      <c r="D4155" s="14">
        <v>1711248</v>
      </c>
      <c r="E4155">
        <f>VLOOKUP(C4155,'All Districts'!$B$3:$C$874,2,FALSE)</f>
        <v>3619380</v>
      </c>
      <c r="F4155" s="91">
        <f>COUNTIF($E$2:$E$7106,E4155)</f>
        <v>9</v>
      </c>
    </row>
    <row r="4156" spans="1:6" x14ac:dyDescent="0.2">
      <c r="A4156">
        <v>2016</v>
      </c>
      <c r="B4156" s="13">
        <v>3636</v>
      </c>
      <c r="C4156" s="90" t="str">
        <f>VLOOKUP(B4156,'All Districts'!$A$3:$B$874,2,FALSE)</f>
        <v>Millbrook</v>
      </c>
      <c r="D4156" s="16">
        <v>1303645</v>
      </c>
      <c r="E4156">
        <f>VLOOKUP(C4156,'All Districts'!$B$3:$C$874,2,FALSE)</f>
        <v>3619380</v>
      </c>
      <c r="F4156" s="91">
        <f>COUNTIF($E$2:$E$7106,E4156)</f>
        <v>9</v>
      </c>
    </row>
    <row r="4157" spans="1:6" x14ac:dyDescent="0.2">
      <c r="A4157">
        <v>2017</v>
      </c>
      <c r="B4157" s="13">
        <v>3636</v>
      </c>
      <c r="C4157" s="90" t="str">
        <f>VLOOKUP(B4157,'All Districts'!$A$3:$B$874,2,FALSE)</f>
        <v>Millbrook</v>
      </c>
      <c r="D4157" s="16">
        <v>1180244</v>
      </c>
      <c r="E4157">
        <f>VLOOKUP(C4157,'All Districts'!$B$3:$C$874,2,FALSE)</f>
        <v>3619380</v>
      </c>
      <c r="F4157" s="91">
        <f>COUNTIF($E$2:$E$7106,E4157)</f>
        <v>9</v>
      </c>
    </row>
    <row r="4158" spans="1:6" x14ac:dyDescent="0.2">
      <c r="A4158" s="10">
        <v>2018</v>
      </c>
      <c r="B4158" s="13">
        <v>3636</v>
      </c>
      <c r="C4158" s="90" t="str">
        <f>VLOOKUP(B4158,'All Districts'!$A$3:$B$874,2,FALSE)</f>
        <v>Millbrook</v>
      </c>
      <c r="D4158" s="15">
        <v>978849</v>
      </c>
      <c r="E4158">
        <f>VLOOKUP(C4158,'All Districts'!$B$3:$C$874,2,FALSE)</f>
        <v>3619380</v>
      </c>
      <c r="F4158" s="91">
        <f>COUNTIF($E$2:$E$7106,E4158)</f>
        <v>9</v>
      </c>
    </row>
    <row r="4159" spans="1:6" x14ac:dyDescent="0.2">
      <c r="A4159">
        <v>2019</v>
      </c>
      <c r="B4159" s="36">
        <v>3636</v>
      </c>
      <c r="C4159" s="90" t="str">
        <f>VLOOKUP(B4159,'All Districts'!$A$3:$B$874,2,FALSE)</f>
        <v>Millbrook</v>
      </c>
      <c r="D4159" s="40">
        <v>1063925</v>
      </c>
      <c r="E4159">
        <f>VLOOKUP(C4159,'All Districts'!$B$3:$C$874,2,FALSE)</f>
        <v>3619380</v>
      </c>
      <c r="F4159" s="91">
        <f>COUNTIF($E$2:$E$7106,E4159)</f>
        <v>9</v>
      </c>
    </row>
    <row r="4160" spans="1:6" x14ac:dyDescent="0.2">
      <c r="A4160">
        <v>2020</v>
      </c>
      <c r="B4160" s="36">
        <v>3636</v>
      </c>
      <c r="C4160" s="90" t="str">
        <f>VLOOKUP(B4160,'All Districts'!$A$3:$B$874,2,FALSE)</f>
        <v>Millbrook</v>
      </c>
      <c r="D4160" s="40">
        <v>891557</v>
      </c>
      <c r="E4160">
        <f>VLOOKUP(C4160,'All Districts'!$B$3:$C$874,2,FALSE)</f>
        <v>3619380</v>
      </c>
      <c r="F4160" s="91">
        <f>COUNTIF($E$2:$E$7106,E4160)</f>
        <v>9</v>
      </c>
    </row>
    <row r="4161" spans="1:6" x14ac:dyDescent="0.2">
      <c r="A4161" s="10">
        <v>2021</v>
      </c>
      <c r="B4161" s="52">
        <v>3636</v>
      </c>
      <c r="C4161" s="90" t="str">
        <f>VLOOKUP(B4161,'All Districts'!$A$3:$B$874,2,FALSE)</f>
        <v>Millbrook</v>
      </c>
      <c r="D4161" s="76">
        <v>967611</v>
      </c>
      <c r="E4161">
        <f>VLOOKUP(C4161,'All Districts'!$B$3:$C$874,2,FALSE)</f>
        <v>3619380</v>
      </c>
      <c r="F4161" s="91">
        <f>COUNTIF($E$2:$E$7106,E4161)</f>
        <v>9</v>
      </c>
    </row>
    <row r="4162" spans="1:6" x14ac:dyDescent="0.2">
      <c r="A4162">
        <v>2022</v>
      </c>
      <c r="B4162" s="36">
        <v>3636</v>
      </c>
      <c r="C4162" s="90" t="str">
        <f>VLOOKUP(B4162,'All Districts'!$A$3:$B$874,2,FALSE)</f>
        <v>Millbrook</v>
      </c>
      <c r="D4162" s="82">
        <v>1044750</v>
      </c>
      <c r="E4162">
        <f>VLOOKUP(C4162,'All Districts'!$B$3:$C$874,2,FALSE)</f>
        <v>3619380</v>
      </c>
      <c r="F4162" s="91">
        <f>COUNTIF($E$2:$E$7106,E4162)</f>
        <v>9</v>
      </c>
    </row>
    <row r="4163" spans="1:6" x14ac:dyDescent="0.2">
      <c r="A4163">
        <v>2023</v>
      </c>
      <c r="B4163" s="36">
        <v>3636</v>
      </c>
      <c r="C4163" s="90" t="str">
        <f>VLOOKUP(B4163,'All Districts'!$A$3:$B$874,2,FALSE)</f>
        <v>Millbrook</v>
      </c>
      <c r="D4163" s="40">
        <v>1127897</v>
      </c>
      <c r="E4163">
        <f>VLOOKUP(C4163,'All Districts'!$B$3:$C$874,2,FALSE)</f>
        <v>3619380</v>
      </c>
      <c r="F4163" s="91">
        <f>COUNTIF($E$2:$E$7106,E4163)</f>
        <v>9</v>
      </c>
    </row>
    <row r="4164" spans="1:6" x14ac:dyDescent="0.2">
      <c r="A4164">
        <v>2015</v>
      </c>
      <c r="B4164" s="13">
        <v>5408</v>
      </c>
      <c r="C4164" s="90" t="str">
        <f>VLOOKUP(B4164,'All Districts'!$A$3:$B$874,2,FALSE)</f>
        <v>Miller Place</v>
      </c>
      <c r="D4164" s="14">
        <v>4419649</v>
      </c>
      <c r="E4164">
        <f>VLOOKUP(C4164,'All Districts'!$B$3:$C$874,2,FALSE)</f>
        <v>3619410</v>
      </c>
      <c r="F4164" s="91">
        <f>COUNTIF($E$2:$E$7106,E4164)</f>
        <v>9</v>
      </c>
    </row>
    <row r="4165" spans="1:6" x14ac:dyDescent="0.2">
      <c r="A4165">
        <v>2016</v>
      </c>
      <c r="B4165" s="13">
        <v>5408</v>
      </c>
      <c r="C4165" s="90" t="str">
        <f>VLOOKUP(B4165,'All Districts'!$A$3:$B$874,2,FALSE)</f>
        <v>Miller Place</v>
      </c>
      <c r="D4165" s="16">
        <v>3453509</v>
      </c>
      <c r="E4165">
        <f>VLOOKUP(C4165,'All Districts'!$B$3:$C$874,2,FALSE)</f>
        <v>3619410</v>
      </c>
      <c r="F4165" s="91">
        <f>COUNTIF($E$2:$E$7106,E4165)</f>
        <v>9</v>
      </c>
    </row>
    <row r="4166" spans="1:6" x14ac:dyDescent="0.2">
      <c r="A4166">
        <v>2017</v>
      </c>
      <c r="B4166" s="13">
        <v>5408</v>
      </c>
      <c r="C4166" s="90" t="str">
        <f>VLOOKUP(B4166,'All Districts'!$A$3:$B$874,2,FALSE)</f>
        <v>Miller Place</v>
      </c>
      <c r="D4166" s="16">
        <v>3075357</v>
      </c>
      <c r="E4166">
        <f>VLOOKUP(C4166,'All Districts'!$B$3:$C$874,2,FALSE)</f>
        <v>3619410</v>
      </c>
      <c r="F4166" s="91">
        <f>COUNTIF($E$2:$E$7106,E4166)</f>
        <v>9</v>
      </c>
    </row>
    <row r="4167" spans="1:6" x14ac:dyDescent="0.2">
      <c r="A4167" s="10">
        <v>2018</v>
      </c>
      <c r="B4167" s="13">
        <v>5408</v>
      </c>
      <c r="C4167" s="90" t="str">
        <f>VLOOKUP(B4167,'All Districts'!$A$3:$B$874,2,FALSE)</f>
        <v>Miller Place</v>
      </c>
      <c r="D4167" s="15">
        <v>2617507</v>
      </c>
      <c r="E4167">
        <f>VLOOKUP(C4167,'All Districts'!$B$3:$C$874,2,FALSE)</f>
        <v>3619410</v>
      </c>
      <c r="F4167" s="91">
        <f>COUNTIF($E$2:$E$7106,E4167)</f>
        <v>9</v>
      </c>
    </row>
    <row r="4168" spans="1:6" x14ac:dyDescent="0.2">
      <c r="A4168">
        <v>2019</v>
      </c>
      <c r="B4168" s="36">
        <v>5408</v>
      </c>
      <c r="C4168" s="90" t="str">
        <f>VLOOKUP(B4168,'All Districts'!$A$3:$B$874,2,FALSE)</f>
        <v>Miller Place</v>
      </c>
      <c r="D4168" s="40">
        <v>2791670</v>
      </c>
      <c r="E4168">
        <f>VLOOKUP(C4168,'All Districts'!$B$3:$C$874,2,FALSE)</f>
        <v>3619410</v>
      </c>
      <c r="F4168" s="91">
        <f>COUNTIF($E$2:$E$7106,E4168)</f>
        <v>9</v>
      </c>
    </row>
    <row r="4169" spans="1:6" x14ac:dyDescent="0.2">
      <c r="A4169">
        <v>2020</v>
      </c>
      <c r="B4169" s="36">
        <v>5408</v>
      </c>
      <c r="C4169" s="90" t="str">
        <f>VLOOKUP(B4169,'All Districts'!$A$3:$B$874,2,FALSE)</f>
        <v>Miller Place</v>
      </c>
      <c r="D4169" s="40">
        <v>2357242</v>
      </c>
      <c r="E4169">
        <f>VLOOKUP(C4169,'All Districts'!$B$3:$C$874,2,FALSE)</f>
        <v>3619410</v>
      </c>
      <c r="F4169" s="91">
        <f>COUNTIF($E$2:$E$7106,E4169)</f>
        <v>9</v>
      </c>
    </row>
    <row r="4170" spans="1:6" x14ac:dyDescent="0.2">
      <c r="A4170" s="10">
        <v>2021</v>
      </c>
      <c r="B4170" s="52">
        <v>5408</v>
      </c>
      <c r="C4170" s="90" t="str">
        <f>VLOOKUP(B4170,'All Districts'!$A$3:$B$874,2,FALSE)</f>
        <v>Miller Place</v>
      </c>
      <c r="D4170" s="75">
        <v>2724441</v>
      </c>
      <c r="E4170">
        <f>VLOOKUP(C4170,'All Districts'!$B$3:$C$874,2,FALSE)</f>
        <v>3619410</v>
      </c>
      <c r="F4170" s="91">
        <f>COUNTIF($E$2:$E$7106,E4170)</f>
        <v>9</v>
      </c>
    </row>
    <row r="4171" spans="1:6" x14ac:dyDescent="0.2">
      <c r="A4171">
        <v>2022</v>
      </c>
      <c r="B4171" s="36">
        <v>5408</v>
      </c>
      <c r="C4171" s="90" t="str">
        <f>VLOOKUP(B4171,'All Districts'!$A$3:$B$874,2,FALSE)</f>
        <v>Miller Place</v>
      </c>
      <c r="D4171" s="82">
        <v>2862867</v>
      </c>
      <c r="E4171">
        <f>VLOOKUP(C4171,'All Districts'!$B$3:$C$874,2,FALSE)</f>
        <v>3619410</v>
      </c>
      <c r="F4171" s="91">
        <f>COUNTIF($E$2:$E$7106,E4171)</f>
        <v>9</v>
      </c>
    </row>
    <row r="4172" spans="1:6" x14ac:dyDescent="0.2">
      <c r="A4172">
        <v>2023</v>
      </c>
      <c r="B4172" s="36">
        <v>5408</v>
      </c>
      <c r="C4172" s="90" t="str">
        <f>VLOOKUP(B4172,'All Districts'!$A$3:$B$874,2,FALSE)</f>
        <v>Miller Place</v>
      </c>
      <c r="D4172" s="40">
        <v>2947037</v>
      </c>
      <c r="E4172">
        <f>VLOOKUP(C4172,'All Districts'!$B$3:$C$874,2,FALSE)</f>
        <v>3619410</v>
      </c>
      <c r="F4172" s="91">
        <f>COUNTIF($E$2:$E$7106,E4172)</f>
        <v>9</v>
      </c>
    </row>
    <row r="4173" spans="1:6" x14ac:dyDescent="0.2">
      <c r="A4173">
        <v>2015</v>
      </c>
      <c r="B4173" s="13">
        <v>2380</v>
      </c>
      <c r="C4173" s="90" t="str">
        <f>VLOOKUP(B4173,'All Districts'!$A$3:$B$874,2,FALSE)</f>
        <v>Mineola</v>
      </c>
      <c r="D4173" s="14">
        <v>6290543</v>
      </c>
      <c r="E4173">
        <f>VLOOKUP(C4173,'All Districts'!$B$3:$C$874,2,FALSE)</f>
        <v>3619500</v>
      </c>
      <c r="F4173" s="91">
        <f>COUNTIF($E$2:$E$7106,E4173)</f>
        <v>9</v>
      </c>
    </row>
    <row r="4174" spans="1:6" x14ac:dyDescent="0.2">
      <c r="A4174">
        <v>2016</v>
      </c>
      <c r="B4174" s="13">
        <v>2380</v>
      </c>
      <c r="C4174" s="90" t="str">
        <f>VLOOKUP(B4174,'All Districts'!$A$3:$B$874,2,FALSE)</f>
        <v>Mineola</v>
      </c>
      <c r="D4174" s="16">
        <v>4756351</v>
      </c>
      <c r="E4174">
        <f>VLOOKUP(C4174,'All Districts'!$B$3:$C$874,2,FALSE)</f>
        <v>3619500</v>
      </c>
      <c r="F4174" s="91">
        <f>COUNTIF($E$2:$E$7106,E4174)</f>
        <v>9</v>
      </c>
    </row>
    <row r="4175" spans="1:6" x14ac:dyDescent="0.2">
      <c r="A4175">
        <v>2017</v>
      </c>
      <c r="B4175" s="13">
        <v>2380</v>
      </c>
      <c r="C4175" s="90" t="str">
        <f>VLOOKUP(B4175,'All Districts'!$A$3:$B$874,2,FALSE)</f>
        <v>Mineola</v>
      </c>
      <c r="D4175" s="16">
        <v>4302648</v>
      </c>
      <c r="E4175">
        <f>VLOOKUP(C4175,'All Districts'!$B$3:$C$874,2,FALSE)</f>
        <v>3619500</v>
      </c>
      <c r="F4175" s="91">
        <f>COUNTIF($E$2:$E$7106,E4175)</f>
        <v>9</v>
      </c>
    </row>
    <row r="4176" spans="1:6" x14ac:dyDescent="0.2">
      <c r="A4176" s="10">
        <v>2018</v>
      </c>
      <c r="B4176" s="13">
        <v>2380</v>
      </c>
      <c r="C4176" s="90" t="str">
        <f>VLOOKUP(B4176,'All Districts'!$A$3:$B$874,2,FALSE)</f>
        <v>Mineola</v>
      </c>
      <c r="D4176" s="15">
        <v>3769002</v>
      </c>
      <c r="E4176">
        <f>VLOOKUP(C4176,'All Districts'!$B$3:$C$874,2,FALSE)</f>
        <v>3619500</v>
      </c>
      <c r="F4176" s="91">
        <f>COUNTIF($E$2:$E$7106,E4176)</f>
        <v>9</v>
      </c>
    </row>
    <row r="4177" spans="1:6" x14ac:dyDescent="0.2">
      <c r="A4177">
        <v>2019</v>
      </c>
      <c r="B4177" s="36">
        <v>2380</v>
      </c>
      <c r="C4177" s="90" t="str">
        <f>VLOOKUP(B4177,'All Districts'!$A$3:$B$874,2,FALSE)</f>
        <v>Mineola</v>
      </c>
      <c r="D4177" s="40">
        <v>4139264</v>
      </c>
      <c r="E4177">
        <f>VLOOKUP(C4177,'All Districts'!$B$3:$C$874,2,FALSE)</f>
        <v>3619500</v>
      </c>
      <c r="F4177" s="91">
        <f>COUNTIF($E$2:$E$7106,E4177)</f>
        <v>9</v>
      </c>
    </row>
    <row r="4178" spans="1:6" x14ac:dyDescent="0.2">
      <c r="A4178">
        <v>2020</v>
      </c>
      <c r="B4178" s="36">
        <v>2380</v>
      </c>
      <c r="C4178" s="90" t="str">
        <f>VLOOKUP(B4178,'All Districts'!$A$3:$B$874,2,FALSE)</f>
        <v>Mineola</v>
      </c>
      <c r="D4178" s="40">
        <v>3436176</v>
      </c>
      <c r="E4178">
        <f>VLOOKUP(C4178,'All Districts'!$B$3:$C$874,2,FALSE)</f>
        <v>3619500</v>
      </c>
      <c r="F4178" s="91">
        <f>COUNTIF($E$2:$E$7106,E4178)</f>
        <v>9</v>
      </c>
    </row>
    <row r="4179" spans="1:6" x14ac:dyDescent="0.2">
      <c r="A4179" s="10">
        <v>2021</v>
      </c>
      <c r="B4179" s="55">
        <v>2380</v>
      </c>
      <c r="C4179" s="90" t="str">
        <f>VLOOKUP(B4179,'All Districts'!$A$3:$B$874,2,FALSE)</f>
        <v>Mineola</v>
      </c>
      <c r="D4179" s="75">
        <v>3766485</v>
      </c>
      <c r="E4179">
        <f>VLOOKUP(C4179,'All Districts'!$B$3:$C$874,2,FALSE)</f>
        <v>3619500</v>
      </c>
      <c r="F4179" s="91">
        <f>COUNTIF($E$2:$E$7106,E4179)</f>
        <v>9</v>
      </c>
    </row>
    <row r="4180" spans="1:6" x14ac:dyDescent="0.2">
      <c r="A4180">
        <v>2022</v>
      </c>
      <c r="B4180" s="36">
        <v>2380</v>
      </c>
      <c r="C4180" s="90" t="str">
        <f>VLOOKUP(B4180,'All Districts'!$A$3:$B$874,2,FALSE)</f>
        <v>Mineola</v>
      </c>
      <c r="D4180" s="82">
        <v>3858933</v>
      </c>
      <c r="E4180">
        <f>VLOOKUP(C4180,'All Districts'!$B$3:$C$874,2,FALSE)</f>
        <v>3619500</v>
      </c>
      <c r="F4180" s="91">
        <f>COUNTIF($E$2:$E$7106,E4180)</f>
        <v>9</v>
      </c>
    </row>
    <row r="4181" spans="1:6" x14ac:dyDescent="0.2">
      <c r="A4181">
        <v>2023</v>
      </c>
      <c r="B4181" s="36">
        <v>2380</v>
      </c>
      <c r="C4181" s="90" t="str">
        <f>VLOOKUP(B4181,'All Districts'!$A$3:$B$874,2,FALSE)</f>
        <v>Mineola</v>
      </c>
      <c r="D4181" s="40">
        <v>4168945</v>
      </c>
      <c r="E4181">
        <f>VLOOKUP(C4181,'All Districts'!$B$3:$C$874,2,FALSE)</f>
        <v>3619500</v>
      </c>
      <c r="F4181" s="91">
        <f>COUNTIF($E$2:$E$7106,E4181)</f>
        <v>9</v>
      </c>
    </row>
    <row r="4182" spans="1:6" x14ac:dyDescent="0.2">
      <c r="A4182">
        <v>2015</v>
      </c>
      <c r="B4182" s="13">
        <v>5694</v>
      </c>
      <c r="C4182" s="90" t="str">
        <f>VLOOKUP(B4182,'All Districts'!$A$3:$B$874,2,FALSE)</f>
        <v>Minerva</v>
      </c>
      <c r="D4182" s="15">
        <v>287886</v>
      </c>
      <c r="E4182">
        <f>VLOOKUP(C4182,'All Districts'!$B$3:$C$874,2,FALSE)</f>
        <v>3619530</v>
      </c>
      <c r="F4182" s="91">
        <f>COUNTIF($E$2:$E$7106,E4182)</f>
        <v>9</v>
      </c>
    </row>
    <row r="4183" spans="1:6" x14ac:dyDescent="0.2">
      <c r="A4183">
        <v>2016</v>
      </c>
      <c r="B4183" s="13">
        <v>5694</v>
      </c>
      <c r="C4183" s="90" t="str">
        <f>VLOOKUP(B4183,'All Districts'!$A$3:$B$874,2,FALSE)</f>
        <v>Minerva</v>
      </c>
      <c r="D4183" s="16">
        <v>217737</v>
      </c>
      <c r="E4183">
        <f>VLOOKUP(C4183,'All Districts'!$B$3:$C$874,2,FALSE)</f>
        <v>3619530</v>
      </c>
      <c r="F4183" s="91">
        <f>COUNTIF($E$2:$E$7106,E4183)</f>
        <v>9</v>
      </c>
    </row>
    <row r="4184" spans="1:6" x14ac:dyDescent="0.2">
      <c r="A4184">
        <v>2017</v>
      </c>
      <c r="B4184" s="13">
        <v>5694</v>
      </c>
      <c r="C4184" s="90" t="str">
        <f>VLOOKUP(B4184,'All Districts'!$A$3:$B$874,2,FALSE)</f>
        <v>Minerva</v>
      </c>
      <c r="D4184" s="16">
        <v>198369</v>
      </c>
      <c r="E4184">
        <f>VLOOKUP(C4184,'All Districts'!$B$3:$C$874,2,FALSE)</f>
        <v>3619530</v>
      </c>
      <c r="F4184" s="91">
        <f>COUNTIF($E$2:$E$7106,E4184)</f>
        <v>9</v>
      </c>
    </row>
    <row r="4185" spans="1:6" x14ac:dyDescent="0.2">
      <c r="A4185" s="10">
        <v>2018</v>
      </c>
      <c r="B4185" s="13">
        <v>5694</v>
      </c>
      <c r="C4185" s="90" t="str">
        <f>VLOOKUP(B4185,'All Districts'!$A$3:$B$874,2,FALSE)</f>
        <v>Minerva</v>
      </c>
      <c r="D4185" s="15">
        <v>166537</v>
      </c>
      <c r="E4185">
        <f>VLOOKUP(C4185,'All Districts'!$B$3:$C$874,2,FALSE)</f>
        <v>3619530</v>
      </c>
      <c r="F4185" s="91">
        <f>COUNTIF($E$2:$E$7106,E4185)</f>
        <v>9</v>
      </c>
    </row>
    <row r="4186" spans="1:6" x14ac:dyDescent="0.2">
      <c r="A4186">
        <v>2019</v>
      </c>
      <c r="B4186" s="36">
        <v>5694</v>
      </c>
      <c r="C4186" s="90" t="str">
        <f>VLOOKUP(B4186,'All Districts'!$A$3:$B$874,2,FALSE)</f>
        <v>Minerva</v>
      </c>
      <c r="D4186" s="40">
        <v>178373</v>
      </c>
      <c r="E4186">
        <f>VLOOKUP(C4186,'All Districts'!$B$3:$C$874,2,FALSE)</f>
        <v>3619530</v>
      </c>
      <c r="F4186" s="91">
        <f>COUNTIF($E$2:$E$7106,E4186)</f>
        <v>9</v>
      </c>
    </row>
    <row r="4187" spans="1:6" x14ac:dyDescent="0.2">
      <c r="A4187">
        <v>2020</v>
      </c>
      <c r="B4187" s="36">
        <v>5694</v>
      </c>
      <c r="C4187" s="90" t="str">
        <f>VLOOKUP(B4187,'All Districts'!$A$3:$B$874,2,FALSE)</f>
        <v>Minerva</v>
      </c>
      <c r="D4187" s="40">
        <v>156895</v>
      </c>
      <c r="E4187">
        <f>VLOOKUP(C4187,'All Districts'!$B$3:$C$874,2,FALSE)</f>
        <v>3619530</v>
      </c>
      <c r="F4187" s="91">
        <f>COUNTIF($E$2:$E$7106,E4187)</f>
        <v>9</v>
      </c>
    </row>
    <row r="4188" spans="1:6" x14ac:dyDescent="0.2">
      <c r="A4188" s="10">
        <v>2021</v>
      </c>
      <c r="B4188" s="52">
        <v>5694</v>
      </c>
      <c r="C4188" s="90" t="str">
        <f>VLOOKUP(B4188,'All Districts'!$A$3:$B$874,2,FALSE)</f>
        <v>Minerva</v>
      </c>
      <c r="D4188" s="76">
        <v>170668</v>
      </c>
      <c r="E4188">
        <f>VLOOKUP(C4188,'All Districts'!$B$3:$C$874,2,FALSE)</f>
        <v>3619530</v>
      </c>
      <c r="F4188" s="91">
        <f>COUNTIF($E$2:$E$7106,E4188)</f>
        <v>9</v>
      </c>
    </row>
    <row r="4189" spans="1:6" x14ac:dyDescent="0.2">
      <c r="A4189">
        <v>2022</v>
      </c>
      <c r="B4189" s="36">
        <v>5694</v>
      </c>
      <c r="C4189" s="90" t="str">
        <f>VLOOKUP(B4189,'All Districts'!$A$3:$B$874,2,FALSE)</f>
        <v>Minerva</v>
      </c>
      <c r="D4189" s="82">
        <v>180865</v>
      </c>
      <c r="E4189">
        <f>VLOOKUP(C4189,'All Districts'!$B$3:$C$874,2,FALSE)</f>
        <v>3619530</v>
      </c>
      <c r="F4189" s="91">
        <f>COUNTIF($E$2:$E$7106,E4189)</f>
        <v>9</v>
      </c>
    </row>
    <row r="4190" spans="1:6" x14ac:dyDescent="0.2">
      <c r="A4190">
        <v>2023</v>
      </c>
      <c r="B4190" s="36">
        <v>5694</v>
      </c>
      <c r="C4190" s="90" t="str">
        <f>VLOOKUP(B4190,'All Districts'!$A$3:$B$874,2,FALSE)</f>
        <v>Minerva</v>
      </c>
      <c r="D4190" s="40">
        <v>172968</v>
      </c>
      <c r="E4190">
        <f>VLOOKUP(C4190,'All Districts'!$B$3:$C$874,2,FALSE)</f>
        <v>3619530</v>
      </c>
      <c r="F4190" s="91">
        <f>COUNTIF($E$2:$E$7106,E4190)</f>
        <v>9</v>
      </c>
    </row>
    <row r="4191" spans="1:6" x14ac:dyDescent="0.2">
      <c r="A4191">
        <v>2015</v>
      </c>
      <c r="B4191" s="13">
        <v>4654</v>
      </c>
      <c r="C4191" s="90" t="str">
        <f>VLOOKUP(B4191,'All Districts'!$A$3:$B$874,2,FALSE)</f>
        <v>Minisink Valley</v>
      </c>
      <c r="D4191" s="14">
        <v>4802225</v>
      </c>
      <c r="E4191">
        <f>VLOOKUP(C4191,'All Districts'!$B$3:$C$874,2,FALSE)</f>
        <v>3619560</v>
      </c>
      <c r="F4191" s="91">
        <f>COUNTIF($E$2:$E$7106,E4191)</f>
        <v>9</v>
      </c>
    </row>
    <row r="4192" spans="1:6" x14ac:dyDescent="0.2">
      <c r="A4192">
        <v>2016</v>
      </c>
      <c r="B4192" s="13">
        <v>4654</v>
      </c>
      <c r="C4192" s="90" t="str">
        <f>VLOOKUP(B4192,'All Districts'!$A$3:$B$874,2,FALSE)</f>
        <v>Minisink Valley</v>
      </c>
      <c r="D4192" s="16">
        <v>3759290</v>
      </c>
      <c r="E4192">
        <f>VLOOKUP(C4192,'All Districts'!$B$3:$C$874,2,FALSE)</f>
        <v>3619560</v>
      </c>
      <c r="F4192" s="91">
        <f>COUNTIF($E$2:$E$7106,E4192)</f>
        <v>9</v>
      </c>
    </row>
    <row r="4193" spans="1:6" x14ac:dyDescent="0.2">
      <c r="A4193">
        <v>2017</v>
      </c>
      <c r="B4193" s="13">
        <v>4654</v>
      </c>
      <c r="C4193" s="90" t="str">
        <f>VLOOKUP(B4193,'All Districts'!$A$3:$B$874,2,FALSE)</f>
        <v>Minisink Valley</v>
      </c>
      <c r="D4193" s="16">
        <v>3458122</v>
      </c>
      <c r="E4193">
        <f>VLOOKUP(C4193,'All Districts'!$B$3:$C$874,2,FALSE)</f>
        <v>3619560</v>
      </c>
      <c r="F4193" s="91">
        <f>COUNTIF($E$2:$E$7106,E4193)</f>
        <v>9</v>
      </c>
    </row>
    <row r="4194" spans="1:6" x14ac:dyDescent="0.2">
      <c r="A4194" s="10">
        <v>2018</v>
      </c>
      <c r="B4194" s="13">
        <v>4654</v>
      </c>
      <c r="C4194" s="90" t="str">
        <f>VLOOKUP(B4194,'All Districts'!$A$3:$B$874,2,FALSE)</f>
        <v>Minisink Valley</v>
      </c>
      <c r="D4194" s="15">
        <v>3090911</v>
      </c>
      <c r="E4194">
        <f>VLOOKUP(C4194,'All Districts'!$B$3:$C$874,2,FALSE)</f>
        <v>3619560</v>
      </c>
      <c r="F4194" s="91">
        <f>COUNTIF($E$2:$E$7106,E4194)</f>
        <v>9</v>
      </c>
    </row>
    <row r="4195" spans="1:6" x14ac:dyDescent="0.2">
      <c r="A4195">
        <v>2019</v>
      </c>
      <c r="B4195" s="36">
        <v>4654</v>
      </c>
      <c r="C4195" s="90" t="str">
        <f>VLOOKUP(B4195,'All Districts'!$A$3:$B$874,2,FALSE)</f>
        <v>Minisink Valley</v>
      </c>
      <c r="D4195" s="40">
        <v>3498729</v>
      </c>
      <c r="E4195">
        <f>VLOOKUP(C4195,'All Districts'!$B$3:$C$874,2,FALSE)</f>
        <v>3619560</v>
      </c>
      <c r="F4195" s="91">
        <f>COUNTIF($E$2:$E$7106,E4195)</f>
        <v>9</v>
      </c>
    </row>
    <row r="4196" spans="1:6" x14ac:dyDescent="0.2">
      <c r="A4196">
        <v>2020</v>
      </c>
      <c r="B4196" s="36">
        <v>4654</v>
      </c>
      <c r="C4196" s="90" t="str">
        <f>VLOOKUP(B4196,'All Districts'!$A$3:$B$874,2,FALSE)</f>
        <v>Minisink Valley</v>
      </c>
      <c r="D4196" s="40">
        <v>2831721</v>
      </c>
      <c r="E4196">
        <f>VLOOKUP(C4196,'All Districts'!$B$3:$C$874,2,FALSE)</f>
        <v>3619560</v>
      </c>
      <c r="F4196" s="91">
        <f>COUNTIF($E$2:$E$7106,E4196)</f>
        <v>9</v>
      </c>
    </row>
    <row r="4197" spans="1:6" x14ac:dyDescent="0.2">
      <c r="A4197" s="10">
        <v>2021</v>
      </c>
      <c r="B4197" s="52">
        <v>4654</v>
      </c>
      <c r="C4197" s="90" t="str">
        <f>VLOOKUP(B4197,'All Districts'!$A$3:$B$874,2,FALSE)</f>
        <v>Minisink Valley</v>
      </c>
      <c r="D4197" s="75">
        <v>3044493</v>
      </c>
      <c r="E4197">
        <f>VLOOKUP(C4197,'All Districts'!$B$3:$C$874,2,FALSE)</f>
        <v>3619560</v>
      </c>
      <c r="F4197" s="91">
        <f>COUNTIF($E$2:$E$7106,E4197)</f>
        <v>9</v>
      </c>
    </row>
    <row r="4198" spans="1:6" x14ac:dyDescent="0.2">
      <c r="A4198">
        <v>2022</v>
      </c>
      <c r="B4198" s="36">
        <v>4654</v>
      </c>
      <c r="C4198" s="90" t="str">
        <f>VLOOKUP(B4198,'All Districts'!$A$3:$B$874,2,FALSE)</f>
        <v>Minisink Valley</v>
      </c>
      <c r="D4198" s="82">
        <v>3183680</v>
      </c>
      <c r="E4198">
        <f>VLOOKUP(C4198,'All Districts'!$B$3:$C$874,2,FALSE)</f>
        <v>3619560</v>
      </c>
      <c r="F4198" s="91">
        <f>COUNTIF($E$2:$E$7106,E4198)</f>
        <v>9</v>
      </c>
    </row>
    <row r="4199" spans="1:6" x14ac:dyDescent="0.2">
      <c r="A4199">
        <v>2023</v>
      </c>
      <c r="B4199" s="36">
        <v>4654</v>
      </c>
      <c r="C4199" s="90" t="str">
        <f>VLOOKUP(B4199,'All Districts'!$A$3:$B$874,2,FALSE)</f>
        <v>Minisink Valley</v>
      </c>
      <c r="D4199" s="40">
        <v>3426651</v>
      </c>
      <c r="E4199">
        <f>VLOOKUP(C4199,'All Districts'!$B$3:$C$874,2,FALSE)</f>
        <v>3619560</v>
      </c>
      <c r="F4199" s="91">
        <f>COUNTIF($E$2:$E$7106,E4199)</f>
        <v>9</v>
      </c>
    </row>
    <row r="4200" spans="1:6" x14ac:dyDescent="0.2">
      <c r="A4200">
        <v>2015</v>
      </c>
      <c r="B4200" s="13">
        <v>6051</v>
      </c>
      <c r="C4200" s="90" t="str">
        <f>VLOOKUP(B4200,'All Districts'!$A$3:$B$874,2,FALSE)</f>
        <v>Monroe 1</v>
      </c>
      <c r="D4200" s="15">
        <v>4745127</v>
      </c>
      <c r="E4200">
        <f>VLOOKUP(C4200,'All Districts'!$B$3:$C$874,2,FALSE)</f>
        <v>3680500</v>
      </c>
      <c r="F4200" s="91">
        <f>COUNTIF($E$2:$E$7106,E4200)</f>
        <v>9</v>
      </c>
    </row>
    <row r="4201" spans="1:6" x14ac:dyDescent="0.2">
      <c r="A4201">
        <v>2016</v>
      </c>
      <c r="B4201" s="13">
        <v>6051</v>
      </c>
      <c r="C4201" s="90" t="str">
        <f>VLOOKUP(B4201,'All Districts'!$A$3:$B$874,2,FALSE)</f>
        <v>Monroe 1</v>
      </c>
      <c r="D4201" s="16">
        <v>3849427</v>
      </c>
      <c r="E4201">
        <f>VLOOKUP(C4201,'All Districts'!$B$3:$C$874,2,FALSE)</f>
        <v>3680500</v>
      </c>
      <c r="F4201" s="91">
        <f>COUNTIF($E$2:$E$7106,E4201)</f>
        <v>9</v>
      </c>
    </row>
    <row r="4202" spans="1:6" x14ac:dyDescent="0.2">
      <c r="A4202">
        <v>2017</v>
      </c>
      <c r="B4202" s="13">
        <v>6051</v>
      </c>
      <c r="C4202" s="90" t="str">
        <f>VLOOKUP(B4202,'All Districts'!$A$3:$B$874,2,FALSE)</f>
        <v>Monroe 1</v>
      </c>
      <c r="D4202" s="16">
        <v>3565259</v>
      </c>
      <c r="E4202">
        <f>VLOOKUP(C4202,'All Districts'!$B$3:$C$874,2,FALSE)</f>
        <v>3680500</v>
      </c>
      <c r="F4202" s="91">
        <f>COUNTIF($E$2:$E$7106,E4202)</f>
        <v>9</v>
      </c>
    </row>
    <row r="4203" spans="1:6" x14ac:dyDescent="0.2">
      <c r="A4203" s="10">
        <v>2018</v>
      </c>
      <c r="B4203" s="13">
        <v>6051</v>
      </c>
      <c r="C4203" s="90" t="str">
        <f>VLOOKUP(B4203,'All Districts'!$A$3:$B$874,2,FALSE)</f>
        <v>Monroe 1</v>
      </c>
      <c r="D4203" s="15">
        <v>3077690</v>
      </c>
      <c r="E4203">
        <f>VLOOKUP(C4203,'All Districts'!$B$3:$C$874,2,FALSE)</f>
        <v>3680500</v>
      </c>
      <c r="F4203" s="91">
        <f>COUNTIF($E$2:$E$7106,E4203)</f>
        <v>9</v>
      </c>
    </row>
    <row r="4204" spans="1:6" x14ac:dyDescent="0.2">
      <c r="A4204">
        <v>2019</v>
      </c>
      <c r="B4204" s="36">
        <v>6051</v>
      </c>
      <c r="C4204" s="90" t="str">
        <f>VLOOKUP(B4204,'All Districts'!$A$3:$B$874,2,FALSE)</f>
        <v>Monroe 1</v>
      </c>
      <c r="D4204" s="40">
        <v>3507365</v>
      </c>
      <c r="E4204">
        <f>VLOOKUP(C4204,'All Districts'!$B$3:$C$874,2,FALSE)</f>
        <v>3680500</v>
      </c>
      <c r="F4204" s="91">
        <f>COUNTIF($E$2:$E$7106,E4204)</f>
        <v>9</v>
      </c>
    </row>
    <row r="4205" spans="1:6" x14ac:dyDescent="0.2">
      <c r="A4205">
        <v>2020</v>
      </c>
      <c r="B4205" s="36">
        <v>6051</v>
      </c>
      <c r="C4205" s="90" t="str">
        <f>VLOOKUP(B4205,'All Districts'!$A$3:$B$874,2,FALSE)</f>
        <v>Monroe 1</v>
      </c>
      <c r="D4205" s="40">
        <v>3073207</v>
      </c>
      <c r="E4205">
        <f>VLOOKUP(C4205,'All Districts'!$B$3:$C$874,2,FALSE)</f>
        <v>3680500</v>
      </c>
      <c r="F4205" s="91">
        <f>COUNTIF($E$2:$E$7106,E4205)</f>
        <v>9</v>
      </c>
    </row>
    <row r="4206" spans="1:6" x14ac:dyDescent="0.2">
      <c r="A4206" s="10">
        <v>2021</v>
      </c>
      <c r="B4206" s="52">
        <v>6051</v>
      </c>
      <c r="C4206" s="90" t="str">
        <f>VLOOKUP(B4206,'All Districts'!$A$3:$B$874,2,FALSE)</f>
        <v>Monroe 1</v>
      </c>
      <c r="D4206" s="76">
        <v>3077082</v>
      </c>
      <c r="E4206">
        <f>VLOOKUP(C4206,'All Districts'!$B$3:$C$874,2,FALSE)</f>
        <v>3680500</v>
      </c>
      <c r="F4206" s="91">
        <f>COUNTIF($E$2:$E$7106,E4206)</f>
        <v>9</v>
      </c>
    </row>
    <row r="4207" spans="1:6" x14ac:dyDescent="0.2">
      <c r="A4207">
        <v>2022</v>
      </c>
      <c r="B4207" s="36">
        <v>6051</v>
      </c>
      <c r="C4207" s="90" t="str">
        <f>VLOOKUP(B4207,'All Districts'!$A$3:$B$874,2,FALSE)</f>
        <v>Monroe 1</v>
      </c>
      <c r="D4207" s="82">
        <v>3274071</v>
      </c>
      <c r="E4207">
        <f>VLOOKUP(C4207,'All Districts'!$B$3:$C$874,2,FALSE)</f>
        <v>3680500</v>
      </c>
      <c r="F4207" s="91">
        <f>COUNTIF($E$2:$E$7106,E4207)</f>
        <v>9</v>
      </c>
    </row>
    <row r="4208" spans="1:6" x14ac:dyDescent="0.2">
      <c r="A4208">
        <v>2023</v>
      </c>
      <c r="B4208" s="36">
        <v>6051</v>
      </c>
      <c r="C4208" s="90" t="str">
        <f>VLOOKUP(B4208,'All Districts'!$A$3:$B$874,2,FALSE)</f>
        <v>Monroe 1</v>
      </c>
      <c r="D4208" s="40">
        <v>3541538</v>
      </c>
      <c r="E4208">
        <f>VLOOKUP(C4208,'All Districts'!$B$3:$C$874,2,FALSE)</f>
        <v>3680500</v>
      </c>
      <c r="F4208" s="91">
        <f>COUNTIF($E$2:$E$7106,E4208)</f>
        <v>9</v>
      </c>
    </row>
    <row r="4209" spans="1:6" x14ac:dyDescent="0.2">
      <c r="A4209">
        <v>2015</v>
      </c>
      <c r="B4209" s="13">
        <v>6052</v>
      </c>
      <c r="C4209" s="90" t="str">
        <f>VLOOKUP(B4209,'All Districts'!$A$3:$B$874,2,FALSE)</f>
        <v>Monroe 2-Orleans</v>
      </c>
      <c r="D4209" s="15">
        <v>3493457</v>
      </c>
      <c r="E4209">
        <f>VLOOKUP(C4209,'All Districts'!$B$3:$C$874,2,FALSE)</f>
        <v>3680520</v>
      </c>
      <c r="F4209" s="91">
        <f>COUNTIF($E$2:$E$7106,E4209)</f>
        <v>9</v>
      </c>
    </row>
    <row r="4210" spans="1:6" x14ac:dyDescent="0.2">
      <c r="A4210">
        <v>2016</v>
      </c>
      <c r="B4210" s="13">
        <v>6052</v>
      </c>
      <c r="C4210" s="90" t="str">
        <f>VLOOKUP(B4210,'All Districts'!$A$3:$B$874,2,FALSE)</f>
        <v>Monroe 2-Orleans</v>
      </c>
      <c r="D4210" s="16">
        <v>2807700</v>
      </c>
      <c r="E4210">
        <f>VLOOKUP(C4210,'All Districts'!$B$3:$C$874,2,FALSE)</f>
        <v>3680520</v>
      </c>
      <c r="F4210" s="91">
        <f>COUNTIF($E$2:$E$7106,E4210)</f>
        <v>9</v>
      </c>
    </row>
    <row r="4211" spans="1:6" x14ac:dyDescent="0.2">
      <c r="A4211">
        <v>2017</v>
      </c>
      <c r="B4211" s="13">
        <v>6052</v>
      </c>
      <c r="C4211" s="90" t="str">
        <f>VLOOKUP(B4211,'All Districts'!$A$3:$B$874,2,FALSE)</f>
        <v>Monroe 2-Orleans</v>
      </c>
      <c r="D4211" s="16">
        <v>2477972</v>
      </c>
      <c r="E4211">
        <f>VLOOKUP(C4211,'All Districts'!$B$3:$C$874,2,FALSE)</f>
        <v>3680520</v>
      </c>
      <c r="F4211" s="91">
        <f>COUNTIF($E$2:$E$7106,E4211)</f>
        <v>9</v>
      </c>
    </row>
    <row r="4212" spans="1:6" x14ac:dyDescent="0.2">
      <c r="A4212" s="10">
        <v>2018</v>
      </c>
      <c r="B4212" s="13">
        <v>6052</v>
      </c>
      <c r="C4212" s="90" t="str">
        <f>VLOOKUP(B4212,'All Districts'!$A$3:$B$874,2,FALSE)</f>
        <v>Monroe 2-Orleans</v>
      </c>
      <c r="D4212" s="15">
        <v>2112089</v>
      </c>
      <c r="E4212">
        <f>VLOOKUP(C4212,'All Districts'!$B$3:$C$874,2,FALSE)</f>
        <v>3680520</v>
      </c>
      <c r="F4212" s="91">
        <f>COUNTIF($E$2:$E$7106,E4212)</f>
        <v>9</v>
      </c>
    </row>
    <row r="4213" spans="1:6" x14ac:dyDescent="0.2">
      <c r="A4213">
        <v>2019</v>
      </c>
      <c r="B4213" s="36">
        <v>6052</v>
      </c>
      <c r="C4213" s="90" t="str">
        <f>VLOOKUP(B4213,'All Districts'!$A$3:$B$874,2,FALSE)</f>
        <v>Monroe 2-Orleans</v>
      </c>
      <c r="D4213" s="40">
        <v>2344383</v>
      </c>
      <c r="E4213">
        <f>VLOOKUP(C4213,'All Districts'!$B$3:$C$874,2,FALSE)</f>
        <v>3680520</v>
      </c>
      <c r="F4213" s="91">
        <f>COUNTIF($E$2:$E$7106,E4213)</f>
        <v>9</v>
      </c>
    </row>
    <row r="4214" spans="1:6" x14ac:dyDescent="0.2">
      <c r="A4214">
        <v>2020</v>
      </c>
      <c r="B4214" s="36">
        <v>6052</v>
      </c>
      <c r="C4214" s="90" t="str">
        <f>VLOOKUP(B4214,'All Districts'!$A$3:$B$874,2,FALSE)</f>
        <v>Monroe 2-Orleans</v>
      </c>
      <c r="D4214" s="40">
        <v>1917188</v>
      </c>
      <c r="E4214">
        <f>VLOOKUP(C4214,'All Districts'!$B$3:$C$874,2,FALSE)</f>
        <v>3680520</v>
      </c>
      <c r="F4214" s="91">
        <f>COUNTIF($E$2:$E$7106,E4214)</f>
        <v>9</v>
      </c>
    </row>
    <row r="4215" spans="1:6" x14ac:dyDescent="0.2">
      <c r="A4215" s="10">
        <v>2021</v>
      </c>
      <c r="B4215" s="52">
        <v>6052</v>
      </c>
      <c r="C4215" s="90" t="str">
        <f>VLOOKUP(B4215,'All Districts'!$A$3:$B$874,2,FALSE)</f>
        <v>Monroe 2-Orleans</v>
      </c>
      <c r="D4215" s="75">
        <v>2053155</v>
      </c>
      <c r="E4215">
        <f>VLOOKUP(C4215,'All Districts'!$B$3:$C$874,2,FALSE)</f>
        <v>3680520</v>
      </c>
      <c r="F4215" s="91">
        <f>COUNTIF($E$2:$E$7106,E4215)</f>
        <v>9</v>
      </c>
    </row>
    <row r="4216" spans="1:6" x14ac:dyDescent="0.2">
      <c r="A4216">
        <v>2022</v>
      </c>
      <c r="B4216" s="36">
        <v>6052</v>
      </c>
      <c r="C4216" s="90" t="str">
        <f>VLOOKUP(B4216,'All Districts'!$A$3:$B$874,2,FALSE)</f>
        <v>Monroe 2-Orleans</v>
      </c>
      <c r="D4216" s="82">
        <v>2036090</v>
      </c>
      <c r="E4216">
        <f>VLOOKUP(C4216,'All Districts'!$B$3:$C$874,2,FALSE)</f>
        <v>3680520</v>
      </c>
      <c r="F4216" s="91">
        <f>COUNTIF($E$2:$E$7106,E4216)</f>
        <v>9</v>
      </c>
    </row>
    <row r="4217" spans="1:6" x14ac:dyDescent="0.2">
      <c r="A4217">
        <v>2023</v>
      </c>
      <c r="B4217" s="36">
        <v>6052</v>
      </c>
      <c r="C4217" s="90" t="str">
        <f>VLOOKUP(B4217,'All Districts'!$A$3:$B$874,2,FALSE)</f>
        <v>Monroe 2-Orleans</v>
      </c>
      <c r="D4217" s="40">
        <v>2229741</v>
      </c>
      <c r="E4217">
        <f>VLOOKUP(C4217,'All Districts'!$B$3:$C$874,2,FALSE)</f>
        <v>3680520</v>
      </c>
      <c r="F4217" s="91">
        <f>COUNTIF($E$2:$E$7106,E4217)</f>
        <v>9</v>
      </c>
    </row>
    <row r="4218" spans="1:6" x14ac:dyDescent="0.2">
      <c r="A4218">
        <v>2015</v>
      </c>
      <c r="B4218" s="13">
        <v>2383</v>
      </c>
      <c r="C4218" s="90" t="str">
        <f>VLOOKUP(B4218,'All Districts'!$A$3:$B$874,2,FALSE)</f>
        <v>Monroe-Woodbury</v>
      </c>
      <c r="D4218" s="14">
        <v>11197190</v>
      </c>
      <c r="E4218">
        <f>VLOOKUP(C4218,'All Districts'!$B$3:$C$874,2,FALSE)</f>
        <v>3619650</v>
      </c>
      <c r="F4218" s="91">
        <f>COUNTIF($E$2:$E$7106,E4218)</f>
        <v>9</v>
      </c>
    </row>
    <row r="4219" spans="1:6" x14ac:dyDescent="0.2">
      <c r="A4219">
        <v>2016</v>
      </c>
      <c r="B4219" s="13">
        <v>2383</v>
      </c>
      <c r="C4219" s="90" t="str">
        <f>VLOOKUP(B4219,'All Districts'!$A$3:$B$874,2,FALSE)</f>
        <v>Monroe-Woodbury</v>
      </c>
      <c r="D4219" s="16">
        <v>8494043</v>
      </c>
      <c r="E4219">
        <f>VLOOKUP(C4219,'All Districts'!$B$3:$C$874,2,FALSE)</f>
        <v>3619650</v>
      </c>
      <c r="F4219" s="91">
        <f>COUNTIF($E$2:$E$7106,E4219)</f>
        <v>9</v>
      </c>
    </row>
    <row r="4220" spans="1:6" x14ac:dyDescent="0.2">
      <c r="A4220">
        <v>2017</v>
      </c>
      <c r="B4220" s="13">
        <v>2383</v>
      </c>
      <c r="C4220" s="90" t="str">
        <f>VLOOKUP(B4220,'All Districts'!$A$3:$B$874,2,FALSE)</f>
        <v>Monroe-Woodbury</v>
      </c>
      <c r="D4220" s="16">
        <v>7694601</v>
      </c>
      <c r="E4220">
        <f>VLOOKUP(C4220,'All Districts'!$B$3:$C$874,2,FALSE)</f>
        <v>3619650</v>
      </c>
      <c r="F4220" s="91">
        <f>COUNTIF($E$2:$E$7106,E4220)</f>
        <v>9</v>
      </c>
    </row>
    <row r="4221" spans="1:6" x14ac:dyDescent="0.2">
      <c r="A4221" s="10">
        <v>2018</v>
      </c>
      <c r="B4221" s="13">
        <v>2383</v>
      </c>
      <c r="C4221" s="90" t="str">
        <f>VLOOKUP(B4221,'All Districts'!$A$3:$B$874,2,FALSE)</f>
        <v>Monroe-Woodbury</v>
      </c>
      <c r="D4221" s="15">
        <v>6658296</v>
      </c>
      <c r="E4221">
        <f>VLOOKUP(C4221,'All Districts'!$B$3:$C$874,2,FALSE)</f>
        <v>3619650</v>
      </c>
      <c r="F4221" s="91">
        <f>COUNTIF($E$2:$E$7106,E4221)</f>
        <v>9</v>
      </c>
    </row>
    <row r="4222" spans="1:6" x14ac:dyDescent="0.2">
      <c r="A4222">
        <v>2019</v>
      </c>
      <c r="B4222" s="36">
        <v>2383</v>
      </c>
      <c r="C4222" s="90" t="str">
        <f>VLOOKUP(B4222,'All Districts'!$A$3:$B$874,2,FALSE)</f>
        <v>Monroe-Woodbury</v>
      </c>
      <c r="D4222" s="40">
        <v>7355366</v>
      </c>
      <c r="E4222">
        <f>VLOOKUP(C4222,'All Districts'!$B$3:$C$874,2,FALSE)</f>
        <v>3619650</v>
      </c>
      <c r="F4222" s="91">
        <f>COUNTIF($E$2:$E$7106,E4222)</f>
        <v>9</v>
      </c>
    </row>
    <row r="4223" spans="1:6" x14ac:dyDescent="0.2">
      <c r="A4223">
        <v>2020</v>
      </c>
      <c r="B4223" s="36">
        <v>2383</v>
      </c>
      <c r="C4223" s="90" t="str">
        <f>VLOOKUP(B4223,'All Districts'!$A$3:$B$874,2,FALSE)</f>
        <v>Monroe-Woodbury</v>
      </c>
      <c r="D4223" s="40">
        <v>6371183</v>
      </c>
      <c r="E4223">
        <f>VLOOKUP(C4223,'All Districts'!$B$3:$C$874,2,FALSE)</f>
        <v>3619650</v>
      </c>
      <c r="F4223" s="91">
        <f>COUNTIF($E$2:$E$7106,E4223)</f>
        <v>9</v>
      </c>
    </row>
    <row r="4224" spans="1:6" x14ac:dyDescent="0.2">
      <c r="A4224" s="10">
        <v>2021</v>
      </c>
      <c r="B4224" s="73">
        <v>2383</v>
      </c>
      <c r="C4224" s="90" t="str">
        <f>VLOOKUP(B4224,'All Districts'!$A$3:$B$874,2,FALSE)</f>
        <v>Monroe-Woodbury</v>
      </c>
      <c r="D4224" s="75">
        <v>6923805</v>
      </c>
      <c r="E4224">
        <f>VLOOKUP(C4224,'All Districts'!$B$3:$C$874,2,FALSE)</f>
        <v>3619650</v>
      </c>
      <c r="F4224" s="91">
        <f>COUNTIF($E$2:$E$7106,E4224)</f>
        <v>9</v>
      </c>
    </row>
    <row r="4225" spans="1:6" x14ac:dyDescent="0.2">
      <c r="A4225">
        <v>2022</v>
      </c>
      <c r="B4225" s="36">
        <v>2383</v>
      </c>
      <c r="C4225" s="90" t="str">
        <f>VLOOKUP(B4225,'All Districts'!$A$3:$B$874,2,FALSE)</f>
        <v>Monroe-Woodbury</v>
      </c>
      <c r="D4225" s="82">
        <v>7535807</v>
      </c>
      <c r="E4225">
        <f>VLOOKUP(C4225,'All Districts'!$B$3:$C$874,2,FALSE)</f>
        <v>3619650</v>
      </c>
      <c r="F4225" s="91">
        <f>COUNTIF($E$2:$E$7106,E4225)</f>
        <v>9</v>
      </c>
    </row>
    <row r="4226" spans="1:6" x14ac:dyDescent="0.2">
      <c r="A4226">
        <v>2023</v>
      </c>
      <c r="B4226" s="36">
        <v>2383</v>
      </c>
      <c r="C4226" s="90" t="str">
        <f>VLOOKUP(B4226,'All Districts'!$A$3:$B$874,2,FALSE)</f>
        <v>Monroe-Woodbury</v>
      </c>
      <c r="D4226" s="40">
        <v>8057185</v>
      </c>
      <c r="E4226">
        <f>VLOOKUP(C4226,'All Districts'!$B$3:$C$874,2,FALSE)</f>
        <v>3619650</v>
      </c>
      <c r="F4226" s="91">
        <f>COUNTIF($E$2:$E$7106,E4226)</f>
        <v>9</v>
      </c>
    </row>
    <row r="4227" spans="1:6" x14ac:dyDescent="0.2">
      <c r="A4227">
        <v>2015</v>
      </c>
      <c r="B4227" s="13">
        <v>5356</v>
      </c>
      <c r="C4227" s="90" t="str">
        <f>VLOOKUP(B4227,'All Districts'!$A$3:$B$874,2,FALSE)</f>
        <v>Montauk</v>
      </c>
      <c r="D4227" s="14">
        <v>932997</v>
      </c>
      <c r="E4227">
        <f>VLOOKUP(C4227,'All Districts'!$B$3:$C$874,2,FALSE)</f>
        <v>3619710</v>
      </c>
      <c r="F4227" s="91">
        <f>COUNTIF($E$2:$E$7106,E4227)</f>
        <v>9</v>
      </c>
    </row>
    <row r="4228" spans="1:6" x14ac:dyDescent="0.2">
      <c r="A4228">
        <v>2016</v>
      </c>
      <c r="B4228" s="13">
        <v>5356</v>
      </c>
      <c r="C4228" s="90" t="str">
        <f>VLOOKUP(B4228,'All Districts'!$A$3:$B$874,2,FALSE)</f>
        <v>Montauk</v>
      </c>
      <c r="D4228" s="16">
        <v>708106</v>
      </c>
      <c r="E4228">
        <f>VLOOKUP(C4228,'All Districts'!$B$3:$C$874,2,FALSE)</f>
        <v>3619710</v>
      </c>
      <c r="F4228" s="91">
        <f>COUNTIF($E$2:$E$7106,E4228)</f>
        <v>9</v>
      </c>
    </row>
    <row r="4229" spans="1:6" x14ac:dyDescent="0.2">
      <c r="A4229">
        <v>2017</v>
      </c>
      <c r="B4229" s="13">
        <v>5356</v>
      </c>
      <c r="C4229" s="90" t="str">
        <f>VLOOKUP(B4229,'All Districts'!$A$3:$B$874,2,FALSE)</f>
        <v>Montauk</v>
      </c>
      <c r="D4229" s="16">
        <v>678989</v>
      </c>
      <c r="E4229">
        <f>VLOOKUP(C4229,'All Districts'!$B$3:$C$874,2,FALSE)</f>
        <v>3619710</v>
      </c>
      <c r="F4229" s="91">
        <f>COUNTIF($E$2:$E$7106,E4229)</f>
        <v>9</v>
      </c>
    </row>
    <row r="4230" spans="1:6" x14ac:dyDescent="0.2">
      <c r="A4230" s="10">
        <v>2018</v>
      </c>
      <c r="B4230" s="13">
        <v>5356</v>
      </c>
      <c r="C4230" s="90" t="str">
        <f>VLOOKUP(B4230,'All Districts'!$A$3:$B$874,2,FALSE)</f>
        <v>Montauk</v>
      </c>
      <c r="D4230" s="15">
        <v>558673</v>
      </c>
      <c r="E4230">
        <f>VLOOKUP(C4230,'All Districts'!$B$3:$C$874,2,FALSE)</f>
        <v>3619710</v>
      </c>
      <c r="F4230" s="91">
        <f>COUNTIF($E$2:$E$7106,E4230)</f>
        <v>9</v>
      </c>
    </row>
    <row r="4231" spans="1:6" x14ac:dyDescent="0.2">
      <c r="A4231">
        <v>2019</v>
      </c>
      <c r="B4231" s="36">
        <v>5356</v>
      </c>
      <c r="C4231" s="90" t="str">
        <f>VLOOKUP(B4231,'All Districts'!$A$3:$B$874,2,FALSE)</f>
        <v>Montauk</v>
      </c>
      <c r="D4231" s="40">
        <v>597564</v>
      </c>
      <c r="E4231">
        <f>VLOOKUP(C4231,'All Districts'!$B$3:$C$874,2,FALSE)</f>
        <v>3619710</v>
      </c>
      <c r="F4231" s="91">
        <f>COUNTIF($E$2:$E$7106,E4231)</f>
        <v>9</v>
      </c>
    </row>
    <row r="4232" spans="1:6" x14ac:dyDescent="0.2">
      <c r="A4232">
        <v>2020</v>
      </c>
      <c r="B4232" s="36">
        <v>5356</v>
      </c>
      <c r="C4232" s="90" t="str">
        <f>VLOOKUP(B4232,'All Districts'!$A$3:$B$874,2,FALSE)</f>
        <v>Montauk</v>
      </c>
      <c r="D4232" s="40">
        <v>491464</v>
      </c>
      <c r="E4232">
        <f>VLOOKUP(C4232,'All Districts'!$B$3:$C$874,2,FALSE)</f>
        <v>3619710</v>
      </c>
      <c r="F4232" s="91">
        <f>COUNTIF($E$2:$E$7106,E4232)</f>
        <v>9</v>
      </c>
    </row>
    <row r="4233" spans="1:6" x14ac:dyDescent="0.2">
      <c r="A4233" s="10">
        <v>2021</v>
      </c>
      <c r="B4233" s="52">
        <v>5356</v>
      </c>
      <c r="C4233" s="90" t="str">
        <f>VLOOKUP(B4233,'All Districts'!$A$3:$B$874,2,FALSE)</f>
        <v>Montauk</v>
      </c>
      <c r="D4233" s="76">
        <v>487590</v>
      </c>
      <c r="E4233">
        <f>VLOOKUP(C4233,'All Districts'!$B$3:$C$874,2,FALSE)</f>
        <v>3619710</v>
      </c>
      <c r="F4233" s="91">
        <f>COUNTIF($E$2:$E$7106,E4233)</f>
        <v>9</v>
      </c>
    </row>
    <row r="4234" spans="1:6" x14ac:dyDescent="0.2">
      <c r="A4234">
        <v>2022</v>
      </c>
      <c r="B4234" s="36">
        <v>5356</v>
      </c>
      <c r="C4234" s="90" t="str">
        <f>VLOOKUP(B4234,'All Districts'!$A$3:$B$874,2,FALSE)</f>
        <v>Montauk</v>
      </c>
      <c r="D4234" s="82">
        <v>552435</v>
      </c>
      <c r="E4234">
        <f>VLOOKUP(C4234,'All Districts'!$B$3:$C$874,2,FALSE)</f>
        <v>3619710</v>
      </c>
      <c r="F4234" s="91">
        <f>COUNTIF($E$2:$E$7106,E4234)</f>
        <v>9</v>
      </c>
    </row>
    <row r="4235" spans="1:6" x14ac:dyDescent="0.2">
      <c r="A4235">
        <v>2023</v>
      </c>
      <c r="B4235" s="36">
        <v>5356</v>
      </c>
      <c r="C4235" s="90" t="str">
        <f>VLOOKUP(B4235,'All Districts'!$A$3:$B$874,2,FALSE)</f>
        <v>Montauk</v>
      </c>
      <c r="D4235" s="40">
        <v>607527</v>
      </c>
      <c r="E4235">
        <f>VLOOKUP(C4235,'All Districts'!$B$3:$C$874,2,FALSE)</f>
        <v>3619710</v>
      </c>
      <c r="F4235" s="91">
        <f>COUNTIF($E$2:$E$7106,E4235)</f>
        <v>9</v>
      </c>
    </row>
    <row r="4236" spans="1:6" x14ac:dyDescent="0.2">
      <c r="A4236">
        <v>2015</v>
      </c>
      <c r="B4236" s="13">
        <v>2385</v>
      </c>
      <c r="C4236" s="90" t="str">
        <f>VLOOKUP(B4236,'All Districts'!$A$3:$B$874,2,FALSE)</f>
        <v>Monticello</v>
      </c>
      <c r="D4236" s="14">
        <v>4722386</v>
      </c>
      <c r="E4236">
        <f>VLOOKUP(C4236,'All Districts'!$B$3:$C$874,2,FALSE)</f>
        <v>3619740</v>
      </c>
      <c r="F4236" s="91">
        <f>COUNTIF($E$2:$E$7106,E4236)</f>
        <v>9</v>
      </c>
    </row>
    <row r="4237" spans="1:6" x14ac:dyDescent="0.2">
      <c r="A4237">
        <v>2016</v>
      </c>
      <c r="B4237" s="13">
        <v>2385</v>
      </c>
      <c r="C4237" s="90" t="str">
        <f>VLOOKUP(B4237,'All Districts'!$A$3:$B$874,2,FALSE)</f>
        <v>Monticello</v>
      </c>
      <c r="D4237" s="16">
        <v>3743339</v>
      </c>
      <c r="E4237">
        <f>VLOOKUP(C4237,'All Districts'!$B$3:$C$874,2,FALSE)</f>
        <v>3619740</v>
      </c>
      <c r="F4237" s="91">
        <f>COUNTIF($E$2:$E$7106,E4237)</f>
        <v>9</v>
      </c>
    </row>
    <row r="4238" spans="1:6" x14ac:dyDescent="0.2">
      <c r="A4238">
        <v>2017</v>
      </c>
      <c r="B4238" s="13">
        <v>2385</v>
      </c>
      <c r="C4238" s="90" t="str">
        <f>VLOOKUP(B4238,'All Districts'!$A$3:$B$874,2,FALSE)</f>
        <v>Monticello</v>
      </c>
      <c r="D4238" s="16">
        <v>3289984</v>
      </c>
      <c r="E4238">
        <f>VLOOKUP(C4238,'All Districts'!$B$3:$C$874,2,FALSE)</f>
        <v>3619740</v>
      </c>
      <c r="F4238" s="91">
        <f>COUNTIF($E$2:$E$7106,E4238)</f>
        <v>9</v>
      </c>
    </row>
    <row r="4239" spans="1:6" x14ac:dyDescent="0.2">
      <c r="A4239" s="10">
        <v>2018</v>
      </c>
      <c r="B4239" s="13">
        <v>2385</v>
      </c>
      <c r="C4239" s="90" t="str">
        <f>VLOOKUP(B4239,'All Districts'!$A$3:$B$874,2,FALSE)</f>
        <v>Monticello</v>
      </c>
      <c r="D4239" s="15">
        <v>2755319</v>
      </c>
      <c r="E4239">
        <f>VLOOKUP(C4239,'All Districts'!$B$3:$C$874,2,FALSE)</f>
        <v>3619740</v>
      </c>
      <c r="F4239" s="91">
        <f>COUNTIF($E$2:$E$7106,E4239)</f>
        <v>9</v>
      </c>
    </row>
    <row r="4240" spans="1:6" x14ac:dyDescent="0.2">
      <c r="A4240">
        <v>2019</v>
      </c>
      <c r="B4240" s="36">
        <v>2385</v>
      </c>
      <c r="C4240" s="90" t="str">
        <f>VLOOKUP(B4240,'All Districts'!$A$3:$B$874,2,FALSE)</f>
        <v>Monticello</v>
      </c>
      <c r="D4240" s="40">
        <v>3053830</v>
      </c>
      <c r="E4240">
        <f>VLOOKUP(C4240,'All Districts'!$B$3:$C$874,2,FALSE)</f>
        <v>3619740</v>
      </c>
      <c r="F4240" s="91">
        <f>COUNTIF($E$2:$E$7106,E4240)</f>
        <v>9</v>
      </c>
    </row>
    <row r="4241" spans="1:6" x14ac:dyDescent="0.2">
      <c r="A4241">
        <v>2020</v>
      </c>
      <c r="B4241" s="36">
        <v>2385</v>
      </c>
      <c r="C4241" s="90" t="str">
        <f>VLOOKUP(B4241,'All Districts'!$A$3:$B$874,2,FALSE)</f>
        <v>Monticello</v>
      </c>
      <c r="D4241" s="40">
        <v>2567495</v>
      </c>
      <c r="E4241">
        <f>VLOOKUP(C4241,'All Districts'!$B$3:$C$874,2,FALSE)</f>
        <v>3619740</v>
      </c>
      <c r="F4241" s="91">
        <f>COUNTIF($E$2:$E$7106,E4241)</f>
        <v>9</v>
      </c>
    </row>
    <row r="4242" spans="1:6" x14ac:dyDescent="0.2">
      <c r="A4242" s="10">
        <v>2021</v>
      </c>
      <c r="B4242" s="55">
        <v>2385</v>
      </c>
      <c r="C4242" s="90" t="str">
        <f>VLOOKUP(B4242,'All Districts'!$A$3:$B$874,2,FALSE)</f>
        <v>Monticello</v>
      </c>
      <c r="D4242" s="75">
        <v>2757822</v>
      </c>
      <c r="E4242">
        <f>VLOOKUP(C4242,'All Districts'!$B$3:$C$874,2,FALSE)</f>
        <v>3619740</v>
      </c>
      <c r="F4242" s="91">
        <f>COUNTIF($E$2:$E$7106,E4242)</f>
        <v>9</v>
      </c>
    </row>
    <row r="4243" spans="1:6" x14ac:dyDescent="0.2">
      <c r="A4243">
        <v>2022</v>
      </c>
      <c r="B4243" s="36">
        <v>2385</v>
      </c>
      <c r="C4243" s="90" t="str">
        <f>VLOOKUP(B4243,'All Districts'!$A$3:$B$874,2,FALSE)</f>
        <v>Monticello</v>
      </c>
      <c r="D4243" s="82">
        <v>3037451</v>
      </c>
      <c r="E4243">
        <f>VLOOKUP(C4243,'All Districts'!$B$3:$C$874,2,FALSE)</f>
        <v>3619740</v>
      </c>
      <c r="F4243" s="91">
        <f>COUNTIF($E$2:$E$7106,E4243)</f>
        <v>9</v>
      </c>
    </row>
    <row r="4244" spans="1:6" x14ac:dyDescent="0.2">
      <c r="A4244">
        <v>2023</v>
      </c>
      <c r="B4244" s="36">
        <v>2385</v>
      </c>
      <c r="C4244" s="90" t="str">
        <f>VLOOKUP(B4244,'All Districts'!$A$3:$B$874,2,FALSE)</f>
        <v>Monticello</v>
      </c>
      <c r="D4244" s="40">
        <v>3313790</v>
      </c>
      <c r="E4244">
        <f>VLOOKUP(C4244,'All Districts'!$B$3:$C$874,2,FALSE)</f>
        <v>3619740</v>
      </c>
      <c r="F4244" s="91">
        <f>COUNTIF($E$2:$E$7106,E4244)</f>
        <v>9</v>
      </c>
    </row>
    <row r="4245" spans="1:6" x14ac:dyDescent="0.2">
      <c r="A4245">
        <v>2015</v>
      </c>
      <c r="B4245" s="13">
        <v>3281</v>
      </c>
      <c r="C4245" s="90" t="str">
        <f>VLOOKUP(B4245,'All Districts'!$A$3:$B$874,2,FALSE)</f>
        <v>Moravia</v>
      </c>
      <c r="D4245" s="14">
        <v>1014150</v>
      </c>
      <c r="E4245">
        <f>VLOOKUP(C4245,'All Districts'!$B$3:$C$874,2,FALSE)</f>
        <v>3619800</v>
      </c>
      <c r="F4245" s="91">
        <f>COUNTIF($E$2:$E$7106,E4245)</f>
        <v>9</v>
      </c>
    </row>
    <row r="4246" spans="1:6" x14ac:dyDescent="0.2">
      <c r="A4246">
        <v>2016</v>
      </c>
      <c r="B4246" s="13">
        <v>3281</v>
      </c>
      <c r="C4246" s="90" t="str">
        <f>VLOOKUP(B4246,'All Districts'!$A$3:$B$874,2,FALSE)</f>
        <v>Moravia</v>
      </c>
      <c r="D4246" s="16">
        <v>734793</v>
      </c>
      <c r="E4246">
        <f>VLOOKUP(C4246,'All Districts'!$B$3:$C$874,2,FALSE)</f>
        <v>3619800</v>
      </c>
      <c r="F4246" s="91">
        <f>COUNTIF($E$2:$E$7106,E4246)</f>
        <v>9</v>
      </c>
    </row>
    <row r="4247" spans="1:6" x14ac:dyDescent="0.2">
      <c r="A4247">
        <v>2017</v>
      </c>
      <c r="B4247" s="13">
        <v>3281</v>
      </c>
      <c r="C4247" s="90" t="str">
        <f>VLOOKUP(B4247,'All Districts'!$A$3:$B$874,2,FALSE)</f>
        <v>Moravia</v>
      </c>
      <c r="D4247" s="16">
        <v>730242</v>
      </c>
      <c r="E4247">
        <f>VLOOKUP(C4247,'All Districts'!$B$3:$C$874,2,FALSE)</f>
        <v>3619800</v>
      </c>
      <c r="F4247" s="91">
        <f>COUNTIF($E$2:$E$7106,E4247)</f>
        <v>9</v>
      </c>
    </row>
    <row r="4248" spans="1:6" x14ac:dyDescent="0.2">
      <c r="A4248" s="10">
        <v>2018</v>
      </c>
      <c r="B4248" s="13">
        <v>3281</v>
      </c>
      <c r="C4248" s="90" t="str">
        <f>VLOOKUP(B4248,'All Districts'!$A$3:$B$874,2,FALSE)</f>
        <v>Moravia</v>
      </c>
      <c r="D4248" s="15">
        <v>628568</v>
      </c>
      <c r="E4248">
        <f>VLOOKUP(C4248,'All Districts'!$B$3:$C$874,2,FALSE)</f>
        <v>3619800</v>
      </c>
      <c r="F4248" s="91">
        <f>COUNTIF($E$2:$E$7106,E4248)</f>
        <v>9</v>
      </c>
    </row>
    <row r="4249" spans="1:6" x14ac:dyDescent="0.2">
      <c r="A4249">
        <v>2019</v>
      </c>
      <c r="B4249" s="36">
        <v>3281</v>
      </c>
      <c r="C4249" s="90" t="str">
        <f>VLOOKUP(B4249,'All Districts'!$A$3:$B$874,2,FALSE)</f>
        <v>Moravia</v>
      </c>
      <c r="D4249" s="40">
        <v>718146</v>
      </c>
      <c r="E4249">
        <f>VLOOKUP(C4249,'All Districts'!$B$3:$C$874,2,FALSE)</f>
        <v>3619800</v>
      </c>
      <c r="F4249" s="91">
        <f>COUNTIF($E$2:$E$7106,E4249)</f>
        <v>9</v>
      </c>
    </row>
    <row r="4250" spans="1:6" x14ac:dyDescent="0.2">
      <c r="A4250">
        <v>2020</v>
      </c>
      <c r="B4250" s="36">
        <v>3281</v>
      </c>
      <c r="C4250" s="90" t="str">
        <f>VLOOKUP(B4250,'All Districts'!$A$3:$B$874,2,FALSE)</f>
        <v>Moravia</v>
      </c>
      <c r="D4250" s="40">
        <v>626193</v>
      </c>
      <c r="E4250">
        <f>VLOOKUP(C4250,'All Districts'!$B$3:$C$874,2,FALSE)</f>
        <v>3619800</v>
      </c>
      <c r="F4250" s="91">
        <f>COUNTIF($E$2:$E$7106,E4250)</f>
        <v>9</v>
      </c>
    </row>
    <row r="4251" spans="1:6" x14ac:dyDescent="0.2">
      <c r="A4251" s="10">
        <v>2021</v>
      </c>
      <c r="B4251" s="52">
        <v>3281</v>
      </c>
      <c r="C4251" s="90" t="str">
        <f>VLOOKUP(B4251,'All Districts'!$A$3:$B$874,2,FALSE)</f>
        <v>Moravia</v>
      </c>
      <c r="D4251" s="76">
        <v>669541</v>
      </c>
      <c r="E4251">
        <f>VLOOKUP(C4251,'All Districts'!$B$3:$C$874,2,FALSE)</f>
        <v>3619800</v>
      </c>
      <c r="F4251" s="91">
        <f>COUNTIF($E$2:$E$7106,E4251)</f>
        <v>9</v>
      </c>
    </row>
    <row r="4252" spans="1:6" x14ac:dyDescent="0.2">
      <c r="A4252">
        <v>2022</v>
      </c>
      <c r="B4252" s="36">
        <v>3281</v>
      </c>
      <c r="C4252" s="90" t="str">
        <f>VLOOKUP(B4252,'All Districts'!$A$3:$B$874,2,FALSE)</f>
        <v>Moravia</v>
      </c>
      <c r="D4252" s="82">
        <v>713866</v>
      </c>
      <c r="E4252">
        <f>VLOOKUP(C4252,'All Districts'!$B$3:$C$874,2,FALSE)</f>
        <v>3619800</v>
      </c>
      <c r="F4252" s="91">
        <f>COUNTIF($E$2:$E$7106,E4252)</f>
        <v>9</v>
      </c>
    </row>
    <row r="4253" spans="1:6" x14ac:dyDescent="0.2">
      <c r="A4253">
        <v>2023</v>
      </c>
      <c r="B4253" s="36">
        <v>3281</v>
      </c>
      <c r="C4253" s="90" t="str">
        <f>VLOOKUP(B4253,'All Districts'!$A$3:$B$874,2,FALSE)</f>
        <v>Moravia</v>
      </c>
      <c r="D4253" s="40">
        <v>830632</v>
      </c>
      <c r="E4253">
        <f>VLOOKUP(C4253,'All Districts'!$B$3:$C$874,2,FALSE)</f>
        <v>3619800</v>
      </c>
      <c r="F4253" s="91">
        <f>COUNTIF($E$2:$E$7106,E4253)</f>
        <v>9</v>
      </c>
    </row>
    <row r="4254" spans="1:6" x14ac:dyDescent="0.2">
      <c r="A4254">
        <v>2015</v>
      </c>
      <c r="B4254" s="13">
        <v>3466</v>
      </c>
      <c r="C4254" s="90" t="str">
        <f>VLOOKUP(B4254,'All Districts'!$A$3:$B$874,2,FALSE)</f>
        <v>Moriah</v>
      </c>
      <c r="D4254" s="14">
        <v>834187</v>
      </c>
      <c r="E4254">
        <f>VLOOKUP(C4254,'All Districts'!$B$3:$C$874,2,FALSE)</f>
        <v>3619830</v>
      </c>
      <c r="F4254" s="91">
        <f>COUNTIF($E$2:$E$7106,E4254)</f>
        <v>9</v>
      </c>
    </row>
    <row r="4255" spans="1:6" x14ac:dyDescent="0.2">
      <c r="A4255">
        <v>2016</v>
      </c>
      <c r="B4255" s="13">
        <v>3466</v>
      </c>
      <c r="C4255" s="90" t="str">
        <f>VLOOKUP(B4255,'All Districts'!$A$3:$B$874,2,FALSE)</f>
        <v>Moriah</v>
      </c>
      <c r="D4255" s="16">
        <v>641288</v>
      </c>
      <c r="E4255">
        <f>VLOOKUP(C4255,'All Districts'!$B$3:$C$874,2,FALSE)</f>
        <v>3619830</v>
      </c>
      <c r="F4255" s="91">
        <f>COUNTIF($E$2:$E$7106,E4255)</f>
        <v>9</v>
      </c>
    </row>
    <row r="4256" spans="1:6" x14ac:dyDescent="0.2">
      <c r="A4256">
        <v>2017</v>
      </c>
      <c r="B4256" s="13">
        <v>3466</v>
      </c>
      <c r="C4256" s="90" t="str">
        <f>VLOOKUP(B4256,'All Districts'!$A$3:$B$874,2,FALSE)</f>
        <v>Moriah</v>
      </c>
      <c r="D4256" s="16">
        <v>601027</v>
      </c>
      <c r="E4256">
        <f>VLOOKUP(C4256,'All Districts'!$B$3:$C$874,2,FALSE)</f>
        <v>3619830</v>
      </c>
      <c r="F4256" s="91">
        <f>COUNTIF($E$2:$E$7106,E4256)</f>
        <v>9</v>
      </c>
    </row>
    <row r="4257" spans="1:6" x14ac:dyDescent="0.2">
      <c r="A4257" s="10">
        <v>2018</v>
      </c>
      <c r="B4257" s="13">
        <v>3466</v>
      </c>
      <c r="C4257" s="90" t="str">
        <f>VLOOKUP(B4257,'All Districts'!$A$3:$B$874,2,FALSE)</f>
        <v>Moriah</v>
      </c>
      <c r="D4257" s="15">
        <v>522932</v>
      </c>
      <c r="E4257">
        <f>VLOOKUP(C4257,'All Districts'!$B$3:$C$874,2,FALSE)</f>
        <v>3619830</v>
      </c>
      <c r="F4257" s="91">
        <f>COUNTIF($E$2:$E$7106,E4257)</f>
        <v>9</v>
      </c>
    </row>
    <row r="4258" spans="1:6" x14ac:dyDescent="0.2">
      <c r="A4258">
        <v>2019</v>
      </c>
      <c r="B4258" s="36">
        <v>3466</v>
      </c>
      <c r="C4258" s="90" t="str">
        <f>VLOOKUP(B4258,'All Districts'!$A$3:$B$874,2,FALSE)</f>
        <v>Moriah</v>
      </c>
      <c r="D4258" s="40">
        <v>574365</v>
      </c>
      <c r="E4258">
        <f>VLOOKUP(C4258,'All Districts'!$B$3:$C$874,2,FALSE)</f>
        <v>3619830</v>
      </c>
      <c r="F4258" s="91">
        <f>COUNTIF($E$2:$E$7106,E4258)</f>
        <v>9</v>
      </c>
    </row>
    <row r="4259" spans="1:6" x14ac:dyDescent="0.2">
      <c r="A4259">
        <v>2020</v>
      </c>
      <c r="B4259" s="36">
        <v>3466</v>
      </c>
      <c r="C4259" s="90" t="str">
        <f>VLOOKUP(B4259,'All Districts'!$A$3:$B$874,2,FALSE)</f>
        <v>Moriah</v>
      </c>
      <c r="D4259" s="40">
        <v>486920</v>
      </c>
      <c r="E4259">
        <f>VLOOKUP(C4259,'All Districts'!$B$3:$C$874,2,FALSE)</f>
        <v>3619830</v>
      </c>
      <c r="F4259" s="91">
        <f>COUNTIF($E$2:$E$7106,E4259)</f>
        <v>9</v>
      </c>
    </row>
    <row r="4260" spans="1:6" x14ac:dyDescent="0.2">
      <c r="A4260" s="10">
        <v>2021</v>
      </c>
      <c r="B4260" s="52">
        <v>3466</v>
      </c>
      <c r="C4260" s="90" t="str">
        <f>VLOOKUP(B4260,'All Districts'!$A$3:$B$874,2,FALSE)</f>
        <v>Moriah</v>
      </c>
      <c r="D4260" s="76">
        <v>536385</v>
      </c>
      <c r="E4260">
        <f>VLOOKUP(C4260,'All Districts'!$B$3:$C$874,2,FALSE)</f>
        <v>3619830</v>
      </c>
      <c r="F4260" s="91">
        <f>COUNTIF($E$2:$E$7106,E4260)</f>
        <v>9</v>
      </c>
    </row>
    <row r="4261" spans="1:6" x14ac:dyDescent="0.2">
      <c r="A4261">
        <v>2022</v>
      </c>
      <c r="B4261" s="36">
        <v>3466</v>
      </c>
      <c r="C4261" s="90" t="str">
        <f>VLOOKUP(B4261,'All Districts'!$A$3:$B$874,2,FALSE)</f>
        <v>Moriah</v>
      </c>
      <c r="D4261" s="82">
        <v>584745</v>
      </c>
      <c r="E4261">
        <f>VLOOKUP(C4261,'All Districts'!$B$3:$C$874,2,FALSE)</f>
        <v>3619830</v>
      </c>
      <c r="F4261" s="91">
        <f>COUNTIF($E$2:$E$7106,E4261)</f>
        <v>9</v>
      </c>
    </row>
    <row r="4262" spans="1:6" x14ac:dyDescent="0.2">
      <c r="A4262">
        <v>2023</v>
      </c>
      <c r="B4262" s="36">
        <v>3466</v>
      </c>
      <c r="C4262" s="90" t="str">
        <f>VLOOKUP(B4262,'All Districts'!$A$3:$B$874,2,FALSE)</f>
        <v>Moriah</v>
      </c>
      <c r="D4262" s="40">
        <v>655019</v>
      </c>
      <c r="E4262">
        <f>VLOOKUP(C4262,'All Districts'!$B$3:$C$874,2,FALSE)</f>
        <v>3619830</v>
      </c>
      <c r="F4262" s="91">
        <f>COUNTIF($E$2:$E$7106,E4262)</f>
        <v>9</v>
      </c>
    </row>
    <row r="4263" spans="1:6" x14ac:dyDescent="0.2">
      <c r="A4263">
        <v>2015</v>
      </c>
      <c r="B4263" s="13">
        <v>3997</v>
      </c>
      <c r="C4263" s="90" t="str">
        <f>VLOOKUP(B4263,'All Districts'!$A$3:$B$874,2,FALSE)</f>
        <v>Morris</v>
      </c>
      <c r="D4263" s="14">
        <v>444592</v>
      </c>
      <c r="E4263">
        <f>VLOOKUP(C4263,'All Districts'!$B$3:$C$874,2,FALSE)</f>
        <v>3619860</v>
      </c>
      <c r="F4263" s="91">
        <f>COUNTIF($E$2:$E$7106,E4263)</f>
        <v>9</v>
      </c>
    </row>
    <row r="4264" spans="1:6" x14ac:dyDescent="0.2">
      <c r="A4264">
        <v>2016</v>
      </c>
      <c r="B4264" s="13">
        <v>3997</v>
      </c>
      <c r="C4264" s="90" t="str">
        <f>VLOOKUP(B4264,'All Districts'!$A$3:$B$874,2,FALSE)</f>
        <v>Morris</v>
      </c>
      <c r="D4264" s="16">
        <v>328640</v>
      </c>
      <c r="E4264">
        <f>VLOOKUP(C4264,'All Districts'!$B$3:$C$874,2,FALSE)</f>
        <v>3619860</v>
      </c>
      <c r="F4264" s="91">
        <f>COUNTIF($E$2:$E$7106,E4264)</f>
        <v>9</v>
      </c>
    </row>
    <row r="4265" spans="1:6" x14ac:dyDescent="0.2">
      <c r="A4265">
        <v>2017</v>
      </c>
      <c r="B4265" s="13">
        <v>3997</v>
      </c>
      <c r="C4265" s="90" t="str">
        <f>VLOOKUP(B4265,'All Districts'!$A$3:$B$874,2,FALSE)</f>
        <v>Morris</v>
      </c>
      <c r="D4265" s="16">
        <v>310362</v>
      </c>
      <c r="E4265">
        <f>VLOOKUP(C4265,'All Districts'!$B$3:$C$874,2,FALSE)</f>
        <v>3619860</v>
      </c>
      <c r="F4265" s="91">
        <f>COUNTIF($E$2:$E$7106,E4265)</f>
        <v>9</v>
      </c>
    </row>
    <row r="4266" spans="1:6" x14ac:dyDescent="0.2">
      <c r="A4266" s="10">
        <v>2018</v>
      </c>
      <c r="B4266" s="13">
        <v>3997</v>
      </c>
      <c r="C4266" s="90" t="str">
        <f>VLOOKUP(B4266,'All Districts'!$A$3:$B$874,2,FALSE)</f>
        <v>Morris</v>
      </c>
      <c r="D4266" s="15">
        <v>260536</v>
      </c>
      <c r="E4266">
        <f>VLOOKUP(C4266,'All Districts'!$B$3:$C$874,2,FALSE)</f>
        <v>3619860</v>
      </c>
      <c r="F4266" s="91">
        <f>COUNTIF($E$2:$E$7106,E4266)</f>
        <v>9</v>
      </c>
    </row>
    <row r="4267" spans="1:6" x14ac:dyDescent="0.2">
      <c r="A4267">
        <v>2019</v>
      </c>
      <c r="B4267" s="36">
        <v>3997</v>
      </c>
      <c r="C4267" s="90" t="str">
        <f>VLOOKUP(B4267,'All Districts'!$A$3:$B$874,2,FALSE)</f>
        <v>Morris</v>
      </c>
      <c r="D4267" s="40">
        <v>288267</v>
      </c>
      <c r="E4267">
        <f>VLOOKUP(C4267,'All Districts'!$B$3:$C$874,2,FALSE)</f>
        <v>3619860</v>
      </c>
      <c r="F4267" s="91">
        <f>COUNTIF($E$2:$E$7106,E4267)</f>
        <v>9</v>
      </c>
    </row>
    <row r="4268" spans="1:6" x14ac:dyDescent="0.2">
      <c r="A4268">
        <v>2020</v>
      </c>
      <c r="B4268" s="36">
        <v>3997</v>
      </c>
      <c r="C4268" s="90" t="str">
        <f>VLOOKUP(B4268,'All Districts'!$A$3:$B$874,2,FALSE)</f>
        <v>Morris</v>
      </c>
      <c r="D4268" s="40">
        <v>248854</v>
      </c>
      <c r="E4268">
        <f>VLOOKUP(C4268,'All Districts'!$B$3:$C$874,2,FALSE)</f>
        <v>3619860</v>
      </c>
      <c r="F4268" s="91">
        <f>COUNTIF($E$2:$E$7106,E4268)</f>
        <v>9</v>
      </c>
    </row>
    <row r="4269" spans="1:6" x14ac:dyDescent="0.2">
      <c r="A4269" s="10">
        <v>2021</v>
      </c>
      <c r="B4269" s="55">
        <v>3997</v>
      </c>
      <c r="C4269" s="90" t="str">
        <f>VLOOKUP(B4269,'All Districts'!$A$3:$B$874,2,FALSE)</f>
        <v>Morris</v>
      </c>
      <c r="D4269" s="75">
        <v>264993</v>
      </c>
      <c r="E4269">
        <f>VLOOKUP(C4269,'All Districts'!$B$3:$C$874,2,FALSE)</f>
        <v>3619860</v>
      </c>
      <c r="F4269" s="91">
        <f>COUNTIF($E$2:$E$7106,E4269)</f>
        <v>9</v>
      </c>
    </row>
    <row r="4270" spans="1:6" x14ac:dyDescent="0.2">
      <c r="A4270">
        <v>2022</v>
      </c>
      <c r="B4270" s="36">
        <v>3997</v>
      </c>
      <c r="C4270" s="90" t="str">
        <f>VLOOKUP(B4270,'All Districts'!$A$3:$B$874,2,FALSE)</f>
        <v>Morris</v>
      </c>
      <c r="D4270" s="82">
        <v>276524</v>
      </c>
      <c r="E4270">
        <f>VLOOKUP(C4270,'All Districts'!$B$3:$C$874,2,FALSE)</f>
        <v>3619860</v>
      </c>
      <c r="F4270" s="91">
        <f>COUNTIF($E$2:$E$7106,E4270)</f>
        <v>9</v>
      </c>
    </row>
    <row r="4271" spans="1:6" x14ac:dyDescent="0.2">
      <c r="A4271">
        <v>2023</v>
      </c>
      <c r="B4271" s="36">
        <v>3997</v>
      </c>
      <c r="C4271" s="90" t="str">
        <f>VLOOKUP(B4271,'All Districts'!$A$3:$B$874,2,FALSE)</f>
        <v>Morris</v>
      </c>
      <c r="D4271" s="40">
        <v>305404</v>
      </c>
      <c r="E4271">
        <f>VLOOKUP(C4271,'All Districts'!$B$3:$C$874,2,FALSE)</f>
        <v>3619860</v>
      </c>
      <c r="F4271" s="91">
        <f>COUNTIF($E$2:$E$7106,E4271)</f>
        <v>9</v>
      </c>
    </row>
    <row r="4272" spans="1:6" x14ac:dyDescent="0.2">
      <c r="A4272">
        <v>2015</v>
      </c>
      <c r="B4272" s="13">
        <v>4981</v>
      </c>
      <c r="C4272" s="90" t="str">
        <f>VLOOKUP(B4272,'All Districts'!$A$3:$B$874,2,FALSE)</f>
        <v>Morristown</v>
      </c>
      <c r="D4272" s="14">
        <v>379757</v>
      </c>
      <c r="E4272">
        <f>VLOOKUP(C4272,'All Districts'!$B$3:$C$874,2,FALSE)</f>
        <v>3619890</v>
      </c>
      <c r="F4272" s="91">
        <f>COUNTIF($E$2:$E$7106,E4272)</f>
        <v>9</v>
      </c>
    </row>
    <row r="4273" spans="1:6" x14ac:dyDescent="0.2">
      <c r="A4273">
        <v>2016</v>
      </c>
      <c r="B4273" s="13">
        <v>4981</v>
      </c>
      <c r="C4273" s="90" t="str">
        <f>VLOOKUP(B4273,'All Districts'!$A$3:$B$874,2,FALSE)</f>
        <v>Morristown</v>
      </c>
      <c r="D4273" s="16">
        <v>310492</v>
      </c>
      <c r="E4273">
        <f>VLOOKUP(C4273,'All Districts'!$B$3:$C$874,2,FALSE)</f>
        <v>3619890</v>
      </c>
      <c r="F4273" s="91">
        <f>COUNTIF($E$2:$E$7106,E4273)</f>
        <v>9</v>
      </c>
    </row>
    <row r="4274" spans="1:6" x14ac:dyDescent="0.2">
      <c r="A4274">
        <v>2017</v>
      </c>
      <c r="B4274" s="13">
        <v>4981</v>
      </c>
      <c r="C4274" s="90" t="str">
        <f>VLOOKUP(B4274,'All Districts'!$A$3:$B$874,2,FALSE)</f>
        <v>Morristown</v>
      </c>
      <c r="D4274" s="16">
        <v>291919</v>
      </c>
      <c r="E4274">
        <f>VLOOKUP(C4274,'All Districts'!$B$3:$C$874,2,FALSE)</f>
        <v>3619890</v>
      </c>
      <c r="F4274" s="91">
        <f>COUNTIF($E$2:$E$7106,E4274)</f>
        <v>9</v>
      </c>
    </row>
    <row r="4275" spans="1:6" x14ac:dyDescent="0.2">
      <c r="A4275" s="10">
        <v>2018</v>
      </c>
      <c r="B4275" s="13">
        <v>4981</v>
      </c>
      <c r="C4275" s="90" t="str">
        <f>VLOOKUP(B4275,'All Districts'!$A$3:$B$874,2,FALSE)</f>
        <v>Morristown</v>
      </c>
      <c r="D4275" s="15">
        <v>263167</v>
      </c>
      <c r="E4275">
        <f>VLOOKUP(C4275,'All Districts'!$B$3:$C$874,2,FALSE)</f>
        <v>3619890</v>
      </c>
      <c r="F4275" s="91">
        <f>COUNTIF($E$2:$E$7106,E4275)</f>
        <v>9</v>
      </c>
    </row>
    <row r="4276" spans="1:6" x14ac:dyDescent="0.2">
      <c r="A4276">
        <v>2019</v>
      </c>
      <c r="B4276" s="36">
        <v>4981</v>
      </c>
      <c r="C4276" s="90" t="str">
        <f>VLOOKUP(B4276,'All Districts'!$A$3:$B$874,2,FALSE)</f>
        <v>Morristown</v>
      </c>
      <c r="D4276" s="40">
        <v>281220</v>
      </c>
      <c r="E4276">
        <f>VLOOKUP(C4276,'All Districts'!$B$3:$C$874,2,FALSE)</f>
        <v>3619890</v>
      </c>
      <c r="F4276" s="91">
        <f>COUNTIF($E$2:$E$7106,E4276)</f>
        <v>9</v>
      </c>
    </row>
    <row r="4277" spans="1:6" x14ac:dyDescent="0.2">
      <c r="A4277">
        <v>2020</v>
      </c>
      <c r="B4277" s="36">
        <v>4981</v>
      </c>
      <c r="C4277" s="90" t="str">
        <f>VLOOKUP(B4277,'All Districts'!$A$3:$B$874,2,FALSE)</f>
        <v>Morristown</v>
      </c>
      <c r="D4277" s="40">
        <v>224478</v>
      </c>
      <c r="E4277">
        <f>VLOOKUP(C4277,'All Districts'!$B$3:$C$874,2,FALSE)</f>
        <v>3619890</v>
      </c>
      <c r="F4277" s="91">
        <f>COUNTIF($E$2:$E$7106,E4277)</f>
        <v>9</v>
      </c>
    </row>
    <row r="4278" spans="1:6" x14ac:dyDescent="0.2">
      <c r="A4278" s="10">
        <v>2021</v>
      </c>
      <c r="B4278" s="52">
        <v>4981</v>
      </c>
      <c r="C4278" s="90" t="str">
        <f>VLOOKUP(B4278,'All Districts'!$A$3:$B$874,2,FALSE)</f>
        <v>Morristown</v>
      </c>
      <c r="D4278" s="79">
        <v>247189</v>
      </c>
      <c r="E4278">
        <f>VLOOKUP(C4278,'All Districts'!$B$3:$C$874,2,FALSE)</f>
        <v>3619890</v>
      </c>
      <c r="F4278" s="91">
        <f>COUNTIF($E$2:$E$7106,E4278)</f>
        <v>9</v>
      </c>
    </row>
    <row r="4279" spans="1:6" x14ac:dyDescent="0.2">
      <c r="A4279">
        <v>2022</v>
      </c>
      <c r="B4279" s="36">
        <v>4981</v>
      </c>
      <c r="C4279" s="90" t="str">
        <f>VLOOKUP(B4279,'All Districts'!$A$3:$B$874,2,FALSE)</f>
        <v>Morristown</v>
      </c>
      <c r="D4279" s="82">
        <v>263171</v>
      </c>
      <c r="E4279">
        <f>VLOOKUP(C4279,'All Districts'!$B$3:$C$874,2,FALSE)</f>
        <v>3619890</v>
      </c>
      <c r="F4279" s="91">
        <f>COUNTIF($E$2:$E$7106,E4279)</f>
        <v>9</v>
      </c>
    </row>
    <row r="4280" spans="1:6" x14ac:dyDescent="0.2">
      <c r="A4280">
        <v>2023</v>
      </c>
      <c r="B4280" s="36">
        <v>4981</v>
      </c>
      <c r="C4280" s="90" t="str">
        <f>VLOOKUP(B4280,'All Districts'!$A$3:$B$874,2,FALSE)</f>
        <v>Morristown</v>
      </c>
      <c r="D4280" s="40">
        <v>261805</v>
      </c>
      <c r="E4280">
        <f>VLOOKUP(C4280,'All Districts'!$B$3:$C$874,2,FALSE)</f>
        <v>3619890</v>
      </c>
      <c r="F4280" s="91">
        <f>COUNTIF($E$2:$E$7106,E4280)</f>
        <v>9</v>
      </c>
    </row>
    <row r="4281" spans="1:6" x14ac:dyDescent="0.2">
      <c r="A4281">
        <v>2015</v>
      </c>
      <c r="B4281" s="13">
        <v>4202</v>
      </c>
      <c r="C4281" s="90" t="str">
        <f>VLOOKUP(B4281,'All Districts'!$A$3:$B$874,2,FALSE)</f>
        <v>Morrisville-Eaton</v>
      </c>
      <c r="D4281" s="14">
        <v>752324</v>
      </c>
      <c r="E4281">
        <f>VLOOKUP(C4281,'All Districts'!$B$3:$C$874,2,FALSE)</f>
        <v>3619920</v>
      </c>
      <c r="F4281" s="91">
        <f>COUNTIF($E$2:$E$7106,E4281)</f>
        <v>9</v>
      </c>
    </row>
    <row r="4282" spans="1:6" x14ac:dyDescent="0.2">
      <c r="A4282">
        <v>2016</v>
      </c>
      <c r="B4282" s="13">
        <v>4202</v>
      </c>
      <c r="C4282" s="90" t="str">
        <f>VLOOKUP(B4282,'All Districts'!$A$3:$B$874,2,FALSE)</f>
        <v>Morrisville-Eaton</v>
      </c>
      <c r="D4282" s="16">
        <v>564014</v>
      </c>
      <c r="E4282">
        <f>VLOOKUP(C4282,'All Districts'!$B$3:$C$874,2,FALSE)</f>
        <v>3619920</v>
      </c>
      <c r="F4282" s="91">
        <f>COUNTIF($E$2:$E$7106,E4282)</f>
        <v>9</v>
      </c>
    </row>
    <row r="4283" spans="1:6" x14ac:dyDescent="0.2">
      <c r="A4283">
        <v>2017</v>
      </c>
      <c r="B4283" s="13">
        <v>4202</v>
      </c>
      <c r="C4283" s="90" t="str">
        <f>VLOOKUP(B4283,'All Districts'!$A$3:$B$874,2,FALSE)</f>
        <v>Morrisville-Eaton</v>
      </c>
      <c r="D4283" s="16">
        <v>500154</v>
      </c>
      <c r="E4283">
        <f>VLOOKUP(C4283,'All Districts'!$B$3:$C$874,2,FALSE)</f>
        <v>3619920</v>
      </c>
      <c r="F4283" s="91">
        <f>COUNTIF($E$2:$E$7106,E4283)</f>
        <v>9</v>
      </c>
    </row>
    <row r="4284" spans="1:6" x14ac:dyDescent="0.2">
      <c r="A4284" s="10">
        <v>2018</v>
      </c>
      <c r="B4284" s="13">
        <v>4202</v>
      </c>
      <c r="C4284" s="90" t="str">
        <f>VLOOKUP(B4284,'All Districts'!$A$3:$B$874,2,FALSE)</f>
        <v>Morrisville-Eaton</v>
      </c>
      <c r="D4284" s="15">
        <v>423630</v>
      </c>
      <c r="E4284">
        <f>VLOOKUP(C4284,'All Districts'!$B$3:$C$874,2,FALSE)</f>
        <v>3619920</v>
      </c>
      <c r="F4284" s="91">
        <f>COUNTIF($E$2:$E$7106,E4284)</f>
        <v>9</v>
      </c>
    </row>
    <row r="4285" spans="1:6" x14ac:dyDescent="0.2">
      <c r="A4285">
        <v>2019</v>
      </c>
      <c r="B4285" s="36">
        <v>4202</v>
      </c>
      <c r="C4285" s="90" t="str">
        <f>VLOOKUP(B4285,'All Districts'!$A$3:$B$874,2,FALSE)</f>
        <v>Morrisville-Eaton</v>
      </c>
      <c r="D4285" s="40">
        <v>487772</v>
      </c>
      <c r="E4285">
        <f>VLOOKUP(C4285,'All Districts'!$B$3:$C$874,2,FALSE)</f>
        <v>3619920</v>
      </c>
      <c r="F4285" s="91">
        <f>COUNTIF($E$2:$E$7106,E4285)</f>
        <v>9</v>
      </c>
    </row>
    <row r="4286" spans="1:6" x14ac:dyDescent="0.2">
      <c r="A4286">
        <v>2020</v>
      </c>
      <c r="B4286" s="36">
        <v>4202</v>
      </c>
      <c r="C4286" s="90" t="str">
        <f>VLOOKUP(B4286,'All Districts'!$A$3:$B$874,2,FALSE)</f>
        <v>Morrisville-Eaton</v>
      </c>
      <c r="D4286" s="40">
        <v>414835</v>
      </c>
      <c r="E4286">
        <f>VLOOKUP(C4286,'All Districts'!$B$3:$C$874,2,FALSE)</f>
        <v>3619920</v>
      </c>
      <c r="F4286" s="91">
        <f>COUNTIF($E$2:$E$7106,E4286)</f>
        <v>9</v>
      </c>
    </row>
    <row r="4287" spans="1:6" x14ac:dyDescent="0.2">
      <c r="A4287" s="10">
        <v>2021</v>
      </c>
      <c r="B4287" s="52">
        <v>4202</v>
      </c>
      <c r="C4287" s="90" t="str">
        <f>VLOOKUP(B4287,'All Districts'!$A$3:$B$874,2,FALSE)</f>
        <v>Morrisville-Eaton</v>
      </c>
      <c r="D4287" s="76">
        <v>418851</v>
      </c>
      <c r="E4287">
        <f>VLOOKUP(C4287,'All Districts'!$B$3:$C$874,2,FALSE)</f>
        <v>3619920</v>
      </c>
      <c r="F4287" s="91">
        <f>COUNTIF($E$2:$E$7106,E4287)</f>
        <v>9</v>
      </c>
    </row>
    <row r="4288" spans="1:6" x14ac:dyDescent="0.2">
      <c r="A4288">
        <v>2022</v>
      </c>
      <c r="B4288" s="36">
        <v>4202</v>
      </c>
      <c r="C4288" s="90" t="str">
        <f>VLOOKUP(B4288,'All Districts'!$A$3:$B$874,2,FALSE)</f>
        <v>Morrisville-Eaton</v>
      </c>
      <c r="D4288" s="82">
        <v>447762</v>
      </c>
      <c r="E4288">
        <f>VLOOKUP(C4288,'All Districts'!$B$3:$C$874,2,FALSE)</f>
        <v>3619920</v>
      </c>
      <c r="F4288" s="91">
        <f>COUNTIF($E$2:$E$7106,E4288)</f>
        <v>9</v>
      </c>
    </row>
    <row r="4289" spans="1:6" x14ac:dyDescent="0.2">
      <c r="A4289">
        <v>2023</v>
      </c>
      <c r="B4289" s="36">
        <v>4202</v>
      </c>
      <c r="C4289" s="90" t="str">
        <f>VLOOKUP(B4289,'All Districts'!$A$3:$B$874,2,FALSE)</f>
        <v>Morrisville-Eaton</v>
      </c>
      <c r="D4289" s="40">
        <v>449673</v>
      </c>
      <c r="E4289">
        <f>VLOOKUP(C4289,'All Districts'!$B$3:$C$874,2,FALSE)</f>
        <v>3619920</v>
      </c>
      <c r="F4289" s="91">
        <f>COUNTIF($E$2:$E$7106,E4289)</f>
        <v>9</v>
      </c>
    </row>
    <row r="4290" spans="1:6" x14ac:dyDescent="0.2">
      <c r="A4290">
        <v>2015</v>
      </c>
      <c r="B4290" s="13">
        <v>4029</v>
      </c>
      <c r="C4290" s="90" t="str">
        <f>VLOOKUP(B4290,'All Districts'!$A$3:$B$874,2,FALSE)</f>
        <v>Mount Markham</v>
      </c>
      <c r="D4290" s="14">
        <v>1239851</v>
      </c>
      <c r="E4290">
        <f>VLOOKUP(C4290,'All Districts'!$B$3:$C$874,2,FALSE)</f>
        <v>3630930</v>
      </c>
      <c r="F4290" s="91">
        <f>COUNTIF($E$2:$E$7106,E4290)</f>
        <v>9</v>
      </c>
    </row>
    <row r="4291" spans="1:6" x14ac:dyDescent="0.2">
      <c r="A4291">
        <v>2016</v>
      </c>
      <c r="B4291" s="13">
        <v>4029</v>
      </c>
      <c r="C4291" s="90" t="str">
        <f>VLOOKUP(B4291,'All Districts'!$A$3:$B$874,2,FALSE)</f>
        <v>Mount Markham</v>
      </c>
      <c r="D4291" s="16">
        <v>955643</v>
      </c>
      <c r="E4291">
        <f>VLOOKUP(C4291,'All Districts'!$B$3:$C$874,2,FALSE)</f>
        <v>3630930</v>
      </c>
      <c r="F4291" s="91">
        <f>COUNTIF($E$2:$E$7106,E4291)</f>
        <v>9</v>
      </c>
    </row>
    <row r="4292" spans="1:6" x14ac:dyDescent="0.2">
      <c r="A4292">
        <v>2017</v>
      </c>
      <c r="B4292" s="13">
        <v>4029</v>
      </c>
      <c r="C4292" s="90" t="str">
        <f>VLOOKUP(B4292,'All Districts'!$A$3:$B$874,2,FALSE)</f>
        <v>Mount Markham</v>
      </c>
      <c r="D4292" s="16">
        <v>885059</v>
      </c>
      <c r="E4292">
        <f>VLOOKUP(C4292,'All Districts'!$B$3:$C$874,2,FALSE)</f>
        <v>3630930</v>
      </c>
      <c r="F4292" s="91">
        <f>COUNTIF($E$2:$E$7106,E4292)</f>
        <v>9</v>
      </c>
    </row>
    <row r="4293" spans="1:6" x14ac:dyDescent="0.2">
      <c r="A4293" s="10">
        <v>2018</v>
      </c>
      <c r="B4293" s="13">
        <v>4029</v>
      </c>
      <c r="C4293" s="90" t="str">
        <f>VLOOKUP(B4293,'All Districts'!$A$3:$B$874,2,FALSE)</f>
        <v>Mount Markham</v>
      </c>
      <c r="D4293" s="15">
        <v>765125</v>
      </c>
      <c r="E4293">
        <f>VLOOKUP(C4293,'All Districts'!$B$3:$C$874,2,FALSE)</f>
        <v>3630930</v>
      </c>
      <c r="F4293" s="91">
        <f>COUNTIF($E$2:$E$7106,E4293)</f>
        <v>9</v>
      </c>
    </row>
    <row r="4294" spans="1:6" x14ac:dyDescent="0.2">
      <c r="A4294">
        <v>2019</v>
      </c>
      <c r="B4294" s="36">
        <v>4029</v>
      </c>
      <c r="C4294" s="90" t="str">
        <f>VLOOKUP(B4294,'All Districts'!$A$3:$B$874,2,FALSE)</f>
        <v>Mount Markham</v>
      </c>
      <c r="D4294" s="40">
        <v>836257</v>
      </c>
      <c r="E4294">
        <f>VLOOKUP(C4294,'All Districts'!$B$3:$C$874,2,FALSE)</f>
        <v>3630930</v>
      </c>
      <c r="F4294" s="91">
        <f>COUNTIF($E$2:$E$7106,E4294)</f>
        <v>9</v>
      </c>
    </row>
    <row r="4295" spans="1:6" x14ac:dyDescent="0.2">
      <c r="A4295">
        <v>2020</v>
      </c>
      <c r="B4295" s="36">
        <v>4029</v>
      </c>
      <c r="C4295" s="90" t="str">
        <f>VLOOKUP(B4295,'All Districts'!$A$3:$B$874,2,FALSE)</f>
        <v>Mount Markham</v>
      </c>
      <c r="D4295" s="40">
        <v>709190</v>
      </c>
      <c r="E4295">
        <f>VLOOKUP(C4295,'All Districts'!$B$3:$C$874,2,FALSE)</f>
        <v>3630930</v>
      </c>
      <c r="F4295" s="91">
        <f>COUNTIF($E$2:$E$7106,E4295)</f>
        <v>9</v>
      </c>
    </row>
    <row r="4296" spans="1:6" x14ac:dyDescent="0.2">
      <c r="A4296" s="10">
        <v>2021</v>
      </c>
      <c r="B4296" s="52">
        <v>4029</v>
      </c>
      <c r="C4296" s="90" t="str">
        <f>VLOOKUP(B4296,'All Districts'!$A$3:$B$874,2,FALSE)</f>
        <v>Mount Markham</v>
      </c>
      <c r="D4296" s="76">
        <v>787552</v>
      </c>
      <c r="E4296">
        <f>VLOOKUP(C4296,'All Districts'!$B$3:$C$874,2,FALSE)</f>
        <v>3630930</v>
      </c>
      <c r="F4296" s="91">
        <f>COUNTIF($E$2:$E$7106,E4296)</f>
        <v>9</v>
      </c>
    </row>
    <row r="4297" spans="1:6" x14ac:dyDescent="0.2">
      <c r="A4297">
        <v>2022</v>
      </c>
      <c r="B4297" s="36">
        <v>4029</v>
      </c>
      <c r="C4297" s="90" t="str">
        <f>VLOOKUP(B4297,'All Districts'!$A$3:$B$874,2,FALSE)</f>
        <v>Mount Markham</v>
      </c>
      <c r="D4297" s="82">
        <v>867108</v>
      </c>
      <c r="E4297">
        <f>VLOOKUP(C4297,'All Districts'!$B$3:$C$874,2,FALSE)</f>
        <v>3630930</v>
      </c>
      <c r="F4297" s="91">
        <f>COUNTIF($E$2:$E$7106,E4297)</f>
        <v>9</v>
      </c>
    </row>
    <row r="4298" spans="1:6" x14ac:dyDescent="0.2">
      <c r="A4298">
        <v>2023</v>
      </c>
      <c r="B4298" s="36">
        <v>4029</v>
      </c>
      <c r="C4298" s="90" t="str">
        <f>VLOOKUP(B4298,'All Districts'!$A$3:$B$874,2,FALSE)</f>
        <v>Mount Markham</v>
      </c>
      <c r="D4298" s="40">
        <v>942419</v>
      </c>
      <c r="E4298">
        <f>VLOOKUP(C4298,'All Districts'!$B$3:$C$874,2,FALSE)</f>
        <v>3630930</v>
      </c>
      <c r="F4298" s="91">
        <f>COUNTIF($E$2:$E$7106,E4298)</f>
        <v>9</v>
      </c>
    </row>
    <row r="4299" spans="1:6" x14ac:dyDescent="0.2">
      <c r="A4299">
        <v>2015</v>
      </c>
      <c r="B4299" s="13">
        <v>4154</v>
      </c>
      <c r="C4299" s="90" t="str">
        <f>VLOOKUP(B4299,'All Districts'!$A$3:$B$874,2,FALSE)</f>
        <v>Mount Morris</v>
      </c>
      <c r="D4299" s="14">
        <v>600485</v>
      </c>
      <c r="E4299">
        <f>VLOOKUP(C4299,'All Districts'!$B$3:$C$874,2,FALSE)</f>
        <v>3620010</v>
      </c>
      <c r="F4299" s="91">
        <f>COUNTIF($E$2:$E$7106,E4299)</f>
        <v>9</v>
      </c>
    </row>
    <row r="4300" spans="1:6" x14ac:dyDescent="0.2">
      <c r="A4300">
        <v>2016</v>
      </c>
      <c r="B4300" s="13">
        <v>4154</v>
      </c>
      <c r="C4300" s="90" t="str">
        <f>VLOOKUP(B4300,'All Districts'!$A$3:$B$874,2,FALSE)</f>
        <v>Mount Morris</v>
      </c>
      <c r="D4300" s="16">
        <v>466177</v>
      </c>
      <c r="E4300">
        <f>VLOOKUP(C4300,'All Districts'!$B$3:$C$874,2,FALSE)</f>
        <v>3620010</v>
      </c>
      <c r="F4300" s="91">
        <f>COUNTIF($E$2:$E$7106,E4300)</f>
        <v>9</v>
      </c>
    </row>
    <row r="4301" spans="1:6" x14ac:dyDescent="0.2">
      <c r="A4301">
        <v>2017</v>
      </c>
      <c r="B4301" s="13">
        <v>4154</v>
      </c>
      <c r="C4301" s="90" t="str">
        <f>VLOOKUP(B4301,'All Districts'!$A$3:$B$874,2,FALSE)</f>
        <v>Mount Morris</v>
      </c>
      <c r="D4301" s="16">
        <v>431854</v>
      </c>
      <c r="E4301">
        <f>VLOOKUP(C4301,'All Districts'!$B$3:$C$874,2,FALSE)</f>
        <v>3620010</v>
      </c>
      <c r="F4301" s="91">
        <f>COUNTIF($E$2:$E$7106,E4301)</f>
        <v>9</v>
      </c>
    </row>
    <row r="4302" spans="1:6" x14ac:dyDescent="0.2">
      <c r="A4302" s="10">
        <v>2018</v>
      </c>
      <c r="B4302" s="13">
        <v>4154</v>
      </c>
      <c r="C4302" s="90" t="str">
        <f>VLOOKUP(B4302,'All Districts'!$A$3:$B$874,2,FALSE)</f>
        <v>Mount Morris</v>
      </c>
      <c r="D4302" s="15">
        <v>390480</v>
      </c>
      <c r="E4302">
        <f>VLOOKUP(C4302,'All Districts'!$B$3:$C$874,2,FALSE)</f>
        <v>3620010</v>
      </c>
      <c r="F4302" s="91">
        <f>COUNTIF($E$2:$E$7106,E4302)</f>
        <v>9</v>
      </c>
    </row>
    <row r="4303" spans="1:6" x14ac:dyDescent="0.2">
      <c r="A4303">
        <v>2019</v>
      </c>
      <c r="B4303" s="36">
        <v>4154</v>
      </c>
      <c r="C4303" s="90" t="str">
        <f>VLOOKUP(B4303,'All Districts'!$A$3:$B$874,2,FALSE)</f>
        <v>Mount Morris</v>
      </c>
      <c r="D4303" s="40">
        <v>458554</v>
      </c>
      <c r="E4303">
        <f>VLOOKUP(C4303,'All Districts'!$B$3:$C$874,2,FALSE)</f>
        <v>3620010</v>
      </c>
      <c r="F4303" s="91">
        <f>COUNTIF($E$2:$E$7106,E4303)</f>
        <v>9</v>
      </c>
    </row>
    <row r="4304" spans="1:6" x14ac:dyDescent="0.2">
      <c r="A4304">
        <v>2020</v>
      </c>
      <c r="B4304" s="36">
        <v>4154</v>
      </c>
      <c r="C4304" s="90" t="str">
        <f>VLOOKUP(B4304,'All Districts'!$A$3:$B$874,2,FALSE)</f>
        <v>Mount Morris</v>
      </c>
      <c r="D4304" s="40">
        <v>396124</v>
      </c>
      <c r="E4304">
        <f>VLOOKUP(C4304,'All Districts'!$B$3:$C$874,2,FALSE)</f>
        <v>3620010</v>
      </c>
      <c r="F4304" s="91">
        <f>COUNTIF($E$2:$E$7106,E4304)</f>
        <v>9</v>
      </c>
    </row>
    <row r="4305" spans="1:6" x14ac:dyDescent="0.2">
      <c r="A4305" s="10">
        <v>2021</v>
      </c>
      <c r="B4305" s="52">
        <v>4154</v>
      </c>
      <c r="C4305" s="90" t="str">
        <f>VLOOKUP(B4305,'All Districts'!$A$3:$B$874,2,FALSE)</f>
        <v>Mount Morris</v>
      </c>
      <c r="D4305" s="76">
        <v>411028</v>
      </c>
      <c r="E4305">
        <f>VLOOKUP(C4305,'All Districts'!$B$3:$C$874,2,FALSE)</f>
        <v>3620010</v>
      </c>
      <c r="F4305" s="91">
        <f>COUNTIF($E$2:$E$7106,E4305)</f>
        <v>9</v>
      </c>
    </row>
    <row r="4306" spans="1:6" x14ac:dyDescent="0.2">
      <c r="A4306">
        <v>2022</v>
      </c>
      <c r="B4306" s="36">
        <v>4154</v>
      </c>
      <c r="C4306" s="90" t="str">
        <f>VLOOKUP(B4306,'All Districts'!$A$3:$B$874,2,FALSE)</f>
        <v>Mount Morris</v>
      </c>
      <c r="D4306" s="82">
        <v>469918</v>
      </c>
      <c r="E4306">
        <f>VLOOKUP(C4306,'All Districts'!$B$3:$C$874,2,FALSE)</f>
        <v>3620010</v>
      </c>
      <c r="F4306" s="91">
        <f>COUNTIF($E$2:$E$7106,E4306)</f>
        <v>9</v>
      </c>
    </row>
    <row r="4307" spans="1:6" x14ac:dyDescent="0.2">
      <c r="A4307">
        <v>2023</v>
      </c>
      <c r="B4307" s="36">
        <v>4154</v>
      </c>
      <c r="C4307" s="90" t="str">
        <f>VLOOKUP(B4307,'All Districts'!$A$3:$B$874,2,FALSE)</f>
        <v>Mount Morris</v>
      </c>
      <c r="D4307" s="40">
        <v>533160</v>
      </c>
      <c r="E4307">
        <f>VLOOKUP(C4307,'All Districts'!$B$3:$C$874,2,FALSE)</f>
        <v>3620010</v>
      </c>
      <c r="F4307" s="91">
        <f>COUNTIF($E$2:$E$7106,E4307)</f>
        <v>9</v>
      </c>
    </row>
    <row r="4308" spans="1:6" x14ac:dyDescent="0.2">
      <c r="A4308">
        <v>2015</v>
      </c>
      <c r="B4308" s="13">
        <v>2389</v>
      </c>
      <c r="C4308" s="90" t="str">
        <f>VLOOKUP(B4308,'All Districts'!$A$3:$B$874,2,FALSE)</f>
        <v>Mount Pleasant</v>
      </c>
      <c r="D4308" s="14">
        <v>4285666</v>
      </c>
      <c r="E4308">
        <f>VLOOKUP(C4308,'All Districts'!$B$3:$C$874,2,FALSE)</f>
        <v>3620160</v>
      </c>
      <c r="F4308" s="91">
        <f>COUNTIF($E$2:$E$7106,E4308)</f>
        <v>9</v>
      </c>
    </row>
    <row r="4309" spans="1:6" x14ac:dyDescent="0.2">
      <c r="A4309">
        <v>2016</v>
      </c>
      <c r="B4309" s="13">
        <v>2389</v>
      </c>
      <c r="C4309" s="90" t="str">
        <f>VLOOKUP(B4309,'All Districts'!$A$3:$B$874,2,FALSE)</f>
        <v>Mount Pleasant</v>
      </c>
      <c r="D4309" s="16">
        <v>3380980</v>
      </c>
      <c r="E4309">
        <f>VLOOKUP(C4309,'All Districts'!$B$3:$C$874,2,FALSE)</f>
        <v>3620160</v>
      </c>
      <c r="F4309" s="91">
        <f>COUNTIF($E$2:$E$7106,E4309)</f>
        <v>9</v>
      </c>
    </row>
    <row r="4310" spans="1:6" x14ac:dyDescent="0.2">
      <c r="A4310">
        <v>2017</v>
      </c>
      <c r="B4310" s="13">
        <v>2389</v>
      </c>
      <c r="C4310" s="90" t="str">
        <f>VLOOKUP(B4310,'All Districts'!$A$3:$B$874,2,FALSE)</f>
        <v>Mount Pleasant</v>
      </c>
      <c r="D4310" s="16">
        <v>2973517</v>
      </c>
      <c r="E4310">
        <f>VLOOKUP(C4310,'All Districts'!$B$3:$C$874,2,FALSE)</f>
        <v>3620160</v>
      </c>
      <c r="F4310" s="91">
        <f>COUNTIF($E$2:$E$7106,E4310)</f>
        <v>9</v>
      </c>
    </row>
    <row r="4311" spans="1:6" x14ac:dyDescent="0.2">
      <c r="A4311" s="10">
        <v>2018</v>
      </c>
      <c r="B4311" s="13">
        <v>2389</v>
      </c>
      <c r="C4311" s="90" t="str">
        <f>VLOOKUP(B4311,'All Districts'!$A$3:$B$874,2,FALSE)</f>
        <v>Mount Pleasant</v>
      </c>
      <c r="D4311" s="15">
        <v>2506118</v>
      </c>
      <c r="E4311">
        <f>VLOOKUP(C4311,'All Districts'!$B$3:$C$874,2,FALSE)</f>
        <v>3620160</v>
      </c>
      <c r="F4311" s="91">
        <f>COUNTIF($E$2:$E$7106,E4311)</f>
        <v>9</v>
      </c>
    </row>
    <row r="4312" spans="1:6" x14ac:dyDescent="0.2">
      <c r="A4312">
        <v>2019</v>
      </c>
      <c r="B4312" s="36">
        <v>2389</v>
      </c>
      <c r="C4312" s="90" t="str">
        <f>VLOOKUP(B4312,'All Districts'!$A$3:$B$874,2,FALSE)</f>
        <v>Mount Pleasant</v>
      </c>
      <c r="D4312" s="40">
        <v>2719831</v>
      </c>
      <c r="E4312">
        <f>VLOOKUP(C4312,'All Districts'!$B$3:$C$874,2,FALSE)</f>
        <v>3620160</v>
      </c>
      <c r="F4312" s="91">
        <f>COUNTIF($E$2:$E$7106,E4312)</f>
        <v>9</v>
      </c>
    </row>
    <row r="4313" spans="1:6" x14ac:dyDescent="0.2">
      <c r="A4313">
        <v>2020</v>
      </c>
      <c r="B4313" s="36">
        <v>2389</v>
      </c>
      <c r="C4313" s="90" t="str">
        <f>VLOOKUP(B4313,'All Districts'!$A$3:$B$874,2,FALSE)</f>
        <v>Mount Pleasant</v>
      </c>
      <c r="D4313" s="40">
        <v>2393005</v>
      </c>
      <c r="E4313">
        <f>VLOOKUP(C4313,'All Districts'!$B$3:$C$874,2,FALSE)</f>
        <v>3620160</v>
      </c>
      <c r="F4313" s="91">
        <f>COUNTIF($E$2:$E$7106,E4313)</f>
        <v>9</v>
      </c>
    </row>
    <row r="4314" spans="1:6" x14ac:dyDescent="0.2">
      <c r="A4314" s="10">
        <v>2021</v>
      </c>
      <c r="B4314" s="52">
        <v>2389</v>
      </c>
      <c r="C4314" s="90" t="str">
        <f>VLOOKUP(B4314,'All Districts'!$A$3:$B$874,2,FALSE)</f>
        <v>Mount Pleasant</v>
      </c>
      <c r="D4314" s="75">
        <v>2560235</v>
      </c>
      <c r="E4314">
        <f>VLOOKUP(C4314,'All Districts'!$B$3:$C$874,2,FALSE)</f>
        <v>3620160</v>
      </c>
      <c r="F4314" s="91">
        <f>COUNTIF($E$2:$E$7106,E4314)</f>
        <v>9</v>
      </c>
    </row>
    <row r="4315" spans="1:6" x14ac:dyDescent="0.2">
      <c r="A4315">
        <v>2022</v>
      </c>
      <c r="B4315" s="36">
        <v>2389</v>
      </c>
      <c r="C4315" s="90" t="str">
        <f>VLOOKUP(B4315,'All Districts'!$A$3:$B$874,2,FALSE)</f>
        <v>Mount Pleasant</v>
      </c>
      <c r="D4315" s="82">
        <v>2742220</v>
      </c>
      <c r="E4315">
        <f>VLOOKUP(C4315,'All Districts'!$B$3:$C$874,2,FALSE)</f>
        <v>3620160</v>
      </c>
      <c r="F4315" s="91">
        <f>COUNTIF($E$2:$E$7106,E4315)</f>
        <v>9</v>
      </c>
    </row>
    <row r="4316" spans="1:6" x14ac:dyDescent="0.2">
      <c r="A4316">
        <v>2023</v>
      </c>
      <c r="B4316" s="36">
        <v>2389</v>
      </c>
      <c r="C4316" s="90" t="str">
        <f>VLOOKUP(B4316,'All Districts'!$A$3:$B$874,2,FALSE)</f>
        <v>Mount Pleasant</v>
      </c>
      <c r="D4316" s="40">
        <v>2988394</v>
      </c>
      <c r="E4316">
        <f>VLOOKUP(C4316,'All Districts'!$B$3:$C$874,2,FALSE)</f>
        <v>3620160</v>
      </c>
      <c r="F4316" s="91">
        <f>COUNTIF($E$2:$E$7106,E4316)</f>
        <v>9</v>
      </c>
    </row>
    <row r="4317" spans="1:6" x14ac:dyDescent="0.2">
      <c r="A4317">
        <v>2015</v>
      </c>
      <c r="B4317" s="13">
        <v>5820</v>
      </c>
      <c r="C4317" s="90" t="str">
        <f>VLOOKUP(B4317,'All Districts'!$A$3:$B$874,2,FALSE)</f>
        <v>Mount Pleasant Cottage</v>
      </c>
      <c r="D4317" s="15">
        <v>1223028</v>
      </c>
      <c r="E4317">
        <f>VLOOKUP(C4317,'All Districts'!$B$3:$C$874,2,FALSE)</f>
        <v>3608470</v>
      </c>
      <c r="F4317" s="91">
        <f>COUNTIF($E$2:$E$7106,E4317)</f>
        <v>9</v>
      </c>
    </row>
    <row r="4318" spans="1:6" x14ac:dyDescent="0.2">
      <c r="A4318">
        <v>2016</v>
      </c>
      <c r="B4318" s="13">
        <v>5820</v>
      </c>
      <c r="C4318" s="90" t="str">
        <f>VLOOKUP(B4318,'All Districts'!$A$3:$B$874,2,FALSE)</f>
        <v>Mount Pleasant Cottage</v>
      </c>
      <c r="D4318" s="16">
        <v>882230</v>
      </c>
      <c r="E4318">
        <f>VLOOKUP(C4318,'All Districts'!$B$3:$C$874,2,FALSE)</f>
        <v>3608470</v>
      </c>
      <c r="F4318" s="91">
        <f>COUNTIF($E$2:$E$7106,E4318)</f>
        <v>9</v>
      </c>
    </row>
    <row r="4319" spans="1:6" x14ac:dyDescent="0.2">
      <c r="A4319">
        <v>2017</v>
      </c>
      <c r="B4319" s="13">
        <v>5820</v>
      </c>
      <c r="C4319" s="90" t="str">
        <f>VLOOKUP(B4319,'All Districts'!$A$3:$B$874,2,FALSE)</f>
        <v>Mount Pleasant Cottage</v>
      </c>
      <c r="D4319" s="16">
        <v>696421</v>
      </c>
      <c r="E4319">
        <f>VLOOKUP(C4319,'All Districts'!$B$3:$C$874,2,FALSE)</f>
        <v>3608470</v>
      </c>
      <c r="F4319" s="91">
        <f>COUNTIF($E$2:$E$7106,E4319)</f>
        <v>9</v>
      </c>
    </row>
    <row r="4320" spans="1:6" x14ac:dyDescent="0.2">
      <c r="A4320" s="10">
        <v>2018</v>
      </c>
      <c r="B4320" s="13">
        <v>5820</v>
      </c>
      <c r="C4320" s="90" t="str">
        <f>VLOOKUP(B4320,'All Districts'!$A$3:$B$874,2,FALSE)</f>
        <v>Mount Pleasant Cottage</v>
      </c>
      <c r="D4320" s="15">
        <v>549704</v>
      </c>
      <c r="E4320">
        <f>VLOOKUP(C4320,'All Districts'!$B$3:$C$874,2,FALSE)</f>
        <v>3608470</v>
      </c>
      <c r="F4320" s="91">
        <f>COUNTIF($E$2:$E$7106,E4320)</f>
        <v>9</v>
      </c>
    </row>
    <row r="4321" spans="1:6" x14ac:dyDescent="0.2">
      <c r="A4321">
        <v>2019</v>
      </c>
      <c r="B4321" s="36">
        <v>5820</v>
      </c>
      <c r="C4321" s="90" t="str">
        <f>VLOOKUP(B4321,'All Districts'!$A$3:$B$874,2,FALSE)</f>
        <v>Mount Pleasant Cottage</v>
      </c>
      <c r="D4321" s="40">
        <v>614099</v>
      </c>
      <c r="E4321">
        <f>VLOOKUP(C4321,'All Districts'!$B$3:$C$874,2,FALSE)</f>
        <v>3608470</v>
      </c>
      <c r="F4321" s="91">
        <f>COUNTIF($E$2:$E$7106,E4321)</f>
        <v>9</v>
      </c>
    </row>
    <row r="4322" spans="1:6" x14ac:dyDescent="0.2">
      <c r="A4322">
        <v>2020</v>
      </c>
      <c r="B4322" s="36">
        <v>5820</v>
      </c>
      <c r="C4322" s="90" t="str">
        <f>VLOOKUP(B4322,'All Districts'!$A$3:$B$874,2,FALSE)</f>
        <v>Mount Pleasant Cottage</v>
      </c>
      <c r="D4322" s="40">
        <v>528040</v>
      </c>
      <c r="E4322">
        <f>VLOOKUP(C4322,'All Districts'!$B$3:$C$874,2,FALSE)</f>
        <v>3608470</v>
      </c>
      <c r="F4322" s="91">
        <f>COUNTIF($E$2:$E$7106,E4322)</f>
        <v>9</v>
      </c>
    </row>
    <row r="4323" spans="1:6" x14ac:dyDescent="0.2">
      <c r="A4323" s="10">
        <v>2021</v>
      </c>
      <c r="B4323" s="52">
        <v>5820</v>
      </c>
      <c r="C4323" s="90" t="str">
        <f>VLOOKUP(B4323,'All Districts'!$A$3:$B$874,2,FALSE)</f>
        <v>Mount Pleasant Cottage</v>
      </c>
      <c r="D4323" s="76">
        <v>582025</v>
      </c>
      <c r="E4323">
        <f>VLOOKUP(C4323,'All Districts'!$B$3:$C$874,2,FALSE)</f>
        <v>3608470</v>
      </c>
      <c r="F4323" s="91">
        <f>COUNTIF($E$2:$E$7106,E4323)</f>
        <v>9</v>
      </c>
    </row>
    <row r="4324" spans="1:6" x14ac:dyDescent="0.2">
      <c r="A4324">
        <v>2022</v>
      </c>
      <c r="B4324" s="36">
        <v>5820</v>
      </c>
      <c r="C4324" s="90" t="str">
        <f>VLOOKUP(B4324,'All Districts'!$A$3:$B$874,2,FALSE)</f>
        <v>Mount Pleasant Cottage</v>
      </c>
      <c r="D4324" s="82">
        <v>645674</v>
      </c>
      <c r="E4324">
        <f>VLOOKUP(C4324,'All Districts'!$B$3:$C$874,2,FALSE)</f>
        <v>3608470</v>
      </c>
      <c r="F4324" s="91">
        <f>COUNTIF($E$2:$E$7106,E4324)</f>
        <v>9</v>
      </c>
    </row>
    <row r="4325" spans="1:6" x14ac:dyDescent="0.2">
      <c r="A4325">
        <v>2023</v>
      </c>
      <c r="B4325" s="36">
        <v>5820</v>
      </c>
      <c r="C4325" s="90" t="str">
        <f>VLOOKUP(B4325,'All Districts'!$A$3:$B$874,2,FALSE)</f>
        <v>Mount Pleasant Cottage</v>
      </c>
      <c r="D4325" s="40">
        <v>690680</v>
      </c>
      <c r="E4325">
        <f>VLOOKUP(C4325,'All Districts'!$B$3:$C$874,2,FALSE)</f>
        <v>3608470</v>
      </c>
      <c r="F4325" s="91">
        <f>COUNTIF($E$2:$E$7106,E4325)</f>
        <v>9</v>
      </c>
    </row>
    <row r="4326" spans="1:6" x14ac:dyDescent="0.2">
      <c r="A4326">
        <v>2015</v>
      </c>
      <c r="B4326" s="13">
        <v>5823</v>
      </c>
      <c r="C4326" s="90" t="str">
        <f>VLOOKUP(B4326,'All Districts'!$A$3:$B$874,2,FALSE)</f>
        <v>Mount Pleasant-Blythedale</v>
      </c>
      <c r="D4326" s="15">
        <v>459164</v>
      </c>
      <c r="E4326">
        <f>VLOOKUP(C4326,'All Districts'!$B$3:$C$874,2,FALSE)</f>
        <v>3620170</v>
      </c>
      <c r="F4326" s="91">
        <f>COUNTIF($E$2:$E$7106,E4326)</f>
        <v>9</v>
      </c>
    </row>
    <row r="4327" spans="1:6" x14ac:dyDescent="0.2">
      <c r="A4327">
        <v>2016</v>
      </c>
      <c r="B4327" s="13">
        <v>5823</v>
      </c>
      <c r="C4327" s="90" t="str">
        <f>VLOOKUP(B4327,'All Districts'!$A$3:$B$874,2,FALSE)</f>
        <v>Mount Pleasant-Blythedale</v>
      </c>
      <c r="D4327" s="16">
        <v>346522</v>
      </c>
      <c r="E4327">
        <f>VLOOKUP(C4327,'All Districts'!$B$3:$C$874,2,FALSE)</f>
        <v>3620170</v>
      </c>
      <c r="F4327" s="91">
        <f>COUNTIF($E$2:$E$7106,E4327)</f>
        <v>9</v>
      </c>
    </row>
    <row r="4328" spans="1:6" x14ac:dyDescent="0.2">
      <c r="A4328">
        <v>2017</v>
      </c>
      <c r="B4328" s="13">
        <v>5823</v>
      </c>
      <c r="C4328" s="90" t="str">
        <f>VLOOKUP(B4328,'All Districts'!$A$3:$B$874,2,FALSE)</f>
        <v>Mount Pleasant-Blythedale</v>
      </c>
      <c r="D4328" s="16">
        <v>316919</v>
      </c>
      <c r="E4328">
        <f>VLOOKUP(C4328,'All Districts'!$B$3:$C$874,2,FALSE)</f>
        <v>3620170</v>
      </c>
      <c r="F4328" s="91">
        <f>COUNTIF($E$2:$E$7106,E4328)</f>
        <v>9</v>
      </c>
    </row>
    <row r="4329" spans="1:6" x14ac:dyDescent="0.2">
      <c r="A4329" s="10">
        <v>2018</v>
      </c>
      <c r="B4329" s="13">
        <v>5823</v>
      </c>
      <c r="C4329" s="90" t="str">
        <f>VLOOKUP(B4329,'All Districts'!$A$3:$B$874,2,FALSE)</f>
        <v>Mount Pleasant-Blythedale</v>
      </c>
      <c r="D4329" s="15">
        <v>261626</v>
      </c>
      <c r="E4329">
        <f>VLOOKUP(C4329,'All Districts'!$B$3:$C$874,2,FALSE)</f>
        <v>3620170</v>
      </c>
      <c r="F4329" s="91">
        <f>COUNTIF($E$2:$E$7106,E4329)</f>
        <v>9</v>
      </c>
    </row>
    <row r="4330" spans="1:6" x14ac:dyDescent="0.2">
      <c r="A4330">
        <v>2019</v>
      </c>
      <c r="B4330" s="36">
        <v>5823</v>
      </c>
      <c r="C4330" s="90" t="str">
        <f>VLOOKUP(B4330,'All Districts'!$A$3:$B$874,2,FALSE)</f>
        <v>Mount Pleasant-Blythedale</v>
      </c>
      <c r="D4330" s="40">
        <v>321449</v>
      </c>
      <c r="E4330">
        <f>VLOOKUP(C4330,'All Districts'!$B$3:$C$874,2,FALSE)</f>
        <v>3620170</v>
      </c>
      <c r="F4330" s="91">
        <f>COUNTIF($E$2:$E$7106,E4330)</f>
        <v>9</v>
      </c>
    </row>
    <row r="4331" spans="1:6" x14ac:dyDescent="0.2">
      <c r="A4331">
        <v>2020</v>
      </c>
      <c r="B4331" s="36">
        <v>5823</v>
      </c>
      <c r="C4331" s="90" t="str">
        <f>VLOOKUP(B4331,'All Districts'!$A$3:$B$874,2,FALSE)</f>
        <v>Mount Pleasant-Blythedale</v>
      </c>
      <c r="D4331" s="40">
        <v>265408</v>
      </c>
      <c r="E4331">
        <f>VLOOKUP(C4331,'All Districts'!$B$3:$C$874,2,FALSE)</f>
        <v>3620170</v>
      </c>
      <c r="F4331" s="91">
        <f>COUNTIF($E$2:$E$7106,E4331)</f>
        <v>9</v>
      </c>
    </row>
    <row r="4332" spans="1:6" x14ac:dyDescent="0.2">
      <c r="A4332" s="10">
        <v>2021</v>
      </c>
      <c r="B4332" s="52">
        <v>5823</v>
      </c>
      <c r="C4332" s="90" t="str">
        <f>VLOOKUP(B4332,'All Districts'!$A$3:$B$874,2,FALSE)</f>
        <v>Mount Pleasant-Blythedale</v>
      </c>
      <c r="D4332" s="75">
        <v>289612</v>
      </c>
      <c r="E4332">
        <f>VLOOKUP(C4332,'All Districts'!$B$3:$C$874,2,FALSE)</f>
        <v>3620170</v>
      </c>
      <c r="F4332" s="91">
        <f>COUNTIF($E$2:$E$7106,E4332)</f>
        <v>9</v>
      </c>
    </row>
    <row r="4333" spans="1:6" x14ac:dyDescent="0.2">
      <c r="A4333">
        <v>2022</v>
      </c>
      <c r="B4333" s="36">
        <v>5823</v>
      </c>
      <c r="C4333" s="90" t="str">
        <f>VLOOKUP(B4333,'All Districts'!$A$3:$B$874,2,FALSE)</f>
        <v>Mount Pleasant-Blythedale</v>
      </c>
      <c r="D4333" s="82">
        <v>299934</v>
      </c>
      <c r="E4333">
        <f>VLOOKUP(C4333,'All Districts'!$B$3:$C$874,2,FALSE)</f>
        <v>3620170</v>
      </c>
      <c r="F4333" s="91">
        <f>COUNTIF($E$2:$E$7106,E4333)</f>
        <v>9</v>
      </c>
    </row>
    <row r="4334" spans="1:6" x14ac:dyDescent="0.2">
      <c r="A4334">
        <v>2023</v>
      </c>
      <c r="B4334" s="36">
        <v>5823</v>
      </c>
      <c r="C4334" s="90" t="str">
        <f>VLOOKUP(B4334,'All Districts'!$A$3:$B$874,2,FALSE)</f>
        <v>Mount Pleasant-Blythedale</v>
      </c>
      <c r="D4334" s="40">
        <v>306351</v>
      </c>
      <c r="E4334">
        <f>VLOOKUP(C4334,'All Districts'!$B$3:$C$874,2,FALSE)</f>
        <v>3620170</v>
      </c>
      <c r="F4334" s="91">
        <f>COUNTIF($E$2:$E$7106,E4334)</f>
        <v>9</v>
      </c>
    </row>
    <row r="4335" spans="1:6" x14ac:dyDescent="0.2">
      <c r="A4335">
        <v>2015</v>
      </c>
      <c r="B4335" s="13">
        <v>5407</v>
      </c>
      <c r="C4335" s="90" t="str">
        <f>VLOOKUP(B4335,'All Districts'!$A$3:$B$874,2,FALSE)</f>
        <v>Mount Sinai</v>
      </c>
      <c r="D4335" s="14">
        <v>4192152</v>
      </c>
      <c r="E4335">
        <f>VLOOKUP(C4335,'All Districts'!$B$3:$C$874,2,FALSE)</f>
        <v>3620040</v>
      </c>
      <c r="F4335" s="91">
        <f>COUNTIF($E$2:$E$7106,E4335)</f>
        <v>9</v>
      </c>
    </row>
    <row r="4336" spans="1:6" x14ac:dyDescent="0.2">
      <c r="A4336">
        <v>2016</v>
      </c>
      <c r="B4336" s="13">
        <v>5407</v>
      </c>
      <c r="C4336" s="90" t="str">
        <f>VLOOKUP(B4336,'All Districts'!$A$3:$B$874,2,FALSE)</f>
        <v>Mount Sinai</v>
      </c>
      <c r="D4336" s="16">
        <v>3273652</v>
      </c>
      <c r="E4336">
        <f>VLOOKUP(C4336,'All Districts'!$B$3:$C$874,2,FALSE)</f>
        <v>3620040</v>
      </c>
      <c r="F4336" s="91">
        <f>COUNTIF($E$2:$E$7106,E4336)</f>
        <v>9</v>
      </c>
    </row>
    <row r="4337" spans="1:6" x14ac:dyDescent="0.2">
      <c r="A4337">
        <v>2017</v>
      </c>
      <c r="B4337" s="13">
        <v>5407</v>
      </c>
      <c r="C4337" s="90" t="str">
        <f>VLOOKUP(B4337,'All Districts'!$A$3:$B$874,2,FALSE)</f>
        <v>Mount Sinai</v>
      </c>
      <c r="D4337" s="16">
        <v>2911703</v>
      </c>
      <c r="E4337">
        <f>VLOOKUP(C4337,'All Districts'!$B$3:$C$874,2,FALSE)</f>
        <v>3620040</v>
      </c>
      <c r="F4337" s="91">
        <f>COUNTIF($E$2:$E$7106,E4337)</f>
        <v>9</v>
      </c>
    </row>
    <row r="4338" spans="1:6" x14ac:dyDescent="0.2">
      <c r="A4338" s="10">
        <v>2018</v>
      </c>
      <c r="B4338" s="13">
        <v>5407</v>
      </c>
      <c r="C4338" s="90" t="str">
        <f>VLOOKUP(B4338,'All Districts'!$A$3:$B$874,2,FALSE)</f>
        <v>Mount Sinai</v>
      </c>
      <c r="D4338" s="15">
        <v>2461817</v>
      </c>
      <c r="E4338">
        <f>VLOOKUP(C4338,'All Districts'!$B$3:$C$874,2,FALSE)</f>
        <v>3620040</v>
      </c>
      <c r="F4338" s="91">
        <f>COUNTIF($E$2:$E$7106,E4338)</f>
        <v>9</v>
      </c>
    </row>
    <row r="4339" spans="1:6" x14ac:dyDescent="0.2">
      <c r="A4339">
        <v>2019</v>
      </c>
      <c r="B4339" s="36">
        <v>5407</v>
      </c>
      <c r="C4339" s="90" t="str">
        <f>VLOOKUP(B4339,'All Districts'!$A$3:$B$874,2,FALSE)</f>
        <v>Mount Sinai</v>
      </c>
      <c r="D4339" s="40">
        <v>2665519</v>
      </c>
      <c r="E4339">
        <f>VLOOKUP(C4339,'All Districts'!$B$3:$C$874,2,FALSE)</f>
        <v>3620040</v>
      </c>
      <c r="F4339" s="91">
        <f>COUNTIF($E$2:$E$7106,E4339)</f>
        <v>9</v>
      </c>
    </row>
    <row r="4340" spans="1:6" x14ac:dyDescent="0.2">
      <c r="A4340">
        <v>2020</v>
      </c>
      <c r="B4340" s="36">
        <v>5407</v>
      </c>
      <c r="C4340" s="90" t="str">
        <f>VLOOKUP(B4340,'All Districts'!$A$3:$B$874,2,FALSE)</f>
        <v>Mount Sinai</v>
      </c>
      <c r="D4340" s="40">
        <v>2240398</v>
      </c>
      <c r="E4340">
        <f>VLOOKUP(C4340,'All Districts'!$B$3:$C$874,2,FALSE)</f>
        <v>3620040</v>
      </c>
      <c r="F4340" s="91">
        <f>COUNTIF($E$2:$E$7106,E4340)</f>
        <v>9</v>
      </c>
    </row>
    <row r="4341" spans="1:6" x14ac:dyDescent="0.2">
      <c r="A4341" s="10">
        <v>2021</v>
      </c>
      <c r="B4341" s="52">
        <v>5407</v>
      </c>
      <c r="C4341" s="90" t="str">
        <f>VLOOKUP(B4341,'All Districts'!$A$3:$B$874,2,FALSE)</f>
        <v>Mount Sinai</v>
      </c>
      <c r="D4341" s="75">
        <v>2474557</v>
      </c>
      <c r="E4341">
        <f>VLOOKUP(C4341,'All Districts'!$B$3:$C$874,2,FALSE)</f>
        <v>3620040</v>
      </c>
      <c r="F4341" s="91">
        <f>COUNTIF($E$2:$E$7106,E4341)</f>
        <v>9</v>
      </c>
    </row>
    <row r="4342" spans="1:6" x14ac:dyDescent="0.2">
      <c r="A4342">
        <v>2022</v>
      </c>
      <c r="B4342" s="36">
        <v>5407</v>
      </c>
      <c r="C4342" s="90" t="str">
        <f>VLOOKUP(B4342,'All Districts'!$A$3:$B$874,2,FALSE)</f>
        <v>Mount Sinai</v>
      </c>
      <c r="D4342" s="82">
        <v>2605617</v>
      </c>
      <c r="E4342">
        <f>VLOOKUP(C4342,'All Districts'!$B$3:$C$874,2,FALSE)</f>
        <v>3620040</v>
      </c>
      <c r="F4342" s="91">
        <f>COUNTIF($E$2:$E$7106,E4342)</f>
        <v>9</v>
      </c>
    </row>
    <row r="4343" spans="1:6" x14ac:dyDescent="0.2">
      <c r="A4343">
        <v>2023</v>
      </c>
      <c r="B4343" s="36">
        <v>5407</v>
      </c>
      <c r="C4343" s="90" t="str">
        <f>VLOOKUP(B4343,'All Districts'!$A$3:$B$874,2,FALSE)</f>
        <v>Mount Sinai</v>
      </c>
      <c r="D4343" s="40">
        <v>2589027</v>
      </c>
      <c r="E4343">
        <f>VLOOKUP(C4343,'All Districts'!$B$3:$C$874,2,FALSE)</f>
        <v>3620040</v>
      </c>
      <c r="F4343" s="91">
        <f>COUNTIF($E$2:$E$7106,E4343)</f>
        <v>9</v>
      </c>
    </row>
    <row r="4344" spans="1:6" x14ac:dyDescent="0.2">
      <c r="A4344">
        <v>2015</v>
      </c>
      <c r="B4344" s="13">
        <v>1155</v>
      </c>
      <c r="C4344" s="90" t="str">
        <f>VLOOKUP(B4344,'All Districts'!$A$3:$B$874,2,FALSE)</f>
        <v>Mount Vernon</v>
      </c>
      <c r="D4344" s="14">
        <v>15965649</v>
      </c>
      <c r="E4344">
        <f>VLOOKUP(C4344,'All Districts'!$B$3:$C$874,2,FALSE)</f>
        <v>3620100</v>
      </c>
      <c r="F4344" s="91">
        <f>COUNTIF($E$2:$E$7106,E4344)</f>
        <v>9</v>
      </c>
    </row>
    <row r="4345" spans="1:6" x14ac:dyDescent="0.2">
      <c r="A4345">
        <v>2016</v>
      </c>
      <c r="B4345" s="13">
        <v>1155</v>
      </c>
      <c r="C4345" s="90" t="str">
        <f>VLOOKUP(B4345,'All Districts'!$A$3:$B$874,2,FALSE)</f>
        <v>Mount Vernon</v>
      </c>
      <c r="D4345" s="16">
        <v>12430217</v>
      </c>
      <c r="E4345">
        <f>VLOOKUP(C4345,'All Districts'!$B$3:$C$874,2,FALSE)</f>
        <v>3620100</v>
      </c>
      <c r="F4345" s="91">
        <f>COUNTIF($E$2:$E$7106,E4345)</f>
        <v>9</v>
      </c>
    </row>
    <row r="4346" spans="1:6" x14ac:dyDescent="0.2">
      <c r="A4346">
        <v>2017</v>
      </c>
      <c r="B4346" s="13">
        <v>1155</v>
      </c>
      <c r="C4346" s="90" t="str">
        <f>VLOOKUP(B4346,'All Districts'!$A$3:$B$874,2,FALSE)</f>
        <v>Mount Vernon</v>
      </c>
      <c r="D4346" s="16">
        <v>11584315</v>
      </c>
      <c r="E4346">
        <f>VLOOKUP(C4346,'All Districts'!$B$3:$C$874,2,FALSE)</f>
        <v>3620100</v>
      </c>
      <c r="F4346" s="91">
        <f>COUNTIF($E$2:$E$7106,E4346)</f>
        <v>9</v>
      </c>
    </row>
    <row r="4347" spans="1:6" x14ac:dyDescent="0.2">
      <c r="A4347" s="10">
        <v>2018</v>
      </c>
      <c r="B4347" s="13">
        <v>1155</v>
      </c>
      <c r="C4347" s="90" t="str">
        <f>VLOOKUP(B4347,'All Districts'!$A$3:$B$874,2,FALSE)</f>
        <v>Mount Vernon</v>
      </c>
      <c r="D4347" s="15">
        <v>9971391</v>
      </c>
      <c r="E4347">
        <f>VLOOKUP(C4347,'All Districts'!$B$3:$C$874,2,FALSE)</f>
        <v>3620100</v>
      </c>
      <c r="F4347" s="91">
        <f>COUNTIF($E$2:$E$7106,E4347)</f>
        <v>9</v>
      </c>
    </row>
    <row r="4348" spans="1:6" x14ac:dyDescent="0.2">
      <c r="A4348">
        <v>2019</v>
      </c>
      <c r="B4348" s="36">
        <v>1155</v>
      </c>
      <c r="C4348" s="90" t="str">
        <f>VLOOKUP(B4348,'All Districts'!$A$3:$B$874,2,FALSE)</f>
        <v>Mount Vernon</v>
      </c>
      <c r="D4348" s="40">
        <v>11063948</v>
      </c>
      <c r="E4348">
        <f>VLOOKUP(C4348,'All Districts'!$B$3:$C$874,2,FALSE)</f>
        <v>3620100</v>
      </c>
      <c r="F4348" s="91">
        <f>COUNTIF($E$2:$E$7106,E4348)</f>
        <v>9</v>
      </c>
    </row>
    <row r="4349" spans="1:6" x14ac:dyDescent="0.2">
      <c r="A4349">
        <v>2020</v>
      </c>
      <c r="B4349" s="36">
        <v>1155</v>
      </c>
      <c r="C4349" s="90" t="str">
        <f>VLOOKUP(B4349,'All Districts'!$A$3:$B$874,2,FALSE)</f>
        <v>Mount Vernon</v>
      </c>
      <c r="D4349" s="40">
        <v>9072459</v>
      </c>
      <c r="E4349">
        <f>VLOOKUP(C4349,'All Districts'!$B$3:$C$874,2,FALSE)</f>
        <v>3620100</v>
      </c>
      <c r="F4349" s="91">
        <f>COUNTIF($E$2:$E$7106,E4349)</f>
        <v>9</v>
      </c>
    </row>
    <row r="4350" spans="1:6" x14ac:dyDescent="0.2">
      <c r="A4350" s="10">
        <v>2021</v>
      </c>
      <c r="B4350" s="52">
        <v>1155</v>
      </c>
      <c r="C4350" s="90" t="str">
        <f>VLOOKUP(B4350,'All Districts'!$A$3:$B$874,2,FALSE)</f>
        <v>Mount Vernon</v>
      </c>
      <c r="D4350" s="76">
        <v>9278296</v>
      </c>
      <c r="E4350">
        <f>VLOOKUP(C4350,'All Districts'!$B$3:$C$874,2,FALSE)</f>
        <v>3620100</v>
      </c>
      <c r="F4350" s="91">
        <f>COUNTIF($E$2:$E$7106,E4350)</f>
        <v>9</v>
      </c>
    </row>
    <row r="4351" spans="1:6" x14ac:dyDescent="0.2">
      <c r="A4351">
        <v>2022</v>
      </c>
      <c r="B4351" s="36">
        <v>1155</v>
      </c>
      <c r="C4351" s="90" t="str">
        <f>VLOOKUP(B4351,'All Districts'!$A$3:$B$874,2,FALSE)</f>
        <v>Mount Vernon</v>
      </c>
      <c r="D4351" s="82">
        <v>9377981</v>
      </c>
      <c r="E4351">
        <f>VLOOKUP(C4351,'All Districts'!$B$3:$C$874,2,FALSE)</f>
        <v>3620100</v>
      </c>
      <c r="F4351" s="91">
        <f>COUNTIF($E$2:$E$7106,E4351)</f>
        <v>9</v>
      </c>
    </row>
    <row r="4352" spans="1:6" x14ac:dyDescent="0.2">
      <c r="A4352">
        <v>2023</v>
      </c>
      <c r="B4352" s="36">
        <v>1155</v>
      </c>
      <c r="C4352" s="90" t="str">
        <f>VLOOKUP(B4352,'All Districts'!$A$3:$B$874,2,FALSE)</f>
        <v>Mount Vernon</v>
      </c>
      <c r="D4352" s="40">
        <v>10337360</v>
      </c>
      <c r="E4352">
        <f>VLOOKUP(C4352,'All Districts'!$B$3:$C$874,2,FALSE)</f>
        <v>3620100</v>
      </c>
      <c r="F4352" s="91">
        <f>COUNTIF($E$2:$E$7106,E4352)</f>
        <v>9</v>
      </c>
    </row>
    <row r="4353" spans="1:6" x14ac:dyDescent="0.2">
      <c r="A4353">
        <v>2015</v>
      </c>
      <c r="B4353" s="13">
        <v>2391</v>
      </c>
      <c r="C4353" s="90" t="str">
        <f>VLOOKUP(B4353,'All Districts'!$A$3:$B$874,2,FALSE)</f>
        <v>Nanuet</v>
      </c>
      <c r="D4353" s="14">
        <v>4375938</v>
      </c>
      <c r="E4353">
        <f>VLOOKUP(C4353,'All Districts'!$B$3:$C$874,2,FALSE)</f>
        <v>3620190</v>
      </c>
      <c r="F4353" s="91">
        <f>COUNTIF($E$2:$E$7106,E4353)</f>
        <v>9</v>
      </c>
    </row>
    <row r="4354" spans="1:6" x14ac:dyDescent="0.2">
      <c r="A4354">
        <v>2016</v>
      </c>
      <c r="B4354" s="13">
        <v>2391</v>
      </c>
      <c r="C4354" s="90" t="str">
        <f>VLOOKUP(B4354,'All Districts'!$A$3:$B$874,2,FALSE)</f>
        <v>Nanuet</v>
      </c>
      <c r="D4354" s="16">
        <v>3331891</v>
      </c>
      <c r="E4354">
        <f>VLOOKUP(C4354,'All Districts'!$B$3:$C$874,2,FALSE)</f>
        <v>3620190</v>
      </c>
      <c r="F4354" s="91">
        <f>COUNTIF($E$2:$E$7106,E4354)</f>
        <v>9</v>
      </c>
    </row>
    <row r="4355" spans="1:6" x14ac:dyDescent="0.2">
      <c r="A4355">
        <v>2017</v>
      </c>
      <c r="B4355" s="13">
        <v>2391</v>
      </c>
      <c r="C4355" s="90" t="str">
        <f>VLOOKUP(B4355,'All Districts'!$A$3:$B$874,2,FALSE)</f>
        <v>Nanuet</v>
      </c>
      <c r="D4355" s="16">
        <v>2975121</v>
      </c>
      <c r="E4355">
        <f>VLOOKUP(C4355,'All Districts'!$B$3:$C$874,2,FALSE)</f>
        <v>3620190</v>
      </c>
      <c r="F4355" s="91">
        <f>COUNTIF($E$2:$E$7106,E4355)</f>
        <v>9</v>
      </c>
    </row>
    <row r="4356" spans="1:6" x14ac:dyDescent="0.2">
      <c r="A4356" s="10">
        <v>2018</v>
      </c>
      <c r="B4356" s="13">
        <v>2391</v>
      </c>
      <c r="C4356" s="90" t="str">
        <f>VLOOKUP(B4356,'All Districts'!$A$3:$B$874,2,FALSE)</f>
        <v>Nanuet</v>
      </c>
      <c r="D4356" s="15">
        <v>2552691</v>
      </c>
      <c r="E4356">
        <f>VLOOKUP(C4356,'All Districts'!$B$3:$C$874,2,FALSE)</f>
        <v>3620190</v>
      </c>
      <c r="F4356" s="91">
        <f>COUNTIF($E$2:$E$7106,E4356)</f>
        <v>9</v>
      </c>
    </row>
    <row r="4357" spans="1:6" x14ac:dyDescent="0.2">
      <c r="A4357">
        <v>2019</v>
      </c>
      <c r="B4357" s="36">
        <v>2391</v>
      </c>
      <c r="C4357" s="90" t="str">
        <f>VLOOKUP(B4357,'All Districts'!$A$3:$B$874,2,FALSE)</f>
        <v>Nanuet</v>
      </c>
      <c r="D4357" s="40">
        <v>2799040</v>
      </c>
      <c r="E4357">
        <f>VLOOKUP(C4357,'All Districts'!$B$3:$C$874,2,FALSE)</f>
        <v>3620190</v>
      </c>
      <c r="F4357" s="91">
        <f>COUNTIF($E$2:$E$7106,E4357)</f>
        <v>9</v>
      </c>
    </row>
    <row r="4358" spans="1:6" x14ac:dyDescent="0.2">
      <c r="A4358">
        <v>2020</v>
      </c>
      <c r="B4358" s="36">
        <v>2391</v>
      </c>
      <c r="C4358" s="90" t="str">
        <f>VLOOKUP(B4358,'All Districts'!$A$3:$B$874,2,FALSE)</f>
        <v>Nanuet</v>
      </c>
      <c r="D4358" s="40">
        <v>2450249</v>
      </c>
      <c r="E4358">
        <f>VLOOKUP(C4358,'All Districts'!$B$3:$C$874,2,FALSE)</f>
        <v>3620190</v>
      </c>
      <c r="F4358" s="91">
        <f>COUNTIF($E$2:$E$7106,E4358)</f>
        <v>9</v>
      </c>
    </row>
    <row r="4359" spans="1:6" x14ac:dyDescent="0.2">
      <c r="A4359" s="10">
        <v>2021</v>
      </c>
      <c r="B4359" s="52">
        <v>2391</v>
      </c>
      <c r="C4359" s="90" t="str">
        <f>VLOOKUP(B4359,'All Districts'!$A$3:$B$874,2,FALSE)</f>
        <v>Nanuet</v>
      </c>
      <c r="D4359" s="75">
        <v>2654315</v>
      </c>
      <c r="E4359">
        <f>VLOOKUP(C4359,'All Districts'!$B$3:$C$874,2,FALSE)</f>
        <v>3620190</v>
      </c>
      <c r="F4359" s="91">
        <f>COUNTIF($E$2:$E$7106,E4359)</f>
        <v>9</v>
      </c>
    </row>
    <row r="4360" spans="1:6" x14ac:dyDescent="0.2">
      <c r="A4360">
        <v>2022</v>
      </c>
      <c r="B4360" s="36">
        <v>2391</v>
      </c>
      <c r="C4360" s="90" t="str">
        <f>VLOOKUP(B4360,'All Districts'!$A$3:$B$874,2,FALSE)</f>
        <v>Nanuet</v>
      </c>
      <c r="D4360" s="82">
        <v>2886751</v>
      </c>
      <c r="E4360">
        <f>VLOOKUP(C4360,'All Districts'!$B$3:$C$874,2,FALSE)</f>
        <v>3620190</v>
      </c>
      <c r="F4360" s="91">
        <f>COUNTIF($E$2:$E$7106,E4360)</f>
        <v>9</v>
      </c>
    </row>
    <row r="4361" spans="1:6" x14ac:dyDescent="0.2">
      <c r="A4361">
        <v>2023</v>
      </c>
      <c r="B4361" s="36">
        <v>2391</v>
      </c>
      <c r="C4361" s="90" t="str">
        <f>VLOOKUP(B4361,'All Districts'!$A$3:$B$874,2,FALSE)</f>
        <v>Nanuet</v>
      </c>
      <c r="D4361" s="40">
        <v>3162707</v>
      </c>
      <c r="E4361">
        <f>VLOOKUP(C4361,'All Districts'!$B$3:$C$874,2,FALSE)</f>
        <v>3620190</v>
      </c>
      <c r="F4361" s="91">
        <f>COUNTIF($E$2:$E$7106,E4361)</f>
        <v>9</v>
      </c>
    </row>
    <row r="4362" spans="1:6" x14ac:dyDescent="0.2">
      <c r="A4362">
        <v>2015</v>
      </c>
      <c r="B4362" s="13">
        <v>4590</v>
      </c>
      <c r="C4362" s="90" t="str">
        <f>VLOOKUP(B4362,'All Districts'!$A$3:$B$874,2,FALSE)</f>
        <v>Naples</v>
      </c>
      <c r="D4362" s="14">
        <v>963514</v>
      </c>
      <c r="E4362">
        <f>VLOOKUP(C4362,'All Districts'!$B$3:$C$874,2,FALSE)</f>
        <v>3620220</v>
      </c>
      <c r="F4362" s="91">
        <f>COUNTIF($E$2:$E$7106,E4362)</f>
        <v>9</v>
      </c>
    </row>
    <row r="4363" spans="1:6" x14ac:dyDescent="0.2">
      <c r="A4363">
        <v>2016</v>
      </c>
      <c r="B4363" s="13">
        <v>4590</v>
      </c>
      <c r="C4363" s="90" t="str">
        <f>VLOOKUP(B4363,'All Districts'!$A$3:$B$874,2,FALSE)</f>
        <v>Naples</v>
      </c>
      <c r="D4363" s="16">
        <v>729313</v>
      </c>
      <c r="E4363">
        <f>VLOOKUP(C4363,'All Districts'!$B$3:$C$874,2,FALSE)</f>
        <v>3620220</v>
      </c>
      <c r="F4363" s="91">
        <f>COUNTIF($E$2:$E$7106,E4363)</f>
        <v>9</v>
      </c>
    </row>
    <row r="4364" spans="1:6" x14ac:dyDescent="0.2">
      <c r="A4364">
        <v>2017</v>
      </c>
      <c r="B4364" s="13">
        <v>4590</v>
      </c>
      <c r="C4364" s="90" t="str">
        <f>VLOOKUP(B4364,'All Districts'!$A$3:$B$874,2,FALSE)</f>
        <v>Naples</v>
      </c>
      <c r="D4364" s="16">
        <v>680279</v>
      </c>
      <c r="E4364">
        <f>VLOOKUP(C4364,'All Districts'!$B$3:$C$874,2,FALSE)</f>
        <v>3620220</v>
      </c>
      <c r="F4364" s="91">
        <f>COUNTIF($E$2:$E$7106,E4364)</f>
        <v>9</v>
      </c>
    </row>
    <row r="4365" spans="1:6" x14ac:dyDescent="0.2">
      <c r="A4365" s="10">
        <v>2018</v>
      </c>
      <c r="B4365" s="13">
        <v>4590</v>
      </c>
      <c r="C4365" s="90" t="str">
        <f>VLOOKUP(B4365,'All Districts'!$A$3:$B$874,2,FALSE)</f>
        <v>Naples</v>
      </c>
      <c r="D4365" s="15">
        <v>559770</v>
      </c>
      <c r="E4365">
        <f>VLOOKUP(C4365,'All Districts'!$B$3:$C$874,2,FALSE)</f>
        <v>3620220</v>
      </c>
      <c r="F4365" s="91">
        <f>COUNTIF($E$2:$E$7106,E4365)</f>
        <v>9</v>
      </c>
    </row>
    <row r="4366" spans="1:6" x14ac:dyDescent="0.2">
      <c r="A4366">
        <v>2019</v>
      </c>
      <c r="B4366" s="36">
        <v>4590</v>
      </c>
      <c r="C4366" s="90" t="str">
        <f>VLOOKUP(B4366,'All Districts'!$A$3:$B$874,2,FALSE)</f>
        <v>Naples</v>
      </c>
      <c r="D4366" s="40">
        <v>630646</v>
      </c>
      <c r="E4366">
        <f>VLOOKUP(C4366,'All Districts'!$B$3:$C$874,2,FALSE)</f>
        <v>3620220</v>
      </c>
      <c r="F4366" s="91">
        <f>COUNTIF($E$2:$E$7106,E4366)</f>
        <v>9</v>
      </c>
    </row>
    <row r="4367" spans="1:6" x14ac:dyDescent="0.2">
      <c r="A4367">
        <v>2020</v>
      </c>
      <c r="B4367" s="36">
        <v>4590</v>
      </c>
      <c r="C4367" s="90" t="str">
        <f>VLOOKUP(B4367,'All Districts'!$A$3:$B$874,2,FALSE)</f>
        <v>Naples</v>
      </c>
      <c r="D4367" s="40">
        <v>539182</v>
      </c>
      <c r="E4367">
        <f>VLOOKUP(C4367,'All Districts'!$B$3:$C$874,2,FALSE)</f>
        <v>3620220</v>
      </c>
      <c r="F4367" s="91">
        <f>COUNTIF($E$2:$E$7106,E4367)</f>
        <v>9</v>
      </c>
    </row>
    <row r="4368" spans="1:6" x14ac:dyDescent="0.2">
      <c r="A4368" s="10">
        <v>2021</v>
      </c>
      <c r="B4368" s="52">
        <v>4590</v>
      </c>
      <c r="C4368" s="90" t="str">
        <f>VLOOKUP(B4368,'All Districts'!$A$3:$B$874,2,FALSE)</f>
        <v>Naples</v>
      </c>
      <c r="D4368" s="75">
        <v>584405</v>
      </c>
      <c r="E4368">
        <f>VLOOKUP(C4368,'All Districts'!$B$3:$C$874,2,FALSE)</f>
        <v>3620220</v>
      </c>
      <c r="F4368" s="91">
        <f>COUNTIF($E$2:$E$7106,E4368)</f>
        <v>9</v>
      </c>
    </row>
    <row r="4369" spans="1:6" x14ac:dyDescent="0.2">
      <c r="A4369">
        <v>2022</v>
      </c>
      <c r="B4369" s="36">
        <v>4590</v>
      </c>
      <c r="C4369" s="90" t="str">
        <f>VLOOKUP(B4369,'All Districts'!$A$3:$B$874,2,FALSE)</f>
        <v>Naples</v>
      </c>
      <c r="D4369" s="82">
        <v>634471</v>
      </c>
      <c r="E4369">
        <f>VLOOKUP(C4369,'All Districts'!$B$3:$C$874,2,FALSE)</f>
        <v>3620220</v>
      </c>
      <c r="F4369" s="91">
        <f>COUNTIF($E$2:$E$7106,E4369)</f>
        <v>9</v>
      </c>
    </row>
    <row r="4370" spans="1:6" x14ac:dyDescent="0.2">
      <c r="A4370">
        <v>2023</v>
      </c>
      <c r="B4370" s="36">
        <v>4590</v>
      </c>
      <c r="C4370" s="90" t="str">
        <f>VLOOKUP(B4370,'All Districts'!$A$3:$B$874,2,FALSE)</f>
        <v>Naples</v>
      </c>
      <c r="D4370" s="40">
        <v>699009</v>
      </c>
      <c r="E4370">
        <f>VLOOKUP(C4370,'All Districts'!$B$3:$C$874,2,FALSE)</f>
        <v>3620220</v>
      </c>
      <c r="F4370" s="91">
        <f>COUNTIF($E$2:$E$7106,E4370)</f>
        <v>9</v>
      </c>
    </row>
    <row r="4371" spans="1:6" x14ac:dyDescent="0.2">
      <c r="A4371">
        <v>2015</v>
      </c>
      <c r="B4371" s="13">
        <v>2645</v>
      </c>
      <c r="C4371" s="90" t="str">
        <f>VLOOKUP(B4371,'All Districts'!$A$3:$B$874,2,FALSE)</f>
        <v>Westbury</v>
      </c>
      <c r="D4371" s="14">
        <v>8670974</v>
      </c>
      <c r="E4371">
        <f>VLOOKUP(C4371,'All Districts'!$B$3:$C$874,2,FALSE)</f>
        <v>3630960</v>
      </c>
      <c r="F4371" s="91">
        <f>COUNTIF($E$2:$E$7106,E4371)</f>
        <v>9</v>
      </c>
    </row>
    <row r="4372" spans="1:6" x14ac:dyDescent="0.2">
      <c r="A4372">
        <v>2016</v>
      </c>
      <c r="B4372" s="13">
        <v>2645</v>
      </c>
      <c r="C4372" s="90" t="str">
        <f>VLOOKUP(B4372,'All Districts'!$A$3:$B$874,2,FALSE)</f>
        <v>Westbury</v>
      </c>
      <c r="D4372" s="16">
        <v>6704295</v>
      </c>
      <c r="E4372">
        <f>VLOOKUP(C4372,'All Districts'!$B$3:$C$874,2,FALSE)</f>
        <v>3630960</v>
      </c>
      <c r="F4372" s="91">
        <f>COUNTIF($E$2:$E$7106,E4372)</f>
        <v>9</v>
      </c>
    </row>
    <row r="4373" spans="1:6" x14ac:dyDescent="0.2">
      <c r="A4373">
        <v>2017</v>
      </c>
      <c r="B4373" s="13">
        <v>2645</v>
      </c>
      <c r="C4373" s="90" t="str">
        <f>VLOOKUP(B4373,'All Districts'!$A$3:$B$874,2,FALSE)</f>
        <v>Westbury</v>
      </c>
      <c r="D4373" s="16">
        <v>6364066</v>
      </c>
      <c r="E4373">
        <f>VLOOKUP(C4373,'All Districts'!$B$3:$C$874,2,FALSE)</f>
        <v>3630960</v>
      </c>
      <c r="F4373" s="91">
        <f>COUNTIF($E$2:$E$7106,E4373)</f>
        <v>9</v>
      </c>
    </row>
    <row r="4374" spans="1:6" x14ac:dyDescent="0.2">
      <c r="A4374" s="10">
        <v>2018</v>
      </c>
      <c r="B4374" s="13">
        <v>2645</v>
      </c>
      <c r="C4374" s="90" t="str">
        <f>VLOOKUP(B4374,'All Districts'!$A$3:$B$874,2,FALSE)</f>
        <v>Westbury</v>
      </c>
      <c r="D4374" s="15">
        <v>5456151</v>
      </c>
      <c r="E4374">
        <f>VLOOKUP(C4374,'All Districts'!$B$3:$C$874,2,FALSE)</f>
        <v>3630960</v>
      </c>
      <c r="F4374" s="91">
        <f>COUNTIF($E$2:$E$7106,E4374)</f>
        <v>9</v>
      </c>
    </row>
    <row r="4375" spans="1:6" x14ac:dyDescent="0.2">
      <c r="A4375">
        <v>2019</v>
      </c>
      <c r="B4375" s="36">
        <v>2645</v>
      </c>
      <c r="C4375" s="90" t="str">
        <f>VLOOKUP(B4375,'All Districts'!$A$3:$B$874,2,FALSE)</f>
        <v>Westbury</v>
      </c>
      <c r="D4375" s="40">
        <v>5977659</v>
      </c>
      <c r="E4375">
        <f>VLOOKUP(C4375,'All Districts'!$B$3:$C$874,2,FALSE)</f>
        <v>3630960</v>
      </c>
      <c r="F4375" s="91">
        <f>COUNTIF($E$2:$E$7106,E4375)</f>
        <v>9</v>
      </c>
    </row>
    <row r="4376" spans="1:6" x14ac:dyDescent="0.2">
      <c r="A4376">
        <v>2020</v>
      </c>
      <c r="B4376" s="36">
        <v>2645</v>
      </c>
      <c r="C4376" s="90" t="str">
        <f>VLOOKUP(B4376,'All Districts'!$A$3:$B$874,2,FALSE)</f>
        <v>Westbury</v>
      </c>
      <c r="D4376" s="40">
        <v>5115692</v>
      </c>
      <c r="E4376">
        <f>VLOOKUP(C4376,'All Districts'!$B$3:$C$874,2,FALSE)</f>
        <v>3630960</v>
      </c>
      <c r="F4376" s="91">
        <f>COUNTIF($E$2:$E$7106,E4376)</f>
        <v>9</v>
      </c>
    </row>
    <row r="4377" spans="1:6" x14ac:dyDescent="0.2">
      <c r="A4377" s="10">
        <v>2021</v>
      </c>
      <c r="B4377" s="52">
        <v>2645</v>
      </c>
      <c r="C4377" s="90" t="str">
        <f>VLOOKUP(B4377,'All Districts'!$A$3:$B$874,2,FALSE)</f>
        <v>Westbury</v>
      </c>
      <c r="D4377" s="76">
        <v>5577885</v>
      </c>
      <c r="E4377">
        <f>VLOOKUP(C4377,'All Districts'!$B$3:$C$874,2,FALSE)</f>
        <v>3630960</v>
      </c>
      <c r="F4377" s="91">
        <f>COUNTIF($E$2:$E$7106,E4377)</f>
        <v>9</v>
      </c>
    </row>
    <row r="4378" spans="1:6" x14ac:dyDescent="0.2">
      <c r="A4378">
        <v>2022</v>
      </c>
      <c r="B4378" s="36">
        <v>2645</v>
      </c>
      <c r="C4378" s="90" t="str">
        <f>VLOOKUP(B4378,'All Districts'!$A$3:$B$874,2,FALSE)</f>
        <v>Westbury</v>
      </c>
      <c r="D4378" s="82">
        <v>5902021</v>
      </c>
      <c r="E4378">
        <f>VLOOKUP(C4378,'All Districts'!$B$3:$C$874,2,FALSE)</f>
        <v>3630960</v>
      </c>
      <c r="F4378" s="91">
        <f>COUNTIF($E$2:$E$7106,E4378)</f>
        <v>9</v>
      </c>
    </row>
    <row r="4379" spans="1:6" x14ac:dyDescent="0.2">
      <c r="A4379">
        <v>2023</v>
      </c>
      <c r="B4379" s="36">
        <v>2645</v>
      </c>
      <c r="C4379" s="90" t="str">
        <f>VLOOKUP(B4379,'All Districts'!$A$3:$B$874,2,FALSE)</f>
        <v>Westbury</v>
      </c>
      <c r="D4379" s="40">
        <v>6655494</v>
      </c>
      <c r="E4379">
        <f>VLOOKUP(C4379,'All Districts'!$B$3:$C$874,2,FALSE)</f>
        <v>3630960</v>
      </c>
      <c r="F4379" s="91">
        <f>COUNTIF($E$2:$E$7106,E4379)</f>
        <v>9</v>
      </c>
    </row>
    <row r="4380" spans="1:6" x14ac:dyDescent="0.2">
      <c r="A4380">
        <v>2015</v>
      </c>
      <c r="B4380" s="13">
        <v>2394</v>
      </c>
      <c r="C4380" s="90" t="str">
        <f>VLOOKUP(B4380,'All Districts'!$A$3:$B$874,2,FALSE)</f>
        <v>New Hartford</v>
      </c>
      <c r="D4380" s="14">
        <v>2995770</v>
      </c>
      <c r="E4380">
        <f>VLOOKUP(C4380,'All Districts'!$B$3:$C$874,2,FALSE)</f>
        <v>3620370</v>
      </c>
      <c r="F4380" s="91">
        <f>COUNTIF($E$2:$E$7106,E4380)</f>
        <v>9</v>
      </c>
    </row>
    <row r="4381" spans="1:6" x14ac:dyDescent="0.2">
      <c r="A4381">
        <v>2016</v>
      </c>
      <c r="B4381" s="13">
        <v>2394</v>
      </c>
      <c r="C4381" s="90" t="str">
        <f>VLOOKUP(B4381,'All Districts'!$A$3:$B$874,2,FALSE)</f>
        <v>New Hartford</v>
      </c>
      <c r="D4381" s="16">
        <v>2304894</v>
      </c>
      <c r="E4381">
        <f>VLOOKUP(C4381,'All Districts'!$B$3:$C$874,2,FALSE)</f>
        <v>3620370</v>
      </c>
      <c r="F4381" s="91">
        <f>COUNTIF($E$2:$E$7106,E4381)</f>
        <v>9</v>
      </c>
    </row>
    <row r="4382" spans="1:6" x14ac:dyDescent="0.2">
      <c r="A4382">
        <v>2017</v>
      </c>
      <c r="B4382" s="13">
        <v>2394</v>
      </c>
      <c r="C4382" s="90" t="str">
        <f>VLOOKUP(B4382,'All Districts'!$A$3:$B$874,2,FALSE)</f>
        <v>New Hartford</v>
      </c>
      <c r="D4382" s="16">
        <v>2118097</v>
      </c>
      <c r="E4382">
        <f>VLOOKUP(C4382,'All Districts'!$B$3:$C$874,2,FALSE)</f>
        <v>3620370</v>
      </c>
      <c r="F4382" s="91">
        <f>COUNTIF($E$2:$E$7106,E4382)</f>
        <v>9</v>
      </c>
    </row>
    <row r="4383" spans="1:6" x14ac:dyDescent="0.2">
      <c r="A4383" s="10">
        <v>2018</v>
      </c>
      <c r="B4383" s="13">
        <v>2394</v>
      </c>
      <c r="C4383" s="90" t="str">
        <f>VLOOKUP(B4383,'All Districts'!$A$3:$B$874,2,FALSE)</f>
        <v>New Hartford</v>
      </c>
      <c r="D4383" s="15">
        <v>1787168</v>
      </c>
      <c r="E4383">
        <f>VLOOKUP(C4383,'All Districts'!$B$3:$C$874,2,FALSE)</f>
        <v>3620370</v>
      </c>
      <c r="F4383" s="91">
        <f>COUNTIF($E$2:$E$7106,E4383)</f>
        <v>9</v>
      </c>
    </row>
    <row r="4384" spans="1:6" x14ac:dyDescent="0.2">
      <c r="A4384">
        <v>2019</v>
      </c>
      <c r="B4384" s="36">
        <v>2394</v>
      </c>
      <c r="C4384" s="90" t="str">
        <f>VLOOKUP(B4384,'All Districts'!$A$3:$B$874,2,FALSE)</f>
        <v>New Hartford</v>
      </c>
      <c r="D4384" s="40">
        <v>1966901</v>
      </c>
      <c r="E4384">
        <f>VLOOKUP(C4384,'All Districts'!$B$3:$C$874,2,FALSE)</f>
        <v>3620370</v>
      </c>
      <c r="F4384" s="91">
        <f>COUNTIF($E$2:$E$7106,E4384)</f>
        <v>9</v>
      </c>
    </row>
    <row r="4385" spans="1:6" x14ac:dyDescent="0.2">
      <c r="A4385">
        <v>2020</v>
      </c>
      <c r="B4385" s="36">
        <v>2394</v>
      </c>
      <c r="C4385" s="90" t="str">
        <f>VLOOKUP(B4385,'All Districts'!$A$3:$B$874,2,FALSE)</f>
        <v>New Hartford</v>
      </c>
      <c r="D4385" s="40">
        <v>1677568</v>
      </c>
      <c r="E4385">
        <f>VLOOKUP(C4385,'All Districts'!$B$3:$C$874,2,FALSE)</f>
        <v>3620370</v>
      </c>
      <c r="F4385" s="91">
        <f>COUNTIF($E$2:$E$7106,E4385)</f>
        <v>9</v>
      </c>
    </row>
    <row r="4386" spans="1:6" x14ac:dyDescent="0.2">
      <c r="A4386" s="10">
        <v>2021</v>
      </c>
      <c r="B4386" s="55">
        <v>2394</v>
      </c>
      <c r="C4386" s="90" t="str">
        <f>VLOOKUP(B4386,'All Districts'!$A$3:$B$874,2,FALSE)</f>
        <v>New Hartford</v>
      </c>
      <c r="D4386" s="76">
        <v>1903151</v>
      </c>
      <c r="E4386">
        <f>VLOOKUP(C4386,'All Districts'!$B$3:$C$874,2,FALSE)</f>
        <v>3620370</v>
      </c>
      <c r="F4386" s="91">
        <f>COUNTIF($E$2:$E$7106,E4386)</f>
        <v>9</v>
      </c>
    </row>
    <row r="4387" spans="1:6" x14ac:dyDescent="0.2">
      <c r="A4387">
        <v>2022</v>
      </c>
      <c r="B4387" s="36">
        <v>2394</v>
      </c>
      <c r="C4387" s="90" t="str">
        <f>VLOOKUP(B4387,'All Districts'!$A$3:$B$874,2,FALSE)</f>
        <v>New Hartford</v>
      </c>
      <c r="D4387" s="82">
        <v>1957966</v>
      </c>
      <c r="E4387">
        <f>VLOOKUP(C4387,'All Districts'!$B$3:$C$874,2,FALSE)</f>
        <v>3620370</v>
      </c>
      <c r="F4387" s="91">
        <f>COUNTIF($E$2:$E$7106,E4387)</f>
        <v>9</v>
      </c>
    </row>
    <row r="4388" spans="1:6" x14ac:dyDescent="0.2">
      <c r="A4388">
        <v>2023</v>
      </c>
      <c r="B4388" s="36">
        <v>2394</v>
      </c>
      <c r="C4388" s="90" t="str">
        <f>VLOOKUP(B4388,'All Districts'!$A$3:$B$874,2,FALSE)</f>
        <v>New Hartford</v>
      </c>
      <c r="D4388" s="40">
        <v>2152926</v>
      </c>
      <c r="E4388">
        <f>VLOOKUP(C4388,'All Districts'!$B$3:$C$874,2,FALSE)</f>
        <v>3620370</v>
      </c>
      <c r="F4388" s="91">
        <f>COUNTIF($E$2:$E$7106,E4388)</f>
        <v>9</v>
      </c>
    </row>
    <row r="4389" spans="1:6" x14ac:dyDescent="0.2">
      <c r="A4389">
        <v>2015</v>
      </c>
      <c r="B4389" s="13">
        <v>4301</v>
      </c>
      <c r="C4389" s="90" t="str">
        <f>VLOOKUP(B4389,'All Districts'!$A$3:$B$874,2,FALSE)</f>
        <v>New Hyde Park-Garden City Park</v>
      </c>
      <c r="D4389" s="14">
        <v>2608261</v>
      </c>
      <c r="E4389">
        <f>VLOOKUP(C4389,'All Districts'!$B$3:$C$874,2,FALSE)</f>
        <v>3620400</v>
      </c>
      <c r="F4389" s="91">
        <f>COUNTIF($E$2:$E$7106,E4389)</f>
        <v>9</v>
      </c>
    </row>
    <row r="4390" spans="1:6" x14ac:dyDescent="0.2">
      <c r="A4390">
        <v>2016</v>
      </c>
      <c r="B4390" s="13">
        <v>4301</v>
      </c>
      <c r="C4390" s="90" t="str">
        <f>VLOOKUP(B4390,'All Districts'!$A$3:$B$874,2,FALSE)</f>
        <v>New Hyde Park-Garden City Park</v>
      </c>
      <c r="D4390" s="16">
        <v>2075631</v>
      </c>
      <c r="E4390">
        <f>VLOOKUP(C4390,'All Districts'!$B$3:$C$874,2,FALSE)</f>
        <v>3620400</v>
      </c>
      <c r="F4390" s="91">
        <f>COUNTIF($E$2:$E$7106,E4390)</f>
        <v>9</v>
      </c>
    </row>
    <row r="4391" spans="1:6" x14ac:dyDescent="0.2">
      <c r="A4391">
        <v>2017</v>
      </c>
      <c r="B4391" s="13">
        <v>4301</v>
      </c>
      <c r="C4391" s="90" t="str">
        <f>VLOOKUP(B4391,'All Districts'!$A$3:$B$874,2,FALSE)</f>
        <v>New Hyde Park-Garden City Park</v>
      </c>
      <c r="D4391" s="16">
        <v>1835049</v>
      </c>
      <c r="E4391">
        <f>VLOOKUP(C4391,'All Districts'!$B$3:$C$874,2,FALSE)</f>
        <v>3620400</v>
      </c>
      <c r="F4391" s="91">
        <f>COUNTIF($E$2:$E$7106,E4391)</f>
        <v>9</v>
      </c>
    </row>
    <row r="4392" spans="1:6" x14ac:dyDescent="0.2">
      <c r="A4392" s="10">
        <v>2018</v>
      </c>
      <c r="B4392" s="13">
        <v>4301</v>
      </c>
      <c r="C4392" s="90" t="str">
        <f>VLOOKUP(B4392,'All Districts'!$A$3:$B$874,2,FALSE)</f>
        <v>New Hyde Park-Garden City Park</v>
      </c>
      <c r="D4392" s="15">
        <v>1565507</v>
      </c>
      <c r="E4392">
        <f>VLOOKUP(C4392,'All Districts'!$B$3:$C$874,2,FALSE)</f>
        <v>3620400</v>
      </c>
      <c r="F4392" s="91">
        <f>COUNTIF($E$2:$E$7106,E4392)</f>
        <v>9</v>
      </c>
    </row>
    <row r="4393" spans="1:6" x14ac:dyDescent="0.2">
      <c r="A4393">
        <v>2019</v>
      </c>
      <c r="B4393" s="36">
        <v>4301</v>
      </c>
      <c r="C4393" s="90" t="str">
        <f>VLOOKUP(B4393,'All Districts'!$A$3:$B$874,2,FALSE)</f>
        <v>New Hyde Park-Garden City Park</v>
      </c>
      <c r="D4393" s="40">
        <v>1689306</v>
      </c>
      <c r="E4393">
        <f>VLOOKUP(C4393,'All Districts'!$B$3:$C$874,2,FALSE)</f>
        <v>3620400</v>
      </c>
      <c r="F4393" s="91">
        <f>COUNTIF($E$2:$E$7106,E4393)</f>
        <v>9</v>
      </c>
    </row>
    <row r="4394" spans="1:6" x14ac:dyDescent="0.2">
      <c r="A4394">
        <v>2020</v>
      </c>
      <c r="B4394" s="36">
        <v>4301</v>
      </c>
      <c r="C4394" s="90" t="str">
        <f>VLOOKUP(B4394,'All Districts'!$A$3:$B$874,2,FALSE)</f>
        <v>New Hyde Park-Garden City Park</v>
      </c>
      <c r="D4394" s="40">
        <v>1461439</v>
      </c>
      <c r="E4394">
        <f>VLOOKUP(C4394,'All Districts'!$B$3:$C$874,2,FALSE)</f>
        <v>3620400</v>
      </c>
      <c r="F4394" s="91">
        <f>COUNTIF($E$2:$E$7106,E4394)</f>
        <v>9</v>
      </c>
    </row>
    <row r="4395" spans="1:6" x14ac:dyDescent="0.2">
      <c r="A4395" s="10">
        <v>2021</v>
      </c>
      <c r="B4395" s="52">
        <v>4301</v>
      </c>
      <c r="C4395" s="90" t="str">
        <f>VLOOKUP(B4395,'All Districts'!$A$3:$B$874,2,FALSE)</f>
        <v>New Hyde Park-Garden City Park</v>
      </c>
      <c r="D4395" s="76">
        <v>1491175</v>
      </c>
      <c r="E4395">
        <f>VLOOKUP(C4395,'All Districts'!$B$3:$C$874,2,FALSE)</f>
        <v>3620400</v>
      </c>
      <c r="F4395" s="91">
        <f>COUNTIF($E$2:$E$7106,E4395)</f>
        <v>9</v>
      </c>
    </row>
    <row r="4396" spans="1:6" x14ac:dyDescent="0.2">
      <c r="A4396">
        <v>2022</v>
      </c>
      <c r="B4396" s="36">
        <v>4301</v>
      </c>
      <c r="C4396" s="90" t="str">
        <f>VLOOKUP(B4396,'All Districts'!$A$3:$B$874,2,FALSE)</f>
        <v>New Hyde Park-Garden City Park</v>
      </c>
      <c r="D4396" s="82">
        <v>1595768</v>
      </c>
      <c r="E4396">
        <f>VLOOKUP(C4396,'All Districts'!$B$3:$C$874,2,FALSE)</f>
        <v>3620400</v>
      </c>
      <c r="F4396" s="91">
        <f>COUNTIF($E$2:$E$7106,E4396)</f>
        <v>9</v>
      </c>
    </row>
    <row r="4397" spans="1:6" x14ac:dyDescent="0.2">
      <c r="A4397">
        <v>2023</v>
      </c>
      <c r="B4397" s="36">
        <v>4301</v>
      </c>
      <c r="C4397" s="90" t="str">
        <f>VLOOKUP(B4397,'All Districts'!$A$3:$B$874,2,FALSE)</f>
        <v>New Hyde Park-Garden City Park</v>
      </c>
      <c r="D4397" s="40">
        <v>1739192</v>
      </c>
      <c r="E4397">
        <f>VLOOKUP(C4397,'All Districts'!$B$3:$C$874,2,FALSE)</f>
        <v>3620400</v>
      </c>
      <c r="F4397" s="91">
        <f>COUNTIF($E$2:$E$7106,E4397)</f>
        <v>9</v>
      </c>
    </row>
    <row r="4398" spans="1:6" x14ac:dyDescent="0.2">
      <c r="A4398">
        <v>2015</v>
      </c>
      <c r="B4398" s="13">
        <v>4908</v>
      </c>
      <c r="C4398" s="90" t="str">
        <f>VLOOKUP(B4398,'All Districts'!$A$3:$B$874,2,FALSE)</f>
        <v>New Lebanon</v>
      </c>
      <c r="D4398" s="14">
        <v>683271</v>
      </c>
      <c r="E4398">
        <f>VLOOKUP(C4398,'All Districts'!$B$3:$C$874,2,FALSE)</f>
        <v>3620430</v>
      </c>
      <c r="F4398" s="91">
        <f>COUNTIF($E$2:$E$7106,E4398)</f>
        <v>9</v>
      </c>
    </row>
    <row r="4399" spans="1:6" x14ac:dyDescent="0.2">
      <c r="A4399">
        <v>2016</v>
      </c>
      <c r="B4399" s="13">
        <v>4908</v>
      </c>
      <c r="C4399" s="90" t="str">
        <f>VLOOKUP(B4399,'All Districts'!$A$3:$B$874,2,FALSE)</f>
        <v>New Lebanon</v>
      </c>
      <c r="D4399" s="16">
        <v>529038</v>
      </c>
      <c r="E4399">
        <f>VLOOKUP(C4399,'All Districts'!$B$3:$C$874,2,FALSE)</f>
        <v>3620430</v>
      </c>
      <c r="F4399" s="91">
        <f>COUNTIF($E$2:$E$7106,E4399)</f>
        <v>9</v>
      </c>
    </row>
    <row r="4400" spans="1:6" x14ac:dyDescent="0.2">
      <c r="A4400">
        <v>2017</v>
      </c>
      <c r="B4400" s="13">
        <v>4908</v>
      </c>
      <c r="C4400" s="90" t="str">
        <f>VLOOKUP(B4400,'All Districts'!$A$3:$B$874,2,FALSE)</f>
        <v>New Lebanon</v>
      </c>
      <c r="D4400" s="16">
        <v>475783</v>
      </c>
      <c r="E4400">
        <f>VLOOKUP(C4400,'All Districts'!$B$3:$C$874,2,FALSE)</f>
        <v>3620430</v>
      </c>
      <c r="F4400" s="91">
        <f>COUNTIF($E$2:$E$7106,E4400)</f>
        <v>9</v>
      </c>
    </row>
    <row r="4401" spans="1:6" x14ac:dyDescent="0.2">
      <c r="A4401" s="10">
        <v>2018</v>
      </c>
      <c r="B4401" s="13">
        <v>4908</v>
      </c>
      <c r="C4401" s="90" t="str">
        <f>VLOOKUP(B4401,'All Districts'!$A$3:$B$874,2,FALSE)</f>
        <v>New Lebanon</v>
      </c>
      <c r="D4401" s="15">
        <v>416428</v>
      </c>
      <c r="E4401">
        <f>VLOOKUP(C4401,'All Districts'!$B$3:$C$874,2,FALSE)</f>
        <v>3620430</v>
      </c>
      <c r="F4401" s="91">
        <f>COUNTIF($E$2:$E$7106,E4401)</f>
        <v>9</v>
      </c>
    </row>
    <row r="4402" spans="1:6" x14ac:dyDescent="0.2">
      <c r="A4402">
        <v>2019</v>
      </c>
      <c r="B4402" s="36">
        <v>4908</v>
      </c>
      <c r="C4402" s="90" t="str">
        <f>VLOOKUP(B4402,'All Districts'!$A$3:$B$874,2,FALSE)</f>
        <v>New Lebanon</v>
      </c>
      <c r="D4402" s="40">
        <v>454351</v>
      </c>
      <c r="E4402">
        <f>VLOOKUP(C4402,'All Districts'!$B$3:$C$874,2,FALSE)</f>
        <v>3620430</v>
      </c>
      <c r="F4402" s="91">
        <f>COUNTIF($E$2:$E$7106,E4402)</f>
        <v>9</v>
      </c>
    </row>
    <row r="4403" spans="1:6" x14ac:dyDescent="0.2">
      <c r="A4403">
        <v>2020</v>
      </c>
      <c r="B4403" s="36">
        <v>4908</v>
      </c>
      <c r="C4403" s="90" t="str">
        <f>VLOOKUP(B4403,'All Districts'!$A$3:$B$874,2,FALSE)</f>
        <v>New Lebanon</v>
      </c>
      <c r="D4403" s="40">
        <v>387608</v>
      </c>
      <c r="E4403">
        <f>VLOOKUP(C4403,'All Districts'!$B$3:$C$874,2,FALSE)</f>
        <v>3620430</v>
      </c>
      <c r="F4403" s="91">
        <f>COUNTIF($E$2:$E$7106,E4403)</f>
        <v>9</v>
      </c>
    </row>
    <row r="4404" spans="1:6" x14ac:dyDescent="0.2">
      <c r="A4404" s="10">
        <v>2021</v>
      </c>
      <c r="B4404" s="52">
        <v>4908</v>
      </c>
      <c r="C4404" s="90" t="str">
        <f>VLOOKUP(B4404,'All Districts'!$A$3:$B$874,2,FALSE)</f>
        <v>New Lebanon</v>
      </c>
      <c r="D4404" s="76">
        <v>425425</v>
      </c>
      <c r="E4404">
        <f>VLOOKUP(C4404,'All Districts'!$B$3:$C$874,2,FALSE)</f>
        <v>3620430</v>
      </c>
      <c r="F4404" s="91">
        <f>COUNTIF($E$2:$E$7106,E4404)</f>
        <v>9</v>
      </c>
    </row>
    <row r="4405" spans="1:6" x14ac:dyDescent="0.2">
      <c r="A4405">
        <v>2022</v>
      </c>
      <c r="B4405" s="36">
        <v>4908</v>
      </c>
      <c r="C4405" s="90" t="str">
        <f>VLOOKUP(B4405,'All Districts'!$A$3:$B$874,2,FALSE)</f>
        <v>New Lebanon</v>
      </c>
      <c r="D4405" s="82">
        <v>452119</v>
      </c>
      <c r="E4405">
        <f>VLOOKUP(C4405,'All Districts'!$B$3:$C$874,2,FALSE)</f>
        <v>3620430</v>
      </c>
      <c r="F4405" s="91">
        <f>COUNTIF($E$2:$E$7106,E4405)</f>
        <v>9</v>
      </c>
    </row>
    <row r="4406" spans="1:6" x14ac:dyDescent="0.2">
      <c r="A4406">
        <v>2023</v>
      </c>
      <c r="B4406" s="36">
        <v>4908</v>
      </c>
      <c r="C4406" s="90" t="str">
        <f>VLOOKUP(B4406,'All Districts'!$A$3:$B$874,2,FALSE)</f>
        <v>New Lebanon</v>
      </c>
      <c r="D4406" s="40">
        <v>474029</v>
      </c>
      <c r="E4406">
        <f>VLOOKUP(C4406,'All Districts'!$B$3:$C$874,2,FALSE)</f>
        <v>3620430</v>
      </c>
      <c r="F4406" s="91">
        <f>COUNTIF($E$2:$E$7106,E4406)</f>
        <v>9</v>
      </c>
    </row>
    <row r="4407" spans="1:6" x14ac:dyDescent="0.2">
      <c r="A4407">
        <v>2015</v>
      </c>
      <c r="B4407" s="13">
        <v>2401</v>
      </c>
      <c r="C4407" s="90" t="str">
        <f>VLOOKUP(B4407,'All Districts'!$A$3:$B$874,2,FALSE)</f>
        <v>New Paltz</v>
      </c>
      <c r="D4407" s="14">
        <v>3601126</v>
      </c>
      <c r="E4407">
        <f>VLOOKUP(C4407,'All Districts'!$B$3:$C$874,2,FALSE)</f>
        <v>3620460</v>
      </c>
      <c r="F4407" s="91">
        <f>COUNTIF($E$2:$E$7106,E4407)</f>
        <v>9</v>
      </c>
    </row>
    <row r="4408" spans="1:6" x14ac:dyDescent="0.2">
      <c r="A4408">
        <v>2016</v>
      </c>
      <c r="B4408" s="13">
        <v>2401</v>
      </c>
      <c r="C4408" s="90" t="str">
        <f>VLOOKUP(B4408,'All Districts'!$A$3:$B$874,2,FALSE)</f>
        <v>New Paltz</v>
      </c>
      <c r="D4408" s="16">
        <v>2640479</v>
      </c>
      <c r="E4408">
        <f>VLOOKUP(C4408,'All Districts'!$B$3:$C$874,2,FALSE)</f>
        <v>3620460</v>
      </c>
      <c r="F4408" s="91">
        <f>COUNTIF($E$2:$E$7106,E4408)</f>
        <v>9</v>
      </c>
    </row>
    <row r="4409" spans="1:6" x14ac:dyDescent="0.2">
      <c r="A4409">
        <v>2017</v>
      </c>
      <c r="B4409" s="13">
        <v>2401</v>
      </c>
      <c r="C4409" s="90" t="str">
        <f>VLOOKUP(B4409,'All Districts'!$A$3:$B$874,2,FALSE)</f>
        <v>New Paltz</v>
      </c>
      <c r="D4409" s="16">
        <v>2444791</v>
      </c>
      <c r="E4409">
        <f>VLOOKUP(C4409,'All Districts'!$B$3:$C$874,2,FALSE)</f>
        <v>3620460</v>
      </c>
      <c r="F4409" s="91">
        <f>COUNTIF($E$2:$E$7106,E4409)</f>
        <v>9</v>
      </c>
    </row>
    <row r="4410" spans="1:6" x14ac:dyDescent="0.2">
      <c r="A4410" s="10">
        <v>2018</v>
      </c>
      <c r="B4410" s="13">
        <v>2401</v>
      </c>
      <c r="C4410" s="90" t="str">
        <f>VLOOKUP(B4410,'All Districts'!$A$3:$B$874,2,FALSE)</f>
        <v>New Paltz</v>
      </c>
      <c r="D4410" s="15">
        <v>2102971</v>
      </c>
      <c r="E4410">
        <f>VLOOKUP(C4410,'All Districts'!$B$3:$C$874,2,FALSE)</f>
        <v>3620460</v>
      </c>
      <c r="F4410" s="91">
        <f>COUNTIF($E$2:$E$7106,E4410)</f>
        <v>9</v>
      </c>
    </row>
    <row r="4411" spans="1:6" x14ac:dyDescent="0.2">
      <c r="A4411">
        <v>2019</v>
      </c>
      <c r="B4411" s="36">
        <v>2401</v>
      </c>
      <c r="C4411" s="90" t="str">
        <f>VLOOKUP(B4411,'All Districts'!$A$3:$B$874,2,FALSE)</f>
        <v>New Paltz</v>
      </c>
      <c r="D4411" s="40">
        <v>2391469</v>
      </c>
      <c r="E4411">
        <f>VLOOKUP(C4411,'All Districts'!$B$3:$C$874,2,FALSE)</f>
        <v>3620460</v>
      </c>
      <c r="F4411" s="91">
        <f>COUNTIF($E$2:$E$7106,E4411)</f>
        <v>9</v>
      </c>
    </row>
    <row r="4412" spans="1:6" x14ac:dyDescent="0.2">
      <c r="A4412">
        <v>2020</v>
      </c>
      <c r="B4412" s="36">
        <v>2401</v>
      </c>
      <c r="C4412" s="90" t="str">
        <f>VLOOKUP(B4412,'All Districts'!$A$3:$B$874,2,FALSE)</f>
        <v>New Paltz</v>
      </c>
      <c r="D4412" s="40">
        <v>2015977</v>
      </c>
      <c r="E4412">
        <f>VLOOKUP(C4412,'All Districts'!$B$3:$C$874,2,FALSE)</f>
        <v>3620460</v>
      </c>
      <c r="F4412" s="91">
        <f>COUNTIF($E$2:$E$7106,E4412)</f>
        <v>9</v>
      </c>
    </row>
    <row r="4413" spans="1:6" x14ac:dyDescent="0.2">
      <c r="A4413" s="10">
        <v>2021</v>
      </c>
      <c r="B4413" s="55">
        <v>2401</v>
      </c>
      <c r="C4413" s="90" t="str">
        <f>VLOOKUP(B4413,'All Districts'!$A$3:$B$874,2,FALSE)</f>
        <v>New Paltz</v>
      </c>
      <c r="D4413" s="75">
        <v>2199743</v>
      </c>
      <c r="E4413">
        <f>VLOOKUP(C4413,'All Districts'!$B$3:$C$874,2,FALSE)</f>
        <v>3620460</v>
      </c>
      <c r="F4413" s="91">
        <f>COUNTIF($E$2:$E$7106,E4413)</f>
        <v>9</v>
      </c>
    </row>
    <row r="4414" spans="1:6" x14ac:dyDescent="0.2">
      <c r="A4414">
        <v>2022</v>
      </c>
      <c r="B4414" s="36">
        <v>2401</v>
      </c>
      <c r="C4414" s="90" t="str">
        <f>VLOOKUP(B4414,'All Districts'!$A$3:$B$874,2,FALSE)</f>
        <v>New Paltz</v>
      </c>
      <c r="D4414" s="82">
        <v>2379404</v>
      </c>
      <c r="E4414">
        <f>VLOOKUP(C4414,'All Districts'!$B$3:$C$874,2,FALSE)</f>
        <v>3620460</v>
      </c>
      <c r="F4414" s="91">
        <f>COUNTIF($E$2:$E$7106,E4414)</f>
        <v>9</v>
      </c>
    </row>
    <row r="4415" spans="1:6" x14ac:dyDescent="0.2">
      <c r="A4415">
        <v>2023</v>
      </c>
      <c r="B4415" s="36">
        <v>2401</v>
      </c>
      <c r="C4415" s="90" t="str">
        <f>VLOOKUP(B4415,'All Districts'!$A$3:$B$874,2,FALSE)</f>
        <v>New Paltz</v>
      </c>
      <c r="D4415" s="40">
        <v>2473095</v>
      </c>
      <c r="E4415">
        <f>VLOOKUP(C4415,'All Districts'!$B$3:$C$874,2,FALSE)</f>
        <v>3620460</v>
      </c>
      <c r="F4415" s="91">
        <f>COUNTIF($E$2:$E$7106,E4415)</f>
        <v>9</v>
      </c>
    </row>
    <row r="4416" spans="1:6" x14ac:dyDescent="0.2">
      <c r="A4416">
        <v>2015</v>
      </c>
      <c r="B4416" s="13">
        <v>1160</v>
      </c>
      <c r="C4416" s="90" t="str">
        <f>VLOOKUP(B4416,'All Districts'!$A$3:$B$874,2,FALSE)</f>
        <v>New Rochelle</v>
      </c>
      <c r="D4416" s="14">
        <v>18625278</v>
      </c>
      <c r="E4416">
        <f>VLOOKUP(C4416,'All Districts'!$B$3:$C$874,2,FALSE)</f>
        <v>3620490</v>
      </c>
      <c r="F4416" s="91">
        <f>COUNTIF($E$2:$E$7106,E4416)</f>
        <v>9</v>
      </c>
    </row>
    <row r="4417" spans="1:6" x14ac:dyDescent="0.2">
      <c r="A4417">
        <v>2016</v>
      </c>
      <c r="B4417" s="13">
        <v>1160</v>
      </c>
      <c r="C4417" s="90" t="str">
        <f>VLOOKUP(B4417,'All Districts'!$A$3:$B$874,2,FALSE)</f>
        <v>New Rochelle</v>
      </c>
      <c r="D4417" s="16">
        <v>14386565</v>
      </c>
      <c r="E4417">
        <f>VLOOKUP(C4417,'All Districts'!$B$3:$C$874,2,FALSE)</f>
        <v>3620490</v>
      </c>
      <c r="F4417" s="91">
        <f>COUNTIF($E$2:$E$7106,E4417)</f>
        <v>9</v>
      </c>
    </row>
    <row r="4418" spans="1:6" x14ac:dyDescent="0.2">
      <c r="A4418">
        <v>2017</v>
      </c>
      <c r="B4418" s="13">
        <v>1160</v>
      </c>
      <c r="C4418" s="90" t="str">
        <f>VLOOKUP(B4418,'All Districts'!$A$3:$B$874,2,FALSE)</f>
        <v>New Rochelle</v>
      </c>
      <c r="D4418" s="16">
        <v>13076205</v>
      </c>
      <c r="E4418">
        <f>VLOOKUP(C4418,'All Districts'!$B$3:$C$874,2,FALSE)</f>
        <v>3620490</v>
      </c>
      <c r="F4418" s="91">
        <f>COUNTIF($E$2:$E$7106,E4418)</f>
        <v>9</v>
      </c>
    </row>
    <row r="4419" spans="1:6" x14ac:dyDescent="0.2">
      <c r="A4419" s="10">
        <v>2018</v>
      </c>
      <c r="B4419" s="13">
        <v>1160</v>
      </c>
      <c r="C4419" s="90" t="str">
        <f>VLOOKUP(B4419,'All Districts'!$A$3:$B$874,2,FALSE)</f>
        <v>New Rochelle</v>
      </c>
      <c r="D4419" s="15">
        <v>11179356</v>
      </c>
      <c r="E4419">
        <f>VLOOKUP(C4419,'All Districts'!$B$3:$C$874,2,FALSE)</f>
        <v>3620490</v>
      </c>
      <c r="F4419" s="91">
        <f>COUNTIF($E$2:$E$7106,E4419)</f>
        <v>9</v>
      </c>
    </row>
    <row r="4420" spans="1:6" x14ac:dyDescent="0.2">
      <c r="A4420">
        <v>2019</v>
      </c>
      <c r="B4420" s="36">
        <v>1160</v>
      </c>
      <c r="C4420" s="90" t="str">
        <f>VLOOKUP(B4420,'All Districts'!$A$3:$B$874,2,FALSE)</f>
        <v>New Rochelle</v>
      </c>
      <c r="D4420" s="40">
        <v>12368421</v>
      </c>
      <c r="E4420">
        <f>VLOOKUP(C4420,'All Districts'!$B$3:$C$874,2,FALSE)</f>
        <v>3620490</v>
      </c>
      <c r="F4420" s="91">
        <f>COUNTIF($E$2:$E$7106,E4420)</f>
        <v>9</v>
      </c>
    </row>
    <row r="4421" spans="1:6" x14ac:dyDescent="0.2">
      <c r="A4421">
        <v>2020</v>
      </c>
      <c r="B4421" s="36">
        <v>1160</v>
      </c>
      <c r="C4421" s="90" t="str">
        <f>VLOOKUP(B4421,'All Districts'!$A$3:$B$874,2,FALSE)</f>
        <v>New Rochelle</v>
      </c>
      <c r="D4421" s="40">
        <v>10807715</v>
      </c>
      <c r="E4421">
        <f>VLOOKUP(C4421,'All Districts'!$B$3:$C$874,2,FALSE)</f>
        <v>3620490</v>
      </c>
      <c r="F4421" s="91">
        <f>COUNTIF($E$2:$E$7106,E4421)</f>
        <v>9</v>
      </c>
    </row>
    <row r="4422" spans="1:6" x14ac:dyDescent="0.2">
      <c r="A4422" s="10">
        <v>2021</v>
      </c>
      <c r="B4422" s="52">
        <v>1160</v>
      </c>
      <c r="C4422" s="90" t="str">
        <f>VLOOKUP(B4422,'All Districts'!$A$3:$B$874,2,FALSE)</f>
        <v>New Rochelle</v>
      </c>
      <c r="D4422" s="76">
        <v>11842282</v>
      </c>
      <c r="E4422">
        <f>VLOOKUP(C4422,'All Districts'!$B$3:$C$874,2,FALSE)</f>
        <v>3620490</v>
      </c>
      <c r="F4422" s="91">
        <f>COUNTIF($E$2:$E$7106,E4422)</f>
        <v>9</v>
      </c>
    </row>
    <row r="4423" spans="1:6" x14ac:dyDescent="0.2">
      <c r="A4423">
        <v>2022</v>
      </c>
      <c r="B4423" s="36">
        <v>1160</v>
      </c>
      <c r="C4423" s="90" t="str">
        <f>VLOOKUP(B4423,'All Districts'!$A$3:$B$874,2,FALSE)</f>
        <v>New Rochelle</v>
      </c>
      <c r="D4423" s="82">
        <v>12828261</v>
      </c>
      <c r="E4423">
        <f>VLOOKUP(C4423,'All Districts'!$B$3:$C$874,2,FALSE)</f>
        <v>3620490</v>
      </c>
      <c r="F4423" s="91">
        <f>COUNTIF($E$2:$E$7106,E4423)</f>
        <v>9</v>
      </c>
    </row>
    <row r="4424" spans="1:6" x14ac:dyDescent="0.2">
      <c r="A4424">
        <v>2023</v>
      </c>
      <c r="B4424" s="36">
        <v>1160</v>
      </c>
      <c r="C4424" s="90" t="str">
        <f>VLOOKUP(B4424,'All Districts'!$A$3:$B$874,2,FALSE)</f>
        <v>New Rochelle</v>
      </c>
      <c r="D4424" s="40">
        <v>14079465</v>
      </c>
      <c r="E4424">
        <f>VLOOKUP(C4424,'All Districts'!$B$3:$C$874,2,FALSE)</f>
        <v>3620490</v>
      </c>
      <c r="F4424" s="91">
        <f>COUNTIF($E$2:$E$7106,E4424)</f>
        <v>9</v>
      </c>
    </row>
    <row r="4425" spans="1:6" x14ac:dyDescent="0.2">
      <c r="A4425">
        <v>2015</v>
      </c>
      <c r="B4425" s="13">
        <v>8427</v>
      </c>
      <c r="C4425" s="90" t="str">
        <f>VLOOKUP(B4425,'All Districts'!$A$3:$B$874,2,FALSE)</f>
        <v>New Roots Charter School</v>
      </c>
      <c r="D4425" s="16">
        <v>118911</v>
      </c>
      <c r="E4425">
        <f>VLOOKUP(C4425,'All Districts'!$B$3:$C$874,2,FALSE)</f>
        <v>3600990</v>
      </c>
      <c r="F4425" s="91">
        <f>COUNTIF($E$2:$E$7106,E4425)</f>
        <v>9</v>
      </c>
    </row>
    <row r="4426" spans="1:6" x14ac:dyDescent="0.2">
      <c r="A4426">
        <v>2016</v>
      </c>
      <c r="B4426" s="13">
        <v>8427</v>
      </c>
      <c r="C4426" s="90" t="str">
        <f>VLOOKUP(B4426,'All Districts'!$A$3:$B$874,2,FALSE)</f>
        <v>New Roots Charter School</v>
      </c>
      <c r="D4426" s="16">
        <v>93124</v>
      </c>
      <c r="E4426">
        <f>VLOOKUP(C4426,'All Districts'!$B$3:$C$874,2,FALSE)</f>
        <v>3600990</v>
      </c>
      <c r="F4426" s="91">
        <f>COUNTIF($E$2:$E$7106,E4426)</f>
        <v>9</v>
      </c>
    </row>
    <row r="4427" spans="1:6" x14ac:dyDescent="0.2">
      <c r="A4427">
        <v>2017</v>
      </c>
      <c r="B4427" s="13">
        <v>8427</v>
      </c>
      <c r="C4427" s="90" t="str">
        <f>VLOOKUP(B4427,'All Districts'!$A$3:$B$874,2,FALSE)</f>
        <v>New Roots Charter School</v>
      </c>
      <c r="D4427" s="16">
        <v>77888</v>
      </c>
      <c r="E4427">
        <f>VLOOKUP(C4427,'All Districts'!$B$3:$C$874,2,FALSE)</f>
        <v>3600990</v>
      </c>
      <c r="F4427" s="91">
        <f>COUNTIF($E$2:$E$7106,E4427)</f>
        <v>9</v>
      </c>
    </row>
    <row r="4428" spans="1:6" x14ac:dyDescent="0.2">
      <c r="A4428" s="10">
        <v>2018</v>
      </c>
      <c r="B4428" s="13">
        <v>8427</v>
      </c>
      <c r="C4428" s="90" t="str">
        <f>VLOOKUP(B4428,'All Districts'!$A$3:$B$874,2,FALSE)</f>
        <v>New Roots Charter School</v>
      </c>
      <c r="D4428" s="15">
        <v>66865</v>
      </c>
      <c r="E4428">
        <f>VLOOKUP(C4428,'All Districts'!$B$3:$C$874,2,FALSE)</f>
        <v>3600990</v>
      </c>
      <c r="F4428" s="91">
        <f>COUNTIF($E$2:$E$7106,E4428)</f>
        <v>9</v>
      </c>
    </row>
    <row r="4429" spans="1:6" x14ac:dyDescent="0.2">
      <c r="A4429">
        <v>2019</v>
      </c>
      <c r="B4429" s="36">
        <v>8427</v>
      </c>
      <c r="C4429" s="90" t="str">
        <f>VLOOKUP(B4429,'All Districts'!$A$3:$B$874,2,FALSE)</f>
        <v>New Roots Charter School</v>
      </c>
      <c r="D4429" s="40">
        <v>81029</v>
      </c>
      <c r="E4429">
        <f>VLOOKUP(C4429,'All Districts'!$B$3:$C$874,2,FALSE)</f>
        <v>3600990</v>
      </c>
      <c r="F4429" s="91">
        <f>COUNTIF($E$2:$E$7106,E4429)</f>
        <v>9</v>
      </c>
    </row>
    <row r="4430" spans="1:6" x14ac:dyDescent="0.2">
      <c r="A4430">
        <v>2020</v>
      </c>
      <c r="B4430" s="36">
        <v>8427</v>
      </c>
      <c r="C4430" s="90" t="str">
        <f>VLOOKUP(B4430,'All Districts'!$A$3:$B$874,2,FALSE)</f>
        <v>New Roots Charter School</v>
      </c>
      <c r="D4430" s="40">
        <v>52708</v>
      </c>
      <c r="E4430">
        <f>VLOOKUP(C4430,'All Districts'!$B$3:$C$874,2,FALSE)</f>
        <v>3600990</v>
      </c>
      <c r="F4430" s="91">
        <f>COUNTIF($E$2:$E$7106,E4430)</f>
        <v>9</v>
      </c>
    </row>
    <row r="4431" spans="1:6" x14ac:dyDescent="0.2">
      <c r="A4431" s="10">
        <v>2021</v>
      </c>
      <c r="B4431" s="55">
        <v>8427</v>
      </c>
      <c r="C4431" s="90" t="str">
        <f>VLOOKUP(B4431,'All Districts'!$A$3:$B$874,2,FALSE)</f>
        <v>New Roots Charter School</v>
      </c>
      <c r="D4431" s="75">
        <v>45201</v>
      </c>
      <c r="E4431">
        <f>VLOOKUP(C4431,'All Districts'!$B$3:$C$874,2,FALSE)</f>
        <v>3600990</v>
      </c>
      <c r="F4431" s="91">
        <f>COUNTIF($E$2:$E$7106,E4431)</f>
        <v>9</v>
      </c>
    </row>
    <row r="4432" spans="1:6" x14ac:dyDescent="0.2">
      <c r="A4432">
        <v>2022</v>
      </c>
      <c r="B4432" s="36">
        <v>8427</v>
      </c>
      <c r="C4432" s="90" t="str">
        <f>VLOOKUP(B4432,'All Districts'!$A$3:$B$874,2,FALSE)</f>
        <v>New Roots Charter School</v>
      </c>
      <c r="D4432" s="82">
        <v>66823</v>
      </c>
      <c r="E4432">
        <f>VLOOKUP(C4432,'All Districts'!$B$3:$C$874,2,FALSE)</f>
        <v>3600990</v>
      </c>
      <c r="F4432" s="91">
        <f>COUNTIF($E$2:$E$7106,E4432)</f>
        <v>9</v>
      </c>
    </row>
    <row r="4433" spans="1:6" x14ac:dyDescent="0.2">
      <c r="A4433">
        <v>2023</v>
      </c>
      <c r="B4433" s="36">
        <v>8427</v>
      </c>
      <c r="C4433" s="90" t="str">
        <f>VLOOKUP(B4433,'All Districts'!$A$3:$B$874,2,FALSE)</f>
        <v>New Roots Charter School</v>
      </c>
      <c r="D4433" s="40">
        <v>71828</v>
      </c>
      <c r="E4433">
        <f>VLOOKUP(C4433,'All Districts'!$B$3:$C$874,2,FALSE)</f>
        <v>3600990</v>
      </c>
      <c r="F4433" s="91">
        <f>COUNTIF($E$2:$E$7106,E4433)</f>
        <v>9</v>
      </c>
    </row>
    <row r="4434" spans="1:6" x14ac:dyDescent="0.2">
      <c r="A4434">
        <v>2015</v>
      </c>
      <c r="B4434" s="13">
        <v>5379</v>
      </c>
      <c r="C4434" s="90" t="str">
        <f>VLOOKUP(B4434,'All Districts'!$A$3:$B$874,2,FALSE)</f>
        <v>New Suffolk</v>
      </c>
      <c r="D4434" s="14">
        <v>65925</v>
      </c>
      <c r="E4434">
        <f>VLOOKUP(C4434,'All Districts'!$B$3:$C$874,2,FALSE)</f>
        <v>3620520</v>
      </c>
      <c r="F4434" s="91">
        <f>COUNTIF($E$2:$E$7106,E4434)</f>
        <v>9</v>
      </c>
    </row>
    <row r="4435" spans="1:6" x14ac:dyDescent="0.2">
      <c r="A4435">
        <v>2016</v>
      </c>
      <c r="B4435" s="13">
        <v>5379</v>
      </c>
      <c r="C4435" s="90" t="str">
        <f>VLOOKUP(B4435,'All Districts'!$A$3:$B$874,2,FALSE)</f>
        <v>New Suffolk</v>
      </c>
      <c r="D4435" s="16">
        <v>31629</v>
      </c>
      <c r="E4435">
        <f>VLOOKUP(C4435,'All Districts'!$B$3:$C$874,2,FALSE)</f>
        <v>3620520</v>
      </c>
      <c r="F4435" s="91">
        <f>COUNTIF($E$2:$E$7106,E4435)</f>
        <v>9</v>
      </c>
    </row>
    <row r="4436" spans="1:6" x14ac:dyDescent="0.2">
      <c r="A4436">
        <v>2017</v>
      </c>
      <c r="B4436" s="13">
        <v>5379</v>
      </c>
      <c r="C4436" s="90" t="str">
        <f>VLOOKUP(B4436,'All Districts'!$A$3:$B$874,2,FALSE)</f>
        <v>New Suffolk</v>
      </c>
      <c r="D4436" s="16">
        <v>28729</v>
      </c>
      <c r="E4436">
        <f>VLOOKUP(C4436,'All Districts'!$B$3:$C$874,2,FALSE)</f>
        <v>3620520</v>
      </c>
      <c r="F4436" s="91">
        <f>COUNTIF($E$2:$E$7106,E4436)</f>
        <v>9</v>
      </c>
    </row>
    <row r="4437" spans="1:6" x14ac:dyDescent="0.2">
      <c r="A4437" s="10">
        <v>2018</v>
      </c>
      <c r="B4437" s="13">
        <v>5379</v>
      </c>
      <c r="C4437" s="90" t="str">
        <f>VLOOKUP(B4437,'All Districts'!$A$3:$B$874,2,FALSE)</f>
        <v>New Suffolk</v>
      </c>
      <c r="D4437" s="15">
        <v>38774</v>
      </c>
      <c r="E4437">
        <f>VLOOKUP(C4437,'All Districts'!$B$3:$C$874,2,FALSE)</f>
        <v>3620520</v>
      </c>
      <c r="F4437" s="91">
        <f>COUNTIF($E$2:$E$7106,E4437)</f>
        <v>9</v>
      </c>
    </row>
    <row r="4438" spans="1:6" x14ac:dyDescent="0.2">
      <c r="A4438">
        <v>2019</v>
      </c>
      <c r="B4438" s="36">
        <v>5379</v>
      </c>
      <c r="C4438" s="90" t="str">
        <f>VLOOKUP(B4438,'All Districts'!$A$3:$B$874,2,FALSE)</f>
        <v>New Suffolk</v>
      </c>
      <c r="D4438" s="40">
        <v>55215</v>
      </c>
      <c r="E4438">
        <f>VLOOKUP(C4438,'All Districts'!$B$3:$C$874,2,FALSE)</f>
        <v>3620520</v>
      </c>
      <c r="F4438" s="91">
        <f>COUNTIF($E$2:$E$7106,E4438)</f>
        <v>9</v>
      </c>
    </row>
    <row r="4439" spans="1:6" x14ac:dyDescent="0.2">
      <c r="A4439">
        <v>2020</v>
      </c>
      <c r="B4439" s="36">
        <v>5379</v>
      </c>
      <c r="C4439" s="90" t="str">
        <f>VLOOKUP(B4439,'All Districts'!$A$3:$B$874,2,FALSE)</f>
        <v>New Suffolk</v>
      </c>
      <c r="D4439" s="40">
        <v>24454</v>
      </c>
      <c r="E4439">
        <f>VLOOKUP(C4439,'All Districts'!$B$3:$C$874,2,FALSE)</f>
        <v>3620520</v>
      </c>
      <c r="F4439" s="91">
        <f>COUNTIF($E$2:$E$7106,E4439)</f>
        <v>9</v>
      </c>
    </row>
    <row r="4440" spans="1:6" x14ac:dyDescent="0.2">
      <c r="A4440" s="10">
        <v>2021</v>
      </c>
      <c r="B4440" s="52">
        <v>5379</v>
      </c>
      <c r="C4440" s="90" t="str">
        <f>VLOOKUP(B4440,'All Districts'!$A$3:$B$874,2,FALSE)</f>
        <v>New Suffolk</v>
      </c>
      <c r="D4440" s="75">
        <v>26916</v>
      </c>
      <c r="E4440">
        <f>VLOOKUP(C4440,'All Districts'!$B$3:$C$874,2,FALSE)</f>
        <v>3620520</v>
      </c>
      <c r="F4440" s="91">
        <f>COUNTIF($E$2:$E$7106,E4440)</f>
        <v>9</v>
      </c>
    </row>
    <row r="4441" spans="1:6" x14ac:dyDescent="0.2">
      <c r="A4441">
        <v>2022</v>
      </c>
      <c r="B4441" s="36">
        <v>5379</v>
      </c>
      <c r="C4441" s="90" t="str">
        <f>VLOOKUP(B4441,'All Districts'!$A$3:$B$874,2,FALSE)</f>
        <v>New Suffolk</v>
      </c>
      <c r="D4441" s="82">
        <v>27376</v>
      </c>
      <c r="E4441">
        <f>VLOOKUP(C4441,'All Districts'!$B$3:$C$874,2,FALSE)</f>
        <v>3620520</v>
      </c>
      <c r="F4441" s="91">
        <f>COUNTIF($E$2:$E$7106,E4441)</f>
        <v>9</v>
      </c>
    </row>
    <row r="4442" spans="1:6" x14ac:dyDescent="0.2">
      <c r="A4442">
        <v>2023</v>
      </c>
      <c r="B4442" s="36">
        <v>5379</v>
      </c>
      <c r="C4442" s="90" t="str">
        <f>VLOOKUP(B4442,'All Districts'!$A$3:$B$874,2,FALSE)</f>
        <v>New Suffolk</v>
      </c>
      <c r="D4442" s="40">
        <v>28311</v>
      </c>
      <c r="E4442">
        <f>VLOOKUP(C4442,'All Districts'!$B$3:$C$874,2,FALSE)</f>
        <v>3620520</v>
      </c>
      <c r="F4442" s="91">
        <f>COUNTIF($E$2:$E$7106,E4442)</f>
        <v>9</v>
      </c>
    </row>
    <row r="4443" spans="1:6" x14ac:dyDescent="0.2">
      <c r="A4443">
        <v>2015</v>
      </c>
      <c r="B4443" s="13">
        <v>4428</v>
      </c>
      <c r="C4443" s="90" t="str">
        <f>VLOOKUP(B4443,'All Districts'!$A$3:$B$874,2,FALSE)</f>
        <v>New York Mills</v>
      </c>
      <c r="D4443" s="14">
        <v>644449</v>
      </c>
      <c r="E4443">
        <f>VLOOKUP(C4443,'All Districts'!$B$3:$C$874,2,FALSE)</f>
        <v>3620610</v>
      </c>
      <c r="F4443" s="91">
        <f>COUNTIF($E$2:$E$7106,E4443)</f>
        <v>9</v>
      </c>
    </row>
    <row r="4444" spans="1:6" x14ac:dyDescent="0.2">
      <c r="A4444">
        <v>2016</v>
      </c>
      <c r="B4444" s="13">
        <v>4428</v>
      </c>
      <c r="C4444" s="90" t="str">
        <f>VLOOKUP(B4444,'All Districts'!$A$3:$B$874,2,FALSE)</f>
        <v>New York Mills</v>
      </c>
      <c r="D4444" s="16">
        <v>480554</v>
      </c>
      <c r="E4444">
        <f>VLOOKUP(C4444,'All Districts'!$B$3:$C$874,2,FALSE)</f>
        <v>3620610</v>
      </c>
      <c r="F4444" s="91">
        <f>COUNTIF($E$2:$E$7106,E4444)</f>
        <v>9</v>
      </c>
    </row>
    <row r="4445" spans="1:6" x14ac:dyDescent="0.2">
      <c r="A4445">
        <v>2017</v>
      </c>
      <c r="B4445" s="13">
        <v>4428</v>
      </c>
      <c r="C4445" s="90" t="str">
        <f>VLOOKUP(B4445,'All Districts'!$A$3:$B$874,2,FALSE)</f>
        <v>New York Mills</v>
      </c>
      <c r="D4445" s="16">
        <v>424163</v>
      </c>
      <c r="E4445">
        <f>VLOOKUP(C4445,'All Districts'!$B$3:$C$874,2,FALSE)</f>
        <v>3620610</v>
      </c>
      <c r="F4445" s="91">
        <f>COUNTIF($E$2:$E$7106,E4445)</f>
        <v>9</v>
      </c>
    </row>
    <row r="4446" spans="1:6" x14ac:dyDescent="0.2">
      <c r="A4446" s="10">
        <v>2018</v>
      </c>
      <c r="B4446" s="13">
        <v>4428</v>
      </c>
      <c r="C4446" s="90" t="str">
        <f>VLOOKUP(B4446,'All Districts'!$A$3:$B$874,2,FALSE)</f>
        <v>New York Mills</v>
      </c>
      <c r="D4446" s="15">
        <v>387809</v>
      </c>
      <c r="E4446">
        <f>VLOOKUP(C4446,'All Districts'!$B$3:$C$874,2,FALSE)</f>
        <v>3620610</v>
      </c>
      <c r="F4446" s="91">
        <f>COUNTIF($E$2:$E$7106,E4446)</f>
        <v>9</v>
      </c>
    </row>
    <row r="4447" spans="1:6" x14ac:dyDescent="0.2">
      <c r="A4447">
        <v>2019</v>
      </c>
      <c r="B4447" s="36">
        <v>4428</v>
      </c>
      <c r="C4447" s="90" t="str">
        <f>VLOOKUP(B4447,'All Districts'!$A$3:$B$874,2,FALSE)</f>
        <v>New York Mills</v>
      </c>
      <c r="D4447" s="40">
        <v>427336</v>
      </c>
      <c r="E4447">
        <f>VLOOKUP(C4447,'All Districts'!$B$3:$C$874,2,FALSE)</f>
        <v>3620610</v>
      </c>
      <c r="F4447" s="91">
        <f>COUNTIF($E$2:$E$7106,E4447)</f>
        <v>9</v>
      </c>
    </row>
    <row r="4448" spans="1:6" x14ac:dyDescent="0.2">
      <c r="A4448">
        <v>2020</v>
      </c>
      <c r="B4448" s="36">
        <v>4428</v>
      </c>
      <c r="C4448" s="90" t="str">
        <f>VLOOKUP(B4448,'All Districts'!$A$3:$B$874,2,FALSE)</f>
        <v>New York Mills</v>
      </c>
      <c r="D4448" s="40">
        <v>368746</v>
      </c>
      <c r="E4448">
        <f>VLOOKUP(C4448,'All Districts'!$B$3:$C$874,2,FALSE)</f>
        <v>3620610</v>
      </c>
      <c r="F4448" s="91">
        <f>COUNTIF($E$2:$E$7106,E4448)</f>
        <v>9</v>
      </c>
    </row>
    <row r="4449" spans="1:6" x14ac:dyDescent="0.2">
      <c r="A4449" s="10">
        <v>2021</v>
      </c>
      <c r="B4449" s="52">
        <v>4428</v>
      </c>
      <c r="C4449" s="90" t="str">
        <f>VLOOKUP(B4449,'All Districts'!$A$3:$B$874,2,FALSE)</f>
        <v>New York Mills</v>
      </c>
      <c r="D4449" s="76">
        <v>396896</v>
      </c>
      <c r="E4449">
        <f>VLOOKUP(C4449,'All Districts'!$B$3:$C$874,2,FALSE)</f>
        <v>3620610</v>
      </c>
      <c r="F4449" s="91">
        <f>COUNTIF($E$2:$E$7106,E4449)</f>
        <v>9</v>
      </c>
    </row>
    <row r="4450" spans="1:6" x14ac:dyDescent="0.2">
      <c r="A4450">
        <v>2022</v>
      </c>
      <c r="B4450" s="36">
        <v>4428</v>
      </c>
      <c r="C4450" s="90" t="str">
        <f>VLOOKUP(B4450,'All Districts'!$A$3:$B$874,2,FALSE)</f>
        <v>New York Mills</v>
      </c>
      <c r="D4450" s="82">
        <v>427567</v>
      </c>
      <c r="E4450">
        <f>VLOOKUP(C4450,'All Districts'!$B$3:$C$874,2,FALSE)</f>
        <v>3620610</v>
      </c>
      <c r="F4450" s="91">
        <f>COUNTIF($E$2:$E$7106,E4450)</f>
        <v>9</v>
      </c>
    </row>
    <row r="4451" spans="1:6" x14ac:dyDescent="0.2">
      <c r="A4451">
        <v>2023</v>
      </c>
      <c r="B4451" s="36">
        <v>4428</v>
      </c>
      <c r="C4451" s="90" t="str">
        <f>VLOOKUP(B4451,'All Districts'!$A$3:$B$874,2,FALSE)</f>
        <v>New York Mills</v>
      </c>
      <c r="D4451" s="40">
        <v>453147</v>
      </c>
      <c r="E4451">
        <f>VLOOKUP(C4451,'All Districts'!$B$3:$C$874,2,FALSE)</f>
        <v>3620610</v>
      </c>
      <c r="F4451" s="91">
        <f>COUNTIF($E$2:$E$7106,E4451)</f>
        <v>9</v>
      </c>
    </row>
    <row r="4452" spans="1:6" x14ac:dyDescent="0.2">
      <c r="A4452">
        <v>2015</v>
      </c>
      <c r="B4452" s="13">
        <v>2395</v>
      </c>
      <c r="C4452" s="90" t="str">
        <f>VLOOKUP(B4452,'All Districts'!$A$3:$B$874,2,FALSE)</f>
        <v>Newark</v>
      </c>
      <c r="D4452" s="14">
        <v>2453374</v>
      </c>
      <c r="E4452">
        <f>VLOOKUP(C4452,'All Districts'!$B$3:$C$874,2,FALSE)</f>
        <v>3620640</v>
      </c>
      <c r="F4452" s="91">
        <f>COUNTIF($E$2:$E$7106,E4452)</f>
        <v>9</v>
      </c>
    </row>
    <row r="4453" spans="1:6" x14ac:dyDescent="0.2">
      <c r="A4453">
        <v>2016</v>
      </c>
      <c r="B4453" s="13">
        <v>2395</v>
      </c>
      <c r="C4453" s="90" t="str">
        <f>VLOOKUP(B4453,'All Districts'!$A$3:$B$874,2,FALSE)</f>
        <v>Newark</v>
      </c>
      <c r="D4453" s="16">
        <v>1897744</v>
      </c>
      <c r="E4453">
        <f>VLOOKUP(C4453,'All Districts'!$B$3:$C$874,2,FALSE)</f>
        <v>3620640</v>
      </c>
      <c r="F4453" s="91">
        <f>COUNTIF($E$2:$E$7106,E4453)</f>
        <v>9</v>
      </c>
    </row>
    <row r="4454" spans="1:6" x14ac:dyDescent="0.2">
      <c r="A4454">
        <v>2017</v>
      </c>
      <c r="B4454" s="13">
        <v>2395</v>
      </c>
      <c r="C4454" s="90" t="str">
        <f>VLOOKUP(B4454,'All Districts'!$A$3:$B$874,2,FALSE)</f>
        <v>Newark</v>
      </c>
      <c r="D4454" s="16">
        <v>1737878</v>
      </c>
      <c r="E4454">
        <f>VLOOKUP(C4454,'All Districts'!$B$3:$C$874,2,FALSE)</f>
        <v>3620640</v>
      </c>
      <c r="F4454" s="91">
        <f>COUNTIF($E$2:$E$7106,E4454)</f>
        <v>9</v>
      </c>
    </row>
    <row r="4455" spans="1:6" x14ac:dyDescent="0.2">
      <c r="A4455" s="10">
        <v>2018</v>
      </c>
      <c r="B4455" s="13">
        <v>2395</v>
      </c>
      <c r="C4455" s="90" t="str">
        <f>VLOOKUP(B4455,'All Districts'!$A$3:$B$874,2,FALSE)</f>
        <v>Newark</v>
      </c>
      <c r="D4455" s="15">
        <v>1501110</v>
      </c>
      <c r="E4455">
        <f>VLOOKUP(C4455,'All Districts'!$B$3:$C$874,2,FALSE)</f>
        <v>3620640</v>
      </c>
      <c r="F4455" s="91">
        <f>COUNTIF($E$2:$E$7106,E4455)</f>
        <v>9</v>
      </c>
    </row>
    <row r="4456" spans="1:6" x14ac:dyDescent="0.2">
      <c r="A4456">
        <v>2019</v>
      </c>
      <c r="B4456" s="36">
        <v>2395</v>
      </c>
      <c r="C4456" s="90" t="str">
        <f>VLOOKUP(B4456,'All Districts'!$A$3:$B$874,2,FALSE)</f>
        <v>Newark</v>
      </c>
      <c r="D4456" s="40">
        <v>1640437</v>
      </c>
      <c r="E4456">
        <f>VLOOKUP(C4456,'All Districts'!$B$3:$C$874,2,FALSE)</f>
        <v>3620640</v>
      </c>
      <c r="F4456" s="91">
        <f>COUNTIF($E$2:$E$7106,E4456)</f>
        <v>9</v>
      </c>
    </row>
    <row r="4457" spans="1:6" x14ac:dyDescent="0.2">
      <c r="A4457">
        <v>2020</v>
      </c>
      <c r="B4457" s="36">
        <v>2395</v>
      </c>
      <c r="C4457" s="90" t="str">
        <f>VLOOKUP(B4457,'All Districts'!$A$3:$B$874,2,FALSE)</f>
        <v>Newark</v>
      </c>
      <c r="D4457" s="40">
        <v>1423950</v>
      </c>
      <c r="E4457">
        <f>VLOOKUP(C4457,'All Districts'!$B$3:$C$874,2,FALSE)</f>
        <v>3620640</v>
      </c>
      <c r="F4457" s="91">
        <f>COUNTIF($E$2:$E$7106,E4457)</f>
        <v>9</v>
      </c>
    </row>
    <row r="4458" spans="1:6" x14ac:dyDescent="0.2">
      <c r="A4458" s="10">
        <v>2021</v>
      </c>
      <c r="B4458" s="55">
        <v>2395</v>
      </c>
      <c r="C4458" s="90" t="str">
        <f>VLOOKUP(B4458,'All Districts'!$A$3:$B$874,2,FALSE)</f>
        <v>Newark</v>
      </c>
      <c r="D4458" s="76">
        <v>1532744</v>
      </c>
      <c r="E4458">
        <f>VLOOKUP(C4458,'All Districts'!$B$3:$C$874,2,FALSE)</f>
        <v>3620640</v>
      </c>
      <c r="F4458" s="91">
        <f>COUNTIF($E$2:$E$7106,E4458)</f>
        <v>9</v>
      </c>
    </row>
    <row r="4459" spans="1:6" x14ac:dyDescent="0.2">
      <c r="A4459">
        <v>2022</v>
      </c>
      <c r="B4459" s="36">
        <v>2395</v>
      </c>
      <c r="C4459" s="90" t="str">
        <f>VLOOKUP(B4459,'All Districts'!$A$3:$B$874,2,FALSE)</f>
        <v>Newark</v>
      </c>
      <c r="D4459" s="82">
        <v>1621283</v>
      </c>
      <c r="E4459">
        <f>VLOOKUP(C4459,'All Districts'!$B$3:$C$874,2,FALSE)</f>
        <v>3620640</v>
      </c>
      <c r="F4459" s="91">
        <f>COUNTIF($E$2:$E$7106,E4459)</f>
        <v>9</v>
      </c>
    </row>
    <row r="4460" spans="1:6" x14ac:dyDescent="0.2">
      <c r="A4460">
        <v>2023</v>
      </c>
      <c r="B4460" s="36">
        <v>2395</v>
      </c>
      <c r="C4460" s="90" t="str">
        <f>VLOOKUP(B4460,'All Districts'!$A$3:$B$874,2,FALSE)</f>
        <v>Newark</v>
      </c>
      <c r="D4460" s="40">
        <v>1827122</v>
      </c>
      <c r="E4460">
        <f>VLOOKUP(C4460,'All Districts'!$B$3:$C$874,2,FALSE)</f>
        <v>3620640</v>
      </c>
      <c r="F4460" s="91">
        <f>COUNTIF($E$2:$E$7106,E4460)</f>
        <v>9</v>
      </c>
    </row>
    <row r="4461" spans="1:6" x14ac:dyDescent="0.2">
      <c r="A4461">
        <v>2015</v>
      </c>
      <c r="B4461" s="13">
        <v>3178</v>
      </c>
      <c r="C4461" s="90" t="str">
        <f>VLOOKUP(B4461,'All Districts'!$A$3:$B$874,2,FALSE)</f>
        <v>Newark Valley</v>
      </c>
      <c r="D4461" s="14">
        <v>1313790</v>
      </c>
      <c r="E4461">
        <f>VLOOKUP(C4461,'All Districts'!$B$3:$C$874,2,FALSE)</f>
        <v>3620670</v>
      </c>
      <c r="F4461" s="91">
        <f>COUNTIF($E$2:$E$7106,E4461)</f>
        <v>9</v>
      </c>
    </row>
    <row r="4462" spans="1:6" x14ac:dyDescent="0.2">
      <c r="A4462">
        <v>2016</v>
      </c>
      <c r="B4462" s="13">
        <v>3178</v>
      </c>
      <c r="C4462" s="90" t="str">
        <f>VLOOKUP(B4462,'All Districts'!$A$3:$B$874,2,FALSE)</f>
        <v>Newark Valley</v>
      </c>
      <c r="D4462" s="16">
        <v>987585</v>
      </c>
      <c r="E4462">
        <f>VLOOKUP(C4462,'All Districts'!$B$3:$C$874,2,FALSE)</f>
        <v>3620670</v>
      </c>
      <c r="F4462" s="91">
        <f>COUNTIF($E$2:$E$7106,E4462)</f>
        <v>9</v>
      </c>
    </row>
    <row r="4463" spans="1:6" x14ac:dyDescent="0.2">
      <c r="A4463">
        <v>2017</v>
      </c>
      <c r="B4463" s="13">
        <v>3178</v>
      </c>
      <c r="C4463" s="90" t="str">
        <f>VLOOKUP(B4463,'All Districts'!$A$3:$B$874,2,FALSE)</f>
        <v>Newark Valley</v>
      </c>
      <c r="D4463" s="16">
        <v>891776</v>
      </c>
      <c r="E4463">
        <f>VLOOKUP(C4463,'All Districts'!$B$3:$C$874,2,FALSE)</f>
        <v>3620670</v>
      </c>
      <c r="F4463" s="91">
        <f>COUNTIF($E$2:$E$7106,E4463)</f>
        <v>9</v>
      </c>
    </row>
    <row r="4464" spans="1:6" x14ac:dyDescent="0.2">
      <c r="A4464" s="10">
        <v>2018</v>
      </c>
      <c r="B4464" s="13">
        <v>3178</v>
      </c>
      <c r="C4464" s="90" t="str">
        <f>VLOOKUP(B4464,'All Districts'!$A$3:$B$874,2,FALSE)</f>
        <v>Newark Valley</v>
      </c>
      <c r="D4464" s="15">
        <v>768307</v>
      </c>
      <c r="E4464">
        <f>VLOOKUP(C4464,'All Districts'!$B$3:$C$874,2,FALSE)</f>
        <v>3620670</v>
      </c>
      <c r="F4464" s="91">
        <f>COUNTIF($E$2:$E$7106,E4464)</f>
        <v>9</v>
      </c>
    </row>
    <row r="4465" spans="1:6" x14ac:dyDescent="0.2">
      <c r="A4465">
        <v>2019</v>
      </c>
      <c r="B4465" s="36">
        <v>3178</v>
      </c>
      <c r="C4465" s="90" t="str">
        <f>VLOOKUP(B4465,'All Districts'!$A$3:$B$874,2,FALSE)</f>
        <v>Newark Valley</v>
      </c>
      <c r="D4465" s="40">
        <v>841795</v>
      </c>
      <c r="E4465">
        <f>VLOOKUP(C4465,'All Districts'!$B$3:$C$874,2,FALSE)</f>
        <v>3620670</v>
      </c>
      <c r="F4465" s="91">
        <f>COUNTIF($E$2:$E$7106,E4465)</f>
        <v>9</v>
      </c>
    </row>
    <row r="4466" spans="1:6" x14ac:dyDescent="0.2">
      <c r="A4466">
        <v>2020</v>
      </c>
      <c r="B4466" s="36">
        <v>3178</v>
      </c>
      <c r="C4466" s="90" t="str">
        <f>VLOOKUP(B4466,'All Districts'!$A$3:$B$874,2,FALSE)</f>
        <v>Newark Valley</v>
      </c>
      <c r="D4466" s="40">
        <v>705512</v>
      </c>
      <c r="E4466">
        <f>VLOOKUP(C4466,'All Districts'!$B$3:$C$874,2,FALSE)</f>
        <v>3620670</v>
      </c>
      <c r="F4466" s="91">
        <f>COUNTIF($E$2:$E$7106,E4466)</f>
        <v>9</v>
      </c>
    </row>
    <row r="4467" spans="1:6" x14ac:dyDescent="0.2">
      <c r="A4467" s="10">
        <v>2021</v>
      </c>
      <c r="B4467" s="52">
        <v>3178</v>
      </c>
      <c r="C4467" s="90" t="str">
        <f>VLOOKUP(B4467,'All Districts'!$A$3:$B$874,2,FALSE)</f>
        <v>Newark Valley</v>
      </c>
      <c r="D4467" s="76">
        <v>742878</v>
      </c>
      <c r="E4467">
        <f>VLOOKUP(C4467,'All Districts'!$B$3:$C$874,2,FALSE)</f>
        <v>3620670</v>
      </c>
      <c r="F4467" s="91">
        <f>COUNTIF($E$2:$E$7106,E4467)</f>
        <v>9</v>
      </c>
    </row>
    <row r="4468" spans="1:6" x14ac:dyDescent="0.2">
      <c r="A4468">
        <v>2022</v>
      </c>
      <c r="B4468" s="36">
        <v>3178</v>
      </c>
      <c r="C4468" s="90" t="str">
        <f>VLOOKUP(B4468,'All Districts'!$A$3:$B$874,2,FALSE)</f>
        <v>Newark Valley</v>
      </c>
      <c r="D4468" s="82">
        <v>822379</v>
      </c>
      <c r="E4468">
        <f>VLOOKUP(C4468,'All Districts'!$B$3:$C$874,2,FALSE)</f>
        <v>3620670</v>
      </c>
      <c r="F4468" s="91">
        <f>COUNTIF($E$2:$E$7106,E4468)</f>
        <v>9</v>
      </c>
    </row>
    <row r="4469" spans="1:6" x14ac:dyDescent="0.2">
      <c r="A4469">
        <v>2023</v>
      </c>
      <c r="B4469" s="36">
        <v>3178</v>
      </c>
      <c r="C4469" s="90" t="str">
        <f>VLOOKUP(B4469,'All Districts'!$A$3:$B$874,2,FALSE)</f>
        <v>Newark Valley</v>
      </c>
      <c r="D4469" s="40">
        <v>896000</v>
      </c>
      <c r="E4469">
        <f>VLOOKUP(C4469,'All Districts'!$B$3:$C$874,2,FALSE)</f>
        <v>3620670</v>
      </c>
      <c r="F4469" s="91">
        <f>COUNTIF($E$2:$E$7106,E4469)</f>
        <v>9</v>
      </c>
    </row>
    <row r="4470" spans="1:6" x14ac:dyDescent="0.2">
      <c r="A4470">
        <v>2015</v>
      </c>
      <c r="B4470" s="13">
        <v>1165</v>
      </c>
      <c r="C4470" s="90" t="str">
        <f>VLOOKUP(B4470,'All Districts'!$A$3:$B$874,2,FALSE)</f>
        <v>Newburgh</v>
      </c>
      <c r="D4470" s="14">
        <v>17998149</v>
      </c>
      <c r="E4470">
        <f>VLOOKUP(C4470,'All Districts'!$B$3:$C$874,2,FALSE)</f>
        <v>3620700</v>
      </c>
      <c r="F4470" s="91">
        <f>COUNTIF($E$2:$E$7106,E4470)</f>
        <v>9</v>
      </c>
    </row>
    <row r="4471" spans="1:6" x14ac:dyDescent="0.2">
      <c r="A4471">
        <v>2016</v>
      </c>
      <c r="B4471" s="13">
        <v>1165</v>
      </c>
      <c r="C4471" s="90" t="str">
        <f>VLOOKUP(B4471,'All Districts'!$A$3:$B$874,2,FALSE)</f>
        <v>Newburgh</v>
      </c>
      <c r="D4471" s="16">
        <v>13741368</v>
      </c>
      <c r="E4471">
        <f>VLOOKUP(C4471,'All Districts'!$B$3:$C$874,2,FALSE)</f>
        <v>3620700</v>
      </c>
      <c r="F4471" s="91">
        <f>COUNTIF($E$2:$E$7106,E4471)</f>
        <v>9</v>
      </c>
    </row>
    <row r="4472" spans="1:6" x14ac:dyDescent="0.2">
      <c r="A4472">
        <v>2017</v>
      </c>
      <c r="B4472" s="13">
        <v>1165</v>
      </c>
      <c r="C4472" s="90" t="str">
        <f>VLOOKUP(B4472,'All Districts'!$A$3:$B$874,2,FALSE)</f>
        <v>Newburgh</v>
      </c>
      <c r="D4472" s="16">
        <v>12614496</v>
      </c>
      <c r="E4472">
        <f>VLOOKUP(C4472,'All Districts'!$B$3:$C$874,2,FALSE)</f>
        <v>3620700</v>
      </c>
      <c r="F4472" s="91">
        <f>COUNTIF($E$2:$E$7106,E4472)</f>
        <v>9</v>
      </c>
    </row>
    <row r="4473" spans="1:6" x14ac:dyDescent="0.2">
      <c r="A4473" s="10">
        <v>2018</v>
      </c>
      <c r="B4473" s="13">
        <v>1165</v>
      </c>
      <c r="C4473" s="90" t="str">
        <f>VLOOKUP(B4473,'All Districts'!$A$3:$B$874,2,FALSE)</f>
        <v>Newburgh</v>
      </c>
      <c r="D4473" s="15">
        <v>10969680</v>
      </c>
      <c r="E4473">
        <f>VLOOKUP(C4473,'All Districts'!$B$3:$C$874,2,FALSE)</f>
        <v>3620700</v>
      </c>
      <c r="F4473" s="91">
        <f>COUNTIF($E$2:$E$7106,E4473)</f>
        <v>9</v>
      </c>
    </row>
    <row r="4474" spans="1:6" x14ac:dyDescent="0.2">
      <c r="A4474">
        <v>2019</v>
      </c>
      <c r="B4474" s="36">
        <v>1165</v>
      </c>
      <c r="C4474" s="90" t="str">
        <f>VLOOKUP(B4474,'All Districts'!$A$3:$B$874,2,FALSE)</f>
        <v>Newburgh</v>
      </c>
      <c r="D4474" s="40">
        <v>12321365</v>
      </c>
      <c r="E4474">
        <f>VLOOKUP(C4474,'All Districts'!$B$3:$C$874,2,FALSE)</f>
        <v>3620700</v>
      </c>
      <c r="F4474" s="91">
        <f>COUNTIF($E$2:$E$7106,E4474)</f>
        <v>9</v>
      </c>
    </row>
    <row r="4475" spans="1:6" x14ac:dyDescent="0.2">
      <c r="A4475">
        <v>2020</v>
      </c>
      <c r="B4475" s="36">
        <v>1165</v>
      </c>
      <c r="C4475" s="90" t="str">
        <f>VLOOKUP(B4475,'All Districts'!$A$3:$B$874,2,FALSE)</f>
        <v>Newburgh</v>
      </c>
      <c r="D4475" s="40">
        <v>10637086</v>
      </c>
      <c r="E4475">
        <f>VLOOKUP(C4475,'All Districts'!$B$3:$C$874,2,FALSE)</f>
        <v>3620700</v>
      </c>
      <c r="F4475" s="91">
        <f>COUNTIF($E$2:$E$7106,E4475)</f>
        <v>9</v>
      </c>
    </row>
    <row r="4476" spans="1:6" x14ac:dyDescent="0.2">
      <c r="A4476" s="10">
        <v>2021</v>
      </c>
      <c r="B4476" s="52">
        <v>1165</v>
      </c>
      <c r="C4476" s="90" t="str">
        <f>VLOOKUP(B4476,'All Districts'!$A$3:$B$874,2,FALSE)</f>
        <v>Newburgh</v>
      </c>
      <c r="D4476" s="76">
        <v>11112336</v>
      </c>
      <c r="E4476">
        <f>VLOOKUP(C4476,'All Districts'!$B$3:$C$874,2,FALSE)</f>
        <v>3620700</v>
      </c>
      <c r="F4476" s="91">
        <f>COUNTIF($E$2:$E$7106,E4476)</f>
        <v>9</v>
      </c>
    </row>
    <row r="4477" spans="1:6" x14ac:dyDescent="0.2">
      <c r="A4477">
        <v>2022</v>
      </c>
      <c r="B4477" s="36">
        <v>1165</v>
      </c>
      <c r="C4477" s="90" t="str">
        <f>VLOOKUP(B4477,'All Districts'!$A$3:$B$874,2,FALSE)</f>
        <v>Newburgh</v>
      </c>
      <c r="D4477" s="82">
        <v>12035366</v>
      </c>
      <c r="E4477">
        <f>VLOOKUP(C4477,'All Districts'!$B$3:$C$874,2,FALSE)</f>
        <v>3620700</v>
      </c>
      <c r="F4477" s="91">
        <f>COUNTIF($E$2:$E$7106,E4477)</f>
        <v>9</v>
      </c>
    </row>
    <row r="4478" spans="1:6" x14ac:dyDescent="0.2">
      <c r="A4478">
        <v>2023</v>
      </c>
      <c r="B4478" s="36">
        <v>1165</v>
      </c>
      <c r="C4478" s="90" t="str">
        <f>VLOOKUP(B4478,'All Districts'!$A$3:$B$874,2,FALSE)</f>
        <v>Newburgh</v>
      </c>
      <c r="D4478" s="40">
        <v>13297875</v>
      </c>
      <c r="E4478">
        <f>VLOOKUP(C4478,'All Districts'!$B$3:$C$874,2,FALSE)</f>
        <v>3620700</v>
      </c>
      <c r="F4478" s="91">
        <f>COUNTIF($E$2:$E$7106,E4478)</f>
        <v>9</v>
      </c>
    </row>
    <row r="4479" spans="1:6" x14ac:dyDescent="0.2">
      <c r="A4479">
        <v>2015</v>
      </c>
      <c r="B4479" s="13">
        <v>5695</v>
      </c>
      <c r="C4479" s="90" t="str">
        <f>VLOOKUP(B4479,'All Districts'!$A$3:$B$874,2,FALSE)</f>
        <v>Newcomb</v>
      </c>
      <c r="D4479" s="15">
        <v>298256</v>
      </c>
      <c r="E4479">
        <f>VLOOKUP(C4479,'All Districts'!$B$3:$C$874,2,FALSE)</f>
        <v>3620730</v>
      </c>
      <c r="F4479" s="91">
        <f>COUNTIF($E$2:$E$7106,E4479)</f>
        <v>9</v>
      </c>
    </row>
    <row r="4480" spans="1:6" x14ac:dyDescent="0.2">
      <c r="A4480">
        <v>2016</v>
      </c>
      <c r="B4480" s="13">
        <v>5695</v>
      </c>
      <c r="C4480" s="90" t="str">
        <f>VLOOKUP(B4480,'All Districts'!$A$3:$B$874,2,FALSE)</f>
        <v>Newcomb</v>
      </c>
      <c r="D4480" s="16">
        <v>235164</v>
      </c>
      <c r="E4480">
        <f>VLOOKUP(C4480,'All Districts'!$B$3:$C$874,2,FALSE)</f>
        <v>3620730</v>
      </c>
      <c r="F4480" s="91">
        <f>COUNTIF($E$2:$E$7106,E4480)</f>
        <v>9</v>
      </c>
    </row>
    <row r="4481" spans="1:6" x14ac:dyDescent="0.2">
      <c r="A4481">
        <v>2017</v>
      </c>
      <c r="B4481" s="13">
        <v>5695</v>
      </c>
      <c r="C4481" s="90" t="str">
        <f>VLOOKUP(B4481,'All Districts'!$A$3:$B$874,2,FALSE)</f>
        <v>Newcomb</v>
      </c>
      <c r="D4481" s="16">
        <v>214373</v>
      </c>
      <c r="E4481">
        <f>VLOOKUP(C4481,'All Districts'!$B$3:$C$874,2,FALSE)</f>
        <v>3620730</v>
      </c>
      <c r="F4481" s="91">
        <f>COUNTIF($E$2:$E$7106,E4481)</f>
        <v>9</v>
      </c>
    </row>
    <row r="4482" spans="1:6" x14ac:dyDescent="0.2">
      <c r="A4482" s="10">
        <v>2018</v>
      </c>
      <c r="B4482" s="13">
        <v>5695</v>
      </c>
      <c r="C4482" s="90" t="str">
        <f>VLOOKUP(B4482,'All Districts'!$A$3:$B$874,2,FALSE)</f>
        <v>Newcomb</v>
      </c>
      <c r="D4482" s="15">
        <v>179150</v>
      </c>
      <c r="E4482">
        <f>VLOOKUP(C4482,'All Districts'!$B$3:$C$874,2,FALSE)</f>
        <v>3620730</v>
      </c>
      <c r="F4482" s="91">
        <f>COUNTIF($E$2:$E$7106,E4482)</f>
        <v>9</v>
      </c>
    </row>
    <row r="4483" spans="1:6" x14ac:dyDescent="0.2">
      <c r="A4483">
        <v>2019</v>
      </c>
      <c r="B4483" s="36">
        <v>5695</v>
      </c>
      <c r="C4483" s="90" t="str">
        <f>VLOOKUP(B4483,'All Districts'!$A$3:$B$874,2,FALSE)</f>
        <v>Newcomb</v>
      </c>
      <c r="D4483" s="40">
        <v>193528</v>
      </c>
      <c r="E4483">
        <f>VLOOKUP(C4483,'All Districts'!$B$3:$C$874,2,FALSE)</f>
        <v>3620730</v>
      </c>
      <c r="F4483" s="91">
        <f>COUNTIF($E$2:$E$7106,E4483)</f>
        <v>9</v>
      </c>
    </row>
    <row r="4484" spans="1:6" x14ac:dyDescent="0.2">
      <c r="A4484">
        <v>2020</v>
      </c>
      <c r="B4484" s="36">
        <v>5695</v>
      </c>
      <c r="C4484" s="90" t="str">
        <f>VLOOKUP(B4484,'All Districts'!$A$3:$B$874,2,FALSE)</f>
        <v>Newcomb</v>
      </c>
      <c r="D4484" s="40">
        <v>154122</v>
      </c>
      <c r="E4484">
        <f>VLOOKUP(C4484,'All Districts'!$B$3:$C$874,2,FALSE)</f>
        <v>3620730</v>
      </c>
      <c r="F4484" s="91">
        <f>COUNTIF($E$2:$E$7106,E4484)</f>
        <v>9</v>
      </c>
    </row>
    <row r="4485" spans="1:6" x14ac:dyDescent="0.2">
      <c r="A4485" s="10">
        <v>2021</v>
      </c>
      <c r="B4485" s="52">
        <v>5695</v>
      </c>
      <c r="C4485" s="90" t="str">
        <f>VLOOKUP(B4485,'All Districts'!$A$3:$B$874,2,FALSE)</f>
        <v>Newcomb</v>
      </c>
      <c r="D4485" s="75">
        <v>178138</v>
      </c>
      <c r="E4485">
        <f>VLOOKUP(C4485,'All Districts'!$B$3:$C$874,2,FALSE)</f>
        <v>3620730</v>
      </c>
      <c r="F4485" s="91">
        <f>COUNTIF($E$2:$E$7106,E4485)</f>
        <v>9</v>
      </c>
    </row>
    <row r="4486" spans="1:6" x14ac:dyDescent="0.2">
      <c r="A4486">
        <v>2022</v>
      </c>
      <c r="B4486" s="36">
        <v>5695</v>
      </c>
      <c r="C4486" s="90" t="str">
        <f>VLOOKUP(B4486,'All Districts'!$A$3:$B$874,2,FALSE)</f>
        <v>Newcomb</v>
      </c>
      <c r="D4486" s="82">
        <v>182510</v>
      </c>
      <c r="E4486">
        <f>VLOOKUP(C4486,'All Districts'!$B$3:$C$874,2,FALSE)</f>
        <v>3620730</v>
      </c>
      <c r="F4486" s="91">
        <f>COUNTIF($E$2:$E$7106,E4486)</f>
        <v>9</v>
      </c>
    </row>
    <row r="4487" spans="1:6" x14ac:dyDescent="0.2">
      <c r="A4487">
        <v>2023</v>
      </c>
      <c r="B4487" s="36">
        <v>5695</v>
      </c>
      <c r="C4487" s="90" t="str">
        <f>VLOOKUP(B4487,'All Districts'!$A$3:$B$874,2,FALSE)</f>
        <v>Newcomb</v>
      </c>
      <c r="D4487" s="40">
        <v>186809</v>
      </c>
      <c r="E4487">
        <f>VLOOKUP(C4487,'All Districts'!$B$3:$C$874,2,FALSE)</f>
        <v>3620730</v>
      </c>
      <c r="F4487" s="91">
        <f>COUNTIF($E$2:$E$7106,E4487)</f>
        <v>9</v>
      </c>
    </row>
    <row r="4488" spans="1:6" x14ac:dyDescent="0.2">
      <c r="A4488">
        <v>2015</v>
      </c>
      <c r="B4488" s="13">
        <v>2396</v>
      </c>
      <c r="C4488" s="90" t="str">
        <f>VLOOKUP(B4488,'All Districts'!$A$3:$B$874,2,FALSE)</f>
        <v>Newfane</v>
      </c>
      <c r="D4488" s="14">
        <v>1765519</v>
      </c>
      <c r="E4488">
        <f>VLOOKUP(C4488,'All Districts'!$B$3:$C$874,2,FALSE)</f>
        <v>3620760</v>
      </c>
      <c r="F4488" s="91">
        <f>COUNTIF($E$2:$E$7106,E4488)</f>
        <v>9</v>
      </c>
    </row>
    <row r="4489" spans="1:6" x14ac:dyDescent="0.2">
      <c r="A4489">
        <v>2016</v>
      </c>
      <c r="B4489" s="13">
        <v>2396</v>
      </c>
      <c r="C4489" s="90" t="str">
        <f>VLOOKUP(B4489,'All Districts'!$A$3:$B$874,2,FALSE)</f>
        <v>Newfane</v>
      </c>
      <c r="D4489" s="16">
        <v>1361098</v>
      </c>
      <c r="E4489">
        <f>VLOOKUP(C4489,'All Districts'!$B$3:$C$874,2,FALSE)</f>
        <v>3620760</v>
      </c>
      <c r="F4489" s="91">
        <f>COUNTIF($E$2:$E$7106,E4489)</f>
        <v>9</v>
      </c>
    </row>
    <row r="4490" spans="1:6" x14ac:dyDescent="0.2">
      <c r="A4490">
        <v>2017</v>
      </c>
      <c r="B4490" s="13">
        <v>2396</v>
      </c>
      <c r="C4490" s="90" t="str">
        <f>VLOOKUP(B4490,'All Districts'!$A$3:$B$874,2,FALSE)</f>
        <v>Newfane</v>
      </c>
      <c r="D4490" s="16">
        <v>1350252</v>
      </c>
      <c r="E4490">
        <f>VLOOKUP(C4490,'All Districts'!$B$3:$C$874,2,FALSE)</f>
        <v>3620760</v>
      </c>
      <c r="F4490" s="91">
        <f>COUNTIF($E$2:$E$7106,E4490)</f>
        <v>9</v>
      </c>
    </row>
    <row r="4491" spans="1:6" x14ac:dyDescent="0.2">
      <c r="A4491" s="10">
        <v>2018</v>
      </c>
      <c r="B4491" s="13">
        <v>2396</v>
      </c>
      <c r="C4491" s="90" t="str">
        <f>VLOOKUP(B4491,'All Districts'!$A$3:$B$874,2,FALSE)</f>
        <v>Newfane</v>
      </c>
      <c r="D4491" s="15">
        <v>1149793</v>
      </c>
      <c r="E4491">
        <f>VLOOKUP(C4491,'All Districts'!$B$3:$C$874,2,FALSE)</f>
        <v>3620760</v>
      </c>
      <c r="F4491" s="91">
        <f>COUNTIF($E$2:$E$7106,E4491)</f>
        <v>9</v>
      </c>
    </row>
    <row r="4492" spans="1:6" x14ac:dyDescent="0.2">
      <c r="A4492">
        <v>2019</v>
      </c>
      <c r="B4492" s="36">
        <v>2396</v>
      </c>
      <c r="C4492" s="90" t="str">
        <f>VLOOKUP(B4492,'All Districts'!$A$3:$B$874,2,FALSE)</f>
        <v>Newfane</v>
      </c>
      <c r="D4492" s="40">
        <v>1263310</v>
      </c>
      <c r="E4492">
        <f>VLOOKUP(C4492,'All Districts'!$B$3:$C$874,2,FALSE)</f>
        <v>3620760</v>
      </c>
      <c r="F4492" s="91">
        <f>COUNTIF($E$2:$E$7106,E4492)</f>
        <v>9</v>
      </c>
    </row>
    <row r="4493" spans="1:6" x14ac:dyDescent="0.2">
      <c r="A4493">
        <v>2020</v>
      </c>
      <c r="B4493" s="36">
        <v>2396</v>
      </c>
      <c r="C4493" s="90" t="str">
        <f>VLOOKUP(B4493,'All Districts'!$A$3:$B$874,2,FALSE)</f>
        <v>Newfane</v>
      </c>
      <c r="D4493" s="40">
        <v>1017342</v>
      </c>
      <c r="E4493">
        <f>VLOOKUP(C4493,'All Districts'!$B$3:$C$874,2,FALSE)</f>
        <v>3620760</v>
      </c>
      <c r="F4493" s="91">
        <f>COUNTIF($E$2:$E$7106,E4493)</f>
        <v>9</v>
      </c>
    </row>
    <row r="4494" spans="1:6" x14ac:dyDescent="0.2">
      <c r="A4494" s="10">
        <v>2021</v>
      </c>
      <c r="B4494" s="52">
        <v>2396</v>
      </c>
      <c r="C4494" s="90" t="str">
        <f>VLOOKUP(B4494,'All Districts'!$A$3:$B$874,2,FALSE)</f>
        <v>Newfane</v>
      </c>
      <c r="D4494" s="76">
        <v>1076753</v>
      </c>
      <c r="E4494">
        <f>VLOOKUP(C4494,'All Districts'!$B$3:$C$874,2,FALSE)</f>
        <v>3620760</v>
      </c>
      <c r="F4494" s="91">
        <f>COUNTIF($E$2:$E$7106,E4494)</f>
        <v>9</v>
      </c>
    </row>
    <row r="4495" spans="1:6" x14ac:dyDescent="0.2">
      <c r="A4495">
        <v>2022</v>
      </c>
      <c r="B4495" s="36">
        <v>2396</v>
      </c>
      <c r="C4495" s="90" t="str">
        <f>VLOOKUP(B4495,'All Districts'!$A$3:$B$874,2,FALSE)</f>
        <v>Newfane</v>
      </c>
      <c r="D4495" s="82">
        <v>1145783</v>
      </c>
      <c r="E4495">
        <f>VLOOKUP(C4495,'All Districts'!$B$3:$C$874,2,FALSE)</f>
        <v>3620760</v>
      </c>
      <c r="F4495" s="91">
        <f>COUNTIF($E$2:$E$7106,E4495)</f>
        <v>9</v>
      </c>
    </row>
    <row r="4496" spans="1:6" x14ac:dyDescent="0.2">
      <c r="A4496">
        <v>2023</v>
      </c>
      <c r="B4496" s="36">
        <v>2396</v>
      </c>
      <c r="C4496" s="90" t="str">
        <f>VLOOKUP(B4496,'All Districts'!$A$3:$B$874,2,FALSE)</f>
        <v>Newfane</v>
      </c>
      <c r="D4496" s="40">
        <v>1255209</v>
      </c>
      <c r="E4496">
        <f>VLOOKUP(C4496,'All Districts'!$B$3:$C$874,2,FALSE)</f>
        <v>3620760</v>
      </c>
      <c r="F4496" s="91">
        <f>COUNTIF($E$2:$E$7106,E4496)</f>
        <v>9</v>
      </c>
    </row>
    <row r="4497" spans="1:6" x14ac:dyDescent="0.2">
      <c r="A4497">
        <v>2015</v>
      </c>
      <c r="B4497" s="13">
        <v>5527</v>
      </c>
      <c r="C4497" s="90" t="str">
        <f>VLOOKUP(B4497,'All Districts'!$A$3:$B$874,2,FALSE)</f>
        <v>Newfield</v>
      </c>
      <c r="D4497" s="14">
        <v>966531</v>
      </c>
      <c r="E4497">
        <f>VLOOKUP(C4497,'All Districts'!$B$3:$C$874,2,FALSE)</f>
        <v>3620790</v>
      </c>
      <c r="F4497" s="91">
        <f>COUNTIF($E$2:$E$7106,E4497)</f>
        <v>9</v>
      </c>
    </row>
    <row r="4498" spans="1:6" x14ac:dyDescent="0.2">
      <c r="A4498">
        <v>2016</v>
      </c>
      <c r="B4498" s="13">
        <v>5527</v>
      </c>
      <c r="C4498" s="90" t="str">
        <f>VLOOKUP(B4498,'All Districts'!$A$3:$B$874,2,FALSE)</f>
        <v>Newfield</v>
      </c>
      <c r="D4498" s="16">
        <v>711167</v>
      </c>
      <c r="E4498">
        <f>VLOOKUP(C4498,'All Districts'!$B$3:$C$874,2,FALSE)</f>
        <v>3620790</v>
      </c>
      <c r="F4498" s="91">
        <f>COUNTIF($E$2:$E$7106,E4498)</f>
        <v>9</v>
      </c>
    </row>
    <row r="4499" spans="1:6" x14ac:dyDescent="0.2">
      <c r="A4499">
        <v>2017</v>
      </c>
      <c r="B4499" s="13">
        <v>5527</v>
      </c>
      <c r="C4499" s="90" t="str">
        <f>VLOOKUP(B4499,'All Districts'!$A$3:$B$874,2,FALSE)</f>
        <v>Newfield</v>
      </c>
      <c r="D4499" s="16">
        <v>656785</v>
      </c>
      <c r="E4499">
        <f>VLOOKUP(C4499,'All Districts'!$B$3:$C$874,2,FALSE)</f>
        <v>3620790</v>
      </c>
      <c r="F4499" s="91">
        <f>COUNTIF($E$2:$E$7106,E4499)</f>
        <v>9</v>
      </c>
    </row>
    <row r="4500" spans="1:6" x14ac:dyDescent="0.2">
      <c r="A4500" s="10">
        <v>2018</v>
      </c>
      <c r="B4500" s="13">
        <v>5527</v>
      </c>
      <c r="C4500" s="90" t="str">
        <f>VLOOKUP(B4500,'All Districts'!$A$3:$B$874,2,FALSE)</f>
        <v>Newfield</v>
      </c>
      <c r="D4500" s="15">
        <v>565461</v>
      </c>
      <c r="E4500">
        <f>VLOOKUP(C4500,'All Districts'!$B$3:$C$874,2,FALSE)</f>
        <v>3620790</v>
      </c>
      <c r="F4500" s="91">
        <f>COUNTIF($E$2:$E$7106,E4500)</f>
        <v>9</v>
      </c>
    </row>
    <row r="4501" spans="1:6" x14ac:dyDescent="0.2">
      <c r="A4501">
        <v>2019</v>
      </c>
      <c r="B4501" s="36">
        <v>5527</v>
      </c>
      <c r="C4501" s="90" t="str">
        <f>VLOOKUP(B4501,'All Districts'!$A$3:$B$874,2,FALSE)</f>
        <v>Newfield</v>
      </c>
      <c r="D4501" s="40">
        <v>618785</v>
      </c>
      <c r="E4501">
        <f>VLOOKUP(C4501,'All Districts'!$B$3:$C$874,2,FALSE)</f>
        <v>3620790</v>
      </c>
      <c r="F4501" s="91">
        <f>COUNTIF($E$2:$E$7106,E4501)</f>
        <v>9</v>
      </c>
    </row>
    <row r="4502" spans="1:6" x14ac:dyDescent="0.2">
      <c r="A4502">
        <v>2020</v>
      </c>
      <c r="B4502" s="36">
        <v>5527</v>
      </c>
      <c r="C4502" s="90" t="str">
        <f>VLOOKUP(B4502,'All Districts'!$A$3:$B$874,2,FALSE)</f>
        <v>Newfield</v>
      </c>
      <c r="D4502" s="40">
        <v>546738</v>
      </c>
      <c r="E4502">
        <f>VLOOKUP(C4502,'All Districts'!$B$3:$C$874,2,FALSE)</f>
        <v>3620790</v>
      </c>
      <c r="F4502" s="91">
        <f>COUNTIF($E$2:$E$7106,E4502)</f>
        <v>9</v>
      </c>
    </row>
    <row r="4503" spans="1:6" x14ac:dyDescent="0.2">
      <c r="A4503" s="10">
        <v>2021</v>
      </c>
      <c r="B4503" s="52">
        <v>5527</v>
      </c>
      <c r="C4503" s="90" t="str">
        <f>VLOOKUP(B4503,'All Districts'!$A$3:$B$874,2,FALSE)</f>
        <v>Newfield</v>
      </c>
      <c r="D4503" s="76">
        <v>534914</v>
      </c>
      <c r="E4503">
        <f>VLOOKUP(C4503,'All Districts'!$B$3:$C$874,2,FALSE)</f>
        <v>3620790</v>
      </c>
      <c r="F4503" s="91">
        <f>COUNTIF($E$2:$E$7106,E4503)</f>
        <v>9</v>
      </c>
    </row>
    <row r="4504" spans="1:6" x14ac:dyDescent="0.2">
      <c r="A4504">
        <v>2022</v>
      </c>
      <c r="B4504" s="36">
        <v>5527</v>
      </c>
      <c r="C4504" s="90" t="str">
        <f>VLOOKUP(B4504,'All Districts'!$A$3:$B$874,2,FALSE)</f>
        <v>Newfield</v>
      </c>
      <c r="D4504" s="82">
        <v>564178</v>
      </c>
      <c r="E4504">
        <f>VLOOKUP(C4504,'All Districts'!$B$3:$C$874,2,FALSE)</f>
        <v>3620790</v>
      </c>
      <c r="F4504" s="91">
        <f>COUNTIF($E$2:$E$7106,E4504)</f>
        <v>9</v>
      </c>
    </row>
    <row r="4505" spans="1:6" x14ac:dyDescent="0.2">
      <c r="A4505">
        <v>2023</v>
      </c>
      <c r="B4505" s="36">
        <v>5527</v>
      </c>
      <c r="C4505" s="90" t="str">
        <f>VLOOKUP(B4505,'All Districts'!$A$3:$B$874,2,FALSE)</f>
        <v>Newfield</v>
      </c>
      <c r="D4505" s="40">
        <v>594570</v>
      </c>
      <c r="E4505">
        <f>VLOOKUP(C4505,'All Districts'!$B$3:$C$874,2,FALSE)</f>
        <v>3620790</v>
      </c>
      <c r="F4505" s="91">
        <f>COUNTIF($E$2:$E$7106,E4505)</f>
        <v>9</v>
      </c>
    </row>
    <row r="4506" spans="1:6" x14ac:dyDescent="0.2">
      <c r="A4506">
        <v>2015</v>
      </c>
      <c r="B4506" s="13">
        <v>8423</v>
      </c>
      <c r="C4506" s="90" t="str">
        <f>VLOOKUP(B4506,'All Districts'!$A$3:$B$874,2,FALSE)</f>
        <v>Niagara</v>
      </c>
      <c r="D4506" s="16">
        <v>246709</v>
      </c>
      <c r="E4506">
        <f>VLOOKUP(C4506,'All Districts'!$B$3:$C$874,2,FALSE)</f>
        <v>3600164</v>
      </c>
      <c r="F4506" s="91">
        <f>COUNTIF($E$2:$E$7106,E4506)</f>
        <v>9</v>
      </c>
    </row>
    <row r="4507" spans="1:6" x14ac:dyDescent="0.2">
      <c r="A4507">
        <v>2016</v>
      </c>
      <c r="B4507" s="13">
        <v>8423</v>
      </c>
      <c r="C4507" s="90" t="str">
        <f>VLOOKUP(B4507,'All Districts'!$A$3:$B$874,2,FALSE)</f>
        <v>Niagara</v>
      </c>
      <c r="D4507" s="16">
        <v>223585</v>
      </c>
      <c r="E4507">
        <f>VLOOKUP(C4507,'All Districts'!$B$3:$C$874,2,FALSE)</f>
        <v>3600164</v>
      </c>
      <c r="F4507" s="91">
        <f>COUNTIF($E$2:$E$7106,E4507)</f>
        <v>9</v>
      </c>
    </row>
    <row r="4508" spans="1:6" x14ac:dyDescent="0.2">
      <c r="A4508">
        <v>2017</v>
      </c>
      <c r="B4508" s="13">
        <v>8423</v>
      </c>
      <c r="C4508" s="90" t="str">
        <f>VLOOKUP(B4508,'All Districts'!$A$3:$B$874,2,FALSE)</f>
        <v>Niagara</v>
      </c>
      <c r="D4508" s="16">
        <v>202200</v>
      </c>
      <c r="E4508">
        <f>VLOOKUP(C4508,'All Districts'!$B$3:$C$874,2,FALSE)</f>
        <v>3600164</v>
      </c>
      <c r="F4508" s="91">
        <f>COUNTIF($E$2:$E$7106,E4508)</f>
        <v>9</v>
      </c>
    </row>
    <row r="4509" spans="1:6" x14ac:dyDescent="0.2">
      <c r="A4509" s="10">
        <v>2018</v>
      </c>
      <c r="B4509" s="13">
        <v>8423</v>
      </c>
      <c r="C4509" s="90" t="str">
        <f>VLOOKUP(B4509,'All Districts'!$A$3:$B$874,2,FALSE)</f>
        <v>Niagara</v>
      </c>
      <c r="D4509" s="15">
        <v>164657</v>
      </c>
      <c r="E4509">
        <f>VLOOKUP(C4509,'All Districts'!$B$3:$C$874,2,FALSE)</f>
        <v>3600164</v>
      </c>
      <c r="F4509" s="91">
        <f>COUNTIF($E$2:$E$7106,E4509)</f>
        <v>9</v>
      </c>
    </row>
    <row r="4510" spans="1:6" x14ac:dyDescent="0.2">
      <c r="A4510">
        <v>2019</v>
      </c>
      <c r="B4510" s="36">
        <v>8423</v>
      </c>
      <c r="C4510" s="90" t="str">
        <f>VLOOKUP(B4510,'All Districts'!$A$3:$B$874,2,FALSE)</f>
        <v>Niagara</v>
      </c>
      <c r="D4510" s="40">
        <v>186009</v>
      </c>
      <c r="E4510">
        <f>VLOOKUP(C4510,'All Districts'!$B$3:$C$874,2,FALSE)</f>
        <v>3600164</v>
      </c>
      <c r="F4510" s="91">
        <f>COUNTIF($E$2:$E$7106,E4510)</f>
        <v>9</v>
      </c>
    </row>
    <row r="4511" spans="1:6" x14ac:dyDescent="0.2">
      <c r="A4511">
        <v>2020</v>
      </c>
      <c r="B4511" s="36">
        <v>8423</v>
      </c>
      <c r="C4511" s="90" t="str">
        <f>VLOOKUP(B4511,'All Districts'!$A$3:$B$874,2,FALSE)</f>
        <v>Niagara</v>
      </c>
      <c r="D4511" s="40">
        <v>142157</v>
      </c>
      <c r="E4511">
        <f>VLOOKUP(C4511,'All Districts'!$B$3:$C$874,2,FALSE)</f>
        <v>3600164</v>
      </c>
      <c r="F4511" s="91">
        <f>COUNTIF($E$2:$E$7106,E4511)</f>
        <v>9</v>
      </c>
    </row>
    <row r="4512" spans="1:6" x14ac:dyDescent="0.2">
      <c r="A4512" s="10">
        <v>2021</v>
      </c>
      <c r="B4512" s="55">
        <v>8423</v>
      </c>
      <c r="C4512" s="90" t="str">
        <f>VLOOKUP(B4512,'All Districts'!$A$3:$B$874,2,FALSE)</f>
        <v>Niagara</v>
      </c>
      <c r="D4512" s="76">
        <v>174004</v>
      </c>
      <c r="E4512">
        <f>VLOOKUP(C4512,'All Districts'!$B$3:$C$874,2,FALSE)</f>
        <v>3600164</v>
      </c>
      <c r="F4512" s="91">
        <f>COUNTIF($E$2:$E$7106,E4512)</f>
        <v>9</v>
      </c>
    </row>
    <row r="4513" spans="1:6" x14ac:dyDescent="0.2">
      <c r="A4513">
        <v>2022</v>
      </c>
      <c r="B4513" s="36">
        <v>8423</v>
      </c>
      <c r="C4513" s="90" t="str">
        <f>VLOOKUP(B4513,'All Districts'!$A$3:$B$874,2,FALSE)</f>
        <v>Niagara</v>
      </c>
      <c r="D4513" s="82">
        <v>168154</v>
      </c>
      <c r="E4513">
        <f>VLOOKUP(C4513,'All Districts'!$B$3:$C$874,2,FALSE)</f>
        <v>3600164</v>
      </c>
      <c r="F4513" s="91">
        <f>COUNTIF($E$2:$E$7106,E4513)</f>
        <v>9</v>
      </c>
    </row>
    <row r="4514" spans="1:6" x14ac:dyDescent="0.2">
      <c r="A4514">
        <v>2023</v>
      </c>
      <c r="B4514" s="36">
        <v>8423</v>
      </c>
      <c r="C4514" s="90" t="str">
        <f>VLOOKUP(B4514,'All Districts'!$A$3:$B$874,2,FALSE)</f>
        <v>Niagara</v>
      </c>
      <c r="D4514" s="40">
        <v>185813</v>
      </c>
      <c r="E4514">
        <f>VLOOKUP(C4514,'All Districts'!$B$3:$C$874,2,FALSE)</f>
        <v>3600164</v>
      </c>
      <c r="F4514" s="91">
        <f>COUNTIF($E$2:$E$7106,E4514)</f>
        <v>9</v>
      </c>
    </row>
    <row r="4515" spans="1:6" x14ac:dyDescent="0.2">
      <c r="A4515">
        <v>2015</v>
      </c>
      <c r="B4515" s="13">
        <v>1170</v>
      </c>
      <c r="C4515" s="90" t="str">
        <f>VLOOKUP(B4515,'All Districts'!$A$3:$B$874,2,FALSE)</f>
        <v>Niagara Falls</v>
      </c>
      <c r="D4515" s="14">
        <v>8379027</v>
      </c>
      <c r="E4515">
        <f>VLOOKUP(C4515,'All Districts'!$B$3:$C$874,2,FALSE)</f>
        <v>3620820</v>
      </c>
      <c r="F4515" s="91">
        <f>COUNTIF($E$2:$E$7106,E4515)</f>
        <v>9</v>
      </c>
    </row>
    <row r="4516" spans="1:6" x14ac:dyDescent="0.2">
      <c r="A4516">
        <v>2016</v>
      </c>
      <c r="B4516" s="13">
        <v>1170</v>
      </c>
      <c r="C4516" s="90" t="str">
        <f>VLOOKUP(B4516,'All Districts'!$A$3:$B$874,2,FALSE)</f>
        <v>Niagara Falls</v>
      </c>
      <c r="D4516" s="16">
        <v>6315539</v>
      </c>
      <c r="E4516">
        <f>VLOOKUP(C4516,'All Districts'!$B$3:$C$874,2,FALSE)</f>
        <v>3620820</v>
      </c>
      <c r="F4516" s="91">
        <f>COUNTIF($E$2:$E$7106,E4516)</f>
        <v>9</v>
      </c>
    </row>
    <row r="4517" spans="1:6" x14ac:dyDescent="0.2">
      <c r="A4517">
        <v>2017</v>
      </c>
      <c r="B4517" s="13">
        <v>1170</v>
      </c>
      <c r="C4517" s="90" t="str">
        <f>VLOOKUP(B4517,'All Districts'!$A$3:$B$874,2,FALSE)</f>
        <v>Niagara Falls</v>
      </c>
      <c r="D4517" s="16">
        <v>5688395</v>
      </c>
      <c r="E4517">
        <f>VLOOKUP(C4517,'All Districts'!$B$3:$C$874,2,FALSE)</f>
        <v>3620820</v>
      </c>
      <c r="F4517" s="91">
        <f>COUNTIF($E$2:$E$7106,E4517)</f>
        <v>9</v>
      </c>
    </row>
    <row r="4518" spans="1:6" x14ac:dyDescent="0.2">
      <c r="A4518" s="10">
        <v>2018</v>
      </c>
      <c r="B4518" s="13">
        <v>1170</v>
      </c>
      <c r="C4518" s="90" t="str">
        <f>VLOOKUP(B4518,'All Districts'!$A$3:$B$874,2,FALSE)</f>
        <v>Niagara Falls</v>
      </c>
      <c r="D4518" s="15">
        <v>4951058</v>
      </c>
      <c r="E4518">
        <f>VLOOKUP(C4518,'All Districts'!$B$3:$C$874,2,FALSE)</f>
        <v>3620820</v>
      </c>
      <c r="F4518" s="91">
        <f>COUNTIF($E$2:$E$7106,E4518)</f>
        <v>9</v>
      </c>
    </row>
    <row r="4519" spans="1:6" x14ac:dyDescent="0.2">
      <c r="A4519">
        <v>2019</v>
      </c>
      <c r="B4519" s="36">
        <v>1170</v>
      </c>
      <c r="C4519" s="90" t="str">
        <f>VLOOKUP(B4519,'All Districts'!$A$3:$B$874,2,FALSE)</f>
        <v>Niagara Falls</v>
      </c>
      <c r="D4519" s="40">
        <v>5596531</v>
      </c>
      <c r="E4519">
        <f>VLOOKUP(C4519,'All Districts'!$B$3:$C$874,2,FALSE)</f>
        <v>3620820</v>
      </c>
      <c r="F4519" s="91">
        <f>COUNTIF($E$2:$E$7106,E4519)</f>
        <v>9</v>
      </c>
    </row>
    <row r="4520" spans="1:6" x14ac:dyDescent="0.2">
      <c r="A4520">
        <v>2020</v>
      </c>
      <c r="B4520" s="36">
        <v>1170</v>
      </c>
      <c r="C4520" s="90" t="str">
        <f>VLOOKUP(B4520,'All Districts'!$A$3:$B$874,2,FALSE)</f>
        <v>Niagara Falls</v>
      </c>
      <c r="D4520" s="40">
        <v>4791858</v>
      </c>
      <c r="E4520">
        <f>VLOOKUP(C4520,'All Districts'!$B$3:$C$874,2,FALSE)</f>
        <v>3620820</v>
      </c>
      <c r="F4520" s="91">
        <f>COUNTIF($E$2:$E$7106,E4520)</f>
        <v>9</v>
      </c>
    </row>
    <row r="4521" spans="1:6" x14ac:dyDescent="0.2">
      <c r="A4521" s="10">
        <v>2021</v>
      </c>
      <c r="B4521" s="52">
        <v>1170</v>
      </c>
      <c r="C4521" s="90" t="str">
        <f>VLOOKUP(B4521,'All Districts'!$A$3:$B$874,2,FALSE)</f>
        <v>Niagara Falls</v>
      </c>
      <c r="D4521" s="75">
        <v>5119385</v>
      </c>
      <c r="E4521">
        <f>VLOOKUP(C4521,'All Districts'!$B$3:$C$874,2,FALSE)</f>
        <v>3620820</v>
      </c>
      <c r="F4521" s="91">
        <f>COUNTIF($E$2:$E$7106,E4521)</f>
        <v>9</v>
      </c>
    </row>
    <row r="4522" spans="1:6" x14ac:dyDescent="0.2">
      <c r="A4522">
        <v>2022</v>
      </c>
      <c r="B4522" s="36">
        <v>1170</v>
      </c>
      <c r="C4522" s="90" t="str">
        <f>VLOOKUP(B4522,'All Districts'!$A$3:$B$874,2,FALSE)</f>
        <v>Niagara Falls</v>
      </c>
      <c r="D4522" s="82">
        <v>5758439</v>
      </c>
      <c r="E4522">
        <f>VLOOKUP(C4522,'All Districts'!$B$3:$C$874,2,FALSE)</f>
        <v>3620820</v>
      </c>
      <c r="F4522" s="91">
        <f>COUNTIF($E$2:$E$7106,E4522)</f>
        <v>9</v>
      </c>
    </row>
    <row r="4523" spans="1:6" x14ac:dyDescent="0.2">
      <c r="A4523">
        <v>2023</v>
      </c>
      <c r="B4523" s="36">
        <v>1170</v>
      </c>
      <c r="C4523" s="90" t="str">
        <f>VLOOKUP(B4523,'All Districts'!$A$3:$B$874,2,FALSE)</f>
        <v>Niagara Falls</v>
      </c>
      <c r="D4523" s="40">
        <v>6321705</v>
      </c>
      <c r="E4523">
        <f>VLOOKUP(C4523,'All Districts'!$B$3:$C$874,2,FALSE)</f>
        <v>3620820</v>
      </c>
      <c r="F4523" s="91">
        <f>COUNTIF($E$2:$E$7106,E4523)</f>
        <v>9</v>
      </c>
    </row>
    <row r="4524" spans="1:6" x14ac:dyDescent="0.2">
      <c r="A4524">
        <v>2015</v>
      </c>
      <c r="B4524" s="13">
        <v>2403</v>
      </c>
      <c r="C4524" s="90" t="str">
        <f>VLOOKUP(B4524,'All Districts'!$A$3:$B$874,2,FALSE)</f>
        <v>Niagara-Wheatfield</v>
      </c>
      <c r="D4524" s="14">
        <v>3887673</v>
      </c>
      <c r="E4524">
        <f>VLOOKUP(C4524,'All Districts'!$B$3:$C$874,2,FALSE)</f>
        <v>3620850</v>
      </c>
      <c r="F4524" s="91">
        <f>COUNTIF($E$2:$E$7106,E4524)</f>
        <v>9</v>
      </c>
    </row>
    <row r="4525" spans="1:6" x14ac:dyDescent="0.2">
      <c r="A4525">
        <v>2016</v>
      </c>
      <c r="B4525" s="13">
        <v>2403</v>
      </c>
      <c r="C4525" s="90" t="str">
        <f>VLOOKUP(B4525,'All Districts'!$A$3:$B$874,2,FALSE)</f>
        <v>Niagara-Wheatfield</v>
      </c>
      <c r="D4525" s="16">
        <v>3027024</v>
      </c>
      <c r="E4525">
        <f>VLOOKUP(C4525,'All Districts'!$B$3:$C$874,2,FALSE)</f>
        <v>3620850</v>
      </c>
      <c r="F4525" s="91">
        <f>COUNTIF($E$2:$E$7106,E4525)</f>
        <v>9</v>
      </c>
    </row>
    <row r="4526" spans="1:6" x14ac:dyDescent="0.2">
      <c r="A4526">
        <v>2017</v>
      </c>
      <c r="B4526" s="13">
        <v>2403</v>
      </c>
      <c r="C4526" s="90" t="str">
        <f>VLOOKUP(B4526,'All Districts'!$A$3:$B$874,2,FALSE)</f>
        <v>Niagara-Wheatfield</v>
      </c>
      <c r="D4526" s="16">
        <v>2760548</v>
      </c>
      <c r="E4526">
        <f>VLOOKUP(C4526,'All Districts'!$B$3:$C$874,2,FALSE)</f>
        <v>3620850</v>
      </c>
      <c r="F4526" s="91">
        <f>COUNTIF($E$2:$E$7106,E4526)</f>
        <v>9</v>
      </c>
    </row>
    <row r="4527" spans="1:6" x14ac:dyDescent="0.2">
      <c r="A4527" s="10">
        <v>2018</v>
      </c>
      <c r="B4527" s="13">
        <v>2403</v>
      </c>
      <c r="C4527" s="90" t="str">
        <f>VLOOKUP(B4527,'All Districts'!$A$3:$B$874,2,FALSE)</f>
        <v>Niagara-Wheatfield</v>
      </c>
      <c r="D4527" s="15">
        <v>2435116</v>
      </c>
      <c r="E4527">
        <f>VLOOKUP(C4527,'All Districts'!$B$3:$C$874,2,FALSE)</f>
        <v>3620850</v>
      </c>
      <c r="F4527" s="91">
        <f>COUNTIF($E$2:$E$7106,E4527)</f>
        <v>9</v>
      </c>
    </row>
    <row r="4528" spans="1:6" x14ac:dyDescent="0.2">
      <c r="A4528">
        <v>2019</v>
      </c>
      <c r="B4528" s="36">
        <v>2403</v>
      </c>
      <c r="C4528" s="90" t="str">
        <f>VLOOKUP(B4528,'All Districts'!$A$3:$B$874,2,FALSE)</f>
        <v>Niagara-Wheatfield</v>
      </c>
      <c r="D4528" s="40">
        <v>2723770</v>
      </c>
      <c r="E4528">
        <f>VLOOKUP(C4528,'All Districts'!$B$3:$C$874,2,FALSE)</f>
        <v>3620850</v>
      </c>
      <c r="F4528" s="91">
        <f>COUNTIF($E$2:$E$7106,E4528)</f>
        <v>9</v>
      </c>
    </row>
    <row r="4529" spans="1:6" x14ac:dyDescent="0.2">
      <c r="A4529">
        <v>2020</v>
      </c>
      <c r="B4529" s="36">
        <v>2403</v>
      </c>
      <c r="C4529" s="90" t="str">
        <f>VLOOKUP(B4529,'All Districts'!$A$3:$B$874,2,FALSE)</f>
        <v>Niagara-Wheatfield</v>
      </c>
      <c r="D4529" s="40">
        <v>2306037</v>
      </c>
      <c r="E4529">
        <f>VLOOKUP(C4529,'All Districts'!$B$3:$C$874,2,FALSE)</f>
        <v>3620850</v>
      </c>
      <c r="F4529" s="91">
        <f>COUNTIF($E$2:$E$7106,E4529)</f>
        <v>9</v>
      </c>
    </row>
    <row r="4530" spans="1:6" x14ac:dyDescent="0.2">
      <c r="A4530" s="10">
        <v>2021</v>
      </c>
      <c r="B4530" s="52">
        <v>2403</v>
      </c>
      <c r="C4530" s="90" t="str">
        <f>VLOOKUP(B4530,'All Districts'!$A$3:$B$874,2,FALSE)</f>
        <v>Niagara-Wheatfield</v>
      </c>
      <c r="D4530" s="76">
        <v>2572970</v>
      </c>
      <c r="E4530">
        <f>VLOOKUP(C4530,'All Districts'!$B$3:$C$874,2,FALSE)</f>
        <v>3620850</v>
      </c>
      <c r="F4530" s="91">
        <f>COUNTIF($E$2:$E$7106,E4530)</f>
        <v>9</v>
      </c>
    </row>
    <row r="4531" spans="1:6" x14ac:dyDescent="0.2">
      <c r="A4531">
        <v>2022</v>
      </c>
      <c r="B4531" s="36">
        <v>2403</v>
      </c>
      <c r="C4531" s="90" t="str">
        <f>VLOOKUP(B4531,'All Districts'!$A$3:$B$874,2,FALSE)</f>
        <v>Niagara-Wheatfield</v>
      </c>
      <c r="D4531" s="82">
        <v>2826605</v>
      </c>
      <c r="E4531">
        <f>VLOOKUP(C4531,'All Districts'!$B$3:$C$874,2,FALSE)</f>
        <v>3620850</v>
      </c>
      <c r="F4531" s="91">
        <f>COUNTIF($E$2:$E$7106,E4531)</f>
        <v>9</v>
      </c>
    </row>
    <row r="4532" spans="1:6" x14ac:dyDescent="0.2">
      <c r="A4532">
        <v>2023</v>
      </c>
      <c r="B4532" s="36">
        <v>2403</v>
      </c>
      <c r="C4532" s="90" t="str">
        <f>VLOOKUP(B4532,'All Districts'!$A$3:$B$874,2,FALSE)</f>
        <v>Niagara-Wheatfield</v>
      </c>
      <c r="D4532" s="40">
        <v>3086730</v>
      </c>
      <c r="E4532">
        <f>VLOOKUP(C4532,'All Districts'!$B$3:$C$874,2,FALSE)</f>
        <v>3620850</v>
      </c>
      <c r="F4532" s="91">
        <f>COUNTIF($E$2:$E$7106,E4532)</f>
        <v>9</v>
      </c>
    </row>
    <row r="4533" spans="1:6" x14ac:dyDescent="0.2">
      <c r="A4533">
        <v>2015</v>
      </c>
      <c r="B4533" s="13">
        <v>2405</v>
      </c>
      <c r="C4533" s="90" t="str">
        <f>VLOOKUP(B4533,'All Districts'!$A$3:$B$874,2,FALSE)</f>
        <v>Niskayuna</v>
      </c>
      <c r="D4533" s="14">
        <v>5091418</v>
      </c>
      <c r="E4533">
        <f>VLOOKUP(C4533,'All Districts'!$B$3:$C$874,2,FALSE)</f>
        <v>3620880</v>
      </c>
      <c r="F4533" s="91">
        <f>COUNTIF($E$2:$E$7106,E4533)</f>
        <v>9</v>
      </c>
    </row>
    <row r="4534" spans="1:6" x14ac:dyDescent="0.2">
      <c r="A4534">
        <v>2016</v>
      </c>
      <c r="B4534" s="13">
        <v>2405</v>
      </c>
      <c r="C4534" s="90" t="str">
        <f>VLOOKUP(B4534,'All Districts'!$A$3:$B$874,2,FALSE)</f>
        <v>Niskayuna</v>
      </c>
      <c r="D4534" s="16">
        <v>4070599</v>
      </c>
      <c r="E4534">
        <f>VLOOKUP(C4534,'All Districts'!$B$3:$C$874,2,FALSE)</f>
        <v>3620880</v>
      </c>
      <c r="F4534" s="91">
        <f>COUNTIF($E$2:$E$7106,E4534)</f>
        <v>9</v>
      </c>
    </row>
    <row r="4535" spans="1:6" x14ac:dyDescent="0.2">
      <c r="A4535">
        <v>2017</v>
      </c>
      <c r="B4535" s="13">
        <v>2405</v>
      </c>
      <c r="C4535" s="90" t="str">
        <f>VLOOKUP(B4535,'All Districts'!$A$3:$B$874,2,FALSE)</f>
        <v>Niskayuna</v>
      </c>
      <c r="D4535" s="16">
        <v>3695445</v>
      </c>
      <c r="E4535">
        <f>VLOOKUP(C4535,'All Districts'!$B$3:$C$874,2,FALSE)</f>
        <v>3620880</v>
      </c>
      <c r="F4535" s="91">
        <f>COUNTIF($E$2:$E$7106,E4535)</f>
        <v>9</v>
      </c>
    </row>
    <row r="4536" spans="1:6" x14ac:dyDescent="0.2">
      <c r="A4536" s="10">
        <v>2018</v>
      </c>
      <c r="B4536" s="13">
        <v>2405</v>
      </c>
      <c r="C4536" s="90" t="str">
        <f>VLOOKUP(B4536,'All Districts'!$A$3:$B$874,2,FALSE)</f>
        <v>Niskayuna</v>
      </c>
      <c r="D4536" s="15">
        <v>3164725</v>
      </c>
      <c r="E4536">
        <f>VLOOKUP(C4536,'All Districts'!$B$3:$C$874,2,FALSE)</f>
        <v>3620880</v>
      </c>
      <c r="F4536" s="91">
        <f>COUNTIF($E$2:$E$7106,E4536)</f>
        <v>9</v>
      </c>
    </row>
    <row r="4537" spans="1:6" x14ac:dyDescent="0.2">
      <c r="A4537">
        <v>2019</v>
      </c>
      <c r="B4537" s="36">
        <v>2405</v>
      </c>
      <c r="C4537" s="90" t="str">
        <f>VLOOKUP(B4537,'All Districts'!$A$3:$B$874,2,FALSE)</f>
        <v>Niskayuna</v>
      </c>
      <c r="D4537" s="40">
        <v>3556399</v>
      </c>
      <c r="E4537">
        <f>VLOOKUP(C4537,'All Districts'!$B$3:$C$874,2,FALSE)</f>
        <v>3620880</v>
      </c>
      <c r="F4537" s="91">
        <f>COUNTIF($E$2:$E$7106,E4537)</f>
        <v>9</v>
      </c>
    </row>
    <row r="4538" spans="1:6" x14ac:dyDescent="0.2">
      <c r="A4538">
        <v>2020</v>
      </c>
      <c r="B4538" s="36">
        <v>2405</v>
      </c>
      <c r="C4538" s="90" t="str">
        <f>VLOOKUP(B4538,'All Districts'!$A$3:$B$874,2,FALSE)</f>
        <v>Niskayuna</v>
      </c>
      <c r="D4538" s="40">
        <v>3107240</v>
      </c>
      <c r="E4538">
        <f>VLOOKUP(C4538,'All Districts'!$B$3:$C$874,2,FALSE)</f>
        <v>3620880</v>
      </c>
      <c r="F4538" s="91">
        <f>COUNTIF($E$2:$E$7106,E4538)</f>
        <v>9</v>
      </c>
    </row>
    <row r="4539" spans="1:6" x14ac:dyDescent="0.2">
      <c r="A4539" s="10">
        <v>2021</v>
      </c>
      <c r="B4539" s="52">
        <v>2405</v>
      </c>
      <c r="C4539" s="90" t="str">
        <f>VLOOKUP(B4539,'All Districts'!$A$3:$B$874,2,FALSE)</f>
        <v>Niskayuna</v>
      </c>
      <c r="D4539" s="75">
        <v>3355945</v>
      </c>
      <c r="E4539">
        <f>VLOOKUP(C4539,'All Districts'!$B$3:$C$874,2,FALSE)</f>
        <v>3620880</v>
      </c>
      <c r="F4539" s="91">
        <f>COUNTIF($E$2:$E$7106,E4539)</f>
        <v>9</v>
      </c>
    </row>
    <row r="4540" spans="1:6" x14ac:dyDescent="0.2">
      <c r="A4540">
        <v>2022</v>
      </c>
      <c r="B4540" s="36">
        <v>2405</v>
      </c>
      <c r="C4540" s="90" t="str">
        <f>VLOOKUP(B4540,'All Districts'!$A$3:$B$874,2,FALSE)</f>
        <v>Niskayuna</v>
      </c>
      <c r="D4540" s="82">
        <v>3487347</v>
      </c>
      <c r="E4540">
        <f>VLOOKUP(C4540,'All Districts'!$B$3:$C$874,2,FALSE)</f>
        <v>3620880</v>
      </c>
      <c r="F4540" s="91">
        <f>COUNTIF($E$2:$E$7106,E4540)</f>
        <v>9</v>
      </c>
    </row>
    <row r="4541" spans="1:6" x14ac:dyDescent="0.2">
      <c r="A4541">
        <v>2023</v>
      </c>
      <c r="B4541" s="36">
        <v>2405</v>
      </c>
      <c r="C4541" s="90" t="str">
        <f>VLOOKUP(B4541,'All Districts'!$A$3:$B$874,2,FALSE)</f>
        <v>Niskayuna</v>
      </c>
      <c r="D4541" s="40">
        <v>3813780</v>
      </c>
      <c r="E4541">
        <f>VLOOKUP(C4541,'All Districts'!$B$3:$C$874,2,FALSE)</f>
        <v>3620880</v>
      </c>
      <c r="F4541" s="91">
        <f>COUNTIF($E$2:$E$7106,E4541)</f>
        <v>9</v>
      </c>
    </row>
    <row r="4542" spans="1:6" x14ac:dyDescent="0.2">
      <c r="A4542">
        <v>2015</v>
      </c>
      <c r="B4542" s="13">
        <v>2406</v>
      </c>
      <c r="C4542" s="90" t="str">
        <f>VLOOKUP(B4542,'All Districts'!$A$3:$B$874,2,FALSE)</f>
        <v>North Babylon</v>
      </c>
      <c r="D4542" s="14">
        <v>6939054</v>
      </c>
      <c r="E4542">
        <f>VLOOKUP(C4542,'All Districts'!$B$3:$C$874,2,FALSE)</f>
        <v>3620910</v>
      </c>
      <c r="F4542" s="91">
        <f>COUNTIF($E$2:$E$7106,E4542)</f>
        <v>9</v>
      </c>
    </row>
    <row r="4543" spans="1:6" x14ac:dyDescent="0.2">
      <c r="A4543">
        <v>2016</v>
      </c>
      <c r="B4543" s="13">
        <v>2406</v>
      </c>
      <c r="C4543" s="90" t="str">
        <f>VLOOKUP(B4543,'All Districts'!$A$3:$B$874,2,FALSE)</f>
        <v>North Babylon</v>
      </c>
      <c r="D4543" s="16">
        <v>5478521</v>
      </c>
      <c r="E4543">
        <f>VLOOKUP(C4543,'All Districts'!$B$3:$C$874,2,FALSE)</f>
        <v>3620910</v>
      </c>
      <c r="F4543" s="91">
        <f>COUNTIF($E$2:$E$7106,E4543)</f>
        <v>9</v>
      </c>
    </row>
    <row r="4544" spans="1:6" x14ac:dyDescent="0.2">
      <c r="A4544">
        <v>2017</v>
      </c>
      <c r="B4544" s="13">
        <v>2406</v>
      </c>
      <c r="C4544" s="90" t="str">
        <f>VLOOKUP(B4544,'All Districts'!$A$3:$B$874,2,FALSE)</f>
        <v>North Babylon</v>
      </c>
      <c r="D4544" s="16">
        <v>5098611</v>
      </c>
      <c r="E4544">
        <f>VLOOKUP(C4544,'All Districts'!$B$3:$C$874,2,FALSE)</f>
        <v>3620910</v>
      </c>
      <c r="F4544" s="91">
        <f>COUNTIF($E$2:$E$7106,E4544)</f>
        <v>9</v>
      </c>
    </row>
    <row r="4545" spans="1:6" x14ac:dyDescent="0.2">
      <c r="A4545" s="10">
        <v>2018</v>
      </c>
      <c r="B4545" s="13">
        <v>2406</v>
      </c>
      <c r="C4545" s="90" t="str">
        <f>VLOOKUP(B4545,'All Districts'!$A$3:$B$874,2,FALSE)</f>
        <v>North Babylon</v>
      </c>
      <c r="D4545" s="15">
        <v>4410459</v>
      </c>
      <c r="E4545">
        <f>VLOOKUP(C4545,'All Districts'!$B$3:$C$874,2,FALSE)</f>
        <v>3620910</v>
      </c>
      <c r="F4545" s="91">
        <f>COUNTIF($E$2:$E$7106,E4545)</f>
        <v>9</v>
      </c>
    </row>
    <row r="4546" spans="1:6" x14ac:dyDescent="0.2">
      <c r="A4546">
        <v>2019</v>
      </c>
      <c r="B4546" s="36">
        <v>2406</v>
      </c>
      <c r="C4546" s="90" t="str">
        <f>VLOOKUP(B4546,'All Districts'!$A$3:$B$874,2,FALSE)</f>
        <v>North Babylon</v>
      </c>
      <c r="D4546" s="40">
        <v>4873154</v>
      </c>
      <c r="E4546">
        <f>VLOOKUP(C4546,'All Districts'!$B$3:$C$874,2,FALSE)</f>
        <v>3620910</v>
      </c>
      <c r="F4546" s="91">
        <f>COUNTIF($E$2:$E$7106,E4546)</f>
        <v>9</v>
      </c>
    </row>
    <row r="4547" spans="1:6" x14ac:dyDescent="0.2">
      <c r="A4547">
        <v>2020</v>
      </c>
      <c r="B4547" s="36">
        <v>2406</v>
      </c>
      <c r="C4547" s="90" t="str">
        <f>VLOOKUP(B4547,'All Districts'!$A$3:$B$874,2,FALSE)</f>
        <v>North Babylon</v>
      </c>
      <c r="D4547" s="40">
        <v>4084350</v>
      </c>
      <c r="E4547">
        <f>VLOOKUP(C4547,'All Districts'!$B$3:$C$874,2,FALSE)</f>
        <v>3620910</v>
      </c>
      <c r="F4547" s="91">
        <f>COUNTIF($E$2:$E$7106,E4547)</f>
        <v>9</v>
      </c>
    </row>
    <row r="4548" spans="1:6" x14ac:dyDescent="0.2">
      <c r="A4548" s="10">
        <v>2021</v>
      </c>
      <c r="B4548" s="52">
        <v>2406</v>
      </c>
      <c r="C4548" s="90" t="str">
        <f>VLOOKUP(B4548,'All Districts'!$A$3:$B$874,2,FALSE)</f>
        <v>North Babylon</v>
      </c>
      <c r="D4548" s="76">
        <v>4407500</v>
      </c>
      <c r="E4548">
        <f>VLOOKUP(C4548,'All Districts'!$B$3:$C$874,2,FALSE)</f>
        <v>3620910</v>
      </c>
      <c r="F4548" s="91">
        <f>COUNTIF($E$2:$E$7106,E4548)</f>
        <v>9</v>
      </c>
    </row>
    <row r="4549" spans="1:6" x14ac:dyDescent="0.2">
      <c r="A4549">
        <v>2022</v>
      </c>
      <c r="B4549" s="36">
        <v>2406</v>
      </c>
      <c r="C4549" s="90" t="str">
        <f>VLOOKUP(B4549,'All Districts'!$A$3:$B$874,2,FALSE)</f>
        <v>North Babylon</v>
      </c>
      <c r="D4549" s="82">
        <v>4707097</v>
      </c>
      <c r="E4549">
        <f>VLOOKUP(C4549,'All Districts'!$B$3:$C$874,2,FALSE)</f>
        <v>3620910</v>
      </c>
      <c r="F4549" s="91">
        <f>COUNTIF($E$2:$E$7106,E4549)</f>
        <v>9</v>
      </c>
    </row>
    <row r="4550" spans="1:6" x14ac:dyDescent="0.2">
      <c r="A4550">
        <v>2023</v>
      </c>
      <c r="B4550" s="36">
        <v>2406</v>
      </c>
      <c r="C4550" s="90" t="str">
        <f>VLOOKUP(B4550,'All Districts'!$A$3:$B$874,2,FALSE)</f>
        <v>North Babylon</v>
      </c>
      <c r="D4550" s="40">
        <v>5042058</v>
      </c>
      <c r="E4550">
        <f>VLOOKUP(C4550,'All Districts'!$B$3:$C$874,2,FALSE)</f>
        <v>3620910</v>
      </c>
      <c r="F4550" s="91">
        <f>COUNTIF($E$2:$E$7106,E4550)</f>
        <v>9</v>
      </c>
    </row>
    <row r="4551" spans="1:6" x14ac:dyDescent="0.2">
      <c r="A4551">
        <v>2015</v>
      </c>
      <c r="B4551" s="13">
        <v>4351</v>
      </c>
      <c r="C4551" s="90" t="str">
        <f>VLOOKUP(B4551,'All Districts'!$A$3:$B$874,2,FALSE)</f>
        <v>North Bellmore</v>
      </c>
      <c r="D4551" s="14">
        <v>3797711</v>
      </c>
      <c r="E4551">
        <f>VLOOKUP(C4551,'All Districts'!$B$3:$C$874,2,FALSE)</f>
        <v>3620940</v>
      </c>
      <c r="F4551" s="91">
        <f>COUNTIF($E$2:$E$7106,E4551)</f>
        <v>9</v>
      </c>
    </row>
    <row r="4552" spans="1:6" x14ac:dyDescent="0.2">
      <c r="A4552">
        <v>2016</v>
      </c>
      <c r="B4552" s="13">
        <v>4351</v>
      </c>
      <c r="C4552" s="90" t="str">
        <f>VLOOKUP(B4552,'All Districts'!$A$3:$B$874,2,FALSE)</f>
        <v>North Bellmore</v>
      </c>
      <c r="D4552" s="16">
        <v>3023557</v>
      </c>
      <c r="E4552">
        <f>VLOOKUP(C4552,'All Districts'!$B$3:$C$874,2,FALSE)</f>
        <v>3620940</v>
      </c>
      <c r="F4552" s="91">
        <f>COUNTIF($E$2:$E$7106,E4552)</f>
        <v>9</v>
      </c>
    </row>
    <row r="4553" spans="1:6" x14ac:dyDescent="0.2">
      <c r="A4553">
        <v>2017</v>
      </c>
      <c r="B4553" s="13">
        <v>4351</v>
      </c>
      <c r="C4553" s="90" t="str">
        <f>VLOOKUP(B4553,'All Districts'!$A$3:$B$874,2,FALSE)</f>
        <v>North Bellmore</v>
      </c>
      <c r="D4553" s="16">
        <v>2716024</v>
      </c>
      <c r="E4553">
        <f>VLOOKUP(C4553,'All Districts'!$B$3:$C$874,2,FALSE)</f>
        <v>3620940</v>
      </c>
      <c r="F4553" s="91">
        <f>COUNTIF($E$2:$E$7106,E4553)</f>
        <v>9</v>
      </c>
    </row>
    <row r="4554" spans="1:6" x14ac:dyDescent="0.2">
      <c r="A4554" s="10">
        <v>2018</v>
      </c>
      <c r="B4554" s="13">
        <v>4351</v>
      </c>
      <c r="C4554" s="90" t="str">
        <f>VLOOKUP(B4554,'All Districts'!$A$3:$B$874,2,FALSE)</f>
        <v>North Bellmore</v>
      </c>
      <c r="D4554" s="15">
        <v>2306732</v>
      </c>
      <c r="E4554">
        <f>VLOOKUP(C4554,'All Districts'!$B$3:$C$874,2,FALSE)</f>
        <v>3620940</v>
      </c>
      <c r="F4554" s="91">
        <f>COUNTIF($E$2:$E$7106,E4554)</f>
        <v>9</v>
      </c>
    </row>
    <row r="4555" spans="1:6" x14ac:dyDescent="0.2">
      <c r="A4555">
        <v>2019</v>
      </c>
      <c r="B4555" s="36">
        <v>4351</v>
      </c>
      <c r="C4555" s="90" t="str">
        <f>VLOOKUP(B4555,'All Districts'!$A$3:$B$874,2,FALSE)</f>
        <v>North Bellmore</v>
      </c>
      <c r="D4555" s="40">
        <v>2387412</v>
      </c>
      <c r="E4555">
        <f>VLOOKUP(C4555,'All Districts'!$B$3:$C$874,2,FALSE)</f>
        <v>3620940</v>
      </c>
      <c r="F4555" s="91">
        <f>COUNTIF($E$2:$E$7106,E4555)</f>
        <v>9</v>
      </c>
    </row>
    <row r="4556" spans="1:6" x14ac:dyDescent="0.2">
      <c r="A4556">
        <v>2020</v>
      </c>
      <c r="B4556" s="36">
        <v>4351</v>
      </c>
      <c r="C4556" s="90" t="str">
        <f>VLOOKUP(B4556,'All Districts'!$A$3:$B$874,2,FALSE)</f>
        <v>North Bellmore</v>
      </c>
      <c r="D4556" s="40">
        <v>2006080</v>
      </c>
      <c r="E4556">
        <f>VLOOKUP(C4556,'All Districts'!$B$3:$C$874,2,FALSE)</f>
        <v>3620940</v>
      </c>
      <c r="F4556" s="91">
        <f>COUNTIF($E$2:$E$7106,E4556)</f>
        <v>9</v>
      </c>
    </row>
    <row r="4557" spans="1:6" x14ac:dyDescent="0.2">
      <c r="A4557" s="10">
        <v>2021</v>
      </c>
      <c r="B4557" s="52">
        <v>4351</v>
      </c>
      <c r="C4557" s="90" t="str">
        <f>VLOOKUP(B4557,'All Districts'!$A$3:$B$874,2,FALSE)</f>
        <v>North Bellmore</v>
      </c>
      <c r="D4557" s="75">
        <v>2068942</v>
      </c>
      <c r="E4557">
        <f>VLOOKUP(C4557,'All Districts'!$B$3:$C$874,2,FALSE)</f>
        <v>3620940</v>
      </c>
      <c r="F4557" s="91">
        <f>COUNTIF($E$2:$E$7106,E4557)</f>
        <v>9</v>
      </c>
    </row>
    <row r="4558" spans="1:6" x14ac:dyDescent="0.2">
      <c r="A4558">
        <v>2022</v>
      </c>
      <c r="B4558" s="36">
        <v>4351</v>
      </c>
      <c r="C4558" s="90" t="str">
        <f>VLOOKUP(B4558,'All Districts'!$A$3:$B$874,2,FALSE)</f>
        <v>North Bellmore</v>
      </c>
      <c r="D4558" s="82">
        <v>2353921</v>
      </c>
      <c r="E4558">
        <f>VLOOKUP(C4558,'All Districts'!$B$3:$C$874,2,FALSE)</f>
        <v>3620940</v>
      </c>
      <c r="F4558" s="91">
        <f>COUNTIF($E$2:$E$7106,E4558)</f>
        <v>9</v>
      </c>
    </row>
    <row r="4559" spans="1:6" x14ac:dyDescent="0.2">
      <c r="A4559">
        <v>2023</v>
      </c>
      <c r="B4559" s="36">
        <v>4351</v>
      </c>
      <c r="C4559" s="90" t="str">
        <f>VLOOKUP(B4559,'All Districts'!$A$3:$B$874,2,FALSE)</f>
        <v>North Bellmore</v>
      </c>
      <c r="D4559" s="40">
        <v>2525143</v>
      </c>
      <c r="E4559">
        <f>VLOOKUP(C4559,'All Districts'!$B$3:$C$874,2,FALSE)</f>
        <v>3620940</v>
      </c>
      <c r="F4559" s="91">
        <f>COUNTIF($E$2:$E$7106,E4559)</f>
        <v>9</v>
      </c>
    </row>
    <row r="4560" spans="1:6" x14ac:dyDescent="0.2">
      <c r="A4560">
        <v>2015</v>
      </c>
      <c r="B4560" s="13">
        <v>3709</v>
      </c>
      <c r="C4560" s="90" t="str">
        <f>VLOOKUP(B4560,'All Districts'!$A$3:$B$874,2,FALSE)</f>
        <v>North Collins</v>
      </c>
      <c r="D4560" s="14">
        <v>745387</v>
      </c>
      <c r="E4560">
        <f>VLOOKUP(C4560,'All Districts'!$B$3:$C$874,2,FALSE)</f>
        <v>3620970</v>
      </c>
      <c r="F4560" s="91">
        <f>COUNTIF($E$2:$E$7106,E4560)</f>
        <v>9</v>
      </c>
    </row>
    <row r="4561" spans="1:6" x14ac:dyDescent="0.2">
      <c r="A4561">
        <v>2016</v>
      </c>
      <c r="B4561" s="13">
        <v>3709</v>
      </c>
      <c r="C4561" s="90" t="str">
        <f>VLOOKUP(B4561,'All Districts'!$A$3:$B$874,2,FALSE)</f>
        <v>North Collins</v>
      </c>
      <c r="D4561" s="16">
        <v>595829</v>
      </c>
      <c r="E4561">
        <f>VLOOKUP(C4561,'All Districts'!$B$3:$C$874,2,FALSE)</f>
        <v>3620970</v>
      </c>
      <c r="F4561" s="91">
        <f>COUNTIF($E$2:$E$7106,E4561)</f>
        <v>9</v>
      </c>
    </row>
    <row r="4562" spans="1:6" x14ac:dyDescent="0.2">
      <c r="A4562">
        <v>2017</v>
      </c>
      <c r="B4562" s="13">
        <v>3709</v>
      </c>
      <c r="C4562" s="90" t="str">
        <f>VLOOKUP(B4562,'All Districts'!$A$3:$B$874,2,FALSE)</f>
        <v>North Collins</v>
      </c>
      <c r="D4562" s="16">
        <v>560256</v>
      </c>
      <c r="E4562">
        <f>VLOOKUP(C4562,'All Districts'!$B$3:$C$874,2,FALSE)</f>
        <v>3620970</v>
      </c>
      <c r="F4562" s="91">
        <f>COUNTIF($E$2:$E$7106,E4562)</f>
        <v>9</v>
      </c>
    </row>
    <row r="4563" spans="1:6" x14ac:dyDescent="0.2">
      <c r="A4563" s="10">
        <v>2018</v>
      </c>
      <c r="B4563" s="13">
        <v>3709</v>
      </c>
      <c r="C4563" s="90" t="str">
        <f>VLOOKUP(B4563,'All Districts'!$A$3:$B$874,2,FALSE)</f>
        <v>North Collins</v>
      </c>
      <c r="D4563" s="15">
        <v>475406</v>
      </c>
      <c r="E4563">
        <f>VLOOKUP(C4563,'All Districts'!$B$3:$C$874,2,FALSE)</f>
        <v>3620970</v>
      </c>
      <c r="F4563" s="91">
        <f>COUNTIF($E$2:$E$7106,E4563)</f>
        <v>9</v>
      </c>
    </row>
    <row r="4564" spans="1:6" x14ac:dyDescent="0.2">
      <c r="A4564">
        <v>2019</v>
      </c>
      <c r="B4564" s="36">
        <v>3709</v>
      </c>
      <c r="C4564" s="90" t="str">
        <f>VLOOKUP(B4564,'All Districts'!$A$3:$B$874,2,FALSE)</f>
        <v>North Collins</v>
      </c>
      <c r="D4564" s="40">
        <v>537470</v>
      </c>
      <c r="E4564">
        <f>VLOOKUP(C4564,'All Districts'!$B$3:$C$874,2,FALSE)</f>
        <v>3620970</v>
      </c>
      <c r="F4564" s="91">
        <f>COUNTIF($E$2:$E$7106,E4564)</f>
        <v>9</v>
      </c>
    </row>
    <row r="4565" spans="1:6" x14ac:dyDescent="0.2">
      <c r="A4565">
        <v>2020</v>
      </c>
      <c r="B4565" s="36">
        <v>3709</v>
      </c>
      <c r="C4565" s="90" t="str">
        <f>VLOOKUP(B4565,'All Districts'!$A$3:$B$874,2,FALSE)</f>
        <v>North Collins</v>
      </c>
      <c r="D4565" s="40">
        <v>457298</v>
      </c>
      <c r="E4565">
        <f>VLOOKUP(C4565,'All Districts'!$B$3:$C$874,2,FALSE)</f>
        <v>3620970</v>
      </c>
      <c r="F4565" s="91">
        <f>COUNTIF($E$2:$E$7106,E4565)</f>
        <v>9</v>
      </c>
    </row>
    <row r="4566" spans="1:6" x14ac:dyDescent="0.2">
      <c r="A4566" s="10">
        <v>2021</v>
      </c>
      <c r="B4566" s="52">
        <v>3709</v>
      </c>
      <c r="C4566" s="90" t="str">
        <f>VLOOKUP(B4566,'All Districts'!$A$3:$B$874,2,FALSE)</f>
        <v>North Collins</v>
      </c>
      <c r="D4566" s="76">
        <v>505261</v>
      </c>
      <c r="E4566">
        <f>VLOOKUP(C4566,'All Districts'!$B$3:$C$874,2,FALSE)</f>
        <v>3620970</v>
      </c>
      <c r="F4566" s="91">
        <f>COUNTIF($E$2:$E$7106,E4566)</f>
        <v>9</v>
      </c>
    </row>
    <row r="4567" spans="1:6" x14ac:dyDescent="0.2">
      <c r="A4567">
        <v>2022</v>
      </c>
      <c r="B4567" s="36">
        <v>3709</v>
      </c>
      <c r="C4567" s="90" t="str">
        <f>VLOOKUP(B4567,'All Districts'!$A$3:$B$874,2,FALSE)</f>
        <v>North Collins</v>
      </c>
      <c r="D4567" s="82">
        <v>528354</v>
      </c>
      <c r="E4567">
        <f>VLOOKUP(C4567,'All Districts'!$B$3:$C$874,2,FALSE)</f>
        <v>3620970</v>
      </c>
      <c r="F4567" s="91">
        <f>COUNTIF($E$2:$E$7106,E4567)</f>
        <v>9</v>
      </c>
    </row>
    <row r="4568" spans="1:6" x14ac:dyDescent="0.2">
      <c r="A4568">
        <v>2023</v>
      </c>
      <c r="B4568" s="36">
        <v>3709</v>
      </c>
      <c r="C4568" s="90" t="str">
        <f>VLOOKUP(B4568,'All Districts'!$A$3:$B$874,2,FALSE)</f>
        <v>North Collins</v>
      </c>
      <c r="D4568" s="40">
        <v>563048</v>
      </c>
      <c r="E4568">
        <f>VLOOKUP(C4568,'All Districts'!$B$3:$C$874,2,FALSE)</f>
        <v>3620970</v>
      </c>
      <c r="F4568" s="91">
        <f>COUNTIF($E$2:$E$7106,E4568)</f>
        <v>9</v>
      </c>
    </row>
    <row r="4569" spans="1:6" x14ac:dyDescent="0.2">
      <c r="A4569">
        <v>2015</v>
      </c>
      <c r="B4569" s="13">
        <v>2408</v>
      </c>
      <c r="C4569" s="90" t="str">
        <f>VLOOKUP(B4569,'All Districts'!$A$3:$B$874,2,FALSE)</f>
        <v>North Colonie</v>
      </c>
      <c r="D4569" s="14">
        <v>7456225</v>
      </c>
      <c r="E4569">
        <f>VLOOKUP(C4569,'All Districts'!$B$3:$C$874,2,FALSE)</f>
        <v>3621000</v>
      </c>
      <c r="F4569" s="91">
        <f>COUNTIF($E$2:$E$7106,E4569)</f>
        <v>9</v>
      </c>
    </row>
    <row r="4570" spans="1:6" x14ac:dyDescent="0.2">
      <c r="A4570">
        <v>2016</v>
      </c>
      <c r="B4570" s="13">
        <v>2408</v>
      </c>
      <c r="C4570" s="90" t="str">
        <f>VLOOKUP(B4570,'All Districts'!$A$3:$B$874,2,FALSE)</f>
        <v>North Colonie</v>
      </c>
      <c r="D4570" s="16">
        <v>5793941</v>
      </c>
      <c r="E4570">
        <f>VLOOKUP(C4570,'All Districts'!$B$3:$C$874,2,FALSE)</f>
        <v>3621000</v>
      </c>
      <c r="F4570" s="91">
        <f>COUNTIF($E$2:$E$7106,E4570)</f>
        <v>9</v>
      </c>
    </row>
    <row r="4571" spans="1:6" x14ac:dyDescent="0.2">
      <c r="A4571">
        <v>2017</v>
      </c>
      <c r="B4571" s="13">
        <v>2408</v>
      </c>
      <c r="C4571" s="90" t="str">
        <f>VLOOKUP(B4571,'All Districts'!$A$3:$B$874,2,FALSE)</f>
        <v>North Colonie</v>
      </c>
      <c r="D4571" s="16">
        <v>5209144</v>
      </c>
      <c r="E4571">
        <f>VLOOKUP(C4571,'All Districts'!$B$3:$C$874,2,FALSE)</f>
        <v>3621000</v>
      </c>
      <c r="F4571" s="91">
        <f>COUNTIF($E$2:$E$7106,E4571)</f>
        <v>9</v>
      </c>
    </row>
    <row r="4572" spans="1:6" x14ac:dyDescent="0.2">
      <c r="A4572" s="10">
        <v>2018</v>
      </c>
      <c r="B4572" s="13">
        <v>2408</v>
      </c>
      <c r="C4572" s="90" t="str">
        <f>VLOOKUP(B4572,'All Districts'!$A$3:$B$874,2,FALSE)</f>
        <v>North Colonie</v>
      </c>
      <c r="D4572" s="15">
        <v>4546553</v>
      </c>
      <c r="E4572">
        <f>VLOOKUP(C4572,'All Districts'!$B$3:$C$874,2,FALSE)</f>
        <v>3621000</v>
      </c>
      <c r="F4572" s="91">
        <f>COUNTIF($E$2:$E$7106,E4572)</f>
        <v>9</v>
      </c>
    </row>
    <row r="4573" spans="1:6" x14ac:dyDescent="0.2">
      <c r="A4573">
        <v>2019</v>
      </c>
      <c r="B4573" s="36">
        <v>2408</v>
      </c>
      <c r="C4573" s="90" t="str">
        <f>VLOOKUP(B4573,'All Districts'!$A$3:$B$874,2,FALSE)</f>
        <v>North Colonie</v>
      </c>
      <c r="D4573" s="40">
        <v>5211937</v>
      </c>
      <c r="E4573">
        <f>VLOOKUP(C4573,'All Districts'!$B$3:$C$874,2,FALSE)</f>
        <v>3621000</v>
      </c>
      <c r="F4573" s="91">
        <f>COUNTIF($E$2:$E$7106,E4573)</f>
        <v>9</v>
      </c>
    </row>
    <row r="4574" spans="1:6" x14ac:dyDescent="0.2">
      <c r="A4574">
        <v>2020</v>
      </c>
      <c r="B4574" s="36">
        <v>2408</v>
      </c>
      <c r="C4574" s="90" t="str">
        <f>VLOOKUP(B4574,'All Districts'!$A$3:$B$874,2,FALSE)</f>
        <v>North Colonie</v>
      </c>
      <c r="D4574" s="40">
        <v>4462360</v>
      </c>
      <c r="E4574">
        <f>VLOOKUP(C4574,'All Districts'!$B$3:$C$874,2,FALSE)</f>
        <v>3621000</v>
      </c>
      <c r="F4574" s="91">
        <f>COUNTIF($E$2:$E$7106,E4574)</f>
        <v>9</v>
      </c>
    </row>
    <row r="4575" spans="1:6" x14ac:dyDescent="0.2">
      <c r="A4575" s="10">
        <v>2021</v>
      </c>
      <c r="B4575" s="52">
        <v>2408</v>
      </c>
      <c r="C4575" s="90" t="str">
        <f>VLOOKUP(B4575,'All Districts'!$A$3:$B$874,2,FALSE)</f>
        <v>North Colonie</v>
      </c>
      <c r="D4575" s="76">
        <v>4825307</v>
      </c>
      <c r="E4575">
        <f>VLOOKUP(C4575,'All Districts'!$B$3:$C$874,2,FALSE)</f>
        <v>3621000</v>
      </c>
      <c r="F4575" s="91">
        <f>COUNTIF($E$2:$E$7106,E4575)</f>
        <v>9</v>
      </c>
    </row>
    <row r="4576" spans="1:6" x14ac:dyDescent="0.2">
      <c r="A4576">
        <v>2022</v>
      </c>
      <c r="B4576" s="36">
        <v>2408</v>
      </c>
      <c r="C4576" s="90" t="str">
        <f>VLOOKUP(B4576,'All Districts'!$A$3:$B$874,2,FALSE)</f>
        <v>North Colonie</v>
      </c>
      <c r="D4576" s="82">
        <v>5378708</v>
      </c>
      <c r="E4576">
        <f>VLOOKUP(C4576,'All Districts'!$B$3:$C$874,2,FALSE)</f>
        <v>3621000</v>
      </c>
      <c r="F4576" s="91">
        <f>COUNTIF($E$2:$E$7106,E4576)</f>
        <v>9</v>
      </c>
    </row>
    <row r="4577" spans="1:6" x14ac:dyDescent="0.2">
      <c r="A4577">
        <v>2023</v>
      </c>
      <c r="B4577" s="36">
        <v>2408</v>
      </c>
      <c r="C4577" s="90" t="str">
        <f>VLOOKUP(B4577,'All Districts'!$A$3:$B$874,2,FALSE)</f>
        <v>North Colonie</v>
      </c>
      <c r="D4577" s="40">
        <v>5887130</v>
      </c>
      <c r="E4577">
        <f>VLOOKUP(C4577,'All Districts'!$B$3:$C$874,2,FALSE)</f>
        <v>3621000</v>
      </c>
      <c r="F4577" s="91">
        <f>COUNTIF($E$2:$E$7106,E4577)</f>
        <v>9</v>
      </c>
    </row>
    <row r="4578" spans="1:6" x14ac:dyDescent="0.2">
      <c r="A4578">
        <v>2015</v>
      </c>
      <c r="B4578" s="13">
        <v>4883</v>
      </c>
      <c r="C4578" s="90" t="str">
        <f>VLOOKUP(B4578,'All Districts'!$A$3:$B$874,2,FALSE)</f>
        <v>North Greenbush</v>
      </c>
      <c r="D4578" s="14">
        <v>45574</v>
      </c>
      <c r="E4578">
        <f>VLOOKUP(C4578,'All Districts'!$B$3:$C$874,2,FALSE)</f>
        <v>3631410</v>
      </c>
      <c r="F4578" s="91">
        <f>COUNTIF($E$2:$E$7106,E4578)</f>
        <v>9</v>
      </c>
    </row>
    <row r="4579" spans="1:6" x14ac:dyDescent="0.2">
      <c r="A4579">
        <v>2016</v>
      </c>
      <c r="B4579" s="13">
        <v>4883</v>
      </c>
      <c r="C4579" s="90" t="str">
        <f>VLOOKUP(B4579,'All Districts'!$A$3:$B$874,2,FALSE)</f>
        <v>North Greenbush</v>
      </c>
      <c r="D4579" s="16">
        <v>35194</v>
      </c>
      <c r="E4579">
        <f>VLOOKUP(C4579,'All Districts'!$B$3:$C$874,2,FALSE)</f>
        <v>3631410</v>
      </c>
      <c r="F4579" s="91">
        <f>COUNTIF($E$2:$E$7106,E4579)</f>
        <v>9</v>
      </c>
    </row>
    <row r="4580" spans="1:6" x14ac:dyDescent="0.2">
      <c r="A4580">
        <v>2017</v>
      </c>
      <c r="B4580" s="13">
        <v>4883</v>
      </c>
      <c r="C4580" s="90" t="str">
        <f>VLOOKUP(B4580,'All Districts'!$A$3:$B$874,2,FALSE)</f>
        <v>North Greenbush</v>
      </c>
      <c r="D4580" s="16">
        <v>23861</v>
      </c>
      <c r="E4580">
        <f>VLOOKUP(C4580,'All Districts'!$B$3:$C$874,2,FALSE)</f>
        <v>3631410</v>
      </c>
      <c r="F4580" s="91">
        <f>COUNTIF($E$2:$E$7106,E4580)</f>
        <v>9</v>
      </c>
    </row>
    <row r="4581" spans="1:6" x14ac:dyDescent="0.2">
      <c r="A4581" s="10">
        <v>2018</v>
      </c>
      <c r="B4581" s="13">
        <v>4883</v>
      </c>
      <c r="C4581" s="90" t="str">
        <f>VLOOKUP(B4581,'All Districts'!$A$3:$B$874,2,FALSE)</f>
        <v>North Greenbush</v>
      </c>
      <c r="D4581" s="15">
        <v>22509</v>
      </c>
      <c r="E4581">
        <f>VLOOKUP(C4581,'All Districts'!$B$3:$C$874,2,FALSE)</f>
        <v>3631410</v>
      </c>
      <c r="F4581" s="91">
        <f>COUNTIF($E$2:$E$7106,E4581)</f>
        <v>9</v>
      </c>
    </row>
    <row r="4582" spans="1:6" x14ac:dyDescent="0.2">
      <c r="A4582">
        <v>2019</v>
      </c>
      <c r="B4582" s="36">
        <v>4883</v>
      </c>
      <c r="C4582" s="90" t="str">
        <f>VLOOKUP(B4582,'All Districts'!$A$3:$B$874,2,FALSE)</f>
        <v>North Greenbush</v>
      </c>
      <c r="D4582" s="40">
        <v>25219</v>
      </c>
      <c r="E4582">
        <f>VLOOKUP(C4582,'All Districts'!$B$3:$C$874,2,FALSE)</f>
        <v>3631410</v>
      </c>
      <c r="F4582" s="91">
        <f>COUNTIF($E$2:$E$7106,E4582)</f>
        <v>9</v>
      </c>
    </row>
    <row r="4583" spans="1:6" x14ac:dyDescent="0.2">
      <c r="A4583">
        <v>2020</v>
      </c>
      <c r="B4583" s="36">
        <v>4883</v>
      </c>
      <c r="C4583" s="90" t="str">
        <f>VLOOKUP(B4583,'All Districts'!$A$3:$B$874,2,FALSE)</f>
        <v>North Greenbush</v>
      </c>
      <c r="D4583" s="40">
        <v>21011</v>
      </c>
      <c r="E4583">
        <f>VLOOKUP(C4583,'All Districts'!$B$3:$C$874,2,FALSE)</f>
        <v>3631410</v>
      </c>
      <c r="F4583" s="91">
        <f>COUNTIF($E$2:$E$7106,E4583)</f>
        <v>9</v>
      </c>
    </row>
    <row r="4584" spans="1:6" x14ac:dyDescent="0.2">
      <c r="A4584" s="10">
        <v>2021</v>
      </c>
      <c r="B4584" s="52">
        <v>4883</v>
      </c>
      <c r="C4584" s="90" t="str">
        <f>VLOOKUP(B4584,'All Districts'!$A$3:$B$874,2,FALSE)</f>
        <v>North Greenbush</v>
      </c>
      <c r="D4584" s="76">
        <v>21625</v>
      </c>
      <c r="E4584">
        <f>VLOOKUP(C4584,'All Districts'!$B$3:$C$874,2,FALSE)</f>
        <v>3631410</v>
      </c>
      <c r="F4584" s="91">
        <f>COUNTIF($E$2:$E$7106,E4584)</f>
        <v>9</v>
      </c>
    </row>
    <row r="4585" spans="1:6" x14ac:dyDescent="0.2">
      <c r="A4585">
        <v>2022</v>
      </c>
      <c r="B4585" s="36">
        <v>4883</v>
      </c>
      <c r="C4585" s="90" t="str">
        <f>VLOOKUP(B4585,'All Districts'!$A$3:$B$874,2,FALSE)</f>
        <v>North Greenbush</v>
      </c>
      <c r="D4585" s="82">
        <v>24159</v>
      </c>
      <c r="E4585">
        <f>VLOOKUP(C4585,'All Districts'!$B$3:$C$874,2,FALSE)</f>
        <v>3631410</v>
      </c>
      <c r="F4585" s="91">
        <f>COUNTIF($E$2:$E$7106,E4585)</f>
        <v>9</v>
      </c>
    </row>
    <row r="4586" spans="1:6" x14ac:dyDescent="0.2">
      <c r="A4586">
        <v>2023</v>
      </c>
      <c r="B4586" s="36">
        <v>4883</v>
      </c>
      <c r="C4586" s="90" t="str">
        <f>VLOOKUP(B4586,'All Districts'!$A$3:$B$874,2,FALSE)</f>
        <v>North Greenbush</v>
      </c>
      <c r="D4586" s="40">
        <v>33832</v>
      </c>
      <c r="E4586">
        <f>VLOOKUP(C4586,'All Districts'!$B$3:$C$874,2,FALSE)</f>
        <v>3631410</v>
      </c>
      <c r="F4586" s="91">
        <f>COUNTIF($E$2:$E$7106,E4586)</f>
        <v>9</v>
      </c>
    </row>
    <row r="4587" spans="1:6" x14ac:dyDescent="0.2">
      <c r="A4587">
        <v>2015</v>
      </c>
      <c r="B4587" s="13">
        <v>4363</v>
      </c>
      <c r="C4587" s="90" t="str">
        <f>VLOOKUP(B4587,'All Districts'!$A$3:$B$874,2,FALSE)</f>
        <v>North Merrick</v>
      </c>
      <c r="D4587" s="14">
        <v>2305932</v>
      </c>
      <c r="E4587">
        <f>VLOOKUP(C4587,'All Districts'!$B$3:$C$874,2,FALSE)</f>
        <v>3621120</v>
      </c>
      <c r="F4587" s="91">
        <f>COUNTIF($E$2:$E$7106,E4587)</f>
        <v>9</v>
      </c>
    </row>
    <row r="4588" spans="1:6" x14ac:dyDescent="0.2">
      <c r="A4588">
        <v>2016</v>
      </c>
      <c r="B4588" s="13">
        <v>4363</v>
      </c>
      <c r="C4588" s="90" t="str">
        <f>VLOOKUP(B4588,'All Districts'!$A$3:$B$874,2,FALSE)</f>
        <v>North Merrick</v>
      </c>
      <c r="D4588" s="16">
        <v>1774949</v>
      </c>
      <c r="E4588">
        <f>VLOOKUP(C4588,'All Districts'!$B$3:$C$874,2,FALSE)</f>
        <v>3621120</v>
      </c>
      <c r="F4588" s="91">
        <f>COUNTIF($E$2:$E$7106,E4588)</f>
        <v>9</v>
      </c>
    </row>
    <row r="4589" spans="1:6" x14ac:dyDescent="0.2">
      <c r="A4589">
        <v>2017</v>
      </c>
      <c r="B4589" s="13">
        <v>4363</v>
      </c>
      <c r="C4589" s="90" t="str">
        <f>VLOOKUP(B4589,'All Districts'!$A$3:$B$874,2,FALSE)</f>
        <v>North Merrick</v>
      </c>
      <c r="D4589" s="16">
        <v>1562535</v>
      </c>
      <c r="E4589">
        <f>VLOOKUP(C4589,'All Districts'!$B$3:$C$874,2,FALSE)</f>
        <v>3621120</v>
      </c>
      <c r="F4589" s="91">
        <f>COUNTIF($E$2:$E$7106,E4589)</f>
        <v>9</v>
      </c>
    </row>
    <row r="4590" spans="1:6" x14ac:dyDescent="0.2">
      <c r="A4590" s="10">
        <v>2018</v>
      </c>
      <c r="B4590" s="13">
        <v>4363</v>
      </c>
      <c r="C4590" s="90" t="str">
        <f>VLOOKUP(B4590,'All Districts'!$A$3:$B$874,2,FALSE)</f>
        <v>North Merrick</v>
      </c>
      <c r="D4590" s="15">
        <v>1369229</v>
      </c>
      <c r="E4590">
        <f>VLOOKUP(C4590,'All Districts'!$B$3:$C$874,2,FALSE)</f>
        <v>3621120</v>
      </c>
      <c r="F4590" s="91">
        <f>COUNTIF($E$2:$E$7106,E4590)</f>
        <v>9</v>
      </c>
    </row>
    <row r="4591" spans="1:6" x14ac:dyDescent="0.2">
      <c r="A4591">
        <v>2019</v>
      </c>
      <c r="B4591" s="36">
        <v>4363</v>
      </c>
      <c r="C4591" s="90" t="str">
        <f>VLOOKUP(B4591,'All Districts'!$A$3:$B$874,2,FALSE)</f>
        <v>North Merrick</v>
      </c>
      <c r="D4591" s="40">
        <v>1482703</v>
      </c>
      <c r="E4591">
        <f>VLOOKUP(C4591,'All Districts'!$B$3:$C$874,2,FALSE)</f>
        <v>3621120</v>
      </c>
      <c r="F4591" s="91">
        <f>COUNTIF($E$2:$E$7106,E4591)</f>
        <v>9</v>
      </c>
    </row>
    <row r="4592" spans="1:6" x14ac:dyDescent="0.2">
      <c r="A4592">
        <v>2020</v>
      </c>
      <c r="B4592" s="36">
        <v>4363</v>
      </c>
      <c r="C4592" s="90" t="str">
        <f>VLOOKUP(B4592,'All Districts'!$A$3:$B$874,2,FALSE)</f>
        <v>North Merrick</v>
      </c>
      <c r="D4592" s="40">
        <v>1264088</v>
      </c>
      <c r="E4592">
        <f>VLOOKUP(C4592,'All Districts'!$B$3:$C$874,2,FALSE)</f>
        <v>3621120</v>
      </c>
      <c r="F4592" s="91">
        <f>COUNTIF($E$2:$E$7106,E4592)</f>
        <v>9</v>
      </c>
    </row>
    <row r="4593" spans="1:6" x14ac:dyDescent="0.2">
      <c r="A4593" s="10">
        <v>2021</v>
      </c>
      <c r="B4593" s="52">
        <v>4363</v>
      </c>
      <c r="C4593" s="90" t="str">
        <f>VLOOKUP(B4593,'All Districts'!$A$3:$B$874,2,FALSE)</f>
        <v>North Merrick</v>
      </c>
      <c r="D4593" s="76">
        <v>1430140</v>
      </c>
      <c r="E4593">
        <f>VLOOKUP(C4593,'All Districts'!$B$3:$C$874,2,FALSE)</f>
        <v>3621120</v>
      </c>
      <c r="F4593" s="91">
        <f>COUNTIF($E$2:$E$7106,E4593)</f>
        <v>9</v>
      </c>
    </row>
    <row r="4594" spans="1:6" x14ac:dyDescent="0.2">
      <c r="A4594">
        <v>2022</v>
      </c>
      <c r="B4594" s="36">
        <v>4363</v>
      </c>
      <c r="C4594" s="90" t="str">
        <f>VLOOKUP(B4594,'All Districts'!$A$3:$B$874,2,FALSE)</f>
        <v>North Merrick</v>
      </c>
      <c r="D4594" s="82">
        <v>1495274</v>
      </c>
      <c r="E4594">
        <f>VLOOKUP(C4594,'All Districts'!$B$3:$C$874,2,FALSE)</f>
        <v>3621120</v>
      </c>
      <c r="F4594" s="91">
        <f>COUNTIF($E$2:$E$7106,E4594)</f>
        <v>9</v>
      </c>
    </row>
    <row r="4595" spans="1:6" x14ac:dyDescent="0.2">
      <c r="A4595">
        <v>2023</v>
      </c>
      <c r="B4595" s="36">
        <v>4363</v>
      </c>
      <c r="C4595" s="90" t="str">
        <f>VLOOKUP(B4595,'All Districts'!$A$3:$B$874,2,FALSE)</f>
        <v>North Merrick</v>
      </c>
      <c r="D4595" s="40">
        <v>1607270</v>
      </c>
      <c r="E4595">
        <f>VLOOKUP(C4595,'All Districts'!$B$3:$C$874,2,FALSE)</f>
        <v>3621120</v>
      </c>
      <c r="F4595" s="91">
        <f>COUNTIF($E$2:$E$7106,E4595)</f>
        <v>9</v>
      </c>
    </row>
    <row r="4596" spans="1:6" x14ac:dyDescent="0.2">
      <c r="A4596">
        <v>2015</v>
      </c>
      <c r="B4596" s="13">
        <v>2409</v>
      </c>
      <c r="C4596" s="90" t="str">
        <f>VLOOKUP(B4596,'All Districts'!$A$3:$B$874,2,FALSE)</f>
        <v>North Rose-Wolcott</v>
      </c>
      <c r="D4596" s="14">
        <v>1587402</v>
      </c>
      <c r="E4596">
        <f>VLOOKUP(C4596,'All Districts'!$B$3:$C$874,2,FALSE)</f>
        <v>3616980</v>
      </c>
      <c r="F4596" s="91">
        <f>COUNTIF($E$2:$E$7106,E4596)</f>
        <v>9</v>
      </c>
    </row>
    <row r="4597" spans="1:6" x14ac:dyDescent="0.2">
      <c r="A4597">
        <v>2016</v>
      </c>
      <c r="B4597" s="13">
        <v>2409</v>
      </c>
      <c r="C4597" s="90" t="str">
        <f>VLOOKUP(B4597,'All Districts'!$A$3:$B$874,2,FALSE)</f>
        <v>North Rose-Wolcott</v>
      </c>
      <c r="D4597" s="16">
        <v>1219445</v>
      </c>
      <c r="E4597">
        <f>VLOOKUP(C4597,'All Districts'!$B$3:$C$874,2,FALSE)</f>
        <v>3616980</v>
      </c>
      <c r="F4597" s="91">
        <f>COUNTIF($E$2:$E$7106,E4597)</f>
        <v>9</v>
      </c>
    </row>
    <row r="4598" spans="1:6" x14ac:dyDescent="0.2">
      <c r="A4598">
        <v>2017</v>
      </c>
      <c r="B4598" s="13">
        <v>2409</v>
      </c>
      <c r="C4598" s="90" t="str">
        <f>VLOOKUP(B4598,'All Districts'!$A$3:$B$874,2,FALSE)</f>
        <v>North Rose-Wolcott</v>
      </c>
      <c r="D4598" s="16">
        <v>1058445</v>
      </c>
      <c r="E4598">
        <f>VLOOKUP(C4598,'All Districts'!$B$3:$C$874,2,FALSE)</f>
        <v>3616980</v>
      </c>
      <c r="F4598" s="91">
        <f>COUNTIF($E$2:$E$7106,E4598)</f>
        <v>9</v>
      </c>
    </row>
    <row r="4599" spans="1:6" x14ac:dyDescent="0.2">
      <c r="A4599" s="10">
        <v>2018</v>
      </c>
      <c r="B4599" s="13">
        <v>2409</v>
      </c>
      <c r="C4599" s="90" t="str">
        <f>VLOOKUP(B4599,'All Districts'!$A$3:$B$874,2,FALSE)</f>
        <v>North Rose-Wolcott</v>
      </c>
      <c r="D4599" s="15">
        <v>966603</v>
      </c>
      <c r="E4599">
        <f>VLOOKUP(C4599,'All Districts'!$B$3:$C$874,2,FALSE)</f>
        <v>3616980</v>
      </c>
      <c r="F4599" s="91">
        <f>COUNTIF($E$2:$E$7106,E4599)</f>
        <v>9</v>
      </c>
    </row>
    <row r="4600" spans="1:6" x14ac:dyDescent="0.2">
      <c r="A4600">
        <v>2019</v>
      </c>
      <c r="B4600" s="36">
        <v>2409</v>
      </c>
      <c r="C4600" s="90" t="str">
        <f>VLOOKUP(B4600,'All Districts'!$A$3:$B$874,2,FALSE)</f>
        <v>North Rose-Wolcott</v>
      </c>
      <c r="D4600" s="40">
        <v>1093086</v>
      </c>
      <c r="E4600">
        <f>VLOOKUP(C4600,'All Districts'!$B$3:$C$874,2,FALSE)</f>
        <v>3616980</v>
      </c>
      <c r="F4600" s="91">
        <f>COUNTIF($E$2:$E$7106,E4600)</f>
        <v>9</v>
      </c>
    </row>
    <row r="4601" spans="1:6" x14ac:dyDescent="0.2">
      <c r="A4601">
        <v>2020</v>
      </c>
      <c r="B4601" s="36">
        <v>2409</v>
      </c>
      <c r="C4601" s="90" t="str">
        <f>VLOOKUP(B4601,'All Districts'!$A$3:$B$874,2,FALSE)</f>
        <v>North Rose-Wolcott</v>
      </c>
      <c r="D4601" s="40">
        <v>912918</v>
      </c>
      <c r="E4601">
        <f>VLOOKUP(C4601,'All Districts'!$B$3:$C$874,2,FALSE)</f>
        <v>3616980</v>
      </c>
      <c r="F4601" s="91">
        <f>COUNTIF($E$2:$E$7106,E4601)</f>
        <v>9</v>
      </c>
    </row>
    <row r="4602" spans="1:6" x14ac:dyDescent="0.2">
      <c r="A4602" s="10">
        <v>2021</v>
      </c>
      <c r="B4602" s="52">
        <v>2409</v>
      </c>
      <c r="C4602" s="90" t="str">
        <f>VLOOKUP(B4602,'All Districts'!$A$3:$B$874,2,FALSE)</f>
        <v>North Rose-Wolcott</v>
      </c>
      <c r="D4602" s="76">
        <v>933969</v>
      </c>
      <c r="E4602">
        <f>VLOOKUP(C4602,'All Districts'!$B$3:$C$874,2,FALSE)</f>
        <v>3616980</v>
      </c>
      <c r="F4602" s="91">
        <f>COUNTIF($E$2:$E$7106,E4602)</f>
        <v>9</v>
      </c>
    </row>
    <row r="4603" spans="1:6" x14ac:dyDescent="0.2">
      <c r="A4603">
        <v>2022</v>
      </c>
      <c r="B4603" s="36">
        <v>2409</v>
      </c>
      <c r="C4603" s="90" t="str">
        <f>VLOOKUP(B4603,'All Districts'!$A$3:$B$874,2,FALSE)</f>
        <v>North Rose-Wolcott</v>
      </c>
      <c r="D4603" s="82">
        <v>937962</v>
      </c>
      <c r="E4603">
        <f>VLOOKUP(C4603,'All Districts'!$B$3:$C$874,2,FALSE)</f>
        <v>3616980</v>
      </c>
      <c r="F4603" s="91">
        <f>COUNTIF($E$2:$E$7106,E4603)</f>
        <v>9</v>
      </c>
    </row>
    <row r="4604" spans="1:6" x14ac:dyDescent="0.2">
      <c r="A4604">
        <v>2023</v>
      </c>
      <c r="B4604" s="36">
        <v>2409</v>
      </c>
      <c r="C4604" s="90" t="str">
        <f>VLOOKUP(B4604,'All Districts'!$A$3:$B$874,2,FALSE)</f>
        <v>North Rose-Wolcott</v>
      </c>
      <c r="D4604" s="40">
        <v>1011052</v>
      </c>
      <c r="E4604">
        <f>VLOOKUP(C4604,'All Districts'!$B$3:$C$874,2,FALSE)</f>
        <v>3616980</v>
      </c>
      <c r="F4604" s="91">
        <f>COUNTIF($E$2:$E$7106,E4604)</f>
        <v>9</v>
      </c>
    </row>
    <row r="4605" spans="1:6" x14ac:dyDescent="0.2">
      <c r="A4605">
        <v>2015</v>
      </c>
      <c r="B4605" s="13">
        <v>4862</v>
      </c>
      <c r="C4605" s="90" t="str">
        <f>VLOOKUP(B4605,'All Districts'!$A$3:$B$874,2,FALSE)</f>
        <v>North Salem</v>
      </c>
      <c r="D4605" s="14">
        <v>2886686</v>
      </c>
      <c r="E4605">
        <f>VLOOKUP(C4605,'All Districts'!$B$3:$C$874,2,FALSE)</f>
        <v>3621180</v>
      </c>
      <c r="F4605" s="91">
        <f>COUNTIF($E$2:$E$7106,E4605)</f>
        <v>9</v>
      </c>
    </row>
    <row r="4606" spans="1:6" x14ac:dyDescent="0.2">
      <c r="A4606">
        <v>2016</v>
      </c>
      <c r="B4606" s="13">
        <v>4862</v>
      </c>
      <c r="C4606" s="90" t="str">
        <f>VLOOKUP(B4606,'All Districts'!$A$3:$B$874,2,FALSE)</f>
        <v>North Salem</v>
      </c>
      <c r="D4606" s="16">
        <v>2245926</v>
      </c>
      <c r="E4606">
        <f>VLOOKUP(C4606,'All Districts'!$B$3:$C$874,2,FALSE)</f>
        <v>3621180</v>
      </c>
      <c r="F4606" s="91">
        <f>COUNTIF($E$2:$E$7106,E4606)</f>
        <v>9</v>
      </c>
    </row>
    <row r="4607" spans="1:6" x14ac:dyDescent="0.2">
      <c r="A4607">
        <v>2017</v>
      </c>
      <c r="B4607" s="13">
        <v>4862</v>
      </c>
      <c r="C4607" s="90" t="str">
        <f>VLOOKUP(B4607,'All Districts'!$A$3:$B$874,2,FALSE)</f>
        <v>North Salem</v>
      </c>
      <c r="D4607" s="16">
        <v>2031136</v>
      </c>
      <c r="E4607">
        <f>VLOOKUP(C4607,'All Districts'!$B$3:$C$874,2,FALSE)</f>
        <v>3621180</v>
      </c>
      <c r="F4607" s="91">
        <f>COUNTIF($E$2:$E$7106,E4607)</f>
        <v>9</v>
      </c>
    </row>
    <row r="4608" spans="1:6" x14ac:dyDescent="0.2">
      <c r="A4608" s="10">
        <v>2018</v>
      </c>
      <c r="B4608" s="13">
        <v>4862</v>
      </c>
      <c r="C4608" s="90" t="str">
        <f>VLOOKUP(B4608,'All Districts'!$A$3:$B$874,2,FALSE)</f>
        <v>North Salem</v>
      </c>
      <c r="D4608" s="15">
        <v>1687576</v>
      </c>
      <c r="E4608">
        <f>VLOOKUP(C4608,'All Districts'!$B$3:$C$874,2,FALSE)</f>
        <v>3621180</v>
      </c>
      <c r="F4608" s="91">
        <f>COUNTIF($E$2:$E$7106,E4608)</f>
        <v>9</v>
      </c>
    </row>
    <row r="4609" spans="1:6" x14ac:dyDescent="0.2">
      <c r="A4609">
        <v>2019</v>
      </c>
      <c r="B4609" s="36">
        <v>4862</v>
      </c>
      <c r="C4609" s="90" t="str">
        <f>VLOOKUP(B4609,'All Districts'!$A$3:$B$874,2,FALSE)</f>
        <v>North Salem</v>
      </c>
      <c r="D4609" s="40">
        <v>1888663</v>
      </c>
      <c r="E4609">
        <f>VLOOKUP(C4609,'All Districts'!$B$3:$C$874,2,FALSE)</f>
        <v>3621180</v>
      </c>
      <c r="F4609" s="91">
        <f>COUNTIF($E$2:$E$7106,E4609)</f>
        <v>9</v>
      </c>
    </row>
    <row r="4610" spans="1:6" x14ac:dyDescent="0.2">
      <c r="A4610">
        <v>2020</v>
      </c>
      <c r="B4610" s="36">
        <v>4862</v>
      </c>
      <c r="C4610" s="90" t="str">
        <f>VLOOKUP(B4610,'All Districts'!$A$3:$B$874,2,FALSE)</f>
        <v>North Salem</v>
      </c>
      <c r="D4610" s="40">
        <v>1584124</v>
      </c>
      <c r="E4610">
        <f>VLOOKUP(C4610,'All Districts'!$B$3:$C$874,2,FALSE)</f>
        <v>3621180</v>
      </c>
      <c r="F4610" s="91">
        <f>COUNTIF($E$2:$E$7106,E4610)</f>
        <v>9</v>
      </c>
    </row>
    <row r="4611" spans="1:6" x14ac:dyDescent="0.2">
      <c r="A4611" s="10">
        <v>2021</v>
      </c>
      <c r="B4611" s="52">
        <v>4862</v>
      </c>
      <c r="C4611" s="90" t="str">
        <f>VLOOKUP(B4611,'All Districts'!$A$3:$B$874,2,FALSE)</f>
        <v>North Salem</v>
      </c>
      <c r="D4611" s="76">
        <v>1785250</v>
      </c>
      <c r="E4611">
        <f>VLOOKUP(C4611,'All Districts'!$B$3:$C$874,2,FALSE)</f>
        <v>3621180</v>
      </c>
      <c r="F4611" s="91">
        <f>COUNTIF($E$2:$E$7106,E4611)</f>
        <v>9</v>
      </c>
    </row>
    <row r="4612" spans="1:6" x14ac:dyDescent="0.2">
      <c r="A4612">
        <v>2022</v>
      </c>
      <c r="B4612" s="36">
        <v>4862</v>
      </c>
      <c r="C4612" s="90" t="str">
        <f>VLOOKUP(B4612,'All Districts'!$A$3:$B$874,2,FALSE)</f>
        <v>North Salem</v>
      </c>
      <c r="D4612" s="82">
        <v>1872406</v>
      </c>
      <c r="E4612">
        <f>VLOOKUP(C4612,'All Districts'!$B$3:$C$874,2,FALSE)</f>
        <v>3621180</v>
      </c>
      <c r="F4612" s="91">
        <f>COUNTIF($E$2:$E$7106,E4612)</f>
        <v>9</v>
      </c>
    </row>
    <row r="4613" spans="1:6" x14ac:dyDescent="0.2">
      <c r="A4613">
        <v>2023</v>
      </c>
      <c r="B4613" s="36">
        <v>4862</v>
      </c>
      <c r="C4613" s="90" t="str">
        <f>VLOOKUP(B4613,'All Districts'!$A$3:$B$874,2,FALSE)</f>
        <v>North Salem</v>
      </c>
      <c r="D4613" s="40">
        <v>2021907</v>
      </c>
      <c r="E4613">
        <f>VLOOKUP(C4613,'All Districts'!$B$3:$C$874,2,FALSE)</f>
        <v>3621180</v>
      </c>
      <c r="F4613" s="91">
        <f>COUNTIF($E$2:$E$7106,E4613)</f>
        <v>9</v>
      </c>
    </row>
    <row r="4614" spans="1:6" x14ac:dyDescent="0.2">
      <c r="A4614">
        <v>2015</v>
      </c>
      <c r="B4614" s="13">
        <v>2540</v>
      </c>
      <c r="C4614" s="90" t="str">
        <f>VLOOKUP(B4614,'All Districts'!$A$3:$B$874,2,FALSE)</f>
        <v>North Shore</v>
      </c>
      <c r="D4614" s="14">
        <v>7096070</v>
      </c>
      <c r="E4614">
        <f>VLOOKUP(C4614,'All Districts'!$B$3:$C$874,2,FALSE)</f>
        <v>3626370</v>
      </c>
      <c r="F4614" s="91">
        <f>COUNTIF($E$2:$E$7106,E4614)</f>
        <v>9</v>
      </c>
    </row>
    <row r="4615" spans="1:6" x14ac:dyDescent="0.2">
      <c r="A4615">
        <v>2016</v>
      </c>
      <c r="B4615" s="13">
        <v>2540</v>
      </c>
      <c r="C4615" s="90" t="str">
        <f>VLOOKUP(B4615,'All Districts'!$A$3:$B$874,2,FALSE)</f>
        <v>North Shore</v>
      </c>
      <c r="D4615" s="16">
        <v>5558939</v>
      </c>
      <c r="E4615">
        <f>VLOOKUP(C4615,'All Districts'!$B$3:$C$874,2,FALSE)</f>
        <v>3626370</v>
      </c>
      <c r="F4615" s="91">
        <f>COUNTIF($E$2:$E$7106,E4615)</f>
        <v>9</v>
      </c>
    </row>
    <row r="4616" spans="1:6" x14ac:dyDescent="0.2">
      <c r="A4616">
        <v>2017</v>
      </c>
      <c r="B4616" s="13">
        <v>2540</v>
      </c>
      <c r="C4616" s="90" t="str">
        <f>VLOOKUP(B4616,'All Districts'!$A$3:$B$874,2,FALSE)</f>
        <v>North Shore</v>
      </c>
      <c r="D4616" s="16">
        <v>5175579</v>
      </c>
      <c r="E4616">
        <f>VLOOKUP(C4616,'All Districts'!$B$3:$C$874,2,FALSE)</f>
        <v>3626370</v>
      </c>
      <c r="F4616" s="91">
        <f>COUNTIF($E$2:$E$7106,E4616)</f>
        <v>9</v>
      </c>
    </row>
    <row r="4617" spans="1:6" x14ac:dyDescent="0.2">
      <c r="A4617" s="10">
        <v>2018</v>
      </c>
      <c r="B4617" s="13">
        <v>2540</v>
      </c>
      <c r="C4617" s="90" t="str">
        <f>VLOOKUP(B4617,'All Districts'!$A$3:$B$874,2,FALSE)</f>
        <v>North Shore</v>
      </c>
      <c r="D4617" s="15">
        <v>4471745</v>
      </c>
      <c r="E4617">
        <f>VLOOKUP(C4617,'All Districts'!$B$3:$C$874,2,FALSE)</f>
        <v>3626370</v>
      </c>
      <c r="F4617" s="91">
        <f>COUNTIF($E$2:$E$7106,E4617)</f>
        <v>9</v>
      </c>
    </row>
    <row r="4618" spans="1:6" x14ac:dyDescent="0.2">
      <c r="A4618">
        <v>2019</v>
      </c>
      <c r="B4618" s="36">
        <v>2540</v>
      </c>
      <c r="C4618" s="90" t="str">
        <f>VLOOKUP(B4618,'All Districts'!$A$3:$B$874,2,FALSE)</f>
        <v>North Shore</v>
      </c>
      <c r="D4618" s="40">
        <v>4994833</v>
      </c>
      <c r="E4618">
        <f>VLOOKUP(C4618,'All Districts'!$B$3:$C$874,2,FALSE)</f>
        <v>3626370</v>
      </c>
      <c r="F4618" s="91">
        <f>COUNTIF($E$2:$E$7106,E4618)</f>
        <v>9</v>
      </c>
    </row>
    <row r="4619" spans="1:6" x14ac:dyDescent="0.2">
      <c r="A4619">
        <v>2020</v>
      </c>
      <c r="B4619" s="36">
        <v>2540</v>
      </c>
      <c r="C4619" s="90" t="str">
        <f>VLOOKUP(B4619,'All Districts'!$A$3:$B$874,2,FALSE)</f>
        <v>North Shore</v>
      </c>
      <c r="D4619" s="40">
        <v>4195329</v>
      </c>
      <c r="E4619">
        <f>VLOOKUP(C4619,'All Districts'!$B$3:$C$874,2,FALSE)</f>
        <v>3626370</v>
      </c>
      <c r="F4619" s="91">
        <f>COUNTIF($E$2:$E$7106,E4619)</f>
        <v>9</v>
      </c>
    </row>
    <row r="4620" spans="1:6" x14ac:dyDescent="0.2">
      <c r="A4620" s="10">
        <v>2021</v>
      </c>
      <c r="B4620" s="52">
        <v>2540</v>
      </c>
      <c r="C4620" s="90" t="str">
        <f>VLOOKUP(B4620,'All Districts'!$A$3:$B$874,2,FALSE)</f>
        <v>North Shore</v>
      </c>
      <c r="D4620" s="76">
        <v>4846086</v>
      </c>
      <c r="E4620">
        <f>VLOOKUP(C4620,'All Districts'!$B$3:$C$874,2,FALSE)</f>
        <v>3626370</v>
      </c>
      <c r="F4620" s="91">
        <f>COUNTIF($E$2:$E$7106,E4620)</f>
        <v>9</v>
      </c>
    </row>
    <row r="4621" spans="1:6" x14ac:dyDescent="0.2">
      <c r="A4621">
        <v>2022</v>
      </c>
      <c r="B4621" s="36">
        <v>2540</v>
      </c>
      <c r="C4621" s="90" t="str">
        <f>VLOOKUP(B4621,'All Districts'!$A$3:$B$874,2,FALSE)</f>
        <v>North Shore</v>
      </c>
      <c r="D4621" s="82">
        <v>5032493</v>
      </c>
      <c r="E4621">
        <f>VLOOKUP(C4621,'All Districts'!$B$3:$C$874,2,FALSE)</f>
        <v>3626370</v>
      </c>
      <c r="F4621" s="91">
        <f>COUNTIF($E$2:$E$7106,E4621)</f>
        <v>9</v>
      </c>
    </row>
    <row r="4622" spans="1:6" x14ac:dyDescent="0.2">
      <c r="A4622">
        <v>2023</v>
      </c>
      <c r="B4622" s="36">
        <v>2540</v>
      </c>
      <c r="C4622" s="90" t="str">
        <f>VLOOKUP(B4622,'All Districts'!$A$3:$B$874,2,FALSE)</f>
        <v>North Shore</v>
      </c>
      <c r="D4622" s="40">
        <v>5404960</v>
      </c>
      <c r="E4622">
        <f>VLOOKUP(C4622,'All Districts'!$B$3:$C$874,2,FALSE)</f>
        <v>3626370</v>
      </c>
      <c r="F4622" s="91">
        <f>COUNTIF($E$2:$E$7106,E4622)</f>
        <v>9</v>
      </c>
    </row>
    <row r="4623" spans="1:6" x14ac:dyDescent="0.2">
      <c r="A4623">
        <v>2015</v>
      </c>
      <c r="B4623" s="13">
        <v>2410</v>
      </c>
      <c r="C4623" s="90" t="str">
        <f>VLOOKUP(B4623,'All Districts'!$A$3:$B$874,2,FALSE)</f>
        <v>North Syracuse</v>
      </c>
      <c r="D4623" s="14">
        <v>9677206</v>
      </c>
      <c r="E4623">
        <f>VLOOKUP(C4623,'All Districts'!$B$3:$C$874,2,FALSE)</f>
        <v>3621210</v>
      </c>
      <c r="F4623" s="91">
        <f>COUNTIF($E$2:$E$7106,E4623)</f>
        <v>9</v>
      </c>
    </row>
    <row r="4624" spans="1:6" x14ac:dyDescent="0.2">
      <c r="A4624">
        <v>2016</v>
      </c>
      <c r="B4624" s="13">
        <v>2410</v>
      </c>
      <c r="C4624" s="90" t="str">
        <f>VLOOKUP(B4624,'All Districts'!$A$3:$B$874,2,FALSE)</f>
        <v>North Syracuse</v>
      </c>
      <c r="D4624" s="16">
        <v>7499325</v>
      </c>
      <c r="E4624">
        <f>VLOOKUP(C4624,'All Districts'!$B$3:$C$874,2,FALSE)</f>
        <v>3621210</v>
      </c>
      <c r="F4624" s="91">
        <f>COUNTIF($E$2:$E$7106,E4624)</f>
        <v>9</v>
      </c>
    </row>
    <row r="4625" spans="1:6" x14ac:dyDescent="0.2">
      <c r="A4625">
        <v>2017</v>
      </c>
      <c r="B4625" s="13">
        <v>2410</v>
      </c>
      <c r="C4625" s="90" t="str">
        <f>VLOOKUP(B4625,'All Districts'!$A$3:$B$874,2,FALSE)</f>
        <v>North Syracuse</v>
      </c>
      <c r="D4625" s="16">
        <v>6766074</v>
      </c>
      <c r="E4625">
        <f>VLOOKUP(C4625,'All Districts'!$B$3:$C$874,2,FALSE)</f>
        <v>3621210</v>
      </c>
      <c r="F4625" s="91">
        <f>COUNTIF($E$2:$E$7106,E4625)</f>
        <v>9</v>
      </c>
    </row>
    <row r="4626" spans="1:6" x14ac:dyDescent="0.2">
      <c r="A4626" s="10">
        <v>2018</v>
      </c>
      <c r="B4626" s="13">
        <v>2410</v>
      </c>
      <c r="C4626" s="90" t="str">
        <f>VLOOKUP(B4626,'All Districts'!$A$3:$B$874,2,FALSE)</f>
        <v>North Syracuse</v>
      </c>
      <c r="D4626" s="15">
        <v>5842395</v>
      </c>
      <c r="E4626">
        <f>VLOOKUP(C4626,'All Districts'!$B$3:$C$874,2,FALSE)</f>
        <v>3621210</v>
      </c>
      <c r="F4626" s="91">
        <f>COUNTIF($E$2:$E$7106,E4626)</f>
        <v>9</v>
      </c>
    </row>
    <row r="4627" spans="1:6" x14ac:dyDescent="0.2">
      <c r="A4627">
        <v>2019</v>
      </c>
      <c r="B4627" s="36">
        <v>2410</v>
      </c>
      <c r="C4627" s="90" t="str">
        <f>VLOOKUP(B4627,'All Districts'!$A$3:$B$874,2,FALSE)</f>
        <v>North Syracuse</v>
      </c>
      <c r="D4627" s="40">
        <v>6596288</v>
      </c>
      <c r="E4627">
        <f>VLOOKUP(C4627,'All Districts'!$B$3:$C$874,2,FALSE)</f>
        <v>3621210</v>
      </c>
      <c r="F4627" s="91">
        <f>COUNTIF($E$2:$E$7106,E4627)</f>
        <v>9</v>
      </c>
    </row>
    <row r="4628" spans="1:6" x14ac:dyDescent="0.2">
      <c r="A4628">
        <v>2020</v>
      </c>
      <c r="B4628" s="36">
        <v>2410</v>
      </c>
      <c r="C4628" s="90" t="str">
        <f>VLOOKUP(B4628,'All Districts'!$A$3:$B$874,2,FALSE)</f>
        <v>North Syracuse</v>
      </c>
      <c r="D4628" s="40">
        <v>5824124</v>
      </c>
      <c r="E4628">
        <f>VLOOKUP(C4628,'All Districts'!$B$3:$C$874,2,FALSE)</f>
        <v>3621210</v>
      </c>
      <c r="F4628" s="91">
        <f>COUNTIF($E$2:$E$7106,E4628)</f>
        <v>9</v>
      </c>
    </row>
    <row r="4629" spans="1:6" x14ac:dyDescent="0.2">
      <c r="A4629" s="10">
        <v>2021</v>
      </c>
      <c r="B4629" s="52">
        <v>2410</v>
      </c>
      <c r="C4629" s="90" t="str">
        <f>VLOOKUP(B4629,'All Districts'!$A$3:$B$874,2,FALSE)</f>
        <v>North Syracuse</v>
      </c>
      <c r="D4629" s="76">
        <v>6295022</v>
      </c>
      <c r="E4629">
        <f>VLOOKUP(C4629,'All Districts'!$B$3:$C$874,2,FALSE)</f>
        <v>3621210</v>
      </c>
      <c r="F4629" s="91">
        <f>COUNTIF($E$2:$E$7106,E4629)</f>
        <v>9</v>
      </c>
    </row>
    <row r="4630" spans="1:6" x14ac:dyDescent="0.2">
      <c r="A4630">
        <v>2022</v>
      </c>
      <c r="B4630" s="36">
        <v>2410</v>
      </c>
      <c r="C4630" s="90" t="str">
        <f>VLOOKUP(B4630,'All Districts'!$A$3:$B$874,2,FALSE)</f>
        <v>North Syracuse</v>
      </c>
      <c r="D4630" s="82">
        <v>6864879</v>
      </c>
      <c r="E4630">
        <f>VLOOKUP(C4630,'All Districts'!$B$3:$C$874,2,FALSE)</f>
        <v>3621210</v>
      </c>
      <c r="F4630" s="91">
        <f>COUNTIF($E$2:$E$7106,E4630)</f>
        <v>9</v>
      </c>
    </row>
    <row r="4631" spans="1:6" x14ac:dyDescent="0.2">
      <c r="A4631">
        <v>2023</v>
      </c>
      <c r="B4631" s="36">
        <v>2410</v>
      </c>
      <c r="C4631" s="90" t="str">
        <f>VLOOKUP(B4631,'All Districts'!$A$3:$B$874,2,FALSE)</f>
        <v>North Syracuse</v>
      </c>
      <c r="D4631" s="40">
        <v>7612242</v>
      </c>
      <c r="E4631">
        <f>VLOOKUP(C4631,'All Districts'!$B$3:$C$874,2,FALSE)</f>
        <v>3621210</v>
      </c>
      <c r="F4631" s="91">
        <f>COUNTIF($E$2:$E$7106,E4631)</f>
        <v>9</v>
      </c>
    </row>
    <row r="4632" spans="1:6" x14ac:dyDescent="0.2">
      <c r="A4632">
        <v>2015</v>
      </c>
      <c r="B4632" s="13">
        <v>1175</v>
      </c>
      <c r="C4632" s="90" t="str">
        <f>VLOOKUP(B4632,'All Districts'!$A$3:$B$874,2,FALSE)</f>
        <v>North Tonawanda</v>
      </c>
      <c r="D4632" s="14">
        <v>4401987</v>
      </c>
      <c r="E4632">
        <f>VLOOKUP(C4632,'All Districts'!$B$3:$C$874,2,FALSE)</f>
        <v>3621240</v>
      </c>
      <c r="F4632" s="91">
        <f>COUNTIF($E$2:$E$7106,E4632)</f>
        <v>9</v>
      </c>
    </row>
    <row r="4633" spans="1:6" x14ac:dyDescent="0.2">
      <c r="A4633">
        <v>2016</v>
      </c>
      <c r="B4633" s="13">
        <v>1175</v>
      </c>
      <c r="C4633" s="90" t="str">
        <f>VLOOKUP(B4633,'All Districts'!$A$3:$B$874,2,FALSE)</f>
        <v>North Tonawanda</v>
      </c>
      <c r="D4633" s="16">
        <v>3511869</v>
      </c>
      <c r="E4633">
        <f>VLOOKUP(C4633,'All Districts'!$B$3:$C$874,2,FALSE)</f>
        <v>3621240</v>
      </c>
      <c r="F4633" s="91">
        <f>COUNTIF($E$2:$E$7106,E4633)</f>
        <v>9</v>
      </c>
    </row>
    <row r="4634" spans="1:6" x14ac:dyDescent="0.2">
      <c r="A4634">
        <v>2017</v>
      </c>
      <c r="B4634" s="13">
        <v>1175</v>
      </c>
      <c r="C4634" s="90" t="str">
        <f>VLOOKUP(B4634,'All Districts'!$A$3:$B$874,2,FALSE)</f>
        <v>North Tonawanda</v>
      </c>
      <c r="D4634" s="16">
        <v>3013456</v>
      </c>
      <c r="E4634">
        <f>VLOOKUP(C4634,'All Districts'!$B$3:$C$874,2,FALSE)</f>
        <v>3621240</v>
      </c>
      <c r="F4634" s="91">
        <f>COUNTIF($E$2:$E$7106,E4634)</f>
        <v>9</v>
      </c>
    </row>
    <row r="4635" spans="1:6" x14ac:dyDescent="0.2">
      <c r="A4635" s="10">
        <v>2018</v>
      </c>
      <c r="B4635" s="13">
        <v>1175</v>
      </c>
      <c r="C4635" s="90" t="str">
        <f>VLOOKUP(B4635,'All Districts'!$A$3:$B$874,2,FALSE)</f>
        <v>North Tonawanda</v>
      </c>
      <c r="D4635" s="15">
        <v>2548661</v>
      </c>
      <c r="E4635">
        <f>VLOOKUP(C4635,'All Districts'!$B$3:$C$874,2,FALSE)</f>
        <v>3621240</v>
      </c>
      <c r="F4635" s="91">
        <f>COUNTIF($E$2:$E$7106,E4635)</f>
        <v>9</v>
      </c>
    </row>
    <row r="4636" spans="1:6" x14ac:dyDescent="0.2">
      <c r="A4636">
        <v>2019</v>
      </c>
      <c r="B4636" s="36">
        <v>1175</v>
      </c>
      <c r="C4636" s="90" t="str">
        <f>VLOOKUP(B4636,'All Districts'!$A$3:$B$874,2,FALSE)</f>
        <v>North Tonawanda</v>
      </c>
      <c r="D4636" s="40">
        <v>2817336</v>
      </c>
      <c r="E4636">
        <f>VLOOKUP(C4636,'All Districts'!$B$3:$C$874,2,FALSE)</f>
        <v>3621240</v>
      </c>
      <c r="F4636" s="91">
        <f>COUNTIF($E$2:$E$7106,E4636)</f>
        <v>9</v>
      </c>
    </row>
    <row r="4637" spans="1:6" x14ac:dyDescent="0.2">
      <c r="A4637">
        <v>2020</v>
      </c>
      <c r="B4637" s="36">
        <v>1175</v>
      </c>
      <c r="C4637" s="90" t="str">
        <f>VLOOKUP(B4637,'All Districts'!$A$3:$B$874,2,FALSE)</f>
        <v>North Tonawanda</v>
      </c>
      <c r="D4637" s="40">
        <v>2397118</v>
      </c>
      <c r="E4637">
        <f>VLOOKUP(C4637,'All Districts'!$B$3:$C$874,2,FALSE)</f>
        <v>3621240</v>
      </c>
      <c r="F4637" s="91">
        <f>COUNTIF($E$2:$E$7106,E4637)</f>
        <v>9</v>
      </c>
    </row>
    <row r="4638" spans="1:6" x14ac:dyDescent="0.2">
      <c r="A4638" s="10">
        <v>2021</v>
      </c>
      <c r="B4638" s="52">
        <v>1175</v>
      </c>
      <c r="C4638" s="90" t="str">
        <f>VLOOKUP(B4638,'All Districts'!$A$3:$B$874,2,FALSE)</f>
        <v>North Tonawanda</v>
      </c>
      <c r="D4638" s="75">
        <v>2605106</v>
      </c>
      <c r="E4638">
        <f>VLOOKUP(C4638,'All Districts'!$B$3:$C$874,2,FALSE)</f>
        <v>3621240</v>
      </c>
      <c r="F4638" s="91">
        <f>COUNTIF($E$2:$E$7106,E4638)</f>
        <v>9</v>
      </c>
    </row>
    <row r="4639" spans="1:6" x14ac:dyDescent="0.2">
      <c r="A4639">
        <v>2022</v>
      </c>
      <c r="B4639" s="36">
        <v>1175</v>
      </c>
      <c r="C4639" s="90" t="str">
        <f>VLOOKUP(B4639,'All Districts'!$A$3:$B$874,2,FALSE)</f>
        <v>North Tonawanda</v>
      </c>
      <c r="D4639" s="82">
        <v>2678237</v>
      </c>
      <c r="E4639">
        <f>VLOOKUP(C4639,'All Districts'!$B$3:$C$874,2,FALSE)</f>
        <v>3621240</v>
      </c>
      <c r="F4639" s="91">
        <f>COUNTIF($E$2:$E$7106,E4639)</f>
        <v>9</v>
      </c>
    </row>
    <row r="4640" spans="1:6" x14ac:dyDescent="0.2">
      <c r="A4640">
        <v>2023</v>
      </c>
      <c r="B4640" s="36">
        <v>1175</v>
      </c>
      <c r="C4640" s="90" t="str">
        <f>VLOOKUP(B4640,'All Districts'!$A$3:$B$874,2,FALSE)</f>
        <v>North Tonawanda</v>
      </c>
      <c r="D4640" s="40">
        <v>2906593</v>
      </c>
      <c r="E4640">
        <f>VLOOKUP(C4640,'All Districts'!$B$3:$C$874,2,FALSE)</f>
        <v>3621240</v>
      </c>
      <c r="F4640" s="91">
        <f>COUNTIF($E$2:$E$7106,E4640)</f>
        <v>9</v>
      </c>
    </row>
    <row r="4641" spans="1:6" x14ac:dyDescent="0.2">
      <c r="A4641">
        <v>2015</v>
      </c>
      <c r="B4641" s="13">
        <v>5685</v>
      </c>
      <c r="C4641" s="90" t="str">
        <f>VLOOKUP(B4641,'All Districts'!$A$3:$B$874,2,FALSE)</f>
        <v>North Warren</v>
      </c>
      <c r="D4641" s="14">
        <v>785517</v>
      </c>
      <c r="E4641">
        <f>VLOOKUP(C4641,'All Districts'!$B$3:$C$874,2,FALSE)</f>
        <v>3616960</v>
      </c>
      <c r="F4641" s="91">
        <f>COUNTIF($E$2:$E$7106,E4641)</f>
        <v>9</v>
      </c>
    </row>
    <row r="4642" spans="1:6" x14ac:dyDescent="0.2">
      <c r="A4642">
        <v>2016</v>
      </c>
      <c r="B4642" s="13">
        <v>5685</v>
      </c>
      <c r="C4642" s="90" t="str">
        <f>VLOOKUP(B4642,'All Districts'!$A$3:$B$874,2,FALSE)</f>
        <v>North Warren</v>
      </c>
      <c r="D4642" s="16">
        <v>583595</v>
      </c>
      <c r="E4642">
        <f>VLOOKUP(C4642,'All Districts'!$B$3:$C$874,2,FALSE)</f>
        <v>3616960</v>
      </c>
      <c r="F4642" s="91">
        <f>COUNTIF($E$2:$E$7106,E4642)</f>
        <v>9</v>
      </c>
    </row>
    <row r="4643" spans="1:6" x14ac:dyDescent="0.2">
      <c r="A4643">
        <v>2017</v>
      </c>
      <c r="B4643" s="13">
        <v>5685</v>
      </c>
      <c r="C4643" s="90" t="str">
        <f>VLOOKUP(B4643,'All Districts'!$A$3:$B$874,2,FALSE)</f>
        <v>North Warren</v>
      </c>
      <c r="D4643" s="16">
        <v>537272</v>
      </c>
      <c r="E4643">
        <f>VLOOKUP(C4643,'All Districts'!$B$3:$C$874,2,FALSE)</f>
        <v>3616960</v>
      </c>
      <c r="F4643" s="91">
        <f>COUNTIF($E$2:$E$7106,E4643)</f>
        <v>9</v>
      </c>
    </row>
    <row r="4644" spans="1:6" x14ac:dyDescent="0.2">
      <c r="A4644" s="10">
        <v>2018</v>
      </c>
      <c r="B4644" s="13">
        <v>5685</v>
      </c>
      <c r="C4644" s="90" t="str">
        <f>VLOOKUP(B4644,'All Districts'!$A$3:$B$874,2,FALSE)</f>
        <v>North Warren</v>
      </c>
      <c r="D4644" s="15">
        <v>460953</v>
      </c>
      <c r="E4644">
        <f>VLOOKUP(C4644,'All Districts'!$B$3:$C$874,2,FALSE)</f>
        <v>3616960</v>
      </c>
      <c r="F4644" s="91">
        <f>COUNTIF($E$2:$E$7106,E4644)</f>
        <v>9</v>
      </c>
    </row>
    <row r="4645" spans="1:6" x14ac:dyDescent="0.2">
      <c r="A4645">
        <v>2019</v>
      </c>
      <c r="B4645" s="36">
        <v>5685</v>
      </c>
      <c r="C4645" s="90" t="str">
        <f>VLOOKUP(B4645,'All Districts'!$A$3:$B$874,2,FALSE)</f>
        <v>North Warren</v>
      </c>
      <c r="D4645" s="40">
        <v>481934</v>
      </c>
      <c r="E4645">
        <f>VLOOKUP(C4645,'All Districts'!$B$3:$C$874,2,FALSE)</f>
        <v>3616960</v>
      </c>
      <c r="F4645" s="91">
        <f>COUNTIF($E$2:$E$7106,E4645)</f>
        <v>9</v>
      </c>
    </row>
    <row r="4646" spans="1:6" x14ac:dyDescent="0.2">
      <c r="A4646">
        <v>2020</v>
      </c>
      <c r="B4646" s="36">
        <v>5685</v>
      </c>
      <c r="C4646" s="90" t="str">
        <f>VLOOKUP(B4646,'All Districts'!$A$3:$B$874,2,FALSE)</f>
        <v>North Warren</v>
      </c>
      <c r="D4646" s="40">
        <v>399981</v>
      </c>
      <c r="E4646">
        <f>VLOOKUP(C4646,'All Districts'!$B$3:$C$874,2,FALSE)</f>
        <v>3616960</v>
      </c>
      <c r="F4646" s="91">
        <f>COUNTIF($E$2:$E$7106,E4646)</f>
        <v>9</v>
      </c>
    </row>
    <row r="4647" spans="1:6" x14ac:dyDescent="0.2">
      <c r="A4647" s="10">
        <v>2021</v>
      </c>
      <c r="B4647" s="52">
        <v>5685</v>
      </c>
      <c r="C4647" s="90" t="str">
        <f>VLOOKUP(B4647,'All Districts'!$A$3:$B$874,2,FALSE)</f>
        <v>North Warren</v>
      </c>
      <c r="D4647" s="76">
        <v>445941</v>
      </c>
      <c r="E4647">
        <f>VLOOKUP(C4647,'All Districts'!$B$3:$C$874,2,FALSE)</f>
        <v>3616960</v>
      </c>
      <c r="F4647" s="91">
        <f>COUNTIF($E$2:$E$7106,E4647)</f>
        <v>9</v>
      </c>
    </row>
    <row r="4648" spans="1:6" x14ac:dyDescent="0.2">
      <c r="A4648">
        <v>2022</v>
      </c>
      <c r="B4648" s="36">
        <v>5685</v>
      </c>
      <c r="C4648" s="90" t="str">
        <f>VLOOKUP(B4648,'All Districts'!$A$3:$B$874,2,FALSE)</f>
        <v>North Warren</v>
      </c>
      <c r="D4648" s="82">
        <v>474054</v>
      </c>
      <c r="E4648">
        <f>VLOOKUP(C4648,'All Districts'!$B$3:$C$874,2,FALSE)</f>
        <v>3616960</v>
      </c>
      <c r="F4648" s="91">
        <f>COUNTIF($E$2:$E$7106,E4648)</f>
        <v>9</v>
      </c>
    </row>
    <row r="4649" spans="1:6" x14ac:dyDescent="0.2">
      <c r="A4649">
        <v>2023</v>
      </c>
      <c r="B4649" s="36">
        <v>5685</v>
      </c>
      <c r="C4649" s="90" t="str">
        <f>VLOOKUP(B4649,'All Districts'!$A$3:$B$874,2,FALSE)</f>
        <v>North Warren</v>
      </c>
      <c r="D4649" s="40">
        <v>492100</v>
      </c>
      <c r="E4649">
        <f>VLOOKUP(C4649,'All Districts'!$B$3:$C$874,2,FALSE)</f>
        <v>3616960</v>
      </c>
      <c r="F4649" s="91">
        <f>COUNTIF($E$2:$E$7106,E4649)</f>
        <v>9</v>
      </c>
    </row>
    <row r="4650" spans="1:6" x14ac:dyDescent="0.2">
      <c r="A4650">
        <v>2015</v>
      </c>
      <c r="B4650" s="13">
        <v>3452</v>
      </c>
      <c r="C4650" s="90" t="str">
        <f>VLOOKUP(B4650,'All Districts'!$A$3:$B$874,2,FALSE)</f>
        <v>Northeastern Clinton</v>
      </c>
      <c r="D4650" s="14">
        <v>1501664</v>
      </c>
      <c r="E4650">
        <f>VLOOKUP(C4650,'All Districts'!$B$3:$C$874,2,FALSE)</f>
        <v>3621250</v>
      </c>
      <c r="F4650" s="91">
        <f>COUNTIF($E$2:$E$7106,E4650)</f>
        <v>9</v>
      </c>
    </row>
    <row r="4651" spans="1:6" x14ac:dyDescent="0.2">
      <c r="A4651">
        <v>2016</v>
      </c>
      <c r="B4651" s="13">
        <v>3452</v>
      </c>
      <c r="C4651" s="90" t="str">
        <f>VLOOKUP(B4651,'All Districts'!$A$3:$B$874,2,FALSE)</f>
        <v>Northeastern Clinton</v>
      </c>
      <c r="D4651" s="16">
        <v>1145573</v>
      </c>
      <c r="E4651">
        <f>VLOOKUP(C4651,'All Districts'!$B$3:$C$874,2,FALSE)</f>
        <v>3621250</v>
      </c>
      <c r="F4651" s="91">
        <f>COUNTIF($E$2:$E$7106,E4651)</f>
        <v>9</v>
      </c>
    </row>
    <row r="4652" spans="1:6" x14ac:dyDescent="0.2">
      <c r="A4652">
        <v>2017</v>
      </c>
      <c r="B4652" s="13">
        <v>3452</v>
      </c>
      <c r="C4652" s="90" t="str">
        <f>VLOOKUP(B4652,'All Districts'!$A$3:$B$874,2,FALSE)</f>
        <v>Northeastern Clinton</v>
      </c>
      <c r="D4652" s="16">
        <v>1098940</v>
      </c>
      <c r="E4652">
        <f>VLOOKUP(C4652,'All Districts'!$B$3:$C$874,2,FALSE)</f>
        <v>3621250</v>
      </c>
      <c r="F4652" s="91">
        <f>COUNTIF($E$2:$E$7106,E4652)</f>
        <v>9</v>
      </c>
    </row>
    <row r="4653" spans="1:6" x14ac:dyDescent="0.2">
      <c r="A4653" s="10">
        <v>2018</v>
      </c>
      <c r="B4653" s="13">
        <v>3452</v>
      </c>
      <c r="C4653" s="90" t="str">
        <f>VLOOKUP(B4653,'All Districts'!$A$3:$B$874,2,FALSE)</f>
        <v>Northeastern Clinton</v>
      </c>
      <c r="D4653" s="15">
        <v>932365</v>
      </c>
      <c r="E4653">
        <f>VLOOKUP(C4653,'All Districts'!$B$3:$C$874,2,FALSE)</f>
        <v>3621250</v>
      </c>
      <c r="F4653" s="91">
        <f>COUNTIF($E$2:$E$7106,E4653)</f>
        <v>9</v>
      </c>
    </row>
    <row r="4654" spans="1:6" x14ac:dyDescent="0.2">
      <c r="A4654">
        <v>2019</v>
      </c>
      <c r="B4654" s="36">
        <v>3452</v>
      </c>
      <c r="C4654" s="90" t="str">
        <f>VLOOKUP(B4654,'All Districts'!$A$3:$B$874,2,FALSE)</f>
        <v>Northeastern Clinton</v>
      </c>
      <c r="D4654" s="40">
        <v>1012768</v>
      </c>
      <c r="E4654">
        <f>VLOOKUP(C4654,'All Districts'!$B$3:$C$874,2,FALSE)</f>
        <v>3621250</v>
      </c>
      <c r="F4654" s="91">
        <f>COUNTIF($E$2:$E$7106,E4654)</f>
        <v>9</v>
      </c>
    </row>
    <row r="4655" spans="1:6" x14ac:dyDescent="0.2">
      <c r="A4655">
        <v>2020</v>
      </c>
      <c r="B4655" s="36">
        <v>3452</v>
      </c>
      <c r="C4655" s="90" t="str">
        <f>VLOOKUP(B4655,'All Districts'!$A$3:$B$874,2,FALSE)</f>
        <v>Northeastern Clinton</v>
      </c>
      <c r="D4655" s="40">
        <v>860453</v>
      </c>
      <c r="E4655">
        <f>VLOOKUP(C4655,'All Districts'!$B$3:$C$874,2,FALSE)</f>
        <v>3621250</v>
      </c>
      <c r="F4655" s="91">
        <f>COUNTIF($E$2:$E$7106,E4655)</f>
        <v>9</v>
      </c>
    </row>
    <row r="4656" spans="1:6" x14ac:dyDescent="0.2">
      <c r="A4656" s="10">
        <v>2021</v>
      </c>
      <c r="B4656" s="52">
        <v>3452</v>
      </c>
      <c r="C4656" s="90" t="str">
        <f>VLOOKUP(B4656,'All Districts'!$A$3:$B$874,2,FALSE)</f>
        <v>Northeastern Clinton</v>
      </c>
      <c r="D4656" s="76">
        <v>915019</v>
      </c>
      <c r="E4656">
        <f>VLOOKUP(C4656,'All Districts'!$B$3:$C$874,2,FALSE)</f>
        <v>3621250</v>
      </c>
      <c r="F4656" s="91">
        <f>COUNTIF($E$2:$E$7106,E4656)</f>
        <v>9</v>
      </c>
    </row>
    <row r="4657" spans="1:6" x14ac:dyDescent="0.2">
      <c r="A4657">
        <v>2022</v>
      </c>
      <c r="B4657" s="36">
        <v>3452</v>
      </c>
      <c r="C4657" s="90" t="str">
        <f>VLOOKUP(B4657,'All Districts'!$A$3:$B$874,2,FALSE)</f>
        <v>Northeastern Clinton</v>
      </c>
      <c r="D4657" s="82">
        <v>949600</v>
      </c>
      <c r="E4657">
        <f>VLOOKUP(C4657,'All Districts'!$B$3:$C$874,2,FALSE)</f>
        <v>3621250</v>
      </c>
      <c r="F4657" s="91">
        <f>COUNTIF($E$2:$E$7106,E4657)</f>
        <v>9</v>
      </c>
    </row>
    <row r="4658" spans="1:6" x14ac:dyDescent="0.2">
      <c r="A4658">
        <v>2023</v>
      </c>
      <c r="B4658" s="36">
        <v>3452</v>
      </c>
      <c r="C4658" s="90" t="str">
        <f>VLOOKUP(B4658,'All Districts'!$A$3:$B$874,2,FALSE)</f>
        <v>Northeastern Clinton</v>
      </c>
      <c r="D4658" s="40">
        <v>1009477</v>
      </c>
      <c r="E4658">
        <f>VLOOKUP(C4658,'All Districts'!$B$3:$C$874,2,FALSE)</f>
        <v>3621250</v>
      </c>
      <c r="F4658" s="91">
        <f>COUNTIF($E$2:$E$7106,E4658)</f>
        <v>9</v>
      </c>
    </row>
    <row r="4659" spans="1:6" x14ac:dyDescent="0.2">
      <c r="A4659">
        <v>2015</v>
      </c>
      <c r="B4659" s="13">
        <v>3458</v>
      </c>
      <c r="C4659" s="90" t="str">
        <f>VLOOKUP(B4659,'All Districts'!$A$3:$B$874,2,FALSE)</f>
        <v>Northern Adirondack</v>
      </c>
      <c r="D4659" s="14">
        <v>1135281</v>
      </c>
      <c r="E4659">
        <f>VLOOKUP(C4659,'All Districts'!$B$3:$C$874,2,FALSE)</f>
        <v>3621260</v>
      </c>
      <c r="F4659" s="91">
        <f>COUNTIF($E$2:$E$7106,E4659)</f>
        <v>9</v>
      </c>
    </row>
    <row r="4660" spans="1:6" x14ac:dyDescent="0.2">
      <c r="A4660">
        <v>2016</v>
      </c>
      <c r="B4660" s="13">
        <v>3458</v>
      </c>
      <c r="C4660" s="90" t="str">
        <f>VLOOKUP(B4660,'All Districts'!$A$3:$B$874,2,FALSE)</f>
        <v>Northern Adirondack</v>
      </c>
      <c r="D4660" s="16">
        <v>848621</v>
      </c>
      <c r="E4660">
        <f>VLOOKUP(C4660,'All Districts'!$B$3:$C$874,2,FALSE)</f>
        <v>3621260</v>
      </c>
      <c r="F4660" s="91">
        <f>COUNTIF($E$2:$E$7106,E4660)</f>
        <v>9</v>
      </c>
    </row>
    <row r="4661" spans="1:6" x14ac:dyDescent="0.2">
      <c r="A4661">
        <v>2017</v>
      </c>
      <c r="B4661" s="13">
        <v>3458</v>
      </c>
      <c r="C4661" s="90" t="str">
        <f>VLOOKUP(B4661,'All Districts'!$A$3:$B$874,2,FALSE)</f>
        <v>Northern Adirondack</v>
      </c>
      <c r="D4661" s="16">
        <v>773239</v>
      </c>
      <c r="E4661">
        <f>VLOOKUP(C4661,'All Districts'!$B$3:$C$874,2,FALSE)</f>
        <v>3621260</v>
      </c>
      <c r="F4661" s="91">
        <f>COUNTIF($E$2:$E$7106,E4661)</f>
        <v>9</v>
      </c>
    </row>
    <row r="4662" spans="1:6" x14ac:dyDescent="0.2">
      <c r="A4662" s="10">
        <v>2018</v>
      </c>
      <c r="B4662" s="13">
        <v>3458</v>
      </c>
      <c r="C4662" s="90" t="str">
        <f>VLOOKUP(B4662,'All Districts'!$A$3:$B$874,2,FALSE)</f>
        <v>Northern Adirondack</v>
      </c>
      <c r="D4662" s="15">
        <v>673450</v>
      </c>
      <c r="E4662">
        <f>VLOOKUP(C4662,'All Districts'!$B$3:$C$874,2,FALSE)</f>
        <v>3621260</v>
      </c>
      <c r="F4662" s="91">
        <f>COUNTIF($E$2:$E$7106,E4662)</f>
        <v>9</v>
      </c>
    </row>
    <row r="4663" spans="1:6" x14ac:dyDescent="0.2">
      <c r="A4663">
        <v>2019</v>
      </c>
      <c r="B4663" s="36">
        <v>3458</v>
      </c>
      <c r="C4663" s="90" t="str">
        <f>VLOOKUP(B4663,'All Districts'!$A$3:$B$874,2,FALSE)</f>
        <v>Northern Adirondack</v>
      </c>
      <c r="D4663" s="40">
        <v>721031</v>
      </c>
      <c r="E4663">
        <f>VLOOKUP(C4663,'All Districts'!$B$3:$C$874,2,FALSE)</f>
        <v>3621260</v>
      </c>
      <c r="F4663" s="91">
        <f>COUNTIF($E$2:$E$7106,E4663)</f>
        <v>9</v>
      </c>
    </row>
    <row r="4664" spans="1:6" x14ac:dyDescent="0.2">
      <c r="A4664">
        <v>2020</v>
      </c>
      <c r="B4664" s="36">
        <v>3458</v>
      </c>
      <c r="C4664" s="90" t="str">
        <f>VLOOKUP(B4664,'All Districts'!$A$3:$B$874,2,FALSE)</f>
        <v>Northern Adirondack</v>
      </c>
      <c r="D4664" s="40">
        <v>608619</v>
      </c>
      <c r="E4664">
        <f>VLOOKUP(C4664,'All Districts'!$B$3:$C$874,2,FALSE)</f>
        <v>3621260</v>
      </c>
      <c r="F4664" s="91">
        <f>COUNTIF($E$2:$E$7106,E4664)</f>
        <v>9</v>
      </c>
    </row>
    <row r="4665" spans="1:6" x14ac:dyDescent="0.2">
      <c r="A4665" s="10">
        <v>2021</v>
      </c>
      <c r="B4665" s="52">
        <v>3458</v>
      </c>
      <c r="C4665" s="90" t="str">
        <f>VLOOKUP(B4665,'All Districts'!$A$3:$B$874,2,FALSE)</f>
        <v>Northern Adirondack</v>
      </c>
      <c r="D4665" s="76">
        <v>680132</v>
      </c>
      <c r="E4665">
        <f>VLOOKUP(C4665,'All Districts'!$B$3:$C$874,2,FALSE)</f>
        <v>3621260</v>
      </c>
      <c r="F4665" s="91">
        <f>COUNTIF($E$2:$E$7106,E4665)</f>
        <v>9</v>
      </c>
    </row>
    <row r="4666" spans="1:6" x14ac:dyDescent="0.2">
      <c r="A4666">
        <v>2022</v>
      </c>
      <c r="B4666" s="36">
        <v>3458</v>
      </c>
      <c r="C4666" s="90" t="str">
        <f>VLOOKUP(B4666,'All Districts'!$A$3:$B$874,2,FALSE)</f>
        <v>Northern Adirondack</v>
      </c>
      <c r="D4666" s="82">
        <v>714073</v>
      </c>
      <c r="E4666">
        <f>VLOOKUP(C4666,'All Districts'!$B$3:$C$874,2,FALSE)</f>
        <v>3621260</v>
      </c>
      <c r="F4666" s="91">
        <f>COUNTIF($E$2:$E$7106,E4666)</f>
        <v>9</v>
      </c>
    </row>
    <row r="4667" spans="1:6" x14ac:dyDescent="0.2">
      <c r="A4667">
        <v>2023</v>
      </c>
      <c r="B4667" s="36">
        <v>3458</v>
      </c>
      <c r="C4667" s="90" t="str">
        <f>VLOOKUP(B4667,'All Districts'!$A$3:$B$874,2,FALSE)</f>
        <v>Northern Adirondack</v>
      </c>
      <c r="D4667" s="40">
        <v>787192</v>
      </c>
      <c r="E4667">
        <f>VLOOKUP(C4667,'All Districts'!$B$3:$C$874,2,FALSE)</f>
        <v>3621260</v>
      </c>
      <c r="F4667" s="91">
        <f>COUNTIF($E$2:$E$7106,E4667)</f>
        <v>9</v>
      </c>
    </row>
    <row r="4668" spans="1:6" x14ac:dyDescent="0.2">
      <c r="A4668">
        <v>2015</v>
      </c>
      <c r="B4668" s="13">
        <v>2415</v>
      </c>
      <c r="C4668" s="90" t="str">
        <f>VLOOKUP(B4668,'All Districts'!$A$3:$B$874,2,FALSE)</f>
        <v>Northport-East Northport</v>
      </c>
      <c r="D4668" s="14">
        <v>11118099</v>
      </c>
      <c r="E4668">
        <f>VLOOKUP(C4668,'All Districts'!$B$3:$C$874,2,FALSE)</f>
        <v>3621270</v>
      </c>
      <c r="F4668" s="91">
        <f>COUNTIF($E$2:$E$7106,E4668)</f>
        <v>9</v>
      </c>
    </row>
    <row r="4669" spans="1:6" x14ac:dyDescent="0.2">
      <c r="A4669">
        <v>2016</v>
      </c>
      <c r="B4669" s="13">
        <v>2415</v>
      </c>
      <c r="C4669" s="90" t="str">
        <f>VLOOKUP(B4669,'All Districts'!$A$3:$B$874,2,FALSE)</f>
        <v>Northport-East Northport</v>
      </c>
      <c r="D4669" s="16">
        <v>8904624</v>
      </c>
      <c r="E4669">
        <f>VLOOKUP(C4669,'All Districts'!$B$3:$C$874,2,FALSE)</f>
        <v>3621270</v>
      </c>
      <c r="F4669" s="91">
        <f>COUNTIF($E$2:$E$7106,E4669)</f>
        <v>9</v>
      </c>
    </row>
    <row r="4670" spans="1:6" x14ac:dyDescent="0.2">
      <c r="A4670">
        <v>2017</v>
      </c>
      <c r="B4670" s="13">
        <v>2415</v>
      </c>
      <c r="C4670" s="90" t="str">
        <f>VLOOKUP(B4670,'All Districts'!$A$3:$B$874,2,FALSE)</f>
        <v>Northport-East Northport</v>
      </c>
      <c r="D4670" s="16">
        <v>7853162</v>
      </c>
      <c r="E4670">
        <f>VLOOKUP(C4670,'All Districts'!$B$3:$C$874,2,FALSE)</f>
        <v>3621270</v>
      </c>
      <c r="F4670" s="91">
        <f>COUNTIF($E$2:$E$7106,E4670)</f>
        <v>9</v>
      </c>
    </row>
    <row r="4671" spans="1:6" x14ac:dyDescent="0.2">
      <c r="A4671" s="10">
        <v>2018</v>
      </c>
      <c r="B4671" s="13">
        <v>2415</v>
      </c>
      <c r="C4671" s="90" t="str">
        <f>VLOOKUP(B4671,'All Districts'!$A$3:$B$874,2,FALSE)</f>
        <v>Northport-East Northport</v>
      </c>
      <c r="D4671" s="15">
        <v>6777623</v>
      </c>
      <c r="E4671">
        <f>VLOOKUP(C4671,'All Districts'!$B$3:$C$874,2,FALSE)</f>
        <v>3621270</v>
      </c>
      <c r="F4671" s="91">
        <f>COUNTIF($E$2:$E$7106,E4671)</f>
        <v>9</v>
      </c>
    </row>
    <row r="4672" spans="1:6" x14ac:dyDescent="0.2">
      <c r="A4672">
        <v>2019</v>
      </c>
      <c r="B4672" s="36">
        <v>2415</v>
      </c>
      <c r="C4672" s="90" t="str">
        <f>VLOOKUP(B4672,'All Districts'!$A$3:$B$874,2,FALSE)</f>
        <v>Northport-East Northport</v>
      </c>
      <c r="D4672" s="40">
        <v>7352690</v>
      </c>
      <c r="E4672">
        <f>VLOOKUP(C4672,'All Districts'!$B$3:$C$874,2,FALSE)</f>
        <v>3621270</v>
      </c>
      <c r="F4672" s="91">
        <f>COUNTIF($E$2:$E$7106,E4672)</f>
        <v>9</v>
      </c>
    </row>
    <row r="4673" spans="1:6" x14ac:dyDescent="0.2">
      <c r="A4673">
        <v>2020</v>
      </c>
      <c r="B4673" s="36">
        <v>2415</v>
      </c>
      <c r="C4673" s="90" t="str">
        <f>VLOOKUP(B4673,'All Districts'!$A$3:$B$874,2,FALSE)</f>
        <v>Northport-East Northport</v>
      </c>
      <c r="D4673" s="40">
        <v>6228523</v>
      </c>
      <c r="E4673">
        <f>VLOOKUP(C4673,'All Districts'!$B$3:$C$874,2,FALSE)</f>
        <v>3621270</v>
      </c>
      <c r="F4673" s="91">
        <f>COUNTIF($E$2:$E$7106,E4673)</f>
        <v>9</v>
      </c>
    </row>
    <row r="4674" spans="1:6" x14ac:dyDescent="0.2">
      <c r="A4674" s="10">
        <v>2021</v>
      </c>
      <c r="B4674" s="52">
        <v>2415</v>
      </c>
      <c r="C4674" s="90" t="str">
        <f>VLOOKUP(B4674,'All Districts'!$A$3:$B$874,2,FALSE)</f>
        <v>Northport-East Northport</v>
      </c>
      <c r="D4674" s="75">
        <v>6869568</v>
      </c>
      <c r="E4674">
        <f>VLOOKUP(C4674,'All Districts'!$B$3:$C$874,2,FALSE)</f>
        <v>3621270</v>
      </c>
      <c r="F4674" s="91">
        <f>COUNTIF($E$2:$E$7106,E4674)</f>
        <v>9</v>
      </c>
    </row>
    <row r="4675" spans="1:6" x14ac:dyDescent="0.2">
      <c r="A4675">
        <v>2022</v>
      </c>
      <c r="B4675" s="36">
        <v>2415</v>
      </c>
      <c r="C4675" s="90" t="str">
        <f>VLOOKUP(B4675,'All Districts'!$A$3:$B$874,2,FALSE)</f>
        <v>Northport-East Northport</v>
      </c>
      <c r="D4675" s="82">
        <v>6876653</v>
      </c>
      <c r="E4675">
        <f>VLOOKUP(C4675,'All Districts'!$B$3:$C$874,2,FALSE)</f>
        <v>3621270</v>
      </c>
      <c r="F4675" s="91">
        <f>COUNTIF($E$2:$E$7106,E4675)</f>
        <v>9</v>
      </c>
    </row>
    <row r="4676" spans="1:6" x14ac:dyDescent="0.2">
      <c r="A4676">
        <v>2023</v>
      </c>
      <c r="B4676" s="36">
        <v>2415</v>
      </c>
      <c r="C4676" s="90" t="str">
        <f>VLOOKUP(B4676,'All Districts'!$A$3:$B$874,2,FALSE)</f>
        <v>Northport-East Northport</v>
      </c>
      <c r="D4676" s="40">
        <v>7446603</v>
      </c>
      <c r="E4676">
        <f>VLOOKUP(C4676,'All Districts'!$B$3:$C$874,2,FALSE)</f>
        <v>3621270</v>
      </c>
      <c r="F4676" s="91">
        <f>COUNTIF($E$2:$E$7106,E4676)</f>
        <v>9</v>
      </c>
    </row>
    <row r="4677" spans="1:6" x14ac:dyDescent="0.2">
      <c r="A4677">
        <v>2015</v>
      </c>
      <c r="B4677" s="13">
        <v>4015</v>
      </c>
      <c r="C4677" s="90" t="str">
        <f>VLOOKUP(B4677,'All Districts'!$A$3:$B$874,2,FALSE)</f>
        <v>Northville</v>
      </c>
      <c r="D4677" s="14">
        <v>578319</v>
      </c>
      <c r="E4677">
        <f>VLOOKUP(C4677,'All Districts'!$B$3:$C$874,2,FALSE)</f>
        <v>3621300</v>
      </c>
      <c r="F4677" s="91">
        <f>COUNTIF($E$2:$E$7106,E4677)</f>
        <v>9</v>
      </c>
    </row>
    <row r="4678" spans="1:6" x14ac:dyDescent="0.2">
      <c r="A4678">
        <v>2016</v>
      </c>
      <c r="B4678" s="13">
        <v>4015</v>
      </c>
      <c r="C4678" s="90" t="str">
        <f>VLOOKUP(B4678,'All Districts'!$A$3:$B$874,2,FALSE)</f>
        <v>Northville</v>
      </c>
      <c r="D4678" s="16">
        <v>448002</v>
      </c>
      <c r="E4678">
        <f>VLOOKUP(C4678,'All Districts'!$B$3:$C$874,2,FALSE)</f>
        <v>3621300</v>
      </c>
      <c r="F4678" s="91">
        <f>COUNTIF($E$2:$E$7106,E4678)</f>
        <v>9</v>
      </c>
    </row>
    <row r="4679" spans="1:6" x14ac:dyDescent="0.2">
      <c r="A4679">
        <v>2017</v>
      </c>
      <c r="B4679" s="13">
        <v>4015</v>
      </c>
      <c r="C4679" s="90" t="str">
        <f>VLOOKUP(B4679,'All Districts'!$A$3:$B$874,2,FALSE)</f>
        <v>Northville</v>
      </c>
      <c r="D4679" s="16">
        <v>400846</v>
      </c>
      <c r="E4679">
        <f>VLOOKUP(C4679,'All Districts'!$B$3:$C$874,2,FALSE)</f>
        <v>3621300</v>
      </c>
      <c r="F4679" s="91">
        <f>COUNTIF($E$2:$E$7106,E4679)</f>
        <v>9</v>
      </c>
    </row>
    <row r="4680" spans="1:6" x14ac:dyDescent="0.2">
      <c r="A4680" s="10">
        <v>2018</v>
      </c>
      <c r="B4680" s="13">
        <v>4015</v>
      </c>
      <c r="C4680" s="90" t="str">
        <f>VLOOKUP(B4680,'All Districts'!$A$3:$B$874,2,FALSE)</f>
        <v>Northville</v>
      </c>
      <c r="D4680" s="15">
        <v>355521</v>
      </c>
      <c r="E4680">
        <f>VLOOKUP(C4680,'All Districts'!$B$3:$C$874,2,FALSE)</f>
        <v>3621300</v>
      </c>
      <c r="F4680" s="91">
        <f>COUNTIF($E$2:$E$7106,E4680)</f>
        <v>9</v>
      </c>
    </row>
    <row r="4681" spans="1:6" x14ac:dyDescent="0.2">
      <c r="A4681">
        <v>2019</v>
      </c>
      <c r="B4681" s="36">
        <v>4015</v>
      </c>
      <c r="C4681" s="90" t="str">
        <f>VLOOKUP(B4681,'All Districts'!$A$3:$B$874,2,FALSE)</f>
        <v>Northville</v>
      </c>
      <c r="D4681" s="40">
        <v>385074</v>
      </c>
      <c r="E4681">
        <f>VLOOKUP(C4681,'All Districts'!$B$3:$C$874,2,FALSE)</f>
        <v>3621300</v>
      </c>
      <c r="F4681" s="91">
        <f>COUNTIF($E$2:$E$7106,E4681)</f>
        <v>9</v>
      </c>
    </row>
    <row r="4682" spans="1:6" x14ac:dyDescent="0.2">
      <c r="A4682">
        <v>2020</v>
      </c>
      <c r="B4682" s="36">
        <v>4015</v>
      </c>
      <c r="C4682" s="90" t="str">
        <f>VLOOKUP(B4682,'All Districts'!$A$3:$B$874,2,FALSE)</f>
        <v>Northville</v>
      </c>
      <c r="D4682" s="40">
        <v>309534</v>
      </c>
      <c r="E4682">
        <f>VLOOKUP(C4682,'All Districts'!$B$3:$C$874,2,FALSE)</f>
        <v>3621300</v>
      </c>
      <c r="F4682" s="91">
        <f>COUNTIF($E$2:$E$7106,E4682)</f>
        <v>9</v>
      </c>
    </row>
    <row r="4683" spans="1:6" x14ac:dyDescent="0.2">
      <c r="A4683" s="10">
        <v>2021</v>
      </c>
      <c r="B4683" s="52">
        <v>4015</v>
      </c>
      <c r="C4683" s="90" t="str">
        <f>VLOOKUP(B4683,'All Districts'!$A$3:$B$874,2,FALSE)</f>
        <v>Northville</v>
      </c>
      <c r="D4683" s="75">
        <v>336260</v>
      </c>
      <c r="E4683">
        <f>VLOOKUP(C4683,'All Districts'!$B$3:$C$874,2,FALSE)</f>
        <v>3621300</v>
      </c>
      <c r="F4683" s="91">
        <f>COUNTIF($E$2:$E$7106,E4683)</f>
        <v>9</v>
      </c>
    </row>
    <row r="4684" spans="1:6" x14ac:dyDescent="0.2">
      <c r="A4684">
        <v>2022</v>
      </c>
      <c r="B4684" s="36">
        <v>4015</v>
      </c>
      <c r="C4684" s="90" t="str">
        <f>VLOOKUP(B4684,'All Districts'!$A$3:$B$874,2,FALSE)</f>
        <v>Northville</v>
      </c>
      <c r="D4684" s="82">
        <v>399170</v>
      </c>
      <c r="E4684">
        <f>VLOOKUP(C4684,'All Districts'!$B$3:$C$874,2,FALSE)</f>
        <v>3621300</v>
      </c>
      <c r="F4684" s="91">
        <f>COUNTIF($E$2:$E$7106,E4684)</f>
        <v>9</v>
      </c>
    </row>
    <row r="4685" spans="1:6" x14ac:dyDescent="0.2">
      <c r="A4685">
        <v>2023</v>
      </c>
      <c r="B4685" s="36">
        <v>4015</v>
      </c>
      <c r="C4685" s="90" t="str">
        <f>VLOOKUP(B4685,'All Districts'!$A$3:$B$874,2,FALSE)</f>
        <v>Northville</v>
      </c>
      <c r="D4685" s="40">
        <v>454630</v>
      </c>
      <c r="E4685">
        <f>VLOOKUP(C4685,'All Districts'!$B$3:$C$874,2,FALSE)</f>
        <v>3621300</v>
      </c>
      <c r="F4685" s="91">
        <f>COUNTIF($E$2:$E$7106,E4685)</f>
        <v>9</v>
      </c>
    </row>
    <row r="4686" spans="1:6" x14ac:dyDescent="0.2">
      <c r="A4686">
        <v>2015</v>
      </c>
      <c r="B4686" s="13">
        <v>1180</v>
      </c>
      <c r="C4686" s="90" t="str">
        <f>VLOOKUP(B4686,'All Districts'!$A$3:$B$874,2,FALSE)</f>
        <v>Norwich</v>
      </c>
      <c r="D4686" s="14">
        <v>2160023</v>
      </c>
      <c r="E4686">
        <f>VLOOKUP(C4686,'All Districts'!$B$3:$C$874,2,FALSE)</f>
        <v>3621330</v>
      </c>
      <c r="F4686" s="91">
        <f>COUNTIF($E$2:$E$7106,E4686)</f>
        <v>9</v>
      </c>
    </row>
    <row r="4687" spans="1:6" x14ac:dyDescent="0.2">
      <c r="A4687">
        <v>2016</v>
      </c>
      <c r="B4687" s="13">
        <v>1180</v>
      </c>
      <c r="C4687" s="90" t="str">
        <f>VLOOKUP(B4687,'All Districts'!$A$3:$B$874,2,FALSE)</f>
        <v>Norwich</v>
      </c>
      <c r="D4687" s="16">
        <v>1706956</v>
      </c>
      <c r="E4687">
        <f>VLOOKUP(C4687,'All Districts'!$B$3:$C$874,2,FALSE)</f>
        <v>3621330</v>
      </c>
      <c r="F4687" s="91">
        <f>COUNTIF($E$2:$E$7106,E4687)</f>
        <v>9</v>
      </c>
    </row>
    <row r="4688" spans="1:6" x14ac:dyDescent="0.2">
      <c r="A4688">
        <v>2017</v>
      </c>
      <c r="B4688" s="13">
        <v>1180</v>
      </c>
      <c r="C4688" s="90" t="str">
        <f>VLOOKUP(B4688,'All Districts'!$A$3:$B$874,2,FALSE)</f>
        <v>Norwich</v>
      </c>
      <c r="D4688" s="16">
        <v>1531422</v>
      </c>
      <c r="E4688">
        <f>VLOOKUP(C4688,'All Districts'!$B$3:$C$874,2,FALSE)</f>
        <v>3621330</v>
      </c>
      <c r="F4688" s="91">
        <f>COUNTIF($E$2:$E$7106,E4688)</f>
        <v>9</v>
      </c>
    </row>
    <row r="4689" spans="1:6" x14ac:dyDescent="0.2">
      <c r="A4689" s="10">
        <v>2018</v>
      </c>
      <c r="B4689" s="13">
        <v>1180</v>
      </c>
      <c r="C4689" s="90" t="str">
        <f>VLOOKUP(B4689,'All Districts'!$A$3:$B$874,2,FALSE)</f>
        <v>Norwich</v>
      </c>
      <c r="D4689" s="15">
        <v>1370302</v>
      </c>
      <c r="E4689">
        <f>VLOOKUP(C4689,'All Districts'!$B$3:$C$874,2,FALSE)</f>
        <v>3621330</v>
      </c>
      <c r="F4689" s="91">
        <f>COUNTIF($E$2:$E$7106,E4689)</f>
        <v>9</v>
      </c>
    </row>
    <row r="4690" spans="1:6" x14ac:dyDescent="0.2">
      <c r="A4690">
        <v>2019</v>
      </c>
      <c r="B4690" s="36">
        <v>1180</v>
      </c>
      <c r="C4690" s="90" t="str">
        <f>VLOOKUP(B4690,'All Districts'!$A$3:$B$874,2,FALSE)</f>
        <v>Norwich</v>
      </c>
      <c r="D4690" s="40">
        <v>1429007</v>
      </c>
      <c r="E4690">
        <f>VLOOKUP(C4690,'All Districts'!$B$3:$C$874,2,FALSE)</f>
        <v>3621330</v>
      </c>
      <c r="F4690" s="91">
        <f>COUNTIF($E$2:$E$7106,E4690)</f>
        <v>9</v>
      </c>
    </row>
    <row r="4691" spans="1:6" x14ac:dyDescent="0.2">
      <c r="A4691">
        <v>2020</v>
      </c>
      <c r="B4691" s="36">
        <v>1180</v>
      </c>
      <c r="C4691" s="90" t="str">
        <f>VLOOKUP(B4691,'All Districts'!$A$3:$B$874,2,FALSE)</f>
        <v>Norwich</v>
      </c>
      <c r="D4691" s="40">
        <v>1032826</v>
      </c>
      <c r="E4691">
        <f>VLOOKUP(C4691,'All Districts'!$B$3:$C$874,2,FALSE)</f>
        <v>3621330</v>
      </c>
      <c r="F4691" s="91">
        <f>COUNTIF($E$2:$E$7106,E4691)</f>
        <v>9</v>
      </c>
    </row>
    <row r="4692" spans="1:6" x14ac:dyDescent="0.2">
      <c r="A4692" s="10">
        <v>2021</v>
      </c>
      <c r="B4692" s="52">
        <v>1180</v>
      </c>
      <c r="C4692" s="90" t="str">
        <f>VLOOKUP(B4692,'All Districts'!$A$3:$B$874,2,FALSE)</f>
        <v>Norwich</v>
      </c>
      <c r="D4692" s="76">
        <v>1054253</v>
      </c>
      <c r="E4692">
        <f>VLOOKUP(C4692,'All Districts'!$B$3:$C$874,2,FALSE)</f>
        <v>3621330</v>
      </c>
      <c r="F4692" s="91">
        <f>COUNTIF($E$2:$E$7106,E4692)</f>
        <v>9</v>
      </c>
    </row>
    <row r="4693" spans="1:6" x14ac:dyDescent="0.2">
      <c r="A4693">
        <v>2022</v>
      </c>
      <c r="B4693" s="36">
        <v>1180</v>
      </c>
      <c r="C4693" s="90" t="str">
        <f>VLOOKUP(B4693,'All Districts'!$A$3:$B$874,2,FALSE)</f>
        <v>Norwich</v>
      </c>
      <c r="D4693" s="82">
        <v>1294476</v>
      </c>
      <c r="E4693">
        <f>VLOOKUP(C4693,'All Districts'!$B$3:$C$874,2,FALSE)</f>
        <v>3621330</v>
      </c>
      <c r="F4693" s="91">
        <f>COUNTIF($E$2:$E$7106,E4693)</f>
        <v>9</v>
      </c>
    </row>
    <row r="4694" spans="1:6" x14ac:dyDescent="0.2">
      <c r="A4694">
        <v>2023</v>
      </c>
      <c r="B4694" s="36">
        <v>1180</v>
      </c>
      <c r="C4694" s="90" t="str">
        <f>VLOOKUP(B4694,'All Districts'!$A$3:$B$874,2,FALSE)</f>
        <v>Norwich</v>
      </c>
      <c r="D4694" s="40">
        <v>1437447</v>
      </c>
      <c r="E4694">
        <f>VLOOKUP(C4694,'All Districts'!$B$3:$C$874,2,FALSE)</f>
        <v>3621330</v>
      </c>
      <c r="F4694" s="91">
        <f>COUNTIF($E$2:$E$7106,E4694)</f>
        <v>9</v>
      </c>
    </row>
    <row r="4695" spans="1:6" x14ac:dyDescent="0.2">
      <c r="A4695">
        <v>2015</v>
      </c>
      <c r="B4695" s="13">
        <v>5027</v>
      </c>
      <c r="C4695" s="90" t="str">
        <f>VLOOKUP(B4695,'All Districts'!$A$3:$B$874,2,FALSE)</f>
        <v>Norwood-Norfolk</v>
      </c>
      <c r="D4695" s="14">
        <v>1015979</v>
      </c>
      <c r="E4695">
        <f>VLOOKUP(C4695,'All Districts'!$B$3:$C$874,2,FALSE)</f>
        <v>3621360</v>
      </c>
      <c r="F4695" s="91">
        <f>COUNTIF($E$2:$E$7106,E4695)</f>
        <v>9</v>
      </c>
    </row>
    <row r="4696" spans="1:6" x14ac:dyDescent="0.2">
      <c r="A4696">
        <v>2016</v>
      </c>
      <c r="B4696" s="13">
        <v>5027</v>
      </c>
      <c r="C4696" s="90" t="str">
        <f>VLOOKUP(B4696,'All Districts'!$A$3:$B$874,2,FALSE)</f>
        <v>Norwood-Norfolk</v>
      </c>
      <c r="D4696" s="16">
        <v>902245</v>
      </c>
      <c r="E4696">
        <f>VLOOKUP(C4696,'All Districts'!$B$3:$C$874,2,FALSE)</f>
        <v>3621360</v>
      </c>
      <c r="F4696" s="91">
        <f>COUNTIF($E$2:$E$7106,E4696)</f>
        <v>9</v>
      </c>
    </row>
    <row r="4697" spans="1:6" x14ac:dyDescent="0.2">
      <c r="A4697">
        <v>2017</v>
      </c>
      <c r="B4697" s="13">
        <v>5027</v>
      </c>
      <c r="C4697" s="90" t="str">
        <f>VLOOKUP(B4697,'All Districts'!$A$3:$B$874,2,FALSE)</f>
        <v>Norwood-Norfolk</v>
      </c>
      <c r="D4697" s="16">
        <v>731763</v>
      </c>
      <c r="E4697">
        <f>VLOOKUP(C4697,'All Districts'!$B$3:$C$874,2,FALSE)</f>
        <v>3621360</v>
      </c>
      <c r="F4697" s="91">
        <f>COUNTIF($E$2:$E$7106,E4697)</f>
        <v>9</v>
      </c>
    </row>
    <row r="4698" spans="1:6" x14ac:dyDescent="0.2">
      <c r="A4698" s="10">
        <v>2018</v>
      </c>
      <c r="B4698" s="13">
        <v>5027</v>
      </c>
      <c r="C4698" s="90" t="str">
        <f>VLOOKUP(B4698,'All Districts'!$A$3:$B$874,2,FALSE)</f>
        <v>Norwood-Norfolk</v>
      </c>
      <c r="D4698" s="15">
        <v>625438</v>
      </c>
      <c r="E4698">
        <f>VLOOKUP(C4698,'All Districts'!$B$3:$C$874,2,FALSE)</f>
        <v>3621360</v>
      </c>
      <c r="F4698" s="91">
        <f>COUNTIF($E$2:$E$7106,E4698)</f>
        <v>9</v>
      </c>
    </row>
    <row r="4699" spans="1:6" x14ac:dyDescent="0.2">
      <c r="A4699">
        <v>2019</v>
      </c>
      <c r="B4699" s="36">
        <v>5027</v>
      </c>
      <c r="C4699" s="90" t="str">
        <f>VLOOKUP(B4699,'All Districts'!$A$3:$B$874,2,FALSE)</f>
        <v>Norwood-Norfolk</v>
      </c>
      <c r="D4699" s="40">
        <v>667054</v>
      </c>
      <c r="E4699">
        <f>VLOOKUP(C4699,'All Districts'!$B$3:$C$874,2,FALSE)</f>
        <v>3621360</v>
      </c>
      <c r="F4699" s="91">
        <f>COUNTIF($E$2:$E$7106,E4699)</f>
        <v>9</v>
      </c>
    </row>
    <row r="4700" spans="1:6" x14ac:dyDescent="0.2">
      <c r="A4700">
        <v>2020</v>
      </c>
      <c r="B4700" s="36">
        <v>5027</v>
      </c>
      <c r="C4700" s="90" t="str">
        <f>VLOOKUP(B4700,'All Districts'!$A$3:$B$874,2,FALSE)</f>
        <v>Norwood-Norfolk</v>
      </c>
      <c r="D4700" s="40">
        <v>569282</v>
      </c>
      <c r="E4700">
        <f>VLOOKUP(C4700,'All Districts'!$B$3:$C$874,2,FALSE)</f>
        <v>3621360</v>
      </c>
      <c r="F4700" s="91">
        <f>COUNTIF($E$2:$E$7106,E4700)</f>
        <v>9</v>
      </c>
    </row>
    <row r="4701" spans="1:6" x14ac:dyDescent="0.2">
      <c r="A4701" s="10">
        <v>2021</v>
      </c>
      <c r="B4701" s="52">
        <v>5027</v>
      </c>
      <c r="C4701" s="90" t="str">
        <f>VLOOKUP(B4701,'All Districts'!$A$3:$B$874,2,FALSE)</f>
        <v>Norwood-Norfolk</v>
      </c>
      <c r="D4701" s="76">
        <v>576413</v>
      </c>
      <c r="E4701">
        <f>VLOOKUP(C4701,'All Districts'!$B$3:$C$874,2,FALSE)</f>
        <v>3621360</v>
      </c>
      <c r="F4701" s="91">
        <f>COUNTIF($E$2:$E$7106,E4701)</f>
        <v>9</v>
      </c>
    </row>
    <row r="4702" spans="1:6" x14ac:dyDescent="0.2">
      <c r="A4702">
        <v>2022</v>
      </c>
      <c r="B4702" s="36">
        <v>5027</v>
      </c>
      <c r="C4702" s="90" t="str">
        <f>VLOOKUP(B4702,'All Districts'!$A$3:$B$874,2,FALSE)</f>
        <v>Norwood-Norfolk</v>
      </c>
      <c r="D4702" s="82">
        <v>645555</v>
      </c>
      <c r="E4702">
        <f>VLOOKUP(C4702,'All Districts'!$B$3:$C$874,2,FALSE)</f>
        <v>3621360</v>
      </c>
      <c r="F4702" s="91">
        <f>COUNTIF($E$2:$E$7106,E4702)</f>
        <v>9</v>
      </c>
    </row>
    <row r="4703" spans="1:6" x14ac:dyDescent="0.2">
      <c r="A4703">
        <v>2023</v>
      </c>
      <c r="B4703" s="36">
        <v>5027</v>
      </c>
      <c r="C4703" s="90" t="str">
        <f>VLOOKUP(B4703,'All Districts'!$A$3:$B$874,2,FALSE)</f>
        <v>Norwood-Norfolk</v>
      </c>
      <c r="D4703" s="40">
        <v>701431</v>
      </c>
      <c r="E4703">
        <f>VLOOKUP(C4703,'All Districts'!$B$3:$C$874,2,FALSE)</f>
        <v>3621360</v>
      </c>
      <c r="F4703" s="91">
        <f>COUNTIF($E$2:$E$7106,E4703)</f>
        <v>9</v>
      </c>
    </row>
    <row r="4704" spans="1:6" x14ac:dyDescent="0.2">
      <c r="A4704">
        <v>2015</v>
      </c>
      <c r="B4704" s="13">
        <v>2420</v>
      </c>
      <c r="C4704" s="90" t="str">
        <f>VLOOKUP(B4704,'All Districts'!$A$3:$B$874,2,FALSE)</f>
        <v>Nyack</v>
      </c>
      <c r="D4704" s="14">
        <v>5535730</v>
      </c>
      <c r="E4704">
        <f>VLOOKUP(C4704,'All Districts'!$B$3:$C$874,2,FALSE)</f>
        <v>3621480</v>
      </c>
      <c r="F4704" s="91">
        <f>COUNTIF($E$2:$E$7106,E4704)</f>
        <v>9</v>
      </c>
    </row>
    <row r="4705" spans="1:6" x14ac:dyDescent="0.2">
      <c r="A4705">
        <v>2016</v>
      </c>
      <c r="B4705" s="13">
        <v>2420</v>
      </c>
      <c r="C4705" s="90" t="str">
        <f>VLOOKUP(B4705,'All Districts'!$A$3:$B$874,2,FALSE)</f>
        <v>Nyack</v>
      </c>
      <c r="D4705" s="16">
        <v>4315080</v>
      </c>
      <c r="E4705">
        <f>VLOOKUP(C4705,'All Districts'!$B$3:$C$874,2,FALSE)</f>
        <v>3621480</v>
      </c>
      <c r="F4705" s="91">
        <f>COUNTIF($E$2:$E$7106,E4705)</f>
        <v>9</v>
      </c>
    </row>
    <row r="4706" spans="1:6" x14ac:dyDescent="0.2">
      <c r="A4706">
        <v>2017</v>
      </c>
      <c r="B4706" s="13">
        <v>2420</v>
      </c>
      <c r="C4706" s="90" t="str">
        <f>VLOOKUP(B4706,'All Districts'!$A$3:$B$874,2,FALSE)</f>
        <v>Nyack</v>
      </c>
      <c r="D4706" s="16">
        <v>3973927</v>
      </c>
      <c r="E4706">
        <f>VLOOKUP(C4706,'All Districts'!$B$3:$C$874,2,FALSE)</f>
        <v>3621480</v>
      </c>
      <c r="F4706" s="91">
        <f>COUNTIF($E$2:$E$7106,E4706)</f>
        <v>9</v>
      </c>
    </row>
    <row r="4707" spans="1:6" x14ac:dyDescent="0.2">
      <c r="A4707" s="10">
        <v>2018</v>
      </c>
      <c r="B4707" s="13">
        <v>2420</v>
      </c>
      <c r="C4707" s="90" t="str">
        <f>VLOOKUP(B4707,'All Districts'!$A$3:$B$874,2,FALSE)</f>
        <v>Nyack</v>
      </c>
      <c r="D4707" s="15">
        <v>3435084</v>
      </c>
      <c r="E4707">
        <f>VLOOKUP(C4707,'All Districts'!$B$3:$C$874,2,FALSE)</f>
        <v>3621480</v>
      </c>
      <c r="F4707" s="91">
        <f>COUNTIF($E$2:$E$7106,E4707)</f>
        <v>9</v>
      </c>
    </row>
    <row r="4708" spans="1:6" x14ac:dyDescent="0.2">
      <c r="A4708">
        <v>2019</v>
      </c>
      <c r="B4708" s="36">
        <v>2420</v>
      </c>
      <c r="C4708" s="90" t="str">
        <f>VLOOKUP(B4708,'All Districts'!$A$3:$B$874,2,FALSE)</f>
        <v>Nyack</v>
      </c>
      <c r="D4708" s="40">
        <v>3779637</v>
      </c>
      <c r="E4708">
        <f>VLOOKUP(C4708,'All Districts'!$B$3:$C$874,2,FALSE)</f>
        <v>3621480</v>
      </c>
      <c r="F4708" s="91">
        <f>COUNTIF($E$2:$E$7106,E4708)</f>
        <v>9</v>
      </c>
    </row>
    <row r="4709" spans="1:6" x14ac:dyDescent="0.2">
      <c r="A4709">
        <v>2020</v>
      </c>
      <c r="B4709" s="36">
        <v>2420</v>
      </c>
      <c r="C4709" s="90" t="str">
        <f>VLOOKUP(B4709,'All Districts'!$A$3:$B$874,2,FALSE)</f>
        <v>Nyack</v>
      </c>
      <c r="D4709" s="40">
        <v>3237151</v>
      </c>
      <c r="E4709">
        <f>VLOOKUP(C4709,'All Districts'!$B$3:$C$874,2,FALSE)</f>
        <v>3621480</v>
      </c>
      <c r="F4709" s="91">
        <f>COUNTIF($E$2:$E$7106,E4709)</f>
        <v>9</v>
      </c>
    </row>
    <row r="4710" spans="1:6" x14ac:dyDescent="0.2">
      <c r="A4710" s="10">
        <v>2021</v>
      </c>
      <c r="B4710" s="55">
        <v>2420</v>
      </c>
      <c r="C4710" s="90" t="str">
        <f>VLOOKUP(B4710,'All Districts'!$A$3:$B$874,2,FALSE)</f>
        <v>Nyack</v>
      </c>
      <c r="D4710" s="76">
        <v>3537916</v>
      </c>
      <c r="E4710">
        <f>VLOOKUP(C4710,'All Districts'!$B$3:$C$874,2,FALSE)</f>
        <v>3621480</v>
      </c>
      <c r="F4710" s="91">
        <f>COUNTIF($E$2:$E$7106,E4710)</f>
        <v>9</v>
      </c>
    </row>
    <row r="4711" spans="1:6" x14ac:dyDescent="0.2">
      <c r="A4711">
        <v>2022</v>
      </c>
      <c r="B4711" s="36">
        <v>2420</v>
      </c>
      <c r="C4711" s="90" t="str">
        <f>VLOOKUP(B4711,'All Districts'!$A$3:$B$874,2,FALSE)</f>
        <v>Nyack</v>
      </c>
      <c r="D4711" s="82">
        <v>3790041</v>
      </c>
      <c r="E4711">
        <f>VLOOKUP(C4711,'All Districts'!$B$3:$C$874,2,FALSE)</f>
        <v>3621480</v>
      </c>
      <c r="F4711" s="91">
        <f>COUNTIF($E$2:$E$7106,E4711)</f>
        <v>9</v>
      </c>
    </row>
    <row r="4712" spans="1:6" x14ac:dyDescent="0.2">
      <c r="A4712">
        <v>2023</v>
      </c>
      <c r="B4712" s="36">
        <v>2420</v>
      </c>
      <c r="C4712" s="90" t="str">
        <f>VLOOKUP(B4712,'All Districts'!$A$3:$B$874,2,FALSE)</f>
        <v>Nyack</v>
      </c>
      <c r="D4712" s="40">
        <v>4021793</v>
      </c>
      <c r="E4712">
        <f>VLOOKUP(C4712,'All Districts'!$B$3:$C$874,2,FALSE)</f>
        <v>3621480</v>
      </c>
      <c r="F4712" s="91">
        <f>COUNTIF($E$2:$E$7106,E4712)</f>
        <v>9</v>
      </c>
    </row>
    <row r="4713" spans="1:6" x14ac:dyDescent="0.2">
      <c r="A4713">
        <v>2015</v>
      </c>
      <c r="B4713" s="13">
        <v>3929</v>
      </c>
      <c r="C4713" s="90" t="str">
        <f>VLOOKUP(B4713,'All Districts'!$A$3:$B$874,2,FALSE)</f>
        <v>Oakfield-Alabama</v>
      </c>
      <c r="D4713" s="14">
        <v>1073274</v>
      </c>
      <c r="E4713">
        <f>VLOOKUP(C4713,'All Districts'!$B$3:$C$874,2,FALSE)</f>
        <v>3621510</v>
      </c>
      <c r="F4713" s="91">
        <f>COUNTIF($E$2:$E$7106,E4713)</f>
        <v>9</v>
      </c>
    </row>
    <row r="4714" spans="1:6" x14ac:dyDescent="0.2">
      <c r="A4714">
        <v>2016</v>
      </c>
      <c r="B4714" s="13">
        <v>3929</v>
      </c>
      <c r="C4714" s="90" t="str">
        <f>VLOOKUP(B4714,'All Districts'!$A$3:$B$874,2,FALSE)</f>
        <v>Oakfield-Alabama</v>
      </c>
      <c r="D4714" s="16">
        <v>836424</v>
      </c>
      <c r="E4714">
        <f>VLOOKUP(C4714,'All Districts'!$B$3:$C$874,2,FALSE)</f>
        <v>3621510</v>
      </c>
      <c r="F4714" s="91">
        <f>COUNTIF($E$2:$E$7106,E4714)</f>
        <v>9</v>
      </c>
    </row>
    <row r="4715" spans="1:6" x14ac:dyDescent="0.2">
      <c r="A4715">
        <v>2017</v>
      </c>
      <c r="B4715" s="13">
        <v>3929</v>
      </c>
      <c r="C4715" s="90" t="str">
        <f>VLOOKUP(B4715,'All Districts'!$A$3:$B$874,2,FALSE)</f>
        <v>Oakfield-Alabama</v>
      </c>
      <c r="D4715" s="16">
        <v>793391</v>
      </c>
      <c r="E4715">
        <f>VLOOKUP(C4715,'All Districts'!$B$3:$C$874,2,FALSE)</f>
        <v>3621510</v>
      </c>
      <c r="F4715" s="91">
        <f>COUNTIF($E$2:$E$7106,E4715)</f>
        <v>9</v>
      </c>
    </row>
    <row r="4716" spans="1:6" x14ac:dyDescent="0.2">
      <c r="A4716" s="10">
        <v>2018</v>
      </c>
      <c r="B4716" s="13">
        <v>3929</v>
      </c>
      <c r="C4716" s="90" t="str">
        <f>VLOOKUP(B4716,'All Districts'!$A$3:$B$874,2,FALSE)</f>
        <v>Oakfield-Alabama</v>
      </c>
      <c r="D4716" s="15">
        <v>680280</v>
      </c>
      <c r="E4716">
        <f>VLOOKUP(C4716,'All Districts'!$B$3:$C$874,2,FALSE)</f>
        <v>3621510</v>
      </c>
      <c r="F4716" s="91">
        <f>COUNTIF($E$2:$E$7106,E4716)</f>
        <v>9</v>
      </c>
    </row>
    <row r="4717" spans="1:6" x14ac:dyDescent="0.2">
      <c r="A4717">
        <v>2019</v>
      </c>
      <c r="B4717" s="36">
        <v>3929</v>
      </c>
      <c r="C4717" s="90" t="str">
        <f>VLOOKUP(B4717,'All Districts'!$A$3:$B$874,2,FALSE)</f>
        <v>Oakfield-Alabama</v>
      </c>
      <c r="D4717" s="40">
        <v>711376</v>
      </c>
      <c r="E4717">
        <f>VLOOKUP(C4717,'All Districts'!$B$3:$C$874,2,FALSE)</f>
        <v>3621510</v>
      </c>
      <c r="F4717" s="91">
        <f>COUNTIF($E$2:$E$7106,E4717)</f>
        <v>9</v>
      </c>
    </row>
    <row r="4718" spans="1:6" x14ac:dyDescent="0.2">
      <c r="A4718">
        <v>2020</v>
      </c>
      <c r="B4718" s="36">
        <v>3929</v>
      </c>
      <c r="C4718" s="90" t="str">
        <f>VLOOKUP(B4718,'All Districts'!$A$3:$B$874,2,FALSE)</f>
        <v>Oakfield-Alabama</v>
      </c>
      <c r="D4718" s="40">
        <v>589523</v>
      </c>
      <c r="E4718">
        <f>VLOOKUP(C4718,'All Districts'!$B$3:$C$874,2,FALSE)</f>
        <v>3621510</v>
      </c>
      <c r="F4718" s="91">
        <f>COUNTIF($E$2:$E$7106,E4718)</f>
        <v>9</v>
      </c>
    </row>
    <row r="4719" spans="1:6" x14ac:dyDescent="0.2">
      <c r="A4719" s="10">
        <v>2021</v>
      </c>
      <c r="B4719" s="55">
        <v>3929</v>
      </c>
      <c r="C4719" s="90" t="str">
        <f>VLOOKUP(B4719,'All Districts'!$A$3:$B$874,2,FALSE)</f>
        <v>Oakfield-Alabama</v>
      </c>
      <c r="D4719" s="76">
        <v>634685</v>
      </c>
      <c r="E4719">
        <f>VLOOKUP(C4719,'All Districts'!$B$3:$C$874,2,FALSE)</f>
        <v>3621510</v>
      </c>
      <c r="F4719" s="91">
        <f>COUNTIF($E$2:$E$7106,E4719)</f>
        <v>9</v>
      </c>
    </row>
    <row r="4720" spans="1:6" x14ac:dyDescent="0.2">
      <c r="A4720">
        <v>2022</v>
      </c>
      <c r="B4720" s="36">
        <v>3929</v>
      </c>
      <c r="C4720" s="90" t="str">
        <f>VLOOKUP(B4720,'All Districts'!$A$3:$B$874,2,FALSE)</f>
        <v>Oakfield-Alabama</v>
      </c>
      <c r="D4720" s="82">
        <v>699383</v>
      </c>
      <c r="E4720">
        <f>VLOOKUP(C4720,'All Districts'!$B$3:$C$874,2,FALSE)</f>
        <v>3621510</v>
      </c>
      <c r="F4720" s="91">
        <f>COUNTIF($E$2:$E$7106,E4720)</f>
        <v>9</v>
      </c>
    </row>
    <row r="4721" spans="1:6" x14ac:dyDescent="0.2">
      <c r="A4721">
        <v>2023</v>
      </c>
      <c r="B4721" s="36">
        <v>3929</v>
      </c>
      <c r="C4721" s="90" t="str">
        <f>VLOOKUP(B4721,'All Districts'!$A$3:$B$874,2,FALSE)</f>
        <v>Oakfield-Alabama</v>
      </c>
      <c r="D4721" s="40">
        <v>787359</v>
      </c>
      <c r="E4721">
        <f>VLOOKUP(C4721,'All Districts'!$B$3:$C$874,2,FALSE)</f>
        <v>3621510</v>
      </c>
      <c r="F4721" s="91">
        <f>COUNTIF($E$2:$E$7106,E4721)</f>
        <v>9</v>
      </c>
    </row>
    <row r="4722" spans="1:6" x14ac:dyDescent="0.2">
      <c r="A4722">
        <v>2015</v>
      </c>
      <c r="B4722" s="13">
        <v>2425</v>
      </c>
      <c r="C4722" s="90" t="str">
        <f>VLOOKUP(B4722,'All Districts'!$A$3:$B$874,2,FALSE)</f>
        <v>Oceanside</v>
      </c>
      <c r="D4722" s="14">
        <v>11364165</v>
      </c>
      <c r="E4722">
        <f>VLOOKUP(C4722,'All Districts'!$B$3:$C$874,2,FALSE)</f>
        <v>3601032</v>
      </c>
      <c r="F4722" s="91">
        <f>COUNTIF($E$2:$E$7106,E4722)</f>
        <v>9</v>
      </c>
    </row>
    <row r="4723" spans="1:6" x14ac:dyDescent="0.2">
      <c r="A4723">
        <v>2016</v>
      </c>
      <c r="B4723" s="13">
        <v>2425</v>
      </c>
      <c r="C4723" s="90" t="str">
        <f>VLOOKUP(B4723,'All Districts'!$A$3:$B$874,2,FALSE)</f>
        <v>Oceanside</v>
      </c>
      <c r="D4723" s="16">
        <v>8500915</v>
      </c>
      <c r="E4723">
        <f>VLOOKUP(C4723,'All Districts'!$B$3:$C$874,2,FALSE)</f>
        <v>3601032</v>
      </c>
      <c r="F4723" s="91">
        <f>COUNTIF($E$2:$E$7106,E4723)</f>
        <v>9</v>
      </c>
    </row>
    <row r="4724" spans="1:6" x14ac:dyDescent="0.2">
      <c r="A4724">
        <v>2017</v>
      </c>
      <c r="B4724" s="13">
        <v>2425</v>
      </c>
      <c r="C4724" s="90" t="str">
        <f>VLOOKUP(B4724,'All Districts'!$A$3:$B$874,2,FALSE)</f>
        <v>Oceanside</v>
      </c>
      <c r="D4724" s="16">
        <v>7687504</v>
      </c>
      <c r="E4724">
        <f>VLOOKUP(C4724,'All Districts'!$B$3:$C$874,2,FALSE)</f>
        <v>3601032</v>
      </c>
      <c r="F4724" s="91">
        <f>COUNTIF($E$2:$E$7106,E4724)</f>
        <v>9</v>
      </c>
    </row>
    <row r="4725" spans="1:6" x14ac:dyDescent="0.2">
      <c r="A4725" s="10">
        <v>2018</v>
      </c>
      <c r="B4725" s="13">
        <v>2425</v>
      </c>
      <c r="C4725" s="90" t="str">
        <f>VLOOKUP(B4725,'All Districts'!$A$3:$B$874,2,FALSE)</f>
        <v>Oceanside</v>
      </c>
      <c r="D4725" s="15">
        <v>6363508</v>
      </c>
      <c r="E4725">
        <f>VLOOKUP(C4725,'All Districts'!$B$3:$C$874,2,FALSE)</f>
        <v>3601032</v>
      </c>
      <c r="F4725" s="91">
        <f>COUNTIF($E$2:$E$7106,E4725)</f>
        <v>9</v>
      </c>
    </row>
    <row r="4726" spans="1:6" x14ac:dyDescent="0.2">
      <c r="A4726">
        <v>2019</v>
      </c>
      <c r="B4726" s="36">
        <v>2425</v>
      </c>
      <c r="C4726" s="90" t="str">
        <f>VLOOKUP(B4726,'All Districts'!$A$3:$B$874,2,FALSE)</f>
        <v>Oceanside</v>
      </c>
      <c r="D4726" s="40">
        <v>6935938</v>
      </c>
      <c r="E4726">
        <f>VLOOKUP(C4726,'All Districts'!$B$3:$C$874,2,FALSE)</f>
        <v>3601032</v>
      </c>
      <c r="F4726" s="91">
        <f>COUNTIF($E$2:$E$7106,E4726)</f>
        <v>9</v>
      </c>
    </row>
    <row r="4727" spans="1:6" x14ac:dyDescent="0.2">
      <c r="A4727">
        <v>2020</v>
      </c>
      <c r="B4727" s="36">
        <v>2425</v>
      </c>
      <c r="C4727" s="90" t="str">
        <f>VLOOKUP(B4727,'All Districts'!$A$3:$B$874,2,FALSE)</f>
        <v>Oceanside</v>
      </c>
      <c r="D4727" s="40">
        <v>5896607</v>
      </c>
      <c r="E4727">
        <f>VLOOKUP(C4727,'All Districts'!$B$3:$C$874,2,FALSE)</f>
        <v>3601032</v>
      </c>
      <c r="F4727" s="91">
        <f>COUNTIF($E$2:$E$7106,E4727)</f>
        <v>9</v>
      </c>
    </row>
    <row r="4728" spans="1:6" x14ac:dyDescent="0.2">
      <c r="A4728" s="10">
        <v>2021</v>
      </c>
      <c r="B4728" s="52">
        <v>2425</v>
      </c>
      <c r="C4728" s="90" t="str">
        <f>VLOOKUP(B4728,'All Districts'!$A$3:$B$874,2,FALSE)</f>
        <v>Oceanside</v>
      </c>
      <c r="D4728" s="75">
        <v>6481991</v>
      </c>
      <c r="E4728">
        <f>VLOOKUP(C4728,'All Districts'!$B$3:$C$874,2,FALSE)</f>
        <v>3601032</v>
      </c>
      <c r="F4728" s="91">
        <f>COUNTIF($E$2:$E$7106,E4728)</f>
        <v>9</v>
      </c>
    </row>
    <row r="4729" spans="1:6" x14ac:dyDescent="0.2">
      <c r="A4729">
        <v>2022</v>
      </c>
      <c r="B4729" s="36">
        <v>2425</v>
      </c>
      <c r="C4729" s="90" t="str">
        <f>VLOOKUP(B4729,'All Districts'!$A$3:$B$874,2,FALSE)</f>
        <v>Oceanside</v>
      </c>
      <c r="D4729" s="82">
        <v>6609568</v>
      </c>
      <c r="E4729">
        <f>VLOOKUP(C4729,'All Districts'!$B$3:$C$874,2,FALSE)</f>
        <v>3601032</v>
      </c>
      <c r="F4729" s="91">
        <f>COUNTIF($E$2:$E$7106,E4729)</f>
        <v>9</v>
      </c>
    </row>
    <row r="4730" spans="1:6" x14ac:dyDescent="0.2">
      <c r="A4730">
        <v>2023</v>
      </c>
      <c r="B4730" s="36">
        <v>2425</v>
      </c>
      <c r="C4730" s="90" t="str">
        <f>VLOOKUP(B4730,'All Districts'!$A$3:$B$874,2,FALSE)</f>
        <v>Oceanside</v>
      </c>
      <c r="D4730" s="40">
        <v>7210679</v>
      </c>
      <c r="E4730">
        <f>VLOOKUP(C4730,'All Districts'!$B$3:$C$874,2,FALSE)</f>
        <v>3601032</v>
      </c>
      <c r="F4730" s="91">
        <f>COUNTIF($E$2:$E$7106,E4730)</f>
        <v>9</v>
      </c>
    </row>
    <row r="4731" spans="1:6" x14ac:dyDescent="0.2">
      <c r="A4731">
        <v>2015</v>
      </c>
      <c r="B4731" s="13">
        <v>5251</v>
      </c>
      <c r="C4731" s="90" t="str">
        <f>VLOOKUP(B4731,'All Districts'!$A$3:$B$874,2,FALSE)</f>
        <v>Odessa-Montour</v>
      </c>
      <c r="D4731" s="14">
        <v>767083</v>
      </c>
      <c r="E4731">
        <f>VLOOKUP(C4731,'All Districts'!$B$3:$C$874,2,FALSE)</f>
        <v>3621630</v>
      </c>
      <c r="F4731" s="91">
        <f>COUNTIF($E$2:$E$7106,E4731)</f>
        <v>9</v>
      </c>
    </row>
    <row r="4732" spans="1:6" x14ac:dyDescent="0.2">
      <c r="A4732">
        <v>2016</v>
      </c>
      <c r="B4732" s="13">
        <v>5251</v>
      </c>
      <c r="C4732" s="90" t="str">
        <f>VLOOKUP(B4732,'All Districts'!$A$3:$B$874,2,FALSE)</f>
        <v>Odessa-Montour</v>
      </c>
      <c r="D4732" s="16">
        <v>599753</v>
      </c>
      <c r="E4732">
        <f>VLOOKUP(C4732,'All Districts'!$B$3:$C$874,2,FALSE)</f>
        <v>3621630</v>
      </c>
      <c r="F4732" s="91">
        <f>COUNTIF($E$2:$E$7106,E4732)</f>
        <v>9</v>
      </c>
    </row>
    <row r="4733" spans="1:6" x14ac:dyDescent="0.2">
      <c r="A4733">
        <v>2017</v>
      </c>
      <c r="B4733" s="13">
        <v>5251</v>
      </c>
      <c r="C4733" s="90" t="str">
        <f>VLOOKUP(B4733,'All Districts'!$A$3:$B$874,2,FALSE)</f>
        <v>Odessa-Montour</v>
      </c>
      <c r="D4733" s="16">
        <v>567883</v>
      </c>
      <c r="E4733">
        <f>VLOOKUP(C4733,'All Districts'!$B$3:$C$874,2,FALSE)</f>
        <v>3621630</v>
      </c>
      <c r="F4733" s="91">
        <f>COUNTIF($E$2:$E$7106,E4733)</f>
        <v>9</v>
      </c>
    </row>
    <row r="4734" spans="1:6" x14ac:dyDescent="0.2">
      <c r="A4734" s="10">
        <v>2018</v>
      </c>
      <c r="B4734" s="13">
        <v>5251</v>
      </c>
      <c r="C4734" s="90" t="str">
        <f>VLOOKUP(B4734,'All Districts'!$A$3:$B$874,2,FALSE)</f>
        <v>Odessa-Montour</v>
      </c>
      <c r="D4734" s="15">
        <v>506552</v>
      </c>
      <c r="E4734">
        <f>VLOOKUP(C4734,'All Districts'!$B$3:$C$874,2,FALSE)</f>
        <v>3621630</v>
      </c>
      <c r="F4734" s="91">
        <f>COUNTIF($E$2:$E$7106,E4734)</f>
        <v>9</v>
      </c>
    </row>
    <row r="4735" spans="1:6" x14ac:dyDescent="0.2">
      <c r="A4735">
        <v>2019</v>
      </c>
      <c r="B4735" s="36">
        <v>5251</v>
      </c>
      <c r="C4735" s="90" t="str">
        <f>VLOOKUP(B4735,'All Districts'!$A$3:$B$874,2,FALSE)</f>
        <v>Odessa-Montour</v>
      </c>
      <c r="D4735" s="40">
        <v>569220</v>
      </c>
      <c r="E4735">
        <f>VLOOKUP(C4735,'All Districts'!$B$3:$C$874,2,FALSE)</f>
        <v>3621630</v>
      </c>
      <c r="F4735" s="91">
        <f>COUNTIF($E$2:$E$7106,E4735)</f>
        <v>9</v>
      </c>
    </row>
    <row r="4736" spans="1:6" x14ac:dyDescent="0.2">
      <c r="A4736">
        <v>2020</v>
      </c>
      <c r="B4736" s="36">
        <v>5251</v>
      </c>
      <c r="C4736" s="90" t="str">
        <f>VLOOKUP(B4736,'All Districts'!$A$3:$B$874,2,FALSE)</f>
        <v>Odessa-Montour</v>
      </c>
      <c r="D4736" s="40">
        <v>488516</v>
      </c>
      <c r="E4736">
        <f>VLOOKUP(C4736,'All Districts'!$B$3:$C$874,2,FALSE)</f>
        <v>3621630</v>
      </c>
      <c r="F4736" s="91">
        <f>COUNTIF($E$2:$E$7106,E4736)</f>
        <v>9</v>
      </c>
    </row>
    <row r="4737" spans="1:6" x14ac:dyDescent="0.2">
      <c r="A4737" s="10">
        <v>2021</v>
      </c>
      <c r="B4737" s="52">
        <v>5251</v>
      </c>
      <c r="C4737" s="90" t="str">
        <f>VLOOKUP(B4737,'All Districts'!$A$3:$B$874,2,FALSE)</f>
        <v>Odessa-Montour</v>
      </c>
      <c r="D4737" s="76">
        <v>503802</v>
      </c>
      <c r="E4737">
        <f>VLOOKUP(C4737,'All Districts'!$B$3:$C$874,2,FALSE)</f>
        <v>3621630</v>
      </c>
      <c r="F4737" s="91">
        <f>COUNTIF($E$2:$E$7106,E4737)</f>
        <v>9</v>
      </c>
    </row>
    <row r="4738" spans="1:6" x14ac:dyDescent="0.2">
      <c r="A4738">
        <v>2022</v>
      </c>
      <c r="B4738" s="36">
        <v>5251</v>
      </c>
      <c r="C4738" s="90" t="str">
        <f>VLOOKUP(B4738,'All Districts'!$A$3:$B$874,2,FALSE)</f>
        <v>Odessa-Montour</v>
      </c>
      <c r="D4738" s="82">
        <v>585521</v>
      </c>
      <c r="E4738">
        <f>VLOOKUP(C4738,'All Districts'!$B$3:$C$874,2,FALSE)</f>
        <v>3621630</v>
      </c>
      <c r="F4738" s="91">
        <f>COUNTIF($E$2:$E$7106,E4738)</f>
        <v>9</v>
      </c>
    </row>
    <row r="4739" spans="1:6" x14ac:dyDescent="0.2">
      <c r="A4739">
        <v>2023</v>
      </c>
      <c r="B4739" s="36">
        <v>5251</v>
      </c>
      <c r="C4739" s="90" t="str">
        <f>VLOOKUP(B4739,'All Districts'!$A$3:$B$874,2,FALSE)</f>
        <v>Odessa-Montour</v>
      </c>
      <c r="D4739" s="40">
        <v>624985</v>
      </c>
      <c r="E4739">
        <f>VLOOKUP(C4739,'All Districts'!$B$3:$C$874,2,FALSE)</f>
        <v>3621630</v>
      </c>
      <c r="F4739" s="91">
        <f>COUNTIF($E$2:$E$7106,E4739)</f>
        <v>9</v>
      </c>
    </row>
    <row r="4740" spans="1:6" x14ac:dyDescent="0.2">
      <c r="A4740">
        <v>2015</v>
      </c>
      <c r="B4740" s="13">
        <v>1185</v>
      </c>
      <c r="C4740" s="90" t="str">
        <f>VLOOKUP(B4740,'All Districts'!$A$3:$B$874,2,FALSE)</f>
        <v>Ogdensburg</v>
      </c>
      <c r="D4740" s="14">
        <v>2104991</v>
      </c>
      <c r="E4740">
        <f>VLOOKUP(C4740,'All Districts'!$B$3:$C$874,2,FALSE)</f>
        <v>3621660</v>
      </c>
      <c r="F4740" s="91">
        <f>COUNTIF($E$2:$E$7106,E4740)</f>
        <v>9</v>
      </c>
    </row>
    <row r="4741" spans="1:6" x14ac:dyDescent="0.2">
      <c r="A4741">
        <v>2016</v>
      </c>
      <c r="B4741" s="13">
        <v>1185</v>
      </c>
      <c r="C4741" s="90" t="str">
        <f>VLOOKUP(B4741,'All Districts'!$A$3:$B$874,2,FALSE)</f>
        <v>Ogdensburg</v>
      </c>
      <c r="D4741" s="16">
        <v>1624860</v>
      </c>
      <c r="E4741">
        <f>VLOOKUP(C4741,'All Districts'!$B$3:$C$874,2,FALSE)</f>
        <v>3621660</v>
      </c>
      <c r="F4741" s="91">
        <f>COUNTIF($E$2:$E$7106,E4741)</f>
        <v>9</v>
      </c>
    </row>
    <row r="4742" spans="1:6" x14ac:dyDescent="0.2">
      <c r="A4742">
        <v>2017</v>
      </c>
      <c r="B4742" s="13">
        <v>1185</v>
      </c>
      <c r="C4742" s="90" t="str">
        <f>VLOOKUP(B4742,'All Districts'!$A$3:$B$874,2,FALSE)</f>
        <v>Ogdensburg</v>
      </c>
      <c r="D4742" s="16">
        <v>1514850</v>
      </c>
      <c r="E4742">
        <f>VLOOKUP(C4742,'All Districts'!$B$3:$C$874,2,FALSE)</f>
        <v>3621660</v>
      </c>
      <c r="F4742" s="91">
        <f>COUNTIF($E$2:$E$7106,E4742)</f>
        <v>9</v>
      </c>
    </row>
    <row r="4743" spans="1:6" x14ac:dyDescent="0.2">
      <c r="A4743" s="10">
        <v>2018</v>
      </c>
      <c r="B4743" s="13">
        <v>1185</v>
      </c>
      <c r="C4743" s="90" t="str">
        <f>VLOOKUP(B4743,'All Districts'!$A$3:$B$874,2,FALSE)</f>
        <v>Ogdensburg</v>
      </c>
      <c r="D4743" s="15">
        <v>1212178</v>
      </c>
      <c r="E4743">
        <f>VLOOKUP(C4743,'All Districts'!$B$3:$C$874,2,FALSE)</f>
        <v>3621660</v>
      </c>
      <c r="F4743" s="91">
        <f>COUNTIF($E$2:$E$7106,E4743)</f>
        <v>9</v>
      </c>
    </row>
    <row r="4744" spans="1:6" x14ac:dyDescent="0.2">
      <c r="A4744">
        <v>2019</v>
      </c>
      <c r="B4744" s="36">
        <v>1185</v>
      </c>
      <c r="C4744" s="90" t="str">
        <f>VLOOKUP(B4744,'All Districts'!$A$3:$B$874,2,FALSE)</f>
        <v>Ogdensburg</v>
      </c>
      <c r="D4744" s="40">
        <v>1359950</v>
      </c>
      <c r="E4744">
        <f>VLOOKUP(C4744,'All Districts'!$B$3:$C$874,2,FALSE)</f>
        <v>3621660</v>
      </c>
      <c r="F4744" s="91">
        <f>COUNTIF($E$2:$E$7106,E4744)</f>
        <v>9</v>
      </c>
    </row>
    <row r="4745" spans="1:6" x14ac:dyDescent="0.2">
      <c r="A4745">
        <v>2020</v>
      </c>
      <c r="B4745" s="36">
        <v>1185</v>
      </c>
      <c r="C4745" s="90" t="str">
        <f>VLOOKUP(B4745,'All Districts'!$A$3:$B$874,2,FALSE)</f>
        <v>Ogdensburg</v>
      </c>
      <c r="D4745" s="40">
        <v>1099177</v>
      </c>
      <c r="E4745">
        <f>VLOOKUP(C4745,'All Districts'!$B$3:$C$874,2,FALSE)</f>
        <v>3621660</v>
      </c>
      <c r="F4745" s="91">
        <f>COUNTIF($E$2:$E$7106,E4745)</f>
        <v>9</v>
      </c>
    </row>
    <row r="4746" spans="1:6" x14ac:dyDescent="0.2">
      <c r="A4746" s="10">
        <v>2021</v>
      </c>
      <c r="B4746" s="52">
        <v>1185</v>
      </c>
      <c r="C4746" s="90" t="str">
        <f>VLOOKUP(B4746,'All Districts'!$A$3:$B$874,2,FALSE)</f>
        <v>Ogdensburg</v>
      </c>
      <c r="D4746" s="76">
        <v>1187600</v>
      </c>
      <c r="E4746">
        <f>VLOOKUP(C4746,'All Districts'!$B$3:$C$874,2,FALSE)</f>
        <v>3621660</v>
      </c>
      <c r="F4746" s="91">
        <f>COUNTIF($E$2:$E$7106,E4746)</f>
        <v>9</v>
      </c>
    </row>
    <row r="4747" spans="1:6" x14ac:dyDescent="0.2">
      <c r="A4747">
        <v>2022</v>
      </c>
      <c r="B4747" s="36">
        <v>1185</v>
      </c>
      <c r="C4747" s="90" t="str">
        <f>VLOOKUP(B4747,'All Districts'!$A$3:$B$874,2,FALSE)</f>
        <v>Ogdensburg</v>
      </c>
      <c r="D4747" s="82">
        <v>1316522</v>
      </c>
      <c r="E4747">
        <f>VLOOKUP(C4747,'All Districts'!$B$3:$C$874,2,FALSE)</f>
        <v>3621660</v>
      </c>
      <c r="F4747" s="91">
        <f>COUNTIF($E$2:$E$7106,E4747)</f>
        <v>9</v>
      </c>
    </row>
    <row r="4748" spans="1:6" x14ac:dyDescent="0.2">
      <c r="A4748">
        <v>2023</v>
      </c>
      <c r="B4748" s="36">
        <v>1185</v>
      </c>
      <c r="C4748" s="90" t="str">
        <f>VLOOKUP(B4748,'All Districts'!$A$3:$B$874,2,FALSE)</f>
        <v>Ogdensburg</v>
      </c>
      <c r="D4748" s="40">
        <v>1594125</v>
      </c>
      <c r="E4748">
        <f>VLOOKUP(C4748,'All Districts'!$B$3:$C$874,2,FALSE)</f>
        <v>3621660</v>
      </c>
      <c r="F4748" s="91">
        <f>COUNTIF($E$2:$E$7106,E4748)</f>
        <v>9</v>
      </c>
    </row>
    <row r="4749" spans="1:6" x14ac:dyDescent="0.2">
      <c r="A4749">
        <v>2015</v>
      </c>
      <c r="B4749" s="13">
        <v>1190</v>
      </c>
      <c r="C4749" s="90" t="str">
        <f>VLOOKUP(B4749,'All Districts'!$A$3:$B$874,2,FALSE)</f>
        <v>Olean</v>
      </c>
      <c r="D4749" s="14">
        <v>2348315</v>
      </c>
      <c r="E4749">
        <f>VLOOKUP(C4749,'All Districts'!$B$3:$C$874,2,FALSE)</f>
        <v>3621720</v>
      </c>
      <c r="F4749" s="91">
        <f>COUNTIF($E$2:$E$7106,E4749)</f>
        <v>9</v>
      </c>
    </row>
    <row r="4750" spans="1:6" x14ac:dyDescent="0.2">
      <c r="A4750">
        <v>2016</v>
      </c>
      <c r="B4750" s="13">
        <v>1190</v>
      </c>
      <c r="C4750" s="90" t="str">
        <f>VLOOKUP(B4750,'All Districts'!$A$3:$B$874,2,FALSE)</f>
        <v>Olean</v>
      </c>
      <c r="D4750" s="16">
        <v>1807272</v>
      </c>
      <c r="E4750">
        <f>VLOOKUP(C4750,'All Districts'!$B$3:$C$874,2,FALSE)</f>
        <v>3621720</v>
      </c>
      <c r="F4750" s="91">
        <f>COUNTIF($E$2:$E$7106,E4750)</f>
        <v>9</v>
      </c>
    </row>
    <row r="4751" spans="1:6" x14ac:dyDescent="0.2">
      <c r="A4751">
        <v>2017</v>
      </c>
      <c r="B4751" s="13">
        <v>1190</v>
      </c>
      <c r="C4751" s="90" t="str">
        <f>VLOOKUP(B4751,'All Districts'!$A$3:$B$874,2,FALSE)</f>
        <v>Olean</v>
      </c>
      <c r="D4751" s="16">
        <v>1604517</v>
      </c>
      <c r="E4751">
        <f>VLOOKUP(C4751,'All Districts'!$B$3:$C$874,2,FALSE)</f>
        <v>3621720</v>
      </c>
      <c r="F4751" s="91">
        <f>COUNTIF($E$2:$E$7106,E4751)</f>
        <v>9</v>
      </c>
    </row>
    <row r="4752" spans="1:6" x14ac:dyDescent="0.2">
      <c r="A4752" s="10">
        <v>2018</v>
      </c>
      <c r="B4752" s="13">
        <v>1190</v>
      </c>
      <c r="C4752" s="90" t="str">
        <f>VLOOKUP(B4752,'All Districts'!$A$3:$B$874,2,FALSE)</f>
        <v>Olean</v>
      </c>
      <c r="D4752" s="15">
        <v>1400583</v>
      </c>
      <c r="E4752">
        <f>VLOOKUP(C4752,'All Districts'!$B$3:$C$874,2,FALSE)</f>
        <v>3621720</v>
      </c>
      <c r="F4752" s="91">
        <f>COUNTIF($E$2:$E$7106,E4752)</f>
        <v>9</v>
      </c>
    </row>
    <row r="4753" spans="1:6" x14ac:dyDescent="0.2">
      <c r="A4753">
        <v>2019</v>
      </c>
      <c r="B4753" s="36">
        <v>1190</v>
      </c>
      <c r="C4753" s="90" t="str">
        <f>VLOOKUP(B4753,'All Districts'!$A$3:$B$874,2,FALSE)</f>
        <v>Olean</v>
      </c>
      <c r="D4753" s="40">
        <v>1557149</v>
      </c>
      <c r="E4753">
        <f>VLOOKUP(C4753,'All Districts'!$B$3:$C$874,2,FALSE)</f>
        <v>3621720</v>
      </c>
      <c r="F4753" s="91">
        <f>COUNTIF($E$2:$E$7106,E4753)</f>
        <v>9</v>
      </c>
    </row>
    <row r="4754" spans="1:6" x14ac:dyDescent="0.2">
      <c r="A4754">
        <v>2020</v>
      </c>
      <c r="B4754" s="36">
        <v>1190</v>
      </c>
      <c r="C4754" s="90" t="str">
        <f>VLOOKUP(B4754,'All Districts'!$A$3:$B$874,2,FALSE)</f>
        <v>Olean</v>
      </c>
      <c r="D4754" s="40">
        <v>1335345</v>
      </c>
      <c r="E4754">
        <f>VLOOKUP(C4754,'All Districts'!$B$3:$C$874,2,FALSE)</f>
        <v>3621720</v>
      </c>
      <c r="F4754" s="91">
        <f>COUNTIF($E$2:$E$7106,E4754)</f>
        <v>9</v>
      </c>
    </row>
    <row r="4755" spans="1:6" x14ac:dyDescent="0.2">
      <c r="A4755" s="10">
        <v>2021</v>
      </c>
      <c r="B4755" s="52">
        <v>1190</v>
      </c>
      <c r="C4755" s="90" t="str">
        <f>VLOOKUP(B4755,'All Districts'!$A$3:$B$874,2,FALSE)</f>
        <v>Olean</v>
      </c>
      <c r="D4755" s="76">
        <v>1411384</v>
      </c>
      <c r="E4755">
        <f>VLOOKUP(C4755,'All Districts'!$B$3:$C$874,2,FALSE)</f>
        <v>3621720</v>
      </c>
      <c r="F4755" s="91">
        <f>COUNTIF($E$2:$E$7106,E4755)</f>
        <v>9</v>
      </c>
    </row>
    <row r="4756" spans="1:6" x14ac:dyDescent="0.2">
      <c r="A4756">
        <v>2022</v>
      </c>
      <c r="B4756" s="36">
        <v>1190</v>
      </c>
      <c r="C4756" s="90" t="str">
        <f>VLOOKUP(B4756,'All Districts'!$A$3:$B$874,2,FALSE)</f>
        <v>Olean</v>
      </c>
      <c r="D4756" s="82">
        <v>1586555</v>
      </c>
      <c r="E4756">
        <f>VLOOKUP(C4756,'All Districts'!$B$3:$C$874,2,FALSE)</f>
        <v>3621720</v>
      </c>
      <c r="F4756" s="91">
        <f>COUNTIF($E$2:$E$7106,E4756)</f>
        <v>9</v>
      </c>
    </row>
    <row r="4757" spans="1:6" x14ac:dyDescent="0.2">
      <c r="A4757">
        <v>2023</v>
      </c>
      <c r="B4757" s="36">
        <v>1190</v>
      </c>
      <c r="C4757" s="90" t="str">
        <f>VLOOKUP(B4757,'All Districts'!$A$3:$B$874,2,FALSE)</f>
        <v>Olean</v>
      </c>
      <c r="D4757" s="40">
        <v>1614337</v>
      </c>
      <c r="E4757">
        <f>VLOOKUP(C4757,'All Districts'!$B$3:$C$874,2,FALSE)</f>
        <v>3621720</v>
      </c>
      <c r="F4757" s="91">
        <f>COUNTIF($E$2:$E$7106,E4757)</f>
        <v>9</v>
      </c>
    </row>
    <row r="4758" spans="1:6" x14ac:dyDescent="0.2">
      <c r="A4758">
        <v>2015</v>
      </c>
      <c r="B4758" s="13">
        <v>1195</v>
      </c>
      <c r="C4758" s="90" t="str">
        <f>VLOOKUP(B4758,'All Districts'!$A$3:$B$874,2,FALSE)</f>
        <v>Oneida</v>
      </c>
      <c r="D4758" s="14">
        <v>2352237</v>
      </c>
      <c r="E4758">
        <f>VLOOKUP(C4758,'All Districts'!$B$3:$C$874,2,FALSE)</f>
        <v>3600013</v>
      </c>
      <c r="F4758" s="91">
        <f>COUNTIF($E$2:$E$7106,E4758)</f>
        <v>9</v>
      </c>
    </row>
    <row r="4759" spans="1:6" x14ac:dyDescent="0.2">
      <c r="A4759">
        <v>2016</v>
      </c>
      <c r="B4759" s="13">
        <v>1195</v>
      </c>
      <c r="C4759" s="90" t="str">
        <f>VLOOKUP(B4759,'All Districts'!$A$3:$B$874,2,FALSE)</f>
        <v>Oneida</v>
      </c>
      <c r="D4759" s="16">
        <v>1901628</v>
      </c>
      <c r="E4759">
        <f>VLOOKUP(C4759,'All Districts'!$B$3:$C$874,2,FALSE)</f>
        <v>3600013</v>
      </c>
      <c r="F4759" s="91">
        <f>COUNTIF($E$2:$E$7106,E4759)</f>
        <v>9</v>
      </c>
    </row>
    <row r="4760" spans="1:6" x14ac:dyDescent="0.2">
      <c r="A4760">
        <v>2017</v>
      </c>
      <c r="B4760" s="13">
        <v>1195</v>
      </c>
      <c r="C4760" s="90" t="str">
        <f>VLOOKUP(B4760,'All Districts'!$A$3:$B$874,2,FALSE)</f>
        <v>Oneida</v>
      </c>
      <c r="D4760" s="16">
        <v>1683164</v>
      </c>
      <c r="E4760">
        <f>VLOOKUP(C4760,'All Districts'!$B$3:$C$874,2,FALSE)</f>
        <v>3600013</v>
      </c>
      <c r="F4760" s="91">
        <f>COUNTIF($E$2:$E$7106,E4760)</f>
        <v>9</v>
      </c>
    </row>
    <row r="4761" spans="1:6" x14ac:dyDescent="0.2">
      <c r="A4761" s="10">
        <v>2018</v>
      </c>
      <c r="B4761" s="13">
        <v>1195</v>
      </c>
      <c r="C4761" s="90" t="str">
        <f>VLOOKUP(B4761,'All Districts'!$A$3:$B$874,2,FALSE)</f>
        <v>Oneida</v>
      </c>
      <c r="D4761" s="15">
        <v>1469044</v>
      </c>
      <c r="E4761">
        <f>VLOOKUP(C4761,'All Districts'!$B$3:$C$874,2,FALSE)</f>
        <v>3600013</v>
      </c>
      <c r="F4761" s="91">
        <f>COUNTIF($E$2:$E$7106,E4761)</f>
        <v>9</v>
      </c>
    </row>
    <row r="4762" spans="1:6" x14ac:dyDescent="0.2">
      <c r="A4762">
        <v>2019</v>
      </c>
      <c r="B4762" s="36">
        <v>1195</v>
      </c>
      <c r="C4762" s="90" t="str">
        <f>VLOOKUP(B4762,'All Districts'!$A$3:$B$874,2,FALSE)</f>
        <v>Oneida</v>
      </c>
      <c r="D4762" s="40">
        <v>1597289</v>
      </c>
      <c r="E4762">
        <f>VLOOKUP(C4762,'All Districts'!$B$3:$C$874,2,FALSE)</f>
        <v>3600013</v>
      </c>
      <c r="F4762" s="91">
        <f>COUNTIF($E$2:$E$7106,E4762)</f>
        <v>9</v>
      </c>
    </row>
    <row r="4763" spans="1:6" x14ac:dyDescent="0.2">
      <c r="A4763">
        <v>2020</v>
      </c>
      <c r="B4763" s="36">
        <v>1195</v>
      </c>
      <c r="C4763" s="90" t="str">
        <f>VLOOKUP(B4763,'All Districts'!$A$3:$B$874,2,FALSE)</f>
        <v>Oneida</v>
      </c>
      <c r="D4763" s="40">
        <v>1330767</v>
      </c>
      <c r="E4763">
        <f>VLOOKUP(C4763,'All Districts'!$B$3:$C$874,2,FALSE)</f>
        <v>3600013</v>
      </c>
      <c r="F4763" s="91">
        <f>COUNTIF($E$2:$E$7106,E4763)</f>
        <v>9</v>
      </c>
    </row>
    <row r="4764" spans="1:6" x14ac:dyDescent="0.2">
      <c r="A4764" s="10">
        <v>2021</v>
      </c>
      <c r="B4764" s="52">
        <v>1195</v>
      </c>
      <c r="C4764" s="90" t="str">
        <f>VLOOKUP(B4764,'All Districts'!$A$3:$B$874,2,FALSE)</f>
        <v>Oneida</v>
      </c>
      <c r="D4764" s="75">
        <v>1443563</v>
      </c>
      <c r="E4764">
        <f>VLOOKUP(C4764,'All Districts'!$B$3:$C$874,2,FALSE)</f>
        <v>3600013</v>
      </c>
      <c r="F4764" s="91">
        <f>COUNTIF($E$2:$E$7106,E4764)</f>
        <v>9</v>
      </c>
    </row>
    <row r="4765" spans="1:6" x14ac:dyDescent="0.2">
      <c r="A4765">
        <v>2022</v>
      </c>
      <c r="B4765" s="36">
        <v>1195</v>
      </c>
      <c r="C4765" s="90" t="str">
        <f>VLOOKUP(B4765,'All Districts'!$A$3:$B$874,2,FALSE)</f>
        <v>Oneida</v>
      </c>
      <c r="D4765" s="82">
        <v>1554140</v>
      </c>
      <c r="E4765">
        <f>VLOOKUP(C4765,'All Districts'!$B$3:$C$874,2,FALSE)</f>
        <v>3600013</v>
      </c>
      <c r="F4765" s="91">
        <f>COUNTIF($E$2:$E$7106,E4765)</f>
        <v>9</v>
      </c>
    </row>
    <row r="4766" spans="1:6" x14ac:dyDescent="0.2">
      <c r="A4766">
        <v>2023</v>
      </c>
      <c r="B4766" s="36">
        <v>1195</v>
      </c>
      <c r="C4766" s="90" t="str">
        <f>VLOOKUP(B4766,'All Districts'!$A$3:$B$874,2,FALSE)</f>
        <v>Oneida</v>
      </c>
      <c r="D4766" s="40">
        <v>1755373</v>
      </c>
      <c r="E4766">
        <f>VLOOKUP(C4766,'All Districts'!$B$3:$C$874,2,FALSE)</f>
        <v>3600013</v>
      </c>
      <c r="F4766" s="91">
        <f>COUNTIF($E$2:$E$7106,E4766)</f>
        <v>9</v>
      </c>
    </row>
    <row r="4767" spans="1:6" x14ac:dyDescent="0.2">
      <c r="A4767">
        <v>2015</v>
      </c>
      <c r="B4767" s="13">
        <v>6057</v>
      </c>
      <c r="C4767" s="90" t="str">
        <f>VLOOKUP(B4767,'All Districts'!$A$3:$B$874,2,FALSE)</f>
        <v>Oneida-Madison-Herkimer</v>
      </c>
      <c r="D4767" s="15">
        <v>2750090</v>
      </c>
      <c r="E4767">
        <f>VLOOKUP(C4767,'All Districts'!$B$3:$C$874,2,FALSE)</f>
        <v>3680560</v>
      </c>
      <c r="F4767" s="91">
        <f>COUNTIF($E$2:$E$7106,E4767)</f>
        <v>9</v>
      </c>
    </row>
    <row r="4768" spans="1:6" x14ac:dyDescent="0.2">
      <c r="A4768">
        <v>2016</v>
      </c>
      <c r="B4768" s="13">
        <v>6057</v>
      </c>
      <c r="C4768" s="90" t="str">
        <f>VLOOKUP(B4768,'All Districts'!$A$3:$B$874,2,FALSE)</f>
        <v>Oneida-Madison-Herkimer</v>
      </c>
      <c r="D4768" s="16">
        <v>2141293</v>
      </c>
      <c r="E4768">
        <f>VLOOKUP(C4768,'All Districts'!$B$3:$C$874,2,FALSE)</f>
        <v>3680560</v>
      </c>
      <c r="F4768" s="91">
        <f>COUNTIF($E$2:$E$7106,E4768)</f>
        <v>9</v>
      </c>
    </row>
    <row r="4769" spans="1:6" x14ac:dyDescent="0.2">
      <c r="A4769">
        <v>2017</v>
      </c>
      <c r="B4769" s="13">
        <v>6057</v>
      </c>
      <c r="C4769" s="90" t="str">
        <f>VLOOKUP(B4769,'All Districts'!$A$3:$B$874,2,FALSE)</f>
        <v>Oneida-Madison-Herkimer</v>
      </c>
      <c r="D4769" s="16">
        <v>2066869</v>
      </c>
      <c r="E4769">
        <f>VLOOKUP(C4769,'All Districts'!$B$3:$C$874,2,FALSE)</f>
        <v>3680560</v>
      </c>
      <c r="F4769" s="91">
        <f>COUNTIF($E$2:$E$7106,E4769)</f>
        <v>9</v>
      </c>
    </row>
    <row r="4770" spans="1:6" x14ac:dyDescent="0.2">
      <c r="A4770" s="10">
        <v>2018</v>
      </c>
      <c r="B4770" s="13">
        <v>6057</v>
      </c>
      <c r="C4770" s="90" t="str">
        <f>VLOOKUP(B4770,'All Districts'!$A$3:$B$874,2,FALSE)</f>
        <v>Oneida-Madison-Herkimer</v>
      </c>
      <c r="D4770" s="15">
        <v>1804726</v>
      </c>
      <c r="E4770">
        <f>VLOOKUP(C4770,'All Districts'!$B$3:$C$874,2,FALSE)</f>
        <v>3680560</v>
      </c>
      <c r="F4770" s="91">
        <f>COUNTIF($E$2:$E$7106,E4770)</f>
        <v>9</v>
      </c>
    </row>
    <row r="4771" spans="1:6" x14ac:dyDescent="0.2">
      <c r="A4771">
        <v>2019</v>
      </c>
      <c r="B4771" s="36">
        <v>6057</v>
      </c>
      <c r="C4771" s="90" t="str">
        <f>VLOOKUP(B4771,'All Districts'!$A$3:$B$874,2,FALSE)</f>
        <v>Oneida-Madison-Herkimer</v>
      </c>
      <c r="D4771" s="40">
        <v>2030844</v>
      </c>
      <c r="E4771">
        <f>VLOOKUP(C4771,'All Districts'!$B$3:$C$874,2,FALSE)</f>
        <v>3680560</v>
      </c>
      <c r="F4771" s="91">
        <f>COUNTIF($E$2:$E$7106,E4771)</f>
        <v>9</v>
      </c>
    </row>
    <row r="4772" spans="1:6" x14ac:dyDescent="0.2">
      <c r="A4772">
        <v>2020</v>
      </c>
      <c r="B4772" s="36">
        <v>6057</v>
      </c>
      <c r="C4772" s="90" t="str">
        <f>VLOOKUP(B4772,'All Districts'!$A$3:$B$874,2,FALSE)</f>
        <v>Oneida-Madison-Herkimer</v>
      </c>
      <c r="D4772" s="40">
        <v>1820508</v>
      </c>
      <c r="E4772">
        <f>VLOOKUP(C4772,'All Districts'!$B$3:$C$874,2,FALSE)</f>
        <v>3680560</v>
      </c>
      <c r="F4772" s="91">
        <f>COUNTIF($E$2:$E$7106,E4772)</f>
        <v>9</v>
      </c>
    </row>
    <row r="4773" spans="1:6" x14ac:dyDescent="0.2">
      <c r="A4773" s="10">
        <v>2021</v>
      </c>
      <c r="B4773" s="52">
        <v>6057</v>
      </c>
      <c r="C4773" s="90" t="str">
        <f>VLOOKUP(B4773,'All Districts'!$A$3:$B$874,2,FALSE)</f>
        <v>Oneida-Madison-Herkimer</v>
      </c>
      <c r="D4773" s="75">
        <v>2016780</v>
      </c>
      <c r="E4773">
        <f>VLOOKUP(C4773,'All Districts'!$B$3:$C$874,2,FALSE)</f>
        <v>3680560</v>
      </c>
      <c r="F4773" s="91">
        <f>COUNTIF($E$2:$E$7106,E4773)</f>
        <v>9</v>
      </c>
    </row>
    <row r="4774" spans="1:6" x14ac:dyDescent="0.2">
      <c r="A4774">
        <v>2022</v>
      </c>
      <c r="B4774" s="36">
        <v>6057</v>
      </c>
      <c r="C4774" s="90" t="str">
        <f>VLOOKUP(B4774,'All Districts'!$A$3:$B$874,2,FALSE)</f>
        <v>Oneida-Madison-Herkimer</v>
      </c>
      <c r="D4774" s="82">
        <v>2004505</v>
      </c>
      <c r="E4774">
        <f>VLOOKUP(C4774,'All Districts'!$B$3:$C$874,2,FALSE)</f>
        <v>3680560</v>
      </c>
      <c r="F4774" s="91">
        <f>COUNTIF($E$2:$E$7106,E4774)</f>
        <v>9</v>
      </c>
    </row>
    <row r="4775" spans="1:6" x14ac:dyDescent="0.2">
      <c r="A4775">
        <v>2023</v>
      </c>
      <c r="B4775" s="36">
        <v>6057</v>
      </c>
      <c r="C4775" s="90" t="str">
        <f>VLOOKUP(B4775,'All Districts'!$A$3:$B$874,2,FALSE)</f>
        <v>Oneida-Madison-Herkimer</v>
      </c>
      <c r="D4775" s="40">
        <v>2334431</v>
      </c>
      <c r="E4775">
        <f>VLOOKUP(C4775,'All Districts'!$B$3:$C$874,2,FALSE)</f>
        <v>3680560</v>
      </c>
      <c r="F4775" s="91">
        <f>COUNTIF($E$2:$E$7106,E4775)</f>
        <v>9</v>
      </c>
    </row>
    <row r="4776" spans="1:6" x14ac:dyDescent="0.2">
      <c r="A4776">
        <v>2015</v>
      </c>
      <c r="B4776" s="13">
        <v>1200</v>
      </c>
      <c r="C4776" s="90" t="str">
        <f>VLOOKUP(B4776,'All Districts'!$A$3:$B$874,2,FALSE)</f>
        <v>Oneonta</v>
      </c>
      <c r="D4776" s="14">
        <v>2319960</v>
      </c>
      <c r="E4776">
        <f>VLOOKUP(C4776,'All Districts'!$B$3:$C$874,2,FALSE)</f>
        <v>3621780</v>
      </c>
      <c r="F4776" s="91">
        <f>COUNTIF($E$2:$E$7106,E4776)</f>
        <v>9</v>
      </c>
    </row>
    <row r="4777" spans="1:6" x14ac:dyDescent="0.2">
      <c r="A4777">
        <v>2016</v>
      </c>
      <c r="B4777" s="13">
        <v>1200</v>
      </c>
      <c r="C4777" s="90" t="str">
        <f>VLOOKUP(B4777,'All Districts'!$A$3:$B$874,2,FALSE)</f>
        <v>Oneonta</v>
      </c>
      <c r="D4777" s="16">
        <v>1806079</v>
      </c>
      <c r="E4777">
        <f>VLOOKUP(C4777,'All Districts'!$B$3:$C$874,2,FALSE)</f>
        <v>3621780</v>
      </c>
      <c r="F4777" s="91">
        <f>COUNTIF($E$2:$E$7106,E4777)</f>
        <v>9</v>
      </c>
    </row>
    <row r="4778" spans="1:6" x14ac:dyDescent="0.2">
      <c r="A4778">
        <v>2017</v>
      </c>
      <c r="B4778" s="13">
        <v>1200</v>
      </c>
      <c r="C4778" s="90" t="str">
        <f>VLOOKUP(B4778,'All Districts'!$A$3:$B$874,2,FALSE)</f>
        <v>Oneonta</v>
      </c>
      <c r="D4778" s="16">
        <v>1641024</v>
      </c>
      <c r="E4778">
        <f>VLOOKUP(C4778,'All Districts'!$B$3:$C$874,2,FALSE)</f>
        <v>3621780</v>
      </c>
      <c r="F4778" s="91">
        <f>COUNTIF($E$2:$E$7106,E4778)</f>
        <v>9</v>
      </c>
    </row>
    <row r="4779" spans="1:6" x14ac:dyDescent="0.2">
      <c r="A4779" s="10">
        <v>2018</v>
      </c>
      <c r="B4779" s="13">
        <v>1200</v>
      </c>
      <c r="C4779" s="90" t="str">
        <f>VLOOKUP(B4779,'All Districts'!$A$3:$B$874,2,FALSE)</f>
        <v>Oneonta</v>
      </c>
      <c r="D4779" s="15">
        <v>1418116</v>
      </c>
      <c r="E4779">
        <f>VLOOKUP(C4779,'All Districts'!$B$3:$C$874,2,FALSE)</f>
        <v>3621780</v>
      </c>
      <c r="F4779" s="91">
        <f>COUNTIF($E$2:$E$7106,E4779)</f>
        <v>9</v>
      </c>
    </row>
    <row r="4780" spans="1:6" x14ac:dyDescent="0.2">
      <c r="A4780">
        <v>2019</v>
      </c>
      <c r="B4780" s="36">
        <v>1200</v>
      </c>
      <c r="C4780" s="90" t="str">
        <f>VLOOKUP(B4780,'All Districts'!$A$3:$B$874,2,FALSE)</f>
        <v>Oneonta</v>
      </c>
      <c r="D4780" s="40">
        <v>1561493</v>
      </c>
      <c r="E4780">
        <f>VLOOKUP(C4780,'All Districts'!$B$3:$C$874,2,FALSE)</f>
        <v>3621780</v>
      </c>
      <c r="F4780" s="91">
        <f>COUNTIF($E$2:$E$7106,E4780)</f>
        <v>9</v>
      </c>
    </row>
    <row r="4781" spans="1:6" x14ac:dyDescent="0.2">
      <c r="A4781">
        <v>2020</v>
      </c>
      <c r="B4781" s="36">
        <v>1200</v>
      </c>
      <c r="C4781" s="90" t="str">
        <f>VLOOKUP(B4781,'All Districts'!$A$3:$B$874,2,FALSE)</f>
        <v>Oneonta</v>
      </c>
      <c r="D4781" s="40">
        <v>1302658</v>
      </c>
      <c r="E4781">
        <f>VLOOKUP(C4781,'All Districts'!$B$3:$C$874,2,FALSE)</f>
        <v>3621780</v>
      </c>
      <c r="F4781" s="91">
        <f>COUNTIF($E$2:$E$7106,E4781)</f>
        <v>9</v>
      </c>
    </row>
    <row r="4782" spans="1:6" x14ac:dyDescent="0.2">
      <c r="A4782" s="10">
        <v>2021</v>
      </c>
      <c r="B4782" s="52">
        <v>1200</v>
      </c>
      <c r="C4782" s="90" t="str">
        <f>VLOOKUP(B4782,'All Districts'!$A$3:$B$874,2,FALSE)</f>
        <v>Oneonta</v>
      </c>
      <c r="D4782" s="76">
        <v>1371224</v>
      </c>
      <c r="E4782">
        <f>VLOOKUP(C4782,'All Districts'!$B$3:$C$874,2,FALSE)</f>
        <v>3621780</v>
      </c>
      <c r="F4782" s="91">
        <f>COUNTIF($E$2:$E$7106,E4782)</f>
        <v>9</v>
      </c>
    </row>
    <row r="4783" spans="1:6" x14ac:dyDescent="0.2">
      <c r="A4783">
        <v>2022</v>
      </c>
      <c r="B4783" s="36">
        <v>1200</v>
      </c>
      <c r="C4783" s="90" t="str">
        <f>VLOOKUP(B4783,'All Districts'!$A$3:$B$874,2,FALSE)</f>
        <v>Oneonta</v>
      </c>
      <c r="D4783" s="82">
        <v>1474599</v>
      </c>
      <c r="E4783">
        <f>VLOOKUP(C4783,'All Districts'!$B$3:$C$874,2,FALSE)</f>
        <v>3621780</v>
      </c>
      <c r="F4783" s="91">
        <f>COUNTIF($E$2:$E$7106,E4783)</f>
        <v>9</v>
      </c>
    </row>
    <row r="4784" spans="1:6" x14ac:dyDescent="0.2">
      <c r="A4784">
        <v>2023</v>
      </c>
      <c r="B4784" s="36">
        <v>1200</v>
      </c>
      <c r="C4784" s="90" t="str">
        <f>VLOOKUP(B4784,'All Districts'!$A$3:$B$874,2,FALSE)</f>
        <v>Oneonta</v>
      </c>
      <c r="D4784" s="40">
        <v>1575360</v>
      </c>
      <c r="E4784">
        <f>VLOOKUP(C4784,'All Districts'!$B$3:$C$874,2,FALSE)</f>
        <v>3621780</v>
      </c>
      <c r="F4784" s="91">
        <f>COUNTIF($E$2:$E$7106,E4784)</f>
        <v>9</v>
      </c>
    </row>
    <row r="4785" spans="1:6" x14ac:dyDescent="0.2">
      <c r="A4785">
        <v>2015</v>
      </c>
      <c r="B4785" s="13">
        <v>6061</v>
      </c>
      <c r="C4785" s="90" t="str">
        <f>VLOOKUP(B4785,'All Districts'!$A$3:$B$874,2,FALSE)</f>
        <v>Onondaga-Cortland-Madison (OCM)</v>
      </c>
      <c r="D4785" s="15">
        <v>5313177</v>
      </c>
      <c r="E4785">
        <f>VLOOKUP(C4785,'All Districts'!$B$3:$C$874,2,FALSE)</f>
        <v>3680580</v>
      </c>
      <c r="F4785" s="91">
        <f>COUNTIF($E$2:$E$7106,E4785)</f>
        <v>9</v>
      </c>
    </row>
    <row r="4786" spans="1:6" x14ac:dyDescent="0.2">
      <c r="A4786">
        <v>2016</v>
      </c>
      <c r="B4786" s="13">
        <v>6061</v>
      </c>
      <c r="C4786" s="90" t="str">
        <f>VLOOKUP(B4786,'All Districts'!$A$3:$B$874,2,FALSE)</f>
        <v>Onondaga-Cortland-Madison (OCM)</v>
      </c>
      <c r="D4786" s="16">
        <v>4195047</v>
      </c>
      <c r="E4786">
        <f>VLOOKUP(C4786,'All Districts'!$B$3:$C$874,2,FALSE)</f>
        <v>3680580</v>
      </c>
      <c r="F4786" s="91">
        <f>COUNTIF($E$2:$E$7106,E4786)</f>
        <v>9</v>
      </c>
    </row>
    <row r="4787" spans="1:6" x14ac:dyDescent="0.2">
      <c r="A4787">
        <v>2017</v>
      </c>
      <c r="B4787" s="13">
        <v>6061</v>
      </c>
      <c r="C4787" s="90" t="str">
        <f>VLOOKUP(B4787,'All Districts'!$A$3:$B$874,2,FALSE)</f>
        <v>Onondaga-Cortland-Madison (OCM)</v>
      </c>
      <c r="D4787" s="16">
        <v>3869159</v>
      </c>
      <c r="E4787">
        <f>VLOOKUP(C4787,'All Districts'!$B$3:$C$874,2,FALSE)</f>
        <v>3680580</v>
      </c>
      <c r="F4787" s="91">
        <f>COUNTIF($E$2:$E$7106,E4787)</f>
        <v>9</v>
      </c>
    </row>
    <row r="4788" spans="1:6" x14ac:dyDescent="0.2">
      <c r="A4788" s="10">
        <v>2018</v>
      </c>
      <c r="B4788" s="13">
        <v>6061</v>
      </c>
      <c r="C4788" s="90" t="str">
        <f>VLOOKUP(B4788,'All Districts'!$A$3:$B$874,2,FALSE)</f>
        <v>Onondaga-Cortland-Madison (OCM)</v>
      </c>
      <c r="D4788" s="15">
        <v>3334156</v>
      </c>
      <c r="E4788">
        <f>VLOOKUP(C4788,'All Districts'!$B$3:$C$874,2,FALSE)</f>
        <v>3680580</v>
      </c>
      <c r="F4788" s="91">
        <f>COUNTIF($E$2:$E$7106,E4788)</f>
        <v>9</v>
      </c>
    </row>
    <row r="4789" spans="1:6" x14ac:dyDescent="0.2">
      <c r="A4789">
        <v>2019</v>
      </c>
      <c r="B4789" s="36">
        <v>6061</v>
      </c>
      <c r="C4789" s="90" t="str">
        <f>VLOOKUP(B4789,'All Districts'!$A$3:$B$874,2,FALSE)</f>
        <v>Onondaga-Cortland-Madison (OCM)</v>
      </c>
      <c r="D4789" s="40">
        <v>3689406</v>
      </c>
      <c r="E4789">
        <f>VLOOKUP(C4789,'All Districts'!$B$3:$C$874,2,FALSE)</f>
        <v>3680580</v>
      </c>
      <c r="F4789" s="91">
        <f>COUNTIF($E$2:$E$7106,E4789)</f>
        <v>9</v>
      </c>
    </row>
    <row r="4790" spans="1:6" x14ac:dyDescent="0.2">
      <c r="A4790">
        <v>2020</v>
      </c>
      <c r="B4790" s="36">
        <v>6061</v>
      </c>
      <c r="C4790" s="90" t="str">
        <f>VLOOKUP(B4790,'All Districts'!$A$3:$B$874,2,FALSE)</f>
        <v>Onondaga-Cortland-Madison (OCM)</v>
      </c>
      <c r="D4790" s="40">
        <v>3086526</v>
      </c>
      <c r="E4790">
        <f>VLOOKUP(C4790,'All Districts'!$B$3:$C$874,2,FALSE)</f>
        <v>3680580</v>
      </c>
      <c r="F4790" s="91">
        <f>COUNTIF($E$2:$E$7106,E4790)</f>
        <v>9</v>
      </c>
    </row>
    <row r="4791" spans="1:6" x14ac:dyDescent="0.2">
      <c r="A4791" s="10">
        <v>2021</v>
      </c>
      <c r="B4791" s="52">
        <v>6061</v>
      </c>
      <c r="C4791" s="90" t="str">
        <f>VLOOKUP(B4791,'All Districts'!$A$3:$B$874,2,FALSE)</f>
        <v>Onondaga-Cortland-Madison (OCM)</v>
      </c>
      <c r="D4791" s="75">
        <v>3163226</v>
      </c>
      <c r="E4791">
        <f>VLOOKUP(C4791,'All Districts'!$B$3:$C$874,2,FALSE)</f>
        <v>3680580</v>
      </c>
      <c r="F4791" s="91">
        <f>COUNTIF($E$2:$E$7106,E4791)</f>
        <v>9</v>
      </c>
    </row>
    <row r="4792" spans="1:6" x14ac:dyDescent="0.2">
      <c r="A4792">
        <v>2022</v>
      </c>
      <c r="B4792" s="36">
        <v>6061</v>
      </c>
      <c r="C4792" s="90" t="str">
        <f>VLOOKUP(B4792,'All Districts'!$A$3:$B$874,2,FALSE)</f>
        <v>Onondaga-Cortland-Madison (OCM)</v>
      </c>
      <c r="D4792" s="82">
        <v>3381941</v>
      </c>
      <c r="E4792">
        <f>VLOOKUP(C4792,'All Districts'!$B$3:$C$874,2,FALSE)</f>
        <v>3680580</v>
      </c>
      <c r="F4792" s="91">
        <f>COUNTIF($E$2:$E$7106,E4792)</f>
        <v>9</v>
      </c>
    </row>
    <row r="4793" spans="1:6" x14ac:dyDescent="0.2">
      <c r="A4793">
        <v>2023</v>
      </c>
      <c r="B4793" s="36">
        <v>6061</v>
      </c>
      <c r="C4793" s="90" t="str">
        <f>VLOOKUP(B4793,'All Districts'!$A$3:$B$874,2,FALSE)</f>
        <v>Onondaga-Cortland-Madison (OCM)</v>
      </c>
      <c r="D4793" s="40">
        <v>3758713</v>
      </c>
      <c r="E4793">
        <f>VLOOKUP(C4793,'All Districts'!$B$3:$C$874,2,FALSE)</f>
        <v>3680580</v>
      </c>
      <c r="F4793" s="91">
        <f>COUNTIF($E$2:$E$7106,E4793)</f>
        <v>9</v>
      </c>
    </row>
    <row r="4794" spans="1:6" x14ac:dyDescent="0.2">
      <c r="A4794">
        <v>2015</v>
      </c>
      <c r="B4794" s="13">
        <v>6105</v>
      </c>
      <c r="C4794" s="90" t="str">
        <f>VLOOKUP(B4794,'All Districts'!$A$3:$B$874,2,FALSE)</f>
        <v>Ontario-Seneca-Yates-Cayuga-Wayne</v>
      </c>
      <c r="D4794" s="15">
        <v>4474699</v>
      </c>
      <c r="E4794">
        <f>VLOOKUP(C4794,'All Districts'!$B$3:$C$874,2,FALSE)</f>
        <v>3680600</v>
      </c>
      <c r="F4794" s="91">
        <f>COUNTIF($E$2:$E$7106,E4794)</f>
        <v>9</v>
      </c>
    </row>
    <row r="4795" spans="1:6" x14ac:dyDescent="0.2">
      <c r="A4795">
        <v>2016</v>
      </c>
      <c r="B4795" s="13">
        <v>6105</v>
      </c>
      <c r="C4795" s="90" t="str">
        <f>VLOOKUP(B4795,'All Districts'!$A$3:$B$874,2,FALSE)</f>
        <v>Ontario-Seneca-Yates-Cayuga-Wayne</v>
      </c>
      <c r="D4795" s="16">
        <v>3631606</v>
      </c>
      <c r="E4795">
        <f>VLOOKUP(C4795,'All Districts'!$B$3:$C$874,2,FALSE)</f>
        <v>3680600</v>
      </c>
      <c r="F4795" s="91">
        <f>COUNTIF($E$2:$E$7106,E4795)</f>
        <v>9</v>
      </c>
    </row>
    <row r="4796" spans="1:6" x14ac:dyDescent="0.2">
      <c r="A4796">
        <v>2017</v>
      </c>
      <c r="B4796" s="13">
        <v>6105</v>
      </c>
      <c r="C4796" s="90" t="str">
        <f>VLOOKUP(B4796,'All Districts'!$A$3:$B$874,2,FALSE)</f>
        <v>Ontario-Seneca-Yates-Cayuga-Wayne</v>
      </c>
      <c r="D4796" s="16">
        <v>3357759</v>
      </c>
      <c r="E4796">
        <f>VLOOKUP(C4796,'All Districts'!$B$3:$C$874,2,FALSE)</f>
        <v>3680600</v>
      </c>
      <c r="F4796" s="91">
        <f>COUNTIF($E$2:$E$7106,E4796)</f>
        <v>9</v>
      </c>
    </row>
    <row r="4797" spans="1:6" x14ac:dyDescent="0.2">
      <c r="A4797" s="10">
        <v>2018</v>
      </c>
      <c r="B4797" s="13">
        <v>6105</v>
      </c>
      <c r="C4797" s="90" t="str">
        <f>VLOOKUP(B4797,'All Districts'!$A$3:$B$874,2,FALSE)</f>
        <v>Ontario-Seneca-Yates-Cayuga-Wayne</v>
      </c>
      <c r="D4797" s="15">
        <v>2965148</v>
      </c>
      <c r="E4797">
        <f>VLOOKUP(C4797,'All Districts'!$B$3:$C$874,2,FALSE)</f>
        <v>3680600</v>
      </c>
      <c r="F4797" s="91">
        <f>COUNTIF($E$2:$E$7106,E4797)</f>
        <v>9</v>
      </c>
    </row>
    <row r="4798" spans="1:6" x14ac:dyDescent="0.2">
      <c r="A4798">
        <v>2019</v>
      </c>
      <c r="B4798" s="36">
        <v>6105</v>
      </c>
      <c r="C4798" s="90" t="str">
        <f>VLOOKUP(B4798,'All Districts'!$A$3:$B$874,2,FALSE)</f>
        <v>Ontario-Seneca-Yates-Cayuga-Wayne</v>
      </c>
      <c r="D4798" s="40">
        <v>3407907</v>
      </c>
      <c r="E4798">
        <f>VLOOKUP(C4798,'All Districts'!$B$3:$C$874,2,FALSE)</f>
        <v>3680600</v>
      </c>
      <c r="F4798" s="91">
        <f>COUNTIF($E$2:$E$7106,E4798)</f>
        <v>9</v>
      </c>
    </row>
    <row r="4799" spans="1:6" x14ac:dyDescent="0.2">
      <c r="A4799">
        <v>2020</v>
      </c>
      <c r="B4799" s="36">
        <v>6105</v>
      </c>
      <c r="C4799" s="90" t="str">
        <f>VLOOKUP(B4799,'All Districts'!$A$3:$B$874,2,FALSE)</f>
        <v>Ontario-Seneca-Yates-Cayuga-Wayne</v>
      </c>
      <c r="D4799" s="40">
        <v>2802306</v>
      </c>
      <c r="E4799">
        <f>VLOOKUP(C4799,'All Districts'!$B$3:$C$874,2,FALSE)</f>
        <v>3680600</v>
      </c>
      <c r="F4799" s="91">
        <f>COUNTIF($E$2:$E$7106,E4799)</f>
        <v>9</v>
      </c>
    </row>
    <row r="4800" spans="1:6" x14ac:dyDescent="0.2">
      <c r="A4800" s="10">
        <v>2021</v>
      </c>
      <c r="B4800" s="55">
        <v>6105</v>
      </c>
      <c r="C4800" s="90" t="str">
        <f>VLOOKUP(B4800,'All Districts'!$A$3:$B$874,2,FALSE)</f>
        <v>Ontario-Seneca-Yates-Cayuga-Wayne</v>
      </c>
      <c r="D4800" s="80">
        <v>2728347</v>
      </c>
      <c r="E4800">
        <f>VLOOKUP(C4800,'All Districts'!$B$3:$C$874,2,FALSE)</f>
        <v>3680600</v>
      </c>
      <c r="F4800" s="91">
        <f>COUNTIF($E$2:$E$7106,E4800)</f>
        <v>9</v>
      </c>
    </row>
    <row r="4801" spans="1:6" x14ac:dyDescent="0.2">
      <c r="A4801">
        <v>2022</v>
      </c>
      <c r="B4801" s="36">
        <v>6105</v>
      </c>
      <c r="C4801" s="90" t="str">
        <f>VLOOKUP(B4801,'All Districts'!$A$3:$B$874,2,FALSE)</f>
        <v>Ontario-Seneca-Yates-Cayuga-Wayne</v>
      </c>
      <c r="D4801" s="82">
        <v>2884360</v>
      </c>
      <c r="E4801">
        <f>VLOOKUP(C4801,'All Districts'!$B$3:$C$874,2,FALSE)</f>
        <v>3680600</v>
      </c>
      <c r="F4801" s="91">
        <f>COUNTIF($E$2:$E$7106,E4801)</f>
        <v>9</v>
      </c>
    </row>
    <row r="4802" spans="1:6" x14ac:dyDescent="0.2">
      <c r="A4802">
        <v>2023</v>
      </c>
      <c r="B4802" s="36">
        <v>6105</v>
      </c>
      <c r="C4802" s="90" t="str">
        <f>VLOOKUP(B4802,'All Districts'!$A$3:$B$874,2,FALSE)</f>
        <v>Ontario-Seneca-Yates-Cayuga-Wayne</v>
      </c>
      <c r="D4802" s="40">
        <v>2876927</v>
      </c>
      <c r="E4802">
        <f>VLOOKUP(C4802,'All Districts'!$B$3:$C$874,2,FALSE)</f>
        <v>3680600</v>
      </c>
      <c r="F4802" s="91">
        <f>COUNTIF($E$2:$E$7106,E4802)</f>
        <v>9</v>
      </c>
    </row>
    <row r="4803" spans="1:6" x14ac:dyDescent="0.2">
      <c r="A4803">
        <v>2015</v>
      </c>
      <c r="B4803" s="13">
        <v>2426</v>
      </c>
      <c r="C4803" s="90" t="str">
        <f>VLOOKUP(B4803,'All Districts'!$A$3:$B$874,2,FALSE)</f>
        <v>Onteora</v>
      </c>
      <c r="D4803" s="14">
        <v>3187978</v>
      </c>
      <c r="E4803">
        <f>VLOOKUP(C4803,'All Districts'!$B$3:$C$874,2,FALSE)</f>
        <v>3621840</v>
      </c>
      <c r="F4803" s="91">
        <f>COUNTIF($E$2:$E$7106,E4803)</f>
        <v>9</v>
      </c>
    </row>
    <row r="4804" spans="1:6" x14ac:dyDescent="0.2">
      <c r="A4804">
        <v>2016</v>
      </c>
      <c r="B4804" s="13">
        <v>2426</v>
      </c>
      <c r="C4804" s="90" t="str">
        <f>VLOOKUP(B4804,'All Districts'!$A$3:$B$874,2,FALSE)</f>
        <v>Onteora</v>
      </c>
      <c r="D4804" s="16">
        <v>2382148</v>
      </c>
      <c r="E4804">
        <f>VLOOKUP(C4804,'All Districts'!$B$3:$C$874,2,FALSE)</f>
        <v>3621840</v>
      </c>
      <c r="F4804" s="91">
        <f>COUNTIF($E$2:$E$7106,E4804)</f>
        <v>9</v>
      </c>
    </row>
    <row r="4805" spans="1:6" x14ac:dyDescent="0.2">
      <c r="A4805">
        <v>2017</v>
      </c>
      <c r="B4805" s="13">
        <v>2426</v>
      </c>
      <c r="C4805" s="90" t="str">
        <f>VLOOKUP(B4805,'All Districts'!$A$3:$B$874,2,FALSE)</f>
        <v>Onteora</v>
      </c>
      <c r="D4805" s="16">
        <v>2139295</v>
      </c>
      <c r="E4805">
        <f>VLOOKUP(C4805,'All Districts'!$B$3:$C$874,2,FALSE)</f>
        <v>3621840</v>
      </c>
      <c r="F4805" s="91">
        <f>COUNTIF($E$2:$E$7106,E4805)</f>
        <v>9</v>
      </c>
    </row>
    <row r="4806" spans="1:6" x14ac:dyDescent="0.2">
      <c r="A4806" s="10">
        <v>2018</v>
      </c>
      <c r="B4806" s="13">
        <v>2426</v>
      </c>
      <c r="C4806" s="90" t="str">
        <f>VLOOKUP(B4806,'All Districts'!$A$3:$B$874,2,FALSE)</f>
        <v>Onteora</v>
      </c>
      <c r="D4806" s="15">
        <v>1844928</v>
      </c>
      <c r="E4806">
        <f>VLOOKUP(C4806,'All Districts'!$B$3:$C$874,2,FALSE)</f>
        <v>3621840</v>
      </c>
      <c r="F4806" s="91">
        <f>COUNTIF($E$2:$E$7106,E4806)</f>
        <v>9</v>
      </c>
    </row>
    <row r="4807" spans="1:6" x14ac:dyDescent="0.2">
      <c r="A4807">
        <v>2019</v>
      </c>
      <c r="B4807" s="36">
        <v>2426</v>
      </c>
      <c r="C4807" s="90" t="str">
        <f>VLOOKUP(B4807,'All Districts'!$A$3:$B$874,2,FALSE)</f>
        <v>Onteora</v>
      </c>
      <c r="D4807" s="40">
        <v>2004478</v>
      </c>
      <c r="E4807">
        <f>VLOOKUP(C4807,'All Districts'!$B$3:$C$874,2,FALSE)</f>
        <v>3621840</v>
      </c>
      <c r="F4807" s="91">
        <f>COUNTIF($E$2:$E$7106,E4807)</f>
        <v>9</v>
      </c>
    </row>
    <row r="4808" spans="1:6" x14ac:dyDescent="0.2">
      <c r="A4808">
        <v>2020</v>
      </c>
      <c r="B4808" s="36">
        <v>2426</v>
      </c>
      <c r="C4808" s="90" t="str">
        <f>VLOOKUP(B4808,'All Districts'!$A$3:$B$874,2,FALSE)</f>
        <v>Onteora</v>
      </c>
      <c r="D4808" s="40">
        <v>1653853</v>
      </c>
      <c r="E4808">
        <f>VLOOKUP(C4808,'All Districts'!$B$3:$C$874,2,FALSE)</f>
        <v>3621840</v>
      </c>
      <c r="F4808" s="91">
        <f>COUNTIF($E$2:$E$7106,E4808)</f>
        <v>9</v>
      </c>
    </row>
    <row r="4809" spans="1:6" x14ac:dyDescent="0.2">
      <c r="A4809" s="10">
        <v>2021</v>
      </c>
      <c r="B4809" s="52">
        <v>2426</v>
      </c>
      <c r="C4809" s="90" t="str">
        <f>VLOOKUP(B4809,'All Districts'!$A$3:$B$874,2,FALSE)</f>
        <v>Onteora</v>
      </c>
      <c r="D4809" s="76">
        <v>1754350</v>
      </c>
      <c r="E4809">
        <f>VLOOKUP(C4809,'All Districts'!$B$3:$C$874,2,FALSE)</f>
        <v>3621840</v>
      </c>
      <c r="F4809" s="91">
        <f>COUNTIF($E$2:$E$7106,E4809)</f>
        <v>9</v>
      </c>
    </row>
    <row r="4810" spans="1:6" x14ac:dyDescent="0.2">
      <c r="A4810">
        <v>2022</v>
      </c>
      <c r="B4810" s="36">
        <v>2426</v>
      </c>
      <c r="C4810" s="90" t="str">
        <f>VLOOKUP(B4810,'All Districts'!$A$3:$B$874,2,FALSE)</f>
        <v>Onteora</v>
      </c>
      <c r="D4810" s="82">
        <v>1861633</v>
      </c>
      <c r="E4810">
        <f>VLOOKUP(C4810,'All Districts'!$B$3:$C$874,2,FALSE)</f>
        <v>3621840</v>
      </c>
      <c r="F4810" s="91">
        <f>COUNTIF($E$2:$E$7106,E4810)</f>
        <v>9</v>
      </c>
    </row>
    <row r="4811" spans="1:6" x14ac:dyDescent="0.2">
      <c r="A4811">
        <v>2023</v>
      </c>
      <c r="B4811" s="36">
        <v>2426</v>
      </c>
      <c r="C4811" s="90" t="str">
        <f>VLOOKUP(B4811,'All Districts'!$A$3:$B$874,2,FALSE)</f>
        <v>Onteora</v>
      </c>
      <c r="D4811" s="40">
        <v>2024338</v>
      </c>
      <c r="E4811">
        <f>VLOOKUP(C4811,'All Districts'!$B$3:$C$874,2,FALSE)</f>
        <v>3621840</v>
      </c>
      <c r="F4811" s="91">
        <f>COUNTIF($E$2:$E$7106,E4811)</f>
        <v>9</v>
      </c>
    </row>
    <row r="4812" spans="1:6" x14ac:dyDescent="0.2">
      <c r="A4812">
        <v>2015</v>
      </c>
      <c r="B4812" s="13">
        <v>6065</v>
      </c>
      <c r="C4812" s="90" t="str">
        <f>VLOOKUP(B4812,'All Districts'!$A$3:$B$874,2,FALSE)</f>
        <v>Orange-Ulster</v>
      </c>
      <c r="D4812" s="15">
        <v>6155647</v>
      </c>
      <c r="E4812">
        <f>VLOOKUP(C4812,'All Districts'!$B$3:$C$874,2,FALSE)</f>
        <v>3680620</v>
      </c>
      <c r="F4812" s="91">
        <f>COUNTIF($E$2:$E$7106,E4812)</f>
        <v>9</v>
      </c>
    </row>
    <row r="4813" spans="1:6" x14ac:dyDescent="0.2">
      <c r="A4813">
        <v>2016</v>
      </c>
      <c r="B4813" s="13">
        <v>6065</v>
      </c>
      <c r="C4813" s="90" t="str">
        <f>VLOOKUP(B4813,'All Districts'!$A$3:$B$874,2,FALSE)</f>
        <v>Orange-Ulster</v>
      </c>
      <c r="D4813" s="16">
        <v>4883405</v>
      </c>
      <c r="E4813">
        <f>VLOOKUP(C4813,'All Districts'!$B$3:$C$874,2,FALSE)</f>
        <v>3680620</v>
      </c>
      <c r="F4813" s="91">
        <f>COUNTIF($E$2:$E$7106,E4813)</f>
        <v>9</v>
      </c>
    </row>
    <row r="4814" spans="1:6" x14ac:dyDescent="0.2">
      <c r="A4814">
        <v>2017</v>
      </c>
      <c r="B4814" s="13">
        <v>6065</v>
      </c>
      <c r="C4814" s="90" t="str">
        <f>VLOOKUP(B4814,'All Districts'!$A$3:$B$874,2,FALSE)</f>
        <v>Orange-Ulster</v>
      </c>
      <c r="D4814" s="16">
        <v>4393227</v>
      </c>
      <c r="E4814">
        <f>VLOOKUP(C4814,'All Districts'!$B$3:$C$874,2,FALSE)</f>
        <v>3680620</v>
      </c>
      <c r="F4814" s="91">
        <f>COUNTIF($E$2:$E$7106,E4814)</f>
        <v>9</v>
      </c>
    </row>
    <row r="4815" spans="1:6" x14ac:dyDescent="0.2">
      <c r="A4815" s="10">
        <v>2018</v>
      </c>
      <c r="B4815" s="13">
        <v>6065</v>
      </c>
      <c r="C4815" s="90" t="str">
        <f>VLOOKUP(B4815,'All Districts'!$A$3:$B$874,2,FALSE)</f>
        <v>Orange-Ulster</v>
      </c>
      <c r="D4815" s="15">
        <v>3828550</v>
      </c>
      <c r="E4815">
        <f>VLOOKUP(C4815,'All Districts'!$B$3:$C$874,2,FALSE)</f>
        <v>3680620</v>
      </c>
      <c r="F4815" s="91">
        <f>COUNTIF($E$2:$E$7106,E4815)</f>
        <v>9</v>
      </c>
    </row>
    <row r="4816" spans="1:6" x14ac:dyDescent="0.2">
      <c r="A4816">
        <v>2019</v>
      </c>
      <c r="B4816" s="36">
        <v>6065</v>
      </c>
      <c r="C4816" s="90" t="str">
        <f>VLOOKUP(B4816,'All Districts'!$A$3:$B$874,2,FALSE)</f>
        <v>Orange-Ulster</v>
      </c>
      <c r="D4816" s="40">
        <v>4242238</v>
      </c>
      <c r="E4816">
        <f>VLOOKUP(C4816,'All Districts'!$B$3:$C$874,2,FALSE)</f>
        <v>3680620</v>
      </c>
      <c r="F4816" s="91">
        <f>COUNTIF($E$2:$E$7106,E4816)</f>
        <v>9</v>
      </c>
    </row>
    <row r="4817" spans="1:6" x14ac:dyDescent="0.2">
      <c r="A4817">
        <v>2020</v>
      </c>
      <c r="B4817" s="36">
        <v>6065</v>
      </c>
      <c r="C4817" s="90" t="str">
        <f>VLOOKUP(B4817,'All Districts'!$A$3:$B$874,2,FALSE)</f>
        <v>Orange-Ulster</v>
      </c>
      <c r="D4817" s="40">
        <v>3684346</v>
      </c>
      <c r="E4817">
        <f>VLOOKUP(C4817,'All Districts'!$B$3:$C$874,2,FALSE)</f>
        <v>3680620</v>
      </c>
      <c r="F4817" s="91">
        <f>COUNTIF($E$2:$E$7106,E4817)</f>
        <v>9</v>
      </c>
    </row>
    <row r="4818" spans="1:6" x14ac:dyDescent="0.2">
      <c r="A4818" s="10">
        <v>2021</v>
      </c>
      <c r="B4818" s="52">
        <v>6065</v>
      </c>
      <c r="C4818" s="90" t="str">
        <f>VLOOKUP(B4818,'All Districts'!$A$3:$B$874,2,FALSE)</f>
        <v>Orange-Ulster</v>
      </c>
      <c r="D4818" s="75">
        <v>3897438</v>
      </c>
      <c r="E4818">
        <f>VLOOKUP(C4818,'All Districts'!$B$3:$C$874,2,FALSE)</f>
        <v>3680620</v>
      </c>
      <c r="F4818" s="91">
        <f>COUNTIF($E$2:$E$7106,E4818)</f>
        <v>9</v>
      </c>
    </row>
    <row r="4819" spans="1:6" x14ac:dyDescent="0.2">
      <c r="A4819">
        <v>2022</v>
      </c>
      <c r="B4819" s="36">
        <v>6065</v>
      </c>
      <c r="C4819" s="90" t="str">
        <f>VLOOKUP(B4819,'All Districts'!$A$3:$B$874,2,FALSE)</f>
        <v>Orange-Ulster</v>
      </c>
      <c r="D4819" s="82">
        <v>4022067</v>
      </c>
      <c r="E4819">
        <f>VLOOKUP(C4819,'All Districts'!$B$3:$C$874,2,FALSE)</f>
        <v>3680620</v>
      </c>
      <c r="F4819" s="91">
        <f>COUNTIF($E$2:$E$7106,E4819)</f>
        <v>9</v>
      </c>
    </row>
    <row r="4820" spans="1:6" x14ac:dyDescent="0.2">
      <c r="A4820">
        <v>2023</v>
      </c>
      <c r="B4820" s="36">
        <v>6065</v>
      </c>
      <c r="C4820" s="90" t="str">
        <f>VLOOKUP(B4820,'All Districts'!$A$3:$B$874,2,FALSE)</f>
        <v>Orange-Ulster</v>
      </c>
      <c r="D4820" s="40">
        <v>4365979</v>
      </c>
      <c r="E4820">
        <f>VLOOKUP(C4820,'All Districts'!$B$3:$C$874,2,FALSE)</f>
        <v>3680620</v>
      </c>
      <c r="F4820" s="91">
        <f>COUNTIF($E$2:$E$7106,E4820)</f>
        <v>9</v>
      </c>
    </row>
    <row r="4821" spans="1:6" x14ac:dyDescent="0.2">
      <c r="A4821">
        <v>2015</v>
      </c>
      <c r="B4821" s="13">
        <v>2428</v>
      </c>
      <c r="C4821" s="90" t="str">
        <f>VLOOKUP(B4821,'All Districts'!$A$3:$B$874,2,FALSE)</f>
        <v>Orchard Park</v>
      </c>
      <c r="D4821" s="14">
        <v>5925299</v>
      </c>
      <c r="E4821">
        <f>VLOOKUP(C4821,'All Districts'!$B$3:$C$874,2,FALSE)</f>
        <v>3621900</v>
      </c>
      <c r="F4821" s="91">
        <f>COUNTIF($E$2:$E$7106,E4821)</f>
        <v>9</v>
      </c>
    </row>
    <row r="4822" spans="1:6" x14ac:dyDescent="0.2">
      <c r="A4822">
        <v>2016</v>
      </c>
      <c r="B4822" s="13">
        <v>2428</v>
      </c>
      <c r="C4822" s="90" t="str">
        <f>VLOOKUP(B4822,'All Districts'!$A$3:$B$874,2,FALSE)</f>
        <v>Orchard Park</v>
      </c>
      <c r="D4822" s="16">
        <v>4544626</v>
      </c>
      <c r="E4822">
        <f>VLOOKUP(C4822,'All Districts'!$B$3:$C$874,2,FALSE)</f>
        <v>3621900</v>
      </c>
      <c r="F4822" s="91">
        <f>COUNTIF($E$2:$E$7106,E4822)</f>
        <v>9</v>
      </c>
    </row>
    <row r="4823" spans="1:6" x14ac:dyDescent="0.2">
      <c r="A4823">
        <v>2017</v>
      </c>
      <c r="B4823" s="13">
        <v>2428</v>
      </c>
      <c r="C4823" s="90" t="str">
        <f>VLOOKUP(B4823,'All Districts'!$A$3:$B$874,2,FALSE)</f>
        <v>Orchard Park</v>
      </c>
      <c r="D4823" s="16">
        <v>4211592</v>
      </c>
      <c r="E4823">
        <f>VLOOKUP(C4823,'All Districts'!$B$3:$C$874,2,FALSE)</f>
        <v>3621900</v>
      </c>
      <c r="F4823" s="91">
        <f>COUNTIF($E$2:$E$7106,E4823)</f>
        <v>9</v>
      </c>
    </row>
    <row r="4824" spans="1:6" x14ac:dyDescent="0.2">
      <c r="A4824" s="10">
        <v>2018</v>
      </c>
      <c r="B4824" s="13">
        <v>2428</v>
      </c>
      <c r="C4824" s="90" t="str">
        <f>VLOOKUP(B4824,'All Districts'!$A$3:$B$874,2,FALSE)</f>
        <v>Orchard Park</v>
      </c>
      <c r="D4824" s="15">
        <v>3639700</v>
      </c>
      <c r="E4824">
        <f>VLOOKUP(C4824,'All Districts'!$B$3:$C$874,2,FALSE)</f>
        <v>3621900</v>
      </c>
      <c r="F4824" s="91">
        <f>COUNTIF($E$2:$E$7106,E4824)</f>
        <v>9</v>
      </c>
    </row>
    <row r="4825" spans="1:6" x14ac:dyDescent="0.2">
      <c r="A4825">
        <v>2019</v>
      </c>
      <c r="B4825" s="36">
        <v>2428</v>
      </c>
      <c r="C4825" s="90" t="str">
        <f>VLOOKUP(B4825,'All Districts'!$A$3:$B$874,2,FALSE)</f>
        <v>Orchard Park</v>
      </c>
      <c r="D4825" s="40">
        <v>4035661</v>
      </c>
      <c r="E4825">
        <f>VLOOKUP(C4825,'All Districts'!$B$3:$C$874,2,FALSE)</f>
        <v>3621900</v>
      </c>
      <c r="F4825" s="91">
        <f>COUNTIF($E$2:$E$7106,E4825)</f>
        <v>9</v>
      </c>
    </row>
    <row r="4826" spans="1:6" x14ac:dyDescent="0.2">
      <c r="A4826">
        <v>2020</v>
      </c>
      <c r="B4826" s="36">
        <v>2428</v>
      </c>
      <c r="C4826" s="90" t="str">
        <f>VLOOKUP(B4826,'All Districts'!$A$3:$B$874,2,FALSE)</f>
        <v>Orchard Park</v>
      </c>
      <c r="D4826" s="40">
        <v>3413902</v>
      </c>
      <c r="E4826">
        <f>VLOOKUP(C4826,'All Districts'!$B$3:$C$874,2,FALSE)</f>
        <v>3621900</v>
      </c>
      <c r="F4826" s="91">
        <f>COUNTIF($E$2:$E$7106,E4826)</f>
        <v>9</v>
      </c>
    </row>
    <row r="4827" spans="1:6" x14ac:dyDescent="0.2">
      <c r="A4827" s="10">
        <v>2021</v>
      </c>
      <c r="B4827" s="52">
        <v>2428</v>
      </c>
      <c r="C4827" s="90" t="str">
        <f>VLOOKUP(B4827,'All Districts'!$A$3:$B$874,2,FALSE)</f>
        <v>Orchard Park</v>
      </c>
      <c r="D4827" s="76">
        <v>3822923</v>
      </c>
      <c r="E4827">
        <f>VLOOKUP(C4827,'All Districts'!$B$3:$C$874,2,FALSE)</f>
        <v>3621900</v>
      </c>
      <c r="F4827" s="91">
        <f>COUNTIF($E$2:$E$7106,E4827)</f>
        <v>9</v>
      </c>
    </row>
    <row r="4828" spans="1:6" x14ac:dyDescent="0.2">
      <c r="A4828">
        <v>2022</v>
      </c>
      <c r="B4828" s="36">
        <v>2428</v>
      </c>
      <c r="C4828" s="90" t="str">
        <f>VLOOKUP(B4828,'All Districts'!$A$3:$B$874,2,FALSE)</f>
        <v>Orchard Park</v>
      </c>
      <c r="D4828" s="82">
        <v>4147215</v>
      </c>
      <c r="E4828">
        <f>VLOOKUP(C4828,'All Districts'!$B$3:$C$874,2,FALSE)</f>
        <v>3621900</v>
      </c>
      <c r="F4828" s="91">
        <f>COUNTIF($E$2:$E$7106,E4828)</f>
        <v>9</v>
      </c>
    </row>
    <row r="4829" spans="1:6" x14ac:dyDescent="0.2">
      <c r="A4829">
        <v>2023</v>
      </c>
      <c r="B4829" s="36">
        <v>2428</v>
      </c>
      <c r="C4829" s="90" t="str">
        <f>VLOOKUP(B4829,'All Districts'!$A$3:$B$874,2,FALSE)</f>
        <v>Orchard Park</v>
      </c>
      <c r="D4829" s="40">
        <v>4547057</v>
      </c>
      <c r="E4829">
        <f>VLOOKUP(C4829,'All Districts'!$B$3:$C$874,2,FALSE)</f>
        <v>3621900</v>
      </c>
      <c r="F4829" s="91">
        <f>COUNTIF($E$2:$E$7106,E4829)</f>
        <v>9</v>
      </c>
    </row>
    <row r="4830" spans="1:6" x14ac:dyDescent="0.2">
      <c r="A4830">
        <v>2015</v>
      </c>
      <c r="B4830" s="13">
        <v>4430</v>
      </c>
      <c r="C4830" s="90" t="str">
        <f>VLOOKUP(B4830,'All Districts'!$A$3:$B$874,2,FALSE)</f>
        <v>Oriskany</v>
      </c>
      <c r="D4830" s="14">
        <v>759907</v>
      </c>
      <c r="E4830">
        <f>VLOOKUP(C4830,'All Districts'!$B$3:$C$874,2,FALSE)</f>
        <v>3621960</v>
      </c>
      <c r="F4830" s="91">
        <f>COUNTIF($E$2:$E$7106,E4830)</f>
        <v>9</v>
      </c>
    </row>
    <row r="4831" spans="1:6" x14ac:dyDescent="0.2">
      <c r="A4831">
        <v>2016</v>
      </c>
      <c r="B4831" s="13">
        <v>4430</v>
      </c>
      <c r="C4831" s="90" t="str">
        <f>VLOOKUP(B4831,'All Districts'!$A$3:$B$874,2,FALSE)</f>
        <v>Oriskany</v>
      </c>
      <c r="D4831" s="16">
        <v>584899</v>
      </c>
      <c r="E4831">
        <f>VLOOKUP(C4831,'All Districts'!$B$3:$C$874,2,FALSE)</f>
        <v>3621960</v>
      </c>
      <c r="F4831" s="91">
        <f>COUNTIF($E$2:$E$7106,E4831)</f>
        <v>9</v>
      </c>
    </row>
    <row r="4832" spans="1:6" x14ac:dyDescent="0.2">
      <c r="A4832">
        <v>2017</v>
      </c>
      <c r="B4832" s="13">
        <v>4430</v>
      </c>
      <c r="C4832" s="90" t="str">
        <f>VLOOKUP(B4832,'All Districts'!$A$3:$B$874,2,FALSE)</f>
        <v>Oriskany</v>
      </c>
      <c r="D4832" s="16">
        <v>526486</v>
      </c>
      <c r="E4832">
        <f>VLOOKUP(C4832,'All Districts'!$B$3:$C$874,2,FALSE)</f>
        <v>3621960</v>
      </c>
      <c r="F4832" s="91">
        <f>COUNTIF($E$2:$E$7106,E4832)</f>
        <v>9</v>
      </c>
    </row>
    <row r="4833" spans="1:6" x14ac:dyDescent="0.2">
      <c r="A4833" s="10">
        <v>2018</v>
      </c>
      <c r="B4833" s="13">
        <v>4430</v>
      </c>
      <c r="C4833" s="90" t="str">
        <f>VLOOKUP(B4833,'All Districts'!$A$3:$B$874,2,FALSE)</f>
        <v>Oriskany</v>
      </c>
      <c r="D4833" s="15">
        <v>434791</v>
      </c>
      <c r="E4833">
        <f>VLOOKUP(C4833,'All Districts'!$B$3:$C$874,2,FALSE)</f>
        <v>3621960</v>
      </c>
      <c r="F4833" s="91">
        <f>COUNTIF($E$2:$E$7106,E4833)</f>
        <v>9</v>
      </c>
    </row>
    <row r="4834" spans="1:6" x14ac:dyDescent="0.2">
      <c r="A4834">
        <v>2019</v>
      </c>
      <c r="B4834" s="36">
        <v>4430</v>
      </c>
      <c r="C4834" s="90" t="str">
        <f>VLOOKUP(B4834,'All Districts'!$A$3:$B$874,2,FALSE)</f>
        <v>Oriskany</v>
      </c>
      <c r="D4834" s="40">
        <v>479799</v>
      </c>
      <c r="E4834">
        <f>VLOOKUP(C4834,'All Districts'!$B$3:$C$874,2,FALSE)</f>
        <v>3621960</v>
      </c>
      <c r="F4834" s="91">
        <f>COUNTIF($E$2:$E$7106,E4834)</f>
        <v>9</v>
      </c>
    </row>
    <row r="4835" spans="1:6" x14ac:dyDescent="0.2">
      <c r="A4835">
        <v>2020</v>
      </c>
      <c r="B4835" s="36">
        <v>4430</v>
      </c>
      <c r="C4835" s="90" t="str">
        <f>VLOOKUP(B4835,'All Districts'!$A$3:$B$874,2,FALSE)</f>
        <v>Oriskany</v>
      </c>
      <c r="D4835" s="40">
        <v>421469</v>
      </c>
      <c r="E4835">
        <f>VLOOKUP(C4835,'All Districts'!$B$3:$C$874,2,FALSE)</f>
        <v>3621960</v>
      </c>
      <c r="F4835" s="91">
        <f>COUNTIF($E$2:$E$7106,E4835)</f>
        <v>9</v>
      </c>
    </row>
    <row r="4836" spans="1:6" x14ac:dyDescent="0.2">
      <c r="A4836" s="10">
        <v>2021</v>
      </c>
      <c r="B4836" s="52">
        <v>4430</v>
      </c>
      <c r="C4836" s="90" t="str">
        <f>VLOOKUP(B4836,'All Districts'!$A$3:$B$874,2,FALSE)</f>
        <v>Oriskany</v>
      </c>
      <c r="D4836" s="76">
        <v>453182</v>
      </c>
      <c r="E4836">
        <f>VLOOKUP(C4836,'All Districts'!$B$3:$C$874,2,FALSE)</f>
        <v>3621960</v>
      </c>
      <c r="F4836" s="91">
        <f>COUNTIF($E$2:$E$7106,E4836)</f>
        <v>9</v>
      </c>
    </row>
    <row r="4837" spans="1:6" x14ac:dyDescent="0.2">
      <c r="A4837">
        <v>2022</v>
      </c>
      <c r="B4837" s="36">
        <v>4430</v>
      </c>
      <c r="C4837" s="90" t="str">
        <f>VLOOKUP(B4837,'All Districts'!$A$3:$B$874,2,FALSE)</f>
        <v>Oriskany</v>
      </c>
      <c r="D4837" s="82">
        <v>482932</v>
      </c>
      <c r="E4837">
        <f>VLOOKUP(C4837,'All Districts'!$B$3:$C$874,2,FALSE)</f>
        <v>3621960</v>
      </c>
      <c r="F4837" s="91">
        <f>COUNTIF($E$2:$E$7106,E4837)</f>
        <v>9</v>
      </c>
    </row>
    <row r="4838" spans="1:6" x14ac:dyDescent="0.2">
      <c r="A4838">
        <v>2023</v>
      </c>
      <c r="B4838" s="36">
        <v>4430</v>
      </c>
      <c r="C4838" s="90" t="str">
        <f>VLOOKUP(B4838,'All Districts'!$A$3:$B$874,2,FALSE)</f>
        <v>Oriskany</v>
      </c>
      <c r="D4838" s="40">
        <v>509386</v>
      </c>
      <c r="E4838">
        <f>VLOOKUP(C4838,'All Districts'!$B$3:$C$874,2,FALSE)</f>
        <v>3621960</v>
      </c>
      <c r="F4838" s="91">
        <f>COUNTIF($E$2:$E$7106,E4838)</f>
        <v>9</v>
      </c>
    </row>
    <row r="4839" spans="1:6" x14ac:dyDescent="0.2">
      <c r="A4839">
        <v>2015</v>
      </c>
      <c r="B4839" s="13">
        <v>6067</v>
      </c>
      <c r="C4839" s="90" t="str">
        <f>VLOOKUP(B4839,'All Districts'!$A$3:$B$874,2,FALSE)</f>
        <v>Orleans-Niagara</v>
      </c>
      <c r="D4839" s="15">
        <v>3174744</v>
      </c>
      <c r="E4839">
        <f>VLOOKUP(C4839,'All Districts'!$B$3:$C$874,2,FALSE)</f>
        <v>3680640</v>
      </c>
      <c r="F4839" s="91">
        <f>COUNTIF($E$2:$E$7106,E4839)</f>
        <v>9</v>
      </c>
    </row>
    <row r="4840" spans="1:6" x14ac:dyDescent="0.2">
      <c r="A4840">
        <v>2016</v>
      </c>
      <c r="B4840" s="13">
        <v>6067</v>
      </c>
      <c r="C4840" s="90" t="str">
        <f>VLOOKUP(B4840,'All Districts'!$A$3:$B$874,2,FALSE)</f>
        <v>Orleans-Niagara</v>
      </c>
      <c r="D4840" s="16">
        <v>2452303</v>
      </c>
      <c r="E4840">
        <f>VLOOKUP(C4840,'All Districts'!$B$3:$C$874,2,FALSE)</f>
        <v>3680640</v>
      </c>
      <c r="F4840" s="91">
        <f>COUNTIF($E$2:$E$7106,E4840)</f>
        <v>9</v>
      </c>
    </row>
    <row r="4841" spans="1:6" x14ac:dyDescent="0.2">
      <c r="A4841">
        <v>2017</v>
      </c>
      <c r="B4841" s="13">
        <v>6067</v>
      </c>
      <c r="C4841" s="90" t="str">
        <f>VLOOKUP(B4841,'All Districts'!$A$3:$B$874,2,FALSE)</f>
        <v>Orleans-Niagara</v>
      </c>
      <c r="D4841" s="16">
        <v>2292533</v>
      </c>
      <c r="E4841">
        <f>VLOOKUP(C4841,'All Districts'!$B$3:$C$874,2,FALSE)</f>
        <v>3680640</v>
      </c>
      <c r="F4841" s="91">
        <f>COUNTIF($E$2:$E$7106,E4841)</f>
        <v>9</v>
      </c>
    </row>
    <row r="4842" spans="1:6" x14ac:dyDescent="0.2">
      <c r="A4842" s="10">
        <v>2018</v>
      </c>
      <c r="B4842" s="13">
        <v>6067</v>
      </c>
      <c r="C4842" s="90" t="str">
        <f>VLOOKUP(B4842,'All Districts'!$A$3:$B$874,2,FALSE)</f>
        <v>Orleans-Niagara</v>
      </c>
      <c r="D4842" s="15">
        <v>1965316</v>
      </c>
      <c r="E4842">
        <f>VLOOKUP(C4842,'All Districts'!$B$3:$C$874,2,FALSE)</f>
        <v>3680640</v>
      </c>
      <c r="F4842" s="91">
        <f>COUNTIF($E$2:$E$7106,E4842)</f>
        <v>9</v>
      </c>
    </row>
    <row r="4843" spans="1:6" x14ac:dyDescent="0.2">
      <c r="A4843">
        <v>2019</v>
      </c>
      <c r="B4843" s="36">
        <v>6067</v>
      </c>
      <c r="C4843" s="90" t="str">
        <f>VLOOKUP(B4843,'All Districts'!$A$3:$B$874,2,FALSE)</f>
        <v>Orleans-Niagara</v>
      </c>
      <c r="D4843" s="40">
        <v>2217253</v>
      </c>
      <c r="E4843">
        <f>VLOOKUP(C4843,'All Districts'!$B$3:$C$874,2,FALSE)</f>
        <v>3680640</v>
      </c>
      <c r="F4843" s="91">
        <f>COUNTIF($E$2:$E$7106,E4843)</f>
        <v>9</v>
      </c>
    </row>
    <row r="4844" spans="1:6" x14ac:dyDescent="0.2">
      <c r="A4844">
        <v>2020</v>
      </c>
      <c r="B4844" s="36">
        <v>6067</v>
      </c>
      <c r="C4844" s="90" t="str">
        <f>VLOOKUP(B4844,'All Districts'!$A$3:$B$874,2,FALSE)</f>
        <v>Orleans-Niagara</v>
      </c>
      <c r="D4844" s="40">
        <v>1887315</v>
      </c>
      <c r="E4844">
        <f>VLOOKUP(C4844,'All Districts'!$B$3:$C$874,2,FALSE)</f>
        <v>3680640</v>
      </c>
      <c r="F4844" s="91">
        <f>COUNTIF($E$2:$E$7106,E4844)</f>
        <v>9</v>
      </c>
    </row>
    <row r="4845" spans="1:6" x14ac:dyDescent="0.2">
      <c r="A4845" s="10">
        <v>2021</v>
      </c>
      <c r="B4845" s="52">
        <v>6067</v>
      </c>
      <c r="C4845" s="90" t="str">
        <f>VLOOKUP(B4845,'All Districts'!$A$3:$B$874,2,FALSE)</f>
        <v>Orleans-Niagara</v>
      </c>
      <c r="D4845" s="76">
        <v>1962688</v>
      </c>
      <c r="E4845">
        <f>VLOOKUP(C4845,'All Districts'!$B$3:$C$874,2,FALSE)</f>
        <v>3680640</v>
      </c>
      <c r="F4845" s="91">
        <f>COUNTIF($E$2:$E$7106,E4845)</f>
        <v>9</v>
      </c>
    </row>
    <row r="4846" spans="1:6" x14ac:dyDescent="0.2">
      <c r="A4846">
        <v>2022</v>
      </c>
      <c r="B4846" s="36">
        <v>6067</v>
      </c>
      <c r="C4846" s="90" t="str">
        <f>VLOOKUP(B4846,'All Districts'!$A$3:$B$874,2,FALSE)</f>
        <v>Orleans-Niagara</v>
      </c>
      <c r="D4846" s="82">
        <v>1975140</v>
      </c>
      <c r="E4846">
        <f>VLOOKUP(C4846,'All Districts'!$B$3:$C$874,2,FALSE)</f>
        <v>3680640</v>
      </c>
      <c r="F4846" s="91">
        <f>COUNTIF($E$2:$E$7106,E4846)</f>
        <v>9</v>
      </c>
    </row>
    <row r="4847" spans="1:6" x14ac:dyDescent="0.2">
      <c r="A4847">
        <v>2023</v>
      </c>
      <c r="B4847" s="36">
        <v>6067</v>
      </c>
      <c r="C4847" s="90" t="str">
        <f>VLOOKUP(B4847,'All Districts'!$A$3:$B$874,2,FALSE)</f>
        <v>Orleans-Niagara</v>
      </c>
      <c r="D4847" s="40">
        <v>2087755</v>
      </c>
      <c r="E4847">
        <f>VLOOKUP(C4847,'All Districts'!$B$3:$C$874,2,FALSE)</f>
        <v>3680640</v>
      </c>
      <c r="F4847" s="91">
        <f>COUNTIF($E$2:$E$7106,E4847)</f>
        <v>9</v>
      </c>
    </row>
    <row r="4848" spans="1:6" x14ac:dyDescent="0.2">
      <c r="A4848">
        <v>2015</v>
      </c>
      <c r="B4848" s="13">
        <v>2430</v>
      </c>
      <c r="C4848" s="90" t="str">
        <f>VLOOKUP(B4848,'All Districts'!$A$3:$B$874,2,FALSE)</f>
        <v>Ossining</v>
      </c>
      <c r="D4848" s="14">
        <v>8838156</v>
      </c>
      <c r="E4848">
        <f>VLOOKUP(C4848,'All Districts'!$B$3:$C$874,2,FALSE)</f>
        <v>3622020</v>
      </c>
      <c r="F4848" s="91">
        <f>COUNTIF($E$2:$E$7106,E4848)</f>
        <v>9</v>
      </c>
    </row>
    <row r="4849" spans="1:6" x14ac:dyDescent="0.2">
      <c r="A4849">
        <v>2016</v>
      </c>
      <c r="B4849" s="13">
        <v>2430</v>
      </c>
      <c r="C4849" s="90" t="str">
        <f>VLOOKUP(B4849,'All Districts'!$A$3:$B$874,2,FALSE)</f>
        <v>Ossining</v>
      </c>
      <c r="D4849" s="16">
        <v>6764084</v>
      </c>
      <c r="E4849">
        <f>VLOOKUP(C4849,'All Districts'!$B$3:$C$874,2,FALSE)</f>
        <v>3622020</v>
      </c>
      <c r="F4849" s="91">
        <f>COUNTIF($E$2:$E$7106,E4849)</f>
        <v>9</v>
      </c>
    </row>
    <row r="4850" spans="1:6" x14ac:dyDescent="0.2">
      <c r="A4850">
        <v>2017</v>
      </c>
      <c r="B4850" s="13">
        <v>2430</v>
      </c>
      <c r="C4850" s="90" t="str">
        <f>VLOOKUP(B4850,'All Districts'!$A$3:$B$874,2,FALSE)</f>
        <v>Ossining</v>
      </c>
      <c r="D4850" s="16">
        <v>6196463</v>
      </c>
      <c r="E4850">
        <f>VLOOKUP(C4850,'All Districts'!$B$3:$C$874,2,FALSE)</f>
        <v>3622020</v>
      </c>
      <c r="F4850" s="91">
        <f>COUNTIF($E$2:$E$7106,E4850)</f>
        <v>9</v>
      </c>
    </row>
    <row r="4851" spans="1:6" x14ac:dyDescent="0.2">
      <c r="A4851" s="10">
        <v>2018</v>
      </c>
      <c r="B4851" s="13">
        <v>2430</v>
      </c>
      <c r="C4851" s="90" t="str">
        <f>VLOOKUP(B4851,'All Districts'!$A$3:$B$874,2,FALSE)</f>
        <v>Ossining</v>
      </c>
      <c r="D4851" s="15">
        <v>5364856</v>
      </c>
      <c r="E4851">
        <f>VLOOKUP(C4851,'All Districts'!$B$3:$C$874,2,FALSE)</f>
        <v>3622020</v>
      </c>
      <c r="F4851" s="91">
        <f>COUNTIF($E$2:$E$7106,E4851)</f>
        <v>9</v>
      </c>
    </row>
    <row r="4852" spans="1:6" x14ac:dyDescent="0.2">
      <c r="A4852">
        <v>2019</v>
      </c>
      <c r="B4852" s="36">
        <v>2430</v>
      </c>
      <c r="C4852" s="90" t="str">
        <f>VLOOKUP(B4852,'All Districts'!$A$3:$B$874,2,FALSE)</f>
        <v>Ossining</v>
      </c>
      <c r="D4852" s="40">
        <v>5953941</v>
      </c>
      <c r="E4852">
        <f>VLOOKUP(C4852,'All Districts'!$B$3:$C$874,2,FALSE)</f>
        <v>3622020</v>
      </c>
      <c r="F4852" s="91">
        <f>COUNTIF($E$2:$E$7106,E4852)</f>
        <v>9</v>
      </c>
    </row>
    <row r="4853" spans="1:6" x14ac:dyDescent="0.2">
      <c r="A4853">
        <v>2020</v>
      </c>
      <c r="B4853" s="36">
        <v>2430</v>
      </c>
      <c r="C4853" s="90" t="str">
        <f>VLOOKUP(B4853,'All Districts'!$A$3:$B$874,2,FALSE)</f>
        <v>Ossining</v>
      </c>
      <c r="D4853" s="40">
        <v>5069642</v>
      </c>
      <c r="E4853">
        <f>VLOOKUP(C4853,'All Districts'!$B$3:$C$874,2,FALSE)</f>
        <v>3622020</v>
      </c>
      <c r="F4853" s="91">
        <f>COUNTIF($E$2:$E$7106,E4853)</f>
        <v>9</v>
      </c>
    </row>
    <row r="4854" spans="1:6" x14ac:dyDescent="0.2">
      <c r="A4854" s="10">
        <v>2021</v>
      </c>
      <c r="B4854" s="52">
        <v>2430</v>
      </c>
      <c r="C4854" s="90" t="str">
        <f>VLOOKUP(B4854,'All Districts'!$A$3:$B$874,2,FALSE)</f>
        <v>Ossining</v>
      </c>
      <c r="D4854" s="76">
        <v>5479390</v>
      </c>
      <c r="E4854">
        <f>VLOOKUP(C4854,'All Districts'!$B$3:$C$874,2,FALSE)</f>
        <v>3622020</v>
      </c>
      <c r="F4854" s="91">
        <f>COUNTIF($E$2:$E$7106,E4854)</f>
        <v>9</v>
      </c>
    </row>
    <row r="4855" spans="1:6" x14ac:dyDescent="0.2">
      <c r="A4855">
        <v>2022</v>
      </c>
      <c r="B4855" s="36">
        <v>2430</v>
      </c>
      <c r="C4855" s="90" t="str">
        <f>VLOOKUP(B4855,'All Districts'!$A$3:$B$874,2,FALSE)</f>
        <v>Ossining</v>
      </c>
      <c r="D4855" s="82">
        <v>5930166</v>
      </c>
      <c r="E4855">
        <f>VLOOKUP(C4855,'All Districts'!$B$3:$C$874,2,FALSE)</f>
        <v>3622020</v>
      </c>
      <c r="F4855" s="91">
        <f>COUNTIF($E$2:$E$7106,E4855)</f>
        <v>9</v>
      </c>
    </row>
    <row r="4856" spans="1:6" x14ac:dyDescent="0.2">
      <c r="A4856">
        <v>2023</v>
      </c>
      <c r="B4856" s="36">
        <v>2430</v>
      </c>
      <c r="C4856" s="90" t="str">
        <f>VLOOKUP(B4856,'All Districts'!$A$3:$B$874,2,FALSE)</f>
        <v>Ossining</v>
      </c>
      <c r="D4856" s="40">
        <v>6775592</v>
      </c>
      <c r="E4856">
        <f>VLOOKUP(C4856,'All Districts'!$B$3:$C$874,2,FALSE)</f>
        <v>3622020</v>
      </c>
      <c r="F4856" s="91">
        <f>COUNTIF($E$2:$E$7106,E4856)</f>
        <v>9</v>
      </c>
    </row>
    <row r="4857" spans="1:6" x14ac:dyDescent="0.2">
      <c r="A4857">
        <v>2015</v>
      </c>
      <c r="B4857" s="13">
        <v>3106</v>
      </c>
      <c r="C4857" s="90" t="str">
        <f>VLOOKUP(B4857,'All Districts'!$A$3:$B$874,2,FALSE)</f>
        <v>Genesee Valley</v>
      </c>
      <c r="D4857" s="14">
        <v>714555</v>
      </c>
      <c r="E4857">
        <f>VLOOKUP(C4857,'All Districts'!$B$3:$C$874,2,FALSE)</f>
        <v>3600017</v>
      </c>
      <c r="F4857" s="91">
        <f>COUNTIF($E$2:$E$7106,E4857)</f>
        <v>9</v>
      </c>
    </row>
    <row r="4858" spans="1:6" x14ac:dyDescent="0.2">
      <c r="A4858">
        <v>2016</v>
      </c>
      <c r="B4858" s="13">
        <v>3106</v>
      </c>
      <c r="C4858" s="90" t="str">
        <f>VLOOKUP(B4858,'All Districts'!$A$3:$B$874,2,FALSE)</f>
        <v>Genesee Valley</v>
      </c>
      <c r="D4858" s="16">
        <v>582229</v>
      </c>
      <c r="E4858">
        <f>VLOOKUP(C4858,'All Districts'!$B$3:$C$874,2,FALSE)</f>
        <v>3600017</v>
      </c>
      <c r="F4858" s="91">
        <f>COUNTIF($E$2:$E$7106,E4858)</f>
        <v>9</v>
      </c>
    </row>
    <row r="4859" spans="1:6" x14ac:dyDescent="0.2">
      <c r="A4859">
        <v>2017</v>
      </c>
      <c r="B4859" s="13">
        <v>3106</v>
      </c>
      <c r="C4859" s="90" t="str">
        <f>VLOOKUP(B4859,'All Districts'!$A$3:$B$874,2,FALSE)</f>
        <v>Genesee Valley</v>
      </c>
      <c r="D4859" s="16">
        <v>550634</v>
      </c>
      <c r="E4859">
        <f>VLOOKUP(C4859,'All Districts'!$B$3:$C$874,2,FALSE)</f>
        <v>3600017</v>
      </c>
      <c r="F4859" s="91">
        <f>COUNTIF($E$2:$E$7106,E4859)</f>
        <v>9</v>
      </c>
    </row>
    <row r="4860" spans="1:6" x14ac:dyDescent="0.2">
      <c r="A4860" s="10">
        <v>2018</v>
      </c>
      <c r="B4860" s="13">
        <v>3106</v>
      </c>
      <c r="C4860" s="90" t="str">
        <f>VLOOKUP(B4860,'All Districts'!$A$3:$B$874,2,FALSE)</f>
        <v>Genesee Valley</v>
      </c>
      <c r="D4860" s="15">
        <v>473196</v>
      </c>
      <c r="E4860">
        <f>VLOOKUP(C4860,'All Districts'!$B$3:$C$874,2,FALSE)</f>
        <v>3600017</v>
      </c>
      <c r="F4860" s="91">
        <f>COUNTIF($E$2:$E$7106,E4860)</f>
        <v>9</v>
      </c>
    </row>
    <row r="4861" spans="1:6" x14ac:dyDescent="0.2">
      <c r="A4861">
        <v>2019</v>
      </c>
      <c r="B4861" s="36">
        <v>3106</v>
      </c>
      <c r="C4861" s="90" t="str">
        <f>VLOOKUP(B4861,'All Districts'!$A$3:$B$874,2,FALSE)</f>
        <v>Genesee Valley</v>
      </c>
      <c r="D4861" s="40">
        <v>517491</v>
      </c>
      <c r="E4861">
        <f>VLOOKUP(C4861,'All Districts'!$B$3:$C$874,2,FALSE)</f>
        <v>3600017</v>
      </c>
      <c r="F4861" s="91">
        <f>COUNTIF($E$2:$E$7106,E4861)</f>
        <v>9</v>
      </c>
    </row>
    <row r="4862" spans="1:6" x14ac:dyDescent="0.2">
      <c r="A4862">
        <v>2020</v>
      </c>
      <c r="B4862" s="36">
        <v>3106</v>
      </c>
      <c r="C4862" s="90" t="str">
        <f>VLOOKUP(B4862,'All Districts'!$A$3:$B$874,2,FALSE)</f>
        <v>Genesee Valley</v>
      </c>
      <c r="D4862" s="40">
        <v>434989</v>
      </c>
      <c r="E4862">
        <f>VLOOKUP(C4862,'All Districts'!$B$3:$C$874,2,FALSE)</f>
        <v>3600017</v>
      </c>
      <c r="F4862" s="91">
        <f>COUNTIF($E$2:$E$7106,E4862)</f>
        <v>9</v>
      </c>
    </row>
    <row r="4863" spans="1:6" x14ac:dyDescent="0.2">
      <c r="A4863" s="10">
        <v>2021</v>
      </c>
      <c r="B4863" s="55">
        <v>3106</v>
      </c>
      <c r="C4863" s="90" t="str">
        <f>VLOOKUP(B4863,'All Districts'!$A$3:$B$874,2,FALSE)</f>
        <v>Genesee Valley</v>
      </c>
      <c r="D4863" s="75">
        <v>458322</v>
      </c>
      <c r="E4863">
        <f>VLOOKUP(C4863,'All Districts'!$B$3:$C$874,2,FALSE)</f>
        <v>3600017</v>
      </c>
      <c r="F4863" s="91">
        <f>COUNTIF($E$2:$E$7106,E4863)</f>
        <v>9</v>
      </c>
    </row>
    <row r="4864" spans="1:6" x14ac:dyDescent="0.2">
      <c r="A4864">
        <v>2022</v>
      </c>
      <c r="B4864" s="36">
        <v>3106</v>
      </c>
      <c r="C4864" s="90" t="str">
        <f>VLOOKUP(B4864,'All Districts'!$A$3:$B$874,2,FALSE)</f>
        <v>Genesee Valley</v>
      </c>
      <c r="D4864" s="82">
        <v>494759</v>
      </c>
      <c r="E4864">
        <f>VLOOKUP(C4864,'All Districts'!$B$3:$C$874,2,FALSE)</f>
        <v>3600017</v>
      </c>
      <c r="F4864" s="91">
        <f>COUNTIF($E$2:$E$7106,E4864)</f>
        <v>9</v>
      </c>
    </row>
    <row r="4865" spans="1:6" x14ac:dyDescent="0.2">
      <c r="A4865">
        <v>2023</v>
      </c>
      <c r="B4865" s="36">
        <v>3106</v>
      </c>
      <c r="C4865" s="90" t="str">
        <f>VLOOKUP(B4865,'All Districts'!$A$3:$B$874,2,FALSE)</f>
        <v>Genesee Valley</v>
      </c>
      <c r="D4865" s="40">
        <v>556712</v>
      </c>
      <c r="E4865">
        <f>VLOOKUP(C4865,'All Districts'!$B$3:$C$874,2,FALSE)</f>
        <v>3600017</v>
      </c>
      <c r="F4865" s="91">
        <f>COUNTIF($E$2:$E$7106,E4865)</f>
        <v>9</v>
      </c>
    </row>
    <row r="4866" spans="1:6" x14ac:dyDescent="0.2">
      <c r="A4866">
        <v>2015</v>
      </c>
      <c r="B4866" s="13">
        <v>3561</v>
      </c>
      <c r="C4866" s="90" t="str">
        <f>VLOOKUP(B4866,'All Districts'!$A$3:$B$874,2,FALSE)</f>
        <v>Otego-Unadilla</v>
      </c>
      <c r="D4866" s="14">
        <v>1081266</v>
      </c>
      <c r="E4866">
        <f>VLOOKUP(C4866,'All Districts'!$B$3:$C$874,2,FALSE)</f>
        <v>3629240</v>
      </c>
      <c r="F4866" s="91">
        <f>COUNTIF($E$2:$E$7106,E4866)</f>
        <v>9</v>
      </c>
    </row>
    <row r="4867" spans="1:6" x14ac:dyDescent="0.2">
      <c r="A4867">
        <v>2016</v>
      </c>
      <c r="B4867" s="13">
        <v>3561</v>
      </c>
      <c r="C4867" s="90" t="str">
        <f>VLOOKUP(B4867,'All Districts'!$A$3:$B$874,2,FALSE)</f>
        <v>Otego-Unadilla</v>
      </c>
      <c r="D4867" s="16">
        <v>847746</v>
      </c>
      <c r="E4867">
        <f>VLOOKUP(C4867,'All Districts'!$B$3:$C$874,2,FALSE)</f>
        <v>3629240</v>
      </c>
      <c r="F4867" s="91">
        <f>COUNTIF($E$2:$E$7106,E4867)</f>
        <v>9</v>
      </c>
    </row>
    <row r="4868" spans="1:6" x14ac:dyDescent="0.2">
      <c r="A4868">
        <v>2017</v>
      </c>
      <c r="B4868" s="13">
        <v>3561</v>
      </c>
      <c r="C4868" s="90" t="str">
        <f>VLOOKUP(B4868,'All Districts'!$A$3:$B$874,2,FALSE)</f>
        <v>Otego-Unadilla</v>
      </c>
      <c r="D4868" s="16">
        <v>738259</v>
      </c>
      <c r="E4868">
        <f>VLOOKUP(C4868,'All Districts'!$B$3:$C$874,2,FALSE)</f>
        <v>3629240</v>
      </c>
      <c r="F4868" s="91">
        <f>COUNTIF($E$2:$E$7106,E4868)</f>
        <v>9</v>
      </c>
    </row>
    <row r="4869" spans="1:6" x14ac:dyDescent="0.2">
      <c r="A4869" s="10">
        <v>2018</v>
      </c>
      <c r="B4869" s="13">
        <v>3561</v>
      </c>
      <c r="C4869" s="90" t="str">
        <f>VLOOKUP(B4869,'All Districts'!$A$3:$B$874,2,FALSE)</f>
        <v>Otego-Unadilla</v>
      </c>
      <c r="D4869" s="15">
        <v>597153</v>
      </c>
      <c r="E4869">
        <f>VLOOKUP(C4869,'All Districts'!$B$3:$C$874,2,FALSE)</f>
        <v>3629240</v>
      </c>
      <c r="F4869" s="91">
        <f>COUNTIF($E$2:$E$7106,E4869)</f>
        <v>9</v>
      </c>
    </row>
    <row r="4870" spans="1:6" x14ac:dyDescent="0.2">
      <c r="A4870">
        <v>2019</v>
      </c>
      <c r="B4870" s="36">
        <v>3561</v>
      </c>
      <c r="C4870" s="90" t="str">
        <f>VLOOKUP(B4870,'All Districts'!$A$3:$B$874,2,FALSE)</f>
        <v>Otego-Unadilla</v>
      </c>
      <c r="D4870" s="40">
        <v>634228</v>
      </c>
      <c r="E4870">
        <f>VLOOKUP(C4870,'All Districts'!$B$3:$C$874,2,FALSE)</f>
        <v>3629240</v>
      </c>
      <c r="F4870" s="91">
        <f>COUNTIF($E$2:$E$7106,E4870)</f>
        <v>9</v>
      </c>
    </row>
    <row r="4871" spans="1:6" x14ac:dyDescent="0.2">
      <c r="A4871">
        <v>2020</v>
      </c>
      <c r="B4871" s="36">
        <v>3561</v>
      </c>
      <c r="C4871" s="90" t="str">
        <f>VLOOKUP(B4871,'All Districts'!$A$3:$B$874,2,FALSE)</f>
        <v>Otego-Unadilla</v>
      </c>
      <c r="D4871" s="40">
        <v>572592</v>
      </c>
      <c r="E4871">
        <f>VLOOKUP(C4871,'All Districts'!$B$3:$C$874,2,FALSE)</f>
        <v>3629240</v>
      </c>
      <c r="F4871" s="91">
        <f>COUNTIF($E$2:$E$7106,E4871)</f>
        <v>9</v>
      </c>
    </row>
    <row r="4872" spans="1:6" x14ac:dyDescent="0.2">
      <c r="A4872" s="10">
        <v>2021</v>
      </c>
      <c r="B4872" s="55">
        <v>3561</v>
      </c>
      <c r="C4872" s="90" t="str">
        <f>VLOOKUP(B4872,'All Districts'!$A$3:$B$874,2,FALSE)</f>
        <v>Otego-Unadilla</v>
      </c>
      <c r="D4872" s="76">
        <v>595531</v>
      </c>
      <c r="E4872">
        <f>VLOOKUP(C4872,'All Districts'!$B$3:$C$874,2,FALSE)</f>
        <v>3629240</v>
      </c>
      <c r="F4872" s="91">
        <f>COUNTIF($E$2:$E$7106,E4872)</f>
        <v>9</v>
      </c>
    </row>
    <row r="4873" spans="1:6" x14ac:dyDescent="0.2">
      <c r="A4873">
        <v>2022</v>
      </c>
      <c r="B4873" s="36">
        <v>3561</v>
      </c>
      <c r="C4873" s="90" t="str">
        <f>VLOOKUP(B4873,'All Districts'!$A$3:$B$874,2,FALSE)</f>
        <v>Otego-Unadilla</v>
      </c>
      <c r="D4873" s="82">
        <v>632394</v>
      </c>
      <c r="E4873">
        <f>VLOOKUP(C4873,'All Districts'!$B$3:$C$874,2,FALSE)</f>
        <v>3629240</v>
      </c>
      <c r="F4873" s="91">
        <f>COUNTIF($E$2:$E$7106,E4873)</f>
        <v>9</v>
      </c>
    </row>
    <row r="4874" spans="1:6" x14ac:dyDescent="0.2">
      <c r="A4874">
        <v>2023</v>
      </c>
      <c r="B4874" s="36">
        <v>3561</v>
      </c>
      <c r="C4874" s="90" t="str">
        <f>VLOOKUP(B4874,'All Districts'!$A$3:$B$874,2,FALSE)</f>
        <v>Otego-Unadilla</v>
      </c>
      <c r="D4874" s="40">
        <v>677841</v>
      </c>
      <c r="E4874">
        <f>VLOOKUP(C4874,'All Districts'!$B$3:$C$874,2,FALSE)</f>
        <v>3629240</v>
      </c>
      <c r="F4874" s="91">
        <f>COUNTIF($E$2:$E$7106,E4874)</f>
        <v>9</v>
      </c>
    </row>
    <row r="4875" spans="1:6" x14ac:dyDescent="0.2">
      <c r="A4875">
        <v>2015</v>
      </c>
      <c r="B4875" s="13">
        <v>6040</v>
      </c>
      <c r="C4875" s="90" t="str">
        <f>VLOOKUP(B4875,'All Districts'!$A$3:$B$874,2,FALSE)</f>
        <v>Otsego-Delaware-Schoharie-Greene (Otsego Northern Catskills - ONC)</v>
      </c>
      <c r="D4875" s="15">
        <v>1111633</v>
      </c>
      <c r="E4875">
        <f>VLOOKUP(C4875,'All Districts'!$B$3:$C$874,2,FALSE)</f>
        <v>3680380</v>
      </c>
      <c r="F4875" s="91">
        <f>COUNTIF($E$2:$E$7106,E4875)</f>
        <v>9</v>
      </c>
    </row>
    <row r="4876" spans="1:6" x14ac:dyDescent="0.2">
      <c r="A4876">
        <v>2016</v>
      </c>
      <c r="B4876" s="13">
        <v>6040</v>
      </c>
      <c r="C4876" s="90" t="str">
        <f>VLOOKUP(B4876,'All Districts'!$A$3:$B$874,2,FALSE)</f>
        <v>Otsego-Delaware-Schoharie-Greene (Otsego Northern Catskills - ONC)</v>
      </c>
      <c r="D4876" s="16">
        <v>864056</v>
      </c>
      <c r="E4876">
        <f>VLOOKUP(C4876,'All Districts'!$B$3:$C$874,2,FALSE)</f>
        <v>3680380</v>
      </c>
      <c r="F4876" s="91">
        <f>COUNTIF($E$2:$E$7106,E4876)</f>
        <v>9</v>
      </c>
    </row>
    <row r="4877" spans="1:6" x14ac:dyDescent="0.2">
      <c r="A4877">
        <v>2017</v>
      </c>
      <c r="B4877" s="13">
        <v>6040</v>
      </c>
      <c r="C4877" s="90" t="str">
        <f>VLOOKUP(B4877,'All Districts'!$A$3:$B$874,2,FALSE)</f>
        <v>Otsego-Delaware-Schoharie-Greene (Otsego Northern Catskills - ONC)</v>
      </c>
      <c r="D4877" s="16">
        <v>765567</v>
      </c>
      <c r="E4877">
        <f>VLOOKUP(C4877,'All Districts'!$B$3:$C$874,2,FALSE)</f>
        <v>3680380</v>
      </c>
      <c r="F4877" s="91">
        <f>COUNTIF($E$2:$E$7106,E4877)</f>
        <v>9</v>
      </c>
    </row>
    <row r="4878" spans="1:6" x14ac:dyDescent="0.2">
      <c r="A4878" s="10">
        <v>2018</v>
      </c>
      <c r="B4878" s="13">
        <v>6040</v>
      </c>
      <c r="C4878" s="90" t="str">
        <f>VLOOKUP(B4878,'All Districts'!$A$3:$B$874,2,FALSE)</f>
        <v>Otsego-Delaware-Schoharie-Greene (Otsego Northern Catskills - ONC)</v>
      </c>
      <c r="D4878" s="15">
        <v>639751</v>
      </c>
      <c r="E4878">
        <f>VLOOKUP(C4878,'All Districts'!$B$3:$C$874,2,FALSE)</f>
        <v>3680380</v>
      </c>
      <c r="F4878" s="91">
        <f>COUNTIF($E$2:$E$7106,E4878)</f>
        <v>9</v>
      </c>
    </row>
    <row r="4879" spans="1:6" x14ac:dyDescent="0.2">
      <c r="A4879">
        <v>2019</v>
      </c>
      <c r="B4879" s="36">
        <v>6040</v>
      </c>
      <c r="C4879" s="90" t="str">
        <f>VLOOKUP(B4879,'All Districts'!$A$3:$B$874,2,FALSE)</f>
        <v>Otsego-Delaware-Schoharie-Greene (Otsego Northern Catskills - ONC)</v>
      </c>
      <c r="D4879" s="40">
        <v>768955</v>
      </c>
      <c r="E4879">
        <f>VLOOKUP(C4879,'All Districts'!$B$3:$C$874,2,FALSE)</f>
        <v>3680380</v>
      </c>
      <c r="F4879" s="91">
        <f>COUNTIF($E$2:$E$7106,E4879)</f>
        <v>9</v>
      </c>
    </row>
    <row r="4880" spans="1:6" x14ac:dyDescent="0.2">
      <c r="A4880">
        <v>2020</v>
      </c>
      <c r="B4880" s="36">
        <v>6040</v>
      </c>
      <c r="C4880" s="90" t="str">
        <f>VLOOKUP(B4880,'All Districts'!$A$3:$B$874,2,FALSE)</f>
        <v>Otsego-Delaware-Schoharie-Greene (Otsego Northern Catskills - ONC)</v>
      </c>
      <c r="D4880" s="40">
        <v>690941</v>
      </c>
      <c r="E4880">
        <f>VLOOKUP(C4880,'All Districts'!$B$3:$C$874,2,FALSE)</f>
        <v>3680380</v>
      </c>
      <c r="F4880" s="91">
        <f>COUNTIF($E$2:$E$7106,E4880)</f>
        <v>9</v>
      </c>
    </row>
    <row r="4881" spans="1:6" x14ac:dyDescent="0.2">
      <c r="A4881" s="10">
        <v>2021</v>
      </c>
      <c r="B4881" s="55">
        <v>6040</v>
      </c>
      <c r="C4881" s="90" t="str">
        <f>VLOOKUP(B4881,'All Districts'!$A$3:$B$874,2,FALSE)</f>
        <v>Otsego-Delaware-Schoharie-Greene (Otsego Northern Catskills - ONC)</v>
      </c>
      <c r="D4881" s="76">
        <v>735726</v>
      </c>
      <c r="E4881">
        <f>VLOOKUP(C4881,'All Districts'!$B$3:$C$874,2,FALSE)</f>
        <v>3680380</v>
      </c>
      <c r="F4881" s="91">
        <f>COUNTIF($E$2:$E$7106,E4881)</f>
        <v>9</v>
      </c>
    </row>
    <row r="4882" spans="1:6" x14ac:dyDescent="0.2">
      <c r="A4882">
        <v>2022</v>
      </c>
      <c r="B4882" s="36">
        <v>6040</v>
      </c>
      <c r="C4882" s="90" t="str">
        <f>VLOOKUP(B4882,'All Districts'!$A$3:$B$874,2,FALSE)</f>
        <v>Otsego-Delaware-Schoharie-Greene (Otsego Northern Catskills - ONC)</v>
      </c>
      <c r="D4882" s="82">
        <v>735957</v>
      </c>
      <c r="E4882">
        <f>VLOOKUP(C4882,'All Districts'!$B$3:$C$874,2,FALSE)</f>
        <v>3680380</v>
      </c>
      <c r="F4882" s="91">
        <f>COUNTIF($E$2:$E$7106,E4882)</f>
        <v>9</v>
      </c>
    </row>
    <row r="4883" spans="1:6" x14ac:dyDescent="0.2">
      <c r="A4883">
        <v>2023</v>
      </c>
      <c r="B4883" s="36">
        <v>6040</v>
      </c>
      <c r="C4883" s="90" t="str">
        <f>VLOOKUP(B4883,'All Districts'!$A$3:$B$874,2,FALSE)</f>
        <v>Otsego-Delaware-Schoharie-Greene (Otsego Northern Catskills - ONC)</v>
      </c>
      <c r="D4883" s="40">
        <v>701204</v>
      </c>
      <c r="E4883">
        <f>VLOOKUP(C4883,'All Districts'!$B$3:$C$874,2,FALSE)</f>
        <v>3680380</v>
      </c>
      <c r="F4883" s="91">
        <f>COUNTIF($E$2:$E$7106,E4883)</f>
        <v>9</v>
      </c>
    </row>
    <row r="4884" spans="1:6" x14ac:dyDescent="0.2">
      <c r="A4884">
        <v>2015</v>
      </c>
      <c r="B4884" s="13">
        <v>2435</v>
      </c>
      <c r="C4884" s="90" t="str">
        <f>VLOOKUP(B4884,'All Districts'!$A$3:$B$874,2,FALSE)</f>
        <v>Owego-Apalachin</v>
      </c>
      <c r="D4884" s="14">
        <v>2329991</v>
      </c>
      <c r="E4884">
        <f>VLOOKUP(C4884,'All Districts'!$B$3:$C$874,2,FALSE)</f>
        <v>3622170</v>
      </c>
      <c r="F4884" s="91">
        <f>COUNTIF($E$2:$E$7106,E4884)</f>
        <v>9</v>
      </c>
    </row>
    <row r="4885" spans="1:6" x14ac:dyDescent="0.2">
      <c r="A4885">
        <v>2016</v>
      </c>
      <c r="B4885" s="13">
        <v>2435</v>
      </c>
      <c r="C4885" s="90" t="str">
        <f>VLOOKUP(B4885,'All Districts'!$A$3:$B$874,2,FALSE)</f>
        <v>Owego-Apalachin</v>
      </c>
      <c r="D4885" s="16">
        <v>1818356</v>
      </c>
      <c r="E4885">
        <f>VLOOKUP(C4885,'All Districts'!$B$3:$C$874,2,FALSE)</f>
        <v>3622170</v>
      </c>
      <c r="F4885" s="91">
        <f>COUNTIF($E$2:$E$7106,E4885)</f>
        <v>9</v>
      </c>
    </row>
    <row r="4886" spans="1:6" x14ac:dyDescent="0.2">
      <c r="A4886">
        <v>2017</v>
      </c>
      <c r="B4886" s="13">
        <v>2435</v>
      </c>
      <c r="C4886" s="90" t="str">
        <f>VLOOKUP(B4886,'All Districts'!$A$3:$B$874,2,FALSE)</f>
        <v>Owego-Apalachin</v>
      </c>
      <c r="D4886" s="16">
        <v>1695500</v>
      </c>
      <c r="E4886">
        <f>VLOOKUP(C4886,'All Districts'!$B$3:$C$874,2,FALSE)</f>
        <v>3622170</v>
      </c>
      <c r="F4886" s="91">
        <f>COUNTIF($E$2:$E$7106,E4886)</f>
        <v>9</v>
      </c>
    </row>
    <row r="4887" spans="1:6" x14ac:dyDescent="0.2">
      <c r="A4887" s="10">
        <v>2018</v>
      </c>
      <c r="B4887" s="13">
        <v>2435</v>
      </c>
      <c r="C4887" s="90" t="str">
        <f>VLOOKUP(B4887,'All Districts'!$A$3:$B$874,2,FALSE)</f>
        <v>Owego-Apalachin</v>
      </c>
      <c r="D4887" s="15">
        <v>1415679</v>
      </c>
      <c r="E4887">
        <f>VLOOKUP(C4887,'All Districts'!$B$3:$C$874,2,FALSE)</f>
        <v>3622170</v>
      </c>
      <c r="F4887" s="91">
        <f>COUNTIF($E$2:$E$7106,E4887)</f>
        <v>9</v>
      </c>
    </row>
    <row r="4888" spans="1:6" x14ac:dyDescent="0.2">
      <c r="A4888">
        <v>2019</v>
      </c>
      <c r="B4888" s="36">
        <v>2435</v>
      </c>
      <c r="C4888" s="90" t="str">
        <f>VLOOKUP(B4888,'All Districts'!$A$3:$B$874,2,FALSE)</f>
        <v>Owego-Apalachin</v>
      </c>
      <c r="D4888" s="40">
        <v>1551569</v>
      </c>
      <c r="E4888">
        <f>VLOOKUP(C4888,'All Districts'!$B$3:$C$874,2,FALSE)</f>
        <v>3622170</v>
      </c>
      <c r="F4888" s="91">
        <f>COUNTIF($E$2:$E$7106,E4888)</f>
        <v>9</v>
      </c>
    </row>
    <row r="4889" spans="1:6" x14ac:dyDescent="0.2">
      <c r="A4889">
        <v>2020</v>
      </c>
      <c r="B4889" s="36">
        <v>2435</v>
      </c>
      <c r="C4889" s="90" t="str">
        <f>VLOOKUP(B4889,'All Districts'!$A$3:$B$874,2,FALSE)</f>
        <v>Owego-Apalachin</v>
      </c>
      <c r="D4889" s="40">
        <v>1293624</v>
      </c>
      <c r="E4889">
        <f>VLOOKUP(C4889,'All Districts'!$B$3:$C$874,2,FALSE)</f>
        <v>3622170</v>
      </c>
      <c r="F4889" s="91">
        <f>COUNTIF($E$2:$E$7106,E4889)</f>
        <v>9</v>
      </c>
    </row>
    <row r="4890" spans="1:6" x14ac:dyDescent="0.2">
      <c r="A4890" s="10">
        <v>2021</v>
      </c>
      <c r="B4890" s="55">
        <v>2435</v>
      </c>
      <c r="C4890" s="90" t="str">
        <f>VLOOKUP(B4890,'All Districts'!$A$3:$B$874,2,FALSE)</f>
        <v>Owego-Apalachin</v>
      </c>
      <c r="D4890" s="76">
        <v>1348089</v>
      </c>
      <c r="E4890">
        <f>VLOOKUP(C4890,'All Districts'!$B$3:$C$874,2,FALSE)</f>
        <v>3622170</v>
      </c>
      <c r="F4890" s="91">
        <f>COUNTIF($E$2:$E$7106,E4890)</f>
        <v>9</v>
      </c>
    </row>
    <row r="4891" spans="1:6" x14ac:dyDescent="0.2">
      <c r="A4891">
        <v>2022</v>
      </c>
      <c r="B4891" s="36">
        <v>2435</v>
      </c>
      <c r="C4891" s="90" t="str">
        <f>VLOOKUP(B4891,'All Districts'!$A$3:$B$874,2,FALSE)</f>
        <v>Owego-Apalachin</v>
      </c>
      <c r="D4891" s="82">
        <v>1504213</v>
      </c>
      <c r="E4891">
        <f>VLOOKUP(C4891,'All Districts'!$B$3:$C$874,2,FALSE)</f>
        <v>3622170</v>
      </c>
      <c r="F4891" s="91">
        <f>COUNTIF($E$2:$E$7106,E4891)</f>
        <v>9</v>
      </c>
    </row>
    <row r="4892" spans="1:6" x14ac:dyDescent="0.2">
      <c r="A4892">
        <v>2023</v>
      </c>
      <c r="B4892" s="36">
        <v>2435</v>
      </c>
      <c r="C4892" s="90" t="str">
        <f>VLOOKUP(B4892,'All Districts'!$A$3:$B$874,2,FALSE)</f>
        <v>Owego-Apalachin</v>
      </c>
      <c r="D4892" s="40">
        <v>1728595</v>
      </c>
      <c r="E4892">
        <f>VLOOKUP(C4892,'All Districts'!$B$3:$C$874,2,FALSE)</f>
        <v>3622170</v>
      </c>
      <c r="F4892" s="91">
        <f>COUNTIF($E$2:$E$7106,E4892)</f>
        <v>9</v>
      </c>
    </row>
    <row r="4893" spans="1:6" x14ac:dyDescent="0.2">
      <c r="A4893">
        <v>2015</v>
      </c>
      <c r="B4893" s="13">
        <v>3592</v>
      </c>
      <c r="C4893" s="90" t="str">
        <f>VLOOKUP(B4893,'All Districts'!$A$3:$B$874,2,FALSE)</f>
        <v>Oxford Academy</v>
      </c>
      <c r="D4893" s="14">
        <v>962645</v>
      </c>
      <c r="E4893">
        <f>VLOOKUP(C4893,'All Districts'!$B$3:$C$874,2,FALSE)</f>
        <v>3622260</v>
      </c>
      <c r="F4893" s="91">
        <f>COUNTIF($E$2:$E$7106,E4893)</f>
        <v>9</v>
      </c>
    </row>
    <row r="4894" spans="1:6" x14ac:dyDescent="0.2">
      <c r="A4894">
        <v>2016</v>
      </c>
      <c r="B4894" s="13">
        <v>3592</v>
      </c>
      <c r="C4894" s="90" t="str">
        <f>VLOOKUP(B4894,'All Districts'!$A$3:$B$874,2,FALSE)</f>
        <v>Oxford Academy</v>
      </c>
      <c r="D4894" s="16">
        <v>754903</v>
      </c>
      <c r="E4894">
        <f>VLOOKUP(C4894,'All Districts'!$B$3:$C$874,2,FALSE)</f>
        <v>3622260</v>
      </c>
      <c r="F4894" s="91">
        <f>COUNTIF($E$2:$E$7106,E4894)</f>
        <v>9</v>
      </c>
    </row>
    <row r="4895" spans="1:6" x14ac:dyDescent="0.2">
      <c r="A4895">
        <v>2017</v>
      </c>
      <c r="B4895" s="13">
        <v>3592</v>
      </c>
      <c r="C4895" s="90" t="str">
        <f>VLOOKUP(B4895,'All Districts'!$A$3:$B$874,2,FALSE)</f>
        <v>Oxford Academy</v>
      </c>
      <c r="D4895" s="16">
        <v>690536</v>
      </c>
      <c r="E4895">
        <f>VLOOKUP(C4895,'All Districts'!$B$3:$C$874,2,FALSE)</f>
        <v>3622260</v>
      </c>
      <c r="F4895" s="91">
        <f>COUNTIF($E$2:$E$7106,E4895)</f>
        <v>9</v>
      </c>
    </row>
    <row r="4896" spans="1:6" x14ac:dyDescent="0.2">
      <c r="A4896" s="10">
        <v>2018</v>
      </c>
      <c r="B4896" s="13">
        <v>3592</v>
      </c>
      <c r="C4896" s="90" t="str">
        <f>VLOOKUP(B4896,'All Districts'!$A$3:$B$874,2,FALSE)</f>
        <v>Oxford Academy</v>
      </c>
      <c r="D4896" s="15">
        <v>580626</v>
      </c>
      <c r="E4896">
        <f>VLOOKUP(C4896,'All Districts'!$B$3:$C$874,2,FALSE)</f>
        <v>3622260</v>
      </c>
      <c r="F4896" s="91">
        <f>COUNTIF($E$2:$E$7106,E4896)</f>
        <v>9</v>
      </c>
    </row>
    <row r="4897" spans="1:6" x14ac:dyDescent="0.2">
      <c r="A4897">
        <v>2019</v>
      </c>
      <c r="B4897" s="36">
        <v>3592</v>
      </c>
      <c r="C4897" s="90" t="str">
        <f>VLOOKUP(B4897,'All Districts'!$A$3:$B$874,2,FALSE)</f>
        <v>Oxford Academy</v>
      </c>
      <c r="D4897" s="40">
        <v>639783</v>
      </c>
      <c r="E4897">
        <f>VLOOKUP(C4897,'All Districts'!$B$3:$C$874,2,FALSE)</f>
        <v>3622260</v>
      </c>
      <c r="F4897" s="91">
        <f>COUNTIF($E$2:$E$7106,E4897)</f>
        <v>9</v>
      </c>
    </row>
    <row r="4898" spans="1:6" x14ac:dyDescent="0.2">
      <c r="A4898">
        <v>2020</v>
      </c>
      <c r="B4898" s="36">
        <v>3592</v>
      </c>
      <c r="C4898" s="90" t="str">
        <f>VLOOKUP(B4898,'All Districts'!$A$3:$B$874,2,FALSE)</f>
        <v>Oxford Academy</v>
      </c>
      <c r="D4898" s="40">
        <v>529063</v>
      </c>
      <c r="E4898">
        <f>VLOOKUP(C4898,'All Districts'!$B$3:$C$874,2,FALSE)</f>
        <v>3622260</v>
      </c>
      <c r="F4898" s="91">
        <f>COUNTIF($E$2:$E$7106,E4898)</f>
        <v>9</v>
      </c>
    </row>
    <row r="4899" spans="1:6" x14ac:dyDescent="0.2">
      <c r="A4899" s="10">
        <v>2021</v>
      </c>
      <c r="B4899" s="52">
        <v>3592</v>
      </c>
      <c r="C4899" s="90" t="str">
        <f>VLOOKUP(B4899,'All Districts'!$A$3:$B$874,2,FALSE)</f>
        <v>Oxford Academy</v>
      </c>
      <c r="D4899" s="76">
        <v>563495</v>
      </c>
      <c r="E4899">
        <f>VLOOKUP(C4899,'All Districts'!$B$3:$C$874,2,FALSE)</f>
        <v>3622260</v>
      </c>
      <c r="F4899" s="91">
        <f>COUNTIF($E$2:$E$7106,E4899)</f>
        <v>9</v>
      </c>
    </row>
    <row r="4900" spans="1:6" x14ac:dyDescent="0.2">
      <c r="A4900">
        <v>2022</v>
      </c>
      <c r="B4900" s="36">
        <v>3592</v>
      </c>
      <c r="C4900" s="90" t="str">
        <f>VLOOKUP(B4900,'All Districts'!$A$3:$B$874,2,FALSE)</f>
        <v>Oxford Academy</v>
      </c>
      <c r="D4900" s="82">
        <v>610329</v>
      </c>
      <c r="E4900">
        <f>VLOOKUP(C4900,'All Districts'!$B$3:$C$874,2,FALSE)</f>
        <v>3622260</v>
      </c>
      <c r="F4900" s="91">
        <f>COUNTIF($E$2:$E$7106,E4900)</f>
        <v>9</v>
      </c>
    </row>
    <row r="4901" spans="1:6" x14ac:dyDescent="0.2">
      <c r="A4901">
        <v>2023</v>
      </c>
      <c r="B4901" s="36">
        <v>3592</v>
      </c>
      <c r="C4901" s="90" t="str">
        <f>VLOOKUP(B4901,'All Districts'!$A$3:$B$874,2,FALSE)</f>
        <v>Oxford Academy</v>
      </c>
      <c r="D4901" s="40">
        <v>655267</v>
      </c>
      <c r="E4901">
        <f>VLOOKUP(C4901,'All Districts'!$B$3:$C$874,2,FALSE)</f>
        <v>3622260</v>
      </c>
      <c r="F4901" s="91">
        <f>COUNTIF($E$2:$E$7106,E4901)</f>
        <v>9</v>
      </c>
    </row>
    <row r="4902" spans="1:6" x14ac:dyDescent="0.2">
      <c r="A4902">
        <v>2015</v>
      </c>
      <c r="B4902" s="13">
        <v>2440</v>
      </c>
      <c r="C4902" s="90" t="str">
        <f>VLOOKUP(B4902,'All Districts'!$A$3:$B$874,2,FALSE)</f>
        <v>Oyster Bay-East Norwich</v>
      </c>
      <c r="D4902" s="14">
        <v>4068722</v>
      </c>
      <c r="E4902">
        <f>VLOOKUP(C4902,'All Districts'!$B$3:$C$874,2,FALSE)</f>
        <v>3622290</v>
      </c>
      <c r="F4902" s="91">
        <f>COUNTIF($E$2:$E$7106,E4902)</f>
        <v>9</v>
      </c>
    </row>
    <row r="4903" spans="1:6" x14ac:dyDescent="0.2">
      <c r="A4903">
        <v>2016</v>
      </c>
      <c r="B4903" s="13">
        <v>2440</v>
      </c>
      <c r="C4903" s="90" t="str">
        <f>VLOOKUP(B4903,'All Districts'!$A$3:$B$874,2,FALSE)</f>
        <v>Oyster Bay-East Norwich</v>
      </c>
      <c r="D4903" s="16">
        <v>3028514</v>
      </c>
      <c r="E4903">
        <f>VLOOKUP(C4903,'All Districts'!$B$3:$C$874,2,FALSE)</f>
        <v>3622290</v>
      </c>
      <c r="F4903" s="91">
        <f>COUNTIF($E$2:$E$7106,E4903)</f>
        <v>9</v>
      </c>
    </row>
    <row r="4904" spans="1:6" x14ac:dyDescent="0.2">
      <c r="A4904">
        <v>2017</v>
      </c>
      <c r="B4904" s="13">
        <v>2440</v>
      </c>
      <c r="C4904" s="90" t="str">
        <f>VLOOKUP(B4904,'All Districts'!$A$3:$B$874,2,FALSE)</f>
        <v>Oyster Bay-East Norwich</v>
      </c>
      <c r="D4904" s="16">
        <v>2739700</v>
      </c>
      <c r="E4904">
        <f>VLOOKUP(C4904,'All Districts'!$B$3:$C$874,2,FALSE)</f>
        <v>3622290</v>
      </c>
      <c r="F4904" s="91">
        <f>COUNTIF($E$2:$E$7106,E4904)</f>
        <v>9</v>
      </c>
    </row>
    <row r="4905" spans="1:6" x14ac:dyDescent="0.2">
      <c r="A4905" s="10">
        <v>2018</v>
      </c>
      <c r="B4905" s="13">
        <v>2440</v>
      </c>
      <c r="C4905" s="90" t="str">
        <f>VLOOKUP(B4905,'All Districts'!$A$3:$B$874,2,FALSE)</f>
        <v>Oyster Bay-East Norwich</v>
      </c>
      <c r="D4905" s="15">
        <v>2320907</v>
      </c>
      <c r="E4905">
        <f>VLOOKUP(C4905,'All Districts'!$B$3:$C$874,2,FALSE)</f>
        <v>3622290</v>
      </c>
      <c r="F4905" s="91">
        <f>COUNTIF($E$2:$E$7106,E4905)</f>
        <v>9</v>
      </c>
    </row>
    <row r="4906" spans="1:6" x14ac:dyDescent="0.2">
      <c r="A4906">
        <v>2019</v>
      </c>
      <c r="B4906" s="36">
        <v>2440</v>
      </c>
      <c r="C4906" s="90" t="str">
        <f>VLOOKUP(B4906,'All Districts'!$A$3:$B$874,2,FALSE)</f>
        <v>Oyster Bay-East Norwich</v>
      </c>
      <c r="D4906" s="40">
        <v>2598638</v>
      </c>
      <c r="E4906">
        <f>VLOOKUP(C4906,'All Districts'!$B$3:$C$874,2,FALSE)</f>
        <v>3622290</v>
      </c>
      <c r="F4906" s="91">
        <f>COUNTIF($E$2:$E$7106,E4906)</f>
        <v>9</v>
      </c>
    </row>
    <row r="4907" spans="1:6" x14ac:dyDescent="0.2">
      <c r="A4907">
        <v>2020</v>
      </c>
      <c r="B4907" s="36">
        <v>2440</v>
      </c>
      <c r="C4907" s="90" t="str">
        <f>VLOOKUP(B4907,'All Districts'!$A$3:$B$874,2,FALSE)</f>
        <v>Oyster Bay-East Norwich</v>
      </c>
      <c r="D4907" s="40">
        <v>2187076</v>
      </c>
      <c r="E4907">
        <f>VLOOKUP(C4907,'All Districts'!$B$3:$C$874,2,FALSE)</f>
        <v>3622290</v>
      </c>
      <c r="F4907" s="91">
        <f>COUNTIF($E$2:$E$7106,E4907)</f>
        <v>9</v>
      </c>
    </row>
    <row r="4908" spans="1:6" x14ac:dyDescent="0.2">
      <c r="A4908" s="10">
        <v>2021</v>
      </c>
      <c r="B4908" s="52">
        <v>2440</v>
      </c>
      <c r="C4908" s="90" t="str">
        <f>VLOOKUP(B4908,'All Districts'!$A$3:$B$874,2,FALSE)</f>
        <v>Oyster Bay-East Norwich</v>
      </c>
      <c r="D4908" s="76">
        <v>2429950</v>
      </c>
      <c r="E4908">
        <f>VLOOKUP(C4908,'All Districts'!$B$3:$C$874,2,FALSE)</f>
        <v>3622290</v>
      </c>
      <c r="F4908" s="91">
        <f>COUNTIF($E$2:$E$7106,E4908)</f>
        <v>9</v>
      </c>
    </row>
    <row r="4909" spans="1:6" x14ac:dyDescent="0.2">
      <c r="A4909">
        <v>2022</v>
      </c>
      <c r="B4909" s="36">
        <v>2440</v>
      </c>
      <c r="C4909" s="90" t="str">
        <f>VLOOKUP(B4909,'All Districts'!$A$3:$B$874,2,FALSE)</f>
        <v>Oyster Bay-East Norwich</v>
      </c>
      <c r="D4909" s="82">
        <v>2536565</v>
      </c>
      <c r="E4909">
        <f>VLOOKUP(C4909,'All Districts'!$B$3:$C$874,2,FALSE)</f>
        <v>3622290</v>
      </c>
      <c r="F4909" s="91">
        <f>COUNTIF($E$2:$E$7106,E4909)</f>
        <v>9</v>
      </c>
    </row>
    <row r="4910" spans="1:6" x14ac:dyDescent="0.2">
      <c r="A4910">
        <v>2023</v>
      </c>
      <c r="B4910" s="36">
        <v>2440</v>
      </c>
      <c r="C4910" s="90" t="str">
        <f>VLOOKUP(B4910,'All Districts'!$A$3:$B$874,2,FALSE)</f>
        <v>Oyster Bay-East Norwich</v>
      </c>
      <c r="D4910" s="40">
        <v>2730108</v>
      </c>
      <c r="E4910">
        <f>VLOOKUP(C4910,'All Districts'!$B$3:$C$874,2,FALSE)</f>
        <v>3622290</v>
      </c>
      <c r="F4910" s="91">
        <f>COUNTIF($E$2:$E$7106,E4910)</f>
        <v>9</v>
      </c>
    </row>
    <row r="4911" spans="1:6" x14ac:dyDescent="0.2">
      <c r="A4911">
        <v>2015</v>
      </c>
      <c r="B4911" s="13">
        <v>5369</v>
      </c>
      <c r="C4911" s="90" t="str">
        <f>VLOOKUP(B4911,'All Districts'!$A$3:$B$874,2,FALSE)</f>
        <v>Oysterponds</v>
      </c>
      <c r="D4911" s="14">
        <v>193806</v>
      </c>
      <c r="E4911">
        <f>VLOOKUP(C4911,'All Districts'!$B$3:$C$874,2,FALSE)</f>
        <v>3621930</v>
      </c>
      <c r="F4911" s="91">
        <f>COUNTIF($E$2:$E$7106,E4911)</f>
        <v>9</v>
      </c>
    </row>
    <row r="4912" spans="1:6" x14ac:dyDescent="0.2">
      <c r="A4912">
        <v>2016</v>
      </c>
      <c r="B4912" s="13">
        <v>5369</v>
      </c>
      <c r="C4912" s="90" t="str">
        <f>VLOOKUP(B4912,'All Districts'!$A$3:$B$874,2,FALSE)</f>
        <v>Oysterponds</v>
      </c>
      <c r="D4912" s="16">
        <v>159416</v>
      </c>
      <c r="E4912">
        <f>VLOOKUP(C4912,'All Districts'!$B$3:$C$874,2,FALSE)</f>
        <v>3621930</v>
      </c>
      <c r="F4912" s="91">
        <f>COUNTIF($E$2:$E$7106,E4912)</f>
        <v>9</v>
      </c>
    </row>
    <row r="4913" spans="1:6" x14ac:dyDescent="0.2">
      <c r="A4913">
        <v>2017</v>
      </c>
      <c r="B4913" s="13">
        <v>5369</v>
      </c>
      <c r="C4913" s="90" t="str">
        <f>VLOOKUP(B4913,'All Districts'!$A$3:$B$874,2,FALSE)</f>
        <v>Oysterponds</v>
      </c>
      <c r="D4913" s="16">
        <v>161466</v>
      </c>
      <c r="E4913">
        <f>VLOOKUP(C4913,'All Districts'!$B$3:$C$874,2,FALSE)</f>
        <v>3621930</v>
      </c>
      <c r="F4913" s="91">
        <f>COUNTIF($E$2:$E$7106,E4913)</f>
        <v>9</v>
      </c>
    </row>
    <row r="4914" spans="1:6" x14ac:dyDescent="0.2">
      <c r="A4914" s="10">
        <v>2018</v>
      </c>
      <c r="B4914" s="13">
        <v>5369</v>
      </c>
      <c r="C4914" s="90" t="str">
        <f>VLOOKUP(B4914,'All Districts'!$A$3:$B$874,2,FALSE)</f>
        <v>Oysterponds</v>
      </c>
      <c r="D4914" s="15">
        <v>136077</v>
      </c>
      <c r="E4914">
        <f>VLOOKUP(C4914,'All Districts'!$B$3:$C$874,2,FALSE)</f>
        <v>3621930</v>
      </c>
      <c r="F4914" s="91">
        <f>COUNTIF($E$2:$E$7106,E4914)</f>
        <v>9</v>
      </c>
    </row>
    <row r="4915" spans="1:6" x14ac:dyDescent="0.2">
      <c r="A4915">
        <v>2019</v>
      </c>
      <c r="B4915" s="36">
        <v>5369</v>
      </c>
      <c r="C4915" s="90" t="str">
        <f>VLOOKUP(B4915,'All Districts'!$A$3:$B$874,2,FALSE)</f>
        <v>Oysterponds</v>
      </c>
      <c r="D4915" s="40">
        <v>158912</v>
      </c>
      <c r="E4915">
        <f>VLOOKUP(C4915,'All Districts'!$B$3:$C$874,2,FALSE)</f>
        <v>3621930</v>
      </c>
      <c r="F4915" s="91">
        <f>COUNTIF($E$2:$E$7106,E4915)</f>
        <v>9</v>
      </c>
    </row>
    <row r="4916" spans="1:6" x14ac:dyDescent="0.2">
      <c r="A4916">
        <v>2020</v>
      </c>
      <c r="B4916" s="36">
        <v>5369</v>
      </c>
      <c r="C4916" s="90" t="str">
        <f>VLOOKUP(B4916,'All Districts'!$A$3:$B$874,2,FALSE)</f>
        <v>Oysterponds</v>
      </c>
      <c r="D4916" s="40">
        <v>135937</v>
      </c>
      <c r="E4916">
        <f>VLOOKUP(C4916,'All Districts'!$B$3:$C$874,2,FALSE)</f>
        <v>3621930</v>
      </c>
      <c r="F4916" s="91">
        <f>COUNTIF($E$2:$E$7106,E4916)</f>
        <v>9</v>
      </c>
    </row>
    <row r="4917" spans="1:6" x14ac:dyDescent="0.2">
      <c r="A4917" s="10">
        <v>2021</v>
      </c>
      <c r="B4917" s="52">
        <v>5369</v>
      </c>
      <c r="C4917" s="90" t="str">
        <f>VLOOKUP(B4917,'All Districts'!$A$3:$B$874,2,FALSE)</f>
        <v>Oysterponds</v>
      </c>
      <c r="D4917" s="76">
        <v>136433</v>
      </c>
      <c r="E4917">
        <f>VLOOKUP(C4917,'All Districts'!$B$3:$C$874,2,FALSE)</f>
        <v>3621930</v>
      </c>
      <c r="F4917" s="91">
        <f>COUNTIF($E$2:$E$7106,E4917)</f>
        <v>9</v>
      </c>
    </row>
    <row r="4918" spans="1:6" x14ac:dyDescent="0.2">
      <c r="A4918">
        <v>2022</v>
      </c>
      <c r="B4918" s="36">
        <v>5369</v>
      </c>
      <c r="C4918" s="90" t="str">
        <f>VLOOKUP(B4918,'All Districts'!$A$3:$B$874,2,FALSE)</f>
        <v>Oysterponds</v>
      </c>
      <c r="D4918" s="82">
        <v>141329</v>
      </c>
      <c r="E4918">
        <f>VLOOKUP(C4918,'All Districts'!$B$3:$C$874,2,FALSE)</f>
        <v>3621930</v>
      </c>
      <c r="F4918" s="91">
        <f>COUNTIF($E$2:$E$7106,E4918)</f>
        <v>9</v>
      </c>
    </row>
    <row r="4919" spans="1:6" x14ac:dyDescent="0.2">
      <c r="A4919">
        <v>2023</v>
      </c>
      <c r="B4919" s="36">
        <v>5369</v>
      </c>
      <c r="C4919" s="90" t="str">
        <f>VLOOKUP(B4919,'All Districts'!$A$3:$B$874,2,FALSE)</f>
        <v>Oysterponds</v>
      </c>
      <c r="D4919" s="40">
        <v>151578</v>
      </c>
      <c r="E4919">
        <f>VLOOKUP(C4919,'All Districts'!$B$3:$C$874,2,FALSE)</f>
        <v>3621930</v>
      </c>
      <c r="F4919" s="91">
        <f>COUNTIF($E$2:$E$7106,E4919)</f>
        <v>9</v>
      </c>
    </row>
    <row r="4920" spans="1:6" x14ac:dyDescent="0.2">
      <c r="A4920">
        <v>2015</v>
      </c>
      <c r="B4920" s="13">
        <v>2441</v>
      </c>
      <c r="C4920" s="90" t="str">
        <f>VLOOKUP(B4920,'All Districts'!$A$3:$B$874,2,FALSE)</f>
        <v>Palmyra-Macedon</v>
      </c>
      <c r="D4920" s="14">
        <v>2259563</v>
      </c>
      <c r="E4920">
        <f>VLOOKUP(C4920,'All Districts'!$B$3:$C$874,2,FALSE)</f>
        <v>3622380</v>
      </c>
      <c r="F4920" s="91">
        <f>COUNTIF($E$2:$E$7106,E4920)</f>
        <v>9</v>
      </c>
    </row>
    <row r="4921" spans="1:6" x14ac:dyDescent="0.2">
      <c r="A4921">
        <v>2016</v>
      </c>
      <c r="B4921" s="13">
        <v>2441</v>
      </c>
      <c r="C4921" s="90" t="str">
        <f>VLOOKUP(B4921,'All Districts'!$A$3:$B$874,2,FALSE)</f>
        <v>Palmyra-Macedon</v>
      </c>
      <c r="D4921" s="16">
        <v>1737164</v>
      </c>
      <c r="E4921">
        <f>VLOOKUP(C4921,'All Districts'!$B$3:$C$874,2,FALSE)</f>
        <v>3622380</v>
      </c>
      <c r="F4921" s="91">
        <f>COUNTIF($E$2:$E$7106,E4921)</f>
        <v>9</v>
      </c>
    </row>
    <row r="4922" spans="1:6" x14ac:dyDescent="0.2">
      <c r="A4922">
        <v>2017</v>
      </c>
      <c r="B4922" s="13">
        <v>2441</v>
      </c>
      <c r="C4922" s="90" t="str">
        <f>VLOOKUP(B4922,'All Districts'!$A$3:$B$874,2,FALSE)</f>
        <v>Palmyra-Macedon</v>
      </c>
      <c r="D4922" s="16">
        <v>1600561</v>
      </c>
      <c r="E4922">
        <f>VLOOKUP(C4922,'All Districts'!$B$3:$C$874,2,FALSE)</f>
        <v>3622380</v>
      </c>
      <c r="F4922" s="91">
        <f>COUNTIF($E$2:$E$7106,E4922)</f>
        <v>9</v>
      </c>
    </row>
    <row r="4923" spans="1:6" x14ac:dyDescent="0.2">
      <c r="A4923" s="10">
        <v>2018</v>
      </c>
      <c r="B4923" s="13">
        <v>2441</v>
      </c>
      <c r="C4923" s="90" t="str">
        <f>VLOOKUP(B4923,'All Districts'!$A$3:$B$874,2,FALSE)</f>
        <v>Palmyra-Macedon</v>
      </c>
      <c r="D4923" s="15">
        <v>1376394</v>
      </c>
      <c r="E4923">
        <f>VLOOKUP(C4923,'All Districts'!$B$3:$C$874,2,FALSE)</f>
        <v>3622380</v>
      </c>
      <c r="F4923" s="91">
        <f>COUNTIF($E$2:$E$7106,E4923)</f>
        <v>9</v>
      </c>
    </row>
    <row r="4924" spans="1:6" x14ac:dyDescent="0.2">
      <c r="A4924">
        <v>2019</v>
      </c>
      <c r="B4924" s="36">
        <v>2441</v>
      </c>
      <c r="C4924" s="90" t="str">
        <f>VLOOKUP(B4924,'All Districts'!$A$3:$B$874,2,FALSE)</f>
        <v>Palmyra-Macedon</v>
      </c>
      <c r="D4924" s="40">
        <v>1519285</v>
      </c>
      <c r="E4924">
        <f>VLOOKUP(C4924,'All Districts'!$B$3:$C$874,2,FALSE)</f>
        <v>3622380</v>
      </c>
      <c r="F4924" s="91">
        <f>COUNTIF($E$2:$E$7106,E4924)</f>
        <v>9</v>
      </c>
    </row>
    <row r="4925" spans="1:6" x14ac:dyDescent="0.2">
      <c r="A4925">
        <v>2020</v>
      </c>
      <c r="B4925" s="36">
        <v>2441</v>
      </c>
      <c r="C4925" s="90" t="str">
        <f>VLOOKUP(B4925,'All Districts'!$A$3:$B$874,2,FALSE)</f>
        <v>Palmyra-Macedon</v>
      </c>
      <c r="D4925" s="40">
        <v>1304855</v>
      </c>
      <c r="E4925">
        <f>VLOOKUP(C4925,'All Districts'!$B$3:$C$874,2,FALSE)</f>
        <v>3622380</v>
      </c>
      <c r="F4925" s="91">
        <f>COUNTIF($E$2:$E$7106,E4925)</f>
        <v>9</v>
      </c>
    </row>
    <row r="4926" spans="1:6" x14ac:dyDescent="0.2">
      <c r="A4926" s="10">
        <v>2021</v>
      </c>
      <c r="B4926" s="52">
        <v>2441</v>
      </c>
      <c r="C4926" s="90" t="str">
        <f>VLOOKUP(B4926,'All Districts'!$A$3:$B$874,2,FALSE)</f>
        <v>Palmyra-Macedon</v>
      </c>
      <c r="D4926" s="76">
        <v>1434165</v>
      </c>
      <c r="E4926">
        <f>VLOOKUP(C4926,'All Districts'!$B$3:$C$874,2,FALSE)</f>
        <v>3622380</v>
      </c>
      <c r="F4926" s="91">
        <f>COUNTIF($E$2:$E$7106,E4926)</f>
        <v>9</v>
      </c>
    </row>
    <row r="4927" spans="1:6" x14ac:dyDescent="0.2">
      <c r="A4927">
        <v>2022</v>
      </c>
      <c r="B4927" s="36">
        <v>2441</v>
      </c>
      <c r="C4927" s="90" t="str">
        <f>VLOOKUP(B4927,'All Districts'!$A$3:$B$874,2,FALSE)</f>
        <v>Palmyra-Macedon</v>
      </c>
      <c r="D4927" s="82">
        <v>1523963</v>
      </c>
      <c r="E4927">
        <f>VLOOKUP(C4927,'All Districts'!$B$3:$C$874,2,FALSE)</f>
        <v>3622380</v>
      </c>
      <c r="F4927" s="91">
        <f>COUNTIF($E$2:$E$7106,E4927)</f>
        <v>9</v>
      </c>
    </row>
    <row r="4928" spans="1:6" x14ac:dyDescent="0.2">
      <c r="A4928">
        <v>2023</v>
      </c>
      <c r="B4928" s="36">
        <v>2441</v>
      </c>
      <c r="C4928" s="90" t="str">
        <f>VLOOKUP(B4928,'All Districts'!$A$3:$B$874,2,FALSE)</f>
        <v>Palmyra-Macedon</v>
      </c>
      <c r="D4928" s="40">
        <v>1659963</v>
      </c>
      <c r="E4928">
        <f>VLOOKUP(C4928,'All Districts'!$B$3:$C$874,2,FALSE)</f>
        <v>3622380</v>
      </c>
      <c r="F4928" s="91">
        <f>COUNTIF($E$2:$E$7106,E4928)</f>
        <v>9</v>
      </c>
    </row>
    <row r="4929" spans="1:6" x14ac:dyDescent="0.2">
      <c r="A4929">
        <v>2015</v>
      </c>
      <c r="B4929" s="13">
        <v>3305</v>
      </c>
      <c r="C4929" s="90" t="str">
        <f>VLOOKUP(B4929,'All Districts'!$A$3:$B$874,2,FALSE)</f>
        <v>Panama</v>
      </c>
      <c r="D4929" s="14">
        <v>759899</v>
      </c>
      <c r="E4929">
        <f>VLOOKUP(C4929,'All Districts'!$B$3:$C$874,2,FALSE)</f>
        <v>3622410</v>
      </c>
      <c r="F4929" s="91">
        <f>COUNTIF($E$2:$E$7106,E4929)</f>
        <v>9</v>
      </c>
    </row>
    <row r="4930" spans="1:6" x14ac:dyDescent="0.2">
      <c r="A4930">
        <v>2016</v>
      </c>
      <c r="B4930" s="13">
        <v>3305</v>
      </c>
      <c r="C4930" s="90" t="str">
        <f>VLOOKUP(B4930,'All Districts'!$A$3:$B$874,2,FALSE)</f>
        <v>Panama</v>
      </c>
      <c r="D4930" s="16">
        <v>589781</v>
      </c>
      <c r="E4930">
        <f>VLOOKUP(C4930,'All Districts'!$B$3:$C$874,2,FALSE)</f>
        <v>3622410</v>
      </c>
      <c r="F4930" s="91">
        <f>COUNTIF($E$2:$E$7106,E4930)</f>
        <v>9</v>
      </c>
    </row>
    <row r="4931" spans="1:6" x14ac:dyDescent="0.2">
      <c r="A4931">
        <v>2017</v>
      </c>
      <c r="B4931" s="13">
        <v>3305</v>
      </c>
      <c r="C4931" s="90" t="str">
        <f>VLOOKUP(B4931,'All Districts'!$A$3:$B$874,2,FALSE)</f>
        <v>Panama</v>
      </c>
      <c r="D4931" s="16">
        <v>526337</v>
      </c>
      <c r="E4931">
        <f>VLOOKUP(C4931,'All Districts'!$B$3:$C$874,2,FALSE)</f>
        <v>3622410</v>
      </c>
      <c r="F4931" s="91">
        <f>COUNTIF($E$2:$E$7106,E4931)</f>
        <v>9</v>
      </c>
    </row>
    <row r="4932" spans="1:6" x14ac:dyDescent="0.2">
      <c r="A4932" s="10">
        <v>2018</v>
      </c>
      <c r="B4932" s="13">
        <v>3305</v>
      </c>
      <c r="C4932" s="90" t="str">
        <f>VLOOKUP(B4932,'All Districts'!$A$3:$B$874,2,FALSE)</f>
        <v>Panama</v>
      </c>
      <c r="D4932" s="15">
        <v>453211</v>
      </c>
      <c r="E4932">
        <f>VLOOKUP(C4932,'All Districts'!$B$3:$C$874,2,FALSE)</f>
        <v>3622410</v>
      </c>
      <c r="F4932" s="91">
        <f>COUNTIF($E$2:$E$7106,E4932)</f>
        <v>9</v>
      </c>
    </row>
    <row r="4933" spans="1:6" x14ac:dyDescent="0.2">
      <c r="A4933">
        <v>2019</v>
      </c>
      <c r="B4933" s="36">
        <v>3305</v>
      </c>
      <c r="C4933" s="90" t="str">
        <f>VLOOKUP(B4933,'All Districts'!$A$3:$B$874,2,FALSE)</f>
        <v>Panama</v>
      </c>
      <c r="D4933" s="40">
        <v>495225</v>
      </c>
      <c r="E4933">
        <f>VLOOKUP(C4933,'All Districts'!$B$3:$C$874,2,FALSE)</f>
        <v>3622410</v>
      </c>
      <c r="F4933" s="91">
        <f>COUNTIF($E$2:$E$7106,E4933)</f>
        <v>9</v>
      </c>
    </row>
    <row r="4934" spans="1:6" x14ac:dyDescent="0.2">
      <c r="A4934">
        <v>2020</v>
      </c>
      <c r="B4934" s="36">
        <v>3305</v>
      </c>
      <c r="C4934" s="90" t="str">
        <f>VLOOKUP(B4934,'All Districts'!$A$3:$B$874,2,FALSE)</f>
        <v>Panama</v>
      </c>
      <c r="D4934" s="40">
        <v>418906</v>
      </c>
      <c r="E4934">
        <f>VLOOKUP(C4934,'All Districts'!$B$3:$C$874,2,FALSE)</f>
        <v>3622410</v>
      </c>
      <c r="F4934" s="91">
        <f>COUNTIF($E$2:$E$7106,E4934)</f>
        <v>9</v>
      </c>
    </row>
    <row r="4935" spans="1:6" x14ac:dyDescent="0.2">
      <c r="A4935" s="10">
        <v>2021</v>
      </c>
      <c r="B4935" s="52">
        <v>3305</v>
      </c>
      <c r="C4935" s="90" t="str">
        <f>VLOOKUP(B4935,'All Districts'!$A$3:$B$874,2,FALSE)</f>
        <v>Panama</v>
      </c>
      <c r="D4935" s="76">
        <v>445155</v>
      </c>
      <c r="E4935">
        <f>VLOOKUP(C4935,'All Districts'!$B$3:$C$874,2,FALSE)</f>
        <v>3622410</v>
      </c>
      <c r="F4935" s="91">
        <f>COUNTIF($E$2:$E$7106,E4935)</f>
        <v>9</v>
      </c>
    </row>
    <row r="4936" spans="1:6" x14ac:dyDescent="0.2">
      <c r="A4936">
        <v>2022</v>
      </c>
      <c r="B4936" s="36">
        <v>3305</v>
      </c>
      <c r="C4936" s="90" t="str">
        <f>VLOOKUP(B4936,'All Districts'!$A$3:$B$874,2,FALSE)</f>
        <v>Panama</v>
      </c>
      <c r="D4936" s="82">
        <v>463490</v>
      </c>
      <c r="E4936">
        <f>VLOOKUP(C4936,'All Districts'!$B$3:$C$874,2,FALSE)</f>
        <v>3622410</v>
      </c>
      <c r="F4936" s="91">
        <f>COUNTIF($E$2:$E$7106,E4936)</f>
        <v>9</v>
      </c>
    </row>
    <row r="4937" spans="1:6" x14ac:dyDescent="0.2">
      <c r="A4937">
        <v>2023</v>
      </c>
      <c r="B4937" s="36">
        <v>3305</v>
      </c>
      <c r="C4937" s="90" t="str">
        <f>VLOOKUP(B4937,'All Districts'!$A$3:$B$874,2,FALSE)</f>
        <v>Panama</v>
      </c>
      <c r="D4937" s="40">
        <v>479984</v>
      </c>
      <c r="E4937">
        <f>VLOOKUP(C4937,'All Districts'!$B$3:$C$874,2,FALSE)</f>
        <v>3622410</v>
      </c>
      <c r="F4937" s="91">
        <f>COUNTIF($E$2:$E$7106,E4937)</f>
        <v>9</v>
      </c>
    </row>
    <row r="4938" spans="1:6" x14ac:dyDescent="0.2">
      <c r="A4938">
        <v>2015</v>
      </c>
      <c r="B4938" s="13">
        <v>5028</v>
      </c>
      <c r="C4938" s="90" t="str">
        <f>VLOOKUP(B4938,'All Districts'!$A$3:$B$874,2,FALSE)</f>
        <v>Parishville-Hopkinton</v>
      </c>
      <c r="D4938" s="14">
        <v>532685</v>
      </c>
      <c r="E4938">
        <f>VLOOKUP(C4938,'All Districts'!$B$3:$C$874,2,FALSE)</f>
        <v>3622440</v>
      </c>
      <c r="F4938" s="91">
        <f>COUNTIF($E$2:$E$7106,E4938)</f>
        <v>9</v>
      </c>
    </row>
    <row r="4939" spans="1:6" x14ac:dyDescent="0.2">
      <c r="A4939">
        <v>2016</v>
      </c>
      <c r="B4939" s="13">
        <v>5028</v>
      </c>
      <c r="C4939" s="90" t="str">
        <f>VLOOKUP(B4939,'All Districts'!$A$3:$B$874,2,FALSE)</f>
        <v>Parishville-Hopkinton</v>
      </c>
      <c r="D4939" s="16">
        <v>395688</v>
      </c>
      <c r="E4939">
        <f>VLOOKUP(C4939,'All Districts'!$B$3:$C$874,2,FALSE)</f>
        <v>3622440</v>
      </c>
      <c r="F4939" s="91">
        <f>COUNTIF($E$2:$E$7106,E4939)</f>
        <v>9</v>
      </c>
    </row>
    <row r="4940" spans="1:6" x14ac:dyDescent="0.2">
      <c r="A4940">
        <v>2017</v>
      </c>
      <c r="B4940" s="13">
        <v>5028</v>
      </c>
      <c r="C4940" s="90" t="str">
        <f>VLOOKUP(B4940,'All Districts'!$A$3:$B$874,2,FALSE)</f>
        <v>Parishville-Hopkinton</v>
      </c>
      <c r="D4940" s="16">
        <v>338020</v>
      </c>
      <c r="E4940">
        <f>VLOOKUP(C4940,'All Districts'!$B$3:$C$874,2,FALSE)</f>
        <v>3622440</v>
      </c>
      <c r="F4940" s="91">
        <f>COUNTIF($E$2:$E$7106,E4940)</f>
        <v>9</v>
      </c>
    </row>
    <row r="4941" spans="1:6" x14ac:dyDescent="0.2">
      <c r="A4941" s="10">
        <v>2018</v>
      </c>
      <c r="B4941" s="13">
        <v>5028</v>
      </c>
      <c r="C4941" s="90" t="str">
        <f>VLOOKUP(B4941,'All Districts'!$A$3:$B$874,2,FALSE)</f>
        <v>Parishville-Hopkinton</v>
      </c>
      <c r="D4941" s="15">
        <v>298862</v>
      </c>
      <c r="E4941">
        <f>VLOOKUP(C4941,'All Districts'!$B$3:$C$874,2,FALSE)</f>
        <v>3622440</v>
      </c>
      <c r="F4941" s="91">
        <f>COUNTIF($E$2:$E$7106,E4941)</f>
        <v>9</v>
      </c>
    </row>
    <row r="4942" spans="1:6" x14ac:dyDescent="0.2">
      <c r="A4942">
        <v>2019</v>
      </c>
      <c r="B4942" s="36">
        <v>5028</v>
      </c>
      <c r="C4942" s="90" t="str">
        <f>VLOOKUP(B4942,'All Districts'!$A$3:$B$874,2,FALSE)</f>
        <v>Parishville-Hopkinton</v>
      </c>
      <c r="D4942" s="40">
        <v>309747</v>
      </c>
      <c r="E4942">
        <f>VLOOKUP(C4942,'All Districts'!$B$3:$C$874,2,FALSE)</f>
        <v>3622440</v>
      </c>
      <c r="F4942" s="91">
        <f>COUNTIF($E$2:$E$7106,E4942)</f>
        <v>9</v>
      </c>
    </row>
    <row r="4943" spans="1:6" x14ac:dyDescent="0.2">
      <c r="A4943">
        <v>2020</v>
      </c>
      <c r="B4943" s="36">
        <v>5028</v>
      </c>
      <c r="C4943" s="90" t="str">
        <f>VLOOKUP(B4943,'All Districts'!$A$3:$B$874,2,FALSE)</f>
        <v>Parishville-Hopkinton</v>
      </c>
      <c r="D4943" s="40">
        <v>272972</v>
      </c>
      <c r="E4943">
        <f>VLOOKUP(C4943,'All Districts'!$B$3:$C$874,2,FALSE)</f>
        <v>3622440</v>
      </c>
      <c r="F4943" s="91">
        <f>COUNTIF($E$2:$E$7106,E4943)</f>
        <v>9</v>
      </c>
    </row>
    <row r="4944" spans="1:6" x14ac:dyDescent="0.2">
      <c r="A4944" s="10">
        <v>2021</v>
      </c>
      <c r="B4944" s="52">
        <v>5028</v>
      </c>
      <c r="C4944" s="90" t="str">
        <f>VLOOKUP(B4944,'All Districts'!$A$3:$B$874,2,FALSE)</f>
        <v>Parishville-Hopkinton</v>
      </c>
      <c r="D4944" s="75">
        <v>289402</v>
      </c>
      <c r="E4944">
        <f>VLOOKUP(C4944,'All Districts'!$B$3:$C$874,2,FALSE)</f>
        <v>3622440</v>
      </c>
      <c r="F4944" s="91">
        <f>COUNTIF($E$2:$E$7106,E4944)</f>
        <v>9</v>
      </c>
    </row>
    <row r="4945" spans="1:6" x14ac:dyDescent="0.2">
      <c r="A4945">
        <v>2022</v>
      </c>
      <c r="B4945" s="36">
        <v>5028</v>
      </c>
      <c r="C4945" s="90" t="str">
        <f>VLOOKUP(B4945,'All Districts'!$A$3:$B$874,2,FALSE)</f>
        <v>Parishville-Hopkinton</v>
      </c>
      <c r="D4945" s="82">
        <v>330139</v>
      </c>
      <c r="E4945">
        <f>VLOOKUP(C4945,'All Districts'!$B$3:$C$874,2,FALSE)</f>
        <v>3622440</v>
      </c>
      <c r="F4945" s="91">
        <f>COUNTIF($E$2:$E$7106,E4945)</f>
        <v>9</v>
      </c>
    </row>
    <row r="4946" spans="1:6" x14ac:dyDescent="0.2">
      <c r="A4946">
        <v>2023</v>
      </c>
      <c r="B4946" s="36">
        <v>5028</v>
      </c>
      <c r="C4946" s="90" t="str">
        <f>VLOOKUP(B4946,'All Districts'!$A$3:$B$874,2,FALSE)</f>
        <v>Parishville-Hopkinton</v>
      </c>
      <c r="D4946" s="40">
        <v>350943</v>
      </c>
      <c r="E4946">
        <f>VLOOKUP(C4946,'All Districts'!$B$3:$C$874,2,FALSE)</f>
        <v>3622440</v>
      </c>
      <c r="F4946" s="91">
        <f>COUNTIF($E$2:$E$7106,E4946)</f>
        <v>9</v>
      </c>
    </row>
    <row r="4947" spans="1:6" x14ac:dyDescent="0.2">
      <c r="A4947">
        <v>2015</v>
      </c>
      <c r="B4947" s="13">
        <v>2445</v>
      </c>
      <c r="C4947" s="90" t="str">
        <f>VLOOKUP(B4947,'All Districts'!$A$3:$B$874,2,FALSE)</f>
        <v>Patchogue-Medford</v>
      </c>
      <c r="D4947" s="14">
        <v>11303793</v>
      </c>
      <c r="E4947">
        <f>VLOOKUP(C4947,'All Districts'!$B$3:$C$874,2,FALSE)</f>
        <v>3622470</v>
      </c>
      <c r="F4947" s="91">
        <f>COUNTIF($E$2:$E$7106,E4947)</f>
        <v>9</v>
      </c>
    </row>
    <row r="4948" spans="1:6" x14ac:dyDescent="0.2">
      <c r="A4948">
        <v>2016</v>
      </c>
      <c r="B4948" s="13">
        <v>2445</v>
      </c>
      <c r="C4948" s="90" t="str">
        <f>VLOOKUP(B4948,'All Districts'!$A$3:$B$874,2,FALSE)</f>
        <v>Patchogue-Medford</v>
      </c>
      <c r="D4948" s="16">
        <v>8666777</v>
      </c>
      <c r="E4948">
        <f>VLOOKUP(C4948,'All Districts'!$B$3:$C$874,2,FALSE)</f>
        <v>3622470</v>
      </c>
      <c r="F4948" s="91">
        <f>COUNTIF($E$2:$E$7106,E4948)</f>
        <v>9</v>
      </c>
    </row>
    <row r="4949" spans="1:6" x14ac:dyDescent="0.2">
      <c r="A4949">
        <v>2017</v>
      </c>
      <c r="B4949" s="13">
        <v>2445</v>
      </c>
      <c r="C4949" s="90" t="str">
        <f>VLOOKUP(B4949,'All Districts'!$A$3:$B$874,2,FALSE)</f>
        <v>Patchogue-Medford</v>
      </c>
      <c r="D4949" s="16">
        <v>7812724</v>
      </c>
      <c r="E4949">
        <f>VLOOKUP(C4949,'All Districts'!$B$3:$C$874,2,FALSE)</f>
        <v>3622470</v>
      </c>
      <c r="F4949" s="91">
        <f>COUNTIF($E$2:$E$7106,E4949)</f>
        <v>9</v>
      </c>
    </row>
    <row r="4950" spans="1:6" x14ac:dyDescent="0.2">
      <c r="A4950" s="10">
        <v>2018</v>
      </c>
      <c r="B4950" s="13">
        <v>2445</v>
      </c>
      <c r="C4950" s="90" t="str">
        <f>VLOOKUP(B4950,'All Districts'!$A$3:$B$874,2,FALSE)</f>
        <v>Patchogue-Medford</v>
      </c>
      <c r="D4950" s="15">
        <v>6834337</v>
      </c>
      <c r="E4950">
        <f>VLOOKUP(C4950,'All Districts'!$B$3:$C$874,2,FALSE)</f>
        <v>3622470</v>
      </c>
      <c r="F4950" s="91">
        <f>COUNTIF($E$2:$E$7106,E4950)</f>
        <v>9</v>
      </c>
    </row>
    <row r="4951" spans="1:6" x14ac:dyDescent="0.2">
      <c r="A4951">
        <v>2019</v>
      </c>
      <c r="B4951" s="36">
        <v>2445</v>
      </c>
      <c r="C4951" s="90" t="str">
        <f>VLOOKUP(B4951,'All Districts'!$A$3:$B$874,2,FALSE)</f>
        <v>Patchogue-Medford</v>
      </c>
      <c r="D4951" s="40">
        <v>7723234</v>
      </c>
      <c r="E4951">
        <f>VLOOKUP(C4951,'All Districts'!$B$3:$C$874,2,FALSE)</f>
        <v>3622470</v>
      </c>
      <c r="F4951" s="91">
        <f>COUNTIF($E$2:$E$7106,E4951)</f>
        <v>9</v>
      </c>
    </row>
    <row r="4952" spans="1:6" x14ac:dyDescent="0.2">
      <c r="A4952">
        <v>2020</v>
      </c>
      <c r="B4952" s="36">
        <v>2445</v>
      </c>
      <c r="C4952" s="90" t="str">
        <f>VLOOKUP(B4952,'All Districts'!$A$3:$B$874,2,FALSE)</f>
        <v>Patchogue-Medford</v>
      </c>
      <c r="D4952" s="40">
        <v>6660287</v>
      </c>
      <c r="E4952">
        <f>VLOOKUP(C4952,'All Districts'!$B$3:$C$874,2,FALSE)</f>
        <v>3622470</v>
      </c>
      <c r="F4952" s="91">
        <f>COUNTIF($E$2:$E$7106,E4952)</f>
        <v>9</v>
      </c>
    </row>
    <row r="4953" spans="1:6" x14ac:dyDescent="0.2">
      <c r="A4953" s="10">
        <v>2021</v>
      </c>
      <c r="B4953" s="52">
        <v>2445</v>
      </c>
      <c r="C4953" s="90" t="str">
        <f>VLOOKUP(B4953,'All Districts'!$A$3:$B$874,2,FALSE)</f>
        <v>Patchogue-Medford</v>
      </c>
      <c r="D4953" s="76">
        <v>7330773</v>
      </c>
      <c r="E4953">
        <f>VLOOKUP(C4953,'All Districts'!$B$3:$C$874,2,FALSE)</f>
        <v>3622470</v>
      </c>
      <c r="F4953" s="91">
        <f>COUNTIF($E$2:$E$7106,E4953)</f>
        <v>9</v>
      </c>
    </row>
    <row r="4954" spans="1:6" x14ac:dyDescent="0.2">
      <c r="A4954">
        <v>2022</v>
      </c>
      <c r="B4954" s="36">
        <v>2445</v>
      </c>
      <c r="C4954" s="90" t="str">
        <f>VLOOKUP(B4954,'All Districts'!$A$3:$B$874,2,FALSE)</f>
        <v>Patchogue-Medford</v>
      </c>
      <c r="D4954" s="82">
        <v>8048361</v>
      </c>
      <c r="E4954">
        <f>VLOOKUP(C4954,'All Districts'!$B$3:$C$874,2,FALSE)</f>
        <v>3622470</v>
      </c>
      <c r="F4954" s="91">
        <f>COUNTIF($E$2:$E$7106,E4954)</f>
        <v>9</v>
      </c>
    </row>
    <row r="4955" spans="1:6" x14ac:dyDescent="0.2">
      <c r="A4955">
        <v>2023</v>
      </c>
      <c r="B4955" s="36">
        <v>2445</v>
      </c>
      <c r="C4955" s="90" t="str">
        <f>VLOOKUP(B4955,'All Districts'!$A$3:$B$874,2,FALSE)</f>
        <v>Patchogue-Medford</v>
      </c>
      <c r="D4955" s="40">
        <v>8961127</v>
      </c>
      <c r="E4955">
        <f>VLOOKUP(C4955,'All Districts'!$B$3:$C$874,2,FALSE)</f>
        <v>3622470</v>
      </c>
      <c r="F4955" s="91">
        <f>COUNTIF($E$2:$E$7106,E4955)</f>
        <v>9</v>
      </c>
    </row>
    <row r="4956" spans="1:6" x14ac:dyDescent="0.2">
      <c r="A4956">
        <v>2015</v>
      </c>
      <c r="B4956" s="13">
        <v>3930</v>
      </c>
      <c r="C4956" s="90" t="str">
        <f>VLOOKUP(B4956,'All Districts'!$A$3:$B$874,2,FALSE)</f>
        <v>Pavilion</v>
      </c>
      <c r="D4956" s="14">
        <v>1007821</v>
      </c>
      <c r="E4956">
        <f>VLOOKUP(C4956,'All Districts'!$B$3:$C$874,2,FALSE)</f>
        <v>3622500</v>
      </c>
      <c r="F4956" s="91">
        <f>COUNTIF($E$2:$E$7106,E4956)</f>
        <v>9</v>
      </c>
    </row>
    <row r="4957" spans="1:6" x14ac:dyDescent="0.2">
      <c r="A4957">
        <v>2016</v>
      </c>
      <c r="B4957" s="13">
        <v>3930</v>
      </c>
      <c r="C4957" s="90" t="str">
        <f>VLOOKUP(B4957,'All Districts'!$A$3:$B$874,2,FALSE)</f>
        <v>Pavilion</v>
      </c>
      <c r="D4957" s="16">
        <v>774694</v>
      </c>
      <c r="E4957">
        <f>VLOOKUP(C4957,'All Districts'!$B$3:$C$874,2,FALSE)</f>
        <v>3622500</v>
      </c>
      <c r="F4957" s="91">
        <f>COUNTIF($E$2:$E$7106,E4957)</f>
        <v>9</v>
      </c>
    </row>
    <row r="4958" spans="1:6" x14ac:dyDescent="0.2">
      <c r="A4958">
        <v>2017</v>
      </c>
      <c r="B4958" s="13">
        <v>3930</v>
      </c>
      <c r="C4958" s="90" t="str">
        <f>VLOOKUP(B4958,'All Districts'!$A$3:$B$874,2,FALSE)</f>
        <v>Pavilion</v>
      </c>
      <c r="D4958" s="16">
        <v>695368</v>
      </c>
      <c r="E4958">
        <f>VLOOKUP(C4958,'All Districts'!$B$3:$C$874,2,FALSE)</f>
        <v>3622500</v>
      </c>
      <c r="F4958" s="91">
        <f>COUNTIF($E$2:$E$7106,E4958)</f>
        <v>9</v>
      </c>
    </row>
    <row r="4959" spans="1:6" x14ac:dyDescent="0.2">
      <c r="A4959" s="10">
        <v>2018</v>
      </c>
      <c r="B4959" s="13">
        <v>3930</v>
      </c>
      <c r="C4959" s="90" t="str">
        <f>VLOOKUP(B4959,'All Districts'!$A$3:$B$874,2,FALSE)</f>
        <v>Pavilion</v>
      </c>
      <c r="D4959" s="15">
        <v>608599</v>
      </c>
      <c r="E4959">
        <f>VLOOKUP(C4959,'All Districts'!$B$3:$C$874,2,FALSE)</f>
        <v>3622500</v>
      </c>
      <c r="F4959" s="91">
        <f>COUNTIF($E$2:$E$7106,E4959)</f>
        <v>9</v>
      </c>
    </row>
    <row r="4960" spans="1:6" x14ac:dyDescent="0.2">
      <c r="A4960">
        <v>2019</v>
      </c>
      <c r="B4960" s="36">
        <v>3930</v>
      </c>
      <c r="C4960" s="90" t="str">
        <f>VLOOKUP(B4960,'All Districts'!$A$3:$B$874,2,FALSE)</f>
        <v>Pavilion</v>
      </c>
      <c r="D4960" s="40">
        <v>668313</v>
      </c>
      <c r="E4960">
        <f>VLOOKUP(C4960,'All Districts'!$B$3:$C$874,2,FALSE)</f>
        <v>3622500</v>
      </c>
      <c r="F4960" s="91">
        <f>COUNTIF($E$2:$E$7106,E4960)</f>
        <v>9</v>
      </c>
    </row>
    <row r="4961" spans="1:6" x14ac:dyDescent="0.2">
      <c r="A4961">
        <v>2020</v>
      </c>
      <c r="B4961" s="36">
        <v>3930</v>
      </c>
      <c r="C4961" s="90" t="str">
        <f>VLOOKUP(B4961,'All Districts'!$A$3:$B$874,2,FALSE)</f>
        <v>Pavilion</v>
      </c>
      <c r="D4961" s="40">
        <v>551905</v>
      </c>
      <c r="E4961">
        <f>VLOOKUP(C4961,'All Districts'!$B$3:$C$874,2,FALSE)</f>
        <v>3622500</v>
      </c>
      <c r="F4961" s="91">
        <f>COUNTIF($E$2:$E$7106,E4961)</f>
        <v>9</v>
      </c>
    </row>
    <row r="4962" spans="1:6" x14ac:dyDescent="0.2">
      <c r="A4962" s="10">
        <v>2021</v>
      </c>
      <c r="B4962" s="52">
        <v>3930</v>
      </c>
      <c r="C4962" s="90" t="str">
        <f>VLOOKUP(B4962,'All Districts'!$A$3:$B$874,2,FALSE)</f>
        <v>Pavilion</v>
      </c>
      <c r="D4962" s="76">
        <v>586817</v>
      </c>
      <c r="E4962">
        <f>VLOOKUP(C4962,'All Districts'!$B$3:$C$874,2,FALSE)</f>
        <v>3622500</v>
      </c>
      <c r="F4962" s="91">
        <f>COUNTIF($E$2:$E$7106,E4962)</f>
        <v>9</v>
      </c>
    </row>
    <row r="4963" spans="1:6" x14ac:dyDescent="0.2">
      <c r="A4963">
        <v>2022</v>
      </c>
      <c r="B4963" s="36">
        <v>3930</v>
      </c>
      <c r="C4963" s="90" t="str">
        <f>VLOOKUP(B4963,'All Districts'!$A$3:$B$874,2,FALSE)</f>
        <v>Pavilion</v>
      </c>
      <c r="D4963" s="82">
        <v>638146</v>
      </c>
      <c r="E4963">
        <f>VLOOKUP(C4963,'All Districts'!$B$3:$C$874,2,FALSE)</f>
        <v>3622500</v>
      </c>
      <c r="F4963" s="91">
        <f>COUNTIF($E$2:$E$7106,E4963)</f>
        <v>9</v>
      </c>
    </row>
    <row r="4964" spans="1:6" x14ac:dyDescent="0.2">
      <c r="A4964">
        <v>2023</v>
      </c>
      <c r="B4964" s="36">
        <v>3930</v>
      </c>
      <c r="C4964" s="90" t="str">
        <f>VLOOKUP(B4964,'All Districts'!$A$3:$B$874,2,FALSE)</f>
        <v>Pavilion</v>
      </c>
      <c r="D4964" s="40">
        <v>669000</v>
      </c>
      <c r="E4964">
        <f>VLOOKUP(C4964,'All Districts'!$B$3:$C$874,2,FALSE)</f>
        <v>3622500</v>
      </c>
      <c r="F4964" s="91">
        <f>COUNTIF($E$2:$E$7106,E4964)</f>
        <v>9</v>
      </c>
    </row>
    <row r="4965" spans="1:6" x14ac:dyDescent="0.2">
      <c r="A4965">
        <v>2015</v>
      </c>
      <c r="B4965" s="13">
        <v>3630</v>
      </c>
      <c r="C4965" s="90" t="str">
        <f>VLOOKUP(B4965,'All Districts'!$A$3:$B$874,2,FALSE)</f>
        <v>Pawling</v>
      </c>
      <c r="D4965" s="14">
        <v>2051011</v>
      </c>
      <c r="E4965">
        <f>VLOOKUP(C4965,'All Districts'!$B$3:$C$874,2,FALSE)</f>
        <v>3622530</v>
      </c>
      <c r="F4965" s="91">
        <f>COUNTIF($E$2:$E$7106,E4965)</f>
        <v>9</v>
      </c>
    </row>
    <row r="4966" spans="1:6" x14ac:dyDescent="0.2">
      <c r="A4966">
        <v>2016</v>
      </c>
      <c r="B4966" s="13">
        <v>3630</v>
      </c>
      <c r="C4966" s="90" t="str">
        <f>VLOOKUP(B4966,'All Districts'!$A$3:$B$874,2,FALSE)</f>
        <v>Pawling</v>
      </c>
      <c r="D4966" s="16">
        <v>1604117</v>
      </c>
      <c r="E4966">
        <f>VLOOKUP(C4966,'All Districts'!$B$3:$C$874,2,FALSE)</f>
        <v>3622530</v>
      </c>
      <c r="F4966" s="91">
        <f>COUNTIF($E$2:$E$7106,E4966)</f>
        <v>9</v>
      </c>
    </row>
    <row r="4967" spans="1:6" x14ac:dyDescent="0.2">
      <c r="A4967">
        <v>2017</v>
      </c>
      <c r="B4967" s="13">
        <v>3630</v>
      </c>
      <c r="C4967" s="90" t="str">
        <f>VLOOKUP(B4967,'All Districts'!$A$3:$B$874,2,FALSE)</f>
        <v>Pawling</v>
      </c>
      <c r="D4967" s="16">
        <v>1395623</v>
      </c>
      <c r="E4967">
        <f>VLOOKUP(C4967,'All Districts'!$B$3:$C$874,2,FALSE)</f>
        <v>3622530</v>
      </c>
      <c r="F4967" s="91">
        <f>COUNTIF($E$2:$E$7106,E4967)</f>
        <v>9</v>
      </c>
    </row>
    <row r="4968" spans="1:6" x14ac:dyDescent="0.2">
      <c r="A4968" s="10">
        <v>2018</v>
      </c>
      <c r="B4968" s="13">
        <v>3630</v>
      </c>
      <c r="C4968" s="90" t="str">
        <f>VLOOKUP(B4968,'All Districts'!$A$3:$B$874,2,FALSE)</f>
        <v>Pawling</v>
      </c>
      <c r="D4968" s="15">
        <v>1182149</v>
      </c>
      <c r="E4968">
        <f>VLOOKUP(C4968,'All Districts'!$B$3:$C$874,2,FALSE)</f>
        <v>3622530</v>
      </c>
      <c r="F4968" s="91">
        <f>COUNTIF($E$2:$E$7106,E4968)</f>
        <v>9</v>
      </c>
    </row>
    <row r="4969" spans="1:6" x14ac:dyDescent="0.2">
      <c r="A4969">
        <v>2019</v>
      </c>
      <c r="B4969" s="36">
        <v>3630</v>
      </c>
      <c r="C4969" s="90" t="str">
        <f>VLOOKUP(B4969,'All Districts'!$A$3:$B$874,2,FALSE)</f>
        <v>Pawling</v>
      </c>
      <c r="D4969" s="40">
        <v>1262544</v>
      </c>
      <c r="E4969">
        <f>VLOOKUP(C4969,'All Districts'!$B$3:$C$874,2,FALSE)</f>
        <v>3622530</v>
      </c>
      <c r="F4969" s="91">
        <f>COUNTIF($E$2:$E$7106,E4969)</f>
        <v>9</v>
      </c>
    </row>
    <row r="4970" spans="1:6" x14ac:dyDescent="0.2">
      <c r="A4970">
        <v>2020</v>
      </c>
      <c r="B4970" s="36">
        <v>3630</v>
      </c>
      <c r="C4970" s="90" t="str">
        <f>VLOOKUP(B4970,'All Districts'!$A$3:$B$874,2,FALSE)</f>
        <v>Pawling</v>
      </c>
      <c r="D4970" s="40">
        <v>1073765</v>
      </c>
      <c r="E4970">
        <f>VLOOKUP(C4970,'All Districts'!$B$3:$C$874,2,FALSE)</f>
        <v>3622530</v>
      </c>
      <c r="F4970" s="91">
        <f>COUNTIF($E$2:$E$7106,E4970)</f>
        <v>9</v>
      </c>
    </row>
    <row r="4971" spans="1:6" x14ac:dyDescent="0.2">
      <c r="A4971" s="10">
        <v>2021</v>
      </c>
      <c r="B4971" s="52">
        <v>3630</v>
      </c>
      <c r="C4971" s="90" t="str">
        <f>VLOOKUP(B4971,'All Districts'!$A$3:$B$874,2,FALSE)</f>
        <v>Pawling</v>
      </c>
      <c r="D4971" s="76">
        <v>1182414</v>
      </c>
      <c r="E4971">
        <f>VLOOKUP(C4971,'All Districts'!$B$3:$C$874,2,FALSE)</f>
        <v>3622530</v>
      </c>
      <c r="F4971" s="91">
        <f>COUNTIF($E$2:$E$7106,E4971)</f>
        <v>9</v>
      </c>
    </row>
    <row r="4972" spans="1:6" x14ac:dyDescent="0.2">
      <c r="A4972">
        <v>2022</v>
      </c>
      <c r="B4972" s="36">
        <v>3630</v>
      </c>
      <c r="C4972" s="90" t="str">
        <f>VLOOKUP(B4972,'All Districts'!$A$3:$B$874,2,FALSE)</f>
        <v>Pawling</v>
      </c>
      <c r="D4972" s="82">
        <v>1261524</v>
      </c>
      <c r="E4972">
        <f>VLOOKUP(C4972,'All Districts'!$B$3:$C$874,2,FALSE)</f>
        <v>3622530</v>
      </c>
      <c r="F4972" s="91">
        <f>COUNTIF($E$2:$E$7106,E4972)</f>
        <v>9</v>
      </c>
    </row>
    <row r="4973" spans="1:6" x14ac:dyDescent="0.2">
      <c r="A4973">
        <v>2023</v>
      </c>
      <c r="B4973" s="36">
        <v>3630</v>
      </c>
      <c r="C4973" s="90" t="str">
        <f>VLOOKUP(B4973,'All Districts'!$A$3:$B$874,2,FALSE)</f>
        <v>Pawling</v>
      </c>
      <c r="D4973" s="40">
        <v>1418139</v>
      </c>
      <c r="E4973">
        <f>VLOOKUP(C4973,'All Districts'!$B$3:$C$874,2,FALSE)</f>
        <v>3622530</v>
      </c>
      <c r="F4973" s="91">
        <f>COUNTIF($E$2:$E$7106,E4973)</f>
        <v>9</v>
      </c>
    </row>
    <row r="4974" spans="1:6" x14ac:dyDescent="0.2">
      <c r="A4974">
        <v>2015</v>
      </c>
      <c r="B4974" s="13">
        <v>2450</v>
      </c>
      <c r="C4974" s="90" t="str">
        <f>VLOOKUP(B4974,'All Districts'!$A$3:$B$874,2,FALSE)</f>
        <v>Pearl River</v>
      </c>
      <c r="D4974" s="14">
        <v>4362706</v>
      </c>
      <c r="E4974">
        <f>VLOOKUP(C4974,'All Districts'!$B$3:$C$874,2,FALSE)</f>
        <v>3622560</v>
      </c>
      <c r="F4974" s="91">
        <f>COUNTIF($E$2:$E$7106,E4974)</f>
        <v>9</v>
      </c>
    </row>
    <row r="4975" spans="1:6" x14ac:dyDescent="0.2">
      <c r="A4975">
        <v>2016</v>
      </c>
      <c r="B4975" s="13">
        <v>2450</v>
      </c>
      <c r="C4975" s="90" t="str">
        <f>VLOOKUP(B4975,'All Districts'!$A$3:$B$874,2,FALSE)</f>
        <v>Pearl River</v>
      </c>
      <c r="D4975" s="16">
        <v>3437540</v>
      </c>
      <c r="E4975">
        <f>VLOOKUP(C4975,'All Districts'!$B$3:$C$874,2,FALSE)</f>
        <v>3622560</v>
      </c>
      <c r="F4975" s="91">
        <f>COUNTIF($E$2:$E$7106,E4975)</f>
        <v>9</v>
      </c>
    </row>
    <row r="4976" spans="1:6" x14ac:dyDescent="0.2">
      <c r="A4976">
        <v>2017</v>
      </c>
      <c r="B4976" s="13">
        <v>2450</v>
      </c>
      <c r="C4976" s="90" t="str">
        <f>VLOOKUP(B4976,'All Districts'!$A$3:$B$874,2,FALSE)</f>
        <v>Pearl River</v>
      </c>
      <c r="D4976" s="16">
        <v>3130705</v>
      </c>
      <c r="E4976">
        <f>VLOOKUP(C4976,'All Districts'!$B$3:$C$874,2,FALSE)</f>
        <v>3622560</v>
      </c>
      <c r="F4976" s="91">
        <f>COUNTIF($E$2:$E$7106,E4976)</f>
        <v>9</v>
      </c>
    </row>
    <row r="4977" spans="1:6" x14ac:dyDescent="0.2">
      <c r="A4977" s="10">
        <v>2018</v>
      </c>
      <c r="B4977" s="13">
        <v>2450</v>
      </c>
      <c r="C4977" s="90" t="str">
        <f>VLOOKUP(B4977,'All Districts'!$A$3:$B$874,2,FALSE)</f>
        <v>Pearl River</v>
      </c>
      <c r="D4977" s="15">
        <v>2714278</v>
      </c>
      <c r="E4977">
        <f>VLOOKUP(C4977,'All Districts'!$B$3:$C$874,2,FALSE)</f>
        <v>3622560</v>
      </c>
      <c r="F4977" s="91">
        <f>COUNTIF($E$2:$E$7106,E4977)</f>
        <v>9</v>
      </c>
    </row>
    <row r="4978" spans="1:6" x14ac:dyDescent="0.2">
      <c r="A4978">
        <v>2019</v>
      </c>
      <c r="B4978" s="36">
        <v>2450</v>
      </c>
      <c r="C4978" s="90" t="str">
        <f>VLOOKUP(B4978,'All Districts'!$A$3:$B$874,2,FALSE)</f>
        <v>Pearl River</v>
      </c>
      <c r="D4978" s="40">
        <v>3006243</v>
      </c>
      <c r="E4978">
        <f>VLOOKUP(C4978,'All Districts'!$B$3:$C$874,2,FALSE)</f>
        <v>3622560</v>
      </c>
      <c r="F4978" s="91">
        <f>COUNTIF($E$2:$E$7106,E4978)</f>
        <v>9</v>
      </c>
    </row>
    <row r="4979" spans="1:6" x14ac:dyDescent="0.2">
      <c r="A4979">
        <v>2020</v>
      </c>
      <c r="B4979" s="36">
        <v>2450</v>
      </c>
      <c r="C4979" s="90" t="str">
        <f>VLOOKUP(B4979,'All Districts'!$A$3:$B$874,2,FALSE)</f>
        <v>Pearl River</v>
      </c>
      <c r="D4979" s="40">
        <v>2564816</v>
      </c>
      <c r="E4979">
        <f>VLOOKUP(C4979,'All Districts'!$B$3:$C$874,2,FALSE)</f>
        <v>3622560</v>
      </c>
      <c r="F4979" s="91">
        <f>COUNTIF($E$2:$E$7106,E4979)</f>
        <v>9</v>
      </c>
    </row>
    <row r="4980" spans="1:6" x14ac:dyDescent="0.2">
      <c r="A4980" s="10">
        <v>2021</v>
      </c>
      <c r="B4980" s="52">
        <v>2450</v>
      </c>
      <c r="C4980" s="90" t="str">
        <f>VLOOKUP(B4980,'All Districts'!$A$3:$B$874,2,FALSE)</f>
        <v>Pearl River</v>
      </c>
      <c r="D4980" s="75">
        <v>2856207</v>
      </c>
      <c r="E4980">
        <f>VLOOKUP(C4980,'All Districts'!$B$3:$C$874,2,FALSE)</f>
        <v>3622560</v>
      </c>
      <c r="F4980" s="91">
        <f>COUNTIF($E$2:$E$7106,E4980)</f>
        <v>9</v>
      </c>
    </row>
    <row r="4981" spans="1:6" x14ac:dyDescent="0.2">
      <c r="A4981">
        <v>2022</v>
      </c>
      <c r="B4981" s="36">
        <v>2450</v>
      </c>
      <c r="C4981" s="90" t="str">
        <f>VLOOKUP(B4981,'All Districts'!$A$3:$B$874,2,FALSE)</f>
        <v>Pearl River</v>
      </c>
      <c r="D4981" s="82">
        <v>3106791</v>
      </c>
      <c r="E4981">
        <f>VLOOKUP(C4981,'All Districts'!$B$3:$C$874,2,FALSE)</f>
        <v>3622560</v>
      </c>
      <c r="F4981" s="91">
        <f>COUNTIF($E$2:$E$7106,E4981)</f>
        <v>9</v>
      </c>
    </row>
    <row r="4982" spans="1:6" x14ac:dyDescent="0.2">
      <c r="A4982">
        <v>2023</v>
      </c>
      <c r="B4982" s="36">
        <v>2450</v>
      </c>
      <c r="C4982" s="90" t="str">
        <f>VLOOKUP(B4982,'All Districts'!$A$3:$B$874,2,FALSE)</f>
        <v>Pearl River</v>
      </c>
      <c r="D4982" s="40">
        <v>3479743</v>
      </c>
      <c r="E4982">
        <f>VLOOKUP(C4982,'All Districts'!$B$3:$C$874,2,FALSE)</f>
        <v>3622560</v>
      </c>
      <c r="F4982" s="91">
        <f>COUNTIF($E$2:$E$7106,E4982)</f>
        <v>9</v>
      </c>
    </row>
    <row r="4983" spans="1:6" x14ac:dyDescent="0.2">
      <c r="A4983">
        <v>2015</v>
      </c>
      <c r="B4983" s="13">
        <v>1210</v>
      </c>
      <c r="C4983" s="90" t="str">
        <f>VLOOKUP(B4983,'All Districts'!$A$3:$B$874,2,FALSE)</f>
        <v>Peekskill</v>
      </c>
      <c r="D4983" s="14">
        <v>5327760</v>
      </c>
      <c r="E4983">
        <f>VLOOKUP(C4983,'All Districts'!$B$3:$C$874,2,FALSE)</f>
        <v>3622650</v>
      </c>
      <c r="F4983" s="91">
        <f>COUNTIF($E$2:$E$7106,E4983)</f>
        <v>9</v>
      </c>
    </row>
    <row r="4984" spans="1:6" x14ac:dyDescent="0.2">
      <c r="A4984">
        <v>2016</v>
      </c>
      <c r="B4984" s="13">
        <v>1210</v>
      </c>
      <c r="C4984" s="90" t="str">
        <f>VLOOKUP(B4984,'All Districts'!$A$3:$B$874,2,FALSE)</f>
        <v>Peekskill</v>
      </c>
      <c r="D4984" s="16">
        <v>4195373</v>
      </c>
      <c r="E4984">
        <f>VLOOKUP(C4984,'All Districts'!$B$3:$C$874,2,FALSE)</f>
        <v>3622650</v>
      </c>
      <c r="F4984" s="91">
        <f>COUNTIF($E$2:$E$7106,E4984)</f>
        <v>9</v>
      </c>
    </row>
    <row r="4985" spans="1:6" x14ac:dyDescent="0.2">
      <c r="A4985">
        <v>2017</v>
      </c>
      <c r="B4985" s="13">
        <v>1210</v>
      </c>
      <c r="C4985" s="90" t="str">
        <f>VLOOKUP(B4985,'All Districts'!$A$3:$B$874,2,FALSE)</f>
        <v>Peekskill</v>
      </c>
      <c r="D4985" s="16">
        <v>3860421</v>
      </c>
      <c r="E4985">
        <f>VLOOKUP(C4985,'All Districts'!$B$3:$C$874,2,FALSE)</f>
        <v>3622650</v>
      </c>
      <c r="F4985" s="91">
        <f>COUNTIF($E$2:$E$7106,E4985)</f>
        <v>9</v>
      </c>
    </row>
    <row r="4986" spans="1:6" x14ac:dyDescent="0.2">
      <c r="A4986" s="10">
        <v>2018</v>
      </c>
      <c r="B4986" s="13">
        <v>1210</v>
      </c>
      <c r="C4986" s="90" t="str">
        <f>VLOOKUP(B4986,'All Districts'!$A$3:$B$874,2,FALSE)</f>
        <v>Peekskill</v>
      </c>
      <c r="D4986" s="15">
        <v>3366144</v>
      </c>
      <c r="E4986">
        <f>VLOOKUP(C4986,'All Districts'!$B$3:$C$874,2,FALSE)</f>
        <v>3622650</v>
      </c>
      <c r="F4986" s="91">
        <f>COUNTIF($E$2:$E$7106,E4986)</f>
        <v>9</v>
      </c>
    </row>
    <row r="4987" spans="1:6" x14ac:dyDescent="0.2">
      <c r="A4987">
        <v>2019</v>
      </c>
      <c r="B4987" s="36">
        <v>1210</v>
      </c>
      <c r="C4987" s="90" t="str">
        <f>VLOOKUP(B4987,'All Districts'!$A$3:$B$874,2,FALSE)</f>
        <v>Peekskill</v>
      </c>
      <c r="D4987" s="40">
        <v>3842935</v>
      </c>
      <c r="E4987">
        <f>VLOOKUP(C4987,'All Districts'!$B$3:$C$874,2,FALSE)</f>
        <v>3622650</v>
      </c>
      <c r="F4987" s="91">
        <f>COUNTIF($E$2:$E$7106,E4987)</f>
        <v>9</v>
      </c>
    </row>
    <row r="4988" spans="1:6" x14ac:dyDescent="0.2">
      <c r="A4988">
        <v>2020</v>
      </c>
      <c r="B4988" s="36">
        <v>1210</v>
      </c>
      <c r="C4988" s="90" t="str">
        <f>VLOOKUP(B4988,'All Districts'!$A$3:$B$874,2,FALSE)</f>
        <v>Peekskill</v>
      </c>
      <c r="D4988" s="40">
        <v>3342092</v>
      </c>
      <c r="E4988">
        <f>VLOOKUP(C4988,'All Districts'!$B$3:$C$874,2,FALSE)</f>
        <v>3622650</v>
      </c>
      <c r="F4988" s="91">
        <f>COUNTIF($E$2:$E$7106,E4988)</f>
        <v>9</v>
      </c>
    </row>
    <row r="4989" spans="1:6" x14ac:dyDescent="0.2">
      <c r="A4989" s="10">
        <v>2021</v>
      </c>
      <c r="B4989" s="52">
        <v>1210</v>
      </c>
      <c r="C4989" s="90" t="str">
        <f>VLOOKUP(B4989,'All Districts'!$A$3:$B$874,2,FALSE)</f>
        <v>Peekskill</v>
      </c>
      <c r="D4989" s="75">
        <v>3718227</v>
      </c>
      <c r="E4989">
        <f>VLOOKUP(C4989,'All Districts'!$B$3:$C$874,2,FALSE)</f>
        <v>3622650</v>
      </c>
      <c r="F4989" s="91">
        <f>COUNTIF($E$2:$E$7106,E4989)</f>
        <v>9</v>
      </c>
    </row>
    <row r="4990" spans="1:6" x14ac:dyDescent="0.2">
      <c r="A4990">
        <v>2022</v>
      </c>
      <c r="B4990" s="36">
        <v>1210</v>
      </c>
      <c r="C4990" s="90" t="str">
        <f>VLOOKUP(B4990,'All Districts'!$A$3:$B$874,2,FALSE)</f>
        <v>Peekskill</v>
      </c>
      <c r="D4990" s="82">
        <v>4166243</v>
      </c>
      <c r="E4990">
        <f>VLOOKUP(C4990,'All Districts'!$B$3:$C$874,2,FALSE)</f>
        <v>3622650</v>
      </c>
      <c r="F4990" s="91">
        <f>COUNTIF($E$2:$E$7106,E4990)</f>
        <v>9</v>
      </c>
    </row>
    <row r="4991" spans="1:6" x14ac:dyDescent="0.2">
      <c r="A4991">
        <v>2023</v>
      </c>
      <c r="B4991" s="36">
        <v>1210</v>
      </c>
      <c r="C4991" s="90" t="str">
        <f>VLOOKUP(B4991,'All Districts'!$A$3:$B$874,2,FALSE)</f>
        <v>Peekskill</v>
      </c>
      <c r="D4991" s="40">
        <v>4614209</v>
      </c>
      <c r="E4991">
        <f>VLOOKUP(C4991,'All Districts'!$B$3:$C$874,2,FALSE)</f>
        <v>3622650</v>
      </c>
      <c r="F4991" s="91">
        <f>COUNTIF($E$2:$E$7106,E4991)</f>
        <v>9</v>
      </c>
    </row>
    <row r="4992" spans="1:6" x14ac:dyDescent="0.2">
      <c r="A4992">
        <v>2015</v>
      </c>
      <c r="B4992" s="13">
        <v>2455</v>
      </c>
      <c r="C4992" s="90" t="str">
        <f>VLOOKUP(B4992,'All Districts'!$A$3:$B$874,2,FALSE)</f>
        <v>Pelham</v>
      </c>
      <c r="D4992" s="14">
        <v>5544713</v>
      </c>
      <c r="E4992">
        <f>VLOOKUP(C4992,'All Districts'!$B$3:$C$874,2,FALSE)</f>
        <v>3622680</v>
      </c>
      <c r="F4992" s="91">
        <f>COUNTIF($E$2:$E$7106,E4992)</f>
        <v>9</v>
      </c>
    </row>
    <row r="4993" spans="1:6" x14ac:dyDescent="0.2">
      <c r="A4993">
        <v>2016</v>
      </c>
      <c r="B4993" s="13">
        <v>2455</v>
      </c>
      <c r="C4993" s="90" t="str">
        <f>VLOOKUP(B4993,'All Districts'!$A$3:$B$874,2,FALSE)</f>
        <v>Pelham</v>
      </c>
      <c r="D4993" s="16">
        <v>4238665</v>
      </c>
      <c r="E4993">
        <f>VLOOKUP(C4993,'All Districts'!$B$3:$C$874,2,FALSE)</f>
        <v>3622680</v>
      </c>
      <c r="F4993" s="91">
        <f>COUNTIF($E$2:$E$7106,E4993)</f>
        <v>9</v>
      </c>
    </row>
    <row r="4994" spans="1:6" x14ac:dyDescent="0.2">
      <c r="A4994">
        <v>2017</v>
      </c>
      <c r="B4994" s="13">
        <v>2455</v>
      </c>
      <c r="C4994" s="90" t="str">
        <f>VLOOKUP(B4994,'All Districts'!$A$3:$B$874,2,FALSE)</f>
        <v>Pelham</v>
      </c>
      <c r="D4994" s="16">
        <v>3928374</v>
      </c>
      <c r="E4994">
        <f>VLOOKUP(C4994,'All Districts'!$B$3:$C$874,2,FALSE)</f>
        <v>3622680</v>
      </c>
      <c r="F4994" s="91">
        <f>COUNTIF($E$2:$E$7106,E4994)</f>
        <v>9</v>
      </c>
    </row>
    <row r="4995" spans="1:6" x14ac:dyDescent="0.2">
      <c r="A4995" s="10">
        <v>2018</v>
      </c>
      <c r="B4995" s="13">
        <v>2455</v>
      </c>
      <c r="C4995" s="90" t="str">
        <f>VLOOKUP(B4995,'All Districts'!$A$3:$B$874,2,FALSE)</f>
        <v>Pelham</v>
      </c>
      <c r="D4995" s="15">
        <v>3433844</v>
      </c>
      <c r="E4995">
        <f>VLOOKUP(C4995,'All Districts'!$B$3:$C$874,2,FALSE)</f>
        <v>3622680</v>
      </c>
      <c r="F4995" s="91">
        <f>COUNTIF($E$2:$E$7106,E4995)</f>
        <v>9</v>
      </c>
    </row>
    <row r="4996" spans="1:6" x14ac:dyDescent="0.2">
      <c r="A4996">
        <v>2019</v>
      </c>
      <c r="B4996" s="36">
        <v>2455</v>
      </c>
      <c r="C4996" s="90" t="str">
        <f>VLOOKUP(B4996,'All Districts'!$A$3:$B$874,2,FALSE)</f>
        <v>Pelham</v>
      </c>
      <c r="D4996" s="40">
        <v>3747043</v>
      </c>
      <c r="E4996">
        <f>VLOOKUP(C4996,'All Districts'!$B$3:$C$874,2,FALSE)</f>
        <v>3622680</v>
      </c>
      <c r="F4996" s="91">
        <f>COUNTIF($E$2:$E$7106,E4996)</f>
        <v>9</v>
      </c>
    </row>
    <row r="4997" spans="1:6" x14ac:dyDescent="0.2">
      <c r="A4997">
        <v>2020</v>
      </c>
      <c r="B4997" s="36">
        <v>2455</v>
      </c>
      <c r="C4997" s="90" t="str">
        <f>VLOOKUP(B4997,'All Districts'!$A$3:$B$874,2,FALSE)</f>
        <v>Pelham</v>
      </c>
      <c r="D4997" s="40">
        <v>3152994</v>
      </c>
      <c r="E4997">
        <f>VLOOKUP(C4997,'All Districts'!$B$3:$C$874,2,FALSE)</f>
        <v>3622680</v>
      </c>
      <c r="F4997" s="91">
        <f>COUNTIF($E$2:$E$7106,E4997)</f>
        <v>9</v>
      </c>
    </row>
    <row r="4998" spans="1:6" x14ac:dyDescent="0.2">
      <c r="A4998" s="10">
        <v>2021</v>
      </c>
      <c r="B4998" s="52">
        <v>2455</v>
      </c>
      <c r="C4998" s="90" t="str">
        <f>VLOOKUP(B4998,'All Districts'!$A$3:$B$874,2,FALSE)</f>
        <v>Pelham</v>
      </c>
      <c r="D4998" s="76">
        <v>3392381</v>
      </c>
      <c r="E4998">
        <f>VLOOKUP(C4998,'All Districts'!$B$3:$C$874,2,FALSE)</f>
        <v>3622680</v>
      </c>
      <c r="F4998" s="91">
        <f>COUNTIF($E$2:$E$7106,E4998)</f>
        <v>9</v>
      </c>
    </row>
    <row r="4999" spans="1:6" x14ac:dyDescent="0.2">
      <c r="A4999">
        <v>2022</v>
      </c>
      <c r="B4999" s="36">
        <v>2455</v>
      </c>
      <c r="C4999" s="90" t="str">
        <f>VLOOKUP(B4999,'All Districts'!$A$3:$B$874,2,FALSE)</f>
        <v>Pelham</v>
      </c>
      <c r="D4999" s="82">
        <v>3591920</v>
      </c>
      <c r="E4999">
        <f>VLOOKUP(C4999,'All Districts'!$B$3:$C$874,2,FALSE)</f>
        <v>3622680</v>
      </c>
      <c r="F4999" s="91">
        <f>COUNTIF($E$2:$E$7106,E4999)</f>
        <v>9</v>
      </c>
    </row>
    <row r="5000" spans="1:6" x14ac:dyDescent="0.2">
      <c r="A5000">
        <v>2023</v>
      </c>
      <c r="B5000" s="36">
        <v>2455</v>
      </c>
      <c r="C5000" s="90" t="str">
        <f>VLOOKUP(B5000,'All Districts'!$A$3:$B$874,2,FALSE)</f>
        <v>Pelham</v>
      </c>
      <c r="D5000" s="40">
        <v>3953378</v>
      </c>
      <c r="E5000">
        <f>VLOOKUP(C5000,'All Districts'!$B$3:$C$874,2,FALSE)</f>
        <v>3622680</v>
      </c>
      <c r="F5000" s="91">
        <f>COUNTIF($E$2:$E$7106,E5000)</f>
        <v>9</v>
      </c>
    </row>
    <row r="5001" spans="1:6" x14ac:dyDescent="0.2">
      <c r="A5001">
        <v>2015</v>
      </c>
      <c r="B5001" s="13">
        <v>3931</v>
      </c>
      <c r="C5001" s="90" t="str">
        <f>VLOOKUP(B5001,'All Districts'!$A$3:$B$874,2,FALSE)</f>
        <v>Pembroke</v>
      </c>
      <c r="D5001" s="14">
        <v>1288532</v>
      </c>
      <c r="E5001">
        <f>VLOOKUP(C5001,'All Districts'!$B$3:$C$874,2,FALSE)</f>
        <v>3608340</v>
      </c>
      <c r="F5001" s="91">
        <f>COUNTIF($E$2:$E$7106,E5001)</f>
        <v>9</v>
      </c>
    </row>
    <row r="5002" spans="1:6" x14ac:dyDescent="0.2">
      <c r="A5002">
        <v>2016</v>
      </c>
      <c r="B5002" s="13">
        <v>3931</v>
      </c>
      <c r="C5002" s="90" t="str">
        <f>VLOOKUP(B5002,'All Districts'!$A$3:$B$874,2,FALSE)</f>
        <v>Pembroke</v>
      </c>
      <c r="D5002" s="16">
        <v>1017551</v>
      </c>
      <c r="E5002">
        <f>VLOOKUP(C5002,'All Districts'!$B$3:$C$874,2,FALSE)</f>
        <v>3608340</v>
      </c>
      <c r="F5002" s="91">
        <f>COUNTIF($E$2:$E$7106,E5002)</f>
        <v>9</v>
      </c>
    </row>
    <row r="5003" spans="1:6" x14ac:dyDescent="0.2">
      <c r="A5003">
        <v>2017</v>
      </c>
      <c r="B5003" s="13">
        <v>3931</v>
      </c>
      <c r="C5003" s="90" t="str">
        <f>VLOOKUP(B5003,'All Districts'!$A$3:$B$874,2,FALSE)</f>
        <v>Pembroke</v>
      </c>
      <c r="D5003" s="16">
        <v>937356</v>
      </c>
      <c r="E5003">
        <f>VLOOKUP(C5003,'All Districts'!$B$3:$C$874,2,FALSE)</f>
        <v>3608340</v>
      </c>
      <c r="F5003" s="91">
        <f>COUNTIF($E$2:$E$7106,E5003)</f>
        <v>9</v>
      </c>
    </row>
    <row r="5004" spans="1:6" x14ac:dyDescent="0.2">
      <c r="A5004" s="10">
        <v>2018</v>
      </c>
      <c r="B5004" s="13">
        <v>3931</v>
      </c>
      <c r="C5004" s="90" t="str">
        <f>VLOOKUP(B5004,'All Districts'!$A$3:$B$874,2,FALSE)</f>
        <v>Pembroke</v>
      </c>
      <c r="D5004" s="15">
        <v>817281</v>
      </c>
      <c r="E5004">
        <f>VLOOKUP(C5004,'All Districts'!$B$3:$C$874,2,FALSE)</f>
        <v>3608340</v>
      </c>
      <c r="F5004" s="91">
        <f>COUNTIF($E$2:$E$7106,E5004)</f>
        <v>9</v>
      </c>
    </row>
    <row r="5005" spans="1:6" x14ac:dyDescent="0.2">
      <c r="A5005">
        <v>2019</v>
      </c>
      <c r="B5005" s="36">
        <v>3931</v>
      </c>
      <c r="C5005" s="90" t="str">
        <f>VLOOKUP(B5005,'All Districts'!$A$3:$B$874,2,FALSE)</f>
        <v>Pembroke</v>
      </c>
      <c r="D5005" s="40">
        <v>913459</v>
      </c>
      <c r="E5005">
        <f>VLOOKUP(C5005,'All Districts'!$B$3:$C$874,2,FALSE)</f>
        <v>3608340</v>
      </c>
      <c r="F5005" s="91">
        <f>COUNTIF($E$2:$E$7106,E5005)</f>
        <v>9</v>
      </c>
    </row>
    <row r="5006" spans="1:6" x14ac:dyDescent="0.2">
      <c r="A5006">
        <v>2020</v>
      </c>
      <c r="B5006" s="36">
        <v>3931</v>
      </c>
      <c r="C5006" s="90" t="str">
        <f>VLOOKUP(B5006,'All Districts'!$A$3:$B$874,2,FALSE)</f>
        <v>Pembroke</v>
      </c>
      <c r="D5006" s="40">
        <v>736145</v>
      </c>
      <c r="E5006">
        <f>VLOOKUP(C5006,'All Districts'!$B$3:$C$874,2,FALSE)</f>
        <v>3608340</v>
      </c>
      <c r="F5006" s="91">
        <f>COUNTIF($E$2:$E$7106,E5006)</f>
        <v>9</v>
      </c>
    </row>
    <row r="5007" spans="1:6" x14ac:dyDescent="0.2">
      <c r="A5007" s="10">
        <v>2021</v>
      </c>
      <c r="B5007" s="52">
        <v>3931</v>
      </c>
      <c r="C5007" s="90" t="str">
        <f>VLOOKUP(B5007,'All Districts'!$A$3:$B$874,2,FALSE)</f>
        <v>Pembroke</v>
      </c>
      <c r="D5007" s="76">
        <v>762701</v>
      </c>
      <c r="E5007">
        <f>VLOOKUP(C5007,'All Districts'!$B$3:$C$874,2,FALSE)</f>
        <v>3608340</v>
      </c>
      <c r="F5007" s="91">
        <f>COUNTIF($E$2:$E$7106,E5007)</f>
        <v>9</v>
      </c>
    </row>
    <row r="5008" spans="1:6" x14ac:dyDescent="0.2">
      <c r="A5008">
        <v>2022</v>
      </c>
      <c r="B5008" s="36">
        <v>3931</v>
      </c>
      <c r="C5008" s="90" t="str">
        <f>VLOOKUP(B5008,'All Districts'!$A$3:$B$874,2,FALSE)</f>
        <v>Pembroke</v>
      </c>
      <c r="D5008" s="82">
        <v>846432</v>
      </c>
      <c r="E5008">
        <f>VLOOKUP(C5008,'All Districts'!$B$3:$C$874,2,FALSE)</f>
        <v>3608340</v>
      </c>
      <c r="F5008" s="91">
        <f>COUNTIF($E$2:$E$7106,E5008)</f>
        <v>9</v>
      </c>
    </row>
    <row r="5009" spans="1:6" x14ac:dyDescent="0.2">
      <c r="A5009">
        <v>2023</v>
      </c>
      <c r="B5009" s="36">
        <v>3931</v>
      </c>
      <c r="C5009" s="90" t="str">
        <f>VLOOKUP(B5009,'All Districts'!$A$3:$B$874,2,FALSE)</f>
        <v>Pembroke</v>
      </c>
      <c r="D5009" s="40">
        <v>929080</v>
      </c>
      <c r="E5009">
        <f>VLOOKUP(C5009,'All Districts'!$B$3:$C$874,2,FALSE)</f>
        <v>3608340</v>
      </c>
      <c r="F5009" s="91">
        <f>COUNTIF($E$2:$E$7106,E5009)</f>
        <v>9</v>
      </c>
    </row>
    <row r="5010" spans="1:6" x14ac:dyDescent="0.2">
      <c r="A5010">
        <v>2015</v>
      </c>
      <c r="B5010" s="13">
        <v>2458</v>
      </c>
      <c r="C5010" s="90" t="str">
        <f>VLOOKUP(B5010,'All Districts'!$A$3:$B$874,2,FALSE)</f>
        <v>Penfield</v>
      </c>
      <c r="D5010" s="14">
        <v>5672302</v>
      </c>
      <c r="E5010">
        <f>VLOOKUP(C5010,'All Districts'!$B$3:$C$874,2,FALSE)</f>
        <v>3622710</v>
      </c>
      <c r="F5010" s="91">
        <f>COUNTIF($E$2:$E$7106,E5010)</f>
        <v>9</v>
      </c>
    </row>
    <row r="5011" spans="1:6" x14ac:dyDescent="0.2">
      <c r="A5011">
        <v>2016</v>
      </c>
      <c r="B5011" s="13">
        <v>2458</v>
      </c>
      <c r="C5011" s="90" t="str">
        <f>VLOOKUP(B5011,'All Districts'!$A$3:$B$874,2,FALSE)</f>
        <v>Penfield</v>
      </c>
      <c r="D5011" s="16">
        <v>4327709</v>
      </c>
      <c r="E5011">
        <f>VLOOKUP(C5011,'All Districts'!$B$3:$C$874,2,FALSE)</f>
        <v>3622710</v>
      </c>
      <c r="F5011" s="91">
        <f>COUNTIF($E$2:$E$7106,E5011)</f>
        <v>9</v>
      </c>
    </row>
    <row r="5012" spans="1:6" x14ac:dyDescent="0.2">
      <c r="A5012">
        <v>2017</v>
      </c>
      <c r="B5012" s="13">
        <v>2458</v>
      </c>
      <c r="C5012" s="90" t="str">
        <f>VLOOKUP(B5012,'All Districts'!$A$3:$B$874,2,FALSE)</f>
        <v>Penfield</v>
      </c>
      <c r="D5012" s="16">
        <v>3862336</v>
      </c>
      <c r="E5012">
        <f>VLOOKUP(C5012,'All Districts'!$B$3:$C$874,2,FALSE)</f>
        <v>3622710</v>
      </c>
      <c r="F5012" s="91">
        <f>COUNTIF($E$2:$E$7106,E5012)</f>
        <v>9</v>
      </c>
    </row>
    <row r="5013" spans="1:6" x14ac:dyDescent="0.2">
      <c r="A5013" s="10">
        <v>2018</v>
      </c>
      <c r="B5013" s="13">
        <v>2458</v>
      </c>
      <c r="C5013" s="90" t="str">
        <f>VLOOKUP(B5013,'All Districts'!$A$3:$B$874,2,FALSE)</f>
        <v>Penfield</v>
      </c>
      <c r="D5013" s="15">
        <v>3363193</v>
      </c>
      <c r="E5013">
        <f>VLOOKUP(C5013,'All Districts'!$B$3:$C$874,2,FALSE)</f>
        <v>3622710</v>
      </c>
      <c r="F5013" s="91">
        <f>COUNTIF($E$2:$E$7106,E5013)</f>
        <v>9</v>
      </c>
    </row>
    <row r="5014" spans="1:6" x14ac:dyDescent="0.2">
      <c r="A5014">
        <v>2019</v>
      </c>
      <c r="B5014" s="36">
        <v>2458</v>
      </c>
      <c r="C5014" s="90" t="str">
        <f>VLOOKUP(B5014,'All Districts'!$A$3:$B$874,2,FALSE)</f>
        <v>Penfield</v>
      </c>
      <c r="D5014" s="40">
        <v>3713476</v>
      </c>
      <c r="E5014">
        <f>VLOOKUP(C5014,'All Districts'!$B$3:$C$874,2,FALSE)</f>
        <v>3622710</v>
      </c>
      <c r="F5014" s="91">
        <f>COUNTIF($E$2:$E$7106,E5014)</f>
        <v>9</v>
      </c>
    </row>
    <row r="5015" spans="1:6" x14ac:dyDescent="0.2">
      <c r="A5015">
        <v>2020</v>
      </c>
      <c r="B5015" s="36">
        <v>2458</v>
      </c>
      <c r="C5015" s="90" t="str">
        <f>VLOOKUP(B5015,'All Districts'!$A$3:$B$874,2,FALSE)</f>
        <v>Penfield</v>
      </c>
      <c r="D5015" s="40">
        <v>3070461</v>
      </c>
      <c r="E5015">
        <f>VLOOKUP(C5015,'All Districts'!$B$3:$C$874,2,FALSE)</f>
        <v>3622710</v>
      </c>
      <c r="F5015" s="91">
        <f>COUNTIF($E$2:$E$7106,E5015)</f>
        <v>9</v>
      </c>
    </row>
    <row r="5016" spans="1:6" x14ac:dyDescent="0.2">
      <c r="A5016" s="10">
        <v>2021</v>
      </c>
      <c r="B5016" s="52">
        <v>2458</v>
      </c>
      <c r="C5016" s="90" t="str">
        <f>VLOOKUP(B5016,'All Districts'!$A$3:$B$874,2,FALSE)</f>
        <v>Penfield</v>
      </c>
      <c r="D5016" s="75">
        <v>3305611</v>
      </c>
      <c r="E5016">
        <f>VLOOKUP(C5016,'All Districts'!$B$3:$C$874,2,FALSE)</f>
        <v>3622710</v>
      </c>
      <c r="F5016" s="91">
        <f>COUNTIF($E$2:$E$7106,E5016)</f>
        <v>9</v>
      </c>
    </row>
    <row r="5017" spans="1:6" x14ac:dyDescent="0.2">
      <c r="A5017">
        <v>2022</v>
      </c>
      <c r="B5017" s="36">
        <v>2458</v>
      </c>
      <c r="C5017" s="90" t="str">
        <f>VLOOKUP(B5017,'All Districts'!$A$3:$B$874,2,FALSE)</f>
        <v>Penfield</v>
      </c>
      <c r="D5017" s="82">
        <v>3457750</v>
      </c>
      <c r="E5017">
        <f>VLOOKUP(C5017,'All Districts'!$B$3:$C$874,2,FALSE)</f>
        <v>3622710</v>
      </c>
      <c r="F5017" s="91">
        <f>COUNTIF($E$2:$E$7106,E5017)</f>
        <v>9</v>
      </c>
    </row>
    <row r="5018" spans="1:6" x14ac:dyDescent="0.2">
      <c r="A5018">
        <v>2023</v>
      </c>
      <c r="B5018" s="36">
        <v>2458</v>
      </c>
      <c r="C5018" s="90" t="str">
        <f>VLOOKUP(B5018,'All Districts'!$A$3:$B$874,2,FALSE)</f>
        <v>Penfield</v>
      </c>
      <c r="D5018" s="40">
        <v>3787978</v>
      </c>
      <c r="E5018">
        <f>VLOOKUP(C5018,'All Districts'!$B$3:$C$874,2,FALSE)</f>
        <v>3622710</v>
      </c>
      <c r="F5018" s="91">
        <f>COUNTIF($E$2:$E$7106,E5018)</f>
        <v>9</v>
      </c>
    </row>
    <row r="5019" spans="1:6" x14ac:dyDescent="0.2">
      <c r="A5019">
        <v>2015</v>
      </c>
      <c r="B5019" s="13">
        <v>2460</v>
      </c>
      <c r="C5019" s="90" t="str">
        <f>VLOOKUP(B5019,'All Districts'!$A$3:$B$874,2,FALSE)</f>
        <v>Penn Yan</v>
      </c>
      <c r="D5019" s="14">
        <v>2006348</v>
      </c>
      <c r="E5019">
        <f>VLOOKUP(C5019,'All Districts'!$B$3:$C$874,2,FALSE)</f>
        <v>3622740</v>
      </c>
      <c r="F5019" s="91">
        <f>COUNTIF($E$2:$E$7106,E5019)</f>
        <v>9</v>
      </c>
    </row>
    <row r="5020" spans="1:6" x14ac:dyDescent="0.2">
      <c r="A5020">
        <v>2016</v>
      </c>
      <c r="B5020" s="13">
        <v>2460</v>
      </c>
      <c r="C5020" s="90" t="str">
        <f>VLOOKUP(B5020,'All Districts'!$A$3:$B$874,2,FALSE)</f>
        <v>Penn Yan</v>
      </c>
      <c r="D5020" s="16">
        <v>1566114</v>
      </c>
      <c r="E5020">
        <f>VLOOKUP(C5020,'All Districts'!$B$3:$C$874,2,FALSE)</f>
        <v>3622740</v>
      </c>
      <c r="F5020" s="91">
        <f>COUNTIF($E$2:$E$7106,E5020)</f>
        <v>9</v>
      </c>
    </row>
    <row r="5021" spans="1:6" x14ac:dyDescent="0.2">
      <c r="A5021">
        <v>2017</v>
      </c>
      <c r="B5021" s="13">
        <v>2460</v>
      </c>
      <c r="C5021" s="90" t="str">
        <f>VLOOKUP(B5021,'All Districts'!$A$3:$B$874,2,FALSE)</f>
        <v>Penn Yan</v>
      </c>
      <c r="D5021" s="16">
        <v>1454341</v>
      </c>
      <c r="E5021">
        <f>VLOOKUP(C5021,'All Districts'!$B$3:$C$874,2,FALSE)</f>
        <v>3622740</v>
      </c>
      <c r="F5021" s="91">
        <f>COUNTIF($E$2:$E$7106,E5021)</f>
        <v>9</v>
      </c>
    </row>
    <row r="5022" spans="1:6" x14ac:dyDescent="0.2">
      <c r="A5022" s="10">
        <v>2018</v>
      </c>
      <c r="B5022" s="13">
        <v>2460</v>
      </c>
      <c r="C5022" s="90" t="str">
        <f>VLOOKUP(B5022,'All Districts'!$A$3:$B$874,2,FALSE)</f>
        <v>Penn Yan</v>
      </c>
      <c r="D5022" s="15">
        <v>1219392</v>
      </c>
      <c r="E5022">
        <f>VLOOKUP(C5022,'All Districts'!$B$3:$C$874,2,FALSE)</f>
        <v>3622740</v>
      </c>
      <c r="F5022" s="91">
        <f>COUNTIF($E$2:$E$7106,E5022)</f>
        <v>9</v>
      </c>
    </row>
    <row r="5023" spans="1:6" x14ac:dyDescent="0.2">
      <c r="A5023">
        <v>2019</v>
      </c>
      <c r="B5023" s="36">
        <v>2460</v>
      </c>
      <c r="C5023" s="90" t="str">
        <f>VLOOKUP(B5023,'All Districts'!$A$3:$B$874,2,FALSE)</f>
        <v>Penn Yan</v>
      </c>
      <c r="D5023" s="40">
        <v>1342229</v>
      </c>
      <c r="E5023">
        <f>VLOOKUP(C5023,'All Districts'!$B$3:$C$874,2,FALSE)</f>
        <v>3622740</v>
      </c>
      <c r="F5023" s="91">
        <f>COUNTIF($E$2:$E$7106,E5023)</f>
        <v>9</v>
      </c>
    </row>
    <row r="5024" spans="1:6" x14ac:dyDescent="0.2">
      <c r="A5024">
        <v>2020</v>
      </c>
      <c r="B5024" s="36">
        <v>2460</v>
      </c>
      <c r="C5024" s="90" t="str">
        <f>VLOOKUP(B5024,'All Districts'!$A$3:$B$874,2,FALSE)</f>
        <v>Penn Yan</v>
      </c>
      <c r="D5024" s="40">
        <v>1146743</v>
      </c>
      <c r="E5024">
        <f>VLOOKUP(C5024,'All Districts'!$B$3:$C$874,2,FALSE)</f>
        <v>3622740</v>
      </c>
      <c r="F5024" s="91">
        <f>COUNTIF($E$2:$E$7106,E5024)</f>
        <v>9</v>
      </c>
    </row>
    <row r="5025" spans="1:6" x14ac:dyDescent="0.2">
      <c r="A5025" s="10">
        <v>2021</v>
      </c>
      <c r="B5025" s="52">
        <v>2460</v>
      </c>
      <c r="C5025" s="90" t="str">
        <f>VLOOKUP(B5025,'All Districts'!$A$3:$B$874,2,FALSE)</f>
        <v>Penn Yan</v>
      </c>
      <c r="D5025" s="76">
        <v>1223875</v>
      </c>
      <c r="E5025">
        <f>VLOOKUP(C5025,'All Districts'!$B$3:$C$874,2,FALSE)</f>
        <v>3622740</v>
      </c>
      <c r="F5025" s="91">
        <f>COUNTIF($E$2:$E$7106,E5025)</f>
        <v>9</v>
      </c>
    </row>
    <row r="5026" spans="1:6" x14ac:dyDescent="0.2">
      <c r="A5026">
        <v>2022</v>
      </c>
      <c r="B5026" s="36">
        <v>2460</v>
      </c>
      <c r="C5026" s="90" t="str">
        <f>VLOOKUP(B5026,'All Districts'!$A$3:$B$874,2,FALSE)</f>
        <v>Penn Yan</v>
      </c>
      <c r="D5026" s="82">
        <v>1283968</v>
      </c>
      <c r="E5026">
        <f>VLOOKUP(C5026,'All Districts'!$B$3:$C$874,2,FALSE)</f>
        <v>3622740</v>
      </c>
      <c r="F5026" s="91">
        <f>COUNTIF($E$2:$E$7106,E5026)</f>
        <v>9</v>
      </c>
    </row>
    <row r="5027" spans="1:6" x14ac:dyDescent="0.2">
      <c r="A5027">
        <v>2023</v>
      </c>
      <c r="B5027" s="36">
        <v>2460</v>
      </c>
      <c r="C5027" s="90" t="str">
        <f>VLOOKUP(B5027,'All Districts'!$A$3:$B$874,2,FALSE)</f>
        <v>Penn Yan</v>
      </c>
      <c r="D5027" s="40">
        <v>1376337</v>
      </c>
      <c r="E5027">
        <f>VLOOKUP(C5027,'All Districts'!$B$3:$C$874,2,FALSE)</f>
        <v>3622740</v>
      </c>
      <c r="F5027" s="91">
        <f>COUNTIF($E$2:$E$7106,E5027)</f>
        <v>9</v>
      </c>
    </row>
    <row r="5028" spans="1:6" x14ac:dyDescent="0.2">
      <c r="A5028">
        <v>2015</v>
      </c>
      <c r="B5028" s="13">
        <v>2465</v>
      </c>
      <c r="C5028" s="90" t="str">
        <f>VLOOKUP(B5028,'All Districts'!$A$3:$B$874,2,FALSE)</f>
        <v>Perry</v>
      </c>
      <c r="D5028" s="14">
        <v>964390</v>
      </c>
      <c r="E5028">
        <f>VLOOKUP(C5028,'All Districts'!$B$3:$C$874,2,FALSE)</f>
        <v>3622770</v>
      </c>
      <c r="F5028" s="91">
        <f>COUNTIF($E$2:$E$7106,E5028)</f>
        <v>9</v>
      </c>
    </row>
    <row r="5029" spans="1:6" x14ac:dyDescent="0.2">
      <c r="A5029">
        <v>2016</v>
      </c>
      <c r="B5029" s="13">
        <v>2465</v>
      </c>
      <c r="C5029" s="90" t="str">
        <f>VLOOKUP(B5029,'All Districts'!$A$3:$B$874,2,FALSE)</f>
        <v>Perry</v>
      </c>
      <c r="D5029" s="16">
        <v>737627</v>
      </c>
      <c r="E5029">
        <f>VLOOKUP(C5029,'All Districts'!$B$3:$C$874,2,FALSE)</f>
        <v>3622770</v>
      </c>
      <c r="F5029" s="91">
        <f>COUNTIF($E$2:$E$7106,E5029)</f>
        <v>9</v>
      </c>
    </row>
    <row r="5030" spans="1:6" x14ac:dyDescent="0.2">
      <c r="A5030">
        <v>2017</v>
      </c>
      <c r="B5030" s="13">
        <v>2465</v>
      </c>
      <c r="C5030" s="90" t="str">
        <f>VLOOKUP(B5030,'All Districts'!$A$3:$B$874,2,FALSE)</f>
        <v>Perry</v>
      </c>
      <c r="D5030" s="16">
        <v>672079</v>
      </c>
      <c r="E5030">
        <f>VLOOKUP(C5030,'All Districts'!$B$3:$C$874,2,FALSE)</f>
        <v>3622770</v>
      </c>
      <c r="F5030" s="91">
        <f>COUNTIF($E$2:$E$7106,E5030)</f>
        <v>9</v>
      </c>
    </row>
    <row r="5031" spans="1:6" x14ac:dyDescent="0.2">
      <c r="A5031" s="10">
        <v>2018</v>
      </c>
      <c r="B5031" s="13">
        <v>2465</v>
      </c>
      <c r="C5031" s="90" t="str">
        <f>VLOOKUP(B5031,'All Districts'!$A$3:$B$874,2,FALSE)</f>
        <v>Perry</v>
      </c>
      <c r="D5031" s="15">
        <v>562055</v>
      </c>
      <c r="E5031">
        <f>VLOOKUP(C5031,'All Districts'!$B$3:$C$874,2,FALSE)</f>
        <v>3622770</v>
      </c>
      <c r="F5031" s="91">
        <f>COUNTIF($E$2:$E$7106,E5031)</f>
        <v>9</v>
      </c>
    </row>
    <row r="5032" spans="1:6" x14ac:dyDescent="0.2">
      <c r="A5032">
        <v>2019</v>
      </c>
      <c r="B5032" s="36">
        <v>2465</v>
      </c>
      <c r="C5032" s="90" t="str">
        <f>VLOOKUP(B5032,'All Districts'!$A$3:$B$874,2,FALSE)</f>
        <v>Perry</v>
      </c>
      <c r="D5032" s="40">
        <v>638530</v>
      </c>
      <c r="E5032">
        <f>VLOOKUP(C5032,'All Districts'!$B$3:$C$874,2,FALSE)</f>
        <v>3622770</v>
      </c>
      <c r="F5032" s="91">
        <f>COUNTIF($E$2:$E$7106,E5032)</f>
        <v>9</v>
      </c>
    </row>
    <row r="5033" spans="1:6" x14ac:dyDescent="0.2">
      <c r="A5033">
        <v>2020</v>
      </c>
      <c r="B5033" s="36">
        <v>2465</v>
      </c>
      <c r="C5033" s="90" t="str">
        <f>VLOOKUP(B5033,'All Districts'!$A$3:$B$874,2,FALSE)</f>
        <v>Perry</v>
      </c>
      <c r="D5033" s="40">
        <v>538092</v>
      </c>
      <c r="E5033">
        <f>VLOOKUP(C5033,'All Districts'!$B$3:$C$874,2,FALSE)</f>
        <v>3622770</v>
      </c>
      <c r="F5033" s="91">
        <f>COUNTIF($E$2:$E$7106,E5033)</f>
        <v>9</v>
      </c>
    </row>
    <row r="5034" spans="1:6" x14ac:dyDescent="0.2">
      <c r="A5034" s="10">
        <v>2021</v>
      </c>
      <c r="B5034" s="55">
        <v>2465</v>
      </c>
      <c r="C5034" s="90" t="str">
        <f>VLOOKUP(B5034,'All Districts'!$A$3:$B$874,2,FALSE)</f>
        <v>Perry</v>
      </c>
      <c r="D5034" s="76">
        <v>542099</v>
      </c>
      <c r="E5034">
        <f>VLOOKUP(C5034,'All Districts'!$B$3:$C$874,2,FALSE)</f>
        <v>3622770</v>
      </c>
      <c r="F5034" s="91">
        <f>COUNTIF($E$2:$E$7106,E5034)</f>
        <v>9</v>
      </c>
    </row>
    <row r="5035" spans="1:6" x14ac:dyDescent="0.2">
      <c r="A5035">
        <v>2022</v>
      </c>
      <c r="B5035" s="36">
        <v>2465</v>
      </c>
      <c r="C5035" s="90" t="str">
        <f>VLOOKUP(B5035,'All Districts'!$A$3:$B$874,2,FALSE)</f>
        <v>Perry</v>
      </c>
      <c r="D5035" s="82">
        <v>601378</v>
      </c>
      <c r="E5035">
        <f>VLOOKUP(C5035,'All Districts'!$B$3:$C$874,2,FALSE)</f>
        <v>3622770</v>
      </c>
      <c r="F5035" s="91">
        <f>COUNTIF($E$2:$E$7106,E5035)</f>
        <v>9</v>
      </c>
    </row>
    <row r="5036" spans="1:6" x14ac:dyDescent="0.2">
      <c r="A5036">
        <v>2023</v>
      </c>
      <c r="B5036" s="36">
        <v>2465</v>
      </c>
      <c r="C5036" s="90" t="str">
        <f>VLOOKUP(B5036,'All Districts'!$A$3:$B$874,2,FALSE)</f>
        <v>Perry</v>
      </c>
      <c r="D5036" s="40">
        <v>697561</v>
      </c>
      <c r="E5036">
        <f>VLOOKUP(C5036,'All Districts'!$B$3:$C$874,2,FALSE)</f>
        <v>3622770</v>
      </c>
      <c r="F5036" s="91">
        <f>COUNTIF($E$2:$E$7106,E5036)</f>
        <v>9</v>
      </c>
    </row>
    <row r="5037" spans="1:6" x14ac:dyDescent="0.2">
      <c r="A5037">
        <v>2015</v>
      </c>
      <c r="B5037" s="13">
        <v>2466</v>
      </c>
      <c r="C5037" s="90" t="str">
        <f>VLOOKUP(B5037,'All Districts'!$A$3:$B$874,2,FALSE)</f>
        <v>Peru</v>
      </c>
      <c r="D5037" s="14">
        <v>2124714</v>
      </c>
      <c r="E5037">
        <f>VLOOKUP(C5037,'All Districts'!$B$3:$C$874,2,FALSE)</f>
        <v>3622830</v>
      </c>
      <c r="F5037" s="91">
        <f>COUNTIF($E$2:$E$7106,E5037)</f>
        <v>9</v>
      </c>
    </row>
    <row r="5038" spans="1:6" x14ac:dyDescent="0.2">
      <c r="A5038">
        <v>2016</v>
      </c>
      <c r="B5038" s="13">
        <v>2466</v>
      </c>
      <c r="C5038" s="90" t="str">
        <f>VLOOKUP(B5038,'All Districts'!$A$3:$B$874,2,FALSE)</f>
        <v>Peru</v>
      </c>
      <c r="D5038" s="16">
        <v>1722159</v>
      </c>
      <c r="E5038">
        <f>VLOOKUP(C5038,'All Districts'!$B$3:$C$874,2,FALSE)</f>
        <v>3622830</v>
      </c>
      <c r="F5038" s="91">
        <f>COUNTIF($E$2:$E$7106,E5038)</f>
        <v>9</v>
      </c>
    </row>
    <row r="5039" spans="1:6" x14ac:dyDescent="0.2">
      <c r="A5039">
        <v>2017</v>
      </c>
      <c r="B5039" s="13">
        <v>2466</v>
      </c>
      <c r="C5039" s="90" t="str">
        <f>VLOOKUP(B5039,'All Districts'!$A$3:$B$874,2,FALSE)</f>
        <v>Peru</v>
      </c>
      <c r="D5039" s="16">
        <v>1618100</v>
      </c>
      <c r="E5039">
        <f>VLOOKUP(C5039,'All Districts'!$B$3:$C$874,2,FALSE)</f>
        <v>3622830</v>
      </c>
      <c r="F5039" s="91">
        <f>COUNTIF($E$2:$E$7106,E5039)</f>
        <v>9</v>
      </c>
    </row>
    <row r="5040" spans="1:6" x14ac:dyDescent="0.2">
      <c r="A5040" s="10">
        <v>2018</v>
      </c>
      <c r="B5040" s="13">
        <v>2466</v>
      </c>
      <c r="C5040" s="90" t="str">
        <f>VLOOKUP(B5040,'All Districts'!$A$3:$B$874,2,FALSE)</f>
        <v>Peru</v>
      </c>
      <c r="D5040" s="15">
        <v>1376599</v>
      </c>
      <c r="E5040">
        <f>VLOOKUP(C5040,'All Districts'!$B$3:$C$874,2,FALSE)</f>
        <v>3622830</v>
      </c>
      <c r="F5040" s="91">
        <f>COUNTIF($E$2:$E$7106,E5040)</f>
        <v>9</v>
      </c>
    </row>
    <row r="5041" spans="1:6" x14ac:dyDescent="0.2">
      <c r="A5041">
        <v>2019</v>
      </c>
      <c r="B5041" s="36">
        <v>2466</v>
      </c>
      <c r="C5041" s="90" t="str">
        <f>VLOOKUP(B5041,'All Districts'!$A$3:$B$874,2,FALSE)</f>
        <v>Peru</v>
      </c>
      <c r="D5041" s="40">
        <v>1565452</v>
      </c>
      <c r="E5041">
        <f>VLOOKUP(C5041,'All Districts'!$B$3:$C$874,2,FALSE)</f>
        <v>3622830</v>
      </c>
      <c r="F5041" s="91">
        <f>COUNTIF($E$2:$E$7106,E5041)</f>
        <v>9</v>
      </c>
    </row>
    <row r="5042" spans="1:6" x14ac:dyDescent="0.2">
      <c r="A5042">
        <v>2020</v>
      </c>
      <c r="B5042" s="36">
        <v>2466</v>
      </c>
      <c r="C5042" s="90" t="str">
        <f>VLOOKUP(B5042,'All Districts'!$A$3:$B$874,2,FALSE)</f>
        <v>Peru</v>
      </c>
      <c r="D5042" s="40">
        <v>1252033</v>
      </c>
      <c r="E5042">
        <f>VLOOKUP(C5042,'All Districts'!$B$3:$C$874,2,FALSE)</f>
        <v>3622830</v>
      </c>
      <c r="F5042" s="91">
        <f>COUNTIF($E$2:$E$7106,E5042)</f>
        <v>9</v>
      </c>
    </row>
    <row r="5043" spans="1:6" x14ac:dyDescent="0.2">
      <c r="A5043" s="10">
        <v>2021</v>
      </c>
      <c r="B5043" s="52">
        <v>2466</v>
      </c>
      <c r="C5043" s="90" t="str">
        <f>VLOOKUP(B5043,'All Districts'!$A$3:$B$874,2,FALSE)</f>
        <v>Peru</v>
      </c>
      <c r="D5043" s="76">
        <v>1360744</v>
      </c>
      <c r="E5043">
        <f>VLOOKUP(C5043,'All Districts'!$B$3:$C$874,2,FALSE)</f>
        <v>3622830</v>
      </c>
      <c r="F5043" s="91">
        <f>COUNTIF($E$2:$E$7106,E5043)</f>
        <v>9</v>
      </c>
    </row>
    <row r="5044" spans="1:6" x14ac:dyDescent="0.2">
      <c r="A5044">
        <v>2022</v>
      </c>
      <c r="B5044" s="36">
        <v>2466</v>
      </c>
      <c r="C5044" s="90" t="str">
        <f>VLOOKUP(B5044,'All Districts'!$A$3:$B$874,2,FALSE)</f>
        <v>Peru</v>
      </c>
      <c r="D5044" s="82">
        <v>1571062</v>
      </c>
      <c r="E5044">
        <f>VLOOKUP(C5044,'All Districts'!$B$3:$C$874,2,FALSE)</f>
        <v>3622830</v>
      </c>
      <c r="F5044" s="91">
        <f>COUNTIF($E$2:$E$7106,E5044)</f>
        <v>9</v>
      </c>
    </row>
    <row r="5045" spans="1:6" x14ac:dyDescent="0.2">
      <c r="A5045">
        <v>2023</v>
      </c>
      <c r="B5045" s="36">
        <v>2466</v>
      </c>
      <c r="C5045" s="90" t="str">
        <f>VLOOKUP(B5045,'All Districts'!$A$3:$B$874,2,FALSE)</f>
        <v>Peru</v>
      </c>
      <c r="D5045" s="40">
        <v>1713455</v>
      </c>
      <c r="E5045">
        <f>VLOOKUP(C5045,'All Districts'!$B$3:$C$874,2,FALSE)</f>
        <v>3622830</v>
      </c>
      <c r="F5045" s="91">
        <f>COUNTIF($E$2:$E$7106,E5045)</f>
        <v>9</v>
      </c>
    </row>
    <row r="5046" spans="1:6" x14ac:dyDescent="0.2">
      <c r="A5046">
        <v>2015</v>
      </c>
      <c r="B5046" s="13">
        <v>2464</v>
      </c>
      <c r="C5046" s="90" t="str">
        <f>VLOOKUP(B5046,'All Districts'!$A$3:$B$874,2,FALSE)</f>
        <v>Phelps-Clifton Springs</v>
      </c>
      <c r="D5046" s="14">
        <v>1824557</v>
      </c>
      <c r="E5046">
        <f>VLOOKUP(C5046,'All Districts'!$B$3:$C$874,2,FALSE)</f>
        <v>3622890</v>
      </c>
      <c r="F5046" s="91">
        <f>COUNTIF($E$2:$E$7106,E5046)</f>
        <v>9</v>
      </c>
    </row>
    <row r="5047" spans="1:6" x14ac:dyDescent="0.2">
      <c r="A5047">
        <v>2016</v>
      </c>
      <c r="B5047" s="13">
        <v>2464</v>
      </c>
      <c r="C5047" s="90" t="str">
        <f>VLOOKUP(B5047,'All Districts'!$A$3:$B$874,2,FALSE)</f>
        <v>Phelps-Clifton Springs</v>
      </c>
      <c r="D5047" s="16">
        <v>1403149</v>
      </c>
      <c r="E5047">
        <f>VLOOKUP(C5047,'All Districts'!$B$3:$C$874,2,FALSE)</f>
        <v>3622890</v>
      </c>
      <c r="F5047" s="91">
        <f>COUNTIF($E$2:$E$7106,E5047)</f>
        <v>9</v>
      </c>
    </row>
    <row r="5048" spans="1:6" x14ac:dyDescent="0.2">
      <c r="A5048">
        <v>2017</v>
      </c>
      <c r="B5048" s="13">
        <v>2464</v>
      </c>
      <c r="C5048" s="90" t="str">
        <f>VLOOKUP(B5048,'All Districts'!$A$3:$B$874,2,FALSE)</f>
        <v>Phelps-Clifton Springs</v>
      </c>
      <c r="D5048" s="16">
        <v>1274417</v>
      </c>
      <c r="E5048">
        <f>VLOOKUP(C5048,'All Districts'!$B$3:$C$874,2,FALSE)</f>
        <v>3622890</v>
      </c>
      <c r="F5048" s="91">
        <f>COUNTIF($E$2:$E$7106,E5048)</f>
        <v>9</v>
      </c>
    </row>
    <row r="5049" spans="1:6" x14ac:dyDescent="0.2">
      <c r="A5049" s="10">
        <v>2018</v>
      </c>
      <c r="B5049" s="13">
        <v>2464</v>
      </c>
      <c r="C5049" s="90" t="str">
        <f>VLOOKUP(B5049,'All Districts'!$A$3:$B$874,2,FALSE)</f>
        <v>Phelps-Clifton Springs</v>
      </c>
      <c r="D5049" s="15">
        <v>1080848</v>
      </c>
      <c r="E5049">
        <f>VLOOKUP(C5049,'All Districts'!$B$3:$C$874,2,FALSE)</f>
        <v>3622890</v>
      </c>
      <c r="F5049" s="91">
        <f>COUNTIF($E$2:$E$7106,E5049)</f>
        <v>9</v>
      </c>
    </row>
    <row r="5050" spans="1:6" x14ac:dyDescent="0.2">
      <c r="A5050">
        <v>2019</v>
      </c>
      <c r="B5050" s="36">
        <v>2464</v>
      </c>
      <c r="C5050" s="90" t="str">
        <f>VLOOKUP(B5050,'All Districts'!$A$3:$B$874,2,FALSE)</f>
        <v>Phelps-Clifton Springs</v>
      </c>
      <c r="D5050" s="40">
        <v>1193292</v>
      </c>
      <c r="E5050">
        <f>VLOOKUP(C5050,'All Districts'!$B$3:$C$874,2,FALSE)</f>
        <v>3622890</v>
      </c>
      <c r="F5050" s="91">
        <f>COUNTIF($E$2:$E$7106,E5050)</f>
        <v>9</v>
      </c>
    </row>
    <row r="5051" spans="1:6" x14ac:dyDescent="0.2">
      <c r="A5051">
        <v>2020</v>
      </c>
      <c r="B5051" s="36">
        <v>2464</v>
      </c>
      <c r="C5051" s="90" t="str">
        <f>VLOOKUP(B5051,'All Districts'!$A$3:$B$874,2,FALSE)</f>
        <v>Phelps-Clifton Springs</v>
      </c>
      <c r="D5051" s="40">
        <v>1012440</v>
      </c>
      <c r="E5051">
        <f>VLOOKUP(C5051,'All Districts'!$B$3:$C$874,2,FALSE)</f>
        <v>3622890</v>
      </c>
      <c r="F5051" s="91">
        <f>COUNTIF($E$2:$E$7106,E5051)</f>
        <v>9</v>
      </c>
    </row>
    <row r="5052" spans="1:6" x14ac:dyDescent="0.2">
      <c r="A5052" s="10">
        <v>2021</v>
      </c>
      <c r="B5052" s="52">
        <v>2464</v>
      </c>
      <c r="C5052" s="90" t="str">
        <f>VLOOKUP(B5052,'All Districts'!$A$3:$B$874,2,FALSE)</f>
        <v>Phelps-Clifton Springs</v>
      </c>
      <c r="D5052" s="76">
        <v>1093672</v>
      </c>
      <c r="E5052">
        <f>VLOOKUP(C5052,'All Districts'!$B$3:$C$874,2,FALSE)</f>
        <v>3622890</v>
      </c>
      <c r="F5052" s="91">
        <f>COUNTIF($E$2:$E$7106,E5052)</f>
        <v>9</v>
      </c>
    </row>
    <row r="5053" spans="1:6" x14ac:dyDescent="0.2">
      <c r="A5053">
        <v>2022</v>
      </c>
      <c r="B5053" s="36">
        <v>2464</v>
      </c>
      <c r="C5053" s="90" t="str">
        <f>VLOOKUP(B5053,'All Districts'!$A$3:$B$874,2,FALSE)</f>
        <v>Phelps-Clifton Springs</v>
      </c>
      <c r="D5053" s="82">
        <v>1204447</v>
      </c>
      <c r="E5053">
        <f>VLOOKUP(C5053,'All Districts'!$B$3:$C$874,2,FALSE)</f>
        <v>3622890</v>
      </c>
      <c r="F5053" s="91">
        <f>COUNTIF($E$2:$E$7106,E5053)</f>
        <v>9</v>
      </c>
    </row>
    <row r="5054" spans="1:6" x14ac:dyDescent="0.2">
      <c r="A5054">
        <v>2023</v>
      </c>
      <c r="B5054" s="36">
        <v>2464</v>
      </c>
      <c r="C5054" s="90" t="str">
        <f>VLOOKUP(B5054,'All Districts'!$A$3:$B$874,2,FALSE)</f>
        <v>Phelps-Clifton Springs</v>
      </c>
      <c r="D5054" s="40">
        <v>1329304</v>
      </c>
      <c r="E5054">
        <f>VLOOKUP(C5054,'All Districts'!$B$3:$C$874,2,FALSE)</f>
        <v>3622890</v>
      </c>
      <c r="F5054" s="91">
        <f>COUNTIF($E$2:$E$7106,E5054)</f>
        <v>9</v>
      </c>
    </row>
    <row r="5055" spans="1:6" x14ac:dyDescent="0.2">
      <c r="A5055">
        <v>2015</v>
      </c>
      <c r="B5055" s="13">
        <v>2468</v>
      </c>
      <c r="C5055" s="90" t="str">
        <f>VLOOKUP(B5055,'All Districts'!$A$3:$B$874,2,FALSE)</f>
        <v>Phoenix</v>
      </c>
      <c r="D5055" s="14">
        <v>2638533</v>
      </c>
      <c r="E5055">
        <f>VLOOKUP(C5055,'All Districts'!$B$3:$C$874,2,FALSE)</f>
        <v>3622920</v>
      </c>
      <c r="F5055" s="91">
        <f>COUNTIF($E$2:$E$7106,E5055)</f>
        <v>9</v>
      </c>
    </row>
    <row r="5056" spans="1:6" x14ac:dyDescent="0.2">
      <c r="A5056">
        <v>2016</v>
      </c>
      <c r="B5056" s="13">
        <v>2468</v>
      </c>
      <c r="C5056" s="90" t="str">
        <f>VLOOKUP(B5056,'All Districts'!$A$3:$B$874,2,FALSE)</f>
        <v>Phoenix</v>
      </c>
      <c r="D5056" s="16">
        <v>2021554</v>
      </c>
      <c r="E5056">
        <f>VLOOKUP(C5056,'All Districts'!$B$3:$C$874,2,FALSE)</f>
        <v>3622920</v>
      </c>
      <c r="F5056" s="91">
        <f>COUNTIF($E$2:$E$7106,E5056)</f>
        <v>9</v>
      </c>
    </row>
    <row r="5057" spans="1:6" x14ac:dyDescent="0.2">
      <c r="A5057">
        <v>2017</v>
      </c>
      <c r="B5057" s="13">
        <v>2468</v>
      </c>
      <c r="C5057" s="90" t="str">
        <f>VLOOKUP(B5057,'All Districts'!$A$3:$B$874,2,FALSE)</f>
        <v>Phoenix</v>
      </c>
      <c r="D5057" s="16">
        <v>1821926</v>
      </c>
      <c r="E5057">
        <f>VLOOKUP(C5057,'All Districts'!$B$3:$C$874,2,FALSE)</f>
        <v>3622920</v>
      </c>
      <c r="F5057" s="91">
        <f>COUNTIF($E$2:$E$7106,E5057)</f>
        <v>9</v>
      </c>
    </row>
    <row r="5058" spans="1:6" x14ac:dyDescent="0.2">
      <c r="A5058" s="10">
        <v>2018</v>
      </c>
      <c r="B5058" s="13">
        <v>2468</v>
      </c>
      <c r="C5058" s="90" t="str">
        <f>VLOOKUP(B5058,'All Districts'!$A$3:$B$874,2,FALSE)</f>
        <v>Phoenix</v>
      </c>
      <c r="D5058" s="15">
        <v>1524730</v>
      </c>
      <c r="E5058">
        <f>VLOOKUP(C5058,'All Districts'!$B$3:$C$874,2,FALSE)</f>
        <v>3622920</v>
      </c>
      <c r="F5058" s="91">
        <f>COUNTIF($E$2:$E$7106,E5058)</f>
        <v>9</v>
      </c>
    </row>
    <row r="5059" spans="1:6" x14ac:dyDescent="0.2">
      <c r="A5059">
        <v>2019</v>
      </c>
      <c r="B5059" s="36">
        <v>2468</v>
      </c>
      <c r="C5059" s="90" t="str">
        <f>VLOOKUP(B5059,'All Districts'!$A$3:$B$874,2,FALSE)</f>
        <v>Phoenix</v>
      </c>
      <c r="D5059" s="40">
        <v>1649475</v>
      </c>
      <c r="E5059">
        <f>VLOOKUP(C5059,'All Districts'!$B$3:$C$874,2,FALSE)</f>
        <v>3622920</v>
      </c>
      <c r="F5059" s="91">
        <f>COUNTIF($E$2:$E$7106,E5059)</f>
        <v>9</v>
      </c>
    </row>
    <row r="5060" spans="1:6" x14ac:dyDescent="0.2">
      <c r="A5060">
        <v>2020</v>
      </c>
      <c r="B5060" s="36">
        <v>2468</v>
      </c>
      <c r="C5060" s="90" t="str">
        <f>VLOOKUP(B5060,'All Districts'!$A$3:$B$874,2,FALSE)</f>
        <v>Phoenix</v>
      </c>
      <c r="D5060" s="40">
        <v>1374746</v>
      </c>
      <c r="E5060">
        <f>VLOOKUP(C5060,'All Districts'!$B$3:$C$874,2,FALSE)</f>
        <v>3622920</v>
      </c>
      <c r="F5060" s="91">
        <f>COUNTIF($E$2:$E$7106,E5060)</f>
        <v>9</v>
      </c>
    </row>
    <row r="5061" spans="1:6" x14ac:dyDescent="0.2">
      <c r="A5061" s="10">
        <v>2021</v>
      </c>
      <c r="B5061" s="52">
        <v>2468</v>
      </c>
      <c r="C5061" s="90" t="str">
        <f>VLOOKUP(B5061,'All Districts'!$A$3:$B$874,2,FALSE)</f>
        <v>Phoenix</v>
      </c>
      <c r="D5061" s="76">
        <v>1464272</v>
      </c>
      <c r="E5061">
        <f>VLOOKUP(C5061,'All Districts'!$B$3:$C$874,2,FALSE)</f>
        <v>3622920</v>
      </c>
      <c r="F5061" s="91">
        <f>COUNTIF($E$2:$E$7106,E5061)</f>
        <v>9</v>
      </c>
    </row>
    <row r="5062" spans="1:6" x14ac:dyDescent="0.2">
      <c r="A5062">
        <v>2022</v>
      </c>
      <c r="B5062" s="36">
        <v>2468</v>
      </c>
      <c r="C5062" s="90" t="str">
        <f>VLOOKUP(B5062,'All Districts'!$A$3:$B$874,2,FALSE)</f>
        <v>Phoenix</v>
      </c>
      <c r="D5062" s="82">
        <v>1597028</v>
      </c>
      <c r="E5062">
        <f>VLOOKUP(C5062,'All Districts'!$B$3:$C$874,2,FALSE)</f>
        <v>3622920</v>
      </c>
      <c r="F5062" s="91">
        <f>COUNTIF($E$2:$E$7106,E5062)</f>
        <v>9</v>
      </c>
    </row>
    <row r="5063" spans="1:6" x14ac:dyDescent="0.2">
      <c r="A5063">
        <v>2023</v>
      </c>
      <c r="B5063" s="36">
        <v>2468</v>
      </c>
      <c r="C5063" s="90" t="str">
        <f>VLOOKUP(B5063,'All Districts'!$A$3:$B$874,2,FALSE)</f>
        <v>Phoenix</v>
      </c>
      <c r="D5063" s="40">
        <v>1701367</v>
      </c>
      <c r="E5063">
        <f>VLOOKUP(C5063,'All Districts'!$B$3:$C$874,2,FALSE)</f>
        <v>3622920</v>
      </c>
      <c r="F5063" s="91">
        <f>COUNTIF($E$2:$E$7106,E5063)</f>
        <v>9</v>
      </c>
    </row>
    <row r="5064" spans="1:6" x14ac:dyDescent="0.2">
      <c r="A5064">
        <v>2015</v>
      </c>
      <c r="B5064" s="13">
        <v>2471</v>
      </c>
      <c r="C5064" s="90" t="str">
        <f>VLOOKUP(B5064,'All Districts'!$A$3:$B$874,2,FALSE)</f>
        <v>Pine Bush</v>
      </c>
      <c r="D5064" s="14">
        <v>7001073</v>
      </c>
      <c r="E5064">
        <f>VLOOKUP(C5064,'All Districts'!$B$3:$C$874,2,FALSE)</f>
        <v>3623010</v>
      </c>
      <c r="F5064" s="91">
        <f>COUNTIF($E$2:$E$7106,E5064)</f>
        <v>9</v>
      </c>
    </row>
    <row r="5065" spans="1:6" x14ac:dyDescent="0.2">
      <c r="A5065">
        <v>2016</v>
      </c>
      <c r="B5065" s="13">
        <v>2471</v>
      </c>
      <c r="C5065" s="90" t="str">
        <f>VLOOKUP(B5065,'All Districts'!$A$3:$B$874,2,FALSE)</f>
        <v>Pine Bush</v>
      </c>
      <c r="D5065" s="16">
        <v>5404380</v>
      </c>
      <c r="E5065">
        <f>VLOOKUP(C5065,'All Districts'!$B$3:$C$874,2,FALSE)</f>
        <v>3623010</v>
      </c>
      <c r="F5065" s="91">
        <f>COUNTIF($E$2:$E$7106,E5065)</f>
        <v>9</v>
      </c>
    </row>
    <row r="5066" spans="1:6" x14ac:dyDescent="0.2">
      <c r="A5066">
        <v>2017</v>
      </c>
      <c r="B5066" s="13">
        <v>2471</v>
      </c>
      <c r="C5066" s="90" t="str">
        <f>VLOOKUP(B5066,'All Districts'!$A$3:$B$874,2,FALSE)</f>
        <v>Pine Bush</v>
      </c>
      <c r="D5066" s="16">
        <v>4865051</v>
      </c>
      <c r="E5066">
        <f>VLOOKUP(C5066,'All Districts'!$B$3:$C$874,2,FALSE)</f>
        <v>3623010</v>
      </c>
      <c r="F5066" s="91">
        <f>COUNTIF($E$2:$E$7106,E5066)</f>
        <v>9</v>
      </c>
    </row>
    <row r="5067" spans="1:6" x14ac:dyDescent="0.2">
      <c r="A5067" s="10">
        <v>2018</v>
      </c>
      <c r="B5067" s="13">
        <v>2471</v>
      </c>
      <c r="C5067" s="90" t="str">
        <f>VLOOKUP(B5067,'All Districts'!$A$3:$B$874,2,FALSE)</f>
        <v>Pine Bush</v>
      </c>
      <c r="D5067" s="15">
        <v>4106428</v>
      </c>
      <c r="E5067">
        <f>VLOOKUP(C5067,'All Districts'!$B$3:$C$874,2,FALSE)</f>
        <v>3623010</v>
      </c>
      <c r="F5067" s="91">
        <f>COUNTIF($E$2:$E$7106,E5067)</f>
        <v>9</v>
      </c>
    </row>
    <row r="5068" spans="1:6" x14ac:dyDescent="0.2">
      <c r="A5068">
        <v>2019</v>
      </c>
      <c r="B5068" s="36">
        <v>2471</v>
      </c>
      <c r="C5068" s="90" t="str">
        <f>VLOOKUP(B5068,'All Districts'!$A$3:$B$874,2,FALSE)</f>
        <v>Pine Bush</v>
      </c>
      <c r="D5068" s="40">
        <v>4563966</v>
      </c>
      <c r="E5068">
        <f>VLOOKUP(C5068,'All Districts'!$B$3:$C$874,2,FALSE)</f>
        <v>3623010</v>
      </c>
      <c r="F5068" s="91">
        <f>COUNTIF($E$2:$E$7106,E5068)</f>
        <v>9</v>
      </c>
    </row>
    <row r="5069" spans="1:6" x14ac:dyDescent="0.2">
      <c r="A5069">
        <v>2020</v>
      </c>
      <c r="B5069" s="36">
        <v>2471</v>
      </c>
      <c r="C5069" s="90" t="str">
        <f>VLOOKUP(B5069,'All Districts'!$A$3:$B$874,2,FALSE)</f>
        <v>Pine Bush</v>
      </c>
      <c r="D5069" s="40">
        <v>3854563</v>
      </c>
      <c r="E5069">
        <f>VLOOKUP(C5069,'All Districts'!$B$3:$C$874,2,FALSE)</f>
        <v>3623010</v>
      </c>
      <c r="F5069" s="91">
        <f>COUNTIF($E$2:$E$7106,E5069)</f>
        <v>9</v>
      </c>
    </row>
    <row r="5070" spans="1:6" x14ac:dyDescent="0.2">
      <c r="A5070" s="10">
        <v>2021</v>
      </c>
      <c r="B5070" s="55">
        <v>2471</v>
      </c>
      <c r="C5070" s="90" t="str">
        <f>VLOOKUP(B5070,'All Districts'!$A$3:$B$874,2,FALSE)</f>
        <v>Pine Bush</v>
      </c>
      <c r="D5070" s="76">
        <v>4108841</v>
      </c>
      <c r="E5070">
        <f>VLOOKUP(C5070,'All Districts'!$B$3:$C$874,2,FALSE)</f>
        <v>3623010</v>
      </c>
      <c r="F5070" s="91">
        <f>COUNTIF($E$2:$E$7106,E5070)</f>
        <v>9</v>
      </c>
    </row>
    <row r="5071" spans="1:6" x14ac:dyDescent="0.2">
      <c r="A5071">
        <v>2022</v>
      </c>
      <c r="B5071" s="36">
        <v>2471</v>
      </c>
      <c r="C5071" s="90" t="str">
        <f>VLOOKUP(B5071,'All Districts'!$A$3:$B$874,2,FALSE)</f>
        <v>Pine Bush</v>
      </c>
      <c r="D5071" s="82">
        <v>4399932</v>
      </c>
      <c r="E5071">
        <f>VLOOKUP(C5071,'All Districts'!$B$3:$C$874,2,FALSE)</f>
        <v>3623010</v>
      </c>
      <c r="F5071" s="91">
        <f>COUNTIF($E$2:$E$7106,E5071)</f>
        <v>9</v>
      </c>
    </row>
    <row r="5072" spans="1:6" x14ac:dyDescent="0.2">
      <c r="A5072">
        <v>2023</v>
      </c>
      <c r="B5072" s="36">
        <v>2471</v>
      </c>
      <c r="C5072" s="90" t="str">
        <f>VLOOKUP(B5072,'All Districts'!$A$3:$B$874,2,FALSE)</f>
        <v>Pine Bush</v>
      </c>
      <c r="D5072" s="40">
        <v>4811355</v>
      </c>
      <c r="E5072">
        <f>VLOOKUP(C5072,'All Districts'!$B$3:$C$874,2,FALSE)</f>
        <v>3623010</v>
      </c>
      <c r="F5072" s="91">
        <f>COUNTIF($E$2:$E$7106,E5072)</f>
        <v>9</v>
      </c>
    </row>
    <row r="5073" spans="1:6" x14ac:dyDescent="0.2">
      <c r="A5073">
        <v>2015</v>
      </c>
      <c r="B5073" s="13">
        <v>3631</v>
      </c>
      <c r="C5073" s="90" t="str">
        <f>VLOOKUP(B5073,'All Districts'!$A$3:$B$874,2,FALSE)</f>
        <v>Pine Plains</v>
      </c>
      <c r="D5073" s="14">
        <v>1638504</v>
      </c>
      <c r="E5073">
        <f>VLOOKUP(C5073,'All Districts'!$B$3:$C$874,2,FALSE)</f>
        <v>3623040</v>
      </c>
      <c r="F5073" s="91">
        <f>COUNTIF($E$2:$E$7106,E5073)</f>
        <v>9</v>
      </c>
    </row>
    <row r="5074" spans="1:6" x14ac:dyDescent="0.2">
      <c r="A5074">
        <v>2016</v>
      </c>
      <c r="B5074" s="13">
        <v>3631</v>
      </c>
      <c r="C5074" s="90" t="str">
        <f>VLOOKUP(B5074,'All Districts'!$A$3:$B$874,2,FALSE)</f>
        <v>Pine Plains</v>
      </c>
      <c r="D5074" s="16">
        <v>1277993</v>
      </c>
      <c r="E5074">
        <f>VLOOKUP(C5074,'All Districts'!$B$3:$C$874,2,FALSE)</f>
        <v>3623040</v>
      </c>
      <c r="F5074" s="91">
        <f>COUNTIF($E$2:$E$7106,E5074)</f>
        <v>9</v>
      </c>
    </row>
    <row r="5075" spans="1:6" x14ac:dyDescent="0.2">
      <c r="A5075">
        <v>2017</v>
      </c>
      <c r="B5075" s="13">
        <v>3631</v>
      </c>
      <c r="C5075" s="90" t="str">
        <f>VLOOKUP(B5075,'All Districts'!$A$3:$B$874,2,FALSE)</f>
        <v>Pine Plains</v>
      </c>
      <c r="D5075" s="16">
        <v>1167870</v>
      </c>
      <c r="E5075">
        <f>VLOOKUP(C5075,'All Districts'!$B$3:$C$874,2,FALSE)</f>
        <v>3623040</v>
      </c>
      <c r="F5075" s="91">
        <f>COUNTIF($E$2:$E$7106,E5075)</f>
        <v>9</v>
      </c>
    </row>
    <row r="5076" spans="1:6" x14ac:dyDescent="0.2">
      <c r="A5076" s="10">
        <v>2018</v>
      </c>
      <c r="B5076" s="13">
        <v>3631</v>
      </c>
      <c r="C5076" s="90" t="str">
        <f>VLOOKUP(B5076,'All Districts'!$A$3:$B$874,2,FALSE)</f>
        <v>Pine Plains</v>
      </c>
      <c r="D5076" s="15">
        <v>991295</v>
      </c>
      <c r="E5076">
        <f>VLOOKUP(C5076,'All Districts'!$B$3:$C$874,2,FALSE)</f>
        <v>3623040</v>
      </c>
      <c r="F5076" s="91">
        <f>COUNTIF($E$2:$E$7106,E5076)</f>
        <v>9</v>
      </c>
    </row>
    <row r="5077" spans="1:6" x14ac:dyDescent="0.2">
      <c r="A5077">
        <v>2019</v>
      </c>
      <c r="B5077" s="36">
        <v>3631</v>
      </c>
      <c r="C5077" s="90" t="str">
        <f>VLOOKUP(B5077,'All Districts'!$A$3:$B$874,2,FALSE)</f>
        <v>Pine Plains</v>
      </c>
      <c r="D5077" s="40">
        <v>1037531</v>
      </c>
      <c r="E5077">
        <f>VLOOKUP(C5077,'All Districts'!$B$3:$C$874,2,FALSE)</f>
        <v>3623040</v>
      </c>
      <c r="F5077" s="91">
        <f>COUNTIF($E$2:$E$7106,E5077)</f>
        <v>9</v>
      </c>
    </row>
    <row r="5078" spans="1:6" x14ac:dyDescent="0.2">
      <c r="A5078">
        <v>2020</v>
      </c>
      <c r="B5078" s="36">
        <v>3631</v>
      </c>
      <c r="C5078" s="90" t="str">
        <f>VLOOKUP(B5078,'All Districts'!$A$3:$B$874,2,FALSE)</f>
        <v>Pine Plains</v>
      </c>
      <c r="D5078" s="40">
        <v>912363</v>
      </c>
      <c r="E5078">
        <f>VLOOKUP(C5078,'All Districts'!$B$3:$C$874,2,FALSE)</f>
        <v>3623040</v>
      </c>
      <c r="F5078" s="91">
        <f>COUNTIF($E$2:$E$7106,E5078)</f>
        <v>9</v>
      </c>
    </row>
    <row r="5079" spans="1:6" x14ac:dyDescent="0.2">
      <c r="A5079" s="10">
        <v>2021</v>
      </c>
      <c r="B5079" s="52">
        <v>3631</v>
      </c>
      <c r="C5079" s="90" t="str">
        <f>VLOOKUP(B5079,'All Districts'!$A$3:$B$874,2,FALSE)</f>
        <v>Pine Plains</v>
      </c>
      <c r="D5079" s="76">
        <v>992631</v>
      </c>
      <c r="E5079">
        <f>VLOOKUP(C5079,'All Districts'!$B$3:$C$874,2,FALSE)</f>
        <v>3623040</v>
      </c>
      <c r="F5079" s="91">
        <f>COUNTIF($E$2:$E$7106,E5079)</f>
        <v>9</v>
      </c>
    </row>
    <row r="5080" spans="1:6" x14ac:dyDescent="0.2">
      <c r="A5080">
        <v>2022</v>
      </c>
      <c r="B5080" s="36">
        <v>3631</v>
      </c>
      <c r="C5080" s="90" t="str">
        <f>VLOOKUP(B5080,'All Districts'!$A$3:$B$874,2,FALSE)</f>
        <v>Pine Plains</v>
      </c>
      <c r="D5080" s="82">
        <v>1095201</v>
      </c>
      <c r="E5080">
        <f>VLOOKUP(C5080,'All Districts'!$B$3:$C$874,2,FALSE)</f>
        <v>3623040</v>
      </c>
      <c r="F5080" s="91">
        <f>COUNTIF($E$2:$E$7106,E5080)</f>
        <v>9</v>
      </c>
    </row>
    <row r="5081" spans="1:6" x14ac:dyDescent="0.2">
      <c r="A5081">
        <v>2023</v>
      </c>
      <c r="B5081" s="36">
        <v>3631</v>
      </c>
      <c r="C5081" s="90" t="str">
        <f>VLOOKUP(B5081,'All Districts'!$A$3:$B$874,2,FALSE)</f>
        <v>Pine Plains</v>
      </c>
      <c r="D5081" s="40">
        <v>1161573</v>
      </c>
      <c r="E5081">
        <f>VLOOKUP(C5081,'All Districts'!$B$3:$C$874,2,FALSE)</f>
        <v>3623040</v>
      </c>
      <c r="F5081" s="91">
        <f>COUNTIF($E$2:$E$7106,E5081)</f>
        <v>9</v>
      </c>
    </row>
    <row r="5082" spans="1:6" x14ac:dyDescent="0.2">
      <c r="A5082">
        <v>2015</v>
      </c>
      <c r="B5082" s="13">
        <v>3328</v>
      </c>
      <c r="C5082" s="90" t="str">
        <f>VLOOKUP(B5082,'All Districts'!$A$3:$B$874,2,FALSE)</f>
        <v>Pinevalley at South Dayton</v>
      </c>
      <c r="D5082" s="14">
        <v>743232</v>
      </c>
      <c r="E5082">
        <f>VLOOKUP(C5082,'All Districts'!$B$3:$C$874,2,FALSE)</f>
        <v>3623070</v>
      </c>
      <c r="F5082" s="91">
        <f>COUNTIF($E$2:$E$7106,E5082)</f>
        <v>9</v>
      </c>
    </row>
    <row r="5083" spans="1:6" x14ac:dyDescent="0.2">
      <c r="A5083">
        <v>2016</v>
      </c>
      <c r="B5083" s="13">
        <v>3328</v>
      </c>
      <c r="C5083" s="90" t="str">
        <f>VLOOKUP(B5083,'All Districts'!$A$3:$B$874,2,FALSE)</f>
        <v>Pinevalley at South Dayton</v>
      </c>
      <c r="D5083" s="16">
        <v>529325</v>
      </c>
      <c r="E5083">
        <f>VLOOKUP(C5083,'All Districts'!$B$3:$C$874,2,FALSE)</f>
        <v>3623070</v>
      </c>
      <c r="F5083" s="91">
        <f>COUNTIF($E$2:$E$7106,E5083)</f>
        <v>9</v>
      </c>
    </row>
    <row r="5084" spans="1:6" x14ac:dyDescent="0.2">
      <c r="A5084">
        <v>2017</v>
      </c>
      <c r="B5084" s="13">
        <v>3328</v>
      </c>
      <c r="C5084" s="90" t="str">
        <f>VLOOKUP(B5084,'All Districts'!$A$3:$B$874,2,FALSE)</f>
        <v>Pinevalley at South Dayton</v>
      </c>
      <c r="D5084" s="16">
        <v>454680</v>
      </c>
      <c r="E5084">
        <f>VLOOKUP(C5084,'All Districts'!$B$3:$C$874,2,FALSE)</f>
        <v>3623070</v>
      </c>
      <c r="F5084" s="91">
        <f>COUNTIF($E$2:$E$7106,E5084)</f>
        <v>9</v>
      </c>
    </row>
    <row r="5085" spans="1:6" x14ac:dyDescent="0.2">
      <c r="A5085" s="10">
        <v>2018</v>
      </c>
      <c r="B5085" s="13">
        <v>3328</v>
      </c>
      <c r="C5085" s="90" t="str">
        <f>VLOOKUP(B5085,'All Districts'!$A$3:$B$874,2,FALSE)</f>
        <v>Pinevalley at South Dayton</v>
      </c>
      <c r="D5085" s="15">
        <v>370762</v>
      </c>
      <c r="E5085">
        <f>VLOOKUP(C5085,'All Districts'!$B$3:$C$874,2,FALSE)</f>
        <v>3623070</v>
      </c>
      <c r="F5085" s="91">
        <f>COUNTIF($E$2:$E$7106,E5085)</f>
        <v>9</v>
      </c>
    </row>
    <row r="5086" spans="1:6" x14ac:dyDescent="0.2">
      <c r="A5086">
        <v>2019</v>
      </c>
      <c r="B5086" s="36">
        <v>3328</v>
      </c>
      <c r="C5086" s="90" t="str">
        <f>VLOOKUP(B5086,'All Districts'!$A$3:$B$874,2,FALSE)</f>
        <v>Pinevalley at South Dayton</v>
      </c>
      <c r="D5086" s="40">
        <v>449908</v>
      </c>
      <c r="E5086">
        <f>VLOOKUP(C5086,'All Districts'!$B$3:$C$874,2,FALSE)</f>
        <v>3623070</v>
      </c>
      <c r="F5086" s="91">
        <f>COUNTIF($E$2:$E$7106,E5086)</f>
        <v>9</v>
      </c>
    </row>
    <row r="5087" spans="1:6" x14ac:dyDescent="0.2">
      <c r="A5087">
        <v>2020</v>
      </c>
      <c r="B5087" s="36">
        <v>3328</v>
      </c>
      <c r="C5087" s="90" t="str">
        <f>VLOOKUP(B5087,'All Districts'!$A$3:$B$874,2,FALSE)</f>
        <v>Pinevalley at South Dayton</v>
      </c>
      <c r="D5087" s="40">
        <v>371640</v>
      </c>
      <c r="E5087">
        <f>VLOOKUP(C5087,'All Districts'!$B$3:$C$874,2,FALSE)</f>
        <v>3623070</v>
      </c>
      <c r="F5087" s="91">
        <f>COUNTIF($E$2:$E$7106,E5087)</f>
        <v>9</v>
      </c>
    </row>
    <row r="5088" spans="1:6" x14ac:dyDescent="0.2">
      <c r="A5088" s="10">
        <v>2021</v>
      </c>
      <c r="B5088" s="52">
        <v>3328</v>
      </c>
      <c r="C5088" s="90" t="str">
        <f>VLOOKUP(B5088,'All Districts'!$A$3:$B$874,2,FALSE)</f>
        <v>Pinevalley at South Dayton</v>
      </c>
      <c r="D5088" s="76">
        <v>386023</v>
      </c>
      <c r="E5088">
        <f>VLOOKUP(C5088,'All Districts'!$B$3:$C$874,2,FALSE)</f>
        <v>3623070</v>
      </c>
      <c r="F5088" s="91">
        <f>COUNTIF($E$2:$E$7106,E5088)</f>
        <v>9</v>
      </c>
    </row>
    <row r="5089" spans="1:6" x14ac:dyDescent="0.2">
      <c r="A5089">
        <v>2022</v>
      </c>
      <c r="B5089" s="36">
        <v>3328</v>
      </c>
      <c r="C5089" s="90" t="str">
        <f>VLOOKUP(B5089,'All Districts'!$A$3:$B$874,2,FALSE)</f>
        <v>Pinevalley at South Dayton</v>
      </c>
      <c r="D5089" s="82">
        <v>427199</v>
      </c>
      <c r="E5089">
        <f>VLOOKUP(C5089,'All Districts'!$B$3:$C$874,2,FALSE)</f>
        <v>3623070</v>
      </c>
      <c r="F5089" s="91">
        <f>COUNTIF($E$2:$E$7106,E5089)</f>
        <v>9</v>
      </c>
    </row>
    <row r="5090" spans="1:6" x14ac:dyDescent="0.2">
      <c r="A5090">
        <v>2023</v>
      </c>
      <c r="B5090" s="36">
        <v>3328</v>
      </c>
      <c r="C5090" s="90" t="str">
        <f>VLOOKUP(B5090,'All Districts'!$A$3:$B$874,2,FALSE)</f>
        <v>Pinevalley at South Dayton</v>
      </c>
      <c r="D5090" s="40">
        <v>495952</v>
      </c>
      <c r="E5090">
        <f>VLOOKUP(C5090,'All Districts'!$B$3:$C$874,2,FALSE)</f>
        <v>3623070</v>
      </c>
      <c r="F5090" s="91">
        <f>COUNTIF($E$2:$E$7106,E5090)</f>
        <v>9</v>
      </c>
    </row>
    <row r="5091" spans="1:6" x14ac:dyDescent="0.2">
      <c r="A5091">
        <v>2015</v>
      </c>
      <c r="B5091" s="13">
        <v>2469</v>
      </c>
      <c r="C5091" s="90" t="str">
        <f>VLOOKUP(B5091,'All Districts'!$A$3:$B$874,2,FALSE)</f>
        <v>Pittsford</v>
      </c>
      <c r="D5091" s="14">
        <v>7187788</v>
      </c>
      <c r="E5091">
        <f>VLOOKUP(C5091,'All Districts'!$B$3:$C$874,2,FALSE)</f>
        <v>3623160</v>
      </c>
      <c r="F5091" s="91">
        <f>COUNTIF($E$2:$E$7106,E5091)</f>
        <v>9</v>
      </c>
    </row>
    <row r="5092" spans="1:6" x14ac:dyDescent="0.2">
      <c r="A5092">
        <v>2016</v>
      </c>
      <c r="B5092" s="13">
        <v>2469</v>
      </c>
      <c r="C5092" s="90" t="str">
        <f>VLOOKUP(B5092,'All Districts'!$A$3:$B$874,2,FALSE)</f>
        <v>Pittsford</v>
      </c>
      <c r="D5092" s="16">
        <v>5520262</v>
      </c>
      <c r="E5092">
        <f>VLOOKUP(C5092,'All Districts'!$B$3:$C$874,2,FALSE)</f>
        <v>3623160</v>
      </c>
      <c r="F5092" s="91">
        <f>COUNTIF($E$2:$E$7106,E5092)</f>
        <v>9</v>
      </c>
    </row>
    <row r="5093" spans="1:6" x14ac:dyDescent="0.2">
      <c r="A5093">
        <v>2017</v>
      </c>
      <c r="B5093" s="13">
        <v>2469</v>
      </c>
      <c r="C5093" s="90" t="str">
        <f>VLOOKUP(B5093,'All Districts'!$A$3:$B$874,2,FALSE)</f>
        <v>Pittsford</v>
      </c>
      <c r="D5093" s="16">
        <v>4955151</v>
      </c>
      <c r="E5093">
        <f>VLOOKUP(C5093,'All Districts'!$B$3:$C$874,2,FALSE)</f>
        <v>3623160</v>
      </c>
      <c r="F5093" s="91">
        <f>COUNTIF($E$2:$E$7106,E5093)</f>
        <v>9</v>
      </c>
    </row>
    <row r="5094" spans="1:6" x14ac:dyDescent="0.2">
      <c r="A5094" s="10">
        <v>2018</v>
      </c>
      <c r="B5094" s="13">
        <v>2469</v>
      </c>
      <c r="C5094" s="90" t="str">
        <f>VLOOKUP(B5094,'All Districts'!$A$3:$B$874,2,FALSE)</f>
        <v>Pittsford</v>
      </c>
      <c r="D5094" s="15">
        <v>4250925</v>
      </c>
      <c r="E5094">
        <f>VLOOKUP(C5094,'All Districts'!$B$3:$C$874,2,FALSE)</f>
        <v>3623160</v>
      </c>
      <c r="F5094" s="91">
        <f>COUNTIF($E$2:$E$7106,E5094)</f>
        <v>9</v>
      </c>
    </row>
    <row r="5095" spans="1:6" x14ac:dyDescent="0.2">
      <c r="A5095">
        <v>2019</v>
      </c>
      <c r="B5095" s="36">
        <v>2469</v>
      </c>
      <c r="C5095" s="90" t="str">
        <f>VLOOKUP(B5095,'All Districts'!$A$3:$B$874,2,FALSE)</f>
        <v>Pittsford</v>
      </c>
      <c r="D5095" s="40">
        <v>4795419</v>
      </c>
      <c r="E5095">
        <f>VLOOKUP(C5095,'All Districts'!$B$3:$C$874,2,FALSE)</f>
        <v>3623160</v>
      </c>
      <c r="F5095" s="91">
        <f>COUNTIF($E$2:$E$7106,E5095)</f>
        <v>9</v>
      </c>
    </row>
    <row r="5096" spans="1:6" x14ac:dyDescent="0.2">
      <c r="A5096">
        <v>2020</v>
      </c>
      <c r="B5096" s="36">
        <v>2469</v>
      </c>
      <c r="C5096" s="90" t="str">
        <f>VLOOKUP(B5096,'All Districts'!$A$3:$B$874,2,FALSE)</f>
        <v>Pittsford</v>
      </c>
      <c r="D5096" s="40">
        <v>4134559</v>
      </c>
      <c r="E5096">
        <f>VLOOKUP(C5096,'All Districts'!$B$3:$C$874,2,FALSE)</f>
        <v>3623160</v>
      </c>
      <c r="F5096" s="91">
        <f>COUNTIF($E$2:$E$7106,E5096)</f>
        <v>9</v>
      </c>
    </row>
    <row r="5097" spans="1:6" x14ac:dyDescent="0.2">
      <c r="A5097" s="10">
        <v>2021</v>
      </c>
      <c r="B5097" s="52">
        <v>2469</v>
      </c>
      <c r="C5097" s="90" t="str">
        <f>VLOOKUP(B5097,'All Districts'!$A$3:$B$874,2,FALSE)</f>
        <v>Pittsford</v>
      </c>
      <c r="D5097" s="76">
        <v>4601350</v>
      </c>
      <c r="E5097">
        <f>VLOOKUP(C5097,'All Districts'!$B$3:$C$874,2,FALSE)</f>
        <v>3623160</v>
      </c>
      <c r="F5097" s="91">
        <f>COUNTIF($E$2:$E$7106,E5097)</f>
        <v>9</v>
      </c>
    </row>
    <row r="5098" spans="1:6" x14ac:dyDescent="0.2">
      <c r="A5098">
        <v>2022</v>
      </c>
      <c r="B5098" s="36">
        <v>2469</v>
      </c>
      <c r="C5098" s="90" t="str">
        <f>VLOOKUP(B5098,'All Districts'!$A$3:$B$874,2,FALSE)</f>
        <v>Pittsford</v>
      </c>
      <c r="D5098" s="82">
        <v>4862474</v>
      </c>
      <c r="E5098">
        <f>VLOOKUP(C5098,'All Districts'!$B$3:$C$874,2,FALSE)</f>
        <v>3623160</v>
      </c>
      <c r="F5098" s="91">
        <f>COUNTIF($E$2:$E$7106,E5098)</f>
        <v>9</v>
      </c>
    </row>
    <row r="5099" spans="1:6" x14ac:dyDescent="0.2">
      <c r="A5099">
        <v>2023</v>
      </c>
      <c r="B5099" s="36">
        <v>2469</v>
      </c>
      <c r="C5099" s="90" t="str">
        <f>VLOOKUP(B5099,'All Districts'!$A$3:$B$874,2,FALSE)</f>
        <v>Pittsford</v>
      </c>
      <c r="D5099" s="40">
        <v>5144182</v>
      </c>
      <c r="E5099">
        <f>VLOOKUP(C5099,'All Districts'!$B$3:$C$874,2,FALSE)</f>
        <v>3623160</v>
      </c>
      <c r="F5099" s="91">
        <f>COUNTIF($E$2:$E$7106,E5099)</f>
        <v>9</v>
      </c>
    </row>
    <row r="5100" spans="1:6" x14ac:dyDescent="0.2">
      <c r="A5100">
        <v>2015</v>
      </c>
      <c r="B5100" s="13">
        <v>2470</v>
      </c>
      <c r="C5100" s="90" t="str">
        <f>VLOOKUP(B5100,'All Districts'!$A$3:$B$874,2,FALSE)</f>
        <v>Plainedge</v>
      </c>
      <c r="D5100" s="14">
        <v>6442486</v>
      </c>
      <c r="E5100">
        <f>VLOOKUP(C5100,'All Districts'!$B$3:$C$874,2,FALSE)</f>
        <v>3623190</v>
      </c>
      <c r="F5100" s="91">
        <f>COUNTIF($E$2:$E$7106,E5100)</f>
        <v>9</v>
      </c>
    </row>
    <row r="5101" spans="1:6" x14ac:dyDescent="0.2">
      <c r="A5101">
        <v>2016</v>
      </c>
      <c r="B5101" s="13">
        <v>2470</v>
      </c>
      <c r="C5101" s="90" t="str">
        <f>VLOOKUP(B5101,'All Districts'!$A$3:$B$874,2,FALSE)</f>
        <v>Plainedge</v>
      </c>
      <c r="D5101" s="16">
        <v>5020032</v>
      </c>
      <c r="E5101">
        <f>VLOOKUP(C5101,'All Districts'!$B$3:$C$874,2,FALSE)</f>
        <v>3623190</v>
      </c>
      <c r="F5101" s="91">
        <f>COUNTIF($E$2:$E$7106,E5101)</f>
        <v>9</v>
      </c>
    </row>
    <row r="5102" spans="1:6" x14ac:dyDescent="0.2">
      <c r="A5102">
        <v>2017</v>
      </c>
      <c r="B5102" s="13">
        <v>2470</v>
      </c>
      <c r="C5102" s="90" t="str">
        <f>VLOOKUP(B5102,'All Districts'!$A$3:$B$874,2,FALSE)</f>
        <v>Plainedge</v>
      </c>
      <c r="D5102" s="16">
        <v>4557413</v>
      </c>
      <c r="E5102">
        <f>VLOOKUP(C5102,'All Districts'!$B$3:$C$874,2,FALSE)</f>
        <v>3623190</v>
      </c>
      <c r="F5102" s="91">
        <f>COUNTIF($E$2:$E$7106,E5102)</f>
        <v>9</v>
      </c>
    </row>
    <row r="5103" spans="1:6" x14ac:dyDescent="0.2">
      <c r="A5103" s="10">
        <v>2018</v>
      </c>
      <c r="B5103" s="13">
        <v>2470</v>
      </c>
      <c r="C5103" s="90" t="str">
        <f>VLOOKUP(B5103,'All Districts'!$A$3:$B$874,2,FALSE)</f>
        <v>Plainedge</v>
      </c>
      <c r="D5103" s="15">
        <v>3773446</v>
      </c>
      <c r="E5103">
        <f>VLOOKUP(C5103,'All Districts'!$B$3:$C$874,2,FALSE)</f>
        <v>3623190</v>
      </c>
      <c r="F5103" s="91">
        <f>COUNTIF($E$2:$E$7106,E5103)</f>
        <v>9</v>
      </c>
    </row>
    <row r="5104" spans="1:6" x14ac:dyDescent="0.2">
      <c r="A5104">
        <v>2019</v>
      </c>
      <c r="B5104" s="36">
        <v>2470</v>
      </c>
      <c r="C5104" s="90" t="str">
        <f>VLOOKUP(B5104,'All Districts'!$A$3:$B$874,2,FALSE)</f>
        <v>Plainedge</v>
      </c>
      <c r="D5104" s="40">
        <v>4112127</v>
      </c>
      <c r="E5104">
        <f>VLOOKUP(C5104,'All Districts'!$B$3:$C$874,2,FALSE)</f>
        <v>3623190</v>
      </c>
      <c r="F5104" s="91">
        <f>COUNTIF($E$2:$E$7106,E5104)</f>
        <v>9</v>
      </c>
    </row>
    <row r="5105" spans="1:6" x14ac:dyDescent="0.2">
      <c r="A5105">
        <v>2020</v>
      </c>
      <c r="B5105" s="36">
        <v>2470</v>
      </c>
      <c r="C5105" s="90" t="str">
        <f>VLOOKUP(B5105,'All Districts'!$A$3:$B$874,2,FALSE)</f>
        <v>Plainedge</v>
      </c>
      <c r="D5105" s="40">
        <v>3511781</v>
      </c>
      <c r="E5105">
        <f>VLOOKUP(C5105,'All Districts'!$B$3:$C$874,2,FALSE)</f>
        <v>3623190</v>
      </c>
      <c r="F5105" s="91">
        <f>COUNTIF($E$2:$E$7106,E5105)</f>
        <v>9</v>
      </c>
    </row>
    <row r="5106" spans="1:6" x14ac:dyDescent="0.2">
      <c r="A5106" s="10">
        <v>2021</v>
      </c>
      <c r="B5106" s="52">
        <v>2470</v>
      </c>
      <c r="C5106" s="90" t="str">
        <f>VLOOKUP(B5106,'All Districts'!$A$3:$B$874,2,FALSE)</f>
        <v>Plainedge</v>
      </c>
      <c r="D5106" s="76">
        <v>3887549</v>
      </c>
      <c r="E5106">
        <f>VLOOKUP(C5106,'All Districts'!$B$3:$C$874,2,FALSE)</f>
        <v>3623190</v>
      </c>
      <c r="F5106" s="91">
        <f>COUNTIF($E$2:$E$7106,E5106)</f>
        <v>9</v>
      </c>
    </row>
    <row r="5107" spans="1:6" x14ac:dyDescent="0.2">
      <c r="A5107">
        <v>2022</v>
      </c>
      <c r="B5107" s="36">
        <v>2470</v>
      </c>
      <c r="C5107" s="90" t="str">
        <f>VLOOKUP(B5107,'All Districts'!$A$3:$B$874,2,FALSE)</f>
        <v>Plainedge</v>
      </c>
      <c r="D5107" s="82">
        <v>4030152</v>
      </c>
      <c r="E5107">
        <f>VLOOKUP(C5107,'All Districts'!$B$3:$C$874,2,FALSE)</f>
        <v>3623190</v>
      </c>
      <c r="F5107" s="91">
        <f>COUNTIF($E$2:$E$7106,E5107)</f>
        <v>9</v>
      </c>
    </row>
    <row r="5108" spans="1:6" x14ac:dyDescent="0.2">
      <c r="A5108">
        <v>2023</v>
      </c>
      <c r="B5108" s="36">
        <v>2470</v>
      </c>
      <c r="C5108" s="90" t="str">
        <f>VLOOKUP(B5108,'All Districts'!$A$3:$B$874,2,FALSE)</f>
        <v>Plainedge</v>
      </c>
      <c r="D5108" s="40">
        <v>4320011</v>
      </c>
      <c r="E5108">
        <f>VLOOKUP(C5108,'All Districts'!$B$3:$C$874,2,FALSE)</f>
        <v>3623190</v>
      </c>
      <c r="F5108" s="91">
        <f>COUNTIF($E$2:$E$7106,E5108)</f>
        <v>9</v>
      </c>
    </row>
    <row r="5109" spans="1:6" x14ac:dyDescent="0.2">
      <c r="A5109">
        <v>2015</v>
      </c>
      <c r="B5109" s="13">
        <v>2475</v>
      </c>
      <c r="C5109" s="90" t="str">
        <f>VLOOKUP(B5109,'All Districts'!$A$3:$B$874,2,FALSE)</f>
        <v>Plainview-Old Bethpage</v>
      </c>
      <c r="D5109" s="14">
        <v>10523926</v>
      </c>
      <c r="E5109">
        <f>VLOOKUP(C5109,'All Districts'!$B$3:$C$874,2,FALSE)</f>
        <v>3623220</v>
      </c>
      <c r="F5109" s="91">
        <f>COUNTIF($E$2:$E$7106,E5109)</f>
        <v>9</v>
      </c>
    </row>
    <row r="5110" spans="1:6" x14ac:dyDescent="0.2">
      <c r="A5110">
        <v>2016</v>
      </c>
      <c r="B5110" s="13">
        <v>2475</v>
      </c>
      <c r="C5110" s="90" t="str">
        <f>VLOOKUP(B5110,'All Districts'!$A$3:$B$874,2,FALSE)</f>
        <v>Plainview-Old Bethpage</v>
      </c>
      <c r="D5110" s="16">
        <v>8083275</v>
      </c>
      <c r="E5110">
        <f>VLOOKUP(C5110,'All Districts'!$B$3:$C$874,2,FALSE)</f>
        <v>3623220</v>
      </c>
      <c r="F5110" s="91">
        <f>COUNTIF($E$2:$E$7106,E5110)</f>
        <v>9</v>
      </c>
    </row>
    <row r="5111" spans="1:6" x14ac:dyDescent="0.2">
      <c r="A5111">
        <v>2017</v>
      </c>
      <c r="B5111" s="13">
        <v>2475</v>
      </c>
      <c r="C5111" s="90" t="str">
        <f>VLOOKUP(B5111,'All Districts'!$A$3:$B$874,2,FALSE)</f>
        <v>Plainview-Old Bethpage</v>
      </c>
      <c r="D5111" s="16">
        <v>7424005</v>
      </c>
      <c r="E5111">
        <f>VLOOKUP(C5111,'All Districts'!$B$3:$C$874,2,FALSE)</f>
        <v>3623220</v>
      </c>
      <c r="F5111" s="91">
        <f>COUNTIF($E$2:$E$7106,E5111)</f>
        <v>9</v>
      </c>
    </row>
    <row r="5112" spans="1:6" x14ac:dyDescent="0.2">
      <c r="A5112" s="10">
        <v>2018</v>
      </c>
      <c r="B5112" s="13">
        <v>2475</v>
      </c>
      <c r="C5112" s="90" t="str">
        <f>VLOOKUP(B5112,'All Districts'!$A$3:$B$874,2,FALSE)</f>
        <v>Plainview-Old Bethpage</v>
      </c>
      <c r="D5112" s="15">
        <v>6208779</v>
      </c>
      <c r="E5112">
        <f>VLOOKUP(C5112,'All Districts'!$B$3:$C$874,2,FALSE)</f>
        <v>3623220</v>
      </c>
      <c r="F5112" s="91">
        <f>COUNTIF($E$2:$E$7106,E5112)</f>
        <v>9</v>
      </c>
    </row>
    <row r="5113" spans="1:6" x14ac:dyDescent="0.2">
      <c r="A5113">
        <v>2019</v>
      </c>
      <c r="B5113" s="36">
        <v>2475</v>
      </c>
      <c r="C5113" s="90" t="str">
        <f>VLOOKUP(B5113,'All Districts'!$A$3:$B$874,2,FALSE)</f>
        <v>Plainview-Old Bethpage</v>
      </c>
      <c r="D5113" s="40">
        <v>6873706</v>
      </c>
      <c r="E5113">
        <f>VLOOKUP(C5113,'All Districts'!$B$3:$C$874,2,FALSE)</f>
        <v>3623220</v>
      </c>
      <c r="F5113" s="91">
        <f>COUNTIF($E$2:$E$7106,E5113)</f>
        <v>9</v>
      </c>
    </row>
    <row r="5114" spans="1:6" x14ac:dyDescent="0.2">
      <c r="A5114">
        <v>2020</v>
      </c>
      <c r="B5114" s="36">
        <v>2475</v>
      </c>
      <c r="C5114" s="90" t="str">
        <f>VLOOKUP(B5114,'All Districts'!$A$3:$B$874,2,FALSE)</f>
        <v>Plainview-Old Bethpage</v>
      </c>
      <c r="D5114" s="40">
        <v>5786070</v>
      </c>
      <c r="E5114">
        <f>VLOOKUP(C5114,'All Districts'!$B$3:$C$874,2,FALSE)</f>
        <v>3623220</v>
      </c>
      <c r="F5114" s="91">
        <f>COUNTIF($E$2:$E$7106,E5114)</f>
        <v>9</v>
      </c>
    </row>
    <row r="5115" spans="1:6" x14ac:dyDescent="0.2">
      <c r="A5115" s="10">
        <v>2021</v>
      </c>
      <c r="B5115" s="52">
        <v>2475</v>
      </c>
      <c r="C5115" s="90" t="str">
        <f>VLOOKUP(B5115,'All Districts'!$A$3:$B$874,2,FALSE)</f>
        <v>Plainview-Old Bethpage</v>
      </c>
      <c r="D5115" s="76">
        <v>6639421</v>
      </c>
      <c r="E5115">
        <f>VLOOKUP(C5115,'All Districts'!$B$3:$C$874,2,FALSE)</f>
        <v>3623220</v>
      </c>
      <c r="F5115" s="91">
        <f>COUNTIF($E$2:$E$7106,E5115)</f>
        <v>9</v>
      </c>
    </row>
    <row r="5116" spans="1:6" x14ac:dyDescent="0.2">
      <c r="A5116">
        <v>2022</v>
      </c>
      <c r="B5116" s="36">
        <v>2475</v>
      </c>
      <c r="C5116" s="90" t="str">
        <f>VLOOKUP(B5116,'All Districts'!$A$3:$B$874,2,FALSE)</f>
        <v>Plainview-Old Bethpage</v>
      </c>
      <c r="D5116" s="82">
        <v>6847247</v>
      </c>
      <c r="E5116">
        <f>VLOOKUP(C5116,'All Districts'!$B$3:$C$874,2,FALSE)</f>
        <v>3623220</v>
      </c>
      <c r="F5116" s="91">
        <f>COUNTIF($E$2:$E$7106,E5116)</f>
        <v>9</v>
      </c>
    </row>
    <row r="5117" spans="1:6" x14ac:dyDescent="0.2">
      <c r="A5117">
        <v>2023</v>
      </c>
      <c r="B5117" s="36">
        <v>2475</v>
      </c>
      <c r="C5117" s="90" t="str">
        <f>VLOOKUP(B5117,'All Districts'!$A$3:$B$874,2,FALSE)</f>
        <v>Plainview-Old Bethpage</v>
      </c>
      <c r="D5117" s="40">
        <v>7332239</v>
      </c>
      <c r="E5117">
        <f>VLOOKUP(C5117,'All Districts'!$B$3:$C$874,2,FALSE)</f>
        <v>3623220</v>
      </c>
      <c r="F5117" s="91">
        <f>COUNTIF($E$2:$E$7106,E5117)</f>
        <v>9</v>
      </c>
    </row>
    <row r="5118" spans="1:6" x14ac:dyDescent="0.2">
      <c r="A5118">
        <v>2015</v>
      </c>
      <c r="B5118" s="13">
        <v>1215</v>
      </c>
      <c r="C5118" s="90" t="str">
        <f>VLOOKUP(B5118,'All Districts'!$A$3:$B$874,2,FALSE)</f>
        <v>Plattsburgh</v>
      </c>
      <c r="D5118" s="14">
        <v>2923467</v>
      </c>
      <c r="E5118">
        <f>VLOOKUP(C5118,'All Districts'!$B$3:$C$874,2,FALSE)</f>
        <v>3623280</v>
      </c>
      <c r="F5118" s="91">
        <f>COUNTIF($E$2:$E$7106,E5118)</f>
        <v>9</v>
      </c>
    </row>
    <row r="5119" spans="1:6" x14ac:dyDescent="0.2">
      <c r="A5119">
        <v>2016</v>
      </c>
      <c r="B5119" s="13">
        <v>1215</v>
      </c>
      <c r="C5119" s="90" t="str">
        <f>VLOOKUP(B5119,'All Districts'!$A$3:$B$874,2,FALSE)</f>
        <v>Plattsburgh</v>
      </c>
      <c r="D5119" s="16">
        <v>2269874</v>
      </c>
      <c r="E5119">
        <f>VLOOKUP(C5119,'All Districts'!$B$3:$C$874,2,FALSE)</f>
        <v>3623280</v>
      </c>
      <c r="F5119" s="91">
        <f>COUNTIF($E$2:$E$7106,E5119)</f>
        <v>9</v>
      </c>
    </row>
    <row r="5120" spans="1:6" x14ac:dyDescent="0.2">
      <c r="A5120">
        <v>2017</v>
      </c>
      <c r="B5120" s="13">
        <v>1215</v>
      </c>
      <c r="C5120" s="90" t="str">
        <f>VLOOKUP(B5120,'All Districts'!$A$3:$B$874,2,FALSE)</f>
        <v>Plattsburgh</v>
      </c>
      <c r="D5120" s="16">
        <v>1977772</v>
      </c>
      <c r="E5120">
        <f>VLOOKUP(C5120,'All Districts'!$B$3:$C$874,2,FALSE)</f>
        <v>3623280</v>
      </c>
      <c r="F5120" s="91">
        <f>COUNTIF($E$2:$E$7106,E5120)</f>
        <v>9</v>
      </c>
    </row>
    <row r="5121" spans="1:6" x14ac:dyDescent="0.2">
      <c r="A5121" s="10">
        <v>2018</v>
      </c>
      <c r="B5121" s="13">
        <v>1215</v>
      </c>
      <c r="C5121" s="90" t="str">
        <f>VLOOKUP(B5121,'All Districts'!$A$3:$B$874,2,FALSE)</f>
        <v>Plattsburgh</v>
      </c>
      <c r="D5121" s="15">
        <v>1686858</v>
      </c>
      <c r="E5121">
        <f>VLOOKUP(C5121,'All Districts'!$B$3:$C$874,2,FALSE)</f>
        <v>3623280</v>
      </c>
      <c r="F5121" s="91">
        <f>COUNTIF($E$2:$E$7106,E5121)</f>
        <v>9</v>
      </c>
    </row>
    <row r="5122" spans="1:6" x14ac:dyDescent="0.2">
      <c r="A5122">
        <v>2019</v>
      </c>
      <c r="B5122" s="36">
        <v>1215</v>
      </c>
      <c r="C5122" s="90" t="str">
        <f>VLOOKUP(B5122,'All Districts'!$A$3:$B$874,2,FALSE)</f>
        <v>Plattsburgh</v>
      </c>
      <c r="D5122" s="40">
        <v>1789359</v>
      </c>
      <c r="E5122">
        <f>VLOOKUP(C5122,'All Districts'!$B$3:$C$874,2,FALSE)</f>
        <v>3623280</v>
      </c>
      <c r="F5122" s="91">
        <f>COUNTIF($E$2:$E$7106,E5122)</f>
        <v>9</v>
      </c>
    </row>
    <row r="5123" spans="1:6" x14ac:dyDescent="0.2">
      <c r="A5123">
        <v>2020</v>
      </c>
      <c r="B5123" s="36">
        <v>1215</v>
      </c>
      <c r="C5123" s="90" t="str">
        <f>VLOOKUP(B5123,'All Districts'!$A$3:$B$874,2,FALSE)</f>
        <v>Plattsburgh</v>
      </c>
      <c r="D5123" s="40">
        <v>1511929</v>
      </c>
      <c r="E5123">
        <f>VLOOKUP(C5123,'All Districts'!$B$3:$C$874,2,FALSE)</f>
        <v>3623280</v>
      </c>
      <c r="F5123" s="91">
        <f>COUNTIF($E$2:$E$7106,E5123)</f>
        <v>9</v>
      </c>
    </row>
    <row r="5124" spans="1:6" x14ac:dyDescent="0.2">
      <c r="A5124" s="10">
        <v>2021</v>
      </c>
      <c r="B5124" s="55">
        <v>1215</v>
      </c>
      <c r="C5124" s="90" t="str">
        <f>VLOOKUP(B5124,'All Districts'!$A$3:$B$874,2,FALSE)</f>
        <v>Plattsburgh</v>
      </c>
      <c r="D5124" s="75">
        <v>1598456</v>
      </c>
      <c r="E5124">
        <f>VLOOKUP(C5124,'All Districts'!$B$3:$C$874,2,FALSE)</f>
        <v>3623280</v>
      </c>
      <c r="F5124" s="91">
        <f>COUNTIF($E$2:$E$7106,E5124)</f>
        <v>9</v>
      </c>
    </row>
    <row r="5125" spans="1:6" x14ac:dyDescent="0.2">
      <c r="A5125">
        <v>2022</v>
      </c>
      <c r="B5125" s="36">
        <v>1215</v>
      </c>
      <c r="C5125" s="90" t="str">
        <f>VLOOKUP(B5125,'All Districts'!$A$3:$B$874,2,FALSE)</f>
        <v>Plattsburgh</v>
      </c>
      <c r="D5125" s="82">
        <v>1751368</v>
      </c>
      <c r="E5125">
        <f>VLOOKUP(C5125,'All Districts'!$B$3:$C$874,2,FALSE)</f>
        <v>3623280</v>
      </c>
      <c r="F5125" s="91">
        <f>COUNTIF($E$2:$E$7106,E5125)</f>
        <v>9</v>
      </c>
    </row>
    <row r="5126" spans="1:6" x14ac:dyDescent="0.2">
      <c r="A5126">
        <v>2023</v>
      </c>
      <c r="B5126" s="36">
        <v>1215</v>
      </c>
      <c r="C5126" s="90" t="str">
        <f>VLOOKUP(B5126,'All Districts'!$A$3:$B$874,2,FALSE)</f>
        <v>Plattsburgh</v>
      </c>
      <c r="D5126" s="40">
        <v>1911344</v>
      </c>
      <c r="E5126">
        <f>VLOOKUP(C5126,'All Districts'!$B$3:$C$874,2,FALSE)</f>
        <v>3623280</v>
      </c>
      <c r="F5126" s="91">
        <f>COUNTIF($E$2:$E$7106,E5126)</f>
        <v>9</v>
      </c>
    </row>
    <row r="5127" spans="1:6" x14ac:dyDescent="0.2">
      <c r="A5127">
        <v>2015</v>
      </c>
      <c r="B5127" s="13">
        <v>2480</v>
      </c>
      <c r="C5127" s="90" t="str">
        <f>VLOOKUP(B5127,'All Districts'!$A$3:$B$874,2,FALSE)</f>
        <v>Pleasantville</v>
      </c>
      <c r="D5127" s="14">
        <v>3470844</v>
      </c>
      <c r="E5127">
        <f>VLOOKUP(C5127,'All Districts'!$B$3:$C$874,2,FALSE)</f>
        <v>3623310</v>
      </c>
      <c r="F5127" s="91">
        <f>COUNTIF($E$2:$E$7106,E5127)</f>
        <v>9</v>
      </c>
    </row>
    <row r="5128" spans="1:6" x14ac:dyDescent="0.2">
      <c r="A5128">
        <v>2016</v>
      </c>
      <c r="B5128" s="13">
        <v>2480</v>
      </c>
      <c r="C5128" s="90" t="str">
        <f>VLOOKUP(B5128,'All Districts'!$A$3:$B$874,2,FALSE)</f>
        <v>Pleasantville</v>
      </c>
      <c r="D5128" s="16">
        <v>2669142</v>
      </c>
      <c r="E5128">
        <f>VLOOKUP(C5128,'All Districts'!$B$3:$C$874,2,FALSE)</f>
        <v>3623310</v>
      </c>
      <c r="F5128" s="91">
        <f>COUNTIF($E$2:$E$7106,E5128)</f>
        <v>9</v>
      </c>
    </row>
    <row r="5129" spans="1:6" x14ac:dyDescent="0.2">
      <c r="A5129">
        <v>2017</v>
      </c>
      <c r="B5129" s="13">
        <v>2480</v>
      </c>
      <c r="C5129" s="90" t="str">
        <f>VLOOKUP(B5129,'All Districts'!$A$3:$B$874,2,FALSE)</f>
        <v>Pleasantville</v>
      </c>
      <c r="D5129" s="16">
        <v>2411652</v>
      </c>
      <c r="E5129">
        <f>VLOOKUP(C5129,'All Districts'!$B$3:$C$874,2,FALSE)</f>
        <v>3623310</v>
      </c>
      <c r="F5129" s="91">
        <f>COUNTIF($E$2:$E$7106,E5129)</f>
        <v>9</v>
      </c>
    </row>
    <row r="5130" spans="1:6" x14ac:dyDescent="0.2">
      <c r="A5130" s="10">
        <v>2018</v>
      </c>
      <c r="B5130" s="13">
        <v>2480</v>
      </c>
      <c r="C5130" s="90" t="str">
        <f>VLOOKUP(B5130,'All Districts'!$A$3:$B$874,2,FALSE)</f>
        <v>Pleasantville</v>
      </c>
      <c r="D5130" s="15">
        <v>2016997</v>
      </c>
      <c r="E5130">
        <f>VLOOKUP(C5130,'All Districts'!$B$3:$C$874,2,FALSE)</f>
        <v>3623310</v>
      </c>
      <c r="F5130" s="91">
        <f>COUNTIF($E$2:$E$7106,E5130)</f>
        <v>9</v>
      </c>
    </row>
    <row r="5131" spans="1:6" x14ac:dyDescent="0.2">
      <c r="A5131">
        <v>2019</v>
      </c>
      <c r="B5131" s="36">
        <v>2480</v>
      </c>
      <c r="C5131" s="90" t="str">
        <f>VLOOKUP(B5131,'All Districts'!$A$3:$B$874,2,FALSE)</f>
        <v>Pleasantville</v>
      </c>
      <c r="D5131" s="40">
        <v>2160978</v>
      </c>
      <c r="E5131">
        <f>VLOOKUP(C5131,'All Districts'!$B$3:$C$874,2,FALSE)</f>
        <v>3623310</v>
      </c>
      <c r="F5131" s="91">
        <f>COUNTIF($E$2:$E$7106,E5131)</f>
        <v>9</v>
      </c>
    </row>
    <row r="5132" spans="1:6" x14ac:dyDescent="0.2">
      <c r="A5132">
        <v>2020</v>
      </c>
      <c r="B5132" s="36">
        <v>2480</v>
      </c>
      <c r="C5132" s="90" t="str">
        <f>VLOOKUP(B5132,'All Districts'!$A$3:$B$874,2,FALSE)</f>
        <v>Pleasantville</v>
      </c>
      <c r="D5132" s="40">
        <v>1833997</v>
      </c>
      <c r="E5132">
        <f>VLOOKUP(C5132,'All Districts'!$B$3:$C$874,2,FALSE)</f>
        <v>3623310</v>
      </c>
      <c r="F5132" s="91">
        <f>COUNTIF($E$2:$E$7106,E5132)</f>
        <v>9</v>
      </c>
    </row>
    <row r="5133" spans="1:6" x14ac:dyDescent="0.2">
      <c r="A5133" s="10">
        <v>2021</v>
      </c>
      <c r="B5133" s="55">
        <v>2480</v>
      </c>
      <c r="C5133" s="90" t="str">
        <f>VLOOKUP(B5133,'All Districts'!$A$3:$B$874,2,FALSE)</f>
        <v>Pleasantville</v>
      </c>
      <c r="D5133" s="76">
        <v>1973533</v>
      </c>
      <c r="E5133">
        <f>VLOOKUP(C5133,'All Districts'!$B$3:$C$874,2,FALSE)</f>
        <v>3623310</v>
      </c>
      <c r="F5133" s="91">
        <f>COUNTIF($E$2:$E$7106,E5133)</f>
        <v>9</v>
      </c>
    </row>
    <row r="5134" spans="1:6" x14ac:dyDescent="0.2">
      <c r="A5134">
        <v>2022</v>
      </c>
      <c r="B5134" s="36">
        <v>2480</v>
      </c>
      <c r="C5134" s="90" t="str">
        <f>VLOOKUP(B5134,'All Districts'!$A$3:$B$874,2,FALSE)</f>
        <v>Pleasantville</v>
      </c>
      <c r="D5134" s="82">
        <v>2091855</v>
      </c>
      <c r="E5134">
        <f>VLOOKUP(C5134,'All Districts'!$B$3:$C$874,2,FALSE)</f>
        <v>3623310</v>
      </c>
      <c r="F5134" s="91">
        <f>COUNTIF($E$2:$E$7106,E5134)</f>
        <v>9</v>
      </c>
    </row>
    <row r="5135" spans="1:6" x14ac:dyDescent="0.2">
      <c r="A5135">
        <v>2023</v>
      </c>
      <c r="B5135" s="36">
        <v>2480</v>
      </c>
      <c r="C5135" s="90" t="str">
        <f>VLOOKUP(B5135,'All Districts'!$A$3:$B$874,2,FALSE)</f>
        <v>Pleasantville</v>
      </c>
      <c r="D5135" s="40">
        <v>2259101</v>
      </c>
      <c r="E5135">
        <f>VLOOKUP(C5135,'All Districts'!$B$3:$C$874,2,FALSE)</f>
        <v>3623310</v>
      </c>
      <c r="F5135" s="91">
        <f>COUNTIF($E$2:$E$7106,E5135)</f>
        <v>9</v>
      </c>
    </row>
    <row r="5136" spans="1:6" x14ac:dyDescent="0.2">
      <c r="A5136">
        <v>2015</v>
      </c>
      <c r="B5136" s="13">
        <v>5812</v>
      </c>
      <c r="C5136" s="90" t="str">
        <f>VLOOKUP(B5136,'All Districts'!$A$3:$B$874,2,FALSE)</f>
        <v>Pocantico Hills</v>
      </c>
      <c r="D5136" s="15">
        <v>877467</v>
      </c>
      <c r="E5136">
        <f>VLOOKUP(C5136,'All Districts'!$B$3:$C$874,2,FALSE)</f>
        <v>3623340</v>
      </c>
      <c r="F5136" s="91">
        <f>COUNTIF($E$2:$E$7106,E5136)</f>
        <v>9</v>
      </c>
    </row>
    <row r="5137" spans="1:6" x14ac:dyDescent="0.2">
      <c r="A5137">
        <v>2016</v>
      </c>
      <c r="B5137" s="13">
        <v>5812</v>
      </c>
      <c r="C5137" s="90" t="str">
        <f>VLOOKUP(B5137,'All Districts'!$A$3:$B$874,2,FALSE)</f>
        <v>Pocantico Hills</v>
      </c>
      <c r="D5137" s="16">
        <v>687626</v>
      </c>
      <c r="E5137">
        <f>VLOOKUP(C5137,'All Districts'!$B$3:$C$874,2,FALSE)</f>
        <v>3623340</v>
      </c>
      <c r="F5137" s="91">
        <f>COUNTIF($E$2:$E$7106,E5137)</f>
        <v>9</v>
      </c>
    </row>
    <row r="5138" spans="1:6" x14ac:dyDescent="0.2">
      <c r="A5138">
        <v>2017</v>
      </c>
      <c r="B5138" s="13">
        <v>5812</v>
      </c>
      <c r="C5138" s="90" t="str">
        <f>VLOOKUP(B5138,'All Districts'!$A$3:$B$874,2,FALSE)</f>
        <v>Pocantico Hills</v>
      </c>
      <c r="D5138" s="16">
        <v>636628</v>
      </c>
      <c r="E5138">
        <f>VLOOKUP(C5138,'All Districts'!$B$3:$C$874,2,FALSE)</f>
        <v>3623340</v>
      </c>
      <c r="F5138" s="91">
        <f>COUNTIF($E$2:$E$7106,E5138)</f>
        <v>9</v>
      </c>
    </row>
    <row r="5139" spans="1:6" x14ac:dyDescent="0.2">
      <c r="A5139" s="10">
        <v>2018</v>
      </c>
      <c r="B5139" s="13">
        <v>5812</v>
      </c>
      <c r="C5139" s="90" t="str">
        <f>VLOOKUP(B5139,'All Districts'!$A$3:$B$874,2,FALSE)</f>
        <v>Pocantico Hills</v>
      </c>
      <c r="D5139" s="15">
        <v>539058</v>
      </c>
      <c r="E5139">
        <f>VLOOKUP(C5139,'All Districts'!$B$3:$C$874,2,FALSE)</f>
        <v>3623340</v>
      </c>
      <c r="F5139" s="91">
        <f>COUNTIF($E$2:$E$7106,E5139)</f>
        <v>9</v>
      </c>
    </row>
    <row r="5140" spans="1:6" x14ac:dyDescent="0.2">
      <c r="A5140">
        <v>2019</v>
      </c>
      <c r="B5140" s="36">
        <v>5812</v>
      </c>
      <c r="C5140" s="90" t="str">
        <f>VLOOKUP(B5140,'All Districts'!$A$3:$B$874,2,FALSE)</f>
        <v>Pocantico Hills</v>
      </c>
      <c r="D5140" s="40">
        <v>617539</v>
      </c>
      <c r="E5140">
        <f>VLOOKUP(C5140,'All Districts'!$B$3:$C$874,2,FALSE)</f>
        <v>3623340</v>
      </c>
      <c r="F5140" s="91">
        <f>COUNTIF($E$2:$E$7106,E5140)</f>
        <v>9</v>
      </c>
    </row>
    <row r="5141" spans="1:6" x14ac:dyDescent="0.2">
      <c r="A5141">
        <v>2020</v>
      </c>
      <c r="B5141" s="36">
        <v>5812</v>
      </c>
      <c r="C5141" s="90" t="str">
        <f>VLOOKUP(B5141,'All Districts'!$A$3:$B$874,2,FALSE)</f>
        <v>Pocantico Hills</v>
      </c>
      <c r="D5141" s="40">
        <v>518324</v>
      </c>
      <c r="E5141">
        <f>VLOOKUP(C5141,'All Districts'!$B$3:$C$874,2,FALSE)</f>
        <v>3623340</v>
      </c>
      <c r="F5141" s="91">
        <f>COUNTIF($E$2:$E$7106,E5141)</f>
        <v>9</v>
      </c>
    </row>
    <row r="5142" spans="1:6" x14ac:dyDescent="0.2">
      <c r="A5142" s="10">
        <v>2021</v>
      </c>
      <c r="B5142" s="52">
        <v>5812</v>
      </c>
      <c r="C5142" s="90" t="str">
        <f>VLOOKUP(B5142,'All Districts'!$A$3:$B$874,2,FALSE)</f>
        <v>Pocantico Hills</v>
      </c>
      <c r="D5142" s="76">
        <v>580714</v>
      </c>
      <c r="E5142">
        <f>VLOOKUP(C5142,'All Districts'!$B$3:$C$874,2,FALSE)</f>
        <v>3623340</v>
      </c>
      <c r="F5142" s="91">
        <f>COUNTIF($E$2:$E$7106,E5142)</f>
        <v>9</v>
      </c>
    </row>
    <row r="5143" spans="1:6" x14ac:dyDescent="0.2">
      <c r="A5143">
        <v>2022</v>
      </c>
      <c r="B5143" s="36">
        <v>5812</v>
      </c>
      <c r="C5143" s="90" t="str">
        <f>VLOOKUP(B5143,'All Districts'!$A$3:$B$874,2,FALSE)</f>
        <v>Pocantico Hills</v>
      </c>
      <c r="D5143" s="82">
        <v>617877</v>
      </c>
      <c r="E5143">
        <f>VLOOKUP(C5143,'All Districts'!$B$3:$C$874,2,FALSE)</f>
        <v>3623340</v>
      </c>
      <c r="F5143" s="91">
        <f>COUNTIF($E$2:$E$7106,E5143)</f>
        <v>9</v>
      </c>
    </row>
    <row r="5144" spans="1:6" x14ac:dyDescent="0.2">
      <c r="A5144">
        <v>2023</v>
      </c>
      <c r="B5144" s="36">
        <v>5812</v>
      </c>
      <c r="C5144" s="90" t="str">
        <f>VLOOKUP(B5144,'All Districts'!$A$3:$B$874,2,FALSE)</f>
        <v>Pocantico Hills</v>
      </c>
      <c r="D5144" s="40">
        <v>681531</v>
      </c>
      <c r="E5144">
        <f>VLOOKUP(C5144,'All Districts'!$B$3:$C$874,2,FALSE)</f>
        <v>3623340</v>
      </c>
      <c r="F5144" s="91">
        <f>COUNTIF($E$2:$E$7106,E5144)</f>
        <v>9</v>
      </c>
    </row>
    <row r="5145" spans="1:6" x14ac:dyDescent="0.2">
      <c r="A5145">
        <v>2015</v>
      </c>
      <c r="B5145" s="13">
        <v>4031</v>
      </c>
      <c r="C5145" s="90" t="str">
        <f>VLOOKUP(B5145,'All Districts'!$A$3:$B$874,2,FALSE)</f>
        <v>Poland</v>
      </c>
      <c r="D5145" s="14">
        <v>680096</v>
      </c>
      <c r="E5145">
        <f>VLOOKUP(C5145,'All Districts'!$B$3:$C$874,2,FALSE)</f>
        <v>3623370</v>
      </c>
      <c r="F5145" s="91">
        <f>COUNTIF($E$2:$E$7106,E5145)</f>
        <v>9</v>
      </c>
    </row>
    <row r="5146" spans="1:6" x14ac:dyDescent="0.2">
      <c r="A5146">
        <v>2016</v>
      </c>
      <c r="B5146" s="13">
        <v>4031</v>
      </c>
      <c r="C5146" s="90" t="str">
        <f>VLOOKUP(B5146,'All Districts'!$A$3:$B$874,2,FALSE)</f>
        <v>Poland</v>
      </c>
      <c r="D5146" s="16">
        <v>505510</v>
      </c>
      <c r="E5146">
        <f>VLOOKUP(C5146,'All Districts'!$B$3:$C$874,2,FALSE)</f>
        <v>3623370</v>
      </c>
      <c r="F5146" s="91">
        <f>COUNTIF($E$2:$E$7106,E5146)</f>
        <v>9</v>
      </c>
    </row>
    <row r="5147" spans="1:6" x14ac:dyDescent="0.2">
      <c r="A5147">
        <v>2017</v>
      </c>
      <c r="B5147" s="13">
        <v>4031</v>
      </c>
      <c r="C5147" s="90" t="str">
        <f>VLOOKUP(B5147,'All Districts'!$A$3:$B$874,2,FALSE)</f>
        <v>Poland</v>
      </c>
      <c r="D5147" s="16">
        <v>484652</v>
      </c>
      <c r="E5147">
        <f>VLOOKUP(C5147,'All Districts'!$B$3:$C$874,2,FALSE)</f>
        <v>3623370</v>
      </c>
      <c r="F5147" s="91">
        <f>COUNTIF($E$2:$E$7106,E5147)</f>
        <v>9</v>
      </c>
    </row>
    <row r="5148" spans="1:6" x14ac:dyDescent="0.2">
      <c r="A5148" s="10">
        <v>2018</v>
      </c>
      <c r="B5148" s="13">
        <v>4031</v>
      </c>
      <c r="C5148" s="90" t="str">
        <f>VLOOKUP(B5148,'All Districts'!$A$3:$B$874,2,FALSE)</f>
        <v>Poland</v>
      </c>
      <c r="D5148" s="15">
        <v>410583</v>
      </c>
      <c r="E5148">
        <f>VLOOKUP(C5148,'All Districts'!$B$3:$C$874,2,FALSE)</f>
        <v>3623370</v>
      </c>
      <c r="F5148" s="91">
        <f>COUNTIF($E$2:$E$7106,E5148)</f>
        <v>9</v>
      </c>
    </row>
    <row r="5149" spans="1:6" x14ac:dyDescent="0.2">
      <c r="A5149">
        <v>2019</v>
      </c>
      <c r="B5149" s="36">
        <v>4031</v>
      </c>
      <c r="C5149" s="90" t="str">
        <f>VLOOKUP(B5149,'All Districts'!$A$3:$B$874,2,FALSE)</f>
        <v>Poland</v>
      </c>
      <c r="D5149" s="40">
        <v>442466</v>
      </c>
      <c r="E5149">
        <f>VLOOKUP(C5149,'All Districts'!$B$3:$C$874,2,FALSE)</f>
        <v>3623370</v>
      </c>
      <c r="F5149" s="91">
        <f>COUNTIF($E$2:$E$7106,E5149)</f>
        <v>9</v>
      </c>
    </row>
    <row r="5150" spans="1:6" x14ac:dyDescent="0.2">
      <c r="A5150">
        <v>2020</v>
      </c>
      <c r="B5150" s="36">
        <v>4031</v>
      </c>
      <c r="C5150" s="90" t="str">
        <f>VLOOKUP(B5150,'All Districts'!$A$3:$B$874,2,FALSE)</f>
        <v>Poland</v>
      </c>
      <c r="D5150" s="40">
        <v>378786</v>
      </c>
      <c r="E5150">
        <f>VLOOKUP(C5150,'All Districts'!$B$3:$C$874,2,FALSE)</f>
        <v>3623370</v>
      </c>
      <c r="F5150" s="91">
        <f>COUNTIF($E$2:$E$7106,E5150)</f>
        <v>9</v>
      </c>
    </row>
    <row r="5151" spans="1:6" x14ac:dyDescent="0.2">
      <c r="A5151" s="10">
        <v>2021</v>
      </c>
      <c r="B5151" s="52">
        <v>4031</v>
      </c>
      <c r="C5151" s="90" t="str">
        <f>VLOOKUP(B5151,'All Districts'!$A$3:$B$874,2,FALSE)</f>
        <v>Poland</v>
      </c>
      <c r="D5151" s="76">
        <v>407814</v>
      </c>
      <c r="E5151">
        <f>VLOOKUP(C5151,'All Districts'!$B$3:$C$874,2,FALSE)</f>
        <v>3623370</v>
      </c>
      <c r="F5151" s="91">
        <f>COUNTIF($E$2:$E$7106,E5151)</f>
        <v>9</v>
      </c>
    </row>
    <row r="5152" spans="1:6" x14ac:dyDescent="0.2">
      <c r="A5152">
        <v>2022</v>
      </c>
      <c r="B5152" s="36">
        <v>4031</v>
      </c>
      <c r="C5152" s="90" t="str">
        <f>VLOOKUP(B5152,'All Districts'!$A$3:$B$874,2,FALSE)</f>
        <v>Poland</v>
      </c>
      <c r="D5152" s="82">
        <v>402657</v>
      </c>
      <c r="E5152">
        <f>VLOOKUP(C5152,'All Districts'!$B$3:$C$874,2,FALSE)</f>
        <v>3623370</v>
      </c>
      <c r="F5152" s="91">
        <f>COUNTIF($E$2:$E$7106,E5152)</f>
        <v>9</v>
      </c>
    </row>
    <row r="5153" spans="1:6" x14ac:dyDescent="0.2">
      <c r="A5153">
        <v>2023</v>
      </c>
      <c r="B5153" s="36">
        <v>4031</v>
      </c>
      <c r="C5153" s="90" t="str">
        <f>VLOOKUP(B5153,'All Districts'!$A$3:$B$874,2,FALSE)</f>
        <v>Poland</v>
      </c>
      <c r="D5153" s="40">
        <v>441472</v>
      </c>
      <c r="E5153">
        <f>VLOOKUP(C5153,'All Districts'!$B$3:$C$874,2,FALSE)</f>
        <v>3623370</v>
      </c>
      <c r="F5153" s="91">
        <f>COUNTIF($E$2:$E$7106,E5153)</f>
        <v>9</v>
      </c>
    </row>
    <row r="5154" spans="1:6" x14ac:dyDescent="0.2">
      <c r="A5154">
        <v>2015</v>
      </c>
      <c r="B5154" s="13">
        <v>3280</v>
      </c>
      <c r="C5154" s="90" t="str">
        <f>VLOOKUP(B5154,'All Districts'!$A$3:$B$874,2,FALSE)</f>
        <v>Port Byron</v>
      </c>
      <c r="D5154" s="14">
        <v>1033104</v>
      </c>
      <c r="E5154">
        <f>VLOOKUP(C5154,'All Districts'!$B$3:$C$874,2,FALSE)</f>
        <v>3623430</v>
      </c>
      <c r="F5154" s="91">
        <f>COUNTIF($E$2:$E$7106,E5154)</f>
        <v>9</v>
      </c>
    </row>
    <row r="5155" spans="1:6" x14ac:dyDescent="0.2">
      <c r="A5155">
        <v>2016</v>
      </c>
      <c r="B5155" s="13">
        <v>3280</v>
      </c>
      <c r="C5155" s="90" t="str">
        <f>VLOOKUP(B5155,'All Districts'!$A$3:$B$874,2,FALSE)</f>
        <v>Port Byron</v>
      </c>
      <c r="D5155" s="16">
        <v>785594</v>
      </c>
      <c r="E5155">
        <f>VLOOKUP(C5155,'All Districts'!$B$3:$C$874,2,FALSE)</f>
        <v>3623430</v>
      </c>
      <c r="F5155" s="91">
        <f>COUNTIF($E$2:$E$7106,E5155)</f>
        <v>9</v>
      </c>
    </row>
    <row r="5156" spans="1:6" x14ac:dyDescent="0.2">
      <c r="A5156">
        <v>2017</v>
      </c>
      <c r="B5156" s="13">
        <v>3280</v>
      </c>
      <c r="C5156" s="90" t="str">
        <f>VLOOKUP(B5156,'All Districts'!$A$3:$B$874,2,FALSE)</f>
        <v>Port Byron</v>
      </c>
      <c r="D5156" s="16">
        <v>710220</v>
      </c>
      <c r="E5156">
        <f>VLOOKUP(C5156,'All Districts'!$B$3:$C$874,2,FALSE)</f>
        <v>3623430</v>
      </c>
      <c r="F5156" s="91">
        <f>COUNTIF($E$2:$E$7106,E5156)</f>
        <v>9</v>
      </c>
    </row>
    <row r="5157" spans="1:6" x14ac:dyDescent="0.2">
      <c r="A5157" s="10">
        <v>2018</v>
      </c>
      <c r="B5157" s="13">
        <v>3280</v>
      </c>
      <c r="C5157" s="90" t="str">
        <f>VLOOKUP(B5157,'All Districts'!$A$3:$B$874,2,FALSE)</f>
        <v>Port Byron</v>
      </c>
      <c r="D5157" s="15">
        <v>600410</v>
      </c>
      <c r="E5157">
        <f>VLOOKUP(C5157,'All Districts'!$B$3:$C$874,2,FALSE)</f>
        <v>3623430</v>
      </c>
      <c r="F5157" s="91">
        <f>COUNTIF($E$2:$E$7106,E5157)</f>
        <v>9</v>
      </c>
    </row>
    <row r="5158" spans="1:6" x14ac:dyDescent="0.2">
      <c r="A5158">
        <v>2019</v>
      </c>
      <c r="B5158" s="36">
        <v>3280</v>
      </c>
      <c r="C5158" s="90" t="str">
        <f>VLOOKUP(B5158,'All Districts'!$A$3:$B$874,2,FALSE)</f>
        <v>Port Byron</v>
      </c>
      <c r="D5158" s="40">
        <v>671810</v>
      </c>
      <c r="E5158">
        <f>VLOOKUP(C5158,'All Districts'!$B$3:$C$874,2,FALSE)</f>
        <v>3623430</v>
      </c>
      <c r="F5158" s="91">
        <f>COUNTIF($E$2:$E$7106,E5158)</f>
        <v>9</v>
      </c>
    </row>
    <row r="5159" spans="1:6" x14ac:dyDescent="0.2">
      <c r="A5159">
        <v>2020</v>
      </c>
      <c r="B5159" s="36">
        <v>3280</v>
      </c>
      <c r="C5159" s="90" t="str">
        <f>VLOOKUP(B5159,'All Districts'!$A$3:$B$874,2,FALSE)</f>
        <v>Port Byron</v>
      </c>
      <c r="D5159" s="40">
        <v>524966</v>
      </c>
      <c r="E5159">
        <f>VLOOKUP(C5159,'All Districts'!$B$3:$C$874,2,FALSE)</f>
        <v>3623430</v>
      </c>
      <c r="F5159" s="91">
        <f>COUNTIF($E$2:$E$7106,E5159)</f>
        <v>9</v>
      </c>
    </row>
    <row r="5160" spans="1:6" x14ac:dyDescent="0.2">
      <c r="A5160" s="10">
        <v>2021</v>
      </c>
      <c r="B5160" s="52">
        <v>3280</v>
      </c>
      <c r="C5160" s="90" t="str">
        <f>VLOOKUP(B5160,'All Districts'!$A$3:$B$874,2,FALSE)</f>
        <v>Port Byron</v>
      </c>
      <c r="D5160" s="76">
        <v>557214</v>
      </c>
      <c r="E5160">
        <f>VLOOKUP(C5160,'All Districts'!$B$3:$C$874,2,FALSE)</f>
        <v>3623430</v>
      </c>
      <c r="F5160" s="91">
        <f>COUNTIF($E$2:$E$7106,E5160)</f>
        <v>9</v>
      </c>
    </row>
    <row r="5161" spans="1:6" x14ac:dyDescent="0.2">
      <c r="A5161">
        <v>2022</v>
      </c>
      <c r="B5161" s="36">
        <v>3280</v>
      </c>
      <c r="C5161" s="90" t="str">
        <f>VLOOKUP(B5161,'All Districts'!$A$3:$B$874,2,FALSE)</f>
        <v>Port Byron</v>
      </c>
      <c r="D5161" s="82">
        <v>609016</v>
      </c>
      <c r="E5161">
        <f>VLOOKUP(C5161,'All Districts'!$B$3:$C$874,2,FALSE)</f>
        <v>3623430</v>
      </c>
      <c r="F5161" s="91">
        <f>COUNTIF($E$2:$E$7106,E5161)</f>
        <v>9</v>
      </c>
    </row>
    <row r="5162" spans="1:6" x14ac:dyDescent="0.2">
      <c r="A5162">
        <v>2023</v>
      </c>
      <c r="B5162" s="36">
        <v>3280</v>
      </c>
      <c r="C5162" s="90" t="str">
        <f>VLOOKUP(B5162,'All Districts'!$A$3:$B$874,2,FALSE)</f>
        <v>Port Byron</v>
      </c>
      <c r="D5162" s="40">
        <v>659104</v>
      </c>
      <c r="E5162">
        <f>VLOOKUP(C5162,'All Districts'!$B$3:$C$874,2,FALSE)</f>
        <v>3623430</v>
      </c>
      <c r="F5162" s="91">
        <f>COUNTIF($E$2:$E$7106,E5162)</f>
        <v>9</v>
      </c>
    </row>
    <row r="5163" spans="1:6" x14ac:dyDescent="0.2">
      <c r="A5163">
        <v>2015</v>
      </c>
      <c r="B5163" s="13">
        <v>2485</v>
      </c>
      <c r="C5163" s="90" t="str">
        <f>VLOOKUP(B5163,'All Districts'!$A$3:$B$874,2,FALSE)</f>
        <v>Port Chester-Rye</v>
      </c>
      <c r="D5163" s="14">
        <v>6663127</v>
      </c>
      <c r="E5163">
        <f>VLOOKUP(C5163,'All Districts'!$B$3:$C$874,2,FALSE)</f>
        <v>3623460</v>
      </c>
      <c r="F5163" s="91">
        <f>COUNTIF($E$2:$E$7106,E5163)</f>
        <v>9</v>
      </c>
    </row>
    <row r="5164" spans="1:6" x14ac:dyDescent="0.2">
      <c r="A5164">
        <v>2016</v>
      </c>
      <c r="B5164" s="13">
        <v>2485</v>
      </c>
      <c r="C5164" s="90" t="str">
        <f>VLOOKUP(B5164,'All Districts'!$A$3:$B$874,2,FALSE)</f>
        <v>Port Chester-Rye</v>
      </c>
      <c r="D5164" s="16">
        <v>5410834</v>
      </c>
      <c r="E5164">
        <f>VLOOKUP(C5164,'All Districts'!$B$3:$C$874,2,FALSE)</f>
        <v>3623460</v>
      </c>
      <c r="F5164" s="91">
        <f>COUNTIF($E$2:$E$7106,E5164)</f>
        <v>9</v>
      </c>
    </row>
    <row r="5165" spans="1:6" x14ac:dyDescent="0.2">
      <c r="A5165">
        <v>2017</v>
      </c>
      <c r="B5165" s="13">
        <v>2485</v>
      </c>
      <c r="C5165" s="90" t="str">
        <f>VLOOKUP(B5165,'All Districts'!$A$3:$B$874,2,FALSE)</f>
        <v>Port Chester-Rye</v>
      </c>
      <c r="D5165" s="16">
        <v>5137995</v>
      </c>
      <c r="E5165">
        <f>VLOOKUP(C5165,'All Districts'!$B$3:$C$874,2,FALSE)</f>
        <v>3623460</v>
      </c>
      <c r="F5165" s="91">
        <f>COUNTIF($E$2:$E$7106,E5165)</f>
        <v>9</v>
      </c>
    </row>
    <row r="5166" spans="1:6" x14ac:dyDescent="0.2">
      <c r="A5166" s="10">
        <v>2018</v>
      </c>
      <c r="B5166" s="13">
        <v>2485</v>
      </c>
      <c r="C5166" s="90" t="str">
        <f>VLOOKUP(B5166,'All Districts'!$A$3:$B$874,2,FALSE)</f>
        <v>Port Chester-Rye</v>
      </c>
      <c r="D5166" s="15">
        <v>4411982</v>
      </c>
      <c r="E5166">
        <f>VLOOKUP(C5166,'All Districts'!$B$3:$C$874,2,FALSE)</f>
        <v>3623460</v>
      </c>
      <c r="F5166" s="91">
        <f>COUNTIF($E$2:$E$7106,E5166)</f>
        <v>9</v>
      </c>
    </row>
    <row r="5167" spans="1:6" x14ac:dyDescent="0.2">
      <c r="A5167">
        <v>2019</v>
      </c>
      <c r="B5167" s="36">
        <v>2485</v>
      </c>
      <c r="C5167" s="90" t="str">
        <f>VLOOKUP(B5167,'All Districts'!$A$3:$B$874,2,FALSE)</f>
        <v>Port Chester-Rye</v>
      </c>
      <c r="D5167" s="40">
        <v>4730338</v>
      </c>
      <c r="E5167">
        <f>VLOOKUP(C5167,'All Districts'!$B$3:$C$874,2,FALSE)</f>
        <v>3623460</v>
      </c>
      <c r="F5167" s="91">
        <f>COUNTIF($E$2:$E$7106,E5167)</f>
        <v>9</v>
      </c>
    </row>
    <row r="5168" spans="1:6" x14ac:dyDescent="0.2">
      <c r="A5168">
        <v>2020</v>
      </c>
      <c r="B5168" s="36">
        <v>2485</v>
      </c>
      <c r="C5168" s="90" t="str">
        <f>VLOOKUP(B5168,'All Districts'!$A$3:$B$874,2,FALSE)</f>
        <v>Port Chester-Rye</v>
      </c>
      <c r="D5168" s="40">
        <v>4091207</v>
      </c>
      <c r="E5168">
        <f>VLOOKUP(C5168,'All Districts'!$B$3:$C$874,2,FALSE)</f>
        <v>3623460</v>
      </c>
      <c r="F5168" s="91">
        <f>COUNTIF($E$2:$E$7106,E5168)</f>
        <v>9</v>
      </c>
    </row>
    <row r="5169" spans="1:6" x14ac:dyDescent="0.2">
      <c r="A5169" s="10">
        <v>2021</v>
      </c>
      <c r="B5169" s="52">
        <v>2485</v>
      </c>
      <c r="C5169" s="90" t="str">
        <f>VLOOKUP(B5169,'All Districts'!$A$3:$B$874,2,FALSE)</f>
        <v>Port Chester-Rye</v>
      </c>
      <c r="D5169" s="75">
        <v>4440052</v>
      </c>
      <c r="E5169">
        <f>VLOOKUP(C5169,'All Districts'!$B$3:$C$874,2,FALSE)</f>
        <v>3623460</v>
      </c>
      <c r="F5169" s="91">
        <f>COUNTIF($E$2:$E$7106,E5169)</f>
        <v>9</v>
      </c>
    </row>
    <row r="5170" spans="1:6" x14ac:dyDescent="0.2">
      <c r="A5170">
        <v>2022</v>
      </c>
      <c r="B5170" s="36">
        <v>2485</v>
      </c>
      <c r="C5170" s="90" t="str">
        <f>VLOOKUP(B5170,'All Districts'!$A$3:$B$874,2,FALSE)</f>
        <v>Port Chester-Rye</v>
      </c>
      <c r="D5170" s="82">
        <v>5097794</v>
      </c>
      <c r="E5170">
        <f>VLOOKUP(C5170,'All Districts'!$B$3:$C$874,2,FALSE)</f>
        <v>3623460</v>
      </c>
      <c r="F5170" s="91">
        <f>COUNTIF($E$2:$E$7106,E5170)</f>
        <v>9</v>
      </c>
    </row>
    <row r="5171" spans="1:6" x14ac:dyDescent="0.2">
      <c r="A5171">
        <v>2023</v>
      </c>
      <c r="B5171" s="36">
        <v>2485</v>
      </c>
      <c r="C5171" s="90" t="str">
        <f>VLOOKUP(B5171,'All Districts'!$A$3:$B$874,2,FALSE)</f>
        <v>Port Chester-Rye</v>
      </c>
      <c r="D5171" s="40">
        <v>5618988</v>
      </c>
      <c r="E5171">
        <f>VLOOKUP(C5171,'All Districts'!$B$3:$C$874,2,FALSE)</f>
        <v>3623460</v>
      </c>
      <c r="F5171" s="91">
        <f>COUNTIF($E$2:$E$7106,E5171)</f>
        <v>9</v>
      </c>
    </row>
    <row r="5172" spans="1:6" x14ac:dyDescent="0.2">
      <c r="A5172">
        <v>2015</v>
      </c>
      <c r="B5172" s="13">
        <v>5406</v>
      </c>
      <c r="C5172" s="90" t="str">
        <f>VLOOKUP(B5172,'All Districts'!$A$3:$B$874,2,FALSE)</f>
        <v>Port Jefferson</v>
      </c>
      <c r="D5172" s="14">
        <v>2603402</v>
      </c>
      <c r="E5172">
        <f>VLOOKUP(C5172,'All Districts'!$B$3:$C$874,2,FALSE)</f>
        <v>3623490</v>
      </c>
      <c r="F5172" s="91">
        <f>COUNTIF($E$2:$E$7106,E5172)</f>
        <v>9</v>
      </c>
    </row>
    <row r="5173" spans="1:6" x14ac:dyDescent="0.2">
      <c r="A5173">
        <v>2016</v>
      </c>
      <c r="B5173" s="13">
        <v>5406</v>
      </c>
      <c r="C5173" s="90" t="str">
        <f>VLOOKUP(B5173,'All Districts'!$A$3:$B$874,2,FALSE)</f>
        <v>Port Jefferson</v>
      </c>
      <c r="D5173" s="16">
        <v>1979471</v>
      </c>
      <c r="E5173">
        <f>VLOOKUP(C5173,'All Districts'!$B$3:$C$874,2,FALSE)</f>
        <v>3623490</v>
      </c>
      <c r="F5173" s="91">
        <f>COUNTIF($E$2:$E$7106,E5173)</f>
        <v>9</v>
      </c>
    </row>
    <row r="5174" spans="1:6" x14ac:dyDescent="0.2">
      <c r="A5174">
        <v>2017</v>
      </c>
      <c r="B5174" s="13">
        <v>5406</v>
      </c>
      <c r="C5174" s="90" t="str">
        <f>VLOOKUP(B5174,'All Districts'!$A$3:$B$874,2,FALSE)</f>
        <v>Port Jefferson</v>
      </c>
      <c r="D5174" s="16">
        <v>1818892</v>
      </c>
      <c r="E5174">
        <f>VLOOKUP(C5174,'All Districts'!$B$3:$C$874,2,FALSE)</f>
        <v>3623490</v>
      </c>
      <c r="F5174" s="91">
        <f>COUNTIF($E$2:$E$7106,E5174)</f>
        <v>9</v>
      </c>
    </row>
    <row r="5175" spans="1:6" x14ac:dyDescent="0.2">
      <c r="A5175" s="10">
        <v>2018</v>
      </c>
      <c r="B5175" s="13">
        <v>5406</v>
      </c>
      <c r="C5175" s="90" t="str">
        <f>VLOOKUP(B5175,'All Districts'!$A$3:$B$874,2,FALSE)</f>
        <v>Port Jefferson</v>
      </c>
      <c r="D5175" s="15">
        <v>1544773</v>
      </c>
      <c r="E5175">
        <f>VLOOKUP(C5175,'All Districts'!$B$3:$C$874,2,FALSE)</f>
        <v>3623490</v>
      </c>
      <c r="F5175" s="91">
        <f>COUNTIF($E$2:$E$7106,E5175)</f>
        <v>9</v>
      </c>
    </row>
    <row r="5176" spans="1:6" x14ac:dyDescent="0.2">
      <c r="A5176">
        <v>2019</v>
      </c>
      <c r="B5176" s="36">
        <v>5406</v>
      </c>
      <c r="C5176" s="90" t="str">
        <f>VLOOKUP(B5176,'All Districts'!$A$3:$B$874,2,FALSE)</f>
        <v>Port Jefferson</v>
      </c>
      <c r="D5176" s="40">
        <v>1761936</v>
      </c>
      <c r="E5176">
        <f>VLOOKUP(C5176,'All Districts'!$B$3:$C$874,2,FALSE)</f>
        <v>3623490</v>
      </c>
      <c r="F5176" s="91">
        <f>COUNTIF($E$2:$E$7106,E5176)</f>
        <v>9</v>
      </c>
    </row>
    <row r="5177" spans="1:6" x14ac:dyDescent="0.2">
      <c r="A5177">
        <v>2020</v>
      </c>
      <c r="B5177" s="36">
        <v>5406</v>
      </c>
      <c r="C5177" s="90" t="str">
        <f>VLOOKUP(B5177,'All Districts'!$A$3:$B$874,2,FALSE)</f>
        <v>Port Jefferson</v>
      </c>
      <c r="D5177" s="40">
        <v>1446761</v>
      </c>
      <c r="E5177">
        <f>VLOOKUP(C5177,'All Districts'!$B$3:$C$874,2,FALSE)</f>
        <v>3623490</v>
      </c>
      <c r="F5177" s="91">
        <f>COUNTIF($E$2:$E$7106,E5177)</f>
        <v>9</v>
      </c>
    </row>
    <row r="5178" spans="1:6" x14ac:dyDescent="0.2">
      <c r="A5178" s="10">
        <v>2021</v>
      </c>
      <c r="B5178" s="52">
        <v>5406</v>
      </c>
      <c r="C5178" s="90" t="str">
        <f>VLOOKUP(B5178,'All Districts'!$A$3:$B$874,2,FALSE)</f>
        <v>Port Jefferson</v>
      </c>
      <c r="D5178" s="76">
        <v>1617031</v>
      </c>
      <c r="E5178">
        <f>VLOOKUP(C5178,'All Districts'!$B$3:$C$874,2,FALSE)</f>
        <v>3623490</v>
      </c>
      <c r="F5178" s="91">
        <f>COUNTIF($E$2:$E$7106,E5178)</f>
        <v>9</v>
      </c>
    </row>
    <row r="5179" spans="1:6" x14ac:dyDescent="0.2">
      <c r="A5179">
        <v>2022</v>
      </c>
      <c r="B5179" s="36">
        <v>5406</v>
      </c>
      <c r="C5179" s="90" t="str">
        <f>VLOOKUP(B5179,'All Districts'!$A$3:$B$874,2,FALSE)</f>
        <v>Port Jefferson</v>
      </c>
      <c r="D5179" s="82">
        <v>1650075</v>
      </c>
      <c r="E5179">
        <f>VLOOKUP(C5179,'All Districts'!$B$3:$C$874,2,FALSE)</f>
        <v>3623490</v>
      </c>
      <c r="F5179" s="91">
        <f>COUNTIF($E$2:$E$7106,E5179)</f>
        <v>9</v>
      </c>
    </row>
    <row r="5180" spans="1:6" x14ac:dyDescent="0.2">
      <c r="A5180">
        <v>2023</v>
      </c>
      <c r="B5180" s="36">
        <v>5406</v>
      </c>
      <c r="C5180" s="90" t="str">
        <f>VLOOKUP(B5180,'All Districts'!$A$3:$B$874,2,FALSE)</f>
        <v>Port Jefferson</v>
      </c>
      <c r="D5180" s="40">
        <v>1815291</v>
      </c>
      <c r="E5180">
        <f>VLOOKUP(C5180,'All Districts'!$B$3:$C$874,2,FALSE)</f>
        <v>3623490</v>
      </c>
      <c r="F5180" s="91">
        <f>COUNTIF($E$2:$E$7106,E5180)</f>
        <v>9</v>
      </c>
    </row>
    <row r="5181" spans="1:6" x14ac:dyDescent="0.2">
      <c r="A5181">
        <v>2015</v>
      </c>
      <c r="B5181" s="13">
        <v>1220</v>
      </c>
      <c r="C5181" s="90" t="str">
        <f>VLOOKUP(B5181,'All Districts'!$A$3:$B$874,2,FALSE)</f>
        <v>Port Jervis</v>
      </c>
      <c r="D5181" s="14">
        <v>4003233</v>
      </c>
      <c r="E5181">
        <f>VLOOKUP(C5181,'All Districts'!$B$3:$C$874,2,FALSE)</f>
        <v>3623520</v>
      </c>
      <c r="F5181" s="91">
        <f>COUNTIF($E$2:$E$7106,E5181)</f>
        <v>9</v>
      </c>
    </row>
    <row r="5182" spans="1:6" x14ac:dyDescent="0.2">
      <c r="A5182">
        <v>2016</v>
      </c>
      <c r="B5182" s="13">
        <v>1220</v>
      </c>
      <c r="C5182" s="90" t="str">
        <f>VLOOKUP(B5182,'All Districts'!$A$3:$B$874,2,FALSE)</f>
        <v>Port Jervis</v>
      </c>
      <c r="D5182" s="16">
        <v>3074197</v>
      </c>
      <c r="E5182">
        <f>VLOOKUP(C5182,'All Districts'!$B$3:$C$874,2,FALSE)</f>
        <v>3623520</v>
      </c>
      <c r="F5182" s="91">
        <f>COUNTIF($E$2:$E$7106,E5182)</f>
        <v>9</v>
      </c>
    </row>
    <row r="5183" spans="1:6" x14ac:dyDescent="0.2">
      <c r="A5183">
        <v>2017</v>
      </c>
      <c r="B5183" s="13">
        <v>1220</v>
      </c>
      <c r="C5183" s="90" t="str">
        <f>VLOOKUP(B5183,'All Districts'!$A$3:$B$874,2,FALSE)</f>
        <v>Port Jervis</v>
      </c>
      <c r="D5183" s="16">
        <v>2790569</v>
      </c>
      <c r="E5183">
        <f>VLOOKUP(C5183,'All Districts'!$B$3:$C$874,2,FALSE)</f>
        <v>3623520</v>
      </c>
      <c r="F5183" s="91">
        <f>COUNTIF($E$2:$E$7106,E5183)</f>
        <v>9</v>
      </c>
    </row>
    <row r="5184" spans="1:6" x14ac:dyDescent="0.2">
      <c r="A5184" s="10">
        <v>2018</v>
      </c>
      <c r="B5184" s="13">
        <v>1220</v>
      </c>
      <c r="C5184" s="90" t="str">
        <f>VLOOKUP(B5184,'All Districts'!$A$3:$B$874,2,FALSE)</f>
        <v>Port Jervis</v>
      </c>
      <c r="D5184" s="15">
        <v>2344330</v>
      </c>
      <c r="E5184">
        <f>VLOOKUP(C5184,'All Districts'!$B$3:$C$874,2,FALSE)</f>
        <v>3623520</v>
      </c>
      <c r="F5184" s="91">
        <f>COUNTIF($E$2:$E$7106,E5184)</f>
        <v>9</v>
      </c>
    </row>
    <row r="5185" spans="1:6" x14ac:dyDescent="0.2">
      <c r="A5185">
        <v>2019</v>
      </c>
      <c r="B5185" s="36">
        <v>1220</v>
      </c>
      <c r="C5185" s="90" t="str">
        <f>VLOOKUP(B5185,'All Districts'!$A$3:$B$874,2,FALSE)</f>
        <v>Port Jervis</v>
      </c>
      <c r="D5185" s="40">
        <v>2618133</v>
      </c>
      <c r="E5185">
        <f>VLOOKUP(C5185,'All Districts'!$B$3:$C$874,2,FALSE)</f>
        <v>3623520</v>
      </c>
      <c r="F5185" s="91">
        <f>COUNTIF($E$2:$E$7106,E5185)</f>
        <v>9</v>
      </c>
    </row>
    <row r="5186" spans="1:6" x14ac:dyDescent="0.2">
      <c r="A5186">
        <v>2020</v>
      </c>
      <c r="B5186" s="36">
        <v>1220</v>
      </c>
      <c r="C5186" s="90" t="str">
        <f>VLOOKUP(B5186,'All Districts'!$A$3:$B$874,2,FALSE)</f>
        <v>Port Jervis</v>
      </c>
      <c r="D5186" s="40">
        <v>2216796</v>
      </c>
      <c r="E5186">
        <f>VLOOKUP(C5186,'All Districts'!$B$3:$C$874,2,FALSE)</f>
        <v>3623520</v>
      </c>
      <c r="F5186" s="91">
        <f>COUNTIF($E$2:$E$7106,E5186)</f>
        <v>9</v>
      </c>
    </row>
    <row r="5187" spans="1:6" x14ac:dyDescent="0.2">
      <c r="A5187" s="10">
        <v>2021</v>
      </c>
      <c r="B5187" s="52">
        <v>1220</v>
      </c>
      <c r="C5187" s="90" t="str">
        <f>VLOOKUP(B5187,'All Districts'!$A$3:$B$874,2,FALSE)</f>
        <v>Port Jervis</v>
      </c>
      <c r="D5187" s="75">
        <v>2318358</v>
      </c>
      <c r="E5187">
        <f>VLOOKUP(C5187,'All Districts'!$B$3:$C$874,2,FALSE)</f>
        <v>3623520</v>
      </c>
      <c r="F5187" s="91">
        <f>COUNTIF($E$2:$E$7106,E5187)</f>
        <v>9</v>
      </c>
    </row>
    <row r="5188" spans="1:6" x14ac:dyDescent="0.2">
      <c r="A5188">
        <v>2022</v>
      </c>
      <c r="B5188" s="36">
        <v>1220</v>
      </c>
      <c r="C5188" s="90" t="str">
        <f>VLOOKUP(B5188,'All Districts'!$A$3:$B$874,2,FALSE)</f>
        <v>Port Jervis</v>
      </c>
      <c r="D5188" s="82">
        <v>2594989</v>
      </c>
      <c r="E5188">
        <f>VLOOKUP(C5188,'All Districts'!$B$3:$C$874,2,FALSE)</f>
        <v>3623520</v>
      </c>
      <c r="F5188" s="91">
        <f>COUNTIF($E$2:$E$7106,E5188)</f>
        <v>9</v>
      </c>
    </row>
    <row r="5189" spans="1:6" x14ac:dyDescent="0.2">
      <c r="A5189">
        <v>2023</v>
      </c>
      <c r="B5189" s="36">
        <v>1220</v>
      </c>
      <c r="C5189" s="90" t="str">
        <f>VLOOKUP(B5189,'All Districts'!$A$3:$B$874,2,FALSE)</f>
        <v>Port Jervis</v>
      </c>
      <c r="D5189" s="40">
        <v>2753962</v>
      </c>
      <c r="E5189">
        <f>VLOOKUP(C5189,'All Districts'!$B$3:$C$874,2,FALSE)</f>
        <v>3623520</v>
      </c>
      <c r="F5189" s="91">
        <f>COUNTIF($E$2:$E$7106,E5189)</f>
        <v>9</v>
      </c>
    </row>
    <row r="5190" spans="1:6" x14ac:dyDescent="0.2">
      <c r="A5190">
        <v>2015</v>
      </c>
      <c r="B5190" s="13">
        <v>2490</v>
      </c>
      <c r="C5190" s="90" t="str">
        <f>VLOOKUP(B5190,'All Districts'!$A$3:$B$874,2,FALSE)</f>
        <v>Port Washington</v>
      </c>
      <c r="D5190" s="14">
        <v>10539634</v>
      </c>
      <c r="E5190">
        <f>VLOOKUP(C5190,'All Districts'!$B$3:$C$874,2,FALSE)</f>
        <v>3623580</v>
      </c>
      <c r="F5190" s="91">
        <f>COUNTIF($E$2:$E$7106,E5190)</f>
        <v>9</v>
      </c>
    </row>
    <row r="5191" spans="1:6" x14ac:dyDescent="0.2">
      <c r="A5191">
        <v>2016</v>
      </c>
      <c r="B5191" s="13">
        <v>2490</v>
      </c>
      <c r="C5191" s="90" t="str">
        <f>VLOOKUP(B5191,'All Districts'!$A$3:$B$874,2,FALSE)</f>
        <v>Port Washington</v>
      </c>
      <c r="D5191" s="16">
        <v>8087207</v>
      </c>
      <c r="E5191">
        <f>VLOOKUP(C5191,'All Districts'!$B$3:$C$874,2,FALSE)</f>
        <v>3623580</v>
      </c>
      <c r="F5191" s="91">
        <f>COUNTIF($E$2:$E$7106,E5191)</f>
        <v>9</v>
      </c>
    </row>
    <row r="5192" spans="1:6" x14ac:dyDescent="0.2">
      <c r="A5192">
        <v>2017</v>
      </c>
      <c r="B5192" s="13">
        <v>2490</v>
      </c>
      <c r="C5192" s="90" t="str">
        <f>VLOOKUP(B5192,'All Districts'!$A$3:$B$874,2,FALSE)</f>
        <v>Port Washington</v>
      </c>
      <c r="D5192" s="16">
        <v>7345286</v>
      </c>
      <c r="E5192">
        <f>VLOOKUP(C5192,'All Districts'!$B$3:$C$874,2,FALSE)</f>
        <v>3623580</v>
      </c>
      <c r="F5192" s="91">
        <f>COUNTIF($E$2:$E$7106,E5192)</f>
        <v>9</v>
      </c>
    </row>
    <row r="5193" spans="1:6" x14ac:dyDescent="0.2">
      <c r="A5193" s="10">
        <v>2018</v>
      </c>
      <c r="B5193" s="13">
        <v>2490</v>
      </c>
      <c r="C5193" s="90" t="str">
        <f>VLOOKUP(B5193,'All Districts'!$A$3:$B$874,2,FALSE)</f>
        <v>Port Washington</v>
      </c>
      <c r="D5193" s="15">
        <v>6341040</v>
      </c>
      <c r="E5193">
        <f>VLOOKUP(C5193,'All Districts'!$B$3:$C$874,2,FALSE)</f>
        <v>3623580</v>
      </c>
      <c r="F5193" s="91">
        <f>COUNTIF($E$2:$E$7106,E5193)</f>
        <v>9</v>
      </c>
    </row>
    <row r="5194" spans="1:6" x14ac:dyDescent="0.2">
      <c r="A5194">
        <v>2019</v>
      </c>
      <c r="B5194" s="36">
        <v>2490</v>
      </c>
      <c r="C5194" s="90" t="str">
        <f>VLOOKUP(B5194,'All Districts'!$A$3:$B$874,2,FALSE)</f>
        <v>Port Washington</v>
      </c>
      <c r="D5194" s="40">
        <v>7047924</v>
      </c>
      <c r="E5194">
        <f>VLOOKUP(C5194,'All Districts'!$B$3:$C$874,2,FALSE)</f>
        <v>3623580</v>
      </c>
      <c r="F5194" s="91">
        <f>COUNTIF($E$2:$E$7106,E5194)</f>
        <v>9</v>
      </c>
    </row>
    <row r="5195" spans="1:6" x14ac:dyDescent="0.2">
      <c r="A5195">
        <v>2020</v>
      </c>
      <c r="B5195" s="36">
        <v>2490</v>
      </c>
      <c r="C5195" s="90" t="str">
        <f>VLOOKUP(B5195,'All Districts'!$A$3:$B$874,2,FALSE)</f>
        <v>Port Washington</v>
      </c>
      <c r="D5195" s="40">
        <v>5995287</v>
      </c>
      <c r="E5195">
        <f>VLOOKUP(C5195,'All Districts'!$B$3:$C$874,2,FALSE)</f>
        <v>3623580</v>
      </c>
      <c r="F5195" s="91">
        <f>COUNTIF($E$2:$E$7106,E5195)</f>
        <v>9</v>
      </c>
    </row>
    <row r="5196" spans="1:6" x14ac:dyDescent="0.2">
      <c r="A5196" s="10">
        <v>2021</v>
      </c>
      <c r="B5196" s="55">
        <v>2490</v>
      </c>
      <c r="C5196" s="90" t="str">
        <f>VLOOKUP(B5196,'All Districts'!$A$3:$B$874,2,FALSE)</f>
        <v>Port Washington</v>
      </c>
      <c r="D5196" s="75">
        <v>6488954</v>
      </c>
      <c r="E5196">
        <f>VLOOKUP(C5196,'All Districts'!$B$3:$C$874,2,FALSE)</f>
        <v>3623580</v>
      </c>
      <c r="F5196" s="91">
        <f>COUNTIF($E$2:$E$7106,E5196)</f>
        <v>9</v>
      </c>
    </row>
    <row r="5197" spans="1:6" x14ac:dyDescent="0.2">
      <c r="A5197">
        <v>2022</v>
      </c>
      <c r="B5197" s="36">
        <v>2490</v>
      </c>
      <c r="C5197" s="90" t="str">
        <f>VLOOKUP(B5197,'All Districts'!$A$3:$B$874,2,FALSE)</f>
        <v>Port Washington</v>
      </c>
      <c r="D5197" s="82">
        <v>6825316</v>
      </c>
      <c r="E5197">
        <f>VLOOKUP(C5197,'All Districts'!$B$3:$C$874,2,FALSE)</f>
        <v>3623580</v>
      </c>
      <c r="F5197" s="91">
        <f>COUNTIF($E$2:$E$7106,E5197)</f>
        <v>9</v>
      </c>
    </row>
    <row r="5198" spans="1:6" x14ac:dyDescent="0.2">
      <c r="A5198">
        <v>2023</v>
      </c>
      <c r="B5198" s="36">
        <v>2490</v>
      </c>
      <c r="C5198" s="90" t="str">
        <f>VLOOKUP(B5198,'All Districts'!$A$3:$B$874,2,FALSE)</f>
        <v>Port Washington</v>
      </c>
      <c r="D5198" s="40">
        <v>7492203</v>
      </c>
      <c r="E5198">
        <f>VLOOKUP(C5198,'All Districts'!$B$3:$C$874,2,FALSE)</f>
        <v>3623580</v>
      </c>
      <c r="F5198" s="91">
        <f>COUNTIF($E$2:$E$7106,E5198)</f>
        <v>9</v>
      </c>
    </row>
    <row r="5199" spans="1:6" x14ac:dyDescent="0.2">
      <c r="A5199">
        <v>2015</v>
      </c>
      <c r="B5199" s="13">
        <v>3202</v>
      </c>
      <c r="C5199" s="90" t="str">
        <f>VLOOKUP(B5199,'All Districts'!$A$3:$B$874,2,FALSE)</f>
        <v>Portville</v>
      </c>
      <c r="D5199" s="14">
        <v>870335</v>
      </c>
      <c r="E5199">
        <f>VLOOKUP(C5199,'All Districts'!$B$3:$C$874,2,FALSE)</f>
        <v>3623640</v>
      </c>
      <c r="F5199" s="91">
        <f>COUNTIF($E$2:$E$7106,E5199)</f>
        <v>9</v>
      </c>
    </row>
    <row r="5200" spans="1:6" x14ac:dyDescent="0.2">
      <c r="A5200">
        <v>2016</v>
      </c>
      <c r="B5200" s="13">
        <v>3202</v>
      </c>
      <c r="C5200" s="90" t="str">
        <f>VLOOKUP(B5200,'All Districts'!$A$3:$B$874,2,FALSE)</f>
        <v>Portville</v>
      </c>
      <c r="D5200" s="16">
        <v>691600</v>
      </c>
      <c r="E5200">
        <f>VLOOKUP(C5200,'All Districts'!$B$3:$C$874,2,FALSE)</f>
        <v>3623640</v>
      </c>
      <c r="F5200" s="91">
        <f>COUNTIF($E$2:$E$7106,E5200)</f>
        <v>9</v>
      </c>
    </row>
    <row r="5201" spans="1:6" x14ac:dyDescent="0.2">
      <c r="A5201">
        <v>2017</v>
      </c>
      <c r="B5201" s="13">
        <v>3202</v>
      </c>
      <c r="C5201" s="90" t="str">
        <f>VLOOKUP(B5201,'All Districts'!$A$3:$B$874,2,FALSE)</f>
        <v>Portville</v>
      </c>
      <c r="D5201" s="16">
        <v>628977</v>
      </c>
      <c r="E5201">
        <f>VLOOKUP(C5201,'All Districts'!$B$3:$C$874,2,FALSE)</f>
        <v>3623640</v>
      </c>
      <c r="F5201" s="91">
        <f>COUNTIF($E$2:$E$7106,E5201)</f>
        <v>9</v>
      </c>
    </row>
    <row r="5202" spans="1:6" x14ac:dyDescent="0.2">
      <c r="A5202" s="10">
        <v>2018</v>
      </c>
      <c r="B5202" s="13">
        <v>3202</v>
      </c>
      <c r="C5202" s="90" t="str">
        <f>VLOOKUP(B5202,'All Districts'!$A$3:$B$874,2,FALSE)</f>
        <v>Portville</v>
      </c>
      <c r="D5202" s="15">
        <v>536797</v>
      </c>
      <c r="E5202">
        <f>VLOOKUP(C5202,'All Districts'!$B$3:$C$874,2,FALSE)</f>
        <v>3623640</v>
      </c>
      <c r="F5202" s="91">
        <f>COUNTIF($E$2:$E$7106,E5202)</f>
        <v>9</v>
      </c>
    </row>
    <row r="5203" spans="1:6" x14ac:dyDescent="0.2">
      <c r="A5203">
        <v>2019</v>
      </c>
      <c r="B5203" s="36">
        <v>3202</v>
      </c>
      <c r="C5203" s="90" t="str">
        <f>VLOOKUP(B5203,'All Districts'!$A$3:$B$874,2,FALSE)</f>
        <v>Portville</v>
      </c>
      <c r="D5203" s="40">
        <v>600872</v>
      </c>
      <c r="E5203">
        <f>VLOOKUP(C5203,'All Districts'!$B$3:$C$874,2,FALSE)</f>
        <v>3623640</v>
      </c>
      <c r="F5203" s="91">
        <f>COUNTIF($E$2:$E$7106,E5203)</f>
        <v>9</v>
      </c>
    </row>
    <row r="5204" spans="1:6" x14ac:dyDescent="0.2">
      <c r="A5204">
        <v>2020</v>
      </c>
      <c r="B5204" s="36">
        <v>3202</v>
      </c>
      <c r="C5204" s="90" t="str">
        <f>VLOOKUP(B5204,'All Districts'!$A$3:$B$874,2,FALSE)</f>
        <v>Portville</v>
      </c>
      <c r="D5204" s="40">
        <v>509721</v>
      </c>
      <c r="E5204">
        <f>VLOOKUP(C5204,'All Districts'!$B$3:$C$874,2,FALSE)</f>
        <v>3623640</v>
      </c>
      <c r="F5204" s="91">
        <f>COUNTIF($E$2:$E$7106,E5204)</f>
        <v>9</v>
      </c>
    </row>
    <row r="5205" spans="1:6" x14ac:dyDescent="0.2">
      <c r="A5205" s="10">
        <v>2021</v>
      </c>
      <c r="B5205" s="55">
        <v>3202</v>
      </c>
      <c r="C5205" s="90" t="str">
        <f>VLOOKUP(B5205,'All Districts'!$A$3:$B$874,2,FALSE)</f>
        <v>Portville</v>
      </c>
      <c r="D5205" s="76">
        <v>556968</v>
      </c>
      <c r="E5205">
        <f>VLOOKUP(C5205,'All Districts'!$B$3:$C$874,2,FALSE)</f>
        <v>3623640</v>
      </c>
      <c r="F5205" s="91">
        <f>COUNTIF($E$2:$E$7106,E5205)</f>
        <v>9</v>
      </c>
    </row>
    <row r="5206" spans="1:6" x14ac:dyDescent="0.2">
      <c r="A5206">
        <v>2022</v>
      </c>
      <c r="B5206" s="36">
        <v>3202</v>
      </c>
      <c r="C5206" s="90" t="str">
        <f>VLOOKUP(B5206,'All Districts'!$A$3:$B$874,2,FALSE)</f>
        <v>Portville</v>
      </c>
      <c r="D5206" s="82">
        <v>616356</v>
      </c>
      <c r="E5206">
        <f>VLOOKUP(C5206,'All Districts'!$B$3:$C$874,2,FALSE)</f>
        <v>3623640</v>
      </c>
      <c r="F5206" s="91">
        <f>COUNTIF($E$2:$E$7106,E5206)</f>
        <v>9</v>
      </c>
    </row>
    <row r="5207" spans="1:6" x14ac:dyDescent="0.2">
      <c r="A5207">
        <v>2023</v>
      </c>
      <c r="B5207" s="36">
        <v>3202</v>
      </c>
      <c r="C5207" s="90" t="str">
        <f>VLOOKUP(B5207,'All Districts'!$A$3:$B$874,2,FALSE)</f>
        <v>Portville</v>
      </c>
      <c r="D5207" s="40">
        <v>686681</v>
      </c>
      <c r="E5207">
        <f>VLOOKUP(C5207,'All Districts'!$B$3:$C$874,2,FALSE)</f>
        <v>3623640</v>
      </c>
      <c r="F5207" s="91">
        <f>COUNTIF($E$2:$E$7106,E5207)</f>
        <v>9</v>
      </c>
    </row>
    <row r="5208" spans="1:6" x14ac:dyDescent="0.2">
      <c r="A5208">
        <v>2015</v>
      </c>
      <c r="B5208" s="13">
        <v>2495</v>
      </c>
      <c r="C5208" s="90" t="str">
        <f>VLOOKUP(B5208,'All Districts'!$A$3:$B$874,2,FALSE)</f>
        <v>Potsdam</v>
      </c>
      <c r="D5208" s="14">
        <v>1300086</v>
      </c>
      <c r="E5208">
        <f>VLOOKUP(C5208,'All Districts'!$B$3:$C$874,2,FALSE)</f>
        <v>3623670</v>
      </c>
      <c r="F5208" s="91">
        <f>COUNTIF($E$2:$E$7106,E5208)</f>
        <v>9</v>
      </c>
    </row>
    <row r="5209" spans="1:6" x14ac:dyDescent="0.2">
      <c r="A5209">
        <v>2016</v>
      </c>
      <c r="B5209" s="13">
        <v>2495</v>
      </c>
      <c r="C5209" s="90" t="str">
        <f>VLOOKUP(B5209,'All Districts'!$A$3:$B$874,2,FALSE)</f>
        <v>Potsdam</v>
      </c>
      <c r="D5209" s="16">
        <v>1002123</v>
      </c>
      <c r="E5209">
        <f>VLOOKUP(C5209,'All Districts'!$B$3:$C$874,2,FALSE)</f>
        <v>3623670</v>
      </c>
      <c r="F5209" s="91">
        <f>COUNTIF($E$2:$E$7106,E5209)</f>
        <v>9</v>
      </c>
    </row>
    <row r="5210" spans="1:6" x14ac:dyDescent="0.2">
      <c r="A5210">
        <v>2017</v>
      </c>
      <c r="B5210" s="13">
        <v>2495</v>
      </c>
      <c r="C5210" s="90" t="str">
        <f>VLOOKUP(B5210,'All Districts'!$A$3:$B$874,2,FALSE)</f>
        <v>Potsdam</v>
      </c>
      <c r="D5210" s="16">
        <v>983734</v>
      </c>
      <c r="E5210">
        <f>VLOOKUP(C5210,'All Districts'!$B$3:$C$874,2,FALSE)</f>
        <v>3623670</v>
      </c>
      <c r="F5210" s="91">
        <f>COUNTIF($E$2:$E$7106,E5210)</f>
        <v>9</v>
      </c>
    </row>
    <row r="5211" spans="1:6" x14ac:dyDescent="0.2">
      <c r="A5211" s="10">
        <v>2018</v>
      </c>
      <c r="B5211" s="13">
        <v>2495</v>
      </c>
      <c r="C5211" s="90" t="str">
        <f>VLOOKUP(B5211,'All Districts'!$A$3:$B$874,2,FALSE)</f>
        <v>Potsdam</v>
      </c>
      <c r="D5211" s="15">
        <v>845748</v>
      </c>
      <c r="E5211">
        <f>VLOOKUP(C5211,'All Districts'!$B$3:$C$874,2,FALSE)</f>
        <v>3623670</v>
      </c>
      <c r="F5211" s="91">
        <f>COUNTIF($E$2:$E$7106,E5211)</f>
        <v>9</v>
      </c>
    </row>
    <row r="5212" spans="1:6" x14ac:dyDescent="0.2">
      <c r="A5212">
        <v>2019</v>
      </c>
      <c r="B5212" s="36">
        <v>2495</v>
      </c>
      <c r="C5212" s="90" t="str">
        <f>VLOOKUP(B5212,'All Districts'!$A$3:$B$874,2,FALSE)</f>
        <v>Potsdam</v>
      </c>
      <c r="D5212" s="40">
        <v>935694</v>
      </c>
      <c r="E5212">
        <f>VLOOKUP(C5212,'All Districts'!$B$3:$C$874,2,FALSE)</f>
        <v>3623670</v>
      </c>
      <c r="F5212" s="91">
        <f>COUNTIF($E$2:$E$7106,E5212)</f>
        <v>9</v>
      </c>
    </row>
    <row r="5213" spans="1:6" x14ac:dyDescent="0.2">
      <c r="A5213">
        <v>2020</v>
      </c>
      <c r="B5213" s="36">
        <v>2495</v>
      </c>
      <c r="C5213" s="90" t="str">
        <f>VLOOKUP(B5213,'All Districts'!$A$3:$B$874,2,FALSE)</f>
        <v>Potsdam</v>
      </c>
      <c r="D5213" s="40">
        <v>778908</v>
      </c>
      <c r="E5213">
        <f>VLOOKUP(C5213,'All Districts'!$B$3:$C$874,2,FALSE)</f>
        <v>3623670</v>
      </c>
      <c r="F5213" s="91">
        <f>COUNTIF($E$2:$E$7106,E5213)</f>
        <v>9</v>
      </c>
    </row>
    <row r="5214" spans="1:6" x14ac:dyDescent="0.2">
      <c r="A5214" s="10">
        <v>2021</v>
      </c>
      <c r="B5214" s="55">
        <v>2495</v>
      </c>
      <c r="C5214" s="90" t="str">
        <f>VLOOKUP(B5214,'All Districts'!$A$3:$B$874,2,FALSE)</f>
        <v>Potsdam</v>
      </c>
      <c r="D5214" s="75">
        <v>858894</v>
      </c>
      <c r="E5214">
        <f>VLOOKUP(C5214,'All Districts'!$B$3:$C$874,2,FALSE)</f>
        <v>3623670</v>
      </c>
      <c r="F5214" s="91">
        <f>COUNTIF($E$2:$E$7106,E5214)</f>
        <v>9</v>
      </c>
    </row>
    <row r="5215" spans="1:6" x14ac:dyDescent="0.2">
      <c r="A5215">
        <v>2022</v>
      </c>
      <c r="B5215" s="36">
        <v>2495</v>
      </c>
      <c r="C5215" s="90" t="str">
        <f>VLOOKUP(B5215,'All Districts'!$A$3:$B$874,2,FALSE)</f>
        <v>Potsdam</v>
      </c>
      <c r="D5215" s="82">
        <v>952396</v>
      </c>
      <c r="E5215">
        <f>VLOOKUP(C5215,'All Districts'!$B$3:$C$874,2,FALSE)</f>
        <v>3623670</v>
      </c>
      <c r="F5215" s="91">
        <f>COUNTIF($E$2:$E$7106,E5215)</f>
        <v>9</v>
      </c>
    </row>
    <row r="5216" spans="1:6" x14ac:dyDescent="0.2">
      <c r="A5216">
        <v>2023</v>
      </c>
      <c r="B5216" s="36">
        <v>2495</v>
      </c>
      <c r="C5216" s="90" t="str">
        <f>VLOOKUP(B5216,'All Districts'!$A$3:$B$874,2,FALSE)</f>
        <v>Potsdam</v>
      </c>
      <c r="D5216" s="40">
        <v>1029764</v>
      </c>
      <c r="E5216">
        <f>VLOOKUP(C5216,'All Districts'!$B$3:$C$874,2,FALSE)</f>
        <v>3623670</v>
      </c>
      <c r="F5216" s="91">
        <f>COUNTIF($E$2:$E$7106,E5216)</f>
        <v>9</v>
      </c>
    </row>
    <row r="5217" spans="1:6" x14ac:dyDescent="0.2">
      <c r="A5217">
        <v>2015</v>
      </c>
      <c r="B5217" s="13">
        <v>1225</v>
      </c>
      <c r="C5217" s="90" t="str">
        <f>VLOOKUP(B5217,'All Districts'!$A$3:$B$874,2,FALSE)</f>
        <v>Poughkeepsie</v>
      </c>
      <c r="D5217" s="14">
        <v>6462157</v>
      </c>
      <c r="E5217">
        <f>VLOOKUP(C5217,'All Districts'!$B$3:$C$874,2,FALSE)</f>
        <v>3623760</v>
      </c>
      <c r="F5217" s="91">
        <f>COUNTIF($E$2:$E$7106,E5217)</f>
        <v>9</v>
      </c>
    </row>
    <row r="5218" spans="1:6" x14ac:dyDescent="0.2">
      <c r="A5218">
        <v>2016</v>
      </c>
      <c r="B5218" s="13">
        <v>1225</v>
      </c>
      <c r="C5218" s="90" t="str">
        <f>VLOOKUP(B5218,'All Districts'!$A$3:$B$874,2,FALSE)</f>
        <v>Poughkeepsie</v>
      </c>
      <c r="D5218" s="16">
        <v>4592026</v>
      </c>
      <c r="E5218">
        <f>VLOOKUP(C5218,'All Districts'!$B$3:$C$874,2,FALSE)</f>
        <v>3623760</v>
      </c>
      <c r="F5218" s="91">
        <f>COUNTIF($E$2:$E$7106,E5218)</f>
        <v>9</v>
      </c>
    </row>
    <row r="5219" spans="1:6" x14ac:dyDescent="0.2">
      <c r="A5219">
        <v>2017</v>
      </c>
      <c r="B5219" s="13">
        <v>1225</v>
      </c>
      <c r="C5219" s="90" t="str">
        <f>VLOOKUP(B5219,'All Districts'!$A$3:$B$874,2,FALSE)</f>
        <v>Poughkeepsie</v>
      </c>
      <c r="D5219" s="16">
        <v>4220842</v>
      </c>
      <c r="E5219">
        <f>VLOOKUP(C5219,'All Districts'!$B$3:$C$874,2,FALSE)</f>
        <v>3623760</v>
      </c>
      <c r="F5219" s="91">
        <f>COUNTIF($E$2:$E$7106,E5219)</f>
        <v>9</v>
      </c>
    </row>
    <row r="5220" spans="1:6" x14ac:dyDescent="0.2">
      <c r="A5220" s="10">
        <v>2018</v>
      </c>
      <c r="B5220" s="13">
        <v>1225</v>
      </c>
      <c r="C5220" s="90" t="str">
        <f>VLOOKUP(B5220,'All Districts'!$A$3:$B$874,2,FALSE)</f>
        <v>Poughkeepsie</v>
      </c>
      <c r="D5220" s="15">
        <v>3662213</v>
      </c>
      <c r="E5220">
        <f>VLOOKUP(C5220,'All Districts'!$B$3:$C$874,2,FALSE)</f>
        <v>3623760</v>
      </c>
      <c r="F5220" s="91">
        <f>COUNTIF($E$2:$E$7106,E5220)</f>
        <v>9</v>
      </c>
    </row>
    <row r="5221" spans="1:6" x14ac:dyDescent="0.2">
      <c r="A5221">
        <v>2019</v>
      </c>
      <c r="B5221" s="36">
        <v>1225</v>
      </c>
      <c r="C5221" s="90" t="str">
        <f>VLOOKUP(B5221,'All Districts'!$A$3:$B$874,2,FALSE)</f>
        <v>Poughkeepsie</v>
      </c>
      <c r="D5221" s="40">
        <v>4345094</v>
      </c>
      <c r="E5221">
        <f>VLOOKUP(C5221,'All Districts'!$B$3:$C$874,2,FALSE)</f>
        <v>3623760</v>
      </c>
      <c r="F5221" s="91">
        <f>COUNTIF($E$2:$E$7106,E5221)</f>
        <v>9</v>
      </c>
    </row>
    <row r="5222" spans="1:6" x14ac:dyDescent="0.2">
      <c r="A5222">
        <v>2020</v>
      </c>
      <c r="B5222" s="36">
        <v>1225</v>
      </c>
      <c r="C5222" s="90" t="str">
        <f>VLOOKUP(B5222,'All Districts'!$A$3:$B$874,2,FALSE)</f>
        <v>Poughkeepsie</v>
      </c>
      <c r="D5222" s="40">
        <v>3526280</v>
      </c>
      <c r="E5222">
        <f>VLOOKUP(C5222,'All Districts'!$B$3:$C$874,2,FALSE)</f>
        <v>3623760</v>
      </c>
      <c r="F5222" s="91">
        <f>COUNTIF($E$2:$E$7106,E5222)</f>
        <v>9</v>
      </c>
    </row>
    <row r="5223" spans="1:6" x14ac:dyDescent="0.2">
      <c r="A5223" s="10">
        <v>2021</v>
      </c>
      <c r="B5223" s="52">
        <v>1225</v>
      </c>
      <c r="C5223" s="90" t="str">
        <f>VLOOKUP(B5223,'All Districts'!$A$3:$B$874,2,FALSE)</f>
        <v>Poughkeepsie</v>
      </c>
      <c r="D5223" s="76">
        <v>3566275</v>
      </c>
      <c r="E5223">
        <f>VLOOKUP(C5223,'All Districts'!$B$3:$C$874,2,FALSE)</f>
        <v>3623760</v>
      </c>
      <c r="F5223" s="91">
        <f>COUNTIF($E$2:$E$7106,E5223)</f>
        <v>9</v>
      </c>
    </row>
    <row r="5224" spans="1:6" x14ac:dyDescent="0.2">
      <c r="A5224">
        <v>2022</v>
      </c>
      <c r="B5224" s="36">
        <v>1225</v>
      </c>
      <c r="C5224" s="90" t="str">
        <f>VLOOKUP(B5224,'All Districts'!$A$3:$B$874,2,FALSE)</f>
        <v>Poughkeepsie</v>
      </c>
      <c r="D5224" s="82">
        <v>3845344</v>
      </c>
      <c r="E5224">
        <f>VLOOKUP(C5224,'All Districts'!$B$3:$C$874,2,FALSE)</f>
        <v>3623760</v>
      </c>
      <c r="F5224" s="91">
        <f>COUNTIF($E$2:$E$7106,E5224)</f>
        <v>9</v>
      </c>
    </row>
    <row r="5225" spans="1:6" x14ac:dyDescent="0.2">
      <c r="A5225">
        <v>2023</v>
      </c>
      <c r="B5225" s="36">
        <v>1225</v>
      </c>
      <c r="C5225" s="90" t="str">
        <f>VLOOKUP(B5225,'All Districts'!$A$3:$B$874,2,FALSE)</f>
        <v>Poughkeepsie</v>
      </c>
      <c r="D5225" s="40">
        <v>4316585</v>
      </c>
      <c r="E5225">
        <f>VLOOKUP(C5225,'All Districts'!$B$3:$C$874,2,FALSE)</f>
        <v>3623760</v>
      </c>
      <c r="F5225" s="91">
        <f>COUNTIF($E$2:$E$7106,E5225)</f>
        <v>9</v>
      </c>
    </row>
    <row r="5226" spans="1:6" x14ac:dyDescent="0.2">
      <c r="A5226">
        <v>2015</v>
      </c>
      <c r="B5226" s="13">
        <v>5305</v>
      </c>
      <c r="C5226" s="90" t="str">
        <f>VLOOKUP(B5226,'All Districts'!$A$3:$B$874,2,FALSE)</f>
        <v>Prattsburgh</v>
      </c>
      <c r="D5226" s="14">
        <v>466951</v>
      </c>
      <c r="E5226">
        <f>VLOOKUP(C5226,'All Districts'!$B$3:$C$874,2,FALSE)</f>
        <v>3623790</v>
      </c>
      <c r="F5226" s="91">
        <f>COUNTIF($E$2:$E$7106,E5226)</f>
        <v>9</v>
      </c>
    </row>
    <row r="5227" spans="1:6" x14ac:dyDescent="0.2">
      <c r="A5227">
        <v>2016</v>
      </c>
      <c r="B5227" s="13">
        <v>5305</v>
      </c>
      <c r="C5227" s="90" t="str">
        <f>VLOOKUP(B5227,'All Districts'!$A$3:$B$874,2,FALSE)</f>
        <v>Prattsburgh</v>
      </c>
      <c r="D5227" s="16">
        <v>345395</v>
      </c>
      <c r="E5227">
        <f>VLOOKUP(C5227,'All Districts'!$B$3:$C$874,2,FALSE)</f>
        <v>3623790</v>
      </c>
      <c r="F5227" s="91">
        <f>COUNTIF($E$2:$E$7106,E5227)</f>
        <v>9</v>
      </c>
    </row>
    <row r="5228" spans="1:6" x14ac:dyDescent="0.2">
      <c r="A5228">
        <v>2017</v>
      </c>
      <c r="B5228" s="13">
        <v>5305</v>
      </c>
      <c r="C5228" s="90" t="str">
        <f>VLOOKUP(B5228,'All Districts'!$A$3:$B$874,2,FALSE)</f>
        <v>Prattsburgh</v>
      </c>
      <c r="D5228" s="16">
        <v>311221</v>
      </c>
      <c r="E5228">
        <f>VLOOKUP(C5228,'All Districts'!$B$3:$C$874,2,FALSE)</f>
        <v>3623790</v>
      </c>
      <c r="F5228" s="91">
        <f>COUNTIF($E$2:$E$7106,E5228)</f>
        <v>9</v>
      </c>
    </row>
    <row r="5229" spans="1:6" x14ac:dyDescent="0.2">
      <c r="A5229" s="10">
        <v>2018</v>
      </c>
      <c r="B5229" s="13">
        <v>5305</v>
      </c>
      <c r="C5229" s="90" t="str">
        <f>VLOOKUP(B5229,'All Districts'!$A$3:$B$874,2,FALSE)</f>
        <v>Prattsburgh</v>
      </c>
      <c r="D5229" s="15">
        <v>263016</v>
      </c>
      <c r="E5229">
        <f>VLOOKUP(C5229,'All Districts'!$B$3:$C$874,2,FALSE)</f>
        <v>3623790</v>
      </c>
      <c r="F5229" s="91">
        <f>COUNTIF($E$2:$E$7106,E5229)</f>
        <v>9</v>
      </c>
    </row>
    <row r="5230" spans="1:6" x14ac:dyDescent="0.2">
      <c r="A5230">
        <v>2019</v>
      </c>
      <c r="B5230" s="36">
        <v>5305</v>
      </c>
      <c r="C5230" s="90" t="str">
        <f>VLOOKUP(B5230,'All Districts'!$A$3:$B$874,2,FALSE)</f>
        <v>Prattsburgh</v>
      </c>
      <c r="D5230" s="40">
        <v>293379</v>
      </c>
      <c r="E5230">
        <f>VLOOKUP(C5230,'All Districts'!$B$3:$C$874,2,FALSE)</f>
        <v>3623790</v>
      </c>
      <c r="F5230" s="91">
        <f>COUNTIF($E$2:$E$7106,E5230)</f>
        <v>9</v>
      </c>
    </row>
    <row r="5231" spans="1:6" x14ac:dyDescent="0.2">
      <c r="A5231">
        <v>2020</v>
      </c>
      <c r="B5231" s="36">
        <v>5305</v>
      </c>
      <c r="C5231" s="90" t="str">
        <f>VLOOKUP(B5231,'All Districts'!$A$3:$B$874,2,FALSE)</f>
        <v>Prattsburgh</v>
      </c>
      <c r="D5231" s="40">
        <v>259828</v>
      </c>
      <c r="E5231">
        <f>VLOOKUP(C5231,'All Districts'!$B$3:$C$874,2,FALSE)</f>
        <v>3623790</v>
      </c>
      <c r="F5231" s="91">
        <f>COUNTIF($E$2:$E$7106,E5231)</f>
        <v>9</v>
      </c>
    </row>
    <row r="5232" spans="1:6" x14ac:dyDescent="0.2">
      <c r="A5232" s="10">
        <v>2021</v>
      </c>
      <c r="B5232" s="52">
        <v>5305</v>
      </c>
      <c r="C5232" s="90" t="str">
        <f>VLOOKUP(B5232,'All Districts'!$A$3:$B$874,2,FALSE)</f>
        <v>Prattsburgh</v>
      </c>
      <c r="D5232" s="75">
        <v>275747</v>
      </c>
      <c r="E5232">
        <f>VLOOKUP(C5232,'All Districts'!$B$3:$C$874,2,FALSE)</f>
        <v>3623790</v>
      </c>
      <c r="F5232" s="91">
        <f>COUNTIF($E$2:$E$7106,E5232)</f>
        <v>9</v>
      </c>
    </row>
    <row r="5233" spans="1:6" x14ac:dyDescent="0.2">
      <c r="A5233">
        <v>2022</v>
      </c>
      <c r="B5233" s="36">
        <v>5305</v>
      </c>
      <c r="C5233" s="90" t="str">
        <f>VLOOKUP(B5233,'All Districts'!$A$3:$B$874,2,FALSE)</f>
        <v>Prattsburgh</v>
      </c>
      <c r="D5233" s="82">
        <v>305336</v>
      </c>
      <c r="E5233">
        <f>VLOOKUP(C5233,'All Districts'!$B$3:$C$874,2,FALSE)</f>
        <v>3623790</v>
      </c>
      <c r="F5233" s="91">
        <f>COUNTIF($E$2:$E$7106,E5233)</f>
        <v>9</v>
      </c>
    </row>
    <row r="5234" spans="1:6" x14ac:dyDescent="0.2">
      <c r="A5234">
        <v>2023</v>
      </c>
      <c r="B5234" s="36">
        <v>5305</v>
      </c>
      <c r="C5234" s="90" t="str">
        <f>VLOOKUP(B5234,'All Districts'!$A$3:$B$874,2,FALSE)</f>
        <v>Prattsburgh</v>
      </c>
      <c r="D5234" s="40">
        <v>342685</v>
      </c>
      <c r="E5234">
        <f>VLOOKUP(C5234,'All Districts'!$B$3:$C$874,2,FALSE)</f>
        <v>3623790</v>
      </c>
      <c r="F5234" s="91">
        <f>COUNTIF($E$2:$E$7106,E5234)</f>
        <v>9</v>
      </c>
    </row>
    <row r="5235" spans="1:6" x14ac:dyDescent="0.2">
      <c r="A5235">
        <v>2015</v>
      </c>
      <c r="B5235" s="13">
        <v>3468</v>
      </c>
      <c r="C5235" s="90" t="str">
        <f>VLOOKUP(B5235,'All Districts'!$A$3:$B$874,2,FALSE)</f>
        <v>Putnam</v>
      </c>
      <c r="D5235" s="14">
        <v>95963</v>
      </c>
      <c r="E5235">
        <f>VLOOKUP(C5235,'All Districts'!$B$3:$C$874,2,FALSE)</f>
        <v>3623970</v>
      </c>
      <c r="F5235" s="91">
        <f>COUNTIF($E$2:$E$7106,E5235)</f>
        <v>9</v>
      </c>
    </row>
    <row r="5236" spans="1:6" x14ac:dyDescent="0.2">
      <c r="A5236">
        <v>2016</v>
      </c>
      <c r="B5236" s="13">
        <v>3468</v>
      </c>
      <c r="C5236" s="90" t="str">
        <f>VLOOKUP(B5236,'All Districts'!$A$3:$B$874,2,FALSE)</f>
        <v>Putnam</v>
      </c>
      <c r="D5236" s="16">
        <v>68539</v>
      </c>
      <c r="E5236">
        <f>VLOOKUP(C5236,'All Districts'!$B$3:$C$874,2,FALSE)</f>
        <v>3623970</v>
      </c>
      <c r="F5236" s="91">
        <f>COUNTIF($E$2:$E$7106,E5236)</f>
        <v>9</v>
      </c>
    </row>
    <row r="5237" spans="1:6" x14ac:dyDescent="0.2">
      <c r="A5237">
        <v>2017</v>
      </c>
      <c r="B5237" s="13">
        <v>3468</v>
      </c>
      <c r="C5237" s="90" t="str">
        <f>VLOOKUP(B5237,'All Districts'!$A$3:$B$874,2,FALSE)</f>
        <v>Putnam</v>
      </c>
      <c r="D5237" s="16">
        <v>63966</v>
      </c>
      <c r="E5237">
        <f>VLOOKUP(C5237,'All Districts'!$B$3:$C$874,2,FALSE)</f>
        <v>3623970</v>
      </c>
      <c r="F5237" s="91">
        <f>COUNTIF($E$2:$E$7106,E5237)</f>
        <v>9</v>
      </c>
    </row>
    <row r="5238" spans="1:6" x14ac:dyDescent="0.2">
      <c r="A5238" s="10">
        <v>2018</v>
      </c>
      <c r="B5238" s="13">
        <v>3468</v>
      </c>
      <c r="C5238" s="90" t="str">
        <f>VLOOKUP(B5238,'All Districts'!$A$3:$B$874,2,FALSE)</f>
        <v>Putnam</v>
      </c>
      <c r="D5238" s="15">
        <v>57450</v>
      </c>
      <c r="E5238">
        <f>VLOOKUP(C5238,'All Districts'!$B$3:$C$874,2,FALSE)</f>
        <v>3623970</v>
      </c>
      <c r="F5238" s="91">
        <f>COUNTIF($E$2:$E$7106,E5238)</f>
        <v>9</v>
      </c>
    </row>
    <row r="5239" spans="1:6" x14ac:dyDescent="0.2">
      <c r="A5239">
        <v>2019</v>
      </c>
      <c r="B5239" s="36">
        <v>3468</v>
      </c>
      <c r="C5239" s="90" t="str">
        <f>VLOOKUP(B5239,'All Districts'!$A$3:$B$874,2,FALSE)</f>
        <v>Putnam</v>
      </c>
      <c r="D5239" s="40">
        <v>60748</v>
      </c>
      <c r="E5239">
        <f>VLOOKUP(C5239,'All Districts'!$B$3:$C$874,2,FALSE)</f>
        <v>3623970</v>
      </c>
      <c r="F5239" s="91">
        <f>COUNTIF($E$2:$E$7106,E5239)</f>
        <v>9</v>
      </c>
    </row>
    <row r="5240" spans="1:6" x14ac:dyDescent="0.2">
      <c r="A5240">
        <v>2020</v>
      </c>
      <c r="B5240" s="36">
        <v>3468</v>
      </c>
      <c r="C5240" s="90" t="str">
        <f>VLOOKUP(B5240,'All Districts'!$A$3:$B$874,2,FALSE)</f>
        <v>Putnam</v>
      </c>
      <c r="D5240" s="40">
        <v>49880</v>
      </c>
      <c r="E5240">
        <f>VLOOKUP(C5240,'All Districts'!$B$3:$C$874,2,FALSE)</f>
        <v>3623970</v>
      </c>
      <c r="F5240" s="91">
        <f>COUNTIF($E$2:$E$7106,E5240)</f>
        <v>9</v>
      </c>
    </row>
    <row r="5241" spans="1:6" x14ac:dyDescent="0.2">
      <c r="A5241" s="10">
        <v>2021</v>
      </c>
      <c r="B5241" s="52">
        <v>3468</v>
      </c>
      <c r="C5241" s="90" t="str">
        <f>VLOOKUP(B5241,'All Districts'!$A$3:$B$874,2,FALSE)</f>
        <v>Putnam</v>
      </c>
      <c r="D5241" s="76">
        <v>58552</v>
      </c>
      <c r="E5241">
        <f>VLOOKUP(C5241,'All Districts'!$B$3:$C$874,2,FALSE)</f>
        <v>3623970</v>
      </c>
      <c r="F5241" s="91">
        <f>COUNTIF($E$2:$E$7106,E5241)</f>
        <v>9</v>
      </c>
    </row>
    <row r="5242" spans="1:6" x14ac:dyDescent="0.2">
      <c r="A5242">
        <v>2022</v>
      </c>
      <c r="B5242" s="36">
        <v>3468</v>
      </c>
      <c r="C5242" s="90" t="str">
        <f>VLOOKUP(B5242,'All Districts'!$A$3:$B$874,2,FALSE)</f>
        <v>Putnam</v>
      </c>
      <c r="D5242" s="82">
        <v>61561</v>
      </c>
      <c r="E5242">
        <f>VLOOKUP(C5242,'All Districts'!$B$3:$C$874,2,FALSE)</f>
        <v>3623970</v>
      </c>
      <c r="F5242" s="91">
        <f>COUNTIF($E$2:$E$7106,E5242)</f>
        <v>9</v>
      </c>
    </row>
    <row r="5243" spans="1:6" x14ac:dyDescent="0.2">
      <c r="A5243">
        <v>2023</v>
      </c>
      <c r="B5243" s="36">
        <v>3468</v>
      </c>
      <c r="C5243" s="90" t="str">
        <f>VLOOKUP(B5243,'All Districts'!$A$3:$B$874,2,FALSE)</f>
        <v>Putnam</v>
      </c>
      <c r="D5243" s="40">
        <v>73643</v>
      </c>
      <c r="E5243">
        <f>VLOOKUP(C5243,'All Districts'!$B$3:$C$874,2,FALSE)</f>
        <v>3623970</v>
      </c>
      <c r="F5243" s="91">
        <f>COUNTIF($E$2:$E$7106,E5243)</f>
        <v>9</v>
      </c>
    </row>
    <row r="5244" spans="1:6" x14ac:dyDescent="0.2">
      <c r="A5244">
        <v>2015</v>
      </c>
      <c r="B5244" s="13">
        <v>4857</v>
      </c>
      <c r="C5244" s="90" t="str">
        <f>VLOOKUP(B5244,'All Districts'!$A$3:$B$874,2,FALSE)</f>
        <v>Putnam Valley</v>
      </c>
      <c r="D5244" s="14">
        <v>2900821</v>
      </c>
      <c r="E5244">
        <f>VLOOKUP(C5244,'All Districts'!$B$3:$C$874,2,FALSE)</f>
        <v>3624000</v>
      </c>
      <c r="F5244" s="91">
        <f>COUNTIF($E$2:$E$7106,E5244)</f>
        <v>9</v>
      </c>
    </row>
    <row r="5245" spans="1:6" x14ac:dyDescent="0.2">
      <c r="A5245">
        <v>2016</v>
      </c>
      <c r="B5245" s="13">
        <v>4857</v>
      </c>
      <c r="C5245" s="90" t="str">
        <f>VLOOKUP(B5245,'All Districts'!$A$3:$B$874,2,FALSE)</f>
        <v>Putnam Valley</v>
      </c>
      <c r="D5245" s="16">
        <v>2313748</v>
      </c>
      <c r="E5245">
        <f>VLOOKUP(C5245,'All Districts'!$B$3:$C$874,2,FALSE)</f>
        <v>3624000</v>
      </c>
      <c r="F5245" s="91">
        <f>COUNTIF($E$2:$E$7106,E5245)</f>
        <v>9</v>
      </c>
    </row>
    <row r="5246" spans="1:6" x14ac:dyDescent="0.2">
      <c r="A5246">
        <v>2017</v>
      </c>
      <c r="B5246" s="13">
        <v>4857</v>
      </c>
      <c r="C5246" s="90" t="str">
        <f>VLOOKUP(B5246,'All Districts'!$A$3:$B$874,2,FALSE)</f>
        <v>Putnam Valley</v>
      </c>
      <c r="D5246" s="16">
        <v>2191308</v>
      </c>
      <c r="E5246">
        <f>VLOOKUP(C5246,'All Districts'!$B$3:$C$874,2,FALSE)</f>
        <v>3624000</v>
      </c>
      <c r="F5246" s="91">
        <f>COUNTIF($E$2:$E$7106,E5246)</f>
        <v>9</v>
      </c>
    </row>
    <row r="5247" spans="1:6" x14ac:dyDescent="0.2">
      <c r="A5247" s="10">
        <v>2018</v>
      </c>
      <c r="B5247" s="13">
        <v>4857</v>
      </c>
      <c r="C5247" s="90" t="str">
        <f>VLOOKUP(B5247,'All Districts'!$A$3:$B$874,2,FALSE)</f>
        <v>Putnam Valley</v>
      </c>
      <c r="D5247" s="15">
        <v>1933616</v>
      </c>
      <c r="E5247">
        <f>VLOOKUP(C5247,'All Districts'!$B$3:$C$874,2,FALSE)</f>
        <v>3624000</v>
      </c>
      <c r="F5247" s="91">
        <f>COUNTIF($E$2:$E$7106,E5247)</f>
        <v>9</v>
      </c>
    </row>
    <row r="5248" spans="1:6" x14ac:dyDescent="0.2">
      <c r="A5248">
        <v>2019</v>
      </c>
      <c r="B5248" s="36">
        <v>4857</v>
      </c>
      <c r="C5248" s="90" t="str">
        <f>VLOOKUP(B5248,'All Districts'!$A$3:$B$874,2,FALSE)</f>
        <v>Putnam Valley</v>
      </c>
      <c r="D5248" s="40">
        <v>2116190</v>
      </c>
      <c r="E5248">
        <f>VLOOKUP(C5248,'All Districts'!$B$3:$C$874,2,FALSE)</f>
        <v>3624000</v>
      </c>
      <c r="F5248" s="91">
        <f>COUNTIF($E$2:$E$7106,E5248)</f>
        <v>9</v>
      </c>
    </row>
    <row r="5249" spans="1:6" x14ac:dyDescent="0.2">
      <c r="A5249">
        <v>2020</v>
      </c>
      <c r="B5249" s="36">
        <v>4857</v>
      </c>
      <c r="C5249" s="90" t="str">
        <f>VLOOKUP(B5249,'All Districts'!$A$3:$B$874,2,FALSE)</f>
        <v>Putnam Valley</v>
      </c>
      <c r="D5249" s="40">
        <v>1764710</v>
      </c>
      <c r="E5249">
        <f>VLOOKUP(C5249,'All Districts'!$B$3:$C$874,2,FALSE)</f>
        <v>3624000</v>
      </c>
      <c r="F5249" s="91">
        <f>COUNTIF($E$2:$E$7106,E5249)</f>
        <v>9</v>
      </c>
    </row>
    <row r="5250" spans="1:6" x14ac:dyDescent="0.2">
      <c r="A5250" s="10">
        <v>2021</v>
      </c>
      <c r="B5250" s="52">
        <v>4857</v>
      </c>
      <c r="C5250" s="90" t="str">
        <f>VLOOKUP(B5250,'All Districts'!$A$3:$B$874,2,FALSE)</f>
        <v>Putnam Valley</v>
      </c>
      <c r="D5250" s="76">
        <v>1883828</v>
      </c>
      <c r="E5250">
        <f>VLOOKUP(C5250,'All Districts'!$B$3:$C$874,2,FALSE)</f>
        <v>3624000</v>
      </c>
      <c r="F5250" s="91">
        <f>COUNTIF($E$2:$E$7106,E5250)</f>
        <v>9</v>
      </c>
    </row>
    <row r="5251" spans="1:6" x14ac:dyDescent="0.2">
      <c r="A5251">
        <v>2022</v>
      </c>
      <c r="B5251" s="36">
        <v>4857</v>
      </c>
      <c r="C5251" s="90" t="str">
        <f>VLOOKUP(B5251,'All Districts'!$A$3:$B$874,2,FALSE)</f>
        <v>Putnam Valley</v>
      </c>
      <c r="D5251" s="82">
        <v>1969906</v>
      </c>
      <c r="E5251">
        <f>VLOOKUP(C5251,'All Districts'!$B$3:$C$874,2,FALSE)</f>
        <v>3624000</v>
      </c>
      <c r="F5251" s="91">
        <f>COUNTIF($E$2:$E$7106,E5251)</f>
        <v>9</v>
      </c>
    </row>
    <row r="5252" spans="1:6" x14ac:dyDescent="0.2">
      <c r="A5252">
        <v>2023</v>
      </c>
      <c r="B5252" s="36">
        <v>4857</v>
      </c>
      <c r="C5252" s="90" t="str">
        <f>VLOOKUP(B5252,'All Districts'!$A$3:$B$874,2,FALSE)</f>
        <v>Putnam Valley</v>
      </c>
      <c r="D5252" s="40">
        <v>2150177</v>
      </c>
      <c r="E5252">
        <f>VLOOKUP(C5252,'All Districts'!$B$3:$C$874,2,FALSE)</f>
        <v>3624000</v>
      </c>
      <c r="F5252" s="91">
        <f>COUNTIF($E$2:$E$7106,E5252)</f>
        <v>9</v>
      </c>
    </row>
    <row r="5253" spans="1:6" x14ac:dyDescent="0.2">
      <c r="A5253">
        <v>2015</v>
      </c>
      <c r="B5253" s="13">
        <v>6074</v>
      </c>
      <c r="C5253" s="90" t="str">
        <f>VLOOKUP(B5253,'All Districts'!$A$3:$B$874,2,FALSE)</f>
        <v>Putnam-Westchester (Putnam-Northern Westchester)</v>
      </c>
      <c r="D5253" s="15">
        <v>3701442</v>
      </c>
      <c r="E5253">
        <f>VLOOKUP(C5253,'All Districts'!$B$3:$C$874,2,FALSE)</f>
        <v>3680680</v>
      </c>
      <c r="F5253" s="91">
        <f>COUNTIF($E$2:$E$7106,E5253)</f>
        <v>9</v>
      </c>
    </row>
    <row r="5254" spans="1:6" x14ac:dyDescent="0.2">
      <c r="A5254">
        <v>2016</v>
      </c>
      <c r="B5254" s="13">
        <v>6074</v>
      </c>
      <c r="C5254" s="90" t="str">
        <f>VLOOKUP(B5254,'All Districts'!$A$3:$B$874,2,FALSE)</f>
        <v>Putnam-Westchester (Putnam-Northern Westchester)</v>
      </c>
      <c r="D5254" s="16">
        <v>2841790</v>
      </c>
      <c r="E5254">
        <f>VLOOKUP(C5254,'All Districts'!$B$3:$C$874,2,FALSE)</f>
        <v>3680680</v>
      </c>
      <c r="F5254" s="91">
        <f>COUNTIF($E$2:$E$7106,E5254)</f>
        <v>9</v>
      </c>
    </row>
    <row r="5255" spans="1:6" x14ac:dyDescent="0.2">
      <c r="A5255">
        <v>2017</v>
      </c>
      <c r="B5255" s="13">
        <v>6074</v>
      </c>
      <c r="C5255" s="90" t="str">
        <f>VLOOKUP(B5255,'All Districts'!$A$3:$B$874,2,FALSE)</f>
        <v>Putnam-Westchester (Putnam-Northern Westchester)</v>
      </c>
      <c r="D5255" s="16">
        <v>2527021</v>
      </c>
      <c r="E5255">
        <f>VLOOKUP(C5255,'All Districts'!$B$3:$C$874,2,FALSE)</f>
        <v>3680680</v>
      </c>
      <c r="F5255" s="91">
        <f>COUNTIF($E$2:$E$7106,E5255)</f>
        <v>9</v>
      </c>
    </row>
    <row r="5256" spans="1:6" x14ac:dyDescent="0.2">
      <c r="A5256" s="10">
        <v>2018</v>
      </c>
      <c r="B5256" s="13">
        <v>6074</v>
      </c>
      <c r="C5256" s="90" t="str">
        <f>VLOOKUP(B5256,'All Districts'!$A$3:$B$874,2,FALSE)</f>
        <v>Putnam-Westchester (Putnam-Northern Westchester)</v>
      </c>
      <c r="D5256" s="15">
        <v>2204733</v>
      </c>
      <c r="E5256">
        <f>VLOOKUP(C5256,'All Districts'!$B$3:$C$874,2,FALSE)</f>
        <v>3680680</v>
      </c>
      <c r="F5256" s="91">
        <f>COUNTIF($E$2:$E$7106,E5256)</f>
        <v>9</v>
      </c>
    </row>
    <row r="5257" spans="1:6" x14ac:dyDescent="0.2">
      <c r="A5257">
        <v>2019</v>
      </c>
      <c r="B5257" s="36">
        <v>6074</v>
      </c>
      <c r="C5257" s="90" t="str">
        <f>VLOOKUP(B5257,'All Districts'!$A$3:$B$874,2,FALSE)</f>
        <v>Putnam-Westchester (Putnam-Northern Westchester)</v>
      </c>
      <c r="D5257" s="40">
        <v>2456387</v>
      </c>
      <c r="E5257">
        <f>VLOOKUP(C5257,'All Districts'!$B$3:$C$874,2,FALSE)</f>
        <v>3680680</v>
      </c>
      <c r="F5257" s="91">
        <f>COUNTIF($E$2:$E$7106,E5257)</f>
        <v>9</v>
      </c>
    </row>
    <row r="5258" spans="1:6" x14ac:dyDescent="0.2">
      <c r="A5258">
        <v>2020</v>
      </c>
      <c r="B5258" s="36">
        <v>6074</v>
      </c>
      <c r="C5258" s="90" t="str">
        <f>VLOOKUP(B5258,'All Districts'!$A$3:$B$874,2,FALSE)</f>
        <v>Putnam-Westchester (Putnam-Northern Westchester)</v>
      </c>
      <c r="D5258" s="40">
        <v>2157330</v>
      </c>
      <c r="E5258">
        <f>VLOOKUP(C5258,'All Districts'!$B$3:$C$874,2,FALSE)</f>
        <v>3680680</v>
      </c>
      <c r="F5258" s="91">
        <f>COUNTIF($E$2:$E$7106,E5258)</f>
        <v>9</v>
      </c>
    </row>
    <row r="5259" spans="1:6" x14ac:dyDescent="0.2">
      <c r="A5259" s="10">
        <v>2021</v>
      </c>
      <c r="B5259" s="55">
        <v>6074</v>
      </c>
      <c r="C5259" s="90" t="str">
        <f>VLOOKUP(B5259,'All Districts'!$A$3:$B$874,2,FALSE)</f>
        <v>Putnam-Westchester (Putnam-Northern Westchester)</v>
      </c>
      <c r="D5259" s="76">
        <v>2317658</v>
      </c>
      <c r="E5259">
        <f>VLOOKUP(C5259,'All Districts'!$B$3:$C$874,2,FALSE)</f>
        <v>3680680</v>
      </c>
      <c r="F5259" s="91">
        <f>COUNTIF($E$2:$E$7106,E5259)</f>
        <v>9</v>
      </c>
    </row>
    <row r="5260" spans="1:6" x14ac:dyDescent="0.2">
      <c r="A5260">
        <v>2022</v>
      </c>
      <c r="B5260" s="36">
        <v>6074</v>
      </c>
      <c r="C5260" s="90" t="str">
        <f>VLOOKUP(B5260,'All Districts'!$A$3:$B$874,2,FALSE)</f>
        <v>Putnam-Westchester (Putnam-Northern Westchester)</v>
      </c>
      <c r="D5260" s="82">
        <v>2368110</v>
      </c>
      <c r="E5260">
        <f>VLOOKUP(C5260,'All Districts'!$B$3:$C$874,2,FALSE)</f>
        <v>3680680</v>
      </c>
      <c r="F5260" s="91">
        <f>COUNTIF($E$2:$E$7106,E5260)</f>
        <v>9</v>
      </c>
    </row>
    <row r="5261" spans="1:6" x14ac:dyDescent="0.2">
      <c r="A5261">
        <v>2023</v>
      </c>
      <c r="B5261" s="36">
        <v>6074</v>
      </c>
      <c r="C5261" s="90" t="str">
        <f>VLOOKUP(B5261,'All Districts'!$A$3:$B$874,2,FALSE)</f>
        <v>Putnam-Westchester (Putnam-Northern Westchester)</v>
      </c>
      <c r="D5261" s="40">
        <v>2566596</v>
      </c>
      <c r="E5261">
        <f>VLOOKUP(C5261,'All Districts'!$B$3:$C$874,2,FALSE)</f>
        <v>3680680</v>
      </c>
      <c r="F5261" s="91">
        <f>COUNTIF($E$2:$E$7106,E5261)</f>
        <v>9</v>
      </c>
    </row>
    <row r="5262" spans="1:6" x14ac:dyDescent="0.2">
      <c r="A5262">
        <v>2015</v>
      </c>
      <c r="B5262" s="13">
        <v>2497</v>
      </c>
      <c r="C5262" s="90" t="str">
        <f>VLOOKUP(B5262,'All Districts'!$A$3:$B$874,2,FALSE)</f>
        <v>Queensbury</v>
      </c>
      <c r="D5262" s="14">
        <v>3530086</v>
      </c>
      <c r="E5262">
        <f>VLOOKUP(C5262,'All Districts'!$B$3:$C$874,2,FALSE)</f>
        <v>3624030</v>
      </c>
      <c r="F5262" s="91">
        <f>COUNTIF($E$2:$E$7106,E5262)</f>
        <v>9</v>
      </c>
    </row>
    <row r="5263" spans="1:6" x14ac:dyDescent="0.2">
      <c r="A5263">
        <v>2016</v>
      </c>
      <c r="B5263" s="13">
        <v>2497</v>
      </c>
      <c r="C5263" s="90" t="str">
        <f>VLOOKUP(B5263,'All Districts'!$A$3:$B$874,2,FALSE)</f>
        <v>Queensbury</v>
      </c>
      <c r="D5263" s="16">
        <v>2720723</v>
      </c>
      <c r="E5263">
        <f>VLOOKUP(C5263,'All Districts'!$B$3:$C$874,2,FALSE)</f>
        <v>3624030</v>
      </c>
      <c r="F5263" s="91">
        <f>COUNTIF($E$2:$E$7106,E5263)</f>
        <v>9</v>
      </c>
    </row>
    <row r="5264" spans="1:6" x14ac:dyDescent="0.2">
      <c r="A5264">
        <v>2017</v>
      </c>
      <c r="B5264" s="13">
        <v>2497</v>
      </c>
      <c r="C5264" s="90" t="str">
        <f>VLOOKUP(B5264,'All Districts'!$A$3:$B$874,2,FALSE)</f>
        <v>Queensbury</v>
      </c>
      <c r="D5264" s="16">
        <v>2430653</v>
      </c>
      <c r="E5264">
        <f>VLOOKUP(C5264,'All Districts'!$B$3:$C$874,2,FALSE)</f>
        <v>3624030</v>
      </c>
      <c r="F5264" s="91">
        <f>COUNTIF($E$2:$E$7106,E5264)</f>
        <v>9</v>
      </c>
    </row>
    <row r="5265" spans="1:6" x14ac:dyDescent="0.2">
      <c r="A5265" s="10">
        <v>2018</v>
      </c>
      <c r="B5265" s="13">
        <v>2497</v>
      </c>
      <c r="C5265" s="90" t="str">
        <f>VLOOKUP(B5265,'All Districts'!$A$3:$B$874,2,FALSE)</f>
        <v>Queensbury</v>
      </c>
      <c r="D5265" s="15">
        <v>2056469</v>
      </c>
      <c r="E5265">
        <f>VLOOKUP(C5265,'All Districts'!$B$3:$C$874,2,FALSE)</f>
        <v>3624030</v>
      </c>
      <c r="F5265" s="91">
        <f>COUNTIF($E$2:$E$7106,E5265)</f>
        <v>9</v>
      </c>
    </row>
    <row r="5266" spans="1:6" x14ac:dyDescent="0.2">
      <c r="A5266">
        <v>2019</v>
      </c>
      <c r="B5266" s="36">
        <v>2497</v>
      </c>
      <c r="C5266" s="90" t="str">
        <f>VLOOKUP(B5266,'All Districts'!$A$3:$B$874,2,FALSE)</f>
        <v>Queensbury</v>
      </c>
      <c r="D5266" s="40">
        <v>2284662</v>
      </c>
      <c r="E5266">
        <f>VLOOKUP(C5266,'All Districts'!$B$3:$C$874,2,FALSE)</f>
        <v>3624030</v>
      </c>
      <c r="F5266" s="91">
        <f>COUNTIF($E$2:$E$7106,E5266)</f>
        <v>9</v>
      </c>
    </row>
    <row r="5267" spans="1:6" x14ac:dyDescent="0.2">
      <c r="A5267">
        <v>2020</v>
      </c>
      <c r="B5267" s="36">
        <v>2497</v>
      </c>
      <c r="C5267" s="90" t="str">
        <f>VLOOKUP(B5267,'All Districts'!$A$3:$B$874,2,FALSE)</f>
        <v>Queensbury</v>
      </c>
      <c r="D5267" s="40">
        <v>1908298</v>
      </c>
      <c r="E5267">
        <f>VLOOKUP(C5267,'All Districts'!$B$3:$C$874,2,FALSE)</f>
        <v>3624030</v>
      </c>
      <c r="F5267" s="91">
        <f>COUNTIF($E$2:$E$7106,E5267)</f>
        <v>9</v>
      </c>
    </row>
    <row r="5268" spans="1:6" x14ac:dyDescent="0.2">
      <c r="A5268" s="10">
        <v>2021</v>
      </c>
      <c r="B5268" s="52">
        <v>2497</v>
      </c>
      <c r="C5268" s="90" t="str">
        <f>VLOOKUP(B5268,'All Districts'!$A$3:$B$874,2,FALSE)</f>
        <v>Queensbury</v>
      </c>
      <c r="D5268" s="75">
        <v>2082169</v>
      </c>
      <c r="E5268">
        <f>VLOOKUP(C5268,'All Districts'!$B$3:$C$874,2,FALSE)</f>
        <v>3624030</v>
      </c>
      <c r="F5268" s="91">
        <f>COUNTIF($E$2:$E$7106,E5268)</f>
        <v>9</v>
      </c>
    </row>
    <row r="5269" spans="1:6" x14ac:dyDescent="0.2">
      <c r="A5269">
        <v>2022</v>
      </c>
      <c r="B5269" s="36">
        <v>2497</v>
      </c>
      <c r="C5269" s="90" t="str">
        <f>VLOOKUP(B5269,'All Districts'!$A$3:$B$874,2,FALSE)</f>
        <v>Queensbury</v>
      </c>
      <c r="D5269" s="82">
        <v>2200544</v>
      </c>
      <c r="E5269">
        <f>VLOOKUP(C5269,'All Districts'!$B$3:$C$874,2,FALSE)</f>
        <v>3624030</v>
      </c>
      <c r="F5269" s="91">
        <f>COUNTIF($E$2:$E$7106,E5269)</f>
        <v>9</v>
      </c>
    </row>
    <row r="5270" spans="1:6" x14ac:dyDescent="0.2">
      <c r="A5270">
        <v>2023</v>
      </c>
      <c r="B5270" s="36">
        <v>2497</v>
      </c>
      <c r="C5270" s="90" t="str">
        <f>VLOOKUP(B5270,'All Districts'!$A$3:$B$874,2,FALSE)</f>
        <v>Queensbury</v>
      </c>
      <c r="D5270" s="40">
        <v>2406924</v>
      </c>
      <c r="E5270">
        <f>VLOOKUP(C5270,'All Districts'!$B$3:$C$874,2,FALSE)</f>
        <v>3624030</v>
      </c>
      <c r="F5270" s="91">
        <f>COUNTIF($E$2:$E$7106,E5270)</f>
        <v>9</v>
      </c>
    </row>
    <row r="5271" spans="1:6" x14ac:dyDescent="0.2">
      <c r="A5271">
        <v>2015</v>
      </c>
      <c r="B5271" s="13">
        <v>5362</v>
      </c>
      <c r="C5271" s="90" t="str">
        <f>VLOOKUP(B5271,'All Districts'!$A$3:$B$874,2,FALSE)</f>
        <v>Quogue</v>
      </c>
      <c r="D5271" s="14">
        <v>426440</v>
      </c>
      <c r="E5271">
        <f>VLOOKUP(C5271,'All Districts'!$B$3:$C$874,2,FALSE)</f>
        <v>3624060</v>
      </c>
      <c r="F5271" s="91">
        <f>COUNTIF($E$2:$E$7106,E5271)</f>
        <v>9</v>
      </c>
    </row>
    <row r="5272" spans="1:6" x14ac:dyDescent="0.2">
      <c r="A5272">
        <v>2016</v>
      </c>
      <c r="B5272" s="13">
        <v>5362</v>
      </c>
      <c r="C5272" s="90" t="str">
        <f>VLOOKUP(B5272,'All Districts'!$A$3:$B$874,2,FALSE)</f>
        <v>Quogue</v>
      </c>
      <c r="D5272" s="16">
        <v>308816</v>
      </c>
      <c r="E5272">
        <f>VLOOKUP(C5272,'All Districts'!$B$3:$C$874,2,FALSE)</f>
        <v>3624060</v>
      </c>
      <c r="F5272" s="91">
        <f>COUNTIF($E$2:$E$7106,E5272)</f>
        <v>9</v>
      </c>
    </row>
    <row r="5273" spans="1:6" x14ac:dyDescent="0.2">
      <c r="A5273">
        <v>2017</v>
      </c>
      <c r="B5273" s="13">
        <v>5362</v>
      </c>
      <c r="C5273" s="90" t="str">
        <f>VLOOKUP(B5273,'All Districts'!$A$3:$B$874,2,FALSE)</f>
        <v>Quogue</v>
      </c>
      <c r="D5273" s="16">
        <v>281683</v>
      </c>
      <c r="E5273">
        <f>VLOOKUP(C5273,'All Districts'!$B$3:$C$874,2,FALSE)</f>
        <v>3624060</v>
      </c>
      <c r="F5273" s="91">
        <f>COUNTIF($E$2:$E$7106,E5273)</f>
        <v>9</v>
      </c>
    </row>
    <row r="5274" spans="1:6" x14ac:dyDescent="0.2">
      <c r="A5274" s="10">
        <v>2018</v>
      </c>
      <c r="B5274" s="13">
        <v>5362</v>
      </c>
      <c r="C5274" s="90" t="str">
        <f>VLOOKUP(B5274,'All Districts'!$A$3:$B$874,2,FALSE)</f>
        <v>Quogue</v>
      </c>
      <c r="D5274" s="15">
        <v>258868</v>
      </c>
      <c r="E5274">
        <f>VLOOKUP(C5274,'All Districts'!$B$3:$C$874,2,FALSE)</f>
        <v>3624060</v>
      </c>
      <c r="F5274" s="91">
        <f>COUNTIF($E$2:$E$7106,E5274)</f>
        <v>9</v>
      </c>
    </row>
    <row r="5275" spans="1:6" x14ac:dyDescent="0.2">
      <c r="A5275">
        <v>2019</v>
      </c>
      <c r="B5275" s="36">
        <v>5362</v>
      </c>
      <c r="C5275" s="90" t="str">
        <f>VLOOKUP(B5275,'All Districts'!$A$3:$B$874,2,FALSE)</f>
        <v>Quogue</v>
      </c>
      <c r="D5275" s="40">
        <v>307823</v>
      </c>
      <c r="E5275">
        <f>VLOOKUP(C5275,'All Districts'!$B$3:$C$874,2,FALSE)</f>
        <v>3624060</v>
      </c>
      <c r="F5275" s="91">
        <f>COUNTIF($E$2:$E$7106,E5275)</f>
        <v>9</v>
      </c>
    </row>
    <row r="5276" spans="1:6" x14ac:dyDescent="0.2">
      <c r="A5276">
        <v>2020</v>
      </c>
      <c r="B5276" s="36">
        <v>5362</v>
      </c>
      <c r="C5276" s="90" t="str">
        <f>VLOOKUP(B5276,'All Districts'!$A$3:$B$874,2,FALSE)</f>
        <v>Quogue</v>
      </c>
      <c r="D5276" s="40">
        <v>260455</v>
      </c>
      <c r="E5276">
        <f>VLOOKUP(C5276,'All Districts'!$B$3:$C$874,2,FALSE)</f>
        <v>3624060</v>
      </c>
      <c r="F5276" s="91">
        <f>COUNTIF($E$2:$E$7106,E5276)</f>
        <v>9</v>
      </c>
    </row>
    <row r="5277" spans="1:6" x14ac:dyDescent="0.2">
      <c r="A5277" s="10">
        <v>2021</v>
      </c>
      <c r="B5277" s="52">
        <v>5362</v>
      </c>
      <c r="C5277" s="90" t="str">
        <f>VLOOKUP(B5277,'All Districts'!$A$3:$B$874,2,FALSE)</f>
        <v>Quogue</v>
      </c>
      <c r="D5277" s="76">
        <v>304718</v>
      </c>
      <c r="E5277">
        <f>VLOOKUP(C5277,'All Districts'!$B$3:$C$874,2,FALSE)</f>
        <v>3624060</v>
      </c>
      <c r="F5277" s="91">
        <f>COUNTIF($E$2:$E$7106,E5277)</f>
        <v>9</v>
      </c>
    </row>
    <row r="5278" spans="1:6" x14ac:dyDescent="0.2">
      <c r="A5278">
        <v>2022</v>
      </c>
      <c r="B5278" s="36">
        <v>5362</v>
      </c>
      <c r="C5278" s="90" t="str">
        <f>VLOOKUP(B5278,'All Districts'!$A$3:$B$874,2,FALSE)</f>
        <v>Quogue</v>
      </c>
      <c r="D5278" s="82">
        <v>303041</v>
      </c>
      <c r="E5278">
        <f>VLOOKUP(C5278,'All Districts'!$B$3:$C$874,2,FALSE)</f>
        <v>3624060</v>
      </c>
      <c r="F5278" s="91">
        <f>COUNTIF($E$2:$E$7106,E5278)</f>
        <v>9</v>
      </c>
    </row>
    <row r="5279" spans="1:6" x14ac:dyDescent="0.2">
      <c r="A5279">
        <v>2023</v>
      </c>
      <c r="B5279" s="36">
        <v>5362</v>
      </c>
      <c r="C5279" s="90" t="str">
        <f>VLOOKUP(B5279,'All Districts'!$A$3:$B$874,2,FALSE)</f>
        <v>Quogue</v>
      </c>
      <c r="D5279" s="40">
        <v>328101</v>
      </c>
      <c r="E5279">
        <f>VLOOKUP(C5279,'All Districts'!$B$3:$C$874,2,FALSE)</f>
        <v>3624060</v>
      </c>
      <c r="F5279" s="91">
        <f>COUNTIF($E$2:$E$7106,E5279)</f>
        <v>9</v>
      </c>
    </row>
    <row r="5280" spans="1:6" x14ac:dyDescent="0.2">
      <c r="A5280">
        <v>2015</v>
      </c>
      <c r="B5280" s="13">
        <v>2580</v>
      </c>
      <c r="C5280" s="90" t="str">
        <f>VLOOKUP(B5280,'All Districts'!$A$3:$B$874,2,FALSE)</f>
        <v>Ramapo</v>
      </c>
      <c r="D5280" s="14">
        <v>8262884</v>
      </c>
      <c r="E5280">
        <f>VLOOKUP(C5280,'All Districts'!$B$3:$C$874,2,FALSE)</f>
        <v>3628320</v>
      </c>
      <c r="F5280" s="91">
        <f>COUNTIF($E$2:$E$7106,E5280)</f>
        <v>9</v>
      </c>
    </row>
    <row r="5281" spans="1:6" x14ac:dyDescent="0.2">
      <c r="A5281">
        <v>2016</v>
      </c>
      <c r="B5281" s="13">
        <v>2580</v>
      </c>
      <c r="C5281" s="90" t="str">
        <f>VLOOKUP(B5281,'All Districts'!$A$3:$B$874,2,FALSE)</f>
        <v>Ramapo</v>
      </c>
      <c r="D5281" s="16">
        <v>6497549</v>
      </c>
      <c r="E5281">
        <f>VLOOKUP(C5281,'All Districts'!$B$3:$C$874,2,FALSE)</f>
        <v>3628320</v>
      </c>
      <c r="F5281" s="91">
        <f>COUNTIF($E$2:$E$7106,E5281)</f>
        <v>9</v>
      </c>
    </row>
    <row r="5282" spans="1:6" x14ac:dyDescent="0.2">
      <c r="A5282">
        <v>2017</v>
      </c>
      <c r="B5282" s="13">
        <v>2580</v>
      </c>
      <c r="C5282" s="90" t="str">
        <f>VLOOKUP(B5282,'All Districts'!$A$3:$B$874,2,FALSE)</f>
        <v>Ramapo</v>
      </c>
      <c r="D5282" s="16">
        <v>5942132</v>
      </c>
      <c r="E5282">
        <f>VLOOKUP(C5282,'All Districts'!$B$3:$C$874,2,FALSE)</f>
        <v>3628320</v>
      </c>
      <c r="F5282" s="91">
        <f>COUNTIF($E$2:$E$7106,E5282)</f>
        <v>9</v>
      </c>
    </row>
    <row r="5283" spans="1:6" x14ac:dyDescent="0.2">
      <c r="A5283" s="10">
        <v>2018</v>
      </c>
      <c r="B5283" s="13">
        <v>2580</v>
      </c>
      <c r="C5283" s="90" t="str">
        <f>VLOOKUP(B5283,'All Districts'!$A$3:$B$874,2,FALSE)</f>
        <v>Ramapo</v>
      </c>
      <c r="D5283" s="15">
        <v>5113118</v>
      </c>
      <c r="E5283">
        <f>VLOOKUP(C5283,'All Districts'!$B$3:$C$874,2,FALSE)</f>
        <v>3628320</v>
      </c>
      <c r="F5283" s="91">
        <f>COUNTIF($E$2:$E$7106,E5283)</f>
        <v>9</v>
      </c>
    </row>
    <row r="5284" spans="1:6" x14ac:dyDescent="0.2">
      <c r="A5284">
        <v>2019</v>
      </c>
      <c r="B5284" s="36">
        <v>2580</v>
      </c>
      <c r="C5284" s="90" t="str">
        <f>VLOOKUP(B5284,'All Districts'!$A$3:$B$874,2,FALSE)</f>
        <v>Ramapo</v>
      </c>
      <c r="D5284" s="40">
        <v>5642841</v>
      </c>
      <c r="E5284">
        <f>VLOOKUP(C5284,'All Districts'!$B$3:$C$874,2,FALSE)</f>
        <v>3628320</v>
      </c>
      <c r="F5284" s="91">
        <f>COUNTIF($E$2:$E$7106,E5284)</f>
        <v>9</v>
      </c>
    </row>
    <row r="5285" spans="1:6" x14ac:dyDescent="0.2">
      <c r="A5285">
        <v>2020</v>
      </c>
      <c r="B5285" s="36">
        <v>2580</v>
      </c>
      <c r="C5285" s="90" t="str">
        <f>VLOOKUP(B5285,'All Districts'!$A$3:$B$874,2,FALSE)</f>
        <v>Ramapo</v>
      </c>
      <c r="D5285" s="40">
        <v>4779212</v>
      </c>
      <c r="E5285">
        <f>VLOOKUP(C5285,'All Districts'!$B$3:$C$874,2,FALSE)</f>
        <v>3628320</v>
      </c>
      <c r="F5285" s="91">
        <f>COUNTIF($E$2:$E$7106,E5285)</f>
        <v>9</v>
      </c>
    </row>
    <row r="5286" spans="1:6" x14ac:dyDescent="0.2">
      <c r="A5286" s="10">
        <v>2021</v>
      </c>
      <c r="B5286" s="52">
        <v>2580</v>
      </c>
      <c r="C5286" s="90" t="str">
        <f>VLOOKUP(B5286,'All Districts'!$A$3:$B$874,2,FALSE)</f>
        <v>Ramapo</v>
      </c>
      <c r="D5286" s="76">
        <v>5259700</v>
      </c>
      <c r="E5286">
        <f>VLOOKUP(C5286,'All Districts'!$B$3:$C$874,2,FALSE)</f>
        <v>3628320</v>
      </c>
      <c r="F5286" s="91">
        <f>COUNTIF($E$2:$E$7106,E5286)</f>
        <v>9</v>
      </c>
    </row>
    <row r="5287" spans="1:6" x14ac:dyDescent="0.2">
      <c r="A5287">
        <v>2022</v>
      </c>
      <c r="B5287" s="36">
        <v>2580</v>
      </c>
      <c r="C5287" s="90" t="str">
        <f>VLOOKUP(B5287,'All Districts'!$A$3:$B$874,2,FALSE)</f>
        <v>Ramapo</v>
      </c>
      <c r="D5287" s="82">
        <v>5467905</v>
      </c>
      <c r="E5287">
        <f>VLOOKUP(C5287,'All Districts'!$B$3:$C$874,2,FALSE)</f>
        <v>3628320</v>
      </c>
      <c r="F5287" s="91">
        <f>COUNTIF($E$2:$E$7106,E5287)</f>
        <v>9</v>
      </c>
    </row>
    <row r="5288" spans="1:6" x14ac:dyDescent="0.2">
      <c r="A5288">
        <v>2023</v>
      </c>
      <c r="B5288" s="36">
        <v>2580</v>
      </c>
      <c r="C5288" s="90" t="str">
        <f>VLOOKUP(B5288,'All Districts'!$A$3:$B$874,2,FALSE)</f>
        <v>Ramapo</v>
      </c>
      <c r="D5288" s="40">
        <v>5973514</v>
      </c>
      <c r="E5288">
        <f>VLOOKUP(C5288,'All Districts'!$B$3:$C$874,2,FALSE)</f>
        <v>3628320</v>
      </c>
      <c r="F5288" s="91">
        <f>COUNTIF($E$2:$E$7106,E5288)</f>
        <v>9</v>
      </c>
    </row>
    <row r="5289" spans="1:6" x14ac:dyDescent="0.2">
      <c r="A5289">
        <v>2015</v>
      </c>
      <c r="B5289" s="13">
        <v>3231</v>
      </c>
      <c r="C5289" s="90" t="str">
        <f>VLOOKUP(B5289,'All Districts'!$A$3:$B$874,2,FALSE)</f>
        <v>Randolph</v>
      </c>
      <c r="D5289" s="14">
        <v>1108157</v>
      </c>
      <c r="E5289">
        <f>VLOOKUP(C5289,'All Districts'!$B$3:$C$874,2,FALSE)</f>
        <v>3624090</v>
      </c>
      <c r="F5289" s="91">
        <f>COUNTIF($E$2:$E$7106,E5289)</f>
        <v>9</v>
      </c>
    </row>
    <row r="5290" spans="1:6" x14ac:dyDescent="0.2">
      <c r="A5290">
        <v>2016</v>
      </c>
      <c r="B5290" s="13">
        <v>3231</v>
      </c>
      <c r="C5290" s="90" t="str">
        <f>VLOOKUP(B5290,'All Districts'!$A$3:$B$874,2,FALSE)</f>
        <v>Randolph</v>
      </c>
      <c r="D5290" s="16">
        <v>842586</v>
      </c>
      <c r="E5290">
        <f>VLOOKUP(C5290,'All Districts'!$B$3:$C$874,2,FALSE)</f>
        <v>3624090</v>
      </c>
      <c r="F5290" s="91">
        <f>COUNTIF($E$2:$E$7106,E5290)</f>
        <v>9</v>
      </c>
    </row>
    <row r="5291" spans="1:6" x14ac:dyDescent="0.2">
      <c r="A5291">
        <v>2017</v>
      </c>
      <c r="B5291" s="13">
        <v>3231</v>
      </c>
      <c r="C5291" s="90" t="str">
        <f>VLOOKUP(B5291,'All Districts'!$A$3:$B$874,2,FALSE)</f>
        <v>Randolph</v>
      </c>
      <c r="D5291" s="16">
        <v>756954</v>
      </c>
      <c r="E5291">
        <f>VLOOKUP(C5291,'All Districts'!$B$3:$C$874,2,FALSE)</f>
        <v>3624090</v>
      </c>
      <c r="F5291" s="91">
        <f>COUNTIF($E$2:$E$7106,E5291)</f>
        <v>9</v>
      </c>
    </row>
    <row r="5292" spans="1:6" x14ac:dyDescent="0.2">
      <c r="A5292" s="10">
        <v>2018</v>
      </c>
      <c r="B5292" s="13">
        <v>3231</v>
      </c>
      <c r="C5292" s="90" t="str">
        <f>VLOOKUP(B5292,'All Districts'!$A$3:$B$874,2,FALSE)</f>
        <v>Randolph</v>
      </c>
      <c r="D5292" s="15">
        <v>668024</v>
      </c>
      <c r="E5292">
        <f>VLOOKUP(C5292,'All Districts'!$B$3:$C$874,2,FALSE)</f>
        <v>3624090</v>
      </c>
      <c r="F5292" s="91">
        <f>COUNTIF($E$2:$E$7106,E5292)</f>
        <v>9</v>
      </c>
    </row>
    <row r="5293" spans="1:6" x14ac:dyDescent="0.2">
      <c r="A5293">
        <v>2019</v>
      </c>
      <c r="B5293" s="36">
        <v>3231</v>
      </c>
      <c r="C5293" s="90" t="str">
        <f>VLOOKUP(B5293,'All Districts'!$A$3:$B$874,2,FALSE)</f>
        <v>Randolph</v>
      </c>
      <c r="D5293" s="40">
        <v>737064</v>
      </c>
      <c r="E5293">
        <f>VLOOKUP(C5293,'All Districts'!$B$3:$C$874,2,FALSE)</f>
        <v>3624090</v>
      </c>
      <c r="F5293" s="91">
        <f>COUNTIF($E$2:$E$7106,E5293)</f>
        <v>9</v>
      </c>
    </row>
    <row r="5294" spans="1:6" x14ac:dyDescent="0.2">
      <c r="A5294">
        <v>2020</v>
      </c>
      <c r="B5294" s="36">
        <v>3231</v>
      </c>
      <c r="C5294" s="90" t="str">
        <f>VLOOKUP(B5294,'All Districts'!$A$3:$B$874,2,FALSE)</f>
        <v>Randolph</v>
      </c>
      <c r="D5294" s="40">
        <v>615994</v>
      </c>
      <c r="E5294">
        <f>VLOOKUP(C5294,'All Districts'!$B$3:$C$874,2,FALSE)</f>
        <v>3624090</v>
      </c>
      <c r="F5294" s="91">
        <f>COUNTIF($E$2:$E$7106,E5294)</f>
        <v>9</v>
      </c>
    </row>
    <row r="5295" spans="1:6" x14ac:dyDescent="0.2">
      <c r="A5295" s="10">
        <v>2021</v>
      </c>
      <c r="B5295" s="52">
        <v>3231</v>
      </c>
      <c r="C5295" s="90" t="str">
        <f>VLOOKUP(B5295,'All Districts'!$A$3:$B$874,2,FALSE)</f>
        <v>Randolph</v>
      </c>
      <c r="D5295" s="76">
        <v>659719</v>
      </c>
      <c r="E5295">
        <f>VLOOKUP(C5295,'All Districts'!$B$3:$C$874,2,FALSE)</f>
        <v>3624090</v>
      </c>
      <c r="F5295" s="91">
        <f>COUNTIF($E$2:$E$7106,E5295)</f>
        <v>9</v>
      </c>
    </row>
    <row r="5296" spans="1:6" x14ac:dyDescent="0.2">
      <c r="A5296">
        <v>2022</v>
      </c>
      <c r="B5296" s="36">
        <v>3231</v>
      </c>
      <c r="C5296" s="90" t="str">
        <f>VLOOKUP(B5296,'All Districts'!$A$3:$B$874,2,FALSE)</f>
        <v>Randolph</v>
      </c>
      <c r="D5296" s="82">
        <v>691794</v>
      </c>
      <c r="E5296">
        <f>VLOOKUP(C5296,'All Districts'!$B$3:$C$874,2,FALSE)</f>
        <v>3624090</v>
      </c>
      <c r="F5296" s="91">
        <f>COUNTIF($E$2:$E$7106,E5296)</f>
        <v>9</v>
      </c>
    </row>
    <row r="5297" spans="1:6" x14ac:dyDescent="0.2">
      <c r="A5297">
        <v>2023</v>
      </c>
      <c r="B5297" s="36">
        <v>3231</v>
      </c>
      <c r="C5297" s="90" t="str">
        <f>VLOOKUP(B5297,'All Districts'!$A$3:$B$874,2,FALSE)</f>
        <v>Randolph</v>
      </c>
      <c r="D5297" s="40">
        <v>771694</v>
      </c>
      <c r="E5297">
        <f>VLOOKUP(C5297,'All Districts'!$B$3:$C$874,2,FALSE)</f>
        <v>3624090</v>
      </c>
      <c r="F5297" s="91">
        <f>COUNTIF($E$2:$E$7106,E5297)</f>
        <v>9</v>
      </c>
    </row>
    <row r="5298" spans="1:6" x14ac:dyDescent="0.2">
      <c r="A5298">
        <v>2015</v>
      </c>
      <c r="B5298" s="13">
        <v>3232</v>
      </c>
      <c r="C5298" s="90" t="str">
        <f>VLOOKUP(B5298,'All Districts'!$A$3:$B$874,2,FALSE)</f>
        <v>Randolph Academy</v>
      </c>
      <c r="D5298" s="14">
        <v>525570</v>
      </c>
      <c r="E5298">
        <f>VLOOKUP(C5298,'All Districts'!$B$3:$C$874,2,FALSE)</f>
        <v>3607440</v>
      </c>
      <c r="F5298" s="91">
        <f>COUNTIF($E$2:$E$7106,E5298)</f>
        <v>9</v>
      </c>
    </row>
    <row r="5299" spans="1:6" x14ac:dyDescent="0.2">
      <c r="A5299">
        <v>2016</v>
      </c>
      <c r="B5299" s="13">
        <v>3232</v>
      </c>
      <c r="C5299" s="90" t="str">
        <f>VLOOKUP(B5299,'All Districts'!$A$3:$B$874,2,FALSE)</f>
        <v>Randolph Academy</v>
      </c>
      <c r="D5299" s="16">
        <v>411450</v>
      </c>
      <c r="E5299">
        <f>VLOOKUP(C5299,'All Districts'!$B$3:$C$874,2,FALSE)</f>
        <v>3607440</v>
      </c>
      <c r="F5299" s="91">
        <f>COUNTIF($E$2:$E$7106,E5299)</f>
        <v>9</v>
      </c>
    </row>
    <row r="5300" spans="1:6" x14ac:dyDescent="0.2">
      <c r="A5300">
        <v>2017</v>
      </c>
      <c r="B5300" s="13">
        <v>3232</v>
      </c>
      <c r="C5300" s="90" t="str">
        <f>VLOOKUP(B5300,'All Districts'!$A$3:$B$874,2,FALSE)</f>
        <v>Randolph Academy</v>
      </c>
      <c r="D5300" s="16">
        <v>380455</v>
      </c>
      <c r="E5300">
        <f>VLOOKUP(C5300,'All Districts'!$B$3:$C$874,2,FALSE)</f>
        <v>3607440</v>
      </c>
      <c r="F5300" s="91">
        <f>COUNTIF($E$2:$E$7106,E5300)</f>
        <v>9</v>
      </c>
    </row>
    <row r="5301" spans="1:6" x14ac:dyDescent="0.2">
      <c r="A5301" s="10">
        <v>2018</v>
      </c>
      <c r="B5301" s="13">
        <v>3232</v>
      </c>
      <c r="C5301" s="90" t="str">
        <f>VLOOKUP(B5301,'All Districts'!$A$3:$B$874,2,FALSE)</f>
        <v>Randolph Academy</v>
      </c>
      <c r="D5301" s="15">
        <v>330575</v>
      </c>
      <c r="E5301">
        <f>VLOOKUP(C5301,'All Districts'!$B$3:$C$874,2,FALSE)</f>
        <v>3607440</v>
      </c>
      <c r="F5301" s="91">
        <f>COUNTIF($E$2:$E$7106,E5301)</f>
        <v>9</v>
      </c>
    </row>
    <row r="5302" spans="1:6" x14ac:dyDescent="0.2">
      <c r="A5302">
        <v>2019</v>
      </c>
      <c r="B5302" s="36">
        <v>3232</v>
      </c>
      <c r="C5302" s="90" t="str">
        <f>VLOOKUP(B5302,'All Districts'!$A$3:$B$874,2,FALSE)</f>
        <v>Randolph Academy</v>
      </c>
      <c r="D5302" s="40">
        <v>352029</v>
      </c>
      <c r="E5302">
        <f>VLOOKUP(C5302,'All Districts'!$B$3:$C$874,2,FALSE)</f>
        <v>3607440</v>
      </c>
      <c r="F5302" s="91">
        <f>COUNTIF($E$2:$E$7106,E5302)</f>
        <v>9</v>
      </c>
    </row>
    <row r="5303" spans="1:6" x14ac:dyDescent="0.2">
      <c r="A5303">
        <v>2020</v>
      </c>
      <c r="B5303" s="36">
        <v>3232</v>
      </c>
      <c r="C5303" s="90" t="str">
        <f>VLOOKUP(B5303,'All Districts'!$A$3:$B$874,2,FALSE)</f>
        <v>Randolph Academy</v>
      </c>
      <c r="D5303" s="40">
        <v>298290</v>
      </c>
      <c r="E5303">
        <f>VLOOKUP(C5303,'All Districts'!$B$3:$C$874,2,FALSE)</f>
        <v>3607440</v>
      </c>
      <c r="F5303" s="91">
        <f>COUNTIF($E$2:$E$7106,E5303)</f>
        <v>9</v>
      </c>
    </row>
    <row r="5304" spans="1:6" x14ac:dyDescent="0.2">
      <c r="A5304" s="10">
        <v>2021</v>
      </c>
      <c r="B5304" s="52">
        <v>3232</v>
      </c>
      <c r="C5304" s="90" t="str">
        <f>VLOOKUP(B5304,'All Districts'!$A$3:$B$874,2,FALSE)</f>
        <v>Randolph Academy</v>
      </c>
      <c r="D5304" s="76">
        <v>309193</v>
      </c>
      <c r="E5304">
        <f>VLOOKUP(C5304,'All Districts'!$B$3:$C$874,2,FALSE)</f>
        <v>3607440</v>
      </c>
      <c r="F5304" s="91">
        <f>COUNTIF($E$2:$E$7106,E5304)</f>
        <v>9</v>
      </c>
    </row>
    <row r="5305" spans="1:6" x14ac:dyDescent="0.2">
      <c r="A5305">
        <v>2022</v>
      </c>
      <c r="B5305" s="36">
        <v>3232</v>
      </c>
      <c r="C5305" s="90" t="str">
        <f>VLOOKUP(B5305,'All Districts'!$A$3:$B$874,2,FALSE)</f>
        <v>Randolph Academy</v>
      </c>
      <c r="D5305" s="82">
        <v>300060</v>
      </c>
      <c r="E5305">
        <f>VLOOKUP(C5305,'All Districts'!$B$3:$C$874,2,FALSE)</f>
        <v>3607440</v>
      </c>
      <c r="F5305" s="91">
        <f>COUNTIF($E$2:$E$7106,E5305)</f>
        <v>9</v>
      </c>
    </row>
    <row r="5306" spans="1:6" x14ac:dyDescent="0.2">
      <c r="A5306">
        <v>2023</v>
      </c>
      <c r="B5306" s="36">
        <v>3232</v>
      </c>
      <c r="C5306" s="90" t="str">
        <f>VLOOKUP(B5306,'All Districts'!$A$3:$B$874,2,FALSE)</f>
        <v>Randolph Academy</v>
      </c>
      <c r="D5306" s="40">
        <v>323577</v>
      </c>
      <c r="E5306">
        <f>VLOOKUP(C5306,'All Districts'!$B$3:$C$874,2,FALSE)</f>
        <v>3607440</v>
      </c>
      <c r="F5306" s="91">
        <f>COUNTIF($E$2:$E$7106,E5306)</f>
        <v>9</v>
      </c>
    </row>
    <row r="5307" spans="1:6" x14ac:dyDescent="0.2">
      <c r="A5307">
        <v>2015</v>
      </c>
      <c r="B5307" s="13">
        <v>2542</v>
      </c>
      <c r="C5307" s="90" t="str">
        <f>VLOOKUP(B5307,'All Districts'!$A$3:$B$874,2,FALSE)</f>
        <v>Ravena-Coeymans-Selkirk</v>
      </c>
      <c r="D5307" s="14">
        <v>2809010</v>
      </c>
      <c r="E5307">
        <f>VLOOKUP(C5307,'All Districts'!$B$3:$C$874,2,FALSE)</f>
        <v>3624150</v>
      </c>
      <c r="F5307" s="91">
        <f>COUNTIF($E$2:$E$7106,E5307)</f>
        <v>9</v>
      </c>
    </row>
    <row r="5308" spans="1:6" x14ac:dyDescent="0.2">
      <c r="A5308">
        <v>2016</v>
      </c>
      <c r="B5308" s="13">
        <v>2542</v>
      </c>
      <c r="C5308" s="90" t="str">
        <f>VLOOKUP(B5308,'All Districts'!$A$3:$B$874,2,FALSE)</f>
        <v>Ravena-Coeymans-Selkirk</v>
      </c>
      <c r="D5308" s="16">
        <v>2113730</v>
      </c>
      <c r="E5308">
        <f>VLOOKUP(C5308,'All Districts'!$B$3:$C$874,2,FALSE)</f>
        <v>3624150</v>
      </c>
      <c r="F5308" s="91">
        <f>COUNTIF($E$2:$E$7106,E5308)</f>
        <v>9</v>
      </c>
    </row>
    <row r="5309" spans="1:6" x14ac:dyDescent="0.2">
      <c r="A5309">
        <v>2017</v>
      </c>
      <c r="B5309" s="13">
        <v>2542</v>
      </c>
      <c r="C5309" s="90" t="str">
        <f>VLOOKUP(B5309,'All Districts'!$A$3:$B$874,2,FALSE)</f>
        <v>Ravena-Coeymans-Selkirk</v>
      </c>
      <c r="D5309" s="16">
        <v>1908193</v>
      </c>
      <c r="E5309">
        <f>VLOOKUP(C5309,'All Districts'!$B$3:$C$874,2,FALSE)</f>
        <v>3624150</v>
      </c>
      <c r="F5309" s="91">
        <f>COUNTIF($E$2:$E$7106,E5309)</f>
        <v>9</v>
      </c>
    </row>
    <row r="5310" spans="1:6" x14ac:dyDescent="0.2">
      <c r="A5310" s="10">
        <v>2018</v>
      </c>
      <c r="B5310" s="13">
        <v>2542</v>
      </c>
      <c r="C5310" s="90" t="str">
        <f>VLOOKUP(B5310,'All Districts'!$A$3:$B$874,2,FALSE)</f>
        <v>Ravena-Coeymans-Selkirk</v>
      </c>
      <c r="D5310" s="15">
        <v>1638382</v>
      </c>
      <c r="E5310">
        <f>VLOOKUP(C5310,'All Districts'!$B$3:$C$874,2,FALSE)</f>
        <v>3624150</v>
      </c>
      <c r="F5310" s="91">
        <f>COUNTIF($E$2:$E$7106,E5310)</f>
        <v>9</v>
      </c>
    </row>
    <row r="5311" spans="1:6" x14ac:dyDescent="0.2">
      <c r="A5311">
        <v>2019</v>
      </c>
      <c r="B5311" s="36">
        <v>2542</v>
      </c>
      <c r="C5311" s="90" t="str">
        <f>VLOOKUP(B5311,'All Districts'!$A$3:$B$874,2,FALSE)</f>
        <v>Ravena-Coeymans-Selkirk</v>
      </c>
      <c r="D5311" s="40">
        <v>1830607</v>
      </c>
      <c r="E5311">
        <f>VLOOKUP(C5311,'All Districts'!$B$3:$C$874,2,FALSE)</f>
        <v>3624150</v>
      </c>
      <c r="F5311" s="91">
        <f>COUNTIF($E$2:$E$7106,E5311)</f>
        <v>9</v>
      </c>
    </row>
    <row r="5312" spans="1:6" x14ac:dyDescent="0.2">
      <c r="A5312">
        <v>2020</v>
      </c>
      <c r="B5312" s="36">
        <v>2542</v>
      </c>
      <c r="C5312" s="90" t="str">
        <f>VLOOKUP(B5312,'All Districts'!$A$3:$B$874,2,FALSE)</f>
        <v>Ravena-Coeymans-Selkirk</v>
      </c>
      <c r="D5312" s="40">
        <v>1511334</v>
      </c>
      <c r="E5312">
        <f>VLOOKUP(C5312,'All Districts'!$B$3:$C$874,2,FALSE)</f>
        <v>3624150</v>
      </c>
      <c r="F5312" s="91">
        <f>COUNTIF($E$2:$E$7106,E5312)</f>
        <v>9</v>
      </c>
    </row>
    <row r="5313" spans="1:6" x14ac:dyDescent="0.2">
      <c r="A5313" s="10">
        <v>2021</v>
      </c>
      <c r="B5313" s="52">
        <v>2542</v>
      </c>
      <c r="C5313" s="90" t="str">
        <f>VLOOKUP(B5313,'All Districts'!$A$3:$B$874,2,FALSE)</f>
        <v>Ravena-Coeymans-Selkirk</v>
      </c>
      <c r="D5313" s="76">
        <v>1619156</v>
      </c>
      <c r="E5313">
        <f>VLOOKUP(C5313,'All Districts'!$B$3:$C$874,2,FALSE)</f>
        <v>3624150</v>
      </c>
      <c r="F5313" s="91">
        <f>COUNTIF($E$2:$E$7106,E5313)</f>
        <v>9</v>
      </c>
    </row>
    <row r="5314" spans="1:6" x14ac:dyDescent="0.2">
      <c r="A5314">
        <v>2022</v>
      </c>
      <c r="B5314" s="36">
        <v>2542</v>
      </c>
      <c r="C5314" s="90" t="str">
        <f>VLOOKUP(B5314,'All Districts'!$A$3:$B$874,2,FALSE)</f>
        <v>Ravena-Coeymans-Selkirk</v>
      </c>
      <c r="D5314" s="82">
        <v>1740198</v>
      </c>
      <c r="E5314">
        <f>VLOOKUP(C5314,'All Districts'!$B$3:$C$874,2,FALSE)</f>
        <v>3624150</v>
      </c>
      <c r="F5314" s="91">
        <f>COUNTIF($E$2:$E$7106,E5314)</f>
        <v>9</v>
      </c>
    </row>
    <row r="5315" spans="1:6" x14ac:dyDescent="0.2">
      <c r="A5315">
        <v>2023</v>
      </c>
      <c r="B5315" s="36">
        <v>2542</v>
      </c>
      <c r="C5315" s="90" t="str">
        <f>VLOOKUP(B5315,'All Districts'!$A$3:$B$874,2,FALSE)</f>
        <v>Ravena-Coeymans-Selkirk</v>
      </c>
      <c r="D5315" s="40">
        <v>1948126</v>
      </c>
      <c r="E5315">
        <f>VLOOKUP(C5315,'All Districts'!$B$3:$C$874,2,FALSE)</f>
        <v>3624150</v>
      </c>
      <c r="F5315" s="91">
        <f>COUNTIF($E$2:$E$7106,E5315)</f>
        <v>9</v>
      </c>
    </row>
    <row r="5316" spans="1:6" x14ac:dyDescent="0.2">
      <c r="A5316">
        <v>2015</v>
      </c>
      <c r="B5316" s="13">
        <v>4595</v>
      </c>
      <c r="C5316" s="90" t="str">
        <f>VLOOKUP(B5316,'All Districts'!$A$3:$B$874,2,FALSE)</f>
        <v>Red Creek</v>
      </c>
      <c r="D5316" s="14">
        <v>1130802</v>
      </c>
      <c r="E5316">
        <f>VLOOKUP(C5316,'All Districts'!$B$3:$C$874,2,FALSE)</f>
        <v>3624210</v>
      </c>
      <c r="F5316" s="91">
        <f>COUNTIF($E$2:$E$7106,E5316)</f>
        <v>9</v>
      </c>
    </row>
    <row r="5317" spans="1:6" x14ac:dyDescent="0.2">
      <c r="A5317">
        <v>2016</v>
      </c>
      <c r="B5317" s="13">
        <v>4595</v>
      </c>
      <c r="C5317" s="90" t="str">
        <f>VLOOKUP(B5317,'All Districts'!$A$3:$B$874,2,FALSE)</f>
        <v>Red Creek</v>
      </c>
      <c r="D5317" s="16">
        <v>876056</v>
      </c>
      <c r="E5317">
        <f>VLOOKUP(C5317,'All Districts'!$B$3:$C$874,2,FALSE)</f>
        <v>3624210</v>
      </c>
      <c r="F5317" s="91">
        <f>COUNTIF($E$2:$E$7106,E5317)</f>
        <v>9</v>
      </c>
    </row>
    <row r="5318" spans="1:6" x14ac:dyDescent="0.2">
      <c r="A5318">
        <v>2017</v>
      </c>
      <c r="B5318" s="13">
        <v>4595</v>
      </c>
      <c r="C5318" s="90" t="str">
        <f>VLOOKUP(B5318,'All Districts'!$A$3:$B$874,2,FALSE)</f>
        <v>Red Creek</v>
      </c>
      <c r="D5318" s="16">
        <v>826546</v>
      </c>
      <c r="E5318">
        <f>VLOOKUP(C5318,'All Districts'!$B$3:$C$874,2,FALSE)</f>
        <v>3624210</v>
      </c>
      <c r="F5318" s="91">
        <f>COUNTIF($E$2:$E$7106,E5318)</f>
        <v>9</v>
      </c>
    </row>
    <row r="5319" spans="1:6" x14ac:dyDescent="0.2">
      <c r="A5319" s="10">
        <v>2018</v>
      </c>
      <c r="B5319" s="13">
        <v>4595</v>
      </c>
      <c r="C5319" s="90" t="str">
        <f>VLOOKUP(B5319,'All Districts'!$A$3:$B$874,2,FALSE)</f>
        <v>Red Creek</v>
      </c>
      <c r="D5319" s="15">
        <v>699729</v>
      </c>
      <c r="E5319">
        <f>VLOOKUP(C5319,'All Districts'!$B$3:$C$874,2,FALSE)</f>
        <v>3624210</v>
      </c>
      <c r="F5319" s="91">
        <f>COUNTIF($E$2:$E$7106,E5319)</f>
        <v>9</v>
      </c>
    </row>
    <row r="5320" spans="1:6" x14ac:dyDescent="0.2">
      <c r="A5320">
        <v>2019</v>
      </c>
      <c r="B5320" s="36">
        <v>4595</v>
      </c>
      <c r="C5320" s="90" t="str">
        <f>VLOOKUP(B5320,'All Districts'!$A$3:$B$874,2,FALSE)</f>
        <v>Red Creek</v>
      </c>
      <c r="D5320" s="40">
        <v>787408</v>
      </c>
      <c r="E5320">
        <f>VLOOKUP(C5320,'All Districts'!$B$3:$C$874,2,FALSE)</f>
        <v>3624210</v>
      </c>
      <c r="F5320" s="91">
        <f>COUNTIF($E$2:$E$7106,E5320)</f>
        <v>9</v>
      </c>
    </row>
    <row r="5321" spans="1:6" x14ac:dyDescent="0.2">
      <c r="A5321">
        <v>2020</v>
      </c>
      <c r="B5321" s="36">
        <v>4595</v>
      </c>
      <c r="C5321" s="90" t="str">
        <f>VLOOKUP(B5321,'All Districts'!$A$3:$B$874,2,FALSE)</f>
        <v>Red Creek</v>
      </c>
      <c r="D5321" s="40">
        <v>646405</v>
      </c>
      <c r="E5321">
        <f>VLOOKUP(C5321,'All Districts'!$B$3:$C$874,2,FALSE)</f>
        <v>3624210</v>
      </c>
      <c r="F5321" s="91">
        <f>COUNTIF($E$2:$E$7106,E5321)</f>
        <v>9</v>
      </c>
    </row>
    <row r="5322" spans="1:6" x14ac:dyDescent="0.2">
      <c r="A5322" s="10">
        <v>2021</v>
      </c>
      <c r="B5322" s="52">
        <v>4595</v>
      </c>
      <c r="C5322" s="90" t="str">
        <f>VLOOKUP(B5322,'All Districts'!$A$3:$B$874,2,FALSE)</f>
        <v>Red Creek</v>
      </c>
      <c r="D5322" s="75">
        <v>659466</v>
      </c>
      <c r="E5322">
        <f>VLOOKUP(C5322,'All Districts'!$B$3:$C$874,2,FALSE)</f>
        <v>3624210</v>
      </c>
      <c r="F5322" s="91">
        <f>COUNTIF($E$2:$E$7106,E5322)</f>
        <v>9</v>
      </c>
    </row>
    <row r="5323" spans="1:6" x14ac:dyDescent="0.2">
      <c r="A5323">
        <v>2022</v>
      </c>
      <c r="B5323" s="36">
        <v>4595</v>
      </c>
      <c r="C5323" s="90" t="str">
        <f>VLOOKUP(B5323,'All Districts'!$A$3:$B$874,2,FALSE)</f>
        <v>Red Creek</v>
      </c>
      <c r="D5323" s="82">
        <v>694975</v>
      </c>
      <c r="E5323">
        <f>VLOOKUP(C5323,'All Districts'!$B$3:$C$874,2,FALSE)</f>
        <v>3624210</v>
      </c>
      <c r="F5323" s="91">
        <f>COUNTIF($E$2:$E$7106,E5323)</f>
        <v>9</v>
      </c>
    </row>
    <row r="5324" spans="1:6" x14ac:dyDescent="0.2">
      <c r="A5324">
        <v>2023</v>
      </c>
      <c r="B5324" s="36">
        <v>4595</v>
      </c>
      <c r="C5324" s="90" t="str">
        <f>VLOOKUP(B5324,'All Districts'!$A$3:$B$874,2,FALSE)</f>
        <v>Red Creek</v>
      </c>
      <c r="D5324" s="40">
        <v>776846</v>
      </c>
      <c r="E5324">
        <f>VLOOKUP(C5324,'All Districts'!$B$3:$C$874,2,FALSE)</f>
        <v>3624210</v>
      </c>
      <c r="F5324" s="91">
        <f>COUNTIF($E$2:$E$7106,E5324)</f>
        <v>9</v>
      </c>
    </row>
    <row r="5325" spans="1:6" x14ac:dyDescent="0.2">
      <c r="A5325">
        <v>2015</v>
      </c>
      <c r="B5325" s="13">
        <v>2498</v>
      </c>
      <c r="C5325" s="90" t="str">
        <f>VLOOKUP(B5325,'All Districts'!$A$3:$B$874,2,FALSE)</f>
        <v>Red Hook</v>
      </c>
      <c r="D5325" s="14">
        <v>3042633</v>
      </c>
      <c r="E5325">
        <f>VLOOKUP(C5325,'All Districts'!$B$3:$C$874,2,FALSE)</f>
        <v>3624240</v>
      </c>
      <c r="F5325" s="91">
        <f>COUNTIF($E$2:$E$7106,E5325)</f>
        <v>9</v>
      </c>
    </row>
    <row r="5326" spans="1:6" x14ac:dyDescent="0.2">
      <c r="A5326">
        <v>2016</v>
      </c>
      <c r="B5326" s="13">
        <v>2498</v>
      </c>
      <c r="C5326" s="90" t="str">
        <f>VLOOKUP(B5326,'All Districts'!$A$3:$B$874,2,FALSE)</f>
        <v>Red Hook</v>
      </c>
      <c r="D5326" s="16">
        <v>2350623</v>
      </c>
      <c r="E5326">
        <f>VLOOKUP(C5326,'All Districts'!$B$3:$C$874,2,FALSE)</f>
        <v>3624240</v>
      </c>
      <c r="F5326" s="91">
        <f>COUNTIF($E$2:$E$7106,E5326)</f>
        <v>9</v>
      </c>
    </row>
    <row r="5327" spans="1:6" x14ac:dyDescent="0.2">
      <c r="A5327">
        <v>2017</v>
      </c>
      <c r="B5327" s="13">
        <v>2498</v>
      </c>
      <c r="C5327" s="90" t="str">
        <f>VLOOKUP(B5327,'All Districts'!$A$3:$B$874,2,FALSE)</f>
        <v>Red Hook</v>
      </c>
      <c r="D5327" s="16">
        <v>2123352</v>
      </c>
      <c r="E5327">
        <f>VLOOKUP(C5327,'All Districts'!$B$3:$C$874,2,FALSE)</f>
        <v>3624240</v>
      </c>
      <c r="F5327" s="91">
        <f>COUNTIF($E$2:$E$7106,E5327)</f>
        <v>9</v>
      </c>
    </row>
    <row r="5328" spans="1:6" x14ac:dyDescent="0.2">
      <c r="A5328" s="10">
        <v>2018</v>
      </c>
      <c r="B5328" s="13">
        <v>2498</v>
      </c>
      <c r="C5328" s="90" t="str">
        <f>VLOOKUP(B5328,'All Districts'!$A$3:$B$874,2,FALSE)</f>
        <v>Red Hook</v>
      </c>
      <c r="D5328" s="15">
        <v>1836809</v>
      </c>
      <c r="E5328">
        <f>VLOOKUP(C5328,'All Districts'!$B$3:$C$874,2,FALSE)</f>
        <v>3624240</v>
      </c>
      <c r="F5328" s="91">
        <f>COUNTIF($E$2:$E$7106,E5328)</f>
        <v>9</v>
      </c>
    </row>
    <row r="5329" spans="1:6" x14ac:dyDescent="0.2">
      <c r="A5329">
        <v>2019</v>
      </c>
      <c r="B5329" s="36">
        <v>2498</v>
      </c>
      <c r="C5329" s="90" t="str">
        <f>VLOOKUP(B5329,'All Districts'!$A$3:$B$874,2,FALSE)</f>
        <v>Red Hook</v>
      </c>
      <c r="D5329" s="40">
        <v>1962554</v>
      </c>
      <c r="E5329">
        <f>VLOOKUP(C5329,'All Districts'!$B$3:$C$874,2,FALSE)</f>
        <v>3624240</v>
      </c>
      <c r="F5329" s="91">
        <f>COUNTIF($E$2:$E$7106,E5329)</f>
        <v>9</v>
      </c>
    </row>
    <row r="5330" spans="1:6" x14ac:dyDescent="0.2">
      <c r="A5330">
        <v>2020</v>
      </c>
      <c r="B5330" s="36">
        <v>2498</v>
      </c>
      <c r="C5330" s="90" t="str">
        <f>VLOOKUP(B5330,'All Districts'!$A$3:$B$874,2,FALSE)</f>
        <v>Red Hook</v>
      </c>
      <c r="D5330" s="40">
        <v>1665712</v>
      </c>
      <c r="E5330">
        <f>VLOOKUP(C5330,'All Districts'!$B$3:$C$874,2,FALSE)</f>
        <v>3624240</v>
      </c>
      <c r="F5330" s="91">
        <f>COUNTIF($E$2:$E$7106,E5330)</f>
        <v>9</v>
      </c>
    </row>
    <row r="5331" spans="1:6" x14ac:dyDescent="0.2">
      <c r="A5331" s="10">
        <v>2021</v>
      </c>
      <c r="B5331" s="71">
        <v>2498</v>
      </c>
      <c r="C5331" s="90" t="str">
        <f>VLOOKUP(B5331,'All Districts'!$A$3:$B$874,2,FALSE)</f>
        <v>Red Hook</v>
      </c>
      <c r="D5331" s="76">
        <v>1798467</v>
      </c>
      <c r="E5331">
        <f>VLOOKUP(C5331,'All Districts'!$B$3:$C$874,2,FALSE)</f>
        <v>3624240</v>
      </c>
      <c r="F5331" s="91">
        <f>COUNTIF($E$2:$E$7106,E5331)</f>
        <v>9</v>
      </c>
    </row>
    <row r="5332" spans="1:6" x14ac:dyDescent="0.2">
      <c r="A5332">
        <v>2022</v>
      </c>
      <c r="B5332" s="36">
        <v>2498</v>
      </c>
      <c r="C5332" s="90" t="str">
        <f>VLOOKUP(B5332,'All Districts'!$A$3:$B$874,2,FALSE)</f>
        <v>Red Hook</v>
      </c>
      <c r="D5332" s="82">
        <v>1919521</v>
      </c>
      <c r="E5332">
        <f>VLOOKUP(C5332,'All Districts'!$B$3:$C$874,2,FALSE)</f>
        <v>3624240</v>
      </c>
      <c r="F5332" s="91">
        <f>COUNTIF($E$2:$E$7106,E5332)</f>
        <v>9</v>
      </c>
    </row>
    <row r="5333" spans="1:6" x14ac:dyDescent="0.2">
      <c r="A5333">
        <v>2023</v>
      </c>
      <c r="B5333" s="36">
        <v>2498</v>
      </c>
      <c r="C5333" s="90" t="str">
        <f>VLOOKUP(B5333,'All Districts'!$A$3:$B$874,2,FALSE)</f>
        <v>Red Hook</v>
      </c>
      <c r="D5333" s="40">
        <v>2041319</v>
      </c>
      <c r="E5333">
        <f>VLOOKUP(C5333,'All Districts'!$B$3:$C$874,2,FALSE)</f>
        <v>3624240</v>
      </c>
      <c r="F5333" s="91">
        <f>COUNTIF($E$2:$E$7106,E5333)</f>
        <v>9</v>
      </c>
    </row>
    <row r="5334" spans="1:6" x14ac:dyDescent="0.2">
      <c r="A5334">
        <v>2015</v>
      </c>
      <c r="B5334" s="13">
        <v>4504</v>
      </c>
      <c r="C5334" s="90" t="str">
        <f>VLOOKUP(B5334,'All Districts'!$A$3:$B$874,2,FALSE)</f>
        <v>Remsen</v>
      </c>
      <c r="D5334" s="14">
        <v>694960</v>
      </c>
      <c r="E5334">
        <f>VLOOKUP(C5334,'All Districts'!$B$3:$C$874,2,FALSE)</f>
        <v>3624360</v>
      </c>
      <c r="F5334" s="91">
        <f>COUNTIF($E$2:$E$7106,E5334)</f>
        <v>9</v>
      </c>
    </row>
    <row r="5335" spans="1:6" x14ac:dyDescent="0.2">
      <c r="A5335">
        <v>2016</v>
      </c>
      <c r="B5335" s="13">
        <v>4504</v>
      </c>
      <c r="C5335" s="90" t="str">
        <f>VLOOKUP(B5335,'All Districts'!$A$3:$B$874,2,FALSE)</f>
        <v>Remsen</v>
      </c>
      <c r="D5335" s="16">
        <v>530536</v>
      </c>
      <c r="E5335">
        <f>VLOOKUP(C5335,'All Districts'!$B$3:$C$874,2,FALSE)</f>
        <v>3624360</v>
      </c>
      <c r="F5335" s="91">
        <f>COUNTIF($E$2:$E$7106,E5335)</f>
        <v>9</v>
      </c>
    </row>
    <row r="5336" spans="1:6" x14ac:dyDescent="0.2">
      <c r="A5336">
        <v>2017</v>
      </c>
      <c r="B5336" s="13">
        <v>4504</v>
      </c>
      <c r="C5336" s="90" t="str">
        <f>VLOOKUP(B5336,'All Districts'!$A$3:$B$874,2,FALSE)</f>
        <v>Remsen</v>
      </c>
      <c r="D5336" s="16">
        <v>505141</v>
      </c>
      <c r="E5336">
        <f>VLOOKUP(C5336,'All Districts'!$B$3:$C$874,2,FALSE)</f>
        <v>3624360</v>
      </c>
      <c r="F5336" s="91">
        <f>COUNTIF($E$2:$E$7106,E5336)</f>
        <v>9</v>
      </c>
    </row>
    <row r="5337" spans="1:6" x14ac:dyDescent="0.2">
      <c r="A5337" s="10">
        <v>2018</v>
      </c>
      <c r="B5337" s="13">
        <v>4504</v>
      </c>
      <c r="C5337" s="90" t="str">
        <f>VLOOKUP(B5337,'All Districts'!$A$3:$B$874,2,FALSE)</f>
        <v>Remsen</v>
      </c>
      <c r="D5337" s="15">
        <v>441308</v>
      </c>
      <c r="E5337">
        <f>VLOOKUP(C5337,'All Districts'!$B$3:$C$874,2,FALSE)</f>
        <v>3624360</v>
      </c>
      <c r="F5337" s="91">
        <f>COUNTIF($E$2:$E$7106,E5337)</f>
        <v>9</v>
      </c>
    </row>
    <row r="5338" spans="1:6" x14ac:dyDescent="0.2">
      <c r="A5338">
        <v>2019</v>
      </c>
      <c r="B5338" s="36">
        <v>4504</v>
      </c>
      <c r="C5338" s="90" t="str">
        <f>VLOOKUP(B5338,'All Districts'!$A$3:$B$874,2,FALSE)</f>
        <v>Remsen</v>
      </c>
      <c r="D5338" s="40">
        <v>481662</v>
      </c>
      <c r="E5338">
        <f>VLOOKUP(C5338,'All Districts'!$B$3:$C$874,2,FALSE)</f>
        <v>3624360</v>
      </c>
      <c r="F5338" s="91">
        <f>COUNTIF($E$2:$E$7106,E5338)</f>
        <v>9</v>
      </c>
    </row>
    <row r="5339" spans="1:6" x14ac:dyDescent="0.2">
      <c r="A5339">
        <v>2020</v>
      </c>
      <c r="B5339" s="36">
        <v>4504</v>
      </c>
      <c r="C5339" s="90" t="str">
        <f>VLOOKUP(B5339,'All Districts'!$A$3:$B$874,2,FALSE)</f>
        <v>Remsen</v>
      </c>
      <c r="D5339" s="40">
        <v>399797</v>
      </c>
      <c r="E5339">
        <f>VLOOKUP(C5339,'All Districts'!$B$3:$C$874,2,FALSE)</f>
        <v>3624360</v>
      </c>
      <c r="F5339" s="91">
        <f>COUNTIF($E$2:$E$7106,E5339)</f>
        <v>9</v>
      </c>
    </row>
    <row r="5340" spans="1:6" x14ac:dyDescent="0.2">
      <c r="A5340" s="10">
        <v>2021</v>
      </c>
      <c r="B5340" s="52">
        <v>4504</v>
      </c>
      <c r="C5340" s="90" t="str">
        <f>VLOOKUP(B5340,'All Districts'!$A$3:$B$874,2,FALSE)</f>
        <v>Remsen</v>
      </c>
      <c r="D5340" s="76">
        <v>404357</v>
      </c>
      <c r="E5340">
        <f>VLOOKUP(C5340,'All Districts'!$B$3:$C$874,2,FALSE)</f>
        <v>3624360</v>
      </c>
      <c r="F5340" s="91">
        <f>COUNTIF($E$2:$E$7106,E5340)</f>
        <v>9</v>
      </c>
    </row>
    <row r="5341" spans="1:6" x14ac:dyDescent="0.2">
      <c r="A5341">
        <v>2022</v>
      </c>
      <c r="B5341" s="36">
        <v>4504</v>
      </c>
      <c r="C5341" s="90" t="str">
        <f>VLOOKUP(B5341,'All Districts'!$A$3:$B$874,2,FALSE)</f>
        <v>Remsen</v>
      </c>
      <c r="D5341" s="82">
        <v>447387</v>
      </c>
      <c r="E5341">
        <f>VLOOKUP(C5341,'All Districts'!$B$3:$C$874,2,FALSE)</f>
        <v>3624360</v>
      </c>
      <c r="F5341" s="91">
        <f>COUNTIF($E$2:$E$7106,E5341)</f>
        <v>9</v>
      </c>
    </row>
    <row r="5342" spans="1:6" x14ac:dyDescent="0.2">
      <c r="A5342">
        <v>2023</v>
      </c>
      <c r="B5342" s="36">
        <v>4504</v>
      </c>
      <c r="C5342" s="90" t="str">
        <f>VLOOKUP(B5342,'All Districts'!$A$3:$B$874,2,FALSE)</f>
        <v>Remsen</v>
      </c>
      <c r="D5342" s="40">
        <v>448365</v>
      </c>
      <c r="E5342">
        <f>VLOOKUP(C5342,'All Districts'!$B$3:$C$874,2,FALSE)</f>
        <v>3624360</v>
      </c>
      <c r="F5342" s="91">
        <f>COUNTIF($E$2:$E$7106,E5342)</f>
        <v>9</v>
      </c>
    </row>
    <row r="5343" spans="1:6" x14ac:dyDescent="0.2">
      <c r="A5343">
        <v>2015</v>
      </c>
      <c r="B5343" s="13">
        <v>5360</v>
      </c>
      <c r="C5343" s="90" t="str">
        <f>VLOOKUP(B5343,'All Districts'!$A$3:$B$874,2,FALSE)</f>
        <v>Remsenburg-Speonk</v>
      </c>
      <c r="D5343" s="14">
        <v>550571</v>
      </c>
      <c r="E5343">
        <f>VLOOKUP(C5343,'All Districts'!$B$3:$C$874,2,FALSE)</f>
        <v>3624420</v>
      </c>
      <c r="F5343" s="91">
        <f>COUNTIF($E$2:$E$7106,E5343)</f>
        <v>9</v>
      </c>
    </row>
    <row r="5344" spans="1:6" x14ac:dyDescent="0.2">
      <c r="A5344">
        <v>2016</v>
      </c>
      <c r="B5344" s="13">
        <v>5360</v>
      </c>
      <c r="C5344" s="90" t="str">
        <f>VLOOKUP(B5344,'All Districts'!$A$3:$B$874,2,FALSE)</f>
        <v>Remsenburg-Speonk</v>
      </c>
      <c r="D5344" s="16">
        <v>412731</v>
      </c>
      <c r="E5344">
        <f>VLOOKUP(C5344,'All Districts'!$B$3:$C$874,2,FALSE)</f>
        <v>3624420</v>
      </c>
      <c r="F5344" s="91">
        <f>COUNTIF($E$2:$E$7106,E5344)</f>
        <v>9</v>
      </c>
    </row>
    <row r="5345" spans="1:6" x14ac:dyDescent="0.2">
      <c r="A5345">
        <v>2017</v>
      </c>
      <c r="B5345" s="13">
        <v>5360</v>
      </c>
      <c r="C5345" s="90" t="str">
        <f>VLOOKUP(B5345,'All Districts'!$A$3:$B$874,2,FALSE)</f>
        <v>Remsenburg-Speonk</v>
      </c>
      <c r="D5345" s="16">
        <v>368177</v>
      </c>
      <c r="E5345">
        <f>VLOOKUP(C5345,'All Districts'!$B$3:$C$874,2,FALSE)</f>
        <v>3624420</v>
      </c>
      <c r="F5345" s="91">
        <f>COUNTIF($E$2:$E$7106,E5345)</f>
        <v>9</v>
      </c>
    </row>
    <row r="5346" spans="1:6" x14ac:dyDescent="0.2">
      <c r="A5346" s="10">
        <v>2018</v>
      </c>
      <c r="B5346" s="13">
        <v>5360</v>
      </c>
      <c r="C5346" s="90" t="str">
        <f>VLOOKUP(B5346,'All Districts'!$A$3:$B$874,2,FALSE)</f>
        <v>Remsenburg-Speonk</v>
      </c>
      <c r="D5346" s="15">
        <v>315868</v>
      </c>
      <c r="E5346">
        <f>VLOOKUP(C5346,'All Districts'!$B$3:$C$874,2,FALSE)</f>
        <v>3624420</v>
      </c>
      <c r="F5346" s="91">
        <f>COUNTIF($E$2:$E$7106,E5346)</f>
        <v>9</v>
      </c>
    </row>
    <row r="5347" spans="1:6" x14ac:dyDescent="0.2">
      <c r="A5347">
        <v>2019</v>
      </c>
      <c r="B5347" s="36">
        <v>5360</v>
      </c>
      <c r="C5347" s="90" t="str">
        <f>VLOOKUP(B5347,'All Districts'!$A$3:$B$874,2,FALSE)</f>
        <v>Remsenburg-Speonk</v>
      </c>
      <c r="D5347" s="40">
        <v>329601</v>
      </c>
      <c r="E5347">
        <f>VLOOKUP(C5347,'All Districts'!$B$3:$C$874,2,FALSE)</f>
        <v>3624420</v>
      </c>
      <c r="F5347" s="91">
        <f>COUNTIF($E$2:$E$7106,E5347)</f>
        <v>9</v>
      </c>
    </row>
    <row r="5348" spans="1:6" x14ac:dyDescent="0.2">
      <c r="A5348">
        <v>2020</v>
      </c>
      <c r="B5348" s="36">
        <v>5360</v>
      </c>
      <c r="C5348" s="90" t="str">
        <f>VLOOKUP(B5348,'All Districts'!$A$3:$B$874,2,FALSE)</f>
        <v>Remsenburg-Speonk</v>
      </c>
      <c r="D5348" s="40">
        <v>287081</v>
      </c>
      <c r="E5348">
        <f>VLOOKUP(C5348,'All Districts'!$B$3:$C$874,2,FALSE)</f>
        <v>3624420</v>
      </c>
      <c r="F5348" s="91">
        <f>COUNTIF($E$2:$E$7106,E5348)</f>
        <v>9</v>
      </c>
    </row>
    <row r="5349" spans="1:6" x14ac:dyDescent="0.2">
      <c r="A5349" s="10">
        <v>2021</v>
      </c>
      <c r="B5349" s="52">
        <v>5360</v>
      </c>
      <c r="C5349" s="90" t="str">
        <f>VLOOKUP(B5349,'All Districts'!$A$3:$B$874,2,FALSE)</f>
        <v>Remsenburg-Speonk</v>
      </c>
      <c r="D5349" s="75">
        <v>300981</v>
      </c>
      <c r="E5349">
        <f>VLOOKUP(C5349,'All Districts'!$B$3:$C$874,2,FALSE)</f>
        <v>3624420</v>
      </c>
      <c r="F5349" s="91">
        <f>COUNTIF($E$2:$E$7106,E5349)</f>
        <v>9</v>
      </c>
    </row>
    <row r="5350" spans="1:6" x14ac:dyDescent="0.2">
      <c r="A5350">
        <v>2022</v>
      </c>
      <c r="B5350" s="36">
        <v>5360</v>
      </c>
      <c r="C5350" s="90" t="str">
        <f>VLOOKUP(B5350,'All Districts'!$A$3:$B$874,2,FALSE)</f>
        <v>Remsenburg-Speonk</v>
      </c>
      <c r="D5350" s="82">
        <v>329137</v>
      </c>
      <c r="E5350">
        <f>VLOOKUP(C5350,'All Districts'!$B$3:$C$874,2,FALSE)</f>
        <v>3624420</v>
      </c>
      <c r="F5350" s="91">
        <f>COUNTIF($E$2:$E$7106,E5350)</f>
        <v>9</v>
      </c>
    </row>
    <row r="5351" spans="1:6" x14ac:dyDescent="0.2">
      <c r="A5351">
        <v>2023</v>
      </c>
      <c r="B5351" s="36">
        <v>5360</v>
      </c>
      <c r="C5351" s="90" t="str">
        <f>VLOOKUP(B5351,'All Districts'!$A$3:$B$874,2,FALSE)</f>
        <v>Remsenburg-Speonk</v>
      </c>
      <c r="D5351" s="40">
        <v>358810</v>
      </c>
      <c r="E5351">
        <f>VLOOKUP(C5351,'All Districts'!$B$3:$C$874,2,FALSE)</f>
        <v>3624420</v>
      </c>
      <c r="F5351" s="91">
        <f>COUNTIF($E$2:$E$7106,E5351)</f>
        <v>9</v>
      </c>
    </row>
    <row r="5352" spans="1:6" x14ac:dyDescent="0.2">
      <c r="A5352">
        <v>2015</v>
      </c>
      <c r="B5352" s="13">
        <v>1230</v>
      </c>
      <c r="C5352" s="90" t="str">
        <f>VLOOKUP(B5352,'All Districts'!$A$3:$B$874,2,FALSE)</f>
        <v>Rensselaer</v>
      </c>
      <c r="D5352" s="14">
        <v>1316486</v>
      </c>
      <c r="E5352">
        <f>VLOOKUP(C5352,'All Districts'!$B$3:$C$874,2,FALSE)</f>
        <v>3624450</v>
      </c>
      <c r="F5352" s="91">
        <f>COUNTIF($E$2:$E$7106,E5352)</f>
        <v>9</v>
      </c>
    </row>
    <row r="5353" spans="1:6" x14ac:dyDescent="0.2">
      <c r="A5353">
        <v>2016</v>
      </c>
      <c r="B5353" s="13">
        <v>1230</v>
      </c>
      <c r="C5353" s="90" t="str">
        <f>VLOOKUP(B5353,'All Districts'!$A$3:$B$874,2,FALSE)</f>
        <v>Rensselaer</v>
      </c>
      <c r="D5353" s="16">
        <v>1009943</v>
      </c>
      <c r="E5353">
        <f>VLOOKUP(C5353,'All Districts'!$B$3:$C$874,2,FALSE)</f>
        <v>3624450</v>
      </c>
      <c r="F5353" s="91">
        <f>COUNTIF($E$2:$E$7106,E5353)</f>
        <v>9</v>
      </c>
    </row>
    <row r="5354" spans="1:6" x14ac:dyDescent="0.2">
      <c r="A5354">
        <v>2017</v>
      </c>
      <c r="B5354" s="13">
        <v>1230</v>
      </c>
      <c r="C5354" s="90" t="str">
        <f>VLOOKUP(B5354,'All Districts'!$A$3:$B$874,2,FALSE)</f>
        <v>Rensselaer</v>
      </c>
      <c r="D5354" s="16">
        <v>900819</v>
      </c>
      <c r="E5354">
        <f>VLOOKUP(C5354,'All Districts'!$B$3:$C$874,2,FALSE)</f>
        <v>3624450</v>
      </c>
      <c r="F5354" s="91">
        <f>COUNTIF($E$2:$E$7106,E5354)</f>
        <v>9</v>
      </c>
    </row>
    <row r="5355" spans="1:6" x14ac:dyDescent="0.2">
      <c r="A5355" s="10">
        <v>2018</v>
      </c>
      <c r="B5355" s="13">
        <v>1230</v>
      </c>
      <c r="C5355" s="90" t="str">
        <f>VLOOKUP(B5355,'All Districts'!$A$3:$B$874,2,FALSE)</f>
        <v>Rensselaer</v>
      </c>
      <c r="D5355" s="15">
        <v>784327</v>
      </c>
      <c r="E5355">
        <f>VLOOKUP(C5355,'All Districts'!$B$3:$C$874,2,FALSE)</f>
        <v>3624450</v>
      </c>
      <c r="F5355" s="91">
        <f>COUNTIF($E$2:$E$7106,E5355)</f>
        <v>9</v>
      </c>
    </row>
    <row r="5356" spans="1:6" x14ac:dyDescent="0.2">
      <c r="A5356">
        <v>2019</v>
      </c>
      <c r="B5356" s="36">
        <v>1230</v>
      </c>
      <c r="C5356" s="90" t="str">
        <f>VLOOKUP(B5356,'All Districts'!$A$3:$B$874,2,FALSE)</f>
        <v>Rensselaer</v>
      </c>
      <c r="D5356" s="40">
        <v>857540</v>
      </c>
      <c r="E5356">
        <f>VLOOKUP(C5356,'All Districts'!$B$3:$C$874,2,FALSE)</f>
        <v>3624450</v>
      </c>
      <c r="F5356" s="91">
        <f>COUNTIF($E$2:$E$7106,E5356)</f>
        <v>9</v>
      </c>
    </row>
    <row r="5357" spans="1:6" x14ac:dyDescent="0.2">
      <c r="A5357">
        <v>2020</v>
      </c>
      <c r="B5357" s="36">
        <v>1230</v>
      </c>
      <c r="C5357" s="90" t="str">
        <f>VLOOKUP(B5357,'All Districts'!$A$3:$B$874,2,FALSE)</f>
        <v>Rensselaer</v>
      </c>
      <c r="D5357" s="40">
        <v>748968</v>
      </c>
      <c r="E5357">
        <f>VLOOKUP(C5357,'All Districts'!$B$3:$C$874,2,FALSE)</f>
        <v>3624450</v>
      </c>
      <c r="F5357" s="91">
        <f>COUNTIF($E$2:$E$7106,E5357)</f>
        <v>9</v>
      </c>
    </row>
    <row r="5358" spans="1:6" x14ac:dyDescent="0.2">
      <c r="A5358" s="10">
        <v>2021</v>
      </c>
      <c r="B5358" s="52">
        <v>1230</v>
      </c>
      <c r="C5358" s="90" t="str">
        <f>VLOOKUP(B5358,'All Districts'!$A$3:$B$874,2,FALSE)</f>
        <v>Rensselaer</v>
      </c>
      <c r="D5358" s="76">
        <v>764151</v>
      </c>
      <c r="E5358">
        <f>VLOOKUP(C5358,'All Districts'!$B$3:$C$874,2,FALSE)</f>
        <v>3624450</v>
      </c>
      <c r="F5358" s="91">
        <f>COUNTIF($E$2:$E$7106,E5358)</f>
        <v>9</v>
      </c>
    </row>
    <row r="5359" spans="1:6" x14ac:dyDescent="0.2">
      <c r="A5359">
        <v>2022</v>
      </c>
      <c r="B5359" s="36">
        <v>1230</v>
      </c>
      <c r="C5359" s="90" t="str">
        <f>VLOOKUP(B5359,'All Districts'!$A$3:$B$874,2,FALSE)</f>
        <v>Rensselaer</v>
      </c>
      <c r="D5359" s="82">
        <v>872435</v>
      </c>
      <c r="E5359">
        <f>VLOOKUP(C5359,'All Districts'!$B$3:$C$874,2,FALSE)</f>
        <v>3624450</v>
      </c>
      <c r="F5359" s="91">
        <f>COUNTIF($E$2:$E$7106,E5359)</f>
        <v>9</v>
      </c>
    </row>
    <row r="5360" spans="1:6" x14ac:dyDescent="0.2">
      <c r="A5360">
        <v>2023</v>
      </c>
      <c r="B5360" s="36">
        <v>1230</v>
      </c>
      <c r="C5360" s="90" t="str">
        <f>VLOOKUP(B5360,'All Districts'!$A$3:$B$874,2,FALSE)</f>
        <v>Rensselaer</v>
      </c>
      <c r="D5360" s="40">
        <v>941353</v>
      </c>
      <c r="E5360">
        <f>VLOOKUP(C5360,'All Districts'!$B$3:$C$874,2,FALSE)</f>
        <v>3624450</v>
      </c>
      <c r="F5360" s="91">
        <f>COUNTIF($E$2:$E$7106,E5360)</f>
        <v>9</v>
      </c>
    </row>
    <row r="5361" spans="1:6" x14ac:dyDescent="0.2">
      <c r="A5361">
        <v>2015</v>
      </c>
      <c r="B5361" s="13">
        <v>6075</v>
      </c>
      <c r="C5361" s="90" t="str">
        <f>VLOOKUP(B5361,'All Districts'!$A$3:$B$874,2,FALSE)</f>
        <v>Rensselaer-Columbia-Greene (Questar III)</v>
      </c>
      <c r="D5361" s="15">
        <v>2873792</v>
      </c>
      <c r="E5361">
        <f>VLOOKUP(C5361,'All Districts'!$B$3:$C$874,2,FALSE)</f>
        <v>3680700</v>
      </c>
      <c r="F5361" s="91">
        <f>COUNTIF($E$2:$E$7106,E5361)</f>
        <v>9</v>
      </c>
    </row>
    <row r="5362" spans="1:6" x14ac:dyDescent="0.2">
      <c r="A5362">
        <v>2016</v>
      </c>
      <c r="B5362" s="13">
        <v>6075</v>
      </c>
      <c r="C5362" s="90" t="str">
        <f>VLOOKUP(B5362,'All Districts'!$A$3:$B$874,2,FALSE)</f>
        <v>Rensselaer-Columbia-Greene (Questar III)</v>
      </c>
      <c r="D5362" s="16">
        <v>2210429</v>
      </c>
      <c r="E5362">
        <f>VLOOKUP(C5362,'All Districts'!$B$3:$C$874,2,FALSE)</f>
        <v>3680700</v>
      </c>
      <c r="F5362" s="91">
        <f>COUNTIF($E$2:$E$7106,E5362)</f>
        <v>9</v>
      </c>
    </row>
    <row r="5363" spans="1:6" x14ac:dyDescent="0.2">
      <c r="A5363">
        <v>2017</v>
      </c>
      <c r="B5363" s="13">
        <v>6075</v>
      </c>
      <c r="C5363" s="90" t="str">
        <f>VLOOKUP(B5363,'All Districts'!$A$3:$B$874,2,FALSE)</f>
        <v>Rensselaer-Columbia-Greene (Questar III)</v>
      </c>
      <c r="D5363" s="16">
        <v>1981191</v>
      </c>
      <c r="E5363">
        <f>VLOOKUP(C5363,'All Districts'!$B$3:$C$874,2,FALSE)</f>
        <v>3680700</v>
      </c>
      <c r="F5363" s="91">
        <f>COUNTIF($E$2:$E$7106,E5363)</f>
        <v>9</v>
      </c>
    </row>
    <row r="5364" spans="1:6" x14ac:dyDescent="0.2">
      <c r="A5364" s="10">
        <v>2018</v>
      </c>
      <c r="B5364" s="13">
        <v>6075</v>
      </c>
      <c r="C5364" s="90" t="str">
        <f>VLOOKUP(B5364,'All Districts'!$A$3:$B$874,2,FALSE)</f>
        <v>Rensselaer-Columbia-Greene (Questar III)</v>
      </c>
      <c r="D5364" s="15">
        <v>1615438</v>
      </c>
      <c r="E5364">
        <f>VLOOKUP(C5364,'All Districts'!$B$3:$C$874,2,FALSE)</f>
        <v>3680700</v>
      </c>
      <c r="F5364" s="91">
        <f>COUNTIF($E$2:$E$7106,E5364)</f>
        <v>9</v>
      </c>
    </row>
    <row r="5365" spans="1:6" x14ac:dyDescent="0.2">
      <c r="A5365">
        <v>2019</v>
      </c>
      <c r="B5365" s="36">
        <v>6075</v>
      </c>
      <c r="C5365" s="90" t="str">
        <f>VLOOKUP(B5365,'All Districts'!$A$3:$B$874,2,FALSE)</f>
        <v>Rensselaer-Columbia-Greene (Questar III)</v>
      </c>
      <c r="D5365" s="40">
        <v>1835618</v>
      </c>
      <c r="E5365">
        <f>VLOOKUP(C5365,'All Districts'!$B$3:$C$874,2,FALSE)</f>
        <v>3680700</v>
      </c>
      <c r="F5365" s="91">
        <f>COUNTIF($E$2:$E$7106,E5365)</f>
        <v>9</v>
      </c>
    </row>
    <row r="5366" spans="1:6" x14ac:dyDescent="0.2">
      <c r="A5366">
        <v>2020</v>
      </c>
      <c r="B5366" s="36">
        <v>6075</v>
      </c>
      <c r="C5366" s="90" t="str">
        <f>VLOOKUP(B5366,'All Districts'!$A$3:$B$874,2,FALSE)</f>
        <v>Rensselaer-Columbia-Greene (Questar III)</v>
      </c>
      <c r="D5366" s="40">
        <v>1574081</v>
      </c>
      <c r="E5366">
        <f>VLOOKUP(C5366,'All Districts'!$B$3:$C$874,2,FALSE)</f>
        <v>3680700</v>
      </c>
      <c r="F5366" s="91">
        <f>COUNTIF($E$2:$E$7106,E5366)</f>
        <v>9</v>
      </c>
    </row>
    <row r="5367" spans="1:6" x14ac:dyDescent="0.2">
      <c r="A5367" s="10">
        <v>2021</v>
      </c>
      <c r="B5367" s="52">
        <v>6075</v>
      </c>
      <c r="C5367" s="90" t="str">
        <f>VLOOKUP(B5367,'All Districts'!$A$3:$B$874,2,FALSE)</f>
        <v>Rensselaer-Columbia-Greene (Questar III)</v>
      </c>
      <c r="D5367" s="76">
        <v>1753495</v>
      </c>
      <c r="E5367">
        <f>VLOOKUP(C5367,'All Districts'!$B$3:$C$874,2,FALSE)</f>
        <v>3680700</v>
      </c>
      <c r="F5367" s="91">
        <f>COUNTIF($E$2:$E$7106,E5367)</f>
        <v>9</v>
      </c>
    </row>
    <row r="5368" spans="1:6" x14ac:dyDescent="0.2">
      <c r="A5368">
        <v>2022</v>
      </c>
      <c r="B5368" s="36">
        <v>6075</v>
      </c>
      <c r="C5368" s="90" t="str">
        <f>VLOOKUP(B5368,'All Districts'!$A$3:$B$874,2,FALSE)</f>
        <v>Rensselaer-Columbia-Greene (Questar III)</v>
      </c>
      <c r="D5368" s="82">
        <v>1869548</v>
      </c>
      <c r="E5368">
        <f>VLOOKUP(C5368,'All Districts'!$B$3:$C$874,2,FALSE)</f>
        <v>3680700</v>
      </c>
      <c r="F5368" s="91">
        <f>COUNTIF($E$2:$E$7106,E5368)</f>
        <v>9</v>
      </c>
    </row>
    <row r="5369" spans="1:6" x14ac:dyDescent="0.2">
      <c r="A5369">
        <v>2023</v>
      </c>
      <c r="B5369" s="36">
        <v>6075</v>
      </c>
      <c r="C5369" s="90" t="str">
        <f>VLOOKUP(B5369,'All Districts'!$A$3:$B$874,2,FALSE)</f>
        <v>Rensselaer-Columbia-Greene (Questar III)</v>
      </c>
      <c r="D5369" s="40">
        <v>2139522</v>
      </c>
      <c r="E5369">
        <f>VLOOKUP(C5369,'All Districts'!$B$3:$C$874,2,FALSE)</f>
        <v>3680700</v>
      </c>
      <c r="F5369" s="91">
        <f>COUNTIF($E$2:$E$7106,E5369)</f>
        <v>9</v>
      </c>
    </row>
    <row r="5370" spans="1:6" x14ac:dyDescent="0.2">
      <c r="A5370">
        <v>2015</v>
      </c>
      <c r="B5370" s="13">
        <v>3635</v>
      </c>
      <c r="C5370" s="90" t="str">
        <f>VLOOKUP(B5370,'All Districts'!$A$3:$B$874,2,FALSE)</f>
        <v>Rhinebeck</v>
      </c>
      <c r="D5370" s="14">
        <v>2080750</v>
      </c>
      <c r="E5370">
        <f>VLOOKUP(C5370,'All Districts'!$B$3:$C$874,2,FALSE)</f>
        <v>3624480</v>
      </c>
      <c r="F5370" s="91">
        <f>COUNTIF($E$2:$E$7106,E5370)</f>
        <v>9</v>
      </c>
    </row>
    <row r="5371" spans="1:6" x14ac:dyDescent="0.2">
      <c r="A5371">
        <v>2016</v>
      </c>
      <c r="B5371" s="13">
        <v>3635</v>
      </c>
      <c r="C5371" s="90" t="str">
        <f>VLOOKUP(B5371,'All Districts'!$A$3:$B$874,2,FALSE)</f>
        <v>Rhinebeck</v>
      </c>
      <c r="D5371" s="16">
        <v>1573669</v>
      </c>
      <c r="E5371">
        <f>VLOOKUP(C5371,'All Districts'!$B$3:$C$874,2,FALSE)</f>
        <v>3624480</v>
      </c>
      <c r="F5371" s="91">
        <f>COUNTIF($E$2:$E$7106,E5371)</f>
        <v>9</v>
      </c>
    </row>
    <row r="5372" spans="1:6" x14ac:dyDescent="0.2">
      <c r="A5372">
        <v>2017</v>
      </c>
      <c r="B5372" s="13">
        <v>3635</v>
      </c>
      <c r="C5372" s="90" t="str">
        <f>VLOOKUP(B5372,'All Districts'!$A$3:$B$874,2,FALSE)</f>
        <v>Rhinebeck</v>
      </c>
      <c r="D5372" s="16">
        <v>1426452</v>
      </c>
      <c r="E5372">
        <f>VLOOKUP(C5372,'All Districts'!$B$3:$C$874,2,FALSE)</f>
        <v>3624480</v>
      </c>
      <c r="F5372" s="91">
        <f>COUNTIF($E$2:$E$7106,E5372)</f>
        <v>9</v>
      </c>
    </row>
    <row r="5373" spans="1:6" x14ac:dyDescent="0.2">
      <c r="A5373" s="10">
        <v>2018</v>
      </c>
      <c r="B5373" s="13">
        <v>3635</v>
      </c>
      <c r="C5373" s="90" t="str">
        <f>VLOOKUP(B5373,'All Districts'!$A$3:$B$874,2,FALSE)</f>
        <v>Rhinebeck</v>
      </c>
      <c r="D5373" s="15">
        <v>1188987</v>
      </c>
      <c r="E5373">
        <f>VLOOKUP(C5373,'All Districts'!$B$3:$C$874,2,FALSE)</f>
        <v>3624480</v>
      </c>
      <c r="F5373" s="91">
        <f>COUNTIF($E$2:$E$7106,E5373)</f>
        <v>9</v>
      </c>
    </row>
    <row r="5374" spans="1:6" x14ac:dyDescent="0.2">
      <c r="A5374">
        <v>2019</v>
      </c>
      <c r="B5374" s="36">
        <v>3635</v>
      </c>
      <c r="C5374" s="90" t="str">
        <f>VLOOKUP(B5374,'All Districts'!$A$3:$B$874,2,FALSE)</f>
        <v>Rhinebeck</v>
      </c>
      <c r="D5374" s="40">
        <v>1320430</v>
      </c>
      <c r="E5374">
        <f>VLOOKUP(C5374,'All Districts'!$B$3:$C$874,2,FALSE)</f>
        <v>3624480</v>
      </c>
      <c r="F5374" s="91">
        <f>COUNTIF($E$2:$E$7106,E5374)</f>
        <v>9</v>
      </c>
    </row>
    <row r="5375" spans="1:6" x14ac:dyDescent="0.2">
      <c r="A5375">
        <v>2020</v>
      </c>
      <c r="B5375" s="36">
        <v>3635</v>
      </c>
      <c r="C5375" s="90" t="str">
        <f>VLOOKUP(B5375,'All Districts'!$A$3:$B$874,2,FALSE)</f>
        <v>Rhinebeck</v>
      </c>
      <c r="D5375" s="40">
        <v>1069852</v>
      </c>
      <c r="E5375">
        <f>VLOOKUP(C5375,'All Districts'!$B$3:$C$874,2,FALSE)</f>
        <v>3624480</v>
      </c>
      <c r="F5375" s="91">
        <f>COUNTIF($E$2:$E$7106,E5375)</f>
        <v>9</v>
      </c>
    </row>
    <row r="5376" spans="1:6" x14ac:dyDescent="0.2">
      <c r="A5376" s="10">
        <v>2021</v>
      </c>
      <c r="B5376" s="52">
        <v>3635</v>
      </c>
      <c r="C5376" s="90" t="str">
        <f>VLOOKUP(B5376,'All Districts'!$A$3:$B$874,2,FALSE)</f>
        <v>Rhinebeck</v>
      </c>
      <c r="D5376" s="76">
        <v>1156502</v>
      </c>
      <c r="E5376">
        <f>VLOOKUP(C5376,'All Districts'!$B$3:$C$874,2,FALSE)</f>
        <v>3624480</v>
      </c>
      <c r="F5376" s="91">
        <f>COUNTIF($E$2:$E$7106,E5376)</f>
        <v>9</v>
      </c>
    </row>
    <row r="5377" spans="1:6" x14ac:dyDescent="0.2">
      <c r="A5377">
        <v>2022</v>
      </c>
      <c r="B5377" s="36">
        <v>3635</v>
      </c>
      <c r="C5377" s="90" t="str">
        <f>VLOOKUP(B5377,'All Districts'!$A$3:$B$874,2,FALSE)</f>
        <v>Rhinebeck</v>
      </c>
      <c r="D5377" s="82">
        <v>1234086</v>
      </c>
      <c r="E5377">
        <f>VLOOKUP(C5377,'All Districts'!$B$3:$C$874,2,FALSE)</f>
        <v>3624480</v>
      </c>
      <c r="F5377" s="91">
        <f>COUNTIF($E$2:$E$7106,E5377)</f>
        <v>9</v>
      </c>
    </row>
    <row r="5378" spans="1:6" x14ac:dyDescent="0.2">
      <c r="A5378">
        <v>2023</v>
      </c>
      <c r="B5378" s="36">
        <v>3635</v>
      </c>
      <c r="C5378" s="90" t="str">
        <f>VLOOKUP(B5378,'All Districts'!$A$3:$B$874,2,FALSE)</f>
        <v>Rhinebeck</v>
      </c>
      <c r="D5378" s="40">
        <v>1324238</v>
      </c>
      <c r="E5378">
        <f>VLOOKUP(C5378,'All Districts'!$B$3:$C$874,2,FALSE)</f>
        <v>3624480</v>
      </c>
      <c r="F5378" s="91">
        <f>COUNTIF($E$2:$E$7106,E5378)</f>
        <v>9</v>
      </c>
    </row>
    <row r="5379" spans="1:6" x14ac:dyDescent="0.2">
      <c r="A5379">
        <v>2015</v>
      </c>
      <c r="B5379" s="13">
        <v>4034</v>
      </c>
      <c r="C5379" s="90" t="str">
        <f>VLOOKUP(B5379,'All Districts'!$A$3:$B$874,2,FALSE)</f>
        <v>Richfield Springs</v>
      </c>
      <c r="D5379" s="14">
        <v>573350</v>
      </c>
      <c r="E5379">
        <f>VLOOKUP(C5379,'All Districts'!$B$3:$C$874,2,FALSE)</f>
        <v>3624570</v>
      </c>
      <c r="F5379" s="91">
        <f>COUNTIF($E$2:$E$7106,E5379)</f>
        <v>9</v>
      </c>
    </row>
    <row r="5380" spans="1:6" x14ac:dyDescent="0.2">
      <c r="A5380">
        <v>2016</v>
      </c>
      <c r="B5380" s="13">
        <v>4034</v>
      </c>
      <c r="C5380" s="90" t="str">
        <f>VLOOKUP(B5380,'All Districts'!$A$3:$B$874,2,FALSE)</f>
        <v>Richfield Springs</v>
      </c>
      <c r="D5380" s="16">
        <v>429094</v>
      </c>
      <c r="E5380">
        <f>VLOOKUP(C5380,'All Districts'!$B$3:$C$874,2,FALSE)</f>
        <v>3624570</v>
      </c>
      <c r="F5380" s="91">
        <f>COUNTIF($E$2:$E$7106,E5380)</f>
        <v>9</v>
      </c>
    </row>
    <row r="5381" spans="1:6" x14ac:dyDescent="0.2">
      <c r="A5381">
        <v>2017</v>
      </c>
      <c r="B5381" s="13">
        <v>4034</v>
      </c>
      <c r="C5381" s="90" t="str">
        <f>VLOOKUP(B5381,'All Districts'!$A$3:$B$874,2,FALSE)</f>
        <v>Richfield Springs</v>
      </c>
      <c r="D5381" s="16">
        <v>417914</v>
      </c>
      <c r="E5381">
        <f>VLOOKUP(C5381,'All Districts'!$B$3:$C$874,2,FALSE)</f>
        <v>3624570</v>
      </c>
      <c r="F5381" s="91">
        <f>COUNTIF($E$2:$E$7106,E5381)</f>
        <v>9</v>
      </c>
    </row>
    <row r="5382" spans="1:6" x14ac:dyDescent="0.2">
      <c r="A5382" s="10">
        <v>2018</v>
      </c>
      <c r="B5382" s="13">
        <v>4034</v>
      </c>
      <c r="C5382" s="90" t="str">
        <f>VLOOKUP(B5382,'All Districts'!$A$3:$B$874,2,FALSE)</f>
        <v>Richfield Springs</v>
      </c>
      <c r="D5382" s="15">
        <v>357410</v>
      </c>
      <c r="E5382">
        <f>VLOOKUP(C5382,'All Districts'!$B$3:$C$874,2,FALSE)</f>
        <v>3624570</v>
      </c>
      <c r="F5382" s="91">
        <f>COUNTIF($E$2:$E$7106,E5382)</f>
        <v>9</v>
      </c>
    </row>
    <row r="5383" spans="1:6" x14ac:dyDescent="0.2">
      <c r="A5383">
        <v>2019</v>
      </c>
      <c r="B5383" s="36">
        <v>4034</v>
      </c>
      <c r="C5383" s="90" t="str">
        <f>VLOOKUP(B5383,'All Districts'!$A$3:$B$874,2,FALSE)</f>
        <v>Richfield Springs</v>
      </c>
      <c r="D5383" s="40">
        <v>384265</v>
      </c>
      <c r="E5383">
        <f>VLOOKUP(C5383,'All Districts'!$B$3:$C$874,2,FALSE)</f>
        <v>3624570</v>
      </c>
      <c r="F5383" s="91">
        <f>COUNTIF($E$2:$E$7106,E5383)</f>
        <v>9</v>
      </c>
    </row>
    <row r="5384" spans="1:6" x14ac:dyDescent="0.2">
      <c r="A5384">
        <v>2020</v>
      </c>
      <c r="B5384" s="36">
        <v>4034</v>
      </c>
      <c r="C5384" s="90" t="str">
        <f>VLOOKUP(B5384,'All Districts'!$A$3:$B$874,2,FALSE)</f>
        <v>Richfield Springs</v>
      </c>
      <c r="D5384" s="40">
        <v>327878</v>
      </c>
      <c r="E5384">
        <f>VLOOKUP(C5384,'All Districts'!$B$3:$C$874,2,FALSE)</f>
        <v>3624570</v>
      </c>
      <c r="F5384" s="91">
        <f>COUNTIF($E$2:$E$7106,E5384)</f>
        <v>9</v>
      </c>
    </row>
    <row r="5385" spans="1:6" x14ac:dyDescent="0.2">
      <c r="A5385" s="10">
        <v>2021</v>
      </c>
      <c r="B5385" s="52">
        <v>4034</v>
      </c>
      <c r="C5385" s="90" t="str">
        <f>VLOOKUP(B5385,'All Districts'!$A$3:$B$874,2,FALSE)</f>
        <v>Richfield Springs</v>
      </c>
      <c r="D5385" s="75">
        <v>355940</v>
      </c>
      <c r="E5385">
        <f>VLOOKUP(C5385,'All Districts'!$B$3:$C$874,2,FALSE)</f>
        <v>3624570</v>
      </c>
      <c r="F5385" s="91">
        <f>COUNTIF($E$2:$E$7106,E5385)</f>
        <v>9</v>
      </c>
    </row>
    <row r="5386" spans="1:6" x14ac:dyDescent="0.2">
      <c r="A5386">
        <v>2022</v>
      </c>
      <c r="B5386" s="36">
        <v>4034</v>
      </c>
      <c r="C5386" s="90" t="str">
        <f>VLOOKUP(B5386,'All Districts'!$A$3:$B$874,2,FALSE)</f>
        <v>Richfield Springs</v>
      </c>
      <c r="D5386" s="82">
        <v>376524</v>
      </c>
      <c r="E5386">
        <f>VLOOKUP(C5386,'All Districts'!$B$3:$C$874,2,FALSE)</f>
        <v>3624570</v>
      </c>
      <c r="F5386" s="91">
        <f>COUNTIF($E$2:$E$7106,E5386)</f>
        <v>9</v>
      </c>
    </row>
    <row r="5387" spans="1:6" x14ac:dyDescent="0.2">
      <c r="A5387">
        <v>2023</v>
      </c>
      <c r="B5387" s="36">
        <v>4034</v>
      </c>
      <c r="C5387" s="90" t="str">
        <f>VLOOKUP(B5387,'All Districts'!$A$3:$B$874,2,FALSE)</f>
        <v>Richfield Springs</v>
      </c>
      <c r="D5387" s="40">
        <v>386901</v>
      </c>
      <c r="E5387">
        <f>VLOOKUP(C5387,'All Districts'!$B$3:$C$874,2,FALSE)</f>
        <v>3624570</v>
      </c>
      <c r="F5387" s="91">
        <f>COUNTIF($E$2:$E$7106,E5387)</f>
        <v>9</v>
      </c>
    </row>
    <row r="5388" spans="1:6" x14ac:dyDescent="0.2">
      <c r="A5388">
        <v>2015</v>
      </c>
      <c r="B5388" s="13">
        <v>3307</v>
      </c>
      <c r="C5388" s="90" t="str">
        <f>VLOOKUP(B5388,'All Districts'!$A$3:$B$874,2,FALSE)</f>
        <v>Ripley</v>
      </c>
      <c r="D5388" s="14">
        <v>312164</v>
      </c>
      <c r="E5388">
        <f>VLOOKUP(C5388,'All Districts'!$B$3:$C$874,2,FALSE)</f>
        <v>3624660</v>
      </c>
      <c r="F5388" s="91">
        <f>COUNTIF($E$2:$E$7106,E5388)</f>
        <v>9</v>
      </c>
    </row>
    <row r="5389" spans="1:6" x14ac:dyDescent="0.2">
      <c r="A5389">
        <v>2016</v>
      </c>
      <c r="B5389" s="13">
        <v>3307</v>
      </c>
      <c r="C5389" s="90" t="str">
        <f>VLOOKUP(B5389,'All Districts'!$A$3:$B$874,2,FALSE)</f>
        <v>Ripley</v>
      </c>
      <c r="D5389" s="16">
        <v>236579</v>
      </c>
      <c r="E5389">
        <f>VLOOKUP(C5389,'All Districts'!$B$3:$C$874,2,FALSE)</f>
        <v>3624660</v>
      </c>
      <c r="F5389" s="91">
        <f>COUNTIF($E$2:$E$7106,E5389)</f>
        <v>9</v>
      </c>
    </row>
    <row r="5390" spans="1:6" x14ac:dyDescent="0.2">
      <c r="A5390">
        <v>2017</v>
      </c>
      <c r="B5390" s="13">
        <v>3307</v>
      </c>
      <c r="C5390" s="90" t="str">
        <f>VLOOKUP(B5390,'All Districts'!$A$3:$B$874,2,FALSE)</f>
        <v>Ripley</v>
      </c>
      <c r="D5390" s="16">
        <v>204735</v>
      </c>
      <c r="E5390">
        <f>VLOOKUP(C5390,'All Districts'!$B$3:$C$874,2,FALSE)</f>
        <v>3624660</v>
      </c>
      <c r="F5390" s="91">
        <f>COUNTIF($E$2:$E$7106,E5390)</f>
        <v>9</v>
      </c>
    </row>
    <row r="5391" spans="1:6" x14ac:dyDescent="0.2">
      <c r="A5391" s="10">
        <v>2018</v>
      </c>
      <c r="B5391" s="13">
        <v>3307</v>
      </c>
      <c r="C5391" s="90" t="str">
        <f>VLOOKUP(B5391,'All Districts'!$A$3:$B$874,2,FALSE)</f>
        <v>Ripley</v>
      </c>
      <c r="D5391" s="15">
        <v>181775</v>
      </c>
      <c r="E5391">
        <f>VLOOKUP(C5391,'All Districts'!$B$3:$C$874,2,FALSE)</f>
        <v>3624660</v>
      </c>
      <c r="F5391" s="91">
        <f>COUNTIF($E$2:$E$7106,E5391)</f>
        <v>9</v>
      </c>
    </row>
    <row r="5392" spans="1:6" x14ac:dyDescent="0.2">
      <c r="A5392">
        <v>2019</v>
      </c>
      <c r="B5392" s="36">
        <v>3307</v>
      </c>
      <c r="C5392" s="90" t="str">
        <f>VLOOKUP(B5392,'All Districts'!$A$3:$B$874,2,FALSE)</f>
        <v>Ripley</v>
      </c>
      <c r="D5392" s="40">
        <v>181283</v>
      </c>
      <c r="E5392">
        <f>VLOOKUP(C5392,'All Districts'!$B$3:$C$874,2,FALSE)</f>
        <v>3624660</v>
      </c>
      <c r="F5392" s="91">
        <f>COUNTIF($E$2:$E$7106,E5392)</f>
        <v>9</v>
      </c>
    </row>
    <row r="5393" spans="1:6" x14ac:dyDescent="0.2">
      <c r="A5393">
        <v>2020</v>
      </c>
      <c r="B5393" s="36">
        <v>3307</v>
      </c>
      <c r="C5393" s="90" t="str">
        <f>VLOOKUP(B5393,'All Districts'!$A$3:$B$874,2,FALSE)</f>
        <v>Ripley</v>
      </c>
      <c r="D5393" s="40">
        <v>143608</v>
      </c>
      <c r="E5393">
        <f>VLOOKUP(C5393,'All Districts'!$B$3:$C$874,2,FALSE)</f>
        <v>3624660</v>
      </c>
      <c r="F5393" s="91">
        <f>COUNTIF($E$2:$E$7106,E5393)</f>
        <v>9</v>
      </c>
    </row>
    <row r="5394" spans="1:6" x14ac:dyDescent="0.2">
      <c r="A5394" s="10">
        <v>2021</v>
      </c>
      <c r="B5394" s="52">
        <v>3307</v>
      </c>
      <c r="C5394" s="90" t="str">
        <f>VLOOKUP(B5394,'All Districts'!$A$3:$B$874,2,FALSE)</f>
        <v>Ripley</v>
      </c>
      <c r="D5394" s="76">
        <v>165326</v>
      </c>
      <c r="E5394">
        <f>VLOOKUP(C5394,'All Districts'!$B$3:$C$874,2,FALSE)</f>
        <v>3624660</v>
      </c>
      <c r="F5394" s="91">
        <f>COUNTIF($E$2:$E$7106,E5394)</f>
        <v>9</v>
      </c>
    </row>
    <row r="5395" spans="1:6" x14ac:dyDescent="0.2">
      <c r="A5395">
        <v>2022</v>
      </c>
      <c r="B5395" s="36">
        <v>3307</v>
      </c>
      <c r="C5395" s="90" t="str">
        <f>VLOOKUP(B5395,'All Districts'!$A$3:$B$874,2,FALSE)</f>
        <v>Ripley</v>
      </c>
      <c r="D5395" s="82">
        <v>187297</v>
      </c>
      <c r="E5395">
        <f>VLOOKUP(C5395,'All Districts'!$B$3:$C$874,2,FALSE)</f>
        <v>3624660</v>
      </c>
      <c r="F5395" s="91">
        <f>COUNTIF($E$2:$E$7106,E5395)</f>
        <v>9</v>
      </c>
    </row>
    <row r="5396" spans="1:6" x14ac:dyDescent="0.2">
      <c r="A5396">
        <v>2023</v>
      </c>
      <c r="B5396" s="36">
        <v>3307</v>
      </c>
      <c r="C5396" s="90" t="str">
        <f>VLOOKUP(B5396,'All Districts'!$A$3:$B$874,2,FALSE)</f>
        <v>Ripley</v>
      </c>
      <c r="D5396" s="40">
        <v>196524</v>
      </c>
      <c r="E5396">
        <f>VLOOKUP(C5396,'All Districts'!$B$3:$C$874,2,FALSE)</f>
        <v>3624660</v>
      </c>
      <c r="F5396" s="91">
        <f>COUNTIF($E$2:$E$7106,E5396)</f>
        <v>9</v>
      </c>
    </row>
    <row r="5397" spans="1:6" x14ac:dyDescent="0.2">
      <c r="A5397">
        <v>2015</v>
      </c>
      <c r="B5397" s="13">
        <v>6048</v>
      </c>
      <c r="C5397" s="90" t="str">
        <f>VLOOKUP(B5397,'All Districts'!$A$3:$B$874,2,FALSE)</f>
        <v>Genesee-Livingston-Steuben-Wyoming (Genesee Valley)</v>
      </c>
      <c r="D5397" s="15">
        <v>1892281</v>
      </c>
      <c r="E5397">
        <f>VLOOKUP(C5397,'All Districts'!$B$3:$C$874,2,FALSE)</f>
        <v>3680460</v>
      </c>
      <c r="F5397" s="91">
        <f>COUNTIF($E$2:$E$7106,E5397)</f>
        <v>9</v>
      </c>
    </row>
    <row r="5398" spans="1:6" x14ac:dyDescent="0.2">
      <c r="A5398">
        <v>2016</v>
      </c>
      <c r="B5398" s="13">
        <v>6048</v>
      </c>
      <c r="C5398" s="90" t="str">
        <f>VLOOKUP(B5398,'All Districts'!$A$3:$B$874,2,FALSE)</f>
        <v>Genesee-Livingston-Steuben-Wyoming (Genesee Valley)</v>
      </c>
      <c r="D5398" s="16">
        <v>1466044</v>
      </c>
      <c r="E5398">
        <f>VLOOKUP(C5398,'All Districts'!$B$3:$C$874,2,FALSE)</f>
        <v>3680460</v>
      </c>
      <c r="F5398" s="91">
        <f>COUNTIF($E$2:$E$7106,E5398)</f>
        <v>9</v>
      </c>
    </row>
    <row r="5399" spans="1:6" x14ac:dyDescent="0.2">
      <c r="A5399">
        <v>2017</v>
      </c>
      <c r="B5399" s="13">
        <v>6048</v>
      </c>
      <c r="C5399" s="90" t="str">
        <f>VLOOKUP(B5399,'All Districts'!$A$3:$B$874,2,FALSE)</f>
        <v>Genesee-Livingston-Steuben-Wyoming (Genesee Valley)</v>
      </c>
      <c r="D5399" s="16">
        <v>1361845</v>
      </c>
      <c r="E5399">
        <f>VLOOKUP(C5399,'All Districts'!$B$3:$C$874,2,FALSE)</f>
        <v>3680460</v>
      </c>
      <c r="F5399" s="91">
        <f>COUNTIF($E$2:$E$7106,E5399)</f>
        <v>9</v>
      </c>
    </row>
    <row r="5400" spans="1:6" x14ac:dyDescent="0.2">
      <c r="A5400" s="10">
        <v>2018</v>
      </c>
      <c r="B5400" s="13">
        <v>6048</v>
      </c>
      <c r="C5400" s="90" t="str">
        <f>VLOOKUP(B5400,'All Districts'!$A$3:$B$874,2,FALSE)</f>
        <v>Genesee-Livingston-Steuben-Wyoming (Genesee Valley)</v>
      </c>
      <c r="D5400" s="15">
        <v>1151849</v>
      </c>
      <c r="E5400">
        <f>VLOOKUP(C5400,'All Districts'!$B$3:$C$874,2,FALSE)</f>
        <v>3680460</v>
      </c>
      <c r="F5400" s="91">
        <f>COUNTIF($E$2:$E$7106,E5400)</f>
        <v>9</v>
      </c>
    </row>
    <row r="5401" spans="1:6" x14ac:dyDescent="0.2">
      <c r="A5401">
        <v>2019</v>
      </c>
      <c r="B5401" s="36">
        <v>6048</v>
      </c>
      <c r="C5401" s="90" t="str">
        <f>VLOOKUP(B5401,'All Districts'!$A$3:$B$874,2,FALSE)</f>
        <v>Genesee-Livingston-Steuben-Wyoming (Genesee Valley)</v>
      </c>
      <c r="D5401" s="40">
        <v>1251647</v>
      </c>
      <c r="E5401">
        <f>VLOOKUP(C5401,'All Districts'!$B$3:$C$874,2,FALSE)</f>
        <v>3680460</v>
      </c>
      <c r="F5401" s="91">
        <f>COUNTIF($E$2:$E$7106,E5401)</f>
        <v>9</v>
      </c>
    </row>
    <row r="5402" spans="1:6" x14ac:dyDescent="0.2">
      <c r="A5402">
        <v>2020</v>
      </c>
      <c r="B5402" s="36">
        <v>6048</v>
      </c>
      <c r="C5402" s="90" t="str">
        <f>VLOOKUP(B5402,'All Districts'!$A$3:$B$874,2,FALSE)</f>
        <v>Genesee-Livingston-Steuben-Wyoming (Genesee Valley)</v>
      </c>
      <c r="D5402" s="40">
        <v>1026274</v>
      </c>
      <c r="E5402">
        <f>VLOOKUP(C5402,'All Districts'!$B$3:$C$874,2,FALSE)</f>
        <v>3680460</v>
      </c>
      <c r="F5402" s="91">
        <f>COUNTIF($E$2:$E$7106,E5402)</f>
        <v>9</v>
      </c>
    </row>
    <row r="5403" spans="1:6" x14ac:dyDescent="0.2">
      <c r="A5403" s="10">
        <v>2021</v>
      </c>
      <c r="B5403" s="52">
        <v>6048</v>
      </c>
      <c r="C5403" s="90" t="str">
        <f>VLOOKUP(B5403,'All Districts'!$A$3:$B$874,2,FALSE)</f>
        <v>Genesee-Livingston-Steuben-Wyoming (Genesee Valley)</v>
      </c>
      <c r="D5403" s="76">
        <v>1062941</v>
      </c>
      <c r="E5403">
        <f>VLOOKUP(C5403,'All Districts'!$B$3:$C$874,2,FALSE)</f>
        <v>3680460</v>
      </c>
      <c r="F5403" s="91">
        <f>COUNTIF($E$2:$E$7106,E5403)</f>
        <v>9</v>
      </c>
    </row>
    <row r="5404" spans="1:6" x14ac:dyDescent="0.2">
      <c r="A5404">
        <v>2022</v>
      </c>
      <c r="B5404" s="36">
        <v>6048</v>
      </c>
      <c r="C5404" s="90" t="str">
        <f>VLOOKUP(B5404,'All Districts'!$A$3:$B$874,2,FALSE)</f>
        <v>Genesee-Livingston-Steuben-Wyoming (Genesee Valley)</v>
      </c>
      <c r="D5404" s="82">
        <v>1219952</v>
      </c>
      <c r="E5404">
        <f>VLOOKUP(C5404,'All Districts'!$B$3:$C$874,2,FALSE)</f>
        <v>3680460</v>
      </c>
      <c r="F5404" s="91">
        <f>COUNTIF($E$2:$E$7106,E5404)</f>
        <v>9</v>
      </c>
    </row>
    <row r="5405" spans="1:6" x14ac:dyDescent="0.2">
      <c r="A5405">
        <v>2023</v>
      </c>
      <c r="B5405" s="36">
        <v>6048</v>
      </c>
      <c r="C5405" s="90" t="str">
        <f>VLOOKUP(B5405,'All Districts'!$A$3:$B$874,2,FALSE)</f>
        <v>Genesee-Livingston-Steuben-Wyoming (Genesee Valley)</v>
      </c>
      <c r="D5405" s="40">
        <v>1246859</v>
      </c>
      <c r="E5405">
        <f>VLOOKUP(C5405,'All Districts'!$B$3:$C$874,2,FALSE)</f>
        <v>3680460</v>
      </c>
      <c r="F5405" s="91">
        <f>COUNTIF($E$2:$E$7106,E5405)</f>
        <v>9</v>
      </c>
    </row>
    <row r="5406" spans="1:6" x14ac:dyDescent="0.2">
      <c r="A5406">
        <v>2015</v>
      </c>
      <c r="B5406" s="13">
        <v>1235</v>
      </c>
      <c r="C5406" s="90" t="str">
        <f>VLOOKUP(B5406,'All Districts'!$A$3:$B$874,2,FALSE)</f>
        <v>Rochester</v>
      </c>
      <c r="D5406" s="14">
        <v>43807308</v>
      </c>
      <c r="E5406">
        <f>VLOOKUP(C5406,'All Districts'!$B$3:$C$874,2,FALSE)</f>
        <v>3624750</v>
      </c>
      <c r="F5406" s="91">
        <f>COUNTIF($E$2:$E$7106,E5406)</f>
        <v>9</v>
      </c>
    </row>
    <row r="5407" spans="1:6" x14ac:dyDescent="0.2">
      <c r="A5407">
        <v>2016</v>
      </c>
      <c r="B5407" s="13">
        <v>1235</v>
      </c>
      <c r="C5407" s="90" t="str">
        <f>VLOOKUP(B5407,'All Districts'!$A$3:$B$874,2,FALSE)</f>
        <v>Rochester</v>
      </c>
      <c r="D5407" s="16">
        <v>33799021</v>
      </c>
      <c r="E5407">
        <f>VLOOKUP(C5407,'All Districts'!$B$3:$C$874,2,FALSE)</f>
        <v>3624750</v>
      </c>
      <c r="F5407" s="91">
        <f>COUNTIF($E$2:$E$7106,E5407)</f>
        <v>9</v>
      </c>
    </row>
    <row r="5408" spans="1:6" x14ac:dyDescent="0.2">
      <c r="A5408">
        <v>2017</v>
      </c>
      <c r="B5408" s="13">
        <v>1235</v>
      </c>
      <c r="C5408" s="90" t="str">
        <f>VLOOKUP(B5408,'All Districts'!$A$3:$B$874,2,FALSE)</f>
        <v>Rochester</v>
      </c>
      <c r="D5408" s="16">
        <v>30022510</v>
      </c>
      <c r="E5408">
        <f>VLOOKUP(C5408,'All Districts'!$B$3:$C$874,2,FALSE)</f>
        <v>3624750</v>
      </c>
      <c r="F5408" s="91">
        <f>COUNTIF($E$2:$E$7106,E5408)</f>
        <v>9</v>
      </c>
    </row>
    <row r="5409" spans="1:6" x14ac:dyDescent="0.2">
      <c r="A5409" s="10">
        <v>2018</v>
      </c>
      <c r="B5409" s="13">
        <v>1235</v>
      </c>
      <c r="C5409" s="90" t="str">
        <f>VLOOKUP(B5409,'All Districts'!$A$3:$B$874,2,FALSE)</f>
        <v>Rochester</v>
      </c>
      <c r="D5409" s="15">
        <v>27173940</v>
      </c>
      <c r="E5409">
        <f>VLOOKUP(C5409,'All Districts'!$B$3:$C$874,2,FALSE)</f>
        <v>3624750</v>
      </c>
      <c r="F5409" s="91">
        <f>COUNTIF($E$2:$E$7106,E5409)</f>
        <v>9</v>
      </c>
    </row>
    <row r="5410" spans="1:6" x14ac:dyDescent="0.2">
      <c r="A5410">
        <v>2019</v>
      </c>
      <c r="B5410" s="36">
        <v>1235</v>
      </c>
      <c r="C5410" s="90" t="str">
        <f>VLOOKUP(B5410,'All Districts'!$A$3:$B$874,2,FALSE)</f>
        <v>Rochester</v>
      </c>
      <c r="D5410" s="40">
        <v>30530120</v>
      </c>
      <c r="E5410">
        <f>VLOOKUP(C5410,'All Districts'!$B$3:$C$874,2,FALSE)</f>
        <v>3624750</v>
      </c>
      <c r="F5410" s="91">
        <f>COUNTIF($E$2:$E$7106,E5410)</f>
        <v>9</v>
      </c>
    </row>
    <row r="5411" spans="1:6" x14ac:dyDescent="0.2">
      <c r="A5411">
        <v>2020</v>
      </c>
      <c r="B5411" s="36">
        <v>1235</v>
      </c>
      <c r="C5411" s="90" t="str">
        <f>VLOOKUP(B5411,'All Districts'!$A$3:$B$874,2,FALSE)</f>
        <v>Rochester</v>
      </c>
      <c r="D5411" s="40">
        <v>23761757</v>
      </c>
      <c r="E5411">
        <f>VLOOKUP(C5411,'All Districts'!$B$3:$C$874,2,FALSE)</f>
        <v>3624750</v>
      </c>
      <c r="F5411" s="91">
        <f>COUNTIF($E$2:$E$7106,E5411)</f>
        <v>9</v>
      </c>
    </row>
    <row r="5412" spans="1:6" x14ac:dyDescent="0.2">
      <c r="A5412" s="10">
        <v>2021</v>
      </c>
      <c r="B5412" s="55">
        <v>1235</v>
      </c>
      <c r="C5412" s="90" t="str">
        <f>VLOOKUP(B5412,'All Districts'!$A$3:$B$874,2,FALSE)</f>
        <v>Rochester</v>
      </c>
      <c r="D5412" s="76">
        <v>23367927</v>
      </c>
      <c r="E5412">
        <f>VLOOKUP(C5412,'All Districts'!$B$3:$C$874,2,FALSE)</f>
        <v>3624750</v>
      </c>
      <c r="F5412" s="91">
        <f>COUNTIF($E$2:$E$7106,E5412)</f>
        <v>9</v>
      </c>
    </row>
    <row r="5413" spans="1:6" x14ac:dyDescent="0.2">
      <c r="A5413">
        <v>2022</v>
      </c>
      <c r="B5413" s="36">
        <v>1235</v>
      </c>
      <c r="C5413" s="90" t="str">
        <f>VLOOKUP(B5413,'All Districts'!$A$3:$B$874,2,FALSE)</f>
        <v>Rochester</v>
      </c>
      <c r="D5413" s="82">
        <v>24726931</v>
      </c>
      <c r="E5413">
        <f>VLOOKUP(C5413,'All Districts'!$B$3:$C$874,2,FALSE)</f>
        <v>3624750</v>
      </c>
      <c r="F5413" s="91">
        <f>COUNTIF($E$2:$E$7106,E5413)</f>
        <v>9</v>
      </c>
    </row>
    <row r="5414" spans="1:6" x14ac:dyDescent="0.2">
      <c r="A5414">
        <v>2023</v>
      </c>
      <c r="B5414" s="36">
        <v>1235</v>
      </c>
      <c r="C5414" s="90" t="str">
        <f>VLOOKUP(B5414,'All Districts'!$A$3:$B$874,2,FALSE)</f>
        <v>Rochester</v>
      </c>
      <c r="D5414" s="40">
        <v>29239038</v>
      </c>
      <c r="E5414">
        <f>VLOOKUP(C5414,'All Districts'!$B$3:$C$874,2,FALSE)</f>
        <v>3624750</v>
      </c>
      <c r="F5414" s="91">
        <f>COUNTIF($E$2:$E$7106,E5414)</f>
        <v>9</v>
      </c>
    </row>
    <row r="5415" spans="1:6" x14ac:dyDescent="0.2">
      <c r="A5415">
        <v>2015</v>
      </c>
      <c r="B5415" s="13">
        <v>8425</v>
      </c>
      <c r="C5415" s="90" t="str">
        <f>VLOOKUP(B5415,'All Districts'!$A$3:$B$874,2,FALSE)</f>
        <v>Rochester Academy</v>
      </c>
      <c r="D5415" s="16">
        <v>308176</v>
      </c>
      <c r="E5415">
        <f>VLOOKUP(C5415,'All Districts'!$B$3:$C$874,2,FALSE)</f>
        <v>3600950</v>
      </c>
      <c r="F5415" s="91">
        <f>COUNTIF($E$2:$E$7106,E5415)</f>
        <v>9</v>
      </c>
    </row>
    <row r="5416" spans="1:6" x14ac:dyDescent="0.2">
      <c r="A5416">
        <v>2016</v>
      </c>
      <c r="B5416" s="13">
        <v>8425</v>
      </c>
      <c r="C5416" s="90" t="str">
        <f>VLOOKUP(B5416,'All Districts'!$A$3:$B$874,2,FALSE)</f>
        <v>Rochester Academy</v>
      </c>
      <c r="D5416" s="16">
        <v>264603</v>
      </c>
      <c r="E5416">
        <f>VLOOKUP(C5416,'All Districts'!$B$3:$C$874,2,FALSE)</f>
        <v>3600950</v>
      </c>
      <c r="F5416" s="91">
        <f>COUNTIF($E$2:$E$7106,E5416)</f>
        <v>9</v>
      </c>
    </row>
    <row r="5417" spans="1:6" x14ac:dyDescent="0.2">
      <c r="A5417">
        <v>2017</v>
      </c>
      <c r="B5417" s="13">
        <v>8425</v>
      </c>
      <c r="C5417" s="90" t="str">
        <f>VLOOKUP(B5417,'All Districts'!$A$3:$B$874,2,FALSE)</f>
        <v>Rochester Academy</v>
      </c>
      <c r="D5417" s="16">
        <v>234942</v>
      </c>
      <c r="E5417">
        <f>VLOOKUP(C5417,'All Districts'!$B$3:$C$874,2,FALSE)</f>
        <v>3600950</v>
      </c>
      <c r="F5417" s="91">
        <f>COUNTIF($E$2:$E$7106,E5417)</f>
        <v>9</v>
      </c>
    </row>
    <row r="5418" spans="1:6" x14ac:dyDescent="0.2">
      <c r="A5418" s="10">
        <v>2018</v>
      </c>
      <c r="B5418" s="13">
        <v>8425</v>
      </c>
      <c r="C5418" s="90" t="str">
        <f>VLOOKUP(B5418,'All Districts'!$A$3:$B$874,2,FALSE)</f>
        <v>Rochester Academy</v>
      </c>
      <c r="D5418" s="15">
        <v>212698</v>
      </c>
      <c r="E5418">
        <f>VLOOKUP(C5418,'All Districts'!$B$3:$C$874,2,FALSE)</f>
        <v>3600950</v>
      </c>
      <c r="F5418" s="91">
        <f>COUNTIF($E$2:$E$7106,E5418)</f>
        <v>9</v>
      </c>
    </row>
    <row r="5419" spans="1:6" x14ac:dyDescent="0.2">
      <c r="A5419">
        <v>2019</v>
      </c>
      <c r="B5419" s="36">
        <v>8425</v>
      </c>
      <c r="C5419" s="90" t="str">
        <f>VLOOKUP(B5419,'All Districts'!$A$3:$B$874,2,FALSE)</f>
        <v>Rochester Academy</v>
      </c>
      <c r="D5419" s="40">
        <v>333749</v>
      </c>
      <c r="E5419">
        <f>VLOOKUP(C5419,'All Districts'!$B$3:$C$874,2,FALSE)</f>
        <v>3600950</v>
      </c>
      <c r="F5419" s="91">
        <f>COUNTIF($E$2:$E$7106,E5419)</f>
        <v>9</v>
      </c>
    </row>
    <row r="5420" spans="1:6" x14ac:dyDescent="0.2">
      <c r="A5420">
        <v>2020</v>
      </c>
      <c r="B5420" s="36">
        <v>8425</v>
      </c>
      <c r="C5420" s="90" t="str">
        <f>VLOOKUP(B5420,'All Districts'!$A$3:$B$874,2,FALSE)</f>
        <v>Rochester Academy</v>
      </c>
      <c r="D5420" s="40">
        <v>332012</v>
      </c>
      <c r="E5420">
        <f>VLOOKUP(C5420,'All Districts'!$B$3:$C$874,2,FALSE)</f>
        <v>3600950</v>
      </c>
      <c r="F5420" s="91">
        <f>COUNTIF($E$2:$E$7106,E5420)</f>
        <v>9</v>
      </c>
    </row>
    <row r="5421" spans="1:6" x14ac:dyDescent="0.2">
      <c r="A5421" s="10">
        <v>2021</v>
      </c>
      <c r="B5421" s="55">
        <v>8425</v>
      </c>
      <c r="C5421" s="90" t="str">
        <f>VLOOKUP(B5421,'All Districts'!$A$3:$B$874,2,FALSE)</f>
        <v>Rochester Academy</v>
      </c>
      <c r="D5421" s="76">
        <v>409665</v>
      </c>
      <c r="E5421">
        <f>VLOOKUP(C5421,'All Districts'!$B$3:$C$874,2,FALSE)</f>
        <v>3600950</v>
      </c>
      <c r="F5421" s="91">
        <f>COUNTIF($E$2:$E$7106,E5421)</f>
        <v>9</v>
      </c>
    </row>
    <row r="5422" spans="1:6" x14ac:dyDescent="0.2">
      <c r="A5422">
        <v>2022</v>
      </c>
      <c r="B5422" s="36">
        <v>8425</v>
      </c>
      <c r="C5422" s="90" t="str">
        <f>VLOOKUP(B5422,'All Districts'!$A$3:$B$874,2,FALSE)</f>
        <v>Rochester Academy</v>
      </c>
      <c r="D5422" s="82">
        <v>497369</v>
      </c>
      <c r="E5422">
        <f>VLOOKUP(C5422,'All Districts'!$B$3:$C$874,2,FALSE)</f>
        <v>3600950</v>
      </c>
      <c r="F5422" s="91">
        <f>COUNTIF($E$2:$E$7106,E5422)</f>
        <v>9</v>
      </c>
    </row>
    <row r="5423" spans="1:6" x14ac:dyDescent="0.2">
      <c r="A5423">
        <v>2023</v>
      </c>
      <c r="B5423" s="36">
        <v>8425</v>
      </c>
      <c r="C5423" s="90" t="str">
        <f>VLOOKUP(B5423,'All Districts'!$A$3:$B$874,2,FALSE)</f>
        <v>Rochester Academy</v>
      </c>
      <c r="D5423" s="40">
        <v>606609</v>
      </c>
      <c r="E5423">
        <f>VLOOKUP(C5423,'All Districts'!$B$3:$C$874,2,FALSE)</f>
        <v>3600950</v>
      </c>
      <c r="F5423" s="91">
        <f>COUNTIF($E$2:$E$7106,E5423)</f>
        <v>9</v>
      </c>
    </row>
    <row r="5424" spans="1:6" x14ac:dyDescent="0.2">
      <c r="A5424">
        <v>2015</v>
      </c>
      <c r="B5424" s="13">
        <v>2500</v>
      </c>
      <c r="C5424" s="90" t="str">
        <f>VLOOKUP(B5424,'All Districts'!$A$3:$B$874,2,FALSE)</f>
        <v>Rockville Centre</v>
      </c>
      <c r="D5424" s="14">
        <v>8411137</v>
      </c>
      <c r="E5424">
        <f>VLOOKUP(C5424,'All Districts'!$B$3:$C$874,2,FALSE)</f>
        <v>3624780</v>
      </c>
      <c r="F5424" s="91">
        <f>COUNTIF($E$2:$E$7106,E5424)</f>
        <v>9</v>
      </c>
    </row>
    <row r="5425" spans="1:6" x14ac:dyDescent="0.2">
      <c r="A5425">
        <v>2016</v>
      </c>
      <c r="B5425" s="13">
        <v>2500</v>
      </c>
      <c r="C5425" s="90" t="str">
        <f>VLOOKUP(B5425,'All Districts'!$A$3:$B$874,2,FALSE)</f>
        <v>Rockville Centre</v>
      </c>
      <c r="D5425" s="16">
        <v>6574169</v>
      </c>
      <c r="E5425">
        <f>VLOOKUP(C5425,'All Districts'!$B$3:$C$874,2,FALSE)</f>
        <v>3624780</v>
      </c>
      <c r="F5425" s="91">
        <f>COUNTIF($E$2:$E$7106,E5425)</f>
        <v>9</v>
      </c>
    </row>
    <row r="5426" spans="1:6" x14ac:dyDescent="0.2">
      <c r="A5426">
        <v>2017</v>
      </c>
      <c r="B5426" s="13">
        <v>2500</v>
      </c>
      <c r="C5426" s="90" t="str">
        <f>VLOOKUP(B5426,'All Districts'!$A$3:$B$874,2,FALSE)</f>
        <v>Rockville Centre</v>
      </c>
      <c r="D5426" s="16">
        <v>5900127</v>
      </c>
      <c r="E5426">
        <f>VLOOKUP(C5426,'All Districts'!$B$3:$C$874,2,FALSE)</f>
        <v>3624780</v>
      </c>
      <c r="F5426" s="91">
        <f>COUNTIF($E$2:$E$7106,E5426)</f>
        <v>9</v>
      </c>
    </row>
    <row r="5427" spans="1:6" x14ac:dyDescent="0.2">
      <c r="A5427" s="10">
        <v>2018</v>
      </c>
      <c r="B5427" s="13">
        <v>2500</v>
      </c>
      <c r="C5427" s="90" t="str">
        <f>VLOOKUP(B5427,'All Districts'!$A$3:$B$874,2,FALSE)</f>
        <v>Rockville Centre</v>
      </c>
      <c r="D5427" s="15">
        <v>5096366</v>
      </c>
      <c r="E5427">
        <f>VLOOKUP(C5427,'All Districts'!$B$3:$C$874,2,FALSE)</f>
        <v>3624780</v>
      </c>
      <c r="F5427" s="91">
        <f>COUNTIF($E$2:$E$7106,E5427)</f>
        <v>9</v>
      </c>
    </row>
    <row r="5428" spans="1:6" x14ac:dyDescent="0.2">
      <c r="A5428">
        <v>2019</v>
      </c>
      <c r="B5428" s="36">
        <v>2500</v>
      </c>
      <c r="C5428" s="90" t="str">
        <f>VLOOKUP(B5428,'All Districts'!$A$3:$B$874,2,FALSE)</f>
        <v>Rockville Centre</v>
      </c>
      <c r="D5428" s="40">
        <v>5713349</v>
      </c>
      <c r="E5428">
        <f>VLOOKUP(C5428,'All Districts'!$B$3:$C$874,2,FALSE)</f>
        <v>3624780</v>
      </c>
      <c r="F5428" s="91">
        <f>COUNTIF($E$2:$E$7106,E5428)</f>
        <v>9</v>
      </c>
    </row>
    <row r="5429" spans="1:6" x14ac:dyDescent="0.2">
      <c r="A5429">
        <v>2020</v>
      </c>
      <c r="B5429" s="36">
        <v>2500</v>
      </c>
      <c r="C5429" s="90" t="str">
        <f>VLOOKUP(B5429,'All Districts'!$A$3:$B$874,2,FALSE)</f>
        <v>Rockville Centre</v>
      </c>
      <c r="D5429" s="40">
        <v>4864440</v>
      </c>
      <c r="E5429">
        <f>VLOOKUP(C5429,'All Districts'!$B$3:$C$874,2,FALSE)</f>
        <v>3624780</v>
      </c>
      <c r="F5429" s="91">
        <f>COUNTIF($E$2:$E$7106,E5429)</f>
        <v>9</v>
      </c>
    </row>
    <row r="5430" spans="1:6" x14ac:dyDescent="0.2">
      <c r="A5430" s="10">
        <v>2021</v>
      </c>
      <c r="B5430" s="52">
        <v>2500</v>
      </c>
      <c r="C5430" s="90" t="str">
        <f>VLOOKUP(B5430,'All Districts'!$A$3:$B$874,2,FALSE)</f>
        <v>Rockville Centre</v>
      </c>
      <c r="D5430" s="76">
        <v>5266353</v>
      </c>
      <c r="E5430">
        <f>VLOOKUP(C5430,'All Districts'!$B$3:$C$874,2,FALSE)</f>
        <v>3624780</v>
      </c>
      <c r="F5430" s="91">
        <f>COUNTIF($E$2:$E$7106,E5430)</f>
        <v>9</v>
      </c>
    </row>
    <row r="5431" spans="1:6" x14ac:dyDescent="0.2">
      <c r="A5431">
        <v>2022</v>
      </c>
      <c r="B5431" s="36">
        <v>2500</v>
      </c>
      <c r="C5431" s="90" t="str">
        <f>VLOOKUP(B5431,'All Districts'!$A$3:$B$874,2,FALSE)</f>
        <v>Rockville Centre</v>
      </c>
      <c r="D5431" s="82">
        <v>5669066</v>
      </c>
      <c r="E5431">
        <f>VLOOKUP(C5431,'All Districts'!$B$3:$C$874,2,FALSE)</f>
        <v>3624780</v>
      </c>
      <c r="F5431" s="91">
        <f>COUNTIF($E$2:$E$7106,E5431)</f>
        <v>9</v>
      </c>
    </row>
    <row r="5432" spans="1:6" x14ac:dyDescent="0.2">
      <c r="A5432">
        <v>2023</v>
      </c>
      <c r="B5432" s="36">
        <v>2500</v>
      </c>
      <c r="C5432" s="90" t="str">
        <f>VLOOKUP(B5432,'All Districts'!$A$3:$B$874,2,FALSE)</f>
        <v>Rockville Centre</v>
      </c>
      <c r="D5432" s="40">
        <v>6127694</v>
      </c>
      <c r="E5432">
        <f>VLOOKUP(C5432,'All Districts'!$B$3:$C$874,2,FALSE)</f>
        <v>3624780</v>
      </c>
      <c r="F5432" s="91">
        <f>COUNTIF($E$2:$E$7106,E5432)</f>
        <v>9</v>
      </c>
    </row>
    <row r="5433" spans="1:6" x14ac:dyDescent="0.2">
      <c r="A5433">
        <v>2015</v>
      </c>
      <c r="B5433" s="13">
        <v>5409</v>
      </c>
      <c r="C5433" s="90" t="str">
        <f>VLOOKUP(B5433,'All Districts'!$A$3:$B$874,2,FALSE)</f>
        <v>Rocky Point</v>
      </c>
      <c r="D5433" s="14">
        <v>5058112</v>
      </c>
      <c r="E5433">
        <f>VLOOKUP(C5433,'All Districts'!$B$3:$C$874,2,FALSE)</f>
        <v>3624840</v>
      </c>
      <c r="F5433" s="91">
        <f>COUNTIF($E$2:$E$7106,E5433)</f>
        <v>9</v>
      </c>
    </row>
    <row r="5434" spans="1:6" x14ac:dyDescent="0.2">
      <c r="A5434">
        <v>2016</v>
      </c>
      <c r="B5434" s="13">
        <v>5409</v>
      </c>
      <c r="C5434" s="90" t="str">
        <f>VLOOKUP(B5434,'All Districts'!$A$3:$B$874,2,FALSE)</f>
        <v>Rocky Point</v>
      </c>
      <c r="D5434" s="16">
        <v>3902802</v>
      </c>
      <c r="E5434">
        <f>VLOOKUP(C5434,'All Districts'!$B$3:$C$874,2,FALSE)</f>
        <v>3624840</v>
      </c>
      <c r="F5434" s="91">
        <f>COUNTIF($E$2:$E$7106,E5434)</f>
        <v>9</v>
      </c>
    </row>
    <row r="5435" spans="1:6" x14ac:dyDescent="0.2">
      <c r="A5435">
        <v>2017</v>
      </c>
      <c r="B5435" s="13">
        <v>5409</v>
      </c>
      <c r="C5435" s="90" t="str">
        <f>VLOOKUP(B5435,'All Districts'!$A$3:$B$874,2,FALSE)</f>
        <v>Rocky Point</v>
      </c>
      <c r="D5435" s="16">
        <v>3552799</v>
      </c>
      <c r="E5435">
        <f>VLOOKUP(C5435,'All Districts'!$B$3:$C$874,2,FALSE)</f>
        <v>3624840</v>
      </c>
      <c r="F5435" s="91">
        <f>COUNTIF($E$2:$E$7106,E5435)</f>
        <v>9</v>
      </c>
    </row>
    <row r="5436" spans="1:6" x14ac:dyDescent="0.2">
      <c r="A5436" s="10">
        <v>2018</v>
      </c>
      <c r="B5436" s="13">
        <v>5409</v>
      </c>
      <c r="C5436" s="90" t="str">
        <f>VLOOKUP(B5436,'All Districts'!$A$3:$B$874,2,FALSE)</f>
        <v>Rocky Point</v>
      </c>
      <c r="D5436" s="15">
        <v>3058118</v>
      </c>
      <c r="E5436">
        <f>VLOOKUP(C5436,'All Districts'!$B$3:$C$874,2,FALSE)</f>
        <v>3624840</v>
      </c>
      <c r="F5436" s="91">
        <f>COUNTIF($E$2:$E$7106,E5436)</f>
        <v>9</v>
      </c>
    </row>
    <row r="5437" spans="1:6" x14ac:dyDescent="0.2">
      <c r="A5437">
        <v>2019</v>
      </c>
      <c r="B5437" s="36">
        <v>5409</v>
      </c>
      <c r="C5437" s="90" t="str">
        <f>VLOOKUP(B5437,'All Districts'!$A$3:$B$874,2,FALSE)</f>
        <v>Rocky Point</v>
      </c>
      <c r="D5437" s="40">
        <v>3415075</v>
      </c>
      <c r="E5437">
        <f>VLOOKUP(C5437,'All Districts'!$B$3:$C$874,2,FALSE)</f>
        <v>3624840</v>
      </c>
      <c r="F5437" s="91">
        <f>COUNTIF($E$2:$E$7106,E5437)</f>
        <v>9</v>
      </c>
    </row>
    <row r="5438" spans="1:6" x14ac:dyDescent="0.2">
      <c r="A5438">
        <v>2020</v>
      </c>
      <c r="B5438" s="36">
        <v>5409</v>
      </c>
      <c r="C5438" s="90" t="str">
        <f>VLOOKUP(B5438,'All Districts'!$A$3:$B$874,2,FALSE)</f>
        <v>Rocky Point</v>
      </c>
      <c r="D5438" s="40">
        <v>2864330</v>
      </c>
      <c r="E5438">
        <f>VLOOKUP(C5438,'All Districts'!$B$3:$C$874,2,FALSE)</f>
        <v>3624840</v>
      </c>
      <c r="F5438" s="91">
        <f>COUNTIF($E$2:$E$7106,E5438)</f>
        <v>9</v>
      </c>
    </row>
    <row r="5439" spans="1:6" x14ac:dyDescent="0.2">
      <c r="A5439" s="10">
        <v>2021</v>
      </c>
      <c r="B5439" s="55">
        <v>5409</v>
      </c>
      <c r="C5439" s="90" t="str">
        <f>VLOOKUP(B5439,'All Districts'!$A$3:$B$874,2,FALSE)</f>
        <v>Rocky Point</v>
      </c>
      <c r="D5439" s="79">
        <v>3123204</v>
      </c>
      <c r="E5439">
        <f>VLOOKUP(C5439,'All Districts'!$B$3:$C$874,2,FALSE)</f>
        <v>3624840</v>
      </c>
      <c r="F5439" s="91">
        <f>COUNTIF($E$2:$E$7106,E5439)</f>
        <v>9</v>
      </c>
    </row>
    <row r="5440" spans="1:6" x14ac:dyDescent="0.2">
      <c r="A5440">
        <v>2022</v>
      </c>
      <c r="B5440" s="36">
        <v>5409</v>
      </c>
      <c r="C5440" s="90" t="str">
        <f>VLOOKUP(B5440,'All Districts'!$A$3:$B$874,2,FALSE)</f>
        <v>Rocky Point</v>
      </c>
      <c r="D5440" s="82">
        <v>3318724</v>
      </c>
      <c r="E5440">
        <f>VLOOKUP(C5440,'All Districts'!$B$3:$C$874,2,FALSE)</f>
        <v>3624840</v>
      </c>
      <c r="F5440" s="91">
        <f>COUNTIF($E$2:$E$7106,E5440)</f>
        <v>9</v>
      </c>
    </row>
    <row r="5441" spans="1:6" x14ac:dyDescent="0.2">
      <c r="A5441">
        <v>2023</v>
      </c>
      <c r="B5441" s="36">
        <v>5409</v>
      </c>
      <c r="C5441" s="90" t="str">
        <f>VLOOKUP(B5441,'All Districts'!$A$3:$B$874,2,FALSE)</f>
        <v>Rocky Point</v>
      </c>
      <c r="D5441" s="40">
        <v>3591031</v>
      </c>
      <c r="E5441">
        <f>VLOOKUP(C5441,'All Districts'!$B$3:$C$874,2,FALSE)</f>
        <v>3624840</v>
      </c>
      <c r="F5441" s="91">
        <f>COUNTIF($E$2:$E$7106,E5441)</f>
        <v>9</v>
      </c>
    </row>
    <row r="5442" spans="1:6" x14ac:dyDescent="0.2">
      <c r="A5442">
        <v>2015</v>
      </c>
      <c r="B5442" s="13">
        <v>1240</v>
      </c>
      <c r="C5442" s="90" t="str">
        <f>VLOOKUP(B5442,'All Districts'!$A$3:$B$874,2,FALSE)</f>
        <v>Rome</v>
      </c>
      <c r="D5442" s="14">
        <v>6177740</v>
      </c>
      <c r="E5442">
        <f>VLOOKUP(C5442,'All Districts'!$B$3:$C$874,2,FALSE)</f>
        <v>3624900</v>
      </c>
      <c r="F5442" s="91">
        <f>COUNTIF($E$2:$E$7106,E5442)</f>
        <v>9</v>
      </c>
    </row>
    <row r="5443" spans="1:6" x14ac:dyDescent="0.2">
      <c r="A5443">
        <v>2016</v>
      </c>
      <c r="B5443" s="13">
        <v>1240</v>
      </c>
      <c r="C5443" s="90" t="str">
        <f>VLOOKUP(B5443,'All Districts'!$A$3:$B$874,2,FALSE)</f>
        <v>Rome</v>
      </c>
      <c r="D5443" s="16">
        <v>4887420</v>
      </c>
      <c r="E5443">
        <f>VLOOKUP(C5443,'All Districts'!$B$3:$C$874,2,FALSE)</f>
        <v>3624900</v>
      </c>
      <c r="F5443" s="91">
        <f>COUNTIF($E$2:$E$7106,E5443)</f>
        <v>9</v>
      </c>
    </row>
    <row r="5444" spans="1:6" x14ac:dyDescent="0.2">
      <c r="A5444">
        <v>2017</v>
      </c>
      <c r="B5444" s="13">
        <v>1240</v>
      </c>
      <c r="C5444" s="90" t="str">
        <f>VLOOKUP(B5444,'All Districts'!$A$3:$B$874,2,FALSE)</f>
        <v>Rome</v>
      </c>
      <c r="D5444" s="16">
        <v>4494454</v>
      </c>
      <c r="E5444">
        <f>VLOOKUP(C5444,'All Districts'!$B$3:$C$874,2,FALSE)</f>
        <v>3624900</v>
      </c>
      <c r="F5444" s="91">
        <f>COUNTIF($E$2:$E$7106,E5444)</f>
        <v>9</v>
      </c>
    </row>
    <row r="5445" spans="1:6" x14ac:dyDescent="0.2">
      <c r="A5445" s="10">
        <v>2018</v>
      </c>
      <c r="B5445" s="13">
        <v>1240</v>
      </c>
      <c r="C5445" s="90" t="str">
        <f>VLOOKUP(B5445,'All Districts'!$A$3:$B$874,2,FALSE)</f>
        <v>Rome</v>
      </c>
      <c r="D5445" s="15">
        <v>3946409</v>
      </c>
      <c r="E5445">
        <f>VLOOKUP(C5445,'All Districts'!$B$3:$C$874,2,FALSE)</f>
        <v>3624900</v>
      </c>
      <c r="F5445" s="91">
        <f>COUNTIF($E$2:$E$7106,E5445)</f>
        <v>9</v>
      </c>
    </row>
    <row r="5446" spans="1:6" x14ac:dyDescent="0.2">
      <c r="A5446">
        <v>2019</v>
      </c>
      <c r="B5446" s="36">
        <v>1240</v>
      </c>
      <c r="C5446" s="90" t="str">
        <f>VLOOKUP(B5446,'All Districts'!$A$3:$B$874,2,FALSE)</f>
        <v>Rome</v>
      </c>
      <c r="D5446" s="40">
        <v>4339805</v>
      </c>
      <c r="E5446">
        <f>VLOOKUP(C5446,'All Districts'!$B$3:$C$874,2,FALSE)</f>
        <v>3624900</v>
      </c>
      <c r="F5446" s="91">
        <f>COUNTIF($E$2:$E$7106,E5446)</f>
        <v>9</v>
      </c>
    </row>
    <row r="5447" spans="1:6" x14ac:dyDescent="0.2">
      <c r="A5447">
        <v>2020</v>
      </c>
      <c r="B5447" s="36">
        <v>1240</v>
      </c>
      <c r="C5447" s="90" t="str">
        <f>VLOOKUP(B5447,'All Districts'!$A$3:$B$874,2,FALSE)</f>
        <v>Rome</v>
      </c>
      <c r="D5447" s="40">
        <v>3409514</v>
      </c>
      <c r="E5447">
        <f>VLOOKUP(C5447,'All Districts'!$B$3:$C$874,2,FALSE)</f>
        <v>3624900</v>
      </c>
      <c r="F5447" s="91">
        <f>COUNTIF($E$2:$E$7106,E5447)</f>
        <v>9</v>
      </c>
    </row>
    <row r="5448" spans="1:6" x14ac:dyDescent="0.2">
      <c r="A5448" s="10">
        <v>2021</v>
      </c>
      <c r="B5448" s="52">
        <v>1240</v>
      </c>
      <c r="C5448" s="90" t="str">
        <f>VLOOKUP(B5448,'All Districts'!$A$3:$B$874,2,FALSE)</f>
        <v>Rome</v>
      </c>
      <c r="D5448" s="76">
        <v>3679759</v>
      </c>
      <c r="E5448">
        <f>VLOOKUP(C5448,'All Districts'!$B$3:$C$874,2,FALSE)</f>
        <v>3624900</v>
      </c>
      <c r="F5448" s="91">
        <f>COUNTIF($E$2:$E$7106,E5448)</f>
        <v>9</v>
      </c>
    </row>
    <row r="5449" spans="1:6" x14ac:dyDescent="0.2">
      <c r="A5449">
        <v>2022</v>
      </c>
      <c r="B5449" s="36">
        <v>1240</v>
      </c>
      <c r="C5449" s="90" t="str">
        <f>VLOOKUP(B5449,'All Districts'!$A$3:$B$874,2,FALSE)</f>
        <v>Rome</v>
      </c>
      <c r="D5449" s="82">
        <v>4074595</v>
      </c>
      <c r="E5449">
        <f>VLOOKUP(C5449,'All Districts'!$B$3:$C$874,2,FALSE)</f>
        <v>3624900</v>
      </c>
      <c r="F5449" s="91">
        <f>COUNTIF($E$2:$E$7106,E5449)</f>
        <v>9</v>
      </c>
    </row>
    <row r="5450" spans="1:6" x14ac:dyDescent="0.2">
      <c r="A5450">
        <v>2023</v>
      </c>
      <c r="B5450" s="36">
        <v>1240</v>
      </c>
      <c r="C5450" s="90" t="str">
        <f>VLOOKUP(B5450,'All Districts'!$A$3:$B$874,2,FALSE)</f>
        <v>Rome</v>
      </c>
      <c r="D5450" s="40">
        <v>4569537</v>
      </c>
      <c r="E5450">
        <f>VLOOKUP(C5450,'All Districts'!$B$3:$C$874,2,FALSE)</f>
        <v>3624900</v>
      </c>
      <c r="F5450" s="91">
        <f>COUNTIF($E$2:$E$7106,E5450)</f>
        <v>9</v>
      </c>
    </row>
    <row r="5451" spans="1:6" x14ac:dyDescent="0.2">
      <c r="A5451">
        <v>2015</v>
      </c>
      <c r="B5451" s="13">
        <v>4592</v>
      </c>
      <c r="C5451" s="90" t="str">
        <f>VLOOKUP(B5451,'All Districts'!$A$3:$B$874,2,FALSE)</f>
        <v>Romulus</v>
      </c>
      <c r="D5451" s="14">
        <v>492535</v>
      </c>
      <c r="E5451">
        <f>VLOOKUP(C5451,'All Districts'!$B$3:$C$874,2,FALSE)</f>
        <v>3624930</v>
      </c>
      <c r="F5451" s="91">
        <f>COUNTIF($E$2:$E$7106,E5451)</f>
        <v>9</v>
      </c>
    </row>
    <row r="5452" spans="1:6" x14ac:dyDescent="0.2">
      <c r="A5452">
        <v>2016</v>
      </c>
      <c r="B5452" s="13">
        <v>4592</v>
      </c>
      <c r="C5452" s="90" t="str">
        <f>VLOOKUP(B5452,'All Districts'!$A$3:$B$874,2,FALSE)</f>
        <v>Romulus</v>
      </c>
      <c r="D5452" s="16">
        <v>414309</v>
      </c>
      <c r="E5452">
        <f>VLOOKUP(C5452,'All Districts'!$B$3:$C$874,2,FALSE)</f>
        <v>3624930</v>
      </c>
      <c r="F5452" s="91">
        <f>COUNTIF($E$2:$E$7106,E5452)</f>
        <v>9</v>
      </c>
    </row>
    <row r="5453" spans="1:6" x14ac:dyDescent="0.2">
      <c r="A5453">
        <v>2017</v>
      </c>
      <c r="B5453" s="13">
        <v>4592</v>
      </c>
      <c r="C5453" s="90" t="str">
        <f>VLOOKUP(B5453,'All Districts'!$A$3:$B$874,2,FALSE)</f>
        <v>Romulus</v>
      </c>
      <c r="D5453" s="16">
        <v>387024</v>
      </c>
      <c r="E5453">
        <f>VLOOKUP(C5453,'All Districts'!$B$3:$C$874,2,FALSE)</f>
        <v>3624930</v>
      </c>
      <c r="F5453" s="91">
        <f>COUNTIF($E$2:$E$7106,E5453)</f>
        <v>9</v>
      </c>
    </row>
    <row r="5454" spans="1:6" x14ac:dyDescent="0.2">
      <c r="A5454" s="10">
        <v>2018</v>
      </c>
      <c r="B5454" s="13">
        <v>4592</v>
      </c>
      <c r="C5454" s="90" t="str">
        <f>VLOOKUP(B5454,'All Districts'!$A$3:$B$874,2,FALSE)</f>
        <v>Romulus</v>
      </c>
      <c r="D5454" s="15">
        <v>332999</v>
      </c>
      <c r="E5454">
        <f>VLOOKUP(C5454,'All Districts'!$B$3:$C$874,2,FALSE)</f>
        <v>3624930</v>
      </c>
      <c r="F5454" s="91">
        <f>COUNTIF($E$2:$E$7106,E5454)</f>
        <v>9</v>
      </c>
    </row>
    <row r="5455" spans="1:6" x14ac:dyDescent="0.2">
      <c r="A5455">
        <v>2019</v>
      </c>
      <c r="B5455" s="36">
        <v>4592</v>
      </c>
      <c r="C5455" s="90" t="str">
        <f>VLOOKUP(B5455,'All Districts'!$A$3:$B$874,2,FALSE)</f>
        <v>Romulus</v>
      </c>
      <c r="D5455" s="40">
        <v>368006</v>
      </c>
      <c r="E5455">
        <f>VLOOKUP(C5455,'All Districts'!$B$3:$C$874,2,FALSE)</f>
        <v>3624930</v>
      </c>
      <c r="F5455" s="91">
        <f>COUNTIF($E$2:$E$7106,E5455)</f>
        <v>9</v>
      </c>
    </row>
    <row r="5456" spans="1:6" x14ac:dyDescent="0.2">
      <c r="A5456">
        <v>2020</v>
      </c>
      <c r="B5456" s="36">
        <v>4592</v>
      </c>
      <c r="C5456" s="90" t="str">
        <f>VLOOKUP(B5456,'All Districts'!$A$3:$B$874,2,FALSE)</f>
        <v>Romulus</v>
      </c>
      <c r="D5456" s="40">
        <v>328866</v>
      </c>
      <c r="E5456">
        <f>VLOOKUP(C5456,'All Districts'!$B$3:$C$874,2,FALSE)</f>
        <v>3624930</v>
      </c>
      <c r="F5456" s="91">
        <f>COUNTIF($E$2:$E$7106,E5456)</f>
        <v>9</v>
      </c>
    </row>
    <row r="5457" spans="1:6" x14ac:dyDescent="0.2">
      <c r="A5457" s="10">
        <v>2021</v>
      </c>
      <c r="B5457" s="52">
        <v>4592</v>
      </c>
      <c r="C5457" s="90" t="str">
        <f>VLOOKUP(B5457,'All Districts'!$A$3:$B$874,2,FALSE)</f>
        <v>Romulus</v>
      </c>
      <c r="D5457" s="75">
        <v>345640</v>
      </c>
      <c r="E5457">
        <f>VLOOKUP(C5457,'All Districts'!$B$3:$C$874,2,FALSE)</f>
        <v>3624930</v>
      </c>
      <c r="F5457" s="91">
        <f>COUNTIF($E$2:$E$7106,E5457)</f>
        <v>9</v>
      </c>
    </row>
    <row r="5458" spans="1:6" x14ac:dyDescent="0.2">
      <c r="A5458">
        <v>2022</v>
      </c>
      <c r="B5458" s="36">
        <v>4592</v>
      </c>
      <c r="C5458" s="90" t="str">
        <f>VLOOKUP(B5458,'All Districts'!$A$3:$B$874,2,FALSE)</f>
        <v>Romulus</v>
      </c>
      <c r="D5458" s="82">
        <v>386004</v>
      </c>
      <c r="E5458">
        <f>VLOOKUP(C5458,'All Districts'!$B$3:$C$874,2,FALSE)</f>
        <v>3624930</v>
      </c>
      <c r="F5458" s="91">
        <f>COUNTIF($E$2:$E$7106,E5458)</f>
        <v>9</v>
      </c>
    </row>
    <row r="5459" spans="1:6" x14ac:dyDescent="0.2">
      <c r="A5459">
        <v>2023</v>
      </c>
      <c r="B5459" s="36">
        <v>4592</v>
      </c>
      <c r="C5459" s="90" t="str">
        <f>VLOOKUP(B5459,'All Districts'!$A$3:$B$874,2,FALSE)</f>
        <v>Romulus</v>
      </c>
      <c r="D5459" s="40">
        <v>423400</v>
      </c>
      <c r="E5459">
        <f>VLOOKUP(C5459,'All Districts'!$B$3:$C$874,2,FALSE)</f>
        <v>3624930</v>
      </c>
      <c r="F5459" s="91">
        <f>COUNTIF($E$2:$E$7106,E5459)</f>
        <v>9</v>
      </c>
    </row>
    <row r="5460" spans="1:6" x14ac:dyDescent="0.2">
      <c r="A5460">
        <v>2015</v>
      </c>
      <c r="B5460" s="13">
        <v>2508</v>
      </c>
      <c r="C5460" s="90" t="str">
        <f>VLOOKUP(B5460,'All Districts'!$A$3:$B$874,2,FALSE)</f>
        <v>Rondout Valley</v>
      </c>
      <c r="D5460" s="14">
        <v>3930014</v>
      </c>
      <c r="E5460">
        <f>VLOOKUP(C5460,'All Districts'!$B$3:$C$874,2,FALSE)</f>
        <v>3624960</v>
      </c>
      <c r="F5460" s="91">
        <f>COUNTIF($E$2:$E$7106,E5460)</f>
        <v>9</v>
      </c>
    </row>
    <row r="5461" spans="1:6" x14ac:dyDescent="0.2">
      <c r="A5461">
        <v>2016</v>
      </c>
      <c r="B5461" s="13">
        <v>2508</v>
      </c>
      <c r="C5461" s="90" t="str">
        <f>VLOOKUP(B5461,'All Districts'!$A$3:$B$874,2,FALSE)</f>
        <v>Rondout Valley</v>
      </c>
      <c r="D5461" s="16">
        <v>3027389</v>
      </c>
      <c r="E5461">
        <f>VLOOKUP(C5461,'All Districts'!$B$3:$C$874,2,FALSE)</f>
        <v>3624960</v>
      </c>
      <c r="F5461" s="91">
        <f>COUNTIF($E$2:$E$7106,E5461)</f>
        <v>9</v>
      </c>
    </row>
    <row r="5462" spans="1:6" x14ac:dyDescent="0.2">
      <c r="A5462">
        <v>2017</v>
      </c>
      <c r="B5462" s="13">
        <v>2508</v>
      </c>
      <c r="C5462" s="90" t="str">
        <f>VLOOKUP(B5462,'All Districts'!$A$3:$B$874,2,FALSE)</f>
        <v>Rondout Valley</v>
      </c>
      <c r="D5462" s="16">
        <v>2693999</v>
      </c>
      <c r="E5462">
        <f>VLOOKUP(C5462,'All Districts'!$B$3:$C$874,2,FALSE)</f>
        <v>3624960</v>
      </c>
      <c r="F5462" s="91">
        <f>COUNTIF($E$2:$E$7106,E5462)</f>
        <v>9</v>
      </c>
    </row>
    <row r="5463" spans="1:6" x14ac:dyDescent="0.2">
      <c r="A5463" s="10">
        <v>2018</v>
      </c>
      <c r="B5463" s="13">
        <v>2508</v>
      </c>
      <c r="C5463" s="90" t="str">
        <f>VLOOKUP(B5463,'All Districts'!$A$3:$B$874,2,FALSE)</f>
        <v>Rondout Valley</v>
      </c>
      <c r="D5463" s="15">
        <v>2277597</v>
      </c>
      <c r="E5463">
        <f>VLOOKUP(C5463,'All Districts'!$B$3:$C$874,2,FALSE)</f>
        <v>3624960</v>
      </c>
      <c r="F5463" s="91">
        <f>COUNTIF($E$2:$E$7106,E5463)</f>
        <v>9</v>
      </c>
    </row>
    <row r="5464" spans="1:6" x14ac:dyDescent="0.2">
      <c r="A5464">
        <v>2019</v>
      </c>
      <c r="B5464" s="36">
        <v>2508</v>
      </c>
      <c r="C5464" s="90" t="str">
        <f>VLOOKUP(B5464,'All Districts'!$A$3:$B$874,2,FALSE)</f>
        <v>Rondout Valley</v>
      </c>
      <c r="D5464" s="40">
        <v>2562560</v>
      </c>
      <c r="E5464">
        <f>VLOOKUP(C5464,'All Districts'!$B$3:$C$874,2,FALSE)</f>
        <v>3624960</v>
      </c>
      <c r="F5464" s="91">
        <f>COUNTIF($E$2:$E$7106,E5464)</f>
        <v>9</v>
      </c>
    </row>
    <row r="5465" spans="1:6" x14ac:dyDescent="0.2">
      <c r="A5465">
        <v>2020</v>
      </c>
      <c r="B5465" s="36">
        <v>2508</v>
      </c>
      <c r="C5465" s="90" t="str">
        <f>VLOOKUP(B5465,'All Districts'!$A$3:$B$874,2,FALSE)</f>
        <v>Rondout Valley</v>
      </c>
      <c r="D5465" s="40">
        <v>2124456</v>
      </c>
      <c r="E5465">
        <f>VLOOKUP(C5465,'All Districts'!$B$3:$C$874,2,FALSE)</f>
        <v>3624960</v>
      </c>
      <c r="F5465" s="91">
        <f>COUNTIF($E$2:$E$7106,E5465)</f>
        <v>9</v>
      </c>
    </row>
    <row r="5466" spans="1:6" x14ac:dyDescent="0.2">
      <c r="A5466" s="10">
        <v>2021</v>
      </c>
      <c r="B5466" s="52">
        <v>2508</v>
      </c>
      <c r="C5466" s="90" t="str">
        <f>VLOOKUP(B5466,'All Districts'!$A$3:$B$874,2,FALSE)</f>
        <v>Rondout Valley</v>
      </c>
      <c r="D5466" s="75">
        <v>2163585</v>
      </c>
      <c r="E5466">
        <f>VLOOKUP(C5466,'All Districts'!$B$3:$C$874,2,FALSE)</f>
        <v>3624960</v>
      </c>
      <c r="F5466" s="91">
        <f>COUNTIF($E$2:$E$7106,E5466)</f>
        <v>9</v>
      </c>
    </row>
    <row r="5467" spans="1:6" x14ac:dyDescent="0.2">
      <c r="A5467">
        <v>2022</v>
      </c>
      <c r="B5467" s="36">
        <v>2508</v>
      </c>
      <c r="C5467" s="90" t="str">
        <f>VLOOKUP(B5467,'All Districts'!$A$3:$B$874,2,FALSE)</f>
        <v>Rondout Valley</v>
      </c>
      <c r="D5467" s="82">
        <v>2400166</v>
      </c>
      <c r="E5467">
        <f>VLOOKUP(C5467,'All Districts'!$B$3:$C$874,2,FALSE)</f>
        <v>3624960</v>
      </c>
      <c r="F5467" s="91">
        <f>COUNTIF($E$2:$E$7106,E5467)</f>
        <v>9</v>
      </c>
    </row>
    <row r="5468" spans="1:6" x14ac:dyDescent="0.2">
      <c r="A5468">
        <v>2023</v>
      </c>
      <c r="B5468" s="36">
        <v>2508</v>
      </c>
      <c r="C5468" s="90" t="str">
        <f>VLOOKUP(B5468,'All Districts'!$A$3:$B$874,2,FALSE)</f>
        <v>Rondout Valley</v>
      </c>
      <c r="D5468" s="40">
        <v>2599530</v>
      </c>
      <c r="E5468">
        <f>VLOOKUP(C5468,'All Districts'!$B$3:$C$874,2,FALSE)</f>
        <v>3624960</v>
      </c>
      <c r="F5468" s="91">
        <f>COUNTIF($E$2:$E$7106,E5468)</f>
        <v>9</v>
      </c>
    </row>
    <row r="5469" spans="1:6" x14ac:dyDescent="0.2">
      <c r="A5469">
        <v>2015</v>
      </c>
      <c r="B5469" s="13">
        <v>2504</v>
      </c>
      <c r="C5469" s="90" t="str">
        <f>VLOOKUP(B5469,'All Districts'!$A$3:$B$874,2,FALSE)</f>
        <v>Roosevelt</v>
      </c>
      <c r="D5469" s="14">
        <v>4859263</v>
      </c>
      <c r="E5469">
        <f>VLOOKUP(C5469,'All Districts'!$B$3:$C$874,2,FALSE)</f>
        <v>3624990</v>
      </c>
      <c r="F5469" s="91">
        <f>COUNTIF($E$2:$E$7106,E5469)</f>
        <v>9</v>
      </c>
    </row>
    <row r="5470" spans="1:6" x14ac:dyDescent="0.2">
      <c r="A5470">
        <v>2016</v>
      </c>
      <c r="B5470" s="13">
        <v>2504</v>
      </c>
      <c r="C5470" s="90" t="str">
        <f>VLOOKUP(B5470,'All Districts'!$A$3:$B$874,2,FALSE)</f>
        <v>Roosevelt</v>
      </c>
      <c r="D5470" s="16">
        <v>3773740</v>
      </c>
      <c r="E5470">
        <f>VLOOKUP(C5470,'All Districts'!$B$3:$C$874,2,FALSE)</f>
        <v>3624990</v>
      </c>
      <c r="F5470" s="91">
        <f>COUNTIF($E$2:$E$7106,E5470)</f>
        <v>9</v>
      </c>
    </row>
    <row r="5471" spans="1:6" x14ac:dyDescent="0.2">
      <c r="A5471">
        <v>2017</v>
      </c>
      <c r="B5471" s="13">
        <v>2504</v>
      </c>
      <c r="C5471" s="90" t="str">
        <f>VLOOKUP(B5471,'All Districts'!$A$3:$B$874,2,FALSE)</f>
        <v>Roosevelt</v>
      </c>
      <c r="D5471" s="16">
        <v>3622217</v>
      </c>
      <c r="E5471">
        <f>VLOOKUP(C5471,'All Districts'!$B$3:$C$874,2,FALSE)</f>
        <v>3624990</v>
      </c>
      <c r="F5471" s="91">
        <f>COUNTIF($E$2:$E$7106,E5471)</f>
        <v>9</v>
      </c>
    </row>
    <row r="5472" spans="1:6" x14ac:dyDescent="0.2">
      <c r="A5472" s="10">
        <v>2018</v>
      </c>
      <c r="B5472" s="13">
        <v>2504</v>
      </c>
      <c r="C5472" s="90" t="str">
        <f>VLOOKUP(B5472,'All Districts'!$A$3:$B$874,2,FALSE)</f>
        <v>Roosevelt</v>
      </c>
      <c r="D5472" s="15">
        <v>3226941</v>
      </c>
      <c r="E5472">
        <f>VLOOKUP(C5472,'All Districts'!$B$3:$C$874,2,FALSE)</f>
        <v>3624990</v>
      </c>
      <c r="F5472" s="91">
        <f>COUNTIF($E$2:$E$7106,E5472)</f>
        <v>9</v>
      </c>
    </row>
    <row r="5473" spans="1:6" x14ac:dyDescent="0.2">
      <c r="A5473">
        <v>2019</v>
      </c>
      <c r="B5473" s="36">
        <v>2504</v>
      </c>
      <c r="C5473" s="90" t="str">
        <f>VLOOKUP(B5473,'All Districts'!$A$3:$B$874,2,FALSE)</f>
        <v>Roosevelt</v>
      </c>
      <c r="D5473" s="40">
        <v>3567519</v>
      </c>
      <c r="E5473">
        <f>VLOOKUP(C5473,'All Districts'!$B$3:$C$874,2,FALSE)</f>
        <v>3624990</v>
      </c>
      <c r="F5473" s="91">
        <f>COUNTIF($E$2:$E$7106,E5473)</f>
        <v>9</v>
      </c>
    </row>
    <row r="5474" spans="1:6" x14ac:dyDescent="0.2">
      <c r="A5474">
        <v>2020</v>
      </c>
      <c r="B5474" s="36">
        <v>2504</v>
      </c>
      <c r="C5474" s="90" t="str">
        <f>VLOOKUP(B5474,'All Districts'!$A$3:$B$874,2,FALSE)</f>
        <v>Roosevelt</v>
      </c>
      <c r="D5474" s="40">
        <v>2957118</v>
      </c>
      <c r="E5474">
        <f>VLOOKUP(C5474,'All Districts'!$B$3:$C$874,2,FALSE)</f>
        <v>3624990</v>
      </c>
      <c r="F5474" s="91">
        <f>COUNTIF($E$2:$E$7106,E5474)</f>
        <v>9</v>
      </c>
    </row>
    <row r="5475" spans="1:6" x14ac:dyDescent="0.2">
      <c r="A5475" s="10">
        <v>2021</v>
      </c>
      <c r="B5475" s="55">
        <v>2504</v>
      </c>
      <c r="C5475" s="90" t="str">
        <f>VLOOKUP(B5475,'All Districts'!$A$3:$B$874,2,FALSE)</f>
        <v>Roosevelt</v>
      </c>
      <c r="D5475" s="75">
        <v>3275085</v>
      </c>
      <c r="E5475">
        <f>VLOOKUP(C5475,'All Districts'!$B$3:$C$874,2,FALSE)</f>
        <v>3624990</v>
      </c>
      <c r="F5475" s="91">
        <f>COUNTIF($E$2:$E$7106,E5475)</f>
        <v>9</v>
      </c>
    </row>
    <row r="5476" spans="1:6" x14ac:dyDescent="0.2">
      <c r="A5476">
        <v>2022</v>
      </c>
      <c r="B5476" s="36">
        <v>2504</v>
      </c>
      <c r="C5476" s="90" t="str">
        <f>VLOOKUP(B5476,'All Districts'!$A$3:$B$874,2,FALSE)</f>
        <v>Roosevelt</v>
      </c>
      <c r="D5476" s="82">
        <v>3548801</v>
      </c>
      <c r="E5476">
        <f>VLOOKUP(C5476,'All Districts'!$B$3:$C$874,2,FALSE)</f>
        <v>3624990</v>
      </c>
      <c r="F5476" s="91">
        <f>COUNTIF($E$2:$E$7106,E5476)</f>
        <v>9</v>
      </c>
    </row>
    <row r="5477" spans="1:6" x14ac:dyDescent="0.2">
      <c r="A5477">
        <v>2023</v>
      </c>
      <c r="B5477" s="36">
        <v>2504</v>
      </c>
      <c r="C5477" s="90" t="str">
        <f>VLOOKUP(B5477,'All Districts'!$A$3:$B$874,2,FALSE)</f>
        <v>Roosevelt</v>
      </c>
      <c r="D5477" s="40">
        <v>4404702</v>
      </c>
      <c r="E5477">
        <f>VLOOKUP(C5477,'All Districts'!$B$3:$C$874,2,FALSE)</f>
        <v>3624990</v>
      </c>
      <c r="F5477" s="91">
        <f>COUNTIF($E$2:$E$7106,E5477)</f>
        <v>9</v>
      </c>
    </row>
    <row r="5478" spans="1:6" x14ac:dyDescent="0.2">
      <c r="A5478">
        <v>2015</v>
      </c>
      <c r="B5478" s="13">
        <v>5505</v>
      </c>
      <c r="C5478" s="90" t="str">
        <f>VLOOKUP(B5478,'All Districts'!$A$3:$B$874,2,FALSE)</f>
        <v>Roscoe</v>
      </c>
      <c r="D5478" s="14">
        <v>483926</v>
      </c>
      <c r="E5478">
        <f>VLOOKUP(C5478,'All Districts'!$B$3:$C$874,2,FALSE)</f>
        <v>3625020</v>
      </c>
      <c r="F5478" s="91">
        <f>COUNTIF($E$2:$E$7106,E5478)</f>
        <v>9</v>
      </c>
    </row>
    <row r="5479" spans="1:6" x14ac:dyDescent="0.2">
      <c r="A5479">
        <v>2016</v>
      </c>
      <c r="B5479" s="13">
        <v>5505</v>
      </c>
      <c r="C5479" s="90" t="str">
        <f>VLOOKUP(B5479,'All Districts'!$A$3:$B$874,2,FALSE)</f>
        <v>Roscoe</v>
      </c>
      <c r="D5479" s="16">
        <v>370966</v>
      </c>
      <c r="E5479">
        <f>VLOOKUP(C5479,'All Districts'!$B$3:$C$874,2,FALSE)</f>
        <v>3625020</v>
      </c>
      <c r="F5479" s="91">
        <f>COUNTIF($E$2:$E$7106,E5479)</f>
        <v>9</v>
      </c>
    </row>
    <row r="5480" spans="1:6" x14ac:dyDescent="0.2">
      <c r="A5480">
        <v>2017</v>
      </c>
      <c r="B5480" s="13">
        <v>5505</v>
      </c>
      <c r="C5480" s="90" t="str">
        <f>VLOOKUP(B5480,'All Districts'!$A$3:$B$874,2,FALSE)</f>
        <v>Roscoe</v>
      </c>
      <c r="D5480" s="16">
        <v>334303</v>
      </c>
      <c r="E5480">
        <f>VLOOKUP(C5480,'All Districts'!$B$3:$C$874,2,FALSE)</f>
        <v>3625020</v>
      </c>
      <c r="F5480" s="91">
        <f>COUNTIF($E$2:$E$7106,E5480)</f>
        <v>9</v>
      </c>
    </row>
    <row r="5481" spans="1:6" x14ac:dyDescent="0.2">
      <c r="A5481" s="10">
        <v>2018</v>
      </c>
      <c r="B5481" s="13">
        <v>5505</v>
      </c>
      <c r="C5481" s="90" t="str">
        <f>VLOOKUP(B5481,'All Districts'!$A$3:$B$874,2,FALSE)</f>
        <v>Roscoe</v>
      </c>
      <c r="D5481" s="15">
        <v>265652</v>
      </c>
      <c r="E5481">
        <f>VLOOKUP(C5481,'All Districts'!$B$3:$C$874,2,FALSE)</f>
        <v>3625020</v>
      </c>
      <c r="F5481" s="91">
        <f>COUNTIF($E$2:$E$7106,E5481)</f>
        <v>9</v>
      </c>
    </row>
    <row r="5482" spans="1:6" x14ac:dyDescent="0.2">
      <c r="A5482">
        <v>2019</v>
      </c>
      <c r="B5482" s="36">
        <v>5505</v>
      </c>
      <c r="C5482" s="90" t="str">
        <f>VLOOKUP(B5482,'All Districts'!$A$3:$B$874,2,FALSE)</f>
        <v>Roscoe</v>
      </c>
      <c r="D5482" s="40">
        <v>296259</v>
      </c>
      <c r="E5482">
        <f>VLOOKUP(C5482,'All Districts'!$B$3:$C$874,2,FALSE)</f>
        <v>3625020</v>
      </c>
      <c r="F5482" s="91">
        <f>COUNTIF($E$2:$E$7106,E5482)</f>
        <v>9</v>
      </c>
    </row>
    <row r="5483" spans="1:6" x14ac:dyDescent="0.2">
      <c r="A5483">
        <v>2020</v>
      </c>
      <c r="B5483" s="36">
        <v>5505</v>
      </c>
      <c r="C5483" s="90" t="str">
        <f>VLOOKUP(B5483,'All Districts'!$A$3:$B$874,2,FALSE)</f>
        <v>Roscoe</v>
      </c>
      <c r="D5483" s="40">
        <v>251581</v>
      </c>
      <c r="E5483">
        <f>VLOOKUP(C5483,'All Districts'!$B$3:$C$874,2,FALSE)</f>
        <v>3625020</v>
      </c>
      <c r="F5483" s="91">
        <f>COUNTIF($E$2:$E$7106,E5483)</f>
        <v>9</v>
      </c>
    </row>
    <row r="5484" spans="1:6" x14ac:dyDescent="0.2">
      <c r="A5484" s="10">
        <v>2021</v>
      </c>
      <c r="B5484" s="52">
        <v>5505</v>
      </c>
      <c r="C5484" s="90" t="str">
        <f>VLOOKUP(B5484,'All Districts'!$A$3:$B$874,2,FALSE)</f>
        <v>Roscoe</v>
      </c>
      <c r="D5484" s="75">
        <v>315189</v>
      </c>
      <c r="E5484">
        <f>VLOOKUP(C5484,'All Districts'!$B$3:$C$874,2,FALSE)</f>
        <v>3625020</v>
      </c>
      <c r="F5484" s="91">
        <f>COUNTIF($E$2:$E$7106,E5484)</f>
        <v>9</v>
      </c>
    </row>
    <row r="5485" spans="1:6" x14ac:dyDescent="0.2">
      <c r="A5485">
        <v>2022</v>
      </c>
      <c r="B5485" s="36">
        <v>5505</v>
      </c>
      <c r="C5485" s="90" t="str">
        <f>VLOOKUP(B5485,'All Districts'!$A$3:$B$874,2,FALSE)</f>
        <v>Roscoe</v>
      </c>
      <c r="D5485" s="82">
        <v>347460</v>
      </c>
      <c r="E5485">
        <f>VLOOKUP(C5485,'All Districts'!$B$3:$C$874,2,FALSE)</f>
        <v>3625020</v>
      </c>
      <c r="F5485" s="91">
        <f>COUNTIF($E$2:$E$7106,E5485)</f>
        <v>9</v>
      </c>
    </row>
    <row r="5486" spans="1:6" x14ac:dyDescent="0.2">
      <c r="A5486">
        <v>2023</v>
      </c>
      <c r="B5486" s="36">
        <v>5505</v>
      </c>
      <c r="C5486" s="90" t="str">
        <f>VLOOKUP(B5486,'All Districts'!$A$3:$B$874,2,FALSE)</f>
        <v>Roscoe</v>
      </c>
      <c r="D5486" s="40">
        <v>389084</v>
      </c>
      <c r="E5486">
        <f>VLOOKUP(C5486,'All Districts'!$B$3:$C$874,2,FALSE)</f>
        <v>3625020</v>
      </c>
      <c r="F5486" s="91">
        <f>COUNTIF($E$2:$E$7106,E5486)</f>
        <v>9</v>
      </c>
    </row>
    <row r="5487" spans="1:6" x14ac:dyDescent="0.2">
      <c r="A5487">
        <v>2015</v>
      </c>
      <c r="B5487" s="13">
        <v>2505</v>
      </c>
      <c r="C5487" s="90" t="str">
        <f>VLOOKUP(B5487,'All Districts'!$A$3:$B$874,2,FALSE)</f>
        <v>Roslyn</v>
      </c>
      <c r="D5487" s="14">
        <v>7255007</v>
      </c>
      <c r="E5487">
        <f>VLOOKUP(C5487,'All Districts'!$B$3:$C$874,2,FALSE)</f>
        <v>3601129</v>
      </c>
      <c r="F5487" s="91">
        <f>COUNTIF($E$2:$E$7106,E5487)</f>
        <v>9</v>
      </c>
    </row>
    <row r="5488" spans="1:6" x14ac:dyDescent="0.2">
      <c r="A5488">
        <v>2016</v>
      </c>
      <c r="B5488" s="13">
        <v>2505</v>
      </c>
      <c r="C5488" s="90" t="str">
        <f>VLOOKUP(B5488,'All Districts'!$A$3:$B$874,2,FALSE)</f>
        <v>Roslyn</v>
      </c>
      <c r="D5488" s="16">
        <v>5553595</v>
      </c>
      <c r="E5488">
        <f>VLOOKUP(C5488,'All Districts'!$B$3:$C$874,2,FALSE)</f>
        <v>3601129</v>
      </c>
      <c r="F5488" s="91">
        <f>COUNTIF($E$2:$E$7106,E5488)</f>
        <v>9</v>
      </c>
    </row>
    <row r="5489" spans="1:6" x14ac:dyDescent="0.2">
      <c r="A5489">
        <v>2017</v>
      </c>
      <c r="B5489" s="13">
        <v>2505</v>
      </c>
      <c r="C5489" s="90" t="str">
        <f>VLOOKUP(B5489,'All Districts'!$A$3:$B$874,2,FALSE)</f>
        <v>Roslyn</v>
      </c>
      <c r="D5489" s="16">
        <v>5063780</v>
      </c>
      <c r="E5489">
        <f>VLOOKUP(C5489,'All Districts'!$B$3:$C$874,2,FALSE)</f>
        <v>3601129</v>
      </c>
      <c r="F5489" s="91">
        <f>COUNTIF($E$2:$E$7106,E5489)</f>
        <v>9</v>
      </c>
    </row>
    <row r="5490" spans="1:6" x14ac:dyDescent="0.2">
      <c r="A5490" s="10">
        <v>2018</v>
      </c>
      <c r="B5490" s="13">
        <v>2505</v>
      </c>
      <c r="C5490" s="90" t="str">
        <f>VLOOKUP(B5490,'All Districts'!$A$3:$B$874,2,FALSE)</f>
        <v>Roslyn</v>
      </c>
      <c r="D5490" s="15">
        <v>4298425</v>
      </c>
      <c r="E5490">
        <f>VLOOKUP(C5490,'All Districts'!$B$3:$C$874,2,FALSE)</f>
        <v>3601129</v>
      </c>
      <c r="F5490" s="91">
        <f>COUNTIF($E$2:$E$7106,E5490)</f>
        <v>9</v>
      </c>
    </row>
    <row r="5491" spans="1:6" x14ac:dyDescent="0.2">
      <c r="A5491">
        <v>2019</v>
      </c>
      <c r="B5491" s="36">
        <v>2505</v>
      </c>
      <c r="C5491" s="90" t="str">
        <f>VLOOKUP(B5491,'All Districts'!$A$3:$B$874,2,FALSE)</f>
        <v>Roslyn</v>
      </c>
      <c r="D5491" s="40">
        <v>4751430</v>
      </c>
      <c r="E5491">
        <f>VLOOKUP(C5491,'All Districts'!$B$3:$C$874,2,FALSE)</f>
        <v>3601129</v>
      </c>
      <c r="F5491" s="91">
        <f>COUNTIF($E$2:$E$7106,E5491)</f>
        <v>9</v>
      </c>
    </row>
    <row r="5492" spans="1:6" x14ac:dyDescent="0.2">
      <c r="A5492">
        <v>2020</v>
      </c>
      <c r="B5492" s="36">
        <v>2505</v>
      </c>
      <c r="C5492" s="90" t="str">
        <f>VLOOKUP(B5492,'All Districts'!$A$3:$B$874,2,FALSE)</f>
        <v>Roslyn</v>
      </c>
      <c r="D5492" s="40">
        <v>3969898</v>
      </c>
      <c r="E5492">
        <f>VLOOKUP(C5492,'All Districts'!$B$3:$C$874,2,FALSE)</f>
        <v>3601129</v>
      </c>
      <c r="F5492" s="91">
        <f>COUNTIF($E$2:$E$7106,E5492)</f>
        <v>9</v>
      </c>
    </row>
    <row r="5493" spans="1:6" x14ac:dyDescent="0.2">
      <c r="A5493" s="10">
        <v>2021</v>
      </c>
      <c r="B5493" s="52">
        <v>2505</v>
      </c>
      <c r="C5493" s="90" t="str">
        <f>VLOOKUP(B5493,'All Districts'!$A$3:$B$874,2,FALSE)</f>
        <v>Roslyn</v>
      </c>
      <c r="D5493" s="76">
        <v>4232182</v>
      </c>
      <c r="E5493">
        <f>VLOOKUP(C5493,'All Districts'!$B$3:$C$874,2,FALSE)</f>
        <v>3601129</v>
      </c>
      <c r="F5493" s="91">
        <f>COUNTIF($E$2:$E$7106,E5493)</f>
        <v>9</v>
      </c>
    </row>
    <row r="5494" spans="1:6" x14ac:dyDescent="0.2">
      <c r="A5494">
        <v>2022</v>
      </c>
      <c r="B5494" s="36">
        <v>2505</v>
      </c>
      <c r="C5494" s="90" t="str">
        <f>VLOOKUP(B5494,'All Districts'!$A$3:$B$874,2,FALSE)</f>
        <v>Roslyn</v>
      </c>
      <c r="D5494" s="82">
        <v>4588407</v>
      </c>
      <c r="E5494">
        <f>VLOOKUP(C5494,'All Districts'!$B$3:$C$874,2,FALSE)</f>
        <v>3601129</v>
      </c>
      <c r="F5494" s="91">
        <f>COUNTIF($E$2:$E$7106,E5494)</f>
        <v>9</v>
      </c>
    </row>
    <row r="5495" spans="1:6" x14ac:dyDescent="0.2">
      <c r="A5495">
        <v>2023</v>
      </c>
      <c r="B5495" s="36">
        <v>2505</v>
      </c>
      <c r="C5495" s="90" t="str">
        <f>VLOOKUP(B5495,'All Districts'!$A$3:$B$874,2,FALSE)</f>
        <v>Roslyn</v>
      </c>
      <c r="D5495" s="40">
        <v>4941488</v>
      </c>
      <c r="E5495">
        <f>VLOOKUP(C5495,'All Districts'!$B$3:$C$874,2,FALSE)</f>
        <v>3601129</v>
      </c>
      <c r="F5495" s="91">
        <f>COUNTIF($E$2:$E$7106,E5495)</f>
        <v>9</v>
      </c>
    </row>
    <row r="5496" spans="1:6" x14ac:dyDescent="0.2">
      <c r="A5496">
        <v>2015</v>
      </c>
      <c r="B5496" s="13">
        <v>2381</v>
      </c>
      <c r="C5496" s="90" t="str">
        <f>VLOOKUP(B5496,'All Districts'!$A$3:$B$874,2,FALSE)</f>
        <v>Rotterdam-Mohonasen</v>
      </c>
      <c r="D5496" s="14">
        <v>3089287</v>
      </c>
      <c r="E5496">
        <f>VLOOKUP(C5496,'All Districts'!$B$3:$C$874,2,FALSE)</f>
        <v>3600004</v>
      </c>
      <c r="F5496" s="91">
        <f>COUNTIF($E$2:$E$7106,E5496)</f>
        <v>9</v>
      </c>
    </row>
    <row r="5497" spans="1:6" x14ac:dyDescent="0.2">
      <c r="A5497">
        <v>2016</v>
      </c>
      <c r="B5497" s="13">
        <v>2381</v>
      </c>
      <c r="C5497" s="90" t="str">
        <f>VLOOKUP(B5497,'All Districts'!$A$3:$B$874,2,FALSE)</f>
        <v>Rotterdam-Mohonasen</v>
      </c>
      <c r="D5497" s="16">
        <v>2485631</v>
      </c>
      <c r="E5497">
        <f>VLOOKUP(C5497,'All Districts'!$B$3:$C$874,2,FALSE)</f>
        <v>3600004</v>
      </c>
      <c r="F5497" s="91">
        <f>COUNTIF($E$2:$E$7106,E5497)</f>
        <v>9</v>
      </c>
    </row>
    <row r="5498" spans="1:6" x14ac:dyDescent="0.2">
      <c r="A5498">
        <v>2017</v>
      </c>
      <c r="B5498" s="13">
        <v>2381</v>
      </c>
      <c r="C5498" s="90" t="str">
        <f>VLOOKUP(B5498,'All Districts'!$A$3:$B$874,2,FALSE)</f>
        <v>Rotterdam-Mohonasen</v>
      </c>
      <c r="D5498" s="16">
        <v>2304481</v>
      </c>
      <c r="E5498">
        <f>VLOOKUP(C5498,'All Districts'!$B$3:$C$874,2,FALSE)</f>
        <v>3600004</v>
      </c>
      <c r="F5498" s="91">
        <f>COUNTIF($E$2:$E$7106,E5498)</f>
        <v>9</v>
      </c>
    </row>
    <row r="5499" spans="1:6" x14ac:dyDescent="0.2">
      <c r="A5499" s="10">
        <v>2018</v>
      </c>
      <c r="B5499" s="13">
        <v>2381</v>
      </c>
      <c r="C5499" s="90" t="str">
        <f>VLOOKUP(B5499,'All Districts'!$A$3:$B$874,2,FALSE)</f>
        <v>Rotterdam-Mohonasen</v>
      </c>
      <c r="D5499" s="15">
        <v>2037610</v>
      </c>
      <c r="E5499">
        <f>VLOOKUP(C5499,'All Districts'!$B$3:$C$874,2,FALSE)</f>
        <v>3600004</v>
      </c>
      <c r="F5499" s="91">
        <f>COUNTIF($E$2:$E$7106,E5499)</f>
        <v>9</v>
      </c>
    </row>
    <row r="5500" spans="1:6" x14ac:dyDescent="0.2">
      <c r="A5500">
        <v>2019</v>
      </c>
      <c r="B5500" s="36">
        <v>2381</v>
      </c>
      <c r="C5500" s="90" t="str">
        <f>VLOOKUP(B5500,'All Districts'!$A$3:$B$874,2,FALSE)</f>
        <v>Rotterdam-Mohonasen</v>
      </c>
      <c r="D5500" s="40">
        <v>2167566</v>
      </c>
      <c r="E5500">
        <f>VLOOKUP(C5500,'All Districts'!$B$3:$C$874,2,FALSE)</f>
        <v>3600004</v>
      </c>
      <c r="F5500" s="91">
        <f>COUNTIF($E$2:$E$7106,E5500)</f>
        <v>9</v>
      </c>
    </row>
    <row r="5501" spans="1:6" x14ac:dyDescent="0.2">
      <c r="A5501">
        <v>2020</v>
      </c>
      <c r="B5501" s="36">
        <v>2381</v>
      </c>
      <c r="C5501" s="90" t="str">
        <f>VLOOKUP(B5501,'All Districts'!$A$3:$B$874,2,FALSE)</f>
        <v>Rotterdam-Mohonasen</v>
      </c>
      <c r="D5501" s="40">
        <v>1791908</v>
      </c>
      <c r="E5501">
        <f>VLOOKUP(C5501,'All Districts'!$B$3:$C$874,2,FALSE)</f>
        <v>3600004</v>
      </c>
      <c r="F5501" s="91">
        <f>COUNTIF($E$2:$E$7106,E5501)</f>
        <v>9</v>
      </c>
    </row>
    <row r="5502" spans="1:6" x14ac:dyDescent="0.2">
      <c r="A5502" s="10">
        <v>2021</v>
      </c>
      <c r="B5502" s="55">
        <v>2381</v>
      </c>
      <c r="C5502" s="90" t="str">
        <f>VLOOKUP(B5502,'All Districts'!$A$3:$B$874,2,FALSE)</f>
        <v>Rotterdam-Mohonasen</v>
      </c>
      <c r="D5502" s="76">
        <v>1943910</v>
      </c>
      <c r="E5502">
        <f>VLOOKUP(C5502,'All Districts'!$B$3:$C$874,2,FALSE)</f>
        <v>3600004</v>
      </c>
      <c r="F5502" s="91">
        <f>COUNTIF($E$2:$E$7106,E5502)</f>
        <v>9</v>
      </c>
    </row>
    <row r="5503" spans="1:6" x14ac:dyDescent="0.2">
      <c r="A5503">
        <v>2022</v>
      </c>
      <c r="B5503" s="36">
        <v>2381</v>
      </c>
      <c r="C5503" s="90" t="str">
        <f>VLOOKUP(B5503,'All Districts'!$A$3:$B$874,2,FALSE)</f>
        <v>Rotterdam-Mohonasen</v>
      </c>
      <c r="D5503" s="82">
        <v>2160683</v>
      </c>
      <c r="E5503">
        <f>VLOOKUP(C5503,'All Districts'!$B$3:$C$874,2,FALSE)</f>
        <v>3600004</v>
      </c>
      <c r="F5503" s="91">
        <f>COUNTIF($E$2:$E$7106,E5503)</f>
        <v>9</v>
      </c>
    </row>
    <row r="5504" spans="1:6" x14ac:dyDescent="0.2">
      <c r="A5504">
        <v>2023</v>
      </c>
      <c r="B5504" s="36">
        <v>2381</v>
      </c>
      <c r="C5504" s="90" t="str">
        <f>VLOOKUP(B5504,'All Districts'!$A$3:$B$874,2,FALSE)</f>
        <v>Rotterdam-Mohonasen</v>
      </c>
      <c r="D5504" s="40">
        <v>2368379</v>
      </c>
      <c r="E5504">
        <f>VLOOKUP(C5504,'All Districts'!$B$3:$C$874,2,FALSE)</f>
        <v>3600004</v>
      </c>
      <c r="F5504" s="91">
        <f>COUNTIF($E$2:$E$7106,E5504)</f>
        <v>9</v>
      </c>
    </row>
    <row r="5505" spans="1:6" x14ac:dyDescent="0.2">
      <c r="A5505">
        <v>2015</v>
      </c>
      <c r="B5505" s="13">
        <v>3986</v>
      </c>
      <c r="C5505" s="90" t="str">
        <f>VLOOKUP(B5505,'All Districts'!$A$3:$B$874,2,FALSE)</f>
        <v>Roxbury</v>
      </c>
      <c r="D5505" s="14">
        <v>529079</v>
      </c>
      <c r="E5505">
        <f>VLOOKUP(C5505,'All Districts'!$B$3:$C$874,2,FALSE)</f>
        <v>3625110</v>
      </c>
      <c r="F5505" s="91">
        <f>COUNTIF($E$2:$E$7106,E5505)</f>
        <v>9</v>
      </c>
    </row>
    <row r="5506" spans="1:6" x14ac:dyDescent="0.2">
      <c r="A5506">
        <v>2016</v>
      </c>
      <c r="B5506" s="13">
        <v>3986</v>
      </c>
      <c r="C5506" s="90" t="str">
        <f>VLOOKUP(B5506,'All Districts'!$A$3:$B$874,2,FALSE)</f>
        <v>Roxbury</v>
      </c>
      <c r="D5506" s="16">
        <v>399334</v>
      </c>
      <c r="E5506">
        <f>VLOOKUP(C5506,'All Districts'!$B$3:$C$874,2,FALSE)</f>
        <v>3625110</v>
      </c>
      <c r="F5506" s="91">
        <f>COUNTIF($E$2:$E$7106,E5506)</f>
        <v>9</v>
      </c>
    </row>
    <row r="5507" spans="1:6" x14ac:dyDescent="0.2">
      <c r="A5507">
        <v>2017</v>
      </c>
      <c r="B5507" s="13">
        <v>3986</v>
      </c>
      <c r="C5507" s="90" t="str">
        <f>VLOOKUP(B5507,'All Districts'!$A$3:$B$874,2,FALSE)</f>
        <v>Roxbury</v>
      </c>
      <c r="D5507" s="16">
        <v>351126</v>
      </c>
      <c r="E5507">
        <f>VLOOKUP(C5507,'All Districts'!$B$3:$C$874,2,FALSE)</f>
        <v>3625110</v>
      </c>
      <c r="F5507" s="91">
        <f>COUNTIF($E$2:$E$7106,E5507)</f>
        <v>9</v>
      </c>
    </row>
    <row r="5508" spans="1:6" x14ac:dyDescent="0.2">
      <c r="A5508" s="10">
        <v>2018</v>
      </c>
      <c r="B5508" s="13">
        <v>3986</v>
      </c>
      <c r="C5508" s="90" t="str">
        <f>VLOOKUP(B5508,'All Districts'!$A$3:$B$874,2,FALSE)</f>
        <v>Roxbury</v>
      </c>
      <c r="D5508" s="15">
        <v>308816</v>
      </c>
      <c r="E5508">
        <f>VLOOKUP(C5508,'All Districts'!$B$3:$C$874,2,FALSE)</f>
        <v>3625110</v>
      </c>
      <c r="F5508" s="91">
        <f>COUNTIF($E$2:$E$7106,E5508)</f>
        <v>9</v>
      </c>
    </row>
    <row r="5509" spans="1:6" x14ac:dyDescent="0.2">
      <c r="A5509">
        <v>2019</v>
      </c>
      <c r="B5509" s="36">
        <v>3986</v>
      </c>
      <c r="C5509" s="90" t="str">
        <f>VLOOKUP(B5509,'All Districts'!$A$3:$B$874,2,FALSE)</f>
        <v>Roxbury</v>
      </c>
      <c r="D5509" s="40">
        <v>331609</v>
      </c>
      <c r="E5509">
        <f>VLOOKUP(C5509,'All Districts'!$B$3:$C$874,2,FALSE)</f>
        <v>3625110</v>
      </c>
      <c r="F5509" s="91">
        <f>COUNTIF($E$2:$E$7106,E5509)</f>
        <v>9</v>
      </c>
    </row>
    <row r="5510" spans="1:6" x14ac:dyDescent="0.2">
      <c r="A5510">
        <v>2020</v>
      </c>
      <c r="B5510" s="36">
        <v>3986</v>
      </c>
      <c r="C5510" s="90" t="str">
        <f>VLOOKUP(B5510,'All Districts'!$A$3:$B$874,2,FALSE)</f>
        <v>Roxbury</v>
      </c>
      <c r="D5510" s="40">
        <v>289499</v>
      </c>
      <c r="E5510">
        <f>VLOOKUP(C5510,'All Districts'!$B$3:$C$874,2,FALSE)</f>
        <v>3625110</v>
      </c>
      <c r="F5510" s="91">
        <f>COUNTIF($E$2:$E$7106,E5510)</f>
        <v>9</v>
      </c>
    </row>
    <row r="5511" spans="1:6" x14ac:dyDescent="0.2">
      <c r="A5511" s="10">
        <v>2021</v>
      </c>
      <c r="B5511" s="71">
        <v>3986</v>
      </c>
      <c r="C5511" s="90" t="str">
        <f>VLOOKUP(B5511,'All Districts'!$A$3:$B$874,2,FALSE)</f>
        <v>Roxbury</v>
      </c>
      <c r="D5511" s="80">
        <v>280177</v>
      </c>
      <c r="E5511">
        <f>VLOOKUP(C5511,'All Districts'!$B$3:$C$874,2,FALSE)</f>
        <v>3625110</v>
      </c>
      <c r="F5511" s="91">
        <f>COUNTIF($E$2:$E$7106,E5511)</f>
        <v>9</v>
      </c>
    </row>
    <row r="5512" spans="1:6" x14ac:dyDescent="0.2">
      <c r="A5512">
        <v>2022</v>
      </c>
      <c r="B5512" s="36">
        <v>3986</v>
      </c>
      <c r="C5512" s="90" t="str">
        <f>VLOOKUP(B5512,'All Districts'!$A$3:$B$874,2,FALSE)</f>
        <v>Roxbury</v>
      </c>
      <c r="D5512" s="82">
        <v>293726</v>
      </c>
      <c r="E5512">
        <f>VLOOKUP(C5512,'All Districts'!$B$3:$C$874,2,FALSE)</f>
        <v>3625110</v>
      </c>
      <c r="F5512" s="91">
        <f>COUNTIF($E$2:$E$7106,E5512)</f>
        <v>9</v>
      </c>
    </row>
    <row r="5513" spans="1:6" x14ac:dyDescent="0.2">
      <c r="A5513">
        <v>2023</v>
      </c>
      <c r="B5513" s="36">
        <v>3986</v>
      </c>
      <c r="C5513" s="90" t="str">
        <f>VLOOKUP(B5513,'All Districts'!$A$3:$B$874,2,FALSE)</f>
        <v>Roxbury</v>
      </c>
      <c r="D5513" s="40">
        <v>294460</v>
      </c>
      <c r="E5513">
        <f>VLOOKUP(C5513,'All Districts'!$B$3:$C$874,2,FALSE)</f>
        <v>3625110</v>
      </c>
      <c r="F5513" s="91">
        <f>COUNTIF($E$2:$E$7106,E5513)</f>
        <v>9</v>
      </c>
    </row>
    <row r="5514" spans="1:6" x14ac:dyDescent="0.2">
      <c r="A5514">
        <v>2015</v>
      </c>
      <c r="B5514" s="13">
        <v>2507</v>
      </c>
      <c r="C5514" s="90" t="str">
        <f>VLOOKUP(B5514,'All Districts'!$A$3:$B$874,2,FALSE)</f>
        <v>Royalton-Hartland</v>
      </c>
      <c r="D5514" s="14">
        <v>1357203</v>
      </c>
      <c r="E5514">
        <f>VLOOKUP(C5514,'All Districts'!$B$3:$C$874,2,FALSE)</f>
        <v>3625140</v>
      </c>
      <c r="F5514" s="91">
        <f>COUNTIF($E$2:$E$7106,E5514)</f>
        <v>9</v>
      </c>
    </row>
    <row r="5515" spans="1:6" x14ac:dyDescent="0.2">
      <c r="A5515">
        <v>2016</v>
      </c>
      <c r="B5515" s="13">
        <v>2507</v>
      </c>
      <c r="C5515" s="90" t="str">
        <f>VLOOKUP(B5515,'All Districts'!$A$3:$B$874,2,FALSE)</f>
        <v>Royalton-Hartland</v>
      </c>
      <c r="D5515" s="16">
        <v>1062367</v>
      </c>
      <c r="E5515">
        <f>VLOOKUP(C5515,'All Districts'!$B$3:$C$874,2,FALSE)</f>
        <v>3625140</v>
      </c>
      <c r="F5515" s="91">
        <f>COUNTIF($E$2:$E$7106,E5515)</f>
        <v>9</v>
      </c>
    </row>
    <row r="5516" spans="1:6" x14ac:dyDescent="0.2">
      <c r="A5516">
        <v>2017</v>
      </c>
      <c r="B5516" s="13">
        <v>2507</v>
      </c>
      <c r="C5516" s="90" t="str">
        <f>VLOOKUP(B5516,'All Districts'!$A$3:$B$874,2,FALSE)</f>
        <v>Royalton-Hartland</v>
      </c>
      <c r="D5516" s="16">
        <v>959733</v>
      </c>
      <c r="E5516">
        <f>VLOOKUP(C5516,'All Districts'!$B$3:$C$874,2,FALSE)</f>
        <v>3625140</v>
      </c>
      <c r="F5516" s="91">
        <f>COUNTIF($E$2:$E$7106,E5516)</f>
        <v>9</v>
      </c>
    </row>
    <row r="5517" spans="1:6" x14ac:dyDescent="0.2">
      <c r="A5517" s="10">
        <v>2018</v>
      </c>
      <c r="B5517" s="13">
        <v>2507</v>
      </c>
      <c r="C5517" s="90" t="str">
        <f>VLOOKUP(B5517,'All Districts'!$A$3:$B$874,2,FALSE)</f>
        <v>Royalton-Hartland</v>
      </c>
      <c r="D5517" s="15">
        <v>821642</v>
      </c>
      <c r="E5517">
        <f>VLOOKUP(C5517,'All Districts'!$B$3:$C$874,2,FALSE)</f>
        <v>3625140</v>
      </c>
      <c r="F5517" s="91">
        <f>COUNTIF($E$2:$E$7106,E5517)</f>
        <v>9</v>
      </c>
    </row>
    <row r="5518" spans="1:6" x14ac:dyDescent="0.2">
      <c r="A5518">
        <v>2019</v>
      </c>
      <c r="B5518" s="36">
        <v>2507</v>
      </c>
      <c r="C5518" s="90" t="str">
        <f>VLOOKUP(B5518,'All Districts'!$A$3:$B$874,2,FALSE)</f>
        <v>Royalton-Hartland</v>
      </c>
      <c r="D5518" s="40">
        <v>907090</v>
      </c>
      <c r="E5518">
        <f>VLOOKUP(C5518,'All Districts'!$B$3:$C$874,2,FALSE)</f>
        <v>3625140</v>
      </c>
      <c r="F5518" s="91">
        <f>COUNTIF($E$2:$E$7106,E5518)</f>
        <v>9</v>
      </c>
    </row>
    <row r="5519" spans="1:6" x14ac:dyDescent="0.2">
      <c r="A5519">
        <v>2020</v>
      </c>
      <c r="B5519" s="36">
        <v>2507</v>
      </c>
      <c r="C5519" s="90" t="str">
        <f>VLOOKUP(B5519,'All Districts'!$A$3:$B$874,2,FALSE)</f>
        <v>Royalton-Hartland</v>
      </c>
      <c r="D5519" s="40">
        <v>791089</v>
      </c>
      <c r="E5519">
        <f>VLOOKUP(C5519,'All Districts'!$B$3:$C$874,2,FALSE)</f>
        <v>3625140</v>
      </c>
      <c r="F5519" s="91">
        <f>COUNTIF($E$2:$E$7106,E5519)</f>
        <v>9</v>
      </c>
    </row>
    <row r="5520" spans="1:6" x14ac:dyDescent="0.2">
      <c r="A5520" s="10">
        <v>2021</v>
      </c>
      <c r="B5520" s="55">
        <v>2507</v>
      </c>
      <c r="C5520" s="90" t="str">
        <f>VLOOKUP(B5520,'All Districts'!$A$3:$B$874,2,FALSE)</f>
        <v>Royalton-Hartland</v>
      </c>
      <c r="D5520" s="75">
        <v>863593</v>
      </c>
      <c r="E5520">
        <f>VLOOKUP(C5520,'All Districts'!$B$3:$C$874,2,FALSE)</f>
        <v>3625140</v>
      </c>
      <c r="F5520" s="91">
        <f>COUNTIF($E$2:$E$7106,E5520)</f>
        <v>9</v>
      </c>
    </row>
    <row r="5521" spans="1:6" x14ac:dyDescent="0.2">
      <c r="A5521">
        <v>2022</v>
      </c>
      <c r="B5521" s="36">
        <v>2507</v>
      </c>
      <c r="C5521" s="90" t="str">
        <f>VLOOKUP(B5521,'All Districts'!$A$3:$B$874,2,FALSE)</f>
        <v>Royalton-Hartland</v>
      </c>
      <c r="D5521" s="82">
        <v>932468</v>
      </c>
      <c r="E5521">
        <f>VLOOKUP(C5521,'All Districts'!$B$3:$C$874,2,FALSE)</f>
        <v>3625140</v>
      </c>
      <c r="F5521" s="91">
        <f>COUNTIF($E$2:$E$7106,E5521)</f>
        <v>9</v>
      </c>
    </row>
    <row r="5522" spans="1:6" x14ac:dyDescent="0.2">
      <c r="A5522">
        <v>2023</v>
      </c>
      <c r="B5522" s="36">
        <v>2507</v>
      </c>
      <c r="C5522" s="90" t="str">
        <f>VLOOKUP(B5522,'All Districts'!$A$3:$B$874,2,FALSE)</f>
        <v>Royalton-Hartland</v>
      </c>
      <c r="D5522" s="40">
        <v>970413</v>
      </c>
      <c r="E5522">
        <f>VLOOKUP(C5522,'All Districts'!$B$3:$C$874,2,FALSE)</f>
        <v>3625140</v>
      </c>
      <c r="F5522" s="91">
        <f>COUNTIF($E$2:$E$7106,E5522)</f>
        <v>9</v>
      </c>
    </row>
    <row r="5523" spans="1:6" x14ac:dyDescent="0.2">
      <c r="A5523">
        <v>2015</v>
      </c>
      <c r="B5523" s="13">
        <v>2509</v>
      </c>
      <c r="C5523" s="90" t="str">
        <f>VLOOKUP(B5523,'All Districts'!$A$3:$B$874,2,FALSE)</f>
        <v>Rush-Henrietta</v>
      </c>
      <c r="D5523" s="14">
        <v>6996948</v>
      </c>
      <c r="E5523">
        <f>VLOOKUP(C5523,'All Districts'!$B$3:$C$874,2,FALSE)</f>
        <v>3625170</v>
      </c>
      <c r="F5523" s="91">
        <f>COUNTIF($E$2:$E$7106,E5523)</f>
        <v>9</v>
      </c>
    </row>
    <row r="5524" spans="1:6" x14ac:dyDescent="0.2">
      <c r="A5524">
        <v>2016</v>
      </c>
      <c r="B5524" s="13">
        <v>2509</v>
      </c>
      <c r="C5524" s="90" t="str">
        <f>VLOOKUP(B5524,'All Districts'!$A$3:$B$874,2,FALSE)</f>
        <v>Rush-Henrietta</v>
      </c>
      <c r="D5524" s="16">
        <v>5478572</v>
      </c>
      <c r="E5524">
        <f>VLOOKUP(C5524,'All Districts'!$B$3:$C$874,2,FALSE)</f>
        <v>3625170</v>
      </c>
      <c r="F5524" s="91">
        <f>COUNTIF($E$2:$E$7106,E5524)</f>
        <v>9</v>
      </c>
    </row>
    <row r="5525" spans="1:6" x14ac:dyDescent="0.2">
      <c r="A5525">
        <v>2017</v>
      </c>
      <c r="B5525" s="13">
        <v>2509</v>
      </c>
      <c r="C5525" s="90" t="str">
        <f>VLOOKUP(B5525,'All Districts'!$A$3:$B$874,2,FALSE)</f>
        <v>Rush-Henrietta</v>
      </c>
      <c r="D5525" s="16">
        <v>4868839</v>
      </c>
      <c r="E5525">
        <f>VLOOKUP(C5525,'All Districts'!$B$3:$C$874,2,FALSE)</f>
        <v>3625170</v>
      </c>
      <c r="F5525" s="91">
        <f>COUNTIF($E$2:$E$7106,E5525)</f>
        <v>9</v>
      </c>
    </row>
    <row r="5526" spans="1:6" x14ac:dyDescent="0.2">
      <c r="A5526" s="10">
        <v>2018</v>
      </c>
      <c r="B5526" s="13">
        <v>2509</v>
      </c>
      <c r="C5526" s="90" t="str">
        <f>VLOOKUP(B5526,'All Districts'!$A$3:$B$874,2,FALSE)</f>
        <v>Rush-Henrietta</v>
      </c>
      <c r="D5526" s="15">
        <v>4171336</v>
      </c>
      <c r="E5526">
        <f>VLOOKUP(C5526,'All Districts'!$B$3:$C$874,2,FALSE)</f>
        <v>3625170</v>
      </c>
      <c r="F5526" s="91">
        <f>COUNTIF($E$2:$E$7106,E5526)</f>
        <v>9</v>
      </c>
    </row>
    <row r="5527" spans="1:6" x14ac:dyDescent="0.2">
      <c r="A5527">
        <v>2019</v>
      </c>
      <c r="B5527" s="36">
        <v>2509</v>
      </c>
      <c r="C5527" s="90" t="str">
        <f>VLOOKUP(B5527,'All Districts'!$A$3:$B$874,2,FALSE)</f>
        <v>Rush-Henrietta</v>
      </c>
      <c r="D5527" s="40">
        <v>4587433</v>
      </c>
      <c r="E5527">
        <f>VLOOKUP(C5527,'All Districts'!$B$3:$C$874,2,FALSE)</f>
        <v>3625170</v>
      </c>
      <c r="F5527" s="91">
        <f>COUNTIF($E$2:$E$7106,E5527)</f>
        <v>9</v>
      </c>
    </row>
    <row r="5528" spans="1:6" x14ac:dyDescent="0.2">
      <c r="A5528">
        <v>2020</v>
      </c>
      <c r="B5528" s="36">
        <v>2509</v>
      </c>
      <c r="C5528" s="90" t="str">
        <f>VLOOKUP(B5528,'All Districts'!$A$3:$B$874,2,FALSE)</f>
        <v>Rush-Henrietta</v>
      </c>
      <c r="D5528" s="40">
        <v>3912670</v>
      </c>
      <c r="E5528">
        <f>VLOOKUP(C5528,'All Districts'!$B$3:$C$874,2,FALSE)</f>
        <v>3625170</v>
      </c>
      <c r="F5528" s="91">
        <f>COUNTIF($E$2:$E$7106,E5528)</f>
        <v>9</v>
      </c>
    </row>
    <row r="5529" spans="1:6" x14ac:dyDescent="0.2">
      <c r="A5529" s="10">
        <v>2021</v>
      </c>
      <c r="B5529" s="55">
        <v>2509</v>
      </c>
      <c r="C5529" s="90" t="str">
        <f>VLOOKUP(B5529,'All Districts'!$A$3:$B$874,2,FALSE)</f>
        <v>Rush-Henrietta</v>
      </c>
      <c r="D5529" s="76">
        <v>4197288</v>
      </c>
      <c r="E5529">
        <f>VLOOKUP(C5529,'All Districts'!$B$3:$C$874,2,FALSE)</f>
        <v>3625170</v>
      </c>
      <c r="F5529" s="91">
        <f>COUNTIF($E$2:$E$7106,E5529)</f>
        <v>9</v>
      </c>
    </row>
    <row r="5530" spans="1:6" x14ac:dyDescent="0.2">
      <c r="A5530">
        <v>2022</v>
      </c>
      <c r="B5530" s="36">
        <v>2509</v>
      </c>
      <c r="C5530" s="90" t="str">
        <f>VLOOKUP(B5530,'All Districts'!$A$3:$B$874,2,FALSE)</f>
        <v>Rush-Henrietta</v>
      </c>
      <c r="D5530" s="82">
        <v>4450355</v>
      </c>
      <c r="E5530">
        <f>VLOOKUP(C5530,'All Districts'!$B$3:$C$874,2,FALSE)</f>
        <v>3625170</v>
      </c>
      <c r="F5530" s="91">
        <f>COUNTIF($E$2:$E$7106,E5530)</f>
        <v>9</v>
      </c>
    </row>
    <row r="5531" spans="1:6" x14ac:dyDescent="0.2">
      <c r="A5531">
        <v>2023</v>
      </c>
      <c r="B5531" s="36">
        <v>2509</v>
      </c>
      <c r="C5531" s="90" t="str">
        <f>VLOOKUP(B5531,'All Districts'!$A$3:$B$874,2,FALSE)</f>
        <v>Rush-Henrietta</v>
      </c>
      <c r="D5531" s="40">
        <v>4915621</v>
      </c>
      <c r="E5531">
        <f>VLOOKUP(C5531,'All Districts'!$B$3:$C$874,2,FALSE)</f>
        <v>3625170</v>
      </c>
      <c r="F5531" s="91">
        <f>COUNTIF($E$2:$E$7106,E5531)</f>
        <v>9</v>
      </c>
    </row>
    <row r="5532" spans="1:6" x14ac:dyDescent="0.2">
      <c r="A5532">
        <v>2015</v>
      </c>
      <c r="B5532" s="13">
        <v>1245</v>
      </c>
      <c r="C5532" s="90" t="str">
        <f>VLOOKUP(B5532,'All Districts'!$A$3:$B$874,2,FALSE)</f>
        <v>Rye</v>
      </c>
      <c r="D5532" s="14">
        <v>5596743</v>
      </c>
      <c r="E5532">
        <f>VLOOKUP(C5532,'All Districts'!$B$3:$C$874,2,FALSE)</f>
        <v>3625260</v>
      </c>
      <c r="F5532" s="91">
        <f>COUNTIF($E$2:$E$7106,E5532)</f>
        <v>9</v>
      </c>
    </row>
    <row r="5533" spans="1:6" x14ac:dyDescent="0.2">
      <c r="A5533">
        <v>2016</v>
      </c>
      <c r="B5533" s="13">
        <v>1245</v>
      </c>
      <c r="C5533" s="90" t="str">
        <f>VLOOKUP(B5533,'All Districts'!$A$3:$B$874,2,FALSE)</f>
        <v>Rye</v>
      </c>
      <c r="D5533" s="16">
        <v>4600118</v>
      </c>
      <c r="E5533">
        <f>VLOOKUP(C5533,'All Districts'!$B$3:$C$874,2,FALSE)</f>
        <v>3625260</v>
      </c>
      <c r="F5533" s="91">
        <f>COUNTIF($E$2:$E$7106,E5533)</f>
        <v>9</v>
      </c>
    </row>
    <row r="5534" spans="1:6" x14ac:dyDescent="0.2">
      <c r="A5534">
        <v>2017</v>
      </c>
      <c r="B5534" s="13">
        <v>1245</v>
      </c>
      <c r="C5534" s="90" t="str">
        <f>VLOOKUP(B5534,'All Districts'!$A$3:$B$874,2,FALSE)</f>
        <v>Rye</v>
      </c>
      <c r="D5534" s="16">
        <v>4221985</v>
      </c>
      <c r="E5534">
        <f>VLOOKUP(C5534,'All Districts'!$B$3:$C$874,2,FALSE)</f>
        <v>3625260</v>
      </c>
      <c r="F5534" s="91">
        <f>COUNTIF($E$2:$E$7106,E5534)</f>
        <v>9</v>
      </c>
    </row>
    <row r="5535" spans="1:6" x14ac:dyDescent="0.2">
      <c r="A5535" s="10">
        <v>2018</v>
      </c>
      <c r="B5535" s="13">
        <v>1245</v>
      </c>
      <c r="C5535" s="90" t="str">
        <f>VLOOKUP(B5535,'All Districts'!$A$3:$B$874,2,FALSE)</f>
        <v>Rye</v>
      </c>
      <c r="D5535" s="15">
        <v>3645410</v>
      </c>
      <c r="E5535">
        <f>VLOOKUP(C5535,'All Districts'!$B$3:$C$874,2,FALSE)</f>
        <v>3625260</v>
      </c>
      <c r="F5535" s="91">
        <f>COUNTIF($E$2:$E$7106,E5535)</f>
        <v>9</v>
      </c>
    </row>
    <row r="5536" spans="1:6" x14ac:dyDescent="0.2">
      <c r="A5536">
        <v>2019</v>
      </c>
      <c r="B5536" s="36">
        <v>1245</v>
      </c>
      <c r="C5536" s="90" t="str">
        <f>VLOOKUP(B5536,'All Districts'!$A$3:$B$874,2,FALSE)</f>
        <v>Rye</v>
      </c>
      <c r="D5536" s="40">
        <v>4291201</v>
      </c>
      <c r="E5536">
        <f>VLOOKUP(C5536,'All Districts'!$B$3:$C$874,2,FALSE)</f>
        <v>3625260</v>
      </c>
      <c r="F5536" s="91">
        <f>COUNTIF($E$2:$E$7106,E5536)</f>
        <v>9</v>
      </c>
    </row>
    <row r="5537" spans="1:6" x14ac:dyDescent="0.2">
      <c r="A5537">
        <v>2020</v>
      </c>
      <c r="B5537" s="36">
        <v>1245</v>
      </c>
      <c r="C5537" s="90" t="str">
        <f>VLOOKUP(B5537,'All Districts'!$A$3:$B$874,2,FALSE)</f>
        <v>Rye</v>
      </c>
      <c r="D5537" s="40">
        <v>3745390</v>
      </c>
      <c r="E5537">
        <f>VLOOKUP(C5537,'All Districts'!$B$3:$C$874,2,FALSE)</f>
        <v>3625260</v>
      </c>
      <c r="F5537" s="91">
        <f>COUNTIF($E$2:$E$7106,E5537)</f>
        <v>9</v>
      </c>
    </row>
    <row r="5538" spans="1:6" x14ac:dyDescent="0.2">
      <c r="A5538" s="10">
        <v>2021</v>
      </c>
      <c r="B5538" s="52">
        <v>1245</v>
      </c>
      <c r="C5538" s="90" t="str">
        <f>VLOOKUP(B5538,'All Districts'!$A$3:$B$874,2,FALSE)</f>
        <v>Rye</v>
      </c>
      <c r="D5538" s="76">
        <v>4050679</v>
      </c>
      <c r="E5538">
        <f>VLOOKUP(C5538,'All Districts'!$B$3:$C$874,2,FALSE)</f>
        <v>3625260</v>
      </c>
      <c r="F5538" s="91">
        <f>COUNTIF($E$2:$E$7106,E5538)</f>
        <v>9</v>
      </c>
    </row>
    <row r="5539" spans="1:6" x14ac:dyDescent="0.2">
      <c r="A5539">
        <v>2022</v>
      </c>
      <c r="B5539" s="36">
        <v>1245</v>
      </c>
      <c r="C5539" s="90" t="str">
        <f>VLOOKUP(B5539,'All Districts'!$A$3:$B$874,2,FALSE)</f>
        <v>Rye</v>
      </c>
      <c r="D5539" s="82">
        <v>4368474</v>
      </c>
      <c r="E5539">
        <f>VLOOKUP(C5539,'All Districts'!$B$3:$C$874,2,FALSE)</f>
        <v>3625260</v>
      </c>
      <c r="F5539" s="91">
        <f>COUNTIF($E$2:$E$7106,E5539)</f>
        <v>9</v>
      </c>
    </row>
    <row r="5540" spans="1:6" x14ac:dyDescent="0.2">
      <c r="A5540">
        <v>2023</v>
      </c>
      <c r="B5540" s="36">
        <v>1245</v>
      </c>
      <c r="C5540" s="90" t="str">
        <f>VLOOKUP(B5540,'All Districts'!$A$3:$B$874,2,FALSE)</f>
        <v>Rye</v>
      </c>
      <c r="D5540" s="40">
        <v>4707282</v>
      </c>
      <c r="E5540">
        <f>VLOOKUP(C5540,'All Districts'!$B$3:$C$874,2,FALSE)</f>
        <v>3625260</v>
      </c>
      <c r="F5540" s="91">
        <f>COUNTIF($E$2:$E$7106,E5540)</f>
        <v>9</v>
      </c>
    </row>
    <row r="5541" spans="1:6" x14ac:dyDescent="0.2">
      <c r="A5541">
        <v>2015</v>
      </c>
      <c r="B5541" s="13">
        <v>2510</v>
      </c>
      <c r="C5541" s="90" t="str">
        <f>VLOOKUP(B5541,'All Districts'!$A$3:$B$874,2,FALSE)</f>
        <v>Rye Neck</v>
      </c>
      <c r="D5541" s="14">
        <v>2936876</v>
      </c>
      <c r="E5541">
        <f>VLOOKUP(C5541,'All Districts'!$B$3:$C$874,2,FALSE)</f>
        <v>3625290</v>
      </c>
      <c r="F5541" s="91">
        <f>COUNTIF($E$2:$E$7106,E5541)</f>
        <v>9</v>
      </c>
    </row>
    <row r="5542" spans="1:6" x14ac:dyDescent="0.2">
      <c r="A5542">
        <v>2016</v>
      </c>
      <c r="B5542" s="13">
        <v>2510</v>
      </c>
      <c r="C5542" s="90" t="str">
        <f>VLOOKUP(B5542,'All Districts'!$A$3:$B$874,2,FALSE)</f>
        <v>Rye Neck</v>
      </c>
      <c r="D5542" s="16">
        <v>2226420</v>
      </c>
      <c r="E5542">
        <f>VLOOKUP(C5542,'All Districts'!$B$3:$C$874,2,FALSE)</f>
        <v>3625290</v>
      </c>
      <c r="F5542" s="91">
        <f>COUNTIF($E$2:$E$7106,E5542)</f>
        <v>9</v>
      </c>
    </row>
    <row r="5543" spans="1:6" x14ac:dyDescent="0.2">
      <c r="A5543">
        <v>2017</v>
      </c>
      <c r="B5543" s="13">
        <v>2510</v>
      </c>
      <c r="C5543" s="90" t="str">
        <f>VLOOKUP(B5543,'All Districts'!$A$3:$B$874,2,FALSE)</f>
        <v>Rye Neck</v>
      </c>
      <c r="D5543" s="16">
        <v>1965993</v>
      </c>
      <c r="E5543">
        <f>VLOOKUP(C5543,'All Districts'!$B$3:$C$874,2,FALSE)</f>
        <v>3625290</v>
      </c>
      <c r="F5543" s="91">
        <f>COUNTIF($E$2:$E$7106,E5543)</f>
        <v>9</v>
      </c>
    </row>
    <row r="5544" spans="1:6" x14ac:dyDescent="0.2">
      <c r="A5544" s="10">
        <v>2018</v>
      </c>
      <c r="B5544" s="13">
        <v>2510</v>
      </c>
      <c r="C5544" s="90" t="str">
        <f>VLOOKUP(B5544,'All Districts'!$A$3:$B$874,2,FALSE)</f>
        <v>Rye Neck</v>
      </c>
      <c r="D5544" s="15">
        <v>1699683</v>
      </c>
      <c r="E5544">
        <f>VLOOKUP(C5544,'All Districts'!$B$3:$C$874,2,FALSE)</f>
        <v>3625290</v>
      </c>
      <c r="F5544" s="91">
        <f>COUNTIF($E$2:$E$7106,E5544)</f>
        <v>9</v>
      </c>
    </row>
    <row r="5545" spans="1:6" x14ac:dyDescent="0.2">
      <c r="A5545">
        <v>2019</v>
      </c>
      <c r="B5545" s="36">
        <v>2510</v>
      </c>
      <c r="C5545" s="90" t="str">
        <f>VLOOKUP(B5545,'All Districts'!$A$3:$B$874,2,FALSE)</f>
        <v>Rye Neck</v>
      </c>
      <c r="D5545" s="40">
        <v>1894310</v>
      </c>
      <c r="E5545">
        <f>VLOOKUP(C5545,'All Districts'!$B$3:$C$874,2,FALSE)</f>
        <v>3625290</v>
      </c>
      <c r="F5545" s="91">
        <f>COUNTIF($E$2:$E$7106,E5545)</f>
        <v>9</v>
      </c>
    </row>
    <row r="5546" spans="1:6" x14ac:dyDescent="0.2">
      <c r="A5546">
        <v>2020</v>
      </c>
      <c r="B5546" s="36">
        <v>2510</v>
      </c>
      <c r="C5546" s="90" t="str">
        <f>VLOOKUP(B5546,'All Districts'!$A$3:$B$874,2,FALSE)</f>
        <v>Rye Neck</v>
      </c>
      <c r="D5546" s="40">
        <v>1623813</v>
      </c>
      <c r="E5546">
        <f>VLOOKUP(C5546,'All Districts'!$B$3:$C$874,2,FALSE)</f>
        <v>3625290</v>
      </c>
      <c r="F5546" s="91">
        <f>COUNTIF($E$2:$E$7106,E5546)</f>
        <v>9</v>
      </c>
    </row>
    <row r="5547" spans="1:6" x14ac:dyDescent="0.2">
      <c r="A5547" s="10">
        <v>2021</v>
      </c>
      <c r="B5547" s="55">
        <v>2510</v>
      </c>
      <c r="C5547" s="90" t="str">
        <f>VLOOKUP(B5547,'All Districts'!$A$3:$B$874,2,FALSE)</f>
        <v>Rye Neck</v>
      </c>
      <c r="D5547" s="76">
        <v>1773095</v>
      </c>
      <c r="E5547">
        <f>VLOOKUP(C5547,'All Districts'!$B$3:$C$874,2,FALSE)</f>
        <v>3625290</v>
      </c>
      <c r="F5547" s="91">
        <f>COUNTIF($E$2:$E$7106,E5547)</f>
        <v>9</v>
      </c>
    </row>
    <row r="5548" spans="1:6" x14ac:dyDescent="0.2">
      <c r="A5548">
        <v>2022</v>
      </c>
      <c r="B5548" s="36">
        <v>2510</v>
      </c>
      <c r="C5548" s="90" t="str">
        <f>VLOOKUP(B5548,'All Districts'!$A$3:$B$874,2,FALSE)</f>
        <v>Rye Neck</v>
      </c>
      <c r="D5548" s="82">
        <v>1922116</v>
      </c>
      <c r="E5548">
        <f>VLOOKUP(C5548,'All Districts'!$B$3:$C$874,2,FALSE)</f>
        <v>3625290</v>
      </c>
      <c r="F5548" s="91">
        <f>COUNTIF($E$2:$E$7106,E5548)</f>
        <v>9</v>
      </c>
    </row>
    <row r="5549" spans="1:6" x14ac:dyDescent="0.2">
      <c r="A5549">
        <v>2023</v>
      </c>
      <c r="B5549" s="36">
        <v>2510</v>
      </c>
      <c r="C5549" s="90" t="str">
        <f>VLOOKUP(B5549,'All Districts'!$A$3:$B$874,2,FALSE)</f>
        <v>Rye Neck</v>
      </c>
      <c r="D5549" s="40">
        <v>2068471</v>
      </c>
      <c r="E5549">
        <f>VLOOKUP(C5549,'All Districts'!$B$3:$C$874,2,FALSE)</f>
        <v>3625290</v>
      </c>
      <c r="F5549" s="91">
        <f>COUNTIF($E$2:$E$7106,E5549)</f>
        <v>9</v>
      </c>
    </row>
    <row r="5550" spans="1:6" x14ac:dyDescent="0.2">
      <c r="A5550">
        <v>2015</v>
      </c>
      <c r="B5550" s="13">
        <v>2512</v>
      </c>
      <c r="C5550" s="90" t="str">
        <f>VLOOKUP(B5550,'All Districts'!$A$3:$B$874,2,FALSE)</f>
        <v>Sachem</v>
      </c>
      <c r="D5550" s="14">
        <v>21447996</v>
      </c>
      <c r="E5550">
        <f>VLOOKUP(C5550,'All Districts'!$B$3:$C$874,2,FALSE)</f>
        <v>3625350</v>
      </c>
      <c r="F5550" s="91">
        <f>COUNTIF($E$2:$E$7106,E5550)</f>
        <v>9</v>
      </c>
    </row>
    <row r="5551" spans="1:6" x14ac:dyDescent="0.2">
      <c r="A5551">
        <v>2016</v>
      </c>
      <c r="B5551" s="13">
        <v>2512</v>
      </c>
      <c r="C5551" s="90" t="str">
        <f>VLOOKUP(B5551,'All Districts'!$A$3:$B$874,2,FALSE)</f>
        <v>Sachem</v>
      </c>
      <c r="D5551" s="16">
        <v>16131022</v>
      </c>
      <c r="E5551">
        <f>VLOOKUP(C5551,'All Districts'!$B$3:$C$874,2,FALSE)</f>
        <v>3625350</v>
      </c>
      <c r="F5551" s="91">
        <f>COUNTIF($E$2:$E$7106,E5551)</f>
        <v>9</v>
      </c>
    </row>
    <row r="5552" spans="1:6" x14ac:dyDescent="0.2">
      <c r="A5552">
        <v>2017</v>
      </c>
      <c r="B5552" s="13">
        <v>2512</v>
      </c>
      <c r="C5552" s="90" t="str">
        <f>VLOOKUP(B5552,'All Districts'!$A$3:$B$874,2,FALSE)</f>
        <v>Sachem</v>
      </c>
      <c r="D5552" s="16">
        <v>14192238</v>
      </c>
      <c r="E5552">
        <f>VLOOKUP(C5552,'All Districts'!$B$3:$C$874,2,FALSE)</f>
        <v>3625350</v>
      </c>
      <c r="F5552" s="91">
        <f>COUNTIF($E$2:$E$7106,E5552)</f>
        <v>9</v>
      </c>
    </row>
    <row r="5553" spans="1:6" x14ac:dyDescent="0.2">
      <c r="A5553" s="10">
        <v>2018</v>
      </c>
      <c r="B5553" s="13">
        <v>2512</v>
      </c>
      <c r="C5553" s="90" t="str">
        <f>VLOOKUP(B5553,'All Districts'!$A$3:$B$874,2,FALSE)</f>
        <v>Sachem</v>
      </c>
      <c r="D5553" s="15">
        <v>12118565</v>
      </c>
      <c r="E5553">
        <f>VLOOKUP(C5553,'All Districts'!$B$3:$C$874,2,FALSE)</f>
        <v>3625350</v>
      </c>
      <c r="F5553" s="91">
        <f>COUNTIF($E$2:$E$7106,E5553)</f>
        <v>9</v>
      </c>
    </row>
    <row r="5554" spans="1:6" x14ac:dyDescent="0.2">
      <c r="A5554">
        <v>2019</v>
      </c>
      <c r="B5554" s="36">
        <v>2512</v>
      </c>
      <c r="C5554" s="90" t="str">
        <f>VLOOKUP(B5554,'All Districts'!$A$3:$B$874,2,FALSE)</f>
        <v>Sachem</v>
      </c>
      <c r="D5554" s="40">
        <v>13347046</v>
      </c>
      <c r="E5554">
        <f>VLOOKUP(C5554,'All Districts'!$B$3:$C$874,2,FALSE)</f>
        <v>3625350</v>
      </c>
      <c r="F5554" s="91">
        <f>COUNTIF($E$2:$E$7106,E5554)</f>
        <v>9</v>
      </c>
    </row>
    <row r="5555" spans="1:6" x14ac:dyDescent="0.2">
      <c r="A5555">
        <v>2020</v>
      </c>
      <c r="B5555" s="36">
        <v>2512</v>
      </c>
      <c r="C5555" s="90" t="str">
        <f>VLOOKUP(B5555,'All Districts'!$A$3:$B$874,2,FALSE)</f>
        <v>Sachem</v>
      </c>
      <c r="D5555" s="40">
        <v>11398220</v>
      </c>
      <c r="E5555">
        <f>VLOOKUP(C5555,'All Districts'!$B$3:$C$874,2,FALSE)</f>
        <v>3625350</v>
      </c>
      <c r="F5555" s="91">
        <f>COUNTIF($E$2:$E$7106,E5555)</f>
        <v>9</v>
      </c>
    </row>
    <row r="5556" spans="1:6" x14ac:dyDescent="0.2">
      <c r="A5556" s="10">
        <v>2021</v>
      </c>
      <c r="B5556" s="52">
        <v>2512</v>
      </c>
      <c r="C5556" s="90" t="str">
        <f>VLOOKUP(B5556,'All Districts'!$A$3:$B$874,2,FALSE)</f>
        <v>Sachem</v>
      </c>
      <c r="D5556" s="75">
        <v>12419741</v>
      </c>
      <c r="E5556">
        <f>VLOOKUP(C5556,'All Districts'!$B$3:$C$874,2,FALSE)</f>
        <v>3625350</v>
      </c>
      <c r="F5556" s="91">
        <f>COUNTIF($E$2:$E$7106,E5556)</f>
        <v>9</v>
      </c>
    </row>
    <row r="5557" spans="1:6" x14ac:dyDescent="0.2">
      <c r="A5557">
        <v>2022</v>
      </c>
      <c r="B5557" s="36">
        <v>2512</v>
      </c>
      <c r="C5557" s="90" t="str">
        <f>VLOOKUP(B5557,'All Districts'!$A$3:$B$874,2,FALSE)</f>
        <v>Sachem</v>
      </c>
      <c r="D5557" s="82">
        <v>13240586</v>
      </c>
      <c r="E5557">
        <f>VLOOKUP(C5557,'All Districts'!$B$3:$C$874,2,FALSE)</f>
        <v>3625350</v>
      </c>
      <c r="F5557" s="91">
        <f>COUNTIF($E$2:$E$7106,E5557)</f>
        <v>9</v>
      </c>
    </row>
    <row r="5558" spans="1:6" x14ac:dyDescent="0.2">
      <c r="A5558">
        <v>2023</v>
      </c>
      <c r="B5558" s="36">
        <v>2512</v>
      </c>
      <c r="C5558" s="90" t="str">
        <f>VLOOKUP(B5558,'All Districts'!$A$3:$B$874,2,FALSE)</f>
        <v>Sachem</v>
      </c>
      <c r="D5558" s="40">
        <v>14731348</v>
      </c>
      <c r="E5558">
        <f>VLOOKUP(C5558,'All Districts'!$B$3:$C$874,2,FALSE)</f>
        <v>3625350</v>
      </c>
      <c r="F5558" s="91">
        <f>COUNTIF($E$2:$E$7106,E5558)</f>
        <v>9</v>
      </c>
    </row>
    <row r="5559" spans="1:6" x14ac:dyDescent="0.2">
      <c r="A5559">
        <v>2015</v>
      </c>
      <c r="B5559" s="13">
        <v>4134</v>
      </c>
      <c r="C5559" s="90" t="str">
        <f>VLOOKUP(B5559,'All Districts'!$A$3:$B$874,2,FALSE)</f>
        <v>Sackets Harbor</v>
      </c>
      <c r="D5559" s="14">
        <v>450752</v>
      </c>
      <c r="E5559">
        <f>VLOOKUP(C5559,'All Districts'!$B$3:$C$874,2,FALSE)</f>
        <v>3614880</v>
      </c>
      <c r="F5559" s="91">
        <f>COUNTIF($E$2:$E$7106,E5559)</f>
        <v>9</v>
      </c>
    </row>
    <row r="5560" spans="1:6" x14ac:dyDescent="0.2">
      <c r="A5560">
        <v>2016</v>
      </c>
      <c r="B5560" s="13">
        <v>4134</v>
      </c>
      <c r="C5560" s="90" t="str">
        <f>VLOOKUP(B5560,'All Districts'!$A$3:$B$874,2,FALSE)</f>
        <v>Sackets Harbor</v>
      </c>
      <c r="D5560" s="16">
        <v>354052</v>
      </c>
      <c r="E5560">
        <f>VLOOKUP(C5560,'All Districts'!$B$3:$C$874,2,FALSE)</f>
        <v>3614880</v>
      </c>
      <c r="F5560" s="91">
        <f>COUNTIF($E$2:$E$7106,E5560)</f>
        <v>9</v>
      </c>
    </row>
    <row r="5561" spans="1:6" x14ac:dyDescent="0.2">
      <c r="A5561">
        <v>2017</v>
      </c>
      <c r="B5561" s="13">
        <v>4134</v>
      </c>
      <c r="C5561" s="90" t="str">
        <f>VLOOKUP(B5561,'All Districts'!$A$3:$B$874,2,FALSE)</f>
        <v>Sackets Harbor</v>
      </c>
      <c r="D5561" s="16">
        <v>320516</v>
      </c>
      <c r="E5561">
        <f>VLOOKUP(C5561,'All Districts'!$B$3:$C$874,2,FALSE)</f>
        <v>3614880</v>
      </c>
      <c r="F5561" s="91">
        <f>COUNTIF($E$2:$E$7106,E5561)</f>
        <v>9</v>
      </c>
    </row>
    <row r="5562" spans="1:6" x14ac:dyDescent="0.2">
      <c r="A5562" s="10">
        <v>2018</v>
      </c>
      <c r="B5562" s="13">
        <v>4134</v>
      </c>
      <c r="C5562" s="90" t="str">
        <f>VLOOKUP(B5562,'All Districts'!$A$3:$B$874,2,FALSE)</f>
        <v>Sackets Harbor</v>
      </c>
      <c r="D5562" s="15">
        <v>270729</v>
      </c>
      <c r="E5562">
        <f>VLOOKUP(C5562,'All Districts'!$B$3:$C$874,2,FALSE)</f>
        <v>3614880</v>
      </c>
      <c r="F5562" s="91">
        <f>COUNTIF($E$2:$E$7106,E5562)</f>
        <v>9</v>
      </c>
    </row>
    <row r="5563" spans="1:6" x14ac:dyDescent="0.2">
      <c r="A5563">
        <v>2019</v>
      </c>
      <c r="B5563" s="36">
        <v>4134</v>
      </c>
      <c r="C5563" s="90" t="str">
        <f>VLOOKUP(B5563,'All Districts'!$A$3:$B$874,2,FALSE)</f>
        <v>Sackets Harbor</v>
      </c>
      <c r="D5563" s="40">
        <v>287556</v>
      </c>
      <c r="E5563">
        <f>VLOOKUP(C5563,'All Districts'!$B$3:$C$874,2,FALSE)</f>
        <v>3614880</v>
      </c>
      <c r="F5563" s="91">
        <f>COUNTIF($E$2:$E$7106,E5563)</f>
        <v>9</v>
      </c>
    </row>
    <row r="5564" spans="1:6" x14ac:dyDescent="0.2">
      <c r="A5564">
        <v>2020</v>
      </c>
      <c r="B5564" s="36">
        <v>4134</v>
      </c>
      <c r="C5564" s="90" t="str">
        <f>VLOOKUP(B5564,'All Districts'!$A$3:$B$874,2,FALSE)</f>
        <v>Sackets Harbor</v>
      </c>
      <c r="D5564" s="40">
        <v>244630</v>
      </c>
      <c r="E5564">
        <f>VLOOKUP(C5564,'All Districts'!$B$3:$C$874,2,FALSE)</f>
        <v>3614880</v>
      </c>
      <c r="F5564" s="91">
        <f>COUNTIF($E$2:$E$7106,E5564)</f>
        <v>9</v>
      </c>
    </row>
    <row r="5565" spans="1:6" x14ac:dyDescent="0.2">
      <c r="A5565" s="10">
        <v>2021</v>
      </c>
      <c r="B5565" s="52">
        <v>4134</v>
      </c>
      <c r="C5565" s="90" t="str">
        <f>VLOOKUP(B5565,'All Districts'!$A$3:$B$874,2,FALSE)</f>
        <v>Sackets Harbor</v>
      </c>
      <c r="D5565" s="75">
        <v>265171</v>
      </c>
      <c r="E5565">
        <f>VLOOKUP(C5565,'All Districts'!$B$3:$C$874,2,FALSE)</f>
        <v>3614880</v>
      </c>
      <c r="F5565" s="91">
        <f>COUNTIF($E$2:$E$7106,E5565)</f>
        <v>9</v>
      </c>
    </row>
    <row r="5566" spans="1:6" x14ac:dyDescent="0.2">
      <c r="A5566">
        <v>2022</v>
      </c>
      <c r="B5566" s="36">
        <v>4134</v>
      </c>
      <c r="C5566" s="90" t="str">
        <f>VLOOKUP(B5566,'All Districts'!$A$3:$B$874,2,FALSE)</f>
        <v>Sackets Harbor</v>
      </c>
      <c r="D5566" s="82">
        <v>302277</v>
      </c>
      <c r="E5566">
        <f>VLOOKUP(C5566,'All Districts'!$B$3:$C$874,2,FALSE)</f>
        <v>3614880</v>
      </c>
      <c r="F5566" s="91">
        <f>COUNTIF($E$2:$E$7106,E5566)</f>
        <v>9</v>
      </c>
    </row>
    <row r="5567" spans="1:6" x14ac:dyDescent="0.2">
      <c r="A5567">
        <v>2023</v>
      </c>
      <c r="B5567" s="36">
        <v>4134</v>
      </c>
      <c r="C5567" s="90" t="str">
        <f>VLOOKUP(B5567,'All Districts'!$A$3:$B$874,2,FALSE)</f>
        <v>Sackets Harbor</v>
      </c>
      <c r="D5567" s="40">
        <v>321433</v>
      </c>
      <c r="E5567">
        <f>VLOOKUP(C5567,'All Districts'!$B$3:$C$874,2,FALSE)</f>
        <v>3614880</v>
      </c>
      <c r="F5567" s="91">
        <f>COUNTIF($E$2:$E$7106,E5567)</f>
        <v>9</v>
      </c>
    </row>
    <row r="5568" spans="1:6" x14ac:dyDescent="0.2">
      <c r="A5568">
        <v>2015</v>
      </c>
      <c r="B5568" s="13">
        <v>5355</v>
      </c>
      <c r="C5568" s="90" t="str">
        <f>VLOOKUP(B5568,'All Districts'!$A$3:$B$874,2,FALSE)</f>
        <v>Sag Harbor</v>
      </c>
      <c r="D5568" s="14">
        <v>2731973</v>
      </c>
      <c r="E5568">
        <f>VLOOKUP(C5568,'All Districts'!$B$3:$C$874,2,FALSE)</f>
        <v>3625380</v>
      </c>
      <c r="F5568" s="91">
        <f>COUNTIF($E$2:$E$7106,E5568)</f>
        <v>9</v>
      </c>
    </row>
    <row r="5569" spans="1:6" x14ac:dyDescent="0.2">
      <c r="A5569">
        <v>2016</v>
      </c>
      <c r="B5569" s="13">
        <v>5355</v>
      </c>
      <c r="C5569" s="90" t="str">
        <f>VLOOKUP(B5569,'All Districts'!$A$3:$B$874,2,FALSE)</f>
        <v>Sag Harbor</v>
      </c>
      <c r="D5569" s="16">
        <v>2139191</v>
      </c>
      <c r="E5569">
        <f>VLOOKUP(C5569,'All Districts'!$B$3:$C$874,2,FALSE)</f>
        <v>3625380</v>
      </c>
      <c r="F5569" s="91">
        <f>COUNTIF($E$2:$E$7106,E5569)</f>
        <v>9</v>
      </c>
    </row>
    <row r="5570" spans="1:6" x14ac:dyDescent="0.2">
      <c r="A5570">
        <v>2017</v>
      </c>
      <c r="B5570" s="13">
        <v>5355</v>
      </c>
      <c r="C5570" s="90" t="str">
        <f>VLOOKUP(B5570,'All Districts'!$A$3:$B$874,2,FALSE)</f>
        <v>Sag Harbor</v>
      </c>
      <c r="D5570" s="16">
        <v>1918461</v>
      </c>
      <c r="E5570">
        <f>VLOOKUP(C5570,'All Districts'!$B$3:$C$874,2,FALSE)</f>
        <v>3625380</v>
      </c>
      <c r="F5570" s="91">
        <f>COUNTIF($E$2:$E$7106,E5570)</f>
        <v>9</v>
      </c>
    </row>
    <row r="5571" spans="1:6" x14ac:dyDescent="0.2">
      <c r="A5571" s="10">
        <v>2018</v>
      </c>
      <c r="B5571" s="13">
        <v>5355</v>
      </c>
      <c r="C5571" s="90" t="str">
        <f>VLOOKUP(B5571,'All Districts'!$A$3:$B$874,2,FALSE)</f>
        <v>Sag Harbor</v>
      </c>
      <c r="D5571" s="15">
        <v>1640075</v>
      </c>
      <c r="E5571">
        <f>VLOOKUP(C5571,'All Districts'!$B$3:$C$874,2,FALSE)</f>
        <v>3625380</v>
      </c>
      <c r="F5571" s="91">
        <f>COUNTIF($E$2:$E$7106,E5571)</f>
        <v>9</v>
      </c>
    </row>
    <row r="5572" spans="1:6" x14ac:dyDescent="0.2">
      <c r="A5572">
        <v>2019</v>
      </c>
      <c r="B5572" s="36">
        <v>5355</v>
      </c>
      <c r="C5572" s="90" t="str">
        <f>VLOOKUP(B5572,'All Districts'!$A$3:$B$874,2,FALSE)</f>
        <v>Sag Harbor</v>
      </c>
      <c r="D5572" s="40">
        <v>1858683</v>
      </c>
      <c r="E5572">
        <f>VLOOKUP(C5572,'All Districts'!$B$3:$C$874,2,FALSE)</f>
        <v>3625380</v>
      </c>
      <c r="F5572" s="91">
        <f>COUNTIF($E$2:$E$7106,E5572)</f>
        <v>9</v>
      </c>
    </row>
    <row r="5573" spans="1:6" x14ac:dyDescent="0.2">
      <c r="A5573">
        <v>2020</v>
      </c>
      <c r="B5573" s="36">
        <v>5355</v>
      </c>
      <c r="C5573" s="90" t="str">
        <f>VLOOKUP(B5573,'All Districts'!$A$3:$B$874,2,FALSE)</f>
        <v>Sag Harbor</v>
      </c>
      <c r="D5573" s="40">
        <v>1551138</v>
      </c>
      <c r="E5573">
        <f>VLOOKUP(C5573,'All Districts'!$B$3:$C$874,2,FALSE)</f>
        <v>3625380</v>
      </c>
      <c r="F5573" s="91">
        <f>COUNTIF($E$2:$E$7106,E5573)</f>
        <v>9</v>
      </c>
    </row>
    <row r="5574" spans="1:6" x14ac:dyDescent="0.2">
      <c r="A5574" s="10">
        <v>2021</v>
      </c>
      <c r="B5574" s="52">
        <v>5355</v>
      </c>
      <c r="C5574" s="90" t="str">
        <f>VLOOKUP(B5574,'All Districts'!$A$3:$B$874,2,FALSE)</f>
        <v>Sag Harbor</v>
      </c>
      <c r="D5574" s="76">
        <v>1722156</v>
      </c>
      <c r="E5574">
        <f>VLOOKUP(C5574,'All Districts'!$B$3:$C$874,2,FALSE)</f>
        <v>3625380</v>
      </c>
      <c r="F5574" s="91">
        <f>COUNTIF($E$2:$E$7106,E5574)</f>
        <v>9</v>
      </c>
    </row>
    <row r="5575" spans="1:6" x14ac:dyDescent="0.2">
      <c r="A5575">
        <v>2022</v>
      </c>
      <c r="B5575" s="36">
        <v>5355</v>
      </c>
      <c r="C5575" s="90" t="str">
        <f>VLOOKUP(B5575,'All Districts'!$A$3:$B$874,2,FALSE)</f>
        <v>Sag Harbor</v>
      </c>
      <c r="D5575" s="82">
        <v>1827354</v>
      </c>
      <c r="E5575">
        <f>VLOOKUP(C5575,'All Districts'!$B$3:$C$874,2,FALSE)</f>
        <v>3625380</v>
      </c>
      <c r="F5575" s="91">
        <f>COUNTIF($E$2:$E$7106,E5575)</f>
        <v>9</v>
      </c>
    </row>
    <row r="5576" spans="1:6" x14ac:dyDescent="0.2">
      <c r="A5576">
        <v>2023</v>
      </c>
      <c r="B5576" s="36">
        <v>5355</v>
      </c>
      <c r="C5576" s="90" t="str">
        <f>VLOOKUP(B5576,'All Districts'!$A$3:$B$874,2,FALSE)</f>
        <v>Sag Harbor</v>
      </c>
      <c r="D5576" s="40">
        <v>1977184</v>
      </c>
      <c r="E5576">
        <f>VLOOKUP(C5576,'All Districts'!$B$3:$C$874,2,FALSE)</f>
        <v>3625380</v>
      </c>
      <c r="F5576" s="91">
        <f>COUNTIF($E$2:$E$7106,E5576)</f>
        <v>9</v>
      </c>
    </row>
    <row r="5577" spans="1:6" x14ac:dyDescent="0.2">
      <c r="A5577">
        <v>2015</v>
      </c>
      <c r="B5577" s="13">
        <v>5365</v>
      </c>
      <c r="C5577" s="90" t="str">
        <f>VLOOKUP(B5577,'All Districts'!$A$3:$B$874,2,FALSE)</f>
        <v>Sagaponack</v>
      </c>
      <c r="D5577" s="14">
        <v>42987</v>
      </c>
      <c r="E5577">
        <f>VLOOKUP(C5577,'All Districts'!$B$3:$C$874,2,FALSE)</f>
        <v>3625410</v>
      </c>
      <c r="F5577" s="91">
        <f>COUNTIF($E$2:$E$7106,E5577)</f>
        <v>9</v>
      </c>
    </row>
    <row r="5578" spans="1:6" x14ac:dyDescent="0.2">
      <c r="A5578">
        <v>2016</v>
      </c>
      <c r="B5578" s="13">
        <v>5365</v>
      </c>
      <c r="C5578" s="90" t="str">
        <f>VLOOKUP(B5578,'All Districts'!$A$3:$B$874,2,FALSE)</f>
        <v>Sagaponack</v>
      </c>
      <c r="D5578" s="16">
        <v>34599</v>
      </c>
      <c r="E5578">
        <f>VLOOKUP(C5578,'All Districts'!$B$3:$C$874,2,FALSE)</f>
        <v>3625410</v>
      </c>
      <c r="F5578" s="91">
        <f>COUNTIF($E$2:$E$7106,E5578)</f>
        <v>9</v>
      </c>
    </row>
    <row r="5579" spans="1:6" x14ac:dyDescent="0.2">
      <c r="A5579">
        <v>2017</v>
      </c>
      <c r="B5579" s="13">
        <v>5365</v>
      </c>
      <c r="C5579" s="90" t="str">
        <f>VLOOKUP(B5579,'All Districts'!$A$3:$B$874,2,FALSE)</f>
        <v>Sagaponack</v>
      </c>
      <c r="D5579" s="16">
        <v>25403</v>
      </c>
      <c r="E5579">
        <f>VLOOKUP(C5579,'All Districts'!$B$3:$C$874,2,FALSE)</f>
        <v>3625410</v>
      </c>
      <c r="F5579" s="91">
        <f>COUNTIF($E$2:$E$7106,E5579)</f>
        <v>9</v>
      </c>
    </row>
    <row r="5580" spans="1:6" x14ac:dyDescent="0.2">
      <c r="A5580" s="10">
        <v>2018</v>
      </c>
      <c r="B5580" s="13">
        <v>5365</v>
      </c>
      <c r="C5580" s="90" t="str">
        <f>VLOOKUP(B5580,'All Districts'!$A$3:$B$874,2,FALSE)</f>
        <v>Sagaponack</v>
      </c>
      <c r="D5580" s="15">
        <v>21456</v>
      </c>
      <c r="E5580">
        <f>VLOOKUP(C5580,'All Districts'!$B$3:$C$874,2,FALSE)</f>
        <v>3625410</v>
      </c>
      <c r="F5580" s="91">
        <f>COUNTIF($E$2:$E$7106,E5580)</f>
        <v>9</v>
      </c>
    </row>
    <row r="5581" spans="1:6" x14ac:dyDescent="0.2">
      <c r="A5581">
        <v>2019</v>
      </c>
      <c r="B5581" s="36">
        <v>5365</v>
      </c>
      <c r="C5581" s="90" t="str">
        <f>VLOOKUP(B5581,'All Districts'!$A$3:$B$874,2,FALSE)</f>
        <v>Sagaponack</v>
      </c>
      <c r="D5581" s="40">
        <v>22453</v>
      </c>
      <c r="E5581">
        <f>VLOOKUP(C5581,'All Districts'!$B$3:$C$874,2,FALSE)</f>
        <v>3625410</v>
      </c>
      <c r="F5581" s="91">
        <f>COUNTIF($E$2:$E$7106,E5581)</f>
        <v>9</v>
      </c>
    </row>
    <row r="5582" spans="1:6" x14ac:dyDescent="0.2">
      <c r="A5582">
        <v>2020</v>
      </c>
      <c r="B5582" s="36">
        <v>5365</v>
      </c>
      <c r="C5582" s="90" t="str">
        <f>VLOOKUP(B5582,'All Districts'!$A$3:$B$874,2,FALSE)</f>
        <v>Sagaponack</v>
      </c>
      <c r="D5582" s="40">
        <v>19514</v>
      </c>
      <c r="E5582">
        <f>VLOOKUP(C5582,'All Districts'!$B$3:$C$874,2,FALSE)</f>
        <v>3625410</v>
      </c>
      <c r="F5582" s="91">
        <f>COUNTIF($E$2:$E$7106,E5582)</f>
        <v>9</v>
      </c>
    </row>
    <row r="5583" spans="1:6" x14ac:dyDescent="0.2">
      <c r="A5583" s="10">
        <v>2021</v>
      </c>
      <c r="B5583" s="52">
        <v>5365</v>
      </c>
      <c r="C5583" s="90" t="str">
        <f>VLOOKUP(B5583,'All Districts'!$A$3:$B$874,2,FALSE)</f>
        <v>Sagaponack</v>
      </c>
      <c r="D5583" s="75">
        <v>22095</v>
      </c>
      <c r="E5583">
        <f>VLOOKUP(C5583,'All Districts'!$B$3:$C$874,2,FALSE)</f>
        <v>3625410</v>
      </c>
      <c r="F5583" s="91">
        <f>COUNTIF($E$2:$E$7106,E5583)</f>
        <v>9</v>
      </c>
    </row>
    <row r="5584" spans="1:6" x14ac:dyDescent="0.2">
      <c r="A5584">
        <v>2022</v>
      </c>
      <c r="B5584" s="36">
        <v>5365</v>
      </c>
      <c r="C5584" s="90" t="str">
        <f>VLOOKUP(B5584,'All Districts'!$A$3:$B$874,2,FALSE)</f>
        <v>Sagaponack</v>
      </c>
      <c r="D5584" s="82">
        <v>24906</v>
      </c>
      <c r="E5584">
        <f>VLOOKUP(C5584,'All Districts'!$B$3:$C$874,2,FALSE)</f>
        <v>3625410</v>
      </c>
      <c r="F5584" s="91">
        <f>COUNTIF($E$2:$E$7106,E5584)</f>
        <v>9</v>
      </c>
    </row>
    <row r="5585" spans="1:6" x14ac:dyDescent="0.2">
      <c r="A5585">
        <v>2023</v>
      </c>
      <c r="B5585" s="36">
        <v>5365</v>
      </c>
      <c r="C5585" s="90" t="str">
        <f>VLOOKUP(B5585,'All Districts'!$A$3:$B$874,2,FALSE)</f>
        <v>Sagaponack</v>
      </c>
      <c r="D5585" s="40">
        <v>27066</v>
      </c>
      <c r="E5585">
        <f>VLOOKUP(C5585,'All Districts'!$B$3:$C$874,2,FALSE)</f>
        <v>3625410</v>
      </c>
      <c r="F5585" s="91">
        <f>COUNTIF($E$2:$E$7106,E5585)</f>
        <v>9</v>
      </c>
    </row>
    <row r="5586" spans="1:6" x14ac:dyDescent="0.2">
      <c r="A5586">
        <v>2015</v>
      </c>
      <c r="B5586" s="13">
        <v>1250</v>
      </c>
      <c r="C5586" s="90" t="str">
        <f>VLOOKUP(B5586,'All Districts'!$A$3:$B$874,2,FALSE)</f>
        <v>Salamanca</v>
      </c>
      <c r="D5586" s="14">
        <v>1701484</v>
      </c>
      <c r="E5586">
        <f>VLOOKUP(C5586,'All Districts'!$B$3:$C$874,2,FALSE)</f>
        <v>3625440</v>
      </c>
      <c r="F5586" s="91">
        <f>COUNTIF($E$2:$E$7106,E5586)</f>
        <v>9</v>
      </c>
    </row>
    <row r="5587" spans="1:6" x14ac:dyDescent="0.2">
      <c r="A5587">
        <v>2016</v>
      </c>
      <c r="B5587" s="13">
        <v>1250</v>
      </c>
      <c r="C5587" s="90" t="str">
        <f>VLOOKUP(B5587,'All Districts'!$A$3:$B$874,2,FALSE)</f>
        <v>Salamanca</v>
      </c>
      <c r="D5587" s="16">
        <v>1322439</v>
      </c>
      <c r="E5587">
        <f>VLOOKUP(C5587,'All Districts'!$B$3:$C$874,2,FALSE)</f>
        <v>3625440</v>
      </c>
      <c r="F5587" s="91">
        <f>COUNTIF($E$2:$E$7106,E5587)</f>
        <v>9</v>
      </c>
    </row>
    <row r="5588" spans="1:6" x14ac:dyDescent="0.2">
      <c r="A5588">
        <v>2017</v>
      </c>
      <c r="B5588" s="13">
        <v>1250</v>
      </c>
      <c r="C5588" s="90" t="str">
        <f>VLOOKUP(B5588,'All Districts'!$A$3:$B$874,2,FALSE)</f>
        <v>Salamanca</v>
      </c>
      <c r="D5588" s="16">
        <v>1236602</v>
      </c>
      <c r="E5588">
        <f>VLOOKUP(C5588,'All Districts'!$B$3:$C$874,2,FALSE)</f>
        <v>3625440</v>
      </c>
      <c r="F5588" s="91">
        <f>COUNTIF($E$2:$E$7106,E5588)</f>
        <v>9</v>
      </c>
    </row>
    <row r="5589" spans="1:6" x14ac:dyDescent="0.2">
      <c r="A5589" s="10">
        <v>2018</v>
      </c>
      <c r="B5589" s="13">
        <v>1250</v>
      </c>
      <c r="C5589" s="90" t="str">
        <f>VLOOKUP(B5589,'All Districts'!$A$3:$B$874,2,FALSE)</f>
        <v>Salamanca</v>
      </c>
      <c r="D5589" s="15">
        <v>1111835</v>
      </c>
      <c r="E5589">
        <f>VLOOKUP(C5589,'All Districts'!$B$3:$C$874,2,FALSE)</f>
        <v>3625440</v>
      </c>
      <c r="F5589" s="91">
        <f>COUNTIF($E$2:$E$7106,E5589)</f>
        <v>9</v>
      </c>
    </row>
    <row r="5590" spans="1:6" x14ac:dyDescent="0.2">
      <c r="A5590">
        <v>2019</v>
      </c>
      <c r="B5590" s="36">
        <v>1250</v>
      </c>
      <c r="C5590" s="90" t="str">
        <f>VLOOKUP(B5590,'All Districts'!$A$3:$B$874,2,FALSE)</f>
        <v>Salamanca</v>
      </c>
      <c r="D5590" s="40">
        <v>1305882</v>
      </c>
      <c r="E5590">
        <f>VLOOKUP(C5590,'All Districts'!$B$3:$C$874,2,FALSE)</f>
        <v>3625440</v>
      </c>
      <c r="F5590" s="91">
        <f>COUNTIF($E$2:$E$7106,E5590)</f>
        <v>9</v>
      </c>
    </row>
    <row r="5591" spans="1:6" x14ac:dyDescent="0.2">
      <c r="A5591">
        <v>2020</v>
      </c>
      <c r="B5591" s="36">
        <v>1250</v>
      </c>
      <c r="C5591" s="90" t="str">
        <f>VLOOKUP(B5591,'All Districts'!$A$3:$B$874,2,FALSE)</f>
        <v>Salamanca</v>
      </c>
      <c r="D5591" s="40">
        <v>1205121</v>
      </c>
      <c r="E5591">
        <f>VLOOKUP(C5591,'All Districts'!$B$3:$C$874,2,FALSE)</f>
        <v>3625440</v>
      </c>
      <c r="F5591" s="91">
        <f>COUNTIF($E$2:$E$7106,E5591)</f>
        <v>9</v>
      </c>
    </row>
    <row r="5592" spans="1:6" x14ac:dyDescent="0.2">
      <c r="A5592" s="10">
        <v>2021</v>
      </c>
      <c r="B5592" s="52">
        <v>1250</v>
      </c>
      <c r="C5592" s="90" t="str">
        <f>VLOOKUP(B5592,'All Districts'!$A$3:$B$874,2,FALSE)</f>
        <v>Salamanca</v>
      </c>
      <c r="D5592" s="76">
        <v>1353758</v>
      </c>
      <c r="E5592">
        <f>VLOOKUP(C5592,'All Districts'!$B$3:$C$874,2,FALSE)</f>
        <v>3625440</v>
      </c>
      <c r="F5592" s="91">
        <f>COUNTIF($E$2:$E$7106,E5592)</f>
        <v>9</v>
      </c>
    </row>
    <row r="5593" spans="1:6" x14ac:dyDescent="0.2">
      <c r="A5593">
        <v>2022</v>
      </c>
      <c r="B5593" s="36">
        <v>1250</v>
      </c>
      <c r="C5593" s="90" t="str">
        <f>VLOOKUP(B5593,'All Districts'!$A$3:$B$874,2,FALSE)</f>
        <v>Salamanca</v>
      </c>
      <c r="D5593" s="82">
        <v>1509915</v>
      </c>
      <c r="E5593">
        <f>VLOOKUP(C5593,'All Districts'!$B$3:$C$874,2,FALSE)</f>
        <v>3625440</v>
      </c>
      <c r="F5593" s="91">
        <f>COUNTIF($E$2:$E$7106,E5593)</f>
        <v>9</v>
      </c>
    </row>
    <row r="5594" spans="1:6" x14ac:dyDescent="0.2">
      <c r="A5594">
        <v>2023</v>
      </c>
      <c r="B5594" s="36">
        <v>1250</v>
      </c>
      <c r="C5594" s="90" t="str">
        <f>VLOOKUP(B5594,'All Districts'!$A$3:$B$874,2,FALSE)</f>
        <v>Salamanca</v>
      </c>
      <c r="D5594" s="40">
        <v>1740531</v>
      </c>
      <c r="E5594">
        <f>VLOOKUP(C5594,'All Districts'!$B$3:$C$874,2,FALSE)</f>
        <v>3625440</v>
      </c>
      <c r="F5594" s="91">
        <f>COUNTIF($E$2:$E$7106,E5594)</f>
        <v>9</v>
      </c>
    </row>
    <row r="5595" spans="1:6" x14ac:dyDescent="0.2">
      <c r="A5595">
        <v>2015</v>
      </c>
      <c r="B5595" s="13">
        <v>5682</v>
      </c>
      <c r="C5595" s="90" t="str">
        <f>VLOOKUP(B5595,'All Districts'!$A$3:$B$874,2,FALSE)</f>
        <v>Salem</v>
      </c>
      <c r="D5595" s="14">
        <v>693308</v>
      </c>
      <c r="E5595">
        <f>VLOOKUP(C5595,'All Districts'!$B$3:$C$874,2,FALSE)</f>
        <v>3625470</v>
      </c>
      <c r="F5595" s="91">
        <f>COUNTIF($E$2:$E$7106,E5595)</f>
        <v>9</v>
      </c>
    </row>
    <row r="5596" spans="1:6" x14ac:dyDescent="0.2">
      <c r="A5596">
        <v>2016</v>
      </c>
      <c r="B5596" s="13">
        <v>5682</v>
      </c>
      <c r="C5596" s="90" t="str">
        <f>VLOOKUP(B5596,'All Districts'!$A$3:$B$874,2,FALSE)</f>
        <v>Salem</v>
      </c>
      <c r="D5596" s="16">
        <v>540915</v>
      </c>
      <c r="E5596">
        <f>VLOOKUP(C5596,'All Districts'!$B$3:$C$874,2,FALSE)</f>
        <v>3625470</v>
      </c>
      <c r="F5596" s="91">
        <f>COUNTIF($E$2:$E$7106,E5596)</f>
        <v>9</v>
      </c>
    </row>
    <row r="5597" spans="1:6" x14ac:dyDescent="0.2">
      <c r="A5597">
        <v>2017</v>
      </c>
      <c r="B5597" s="13">
        <v>5682</v>
      </c>
      <c r="C5597" s="90" t="str">
        <f>VLOOKUP(B5597,'All Districts'!$A$3:$B$874,2,FALSE)</f>
        <v>Salem</v>
      </c>
      <c r="D5597" s="16">
        <v>506291</v>
      </c>
      <c r="E5597">
        <f>VLOOKUP(C5597,'All Districts'!$B$3:$C$874,2,FALSE)</f>
        <v>3625470</v>
      </c>
      <c r="F5597" s="91">
        <f>COUNTIF($E$2:$E$7106,E5597)</f>
        <v>9</v>
      </c>
    </row>
    <row r="5598" spans="1:6" x14ac:dyDescent="0.2">
      <c r="A5598" s="10">
        <v>2018</v>
      </c>
      <c r="B5598" s="13">
        <v>5682</v>
      </c>
      <c r="C5598" s="90" t="str">
        <f>VLOOKUP(B5598,'All Districts'!$A$3:$B$874,2,FALSE)</f>
        <v>Salem</v>
      </c>
      <c r="D5598" s="15">
        <v>436774</v>
      </c>
      <c r="E5598">
        <f>VLOOKUP(C5598,'All Districts'!$B$3:$C$874,2,FALSE)</f>
        <v>3625470</v>
      </c>
      <c r="F5598" s="91">
        <f>COUNTIF($E$2:$E$7106,E5598)</f>
        <v>9</v>
      </c>
    </row>
    <row r="5599" spans="1:6" x14ac:dyDescent="0.2">
      <c r="A5599">
        <v>2019</v>
      </c>
      <c r="B5599" s="36">
        <v>5682</v>
      </c>
      <c r="C5599" s="90" t="str">
        <f>VLOOKUP(B5599,'All Districts'!$A$3:$B$874,2,FALSE)</f>
        <v>Salem</v>
      </c>
      <c r="D5599" s="40">
        <v>490235</v>
      </c>
      <c r="E5599">
        <f>VLOOKUP(C5599,'All Districts'!$B$3:$C$874,2,FALSE)</f>
        <v>3625470</v>
      </c>
      <c r="F5599" s="91">
        <f>COUNTIF($E$2:$E$7106,E5599)</f>
        <v>9</v>
      </c>
    </row>
    <row r="5600" spans="1:6" x14ac:dyDescent="0.2">
      <c r="A5600">
        <v>2020</v>
      </c>
      <c r="B5600" s="36">
        <v>5682</v>
      </c>
      <c r="C5600" s="90" t="str">
        <f>VLOOKUP(B5600,'All Districts'!$A$3:$B$874,2,FALSE)</f>
        <v>Salem</v>
      </c>
      <c r="D5600" s="40">
        <v>437531</v>
      </c>
      <c r="E5600">
        <f>VLOOKUP(C5600,'All Districts'!$B$3:$C$874,2,FALSE)</f>
        <v>3625470</v>
      </c>
      <c r="F5600" s="91">
        <f>COUNTIF($E$2:$E$7106,E5600)</f>
        <v>9</v>
      </c>
    </row>
    <row r="5601" spans="1:6" x14ac:dyDescent="0.2">
      <c r="A5601" s="10">
        <v>2021</v>
      </c>
      <c r="B5601" s="52">
        <v>5682</v>
      </c>
      <c r="C5601" s="90" t="str">
        <f>VLOOKUP(B5601,'All Districts'!$A$3:$B$874,2,FALSE)</f>
        <v>Salem</v>
      </c>
      <c r="D5601" s="76">
        <v>479994</v>
      </c>
      <c r="E5601">
        <f>VLOOKUP(C5601,'All Districts'!$B$3:$C$874,2,FALSE)</f>
        <v>3625470</v>
      </c>
      <c r="F5601" s="91">
        <f>COUNTIF($E$2:$E$7106,E5601)</f>
        <v>9</v>
      </c>
    </row>
    <row r="5602" spans="1:6" x14ac:dyDescent="0.2">
      <c r="A5602">
        <v>2022</v>
      </c>
      <c r="B5602" s="36">
        <v>5682</v>
      </c>
      <c r="C5602" s="90" t="str">
        <f>VLOOKUP(B5602,'All Districts'!$A$3:$B$874,2,FALSE)</f>
        <v>Salem</v>
      </c>
      <c r="D5602" s="82">
        <v>529956</v>
      </c>
      <c r="E5602">
        <f>VLOOKUP(C5602,'All Districts'!$B$3:$C$874,2,FALSE)</f>
        <v>3625470</v>
      </c>
      <c r="F5602" s="91">
        <f>COUNTIF($E$2:$E$7106,E5602)</f>
        <v>9</v>
      </c>
    </row>
    <row r="5603" spans="1:6" x14ac:dyDescent="0.2">
      <c r="A5603">
        <v>2023</v>
      </c>
      <c r="B5603" s="36">
        <v>5682</v>
      </c>
      <c r="C5603" s="90" t="str">
        <f>VLOOKUP(B5603,'All Districts'!$A$3:$B$874,2,FALSE)</f>
        <v>Salem</v>
      </c>
      <c r="D5603" s="40">
        <v>566929</v>
      </c>
      <c r="E5603">
        <f>VLOOKUP(C5603,'All Districts'!$B$3:$C$874,2,FALSE)</f>
        <v>3625470</v>
      </c>
      <c r="F5603" s="91">
        <f>COUNTIF($E$2:$E$7106,E5603)</f>
        <v>9</v>
      </c>
    </row>
    <row r="5604" spans="1:6" x14ac:dyDescent="0.2">
      <c r="A5604">
        <v>2015</v>
      </c>
      <c r="B5604" s="13">
        <v>3854</v>
      </c>
      <c r="C5604" s="90" t="str">
        <f>VLOOKUP(B5604,'All Districts'!$A$3:$B$874,2,FALSE)</f>
        <v>Salmon River</v>
      </c>
      <c r="D5604" s="14">
        <v>1913736</v>
      </c>
      <c r="E5604">
        <f>VLOOKUP(C5604,'All Districts'!$B$3:$C$874,2,FALSE)</f>
        <v>3625500</v>
      </c>
      <c r="F5604" s="91">
        <f>COUNTIF($E$2:$E$7106,E5604)</f>
        <v>9</v>
      </c>
    </row>
    <row r="5605" spans="1:6" x14ac:dyDescent="0.2">
      <c r="A5605">
        <v>2016</v>
      </c>
      <c r="B5605" s="13">
        <v>3854</v>
      </c>
      <c r="C5605" s="90" t="str">
        <f>VLOOKUP(B5605,'All Districts'!$A$3:$B$874,2,FALSE)</f>
        <v>Salmon River</v>
      </c>
      <c r="D5605" s="16">
        <v>1567916</v>
      </c>
      <c r="E5605">
        <f>VLOOKUP(C5605,'All Districts'!$B$3:$C$874,2,FALSE)</f>
        <v>3625500</v>
      </c>
      <c r="F5605" s="91">
        <f>COUNTIF($E$2:$E$7106,E5605)</f>
        <v>9</v>
      </c>
    </row>
    <row r="5606" spans="1:6" x14ac:dyDescent="0.2">
      <c r="A5606">
        <v>2017</v>
      </c>
      <c r="B5606" s="13">
        <v>3854</v>
      </c>
      <c r="C5606" s="90" t="str">
        <f>VLOOKUP(B5606,'All Districts'!$A$3:$B$874,2,FALSE)</f>
        <v>Salmon River</v>
      </c>
      <c r="D5606" s="16">
        <v>1340254</v>
      </c>
      <c r="E5606">
        <f>VLOOKUP(C5606,'All Districts'!$B$3:$C$874,2,FALSE)</f>
        <v>3625500</v>
      </c>
      <c r="F5606" s="91">
        <f>COUNTIF($E$2:$E$7106,E5606)</f>
        <v>9</v>
      </c>
    </row>
    <row r="5607" spans="1:6" x14ac:dyDescent="0.2">
      <c r="A5607" s="10">
        <v>2018</v>
      </c>
      <c r="B5607" s="13">
        <v>3854</v>
      </c>
      <c r="C5607" s="90" t="str">
        <f>VLOOKUP(B5607,'All Districts'!$A$3:$B$874,2,FALSE)</f>
        <v>Salmon River</v>
      </c>
      <c r="D5607" s="15">
        <v>1187189</v>
      </c>
      <c r="E5607">
        <f>VLOOKUP(C5607,'All Districts'!$B$3:$C$874,2,FALSE)</f>
        <v>3625500</v>
      </c>
      <c r="F5607" s="91">
        <f>COUNTIF($E$2:$E$7106,E5607)</f>
        <v>9</v>
      </c>
    </row>
    <row r="5608" spans="1:6" x14ac:dyDescent="0.2">
      <c r="A5608">
        <v>2019</v>
      </c>
      <c r="B5608" s="36">
        <v>3854</v>
      </c>
      <c r="C5608" s="90" t="str">
        <f>VLOOKUP(B5608,'All Districts'!$A$3:$B$874,2,FALSE)</f>
        <v>Salmon River</v>
      </c>
      <c r="D5608" s="40">
        <v>1364678</v>
      </c>
      <c r="E5608">
        <f>VLOOKUP(C5608,'All Districts'!$B$3:$C$874,2,FALSE)</f>
        <v>3625500</v>
      </c>
      <c r="F5608" s="91">
        <f>COUNTIF($E$2:$E$7106,E5608)</f>
        <v>9</v>
      </c>
    </row>
    <row r="5609" spans="1:6" x14ac:dyDescent="0.2">
      <c r="A5609">
        <v>2020</v>
      </c>
      <c r="B5609" s="36">
        <v>3854</v>
      </c>
      <c r="C5609" s="90" t="str">
        <f>VLOOKUP(B5609,'All Districts'!$A$3:$B$874,2,FALSE)</f>
        <v>Salmon River</v>
      </c>
      <c r="D5609" s="40">
        <v>1114357</v>
      </c>
      <c r="E5609">
        <f>VLOOKUP(C5609,'All Districts'!$B$3:$C$874,2,FALSE)</f>
        <v>3625500</v>
      </c>
      <c r="F5609" s="91">
        <f>COUNTIF($E$2:$E$7106,E5609)</f>
        <v>9</v>
      </c>
    </row>
    <row r="5610" spans="1:6" x14ac:dyDescent="0.2">
      <c r="A5610" s="10">
        <v>2021</v>
      </c>
      <c r="B5610" s="52">
        <v>3854</v>
      </c>
      <c r="C5610" s="90" t="str">
        <f>VLOOKUP(B5610,'All Districts'!$A$3:$B$874,2,FALSE)</f>
        <v>Salmon River</v>
      </c>
      <c r="D5610" s="76">
        <v>1237628</v>
      </c>
      <c r="E5610">
        <f>VLOOKUP(C5610,'All Districts'!$B$3:$C$874,2,FALSE)</f>
        <v>3625500</v>
      </c>
      <c r="F5610" s="91">
        <f>COUNTIF($E$2:$E$7106,E5610)</f>
        <v>9</v>
      </c>
    </row>
    <row r="5611" spans="1:6" x14ac:dyDescent="0.2">
      <c r="A5611">
        <v>2022</v>
      </c>
      <c r="B5611" s="36">
        <v>3854</v>
      </c>
      <c r="C5611" s="90" t="str">
        <f>VLOOKUP(B5611,'All Districts'!$A$3:$B$874,2,FALSE)</f>
        <v>Salmon River</v>
      </c>
      <c r="D5611" s="82">
        <v>1282853</v>
      </c>
      <c r="E5611">
        <f>VLOOKUP(C5611,'All Districts'!$B$3:$C$874,2,FALSE)</f>
        <v>3625500</v>
      </c>
      <c r="F5611" s="91">
        <f>COUNTIF($E$2:$E$7106,E5611)</f>
        <v>9</v>
      </c>
    </row>
    <row r="5612" spans="1:6" x14ac:dyDescent="0.2">
      <c r="A5612">
        <v>2023</v>
      </c>
      <c r="B5612" s="36">
        <v>3854</v>
      </c>
      <c r="C5612" s="90" t="str">
        <f>VLOOKUP(B5612,'All Districts'!$A$3:$B$874,2,FALSE)</f>
        <v>Salmon River</v>
      </c>
      <c r="D5612" s="40">
        <v>1429794</v>
      </c>
      <c r="E5612">
        <f>VLOOKUP(C5612,'All Districts'!$B$3:$C$874,2,FALSE)</f>
        <v>3625500</v>
      </c>
      <c r="F5612" s="91">
        <f>COUNTIF($E$2:$E$7106,E5612)</f>
        <v>9</v>
      </c>
    </row>
    <row r="5613" spans="1:6" x14ac:dyDescent="0.2">
      <c r="A5613">
        <v>2015</v>
      </c>
      <c r="B5613" s="13">
        <v>4704</v>
      </c>
      <c r="C5613" s="90" t="str">
        <f>VLOOKUP(B5613,'All Districts'!$A$3:$B$874,2,FALSE)</f>
        <v>Sandy Creek</v>
      </c>
      <c r="D5613" s="14">
        <v>1196791</v>
      </c>
      <c r="E5613">
        <f>VLOOKUP(C5613,'All Districts'!$B$3:$C$874,2,FALSE)</f>
        <v>3625650</v>
      </c>
      <c r="F5613" s="91">
        <f>COUNTIF($E$2:$E$7106,E5613)</f>
        <v>9</v>
      </c>
    </row>
    <row r="5614" spans="1:6" x14ac:dyDescent="0.2">
      <c r="A5614">
        <v>2016</v>
      </c>
      <c r="B5614" s="13">
        <v>4704</v>
      </c>
      <c r="C5614" s="90" t="str">
        <f>VLOOKUP(B5614,'All Districts'!$A$3:$B$874,2,FALSE)</f>
        <v>Sandy Creek</v>
      </c>
      <c r="D5614" s="16">
        <v>933782</v>
      </c>
      <c r="E5614">
        <f>VLOOKUP(C5614,'All Districts'!$B$3:$C$874,2,FALSE)</f>
        <v>3625650</v>
      </c>
      <c r="F5614" s="91">
        <f>COUNTIF($E$2:$E$7106,E5614)</f>
        <v>9</v>
      </c>
    </row>
    <row r="5615" spans="1:6" x14ac:dyDescent="0.2">
      <c r="A5615">
        <v>2017</v>
      </c>
      <c r="B5615" s="13">
        <v>4704</v>
      </c>
      <c r="C5615" s="90" t="str">
        <f>VLOOKUP(B5615,'All Districts'!$A$3:$B$874,2,FALSE)</f>
        <v>Sandy Creek</v>
      </c>
      <c r="D5615" s="16">
        <v>854950</v>
      </c>
      <c r="E5615">
        <f>VLOOKUP(C5615,'All Districts'!$B$3:$C$874,2,FALSE)</f>
        <v>3625650</v>
      </c>
      <c r="F5615" s="91">
        <f>COUNTIF($E$2:$E$7106,E5615)</f>
        <v>9</v>
      </c>
    </row>
    <row r="5616" spans="1:6" x14ac:dyDescent="0.2">
      <c r="A5616" s="10">
        <v>2018</v>
      </c>
      <c r="B5616" s="13">
        <v>4704</v>
      </c>
      <c r="C5616" s="90" t="str">
        <f>VLOOKUP(B5616,'All Districts'!$A$3:$B$874,2,FALSE)</f>
        <v>Sandy Creek</v>
      </c>
      <c r="D5616" s="15">
        <v>733067</v>
      </c>
      <c r="E5616">
        <f>VLOOKUP(C5616,'All Districts'!$B$3:$C$874,2,FALSE)</f>
        <v>3625650</v>
      </c>
      <c r="F5616" s="91">
        <f>COUNTIF($E$2:$E$7106,E5616)</f>
        <v>9</v>
      </c>
    </row>
    <row r="5617" spans="1:6" x14ac:dyDescent="0.2">
      <c r="A5617">
        <v>2019</v>
      </c>
      <c r="B5617" s="36">
        <v>4704</v>
      </c>
      <c r="C5617" s="90" t="str">
        <f>VLOOKUP(B5617,'All Districts'!$A$3:$B$874,2,FALSE)</f>
        <v>Sandy Creek</v>
      </c>
      <c r="D5617" s="40">
        <v>803303</v>
      </c>
      <c r="E5617">
        <f>VLOOKUP(C5617,'All Districts'!$B$3:$C$874,2,FALSE)</f>
        <v>3625650</v>
      </c>
      <c r="F5617" s="91">
        <f>COUNTIF($E$2:$E$7106,E5617)</f>
        <v>9</v>
      </c>
    </row>
    <row r="5618" spans="1:6" x14ac:dyDescent="0.2">
      <c r="A5618">
        <v>2020</v>
      </c>
      <c r="B5618" s="36">
        <v>4704</v>
      </c>
      <c r="C5618" s="90" t="str">
        <f>VLOOKUP(B5618,'All Districts'!$A$3:$B$874,2,FALSE)</f>
        <v>Sandy Creek</v>
      </c>
      <c r="D5618" s="40">
        <v>661629</v>
      </c>
      <c r="E5618">
        <f>VLOOKUP(C5618,'All Districts'!$B$3:$C$874,2,FALSE)</f>
        <v>3625650</v>
      </c>
      <c r="F5618" s="91">
        <f>COUNTIF($E$2:$E$7106,E5618)</f>
        <v>9</v>
      </c>
    </row>
    <row r="5619" spans="1:6" x14ac:dyDescent="0.2">
      <c r="A5619" s="10">
        <v>2021</v>
      </c>
      <c r="B5619" s="52">
        <v>4704</v>
      </c>
      <c r="C5619" s="90" t="str">
        <f>VLOOKUP(B5619,'All Districts'!$A$3:$B$874,2,FALSE)</f>
        <v>Sandy Creek</v>
      </c>
      <c r="D5619" s="76">
        <v>643950</v>
      </c>
      <c r="E5619">
        <f>VLOOKUP(C5619,'All Districts'!$B$3:$C$874,2,FALSE)</f>
        <v>3625650</v>
      </c>
      <c r="F5619" s="91">
        <f>COUNTIF($E$2:$E$7106,E5619)</f>
        <v>9</v>
      </c>
    </row>
    <row r="5620" spans="1:6" x14ac:dyDescent="0.2">
      <c r="A5620">
        <v>2022</v>
      </c>
      <c r="B5620" s="36">
        <v>4704</v>
      </c>
      <c r="C5620" s="90" t="str">
        <f>VLOOKUP(B5620,'All Districts'!$A$3:$B$874,2,FALSE)</f>
        <v>Sandy Creek</v>
      </c>
      <c r="D5620" s="82">
        <v>705848</v>
      </c>
      <c r="E5620">
        <f>VLOOKUP(C5620,'All Districts'!$B$3:$C$874,2,FALSE)</f>
        <v>3625650</v>
      </c>
      <c r="F5620" s="91">
        <f>COUNTIF($E$2:$E$7106,E5620)</f>
        <v>9</v>
      </c>
    </row>
    <row r="5621" spans="1:6" x14ac:dyDescent="0.2">
      <c r="A5621">
        <v>2023</v>
      </c>
      <c r="B5621" s="36">
        <v>4704</v>
      </c>
      <c r="C5621" s="90" t="str">
        <f>VLOOKUP(B5621,'All Districts'!$A$3:$B$874,2,FALSE)</f>
        <v>Sandy Creek</v>
      </c>
      <c r="D5621" s="40">
        <v>757874</v>
      </c>
      <c r="E5621">
        <f>VLOOKUP(C5621,'All Districts'!$B$3:$C$874,2,FALSE)</f>
        <v>3625650</v>
      </c>
      <c r="F5621" s="91">
        <f>COUNTIF($E$2:$E$7106,E5621)</f>
        <v>9</v>
      </c>
    </row>
    <row r="5622" spans="1:6" x14ac:dyDescent="0.2">
      <c r="A5622">
        <v>2015</v>
      </c>
      <c r="B5622" s="13">
        <v>2514</v>
      </c>
      <c r="C5622" s="90" t="str">
        <f>VLOOKUP(B5622,'All Districts'!$A$3:$B$874,2,FALSE)</f>
        <v>Saranac</v>
      </c>
      <c r="D5622" s="14">
        <v>1946261</v>
      </c>
      <c r="E5622">
        <f>VLOOKUP(C5622,'All Districts'!$B$3:$C$874,2,FALSE)</f>
        <v>3600009</v>
      </c>
      <c r="F5622" s="91">
        <f>COUNTIF($E$2:$E$7106,E5622)</f>
        <v>9</v>
      </c>
    </row>
    <row r="5623" spans="1:6" x14ac:dyDescent="0.2">
      <c r="A5623">
        <v>2016</v>
      </c>
      <c r="B5623" s="13">
        <v>2514</v>
      </c>
      <c r="C5623" s="90" t="str">
        <f>VLOOKUP(B5623,'All Districts'!$A$3:$B$874,2,FALSE)</f>
        <v>Saranac</v>
      </c>
      <c r="D5623" s="16">
        <v>1472919</v>
      </c>
      <c r="E5623">
        <f>VLOOKUP(C5623,'All Districts'!$B$3:$C$874,2,FALSE)</f>
        <v>3600009</v>
      </c>
      <c r="F5623" s="91">
        <f>COUNTIF($E$2:$E$7106,E5623)</f>
        <v>9</v>
      </c>
    </row>
    <row r="5624" spans="1:6" x14ac:dyDescent="0.2">
      <c r="A5624">
        <v>2017</v>
      </c>
      <c r="B5624" s="13">
        <v>2514</v>
      </c>
      <c r="C5624" s="90" t="str">
        <f>VLOOKUP(B5624,'All Districts'!$A$3:$B$874,2,FALSE)</f>
        <v>Saranac</v>
      </c>
      <c r="D5624" s="16">
        <v>1336329</v>
      </c>
      <c r="E5624">
        <f>VLOOKUP(C5624,'All Districts'!$B$3:$C$874,2,FALSE)</f>
        <v>3600009</v>
      </c>
      <c r="F5624" s="91">
        <f>COUNTIF($E$2:$E$7106,E5624)</f>
        <v>9</v>
      </c>
    </row>
    <row r="5625" spans="1:6" x14ac:dyDescent="0.2">
      <c r="A5625" s="10">
        <v>2018</v>
      </c>
      <c r="B5625" s="13">
        <v>2514</v>
      </c>
      <c r="C5625" s="90" t="str">
        <f>VLOOKUP(B5625,'All Districts'!$A$3:$B$874,2,FALSE)</f>
        <v>Saranac</v>
      </c>
      <c r="D5625" s="15">
        <v>1129013</v>
      </c>
      <c r="E5625">
        <f>VLOOKUP(C5625,'All Districts'!$B$3:$C$874,2,FALSE)</f>
        <v>3600009</v>
      </c>
      <c r="F5625" s="91">
        <f>COUNTIF($E$2:$E$7106,E5625)</f>
        <v>9</v>
      </c>
    </row>
    <row r="5626" spans="1:6" x14ac:dyDescent="0.2">
      <c r="A5626">
        <v>2019</v>
      </c>
      <c r="B5626" s="36">
        <v>2514</v>
      </c>
      <c r="C5626" s="90" t="str">
        <f>VLOOKUP(B5626,'All Districts'!$A$3:$B$874,2,FALSE)</f>
        <v>Saranac</v>
      </c>
      <c r="D5626" s="40">
        <v>1321372</v>
      </c>
      <c r="E5626">
        <f>VLOOKUP(C5626,'All Districts'!$B$3:$C$874,2,FALSE)</f>
        <v>3600009</v>
      </c>
      <c r="F5626" s="91">
        <f>COUNTIF($E$2:$E$7106,E5626)</f>
        <v>9</v>
      </c>
    </row>
    <row r="5627" spans="1:6" x14ac:dyDescent="0.2">
      <c r="A5627">
        <v>2020</v>
      </c>
      <c r="B5627" s="36">
        <v>2514</v>
      </c>
      <c r="C5627" s="90" t="str">
        <f>VLOOKUP(B5627,'All Districts'!$A$3:$B$874,2,FALSE)</f>
        <v>Saranac</v>
      </c>
      <c r="D5627" s="40">
        <v>1092551</v>
      </c>
      <c r="E5627">
        <f>VLOOKUP(C5627,'All Districts'!$B$3:$C$874,2,FALSE)</f>
        <v>3600009</v>
      </c>
      <c r="F5627" s="91">
        <f>COUNTIF($E$2:$E$7106,E5627)</f>
        <v>9</v>
      </c>
    </row>
    <row r="5628" spans="1:6" x14ac:dyDescent="0.2">
      <c r="A5628" s="10">
        <v>2021</v>
      </c>
      <c r="B5628" s="72">
        <v>2514</v>
      </c>
      <c r="C5628" s="90" t="str">
        <f>VLOOKUP(B5628,'All Districts'!$A$3:$B$874,2,FALSE)</f>
        <v>Saranac</v>
      </c>
      <c r="D5628" s="75">
        <v>1129826</v>
      </c>
      <c r="E5628">
        <f>VLOOKUP(C5628,'All Districts'!$B$3:$C$874,2,FALSE)</f>
        <v>3600009</v>
      </c>
      <c r="F5628" s="91">
        <f>COUNTIF($E$2:$E$7106,E5628)</f>
        <v>9</v>
      </c>
    </row>
    <row r="5629" spans="1:6" x14ac:dyDescent="0.2">
      <c r="A5629">
        <v>2022</v>
      </c>
      <c r="B5629" s="36">
        <v>2514</v>
      </c>
      <c r="C5629" s="90" t="str">
        <f>VLOOKUP(B5629,'All Districts'!$A$3:$B$874,2,FALSE)</f>
        <v>Saranac</v>
      </c>
      <c r="D5629" s="82">
        <v>1276704</v>
      </c>
      <c r="E5629">
        <f>VLOOKUP(C5629,'All Districts'!$B$3:$C$874,2,FALSE)</f>
        <v>3600009</v>
      </c>
      <c r="F5629" s="91">
        <f>COUNTIF($E$2:$E$7106,E5629)</f>
        <v>9</v>
      </c>
    </row>
    <row r="5630" spans="1:6" x14ac:dyDescent="0.2">
      <c r="A5630">
        <v>2023</v>
      </c>
      <c r="B5630" s="36">
        <v>2514</v>
      </c>
      <c r="C5630" s="90" t="str">
        <f>VLOOKUP(B5630,'All Districts'!$A$3:$B$874,2,FALSE)</f>
        <v>Saranac</v>
      </c>
      <c r="D5630" s="40">
        <v>1359782</v>
      </c>
      <c r="E5630">
        <f>VLOOKUP(C5630,'All Districts'!$B$3:$C$874,2,FALSE)</f>
        <v>3600009</v>
      </c>
      <c r="F5630" s="91">
        <f>COUNTIF($E$2:$E$7106,E5630)</f>
        <v>9</v>
      </c>
    </row>
    <row r="5631" spans="1:6" x14ac:dyDescent="0.2">
      <c r="A5631">
        <v>2015</v>
      </c>
      <c r="B5631" s="13">
        <v>2515</v>
      </c>
      <c r="C5631" s="90" t="str">
        <f>VLOOKUP(B5631,'All Districts'!$A$3:$B$874,2,FALSE)</f>
        <v>Saranac Lake</v>
      </c>
      <c r="D5631" s="14">
        <v>1691507</v>
      </c>
      <c r="E5631">
        <f>VLOOKUP(C5631,'All Districts'!$B$3:$C$874,2,FALSE)</f>
        <v>3625740</v>
      </c>
      <c r="F5631" s="91">
        <f>COUNTIF($E$2:$E$7106,E5631)</f>
        <v>9</v>
      </c>
    </row>
    <row r="5632" spans="1:6" x14ac:dyDescent="0.2">
      <c r="A5632">
        <v>2016</v>
      </c>
      <c r="B5632" s="13">
        <v>2515</v>
      </c>
      <c r="C5632" s="90" t="str">
        <f>VLOOKUP(B5632,'All Districts'!$A$3:$B$874,2,FALSE)</f>
        <v>Saranac Lake</v>
      </c>
      <c r="D5632" s="16">
        <v>1248777</v>
      </c>
      <c r="E5632">
        <f>VLOOKUP(C5632,'All Districts'!$B$3:$C$874,2,FALSE)</f>
        <v>3625740</v>
      </c>
      <c r="F5632" s="91">
        <f>COUNTIF($E$2:$E$7106,E5632)</f>
        <v>9</v>
      </c>
    </row>
    <row r="5633" spans="1:6" x14ac:dyDescent="0.2">
      <c r="A5633">
        <v>2017</v>
      </c>
      <c r="B5633" s="13">
        <v>2515</v>
      </c>
      <c r="C5633" s="90" t="str">
        <f>VLOOKUP(B5633,'All Districts'!$A$3:$B$874,2,FALSE)</f>
        <v>Saranac Lake</v>
      </c>
      <c r="D5633" s="16">
        <v>1159674</v>
      </c>
      <c r="E5633">
        <f>VLOOKUP(C5633,'All Districts'!$B$3:$C$874,2,FALSE)</f>
        <v>3625740</v>
      </c>
      <c r="F5633" s="91">
        <f>COUNTIF($E$2:$E$7106,E5633)</f>
        <v>9</v>
      </c>
    </row>
    <row r="5634" spans="1:6" x14ac:dyDescent="0.2">
      <c r="A5634" s="10">
        <v>2018</v>
      </c>
      <c r="B5634" s="13">
        <v>2515</v>
      </c>
      <c r="C5634" s="90" t="str">
        <f>VLOOKUP(B5634,'All Districts'!$A$3:$B$874,2,FALSE)</f>
        <v>Saranac Lake</v>
      </c>
      <c r="D5634" s="15">
        <v>1012889</v>
      </c>
      <c r="E5634">
        <f>VLOOKUP(C5634,'All Districts'!$B$3:$C$874,2,FALSE)</f>
        <v>3625740</v>
      </c>
      <c r="F5634" s="91">
        <f>COUNTIF($E$2:$E$7106,E5634)</f>
        <v>9</v>
      </c>
    </row>
    <row r="5635" spans="1:6" x14ac:dyDescent="0.2">
      <c r="A5635">
        <v>2019</v>
      </c>
      <c r="B5635" s="36">
        <v>2515</v>
      </c>
      <c r="C5635" s="90" t="str">
        <f>VLOOKUP(B5635,'All Districts'!$A$3:$B$874,2,FALSE)</f>
        <v>Saranac Lake</v>
      </c>
      <c r="D5635" s="40">
        <v>1174113</v>
      </c>
      <c r="E5635">
        <f>VLOOKUP(C5635,'All Districts'!$B$3:$C$874,2,FALSE)</f>
        <v>3625740</v>
      </c>
      <c r="F5635" s="91">
        <f>COUNTIF($E$2:$E$7106,E5635)</f>
        <v>9</v>
      </c>
    </row>
    <row r="5636" spans="1:6" x14ac:dyDescent="0.2">
      <c r="A5636">
        <v>2020</v>
      </c>
      <c r="B5636" s="36">
        <v>2515</v>
      </c>
      <c r="C5636" s="90" t="str">
        <f>VLOOKUP(B5636,'All Districts'!$A$3:$B$874,2,FALSE)</f>
        <v>Saranac Lake</v>
      </c>
      <c r="D5636" s="40">
        <v>974544</v>
      </c>
      <c r="E5636">
        <f>VLOOKUP(C5636,'All Districts'!$B$3:$C$874,2,FALSE)</f>
        <v>3625740</v>
      </c>
      <c r="F5636" s="91">
        <f>COUNTIF($E$2:$E$7106,E5636)</f>
        <v>9</v>
      </c>
    </row>
    <row r="5637" spans="1:6" x14ac:dyDescent="0.2">
      <c r="A5637" s="10">
        <v>2021</v>
      </c>
      <c r="B5637" s="55">
        <v>2515</v>
      </c>
      <c r="C5637" s="90" t="str">
        <f>VLOOKUP(B5637,'All Districts'!$A$3:$B$874,2,FALSE)</f>
        <v>Saranac Lake</v>
      </c>
      <c r="D5637" s="76">
        <v>1035811</v>
      </c>
      <c r="E5637">
        <f>VLOOKUP(C5637,'All Districts'!$B$3:$C$874,2,FALSE)</f>
        <v>3625740</v>
      </c>
      <c r="F5637" s="91">
        <f>COUNTIF($E$2:$E$7106,E5637)</f>
        <v>9</v>
      </c>
    </row>
    <row r="5638" spans="1:6" x14ac:dyDescent="0.2">
      <c r="A5638">
        <v>2022</v>
      </c>
      <c r="B5638" s="36">
        <v>2515</v>
      </c>
      <c r="C5638" s="90" t="str">
        <f>VLOOKUP(B5638,'All Districts'!$A$3:$B$874,2,FALSE)</f>
        <v>Saranac Lake</v>
      </c>
      <c r="D5638" s="82">
        <v>1107364</v>
      </c>
      <c r="E5638">
        <f>VLOOKUP(C5638,'All Districts'!$B$3:$C$874,2,FALSE)</f>
        <v>3625740</v>
      </c>
      <c r="F5638" s="91">
        <f>COUNTIF($E$2:$E$7106,E5638)</f>
        <v>9</v>
      </c>
    </row>
    <row r="5639" spans="1:6" x14ac:dyDescent="0.2">
      <c r="A5639">
        <v>2023</v>
      </c>
      <c r="B5639" s="36">
        <v>2515</v>
      </c>
      <c r="C5639" s="90" t="str">
        <f>VLOOKUP(B5639,'All Districts'!$A$3:$B$874,2,FALSE)</f>
        <v>Saranac Lake</v>
      </c>
      <c r="D5639" s="40">
        <v>1193582</v>
      </c>
      <c r="E5639">
        <f>VLOOKUP(C5639,'All Districts'!$B$3:$C$874,2,FALSE)</f>
        <v>3625740</v>
      </c>
      <c r="F5639" s="91">
        <f>COUNTIF($E$2:$E$7106,E5639)</f>
        <v>9</v>
      </c>
    </row>
    <row r="5640" spans="1:6" x14ac:dyDescent="0.2">
      <c r="A5640">
        <v>2015</v>
      </c>
      <c r="B5640" s="13">
        <v>1255</v>
      </c>
      <c r="C5640" s="90" t="str">
        <f>VLOOKUP(B5640,'All Districts'!$A$3:$B$874,2,FALSE)</f>
        <v>Saratoga Springs</v>
      </c>
      <c r="D5640" s="14">
        <v>6800757</v>
      </c>
      <c r="E5640">
        <f>VLOOKUP(C5640,'All Districts'!$B$3:$C$874,2,FALSE)</f>
        <v>3625770</v>
      </c>
      <c r="F5640" s="91">
        <f>COUNTIF($E$2:$E$7106,E5640)</f>
        <v>9</v>
      </c>
    </row>
    <row r="5641" spans="1:6" x14ac:dyDescent="0.2">
      <c r="A5641">
        <v>2016</v>
      </c>
      <c r="B5641" s="13">
        <v>1255</v>
      </c>
      <c r="C5641" s="90" t="str">
        <f>VLOOKUP(B5641,'All Districts'!$A$3:$B$874,2,FALSE)</f>
        <v>Saratoga Springs</v>
      </c>
      <c r="D5641" s="16">
        <v>5375034</v>
      </c>
      <c r="E5641">
        <f>VLOOKUP(C5641,'All Districts'!$B$3:$C$874,2,FALSE)</f>
        <v>3625770</v>
      </c>
      <c r="F5641" s="91">
        <f>COUNTIF($E$2:$E$7106,E5641)</f>
        <v>9</v>
      </c>
    </row>
    <row r="5642" spans="1:6" x14ac:dyDescent="0.2">
      <c r="A5642">
        <v>2017</v>
      </c>
      <c r="B5642" s="13">
        <v>1255</v>
      </c>
      <c r="C5642" s="90" t="str">
        <f>VLOOKUP(B5642,'All Districts'!$A$3:$B$874,2,FALSE)</f>
        <v>Saratoga Springs</v>
      </c>
      <c r="D5642" s="16">
        <v>4901918</v>
      </c>
      <c r="E5642">
        <f>VLOOKUP(C5642,'All Districts'!$B$3:$C$874,2,FALSE)</f>
        <v>3625770</v>
      </c>
      <c r="F5642" s="91">
        <f>COUNTIF($E$2:$E$7106,E5642)</f>
        <v>9</v>
      </c>
    </row>
    <row r="5643" spans="1:6" x14ac:dyDescent="0.2">
      <c r="A5643" s="10">
        <v>2018</v>
      </c>
      <c r="B5643" s="13">
        <v>1255</v>
      </c>
      <c r="C5643" s="90" t="str">
        <f>VLOOKUP(B5643,'All Districts'!$A$3:$B$874,2,FALSE)</f>
        <v>Saratoga Springs</v>
      </c>
      <c r="D5643" s="15">
        <v>4247853</v>
      </c>
      <c r="E5643">
        <f>VLOOKUP(C5643,'All Districts'!$B$3:$C$874,2,FALSE)</f>
        <v>3625770</v>
      </c>
      <c r="F5643" s="91">
        <f>COUNTIF($E$2:$E$7106,E5643)</f>
        <v>9</v>
      </c>
    </row>
    <row r="5644" spans="1:6" x14ac:dyDescent="0.2">
      <c r="A5644">
        <v>2019</v>
      </c>
      <c r="B5644" s="36">
        <v>1255</v>
      </c>
      <c r="C5644" s="90" t="str">
        <f>VLOOKUP(B5644,'All Districts'!$A$3:$B$874,2,FALSE)</f>
        <v>Saratoga Springs</v>
      </c>
      <c r="D5644" s="40">
        <v>4772532</v>
      </c>
      <c r="E5644">
        <f>VLOOKUP(C5644,'All Districts'!$B$3:$C$874,2,FALSE)</f>
        <v>3625770</v>
      </c>
      <c r="F5644" s="91">
        <f>COUNTIF($E$2:$E$7106,E5644)</f>
        <v>9</v>
      </c>
    </row>
    <row r="5645" spans="1:6" x14ac:dyDescent="0.2">
      <c r="A5645">
        <v>2020</v>
      </c>
      <c r="B5645" s="36">
        <v>1255</v>
      </c>
      <c r="C5645" s="90" t="str">
        <f>VLOOKUP(B5645,'All Districts'!$A$3:$B$874,2,FALSE)</f>
        <v>Saratoga Springs</v>
      </c>
      <c r="D5645" s="40">
        <v>4086087</v>
      </c>
      <c r="E5645">
        <f>VLOOKUP(C5645,'All Districts'!$B$3:$C$874,2,FALSE)</f>
        <v>3625770</v>
      </c>
      <c r="F5645" s="91">
        <f>COUNTIF($E$2:$E$7106,E5645)</f>
        <v>9</v>
      </c>
    </row>
    <row r="5646" spans="1:6" x14ac:dyDescent="0.2">
      <c r="A5646" s="10">
        <v>2021</v>
      </c>
      <c r="B5646" s="52">
        <v>1255</v>
      </c>
      <c r="C5646" s="90" t="str">
        <f>VLOOKUP(B5646,'All Districts'!$A$3:$B$874,2,FALSE)</f>
        <v>Saratoga Springs</v>
      </c>
      <c r="D5646" s="76">
        <v>4412350</v>
      </c>
      <c r="E5646">
        <f>VLOOKUP(C5646,'All Districts'!$B$3:$C$874,2,FALSE)</f>
        <v>3625770</v>
      </c>
      <c r="F5646" s="91">
        <f>COUNTIF($E$2:$E$7106,E5646)</f>
        <v>9</v>
      </c>
    </row>
    <row r="5647" spans="1:6" x14ac:dyDescent="0.2">
      <c r="A5647">
        <v>2022</v>
      </c>
      <c r="B5647" s="36">
        <v>1255</v>
      </c>
      <c r="C5647" s="90" t="str">
        <f>VLOOKUP(B5647,'All Districts'!$A$3:$B$874,2,FALSE)</f>
        <v>Saratoga Springs</v>
      </c>
      <c r="D5647" s="82">
        <v>4684909</v>
      </c>
      <c r="E5647">
        <f>VLOOKUP(C5647,'All Districts'!$B$3:$C$874,2,FALSE)</f>
        <v>3625770</v>
      </c>
      <c r="F5647" s="91">
        <f>COUNTIF($E$2:$E$7106,E5647)</f>
        <v>9</v>
      </c>
    </row>
    <row r="5648" spans="1:6" x14ac:dyDescent="0.2">
      <c r="A5648">
        <v>2023</v>
      </c>
      <c r="B5648" s="36">
        <v>1255</v>
      </c>
      <c r="C5648" s="90" t="str">
        <f>VLOOKUP(B5648,'All Districts'!$A$3:$B$874,2,FALSE)</f>
        <v>Saratoga Springs</v>
      </c>
      <c r="D5648" s="40">
        <v>5027902</v>
      </c>
      <c r="E5648">
        <f>VLOOKUP(C5648,'All Districts'!$B$3:$C$874,2,FALSE)</f>
        <v>3625770</v>
      </c>
      <c r="F5648" s="91">
        <f>COUNTIF($E$2:$E$7106,E5648)</f>
        <v>9</v>
      </c>
    </row>
    <row r="5649" spans="1:6" x14ac:dyDescent="0.2">
      <c r="A5649">
        <v>2015</v>
      </c>
      <c r="B5649" s="13">
        <v>2520</v>
      </c>
      <c r="C5649" s="90" t="str">
        <f>VLOOKUP(B5649,'All Districts'!$A$3:$B$874,2,FALSE)</f>
        <v>Saugerties</v>
      </c>
      <c r="D5649" s="14">
        <v>3876961</v>
      </c>
      <c r="E5649">
        <f>VLOOKUP(C5649,'All Districts'!$B$3:$C$874,2,FALSE)</f>
        <v>3625800</v>
      </c>
      <c r="F5649" s="91">
        <f>COUNTIF($E$2:$E$7106,E5649)</f>
        <v>9</v>
      </c>
    </row>
    <row r="5650" spans="1:6" x14ac:dyDescent="0.2">
      <c r="A5650">
        <v>2016</v>
      </c>
      <c r="B5650" s="13">
        <v>2520</v>
      </c>
      <c r="C5650" s="90" t="str">
        <f>VLOOKUP(B5650,'All Districts'!$A$3:$B$874,2,FALSE)</f>
        <v>Saugerties</v>
      </c>
      <c r="D5650" s="16">
        <v>2988578</v>
      </c>
      <c r="E5650">
        <f>VLOOKUP(C5650,'All Districts'!$B$3:$C$874,2,FALSE)</f>
        <v>3625800</v>
      </c>
      <c r="F5650" s="91">
        <f>COUNTIF($E$2:$E$7106,E5650)</f>
        <v>9</v>
      </c>
    </row>
    <row r="5651" spans="1:6" x14ac:dyDescent="0.2">
      <c r="A5651">
        <v>2017</v>
      </c>
      <c r="B5651" s="13">
        <v>2520</v>
      </c>
      <c r="C5651" s="90" t="str">
        <f>VLOOKUP(B5651,'All Districts'!$A$3:$B$874,2,FALSE)</f>
        <v>Saugerties</v>
      </c>
      <c r="D5651" s="16">
        <v>2737653</v>
      </c>
      <c r="E5651">
        <f>VLOOKUP(C5651,'All Districts'!$B$3:$C$874,2,FALSE)</f>
        <v>3625800</v>
      </c>
      <c r="F5651" s="91">
        <f>COUNTIF($E$2:$E$7106,E5651)</f>
        <v>9</v>
      </c>
    </row>
    <row r="5652" spans="1:6" x14ac:dyDescent="0.2">
      <c r="A5652" s="10">
        <v>2018</v>
      </c>
      <c r="B5652" s="13">
        <v>2520</v>
      </c>
      <c r="C5652" s="90" t="str">
        <f>VLOOKUP(B5652,'All Districts'!$A$3:$B$874,2,FALSE)</f>
        <v>Saugerties</v>
      </c>
      <c r="D5652" s="15">
        <v>2338414</v>
      </c>
      <c r="E5652">
        <f>VLOOKUP(C5652,'All Districts'!$B$3:$C$874,2,FALSE)</f>
        <v>3625800</v>
      </c>
      <c r="F5652" s="91">
        <f>COUNTIF($E$2:$E$7106,E5652)</f>
        <v>9</v>
      </c>
    </row>
    <row r="5653" spans="1:6" x14ac:dyDescent="0.2">
      <c r="A5653">
        <v>2019</v>
      </c>
      <c r="B5653" s="36">
        <v>2520</v>
      </c>
      <c r="C5653" s="90" t="str">
        <f>VLOOKUP(B5653,'All Districts'!$A$3:$B$874,2,FALSE)</f>
        <v>Saugerties</v>
      </c>
      <c r="D5653" s="40">
        <v>2583639</v>
      </c>
      <c r="E5653">
        <f>VLOOKUP(C5653,'All Districts'!$B$3:$C$874,2,FALSE)</f>
        <v>3625800</v>
      </c>
      <c r="F5653" s="91">
        <f>COUNTIF($E$2:$E$7106,E5653)</f>
        <v>9</v>
      </c>
    </row>
    <row r="5654" spans="1:6" x14ac:dyDescent="0.2">
      <c r="A5654">
        <v>2020</v>
      </c>
      <c r="B5654" s="36">
        <v>2520</v>
      </c>
      <c r="C5654" s="90" t="str">
        <f>VLOOKUP(B5654,'All Districts'!$A$3:$B$874,2,FALSE)</f>
        <v>Saugerties</v>
      </c>
      <c r="D5654" s="40">
        <v>2183139</v>
      </c>
      <c r="E5654">
        <f>VLOOKUP(C5654,'All Districts'!$B$3:$C$874,2,FALSE)</f>
        <v>3625800</v>
      </c>
      <c r="F5654" s="91">
        <f>COUNTIF($E$2:$E$7106,E5654)</f>
        <v>9</v>
      </c>
    </row>
    <row r="5655" spans="1:6" x14ac:dyDescent="0.2">
      <c r="A5655" s="10">
        <v>2021</v>
      </c>
      <c r="B5655" s="55">
        <v>2520</v>
      </c>
      <c r="C5655" s="90" t="str">
        <f>VLOOKUP(B5655,'All Districts'!$A$3:$B$874,2,FALSE)</f>
        <v>Saugerties</v>
      </c>
      <c r="D5655" s="80">
        <v>2334489</v>
      </c>
      <c r="E5655">
        <f>VLOOKUP(C5655,'All Districts'!$B$3:$C$874,2,FALSE)</f>
        <v>3625800</v>
      </c>
      <c r="F5655" s="91">
        <f>COUNTIF($E$2:$E$7106,E5655)</f>
        <v>9</v>
      </c>
    </row>
    <row r="5656" spans="1:6" x14ac:dyDescent="0.2">
      <c r="A5656">
        <v>2022</v>
      </c>
      <c r="B5656" s="36">
        <v>2520</v>
      </c>
      <c r="C5656" s="90" t="str">
        <f>VLOOKUP(B5656,'All Districts'!$A$3:$B$874,2,FALSE)</f>
        <v>Saugerties</v>
      </c>
      <c r="D5656" s="82">
        <v>2605225</v>
      </c>
      <c r="E5656">
        <f>VLOOKUP(C5656,'All Districts'!$B$3:$C$874,2,FALSE)</f>
        <v>3625800</v>
      </c>
      <c r="F5656" s="91">
        <f>COUNTIF($E$2:$E$7106,E5656)</f>
        <v>9</v>
      </c>
    </row>
    <row r="5657" spans="1:6" x14ac:dyDescent="0.2">
      <c r="A5657">
        <v>2023</v>
      </c>
      <c r="B5657" s="36">
        <v>2520</v>
      </c>
      <c r="C5657" s="90" t="str">
        <f>VLOOKUP(B5657,'All Districts'!$A$3:$B$874,2,FALSE)</f>
        <v>Saugerties</v>
      </c>
      <c r="D5657" s="40">
        <v>2737833</v>
      </c>
      <c r="E5657">
        <f>VLOOKUP(C5657,'All Districts'!$B$3:$C$874,2,FALSE)</f>
        <v>3625800</v>
      </c>
      <c r="F5657" s="91">
        <f>COUNTIF($E$2:$E$7106,E5657)</f>
        <v>9</v>
      </c>
    </row>
    <row r="5658" spans="1:6" x14ac:dyDescent="0.2">
      <c r="A5658">
        <v>2015</v>
      </c>
      <c r="B5658" s="13">
        <v>4437</v>
      </c>
      <c r="C5658" s="90" t="str">
        <f>VLOOKUP(B5658,'All Districts'!$A$3:$B$874,2,FALSE)</f>
        <v>Sauquoit Valley</v>
      </c>
      <c r="D5658" s="14">
        <v>1062945</v>
      </c>
      <c r="E5658">
        <f>VLOOKUP(C5658,'All Districts'!$B$3:$C$874,2,FALSE)</f>
        <v>3600002</v>
      </c>
      <c r="F5658" s="91">
        <f>COUNTIF($E$2:$E$7106,E5658)</f>
        <v>9</v>
      </c>
    </row>
    <row r="5659" spans="1:6" x14ac:dyDescent="0.2">
      <c r="A5659">
        <v>2016</v>
      </c>
      <c r="B5659" s="13">
        <v>4437</v>
      </c>
      <c r="C5659" s="90" t="str">
        <f>VLOOKUP(B5659,'All Districts'!$A$3:$B$874,2,FALSE)</f>
        <v>Sauquoit Valley</v>
      </c>
      <c r="D5659" s="16">
        <v>824936</v>
      </c>
      <c r="E5659">
        <f>VLOOKUP(C5659,'All Districts'!$B$3:$C$874,2,FALSE)</f>
        <v>3600002</v>
      </c>
      <c r="F5659" s="91">
        <f>COUNTIF($E$2:$E$7106,E5659)</f>
        <v>9</v>
      </c>
    </row>
    <row r="5660" spans="1:6" x14ac:dyDescent="0.2">
      <c r="A5660">
        <v>2017</v>
      </c>
      <c r="B5660" s="13">
        <v>4437</v>
      </c>
      <c r="C5660" s="90" t="str">
        <f>VLOOKUP(B5660,'All Districts'!$A$3:$B$874,2,FALSE)</f>
        <v>Sauquoit Valley</v>
      </c>
      <c r="D5660" s="16">
        <v>743633</v>
      </c>
      <c r="E5660">
        <f>VLOOKUP(C5660,'All Districts'!$B$3:$C$874,2,FALSE)</f>
        <v>3600002</v>
      </c>
      <c r="F5660" s="91">
        <f>COUNTIF($E$2:$E$7106,E5660)</f>
        <v>9</v>
      </c>
    </row>
    <row r="5661" spans="1:6" x14ac:dyDescent="0.2">
      <c r="A5661" s="10">
        <v>2018</v>
      </c>
      <c r="B5661" s="13">
        <v>4437</v>
      </c>
      <c r="C5661" s="90" t="str">
        <f>VLOOKUP(B5661,'All Districts'!$A$3:$B$874,2,FALSE)</f>
        <v>Sauquoit Valley</v>
      </c>
      <c r="D5661" s="15">
        <v>637473</v>
      </c>
      <c r="E5661">
        <f>VLOOKUP(C5661,'All Districts'!$B$3:$C$874,2,FALSE)</f>
        <v>3600002</v>
      </c>
      <c r="F5661" s="91">
        <f>COUNTIF($E$2:$E$7106,E5661)</f>
        <v>9</v>
      </c>
    </row>
    <row r="5662" spans="1:6" x14ac:dyDescent="0.2">
      <c r="A5662">
        <v>2019</v>
      </c>
      <c r="B5662" s="36">
        <v>4437</v>
      </c>
      <c r="C5662" s="90" t="str">
        <f>VLOOKUP(B5662,'All Districts'!$A$3:$B$874,2,FALSE)</f>
        <v>Sauquoit Valley</v>
      </c>
      <c r="D5662" s="40">
        <v>701495</v>
      </c>
      <c r="E5662">
        <f>VLOOKUP(C5662,'All Districts'!$B$3:$C$874,2,FALSE)</f>
        <v>3600002</v>
      </c>
      <c r="F5662" s="91">
        <f>COUNTIF($E$2:$E$7106,E5662)</f>
        <v>9</v>
      </c>
    </row>
    <row r="5663" spans="1:6" x14ac:dyDescent="0.2">
      <c r="A5663">
        <v>2020</v>
      </c>
      <c r="B5663" s="36">
        <v>4437</v>
      </c>
      <c r="C5663" s="90" t="str">
        <f>VLOOKUP(B5663,'All Districts'!$A$3:$B$874,2,FALSE)</f>
        <v>Sauquoit Valley</v>
      </c>
      <c r="D5663" s="40">
        <v>580970</v>
      </c>
      <c r="E5663">
        <f>VLOOKUP(C5663,'All Districts'!$B$3:$C$874,2,FALSE)</f>
        <v>3600002</v>
      </c>
      <c r="F5663" s="91">
        <f>COUNTIF($E$2:$E$7106,E5663)</f>
        <v>9</v>
      </c>
    </row>
    <row r="5664" spans="1:6" x14ac:dyDescent="0.2">
      <c r="A5664" s="10">
        <v>2021</v>
      </c>
      <c r="B5664" s="52">
        <v>4437</v>
      </c>
      <c r="C5664" s="90" t="str">
        <f>VLOOKUP(B5664,'All Districts'!$A$3:$B$874,2,FALSE)</f>
        <v>Sauquoit Valley</v>
      </c>
      <c r="D5664" s="76">
        <v>635320</v>
      </c>
      <c r="E5664">
        <f>VLOOKUP(C5664,'All Districts'!$B$3:$C$874,2,FALSE)</f>
        <v>3600002</v>
      </c>
      <c r="F5664" s="91">
        <f>COUNTIF($E$2:$E$7106,E5664)</f>
        <v>9</v>
      </c>
    </row>
    <row r="5665" spans="1:6" x14ac:dyDescent="0.2">
      <c r="A5665">
        <v>2022</v>
      </c>
      <c r="B5665" s="36">
        <v>4437</v>
      </c>
      <c r="C5665" s="90" t="str">
        <f>VLOOKUP(B5665,'All Districts'!$A$3:$B$874,2,FALSE)</f>
        <v>Sauquoit Valley</v>
      </c>
      <c r="D5665" s="82">
        <v>692592</v>
      </c>
      <c r="E5665">
        <f>VLOOKUP(C5665,'All Districts'!$B$3:$C$874,2,FALSE)</f>
        <v>3600002</v>
      </c>
      <c r="F5665" s="91">
        <f>COUNTIF($E$2:$E$7106,E5665)</f>
        <v>9</v>
      </c>
    </row>
    <row r="5666" spans="1:6" x14ac:dyDescent="0.2">
      <c r="A5666">
        <v>2023</v>
      </c>
      <c r="B5666" s="36">
        <v>4437</v>
      </c>
      <c r="C5666" s="90" t="str">
        <f>VLOOKUP(B5666,'All Districts'!$A$3:$B$874,2,FALSE)</f>
        <v>Sauquoit Valley</v>
      </c>
      <c r="D5666" s="40">
        <v>757699</v>
      </c>
      <c r="E5666">
        <f>VLOOKUP(C5666,'All Districts'!$B$3:$C$874,2,FALSE)</f>
        <v>3600002</v>
      </c>
      <c r="F5666" s="91">
        <f>COUNTIF($E$2:$E$7106,E5666)</f>
        <v>9</v>
      </c>
    </row>
    <row r="5667" spans="1:6" x14ac:dyDescent="0.2">
      <c r="A5667">
        <v>2015</v>
      </c>
      <c r="B5667" s="13">
        <v>2525</v>
      </c>
      <c r="C5667" s="90" t="str">
        <f>VLOOKUP(B5667,'All Districts'!$A$3:$B$874,2,FALSE)</f>
        <v>Sayville</v>
      </c>
      <c r="D5667" s="14">
        <v>5542546</v>
      </c>
      <c r="E5667">
        <f>VLOOKUP(C5667,'All Districts'!$B$3:$C$874,2,FALSE)</f>
        <v>3625920</v>
      </c>
      <c r="F5667" s="91">
        <f>COUNTIF($E$2:$E$7106,E5667)</f>
        <v>9</v>
      </c>
    </row>
    <row r="5668" spans="1:6" x14ac:dyDescent="0.2">
      <c r="A5668">
        <v>2016</v>
      </c>
      <c r="B5668" s="13">
        <v>2525</v>
      </c>
      <c r="C5668" s="90" t="str">
        <f>VLOOKUP(B5668,'All Districts'!$A$3:$B$874,2,FALSE)</f>
        <v>Sayville</v>
      </c>
      <c r="D5668" s="16">
        <v>4332578</v>
      </c>
      <c r="E5668">
        <f>VLOOKUP(C5668,'All Districts'!$B$3:$C$874,2,FALSE)</f>
        <v>3625920</v>
      </c>
      <c r="F5668" s="91">
        <f>COUNTIF($E$2:$E$7106,E5668)</f>
        <v>9</v>
      </c>
    </row>
    <row r="5669" spans="1:6" x14ac:dyDescent="0.2">
      <c r="A5669">
        <v>2017</v>
      </c>
      <c r="B5669" s="13">
        <v>2525</v>
      </c>
      <c r="C5669" s="90" t="str">
        <f>VLOOKUP(B5669,'All Districts'!$A$3:$B$874,2,FALSE)</f>
        <v>Sayville</v>
      </c>
      <c r="D5669" s="16">
        <v>3892553</v>
      </c>
      <c r="E5669">
        <f>VLOOKUP(C5669,'All Districts'!$B$3:$C$874,2,FALSE)</f>
        <v>3625920</v>
      </c>
      <c r="F5669" s="91">
        <f>COUNTIF($E$2:$E$7106,E5669)</f>
        <v>9</v>
      </c>
    </row>
    <row r="5670" spans="1:6" x14ac:dyDescent="0.2">
      <c r="A5670" s="10">
        <v>2018</v>
      </c>
      <c r="B5670" s="13">
        <v>2525</v>
      </c>
      <c r="C5670" s="90" t="str">
        <f>VLOOKUP(B5670,'All Districts'!$A$3:$B$874,2,FALSE)</f>
        <v>Sayville</v>
      </c>
      <c r="D5670" s="15">
        <v>3320920</v>
      </c>
      <c r="E5670">
        <f>VLOOKUP(C5670,'All Districts'!$B$3:$C$874,2,FALSE)</f>
        <v>3625920</v>
      </c>
      <c r="F5670" s="91">
        <f>COUNTIF($E$2:$E$7106,E5670)</f>
        <v>9</v>
      </c>
    </row>
    <row r="5671" spans="1:6" x14ac:dyDescent="0.2">
      <c r="A5671">
        <v>2019</v>
      </c>
      <c r="B5671" s="36">
        <v>2525</v>
      </c>
      <c r="C5671" s="90" t="str">
        <f>VLOOKUP(B5671,'All Districts'!$A$3:$B$874,2,FALSE)</f>
        <v>Sayville</v>
      </c>
      <c r="D5671" s="40">
        <v>3729262</v>
      </c>
      <c r="E5671">
        <f>VLOOKUP(C5671,'All Districts'!$B$3:$C$874,2,FALSE)</f>
        <v>3625920</v>
      </c>
      <c r="F5671" s="91">
        <f>COUNTIF($E$2:$E$7106,E5671)</f>
        <v>9</v>
      </c>
    </row>
    <row r="5672" spans="1:6" x14ac:dyDescent="0.2">
      <c r="A5672">
        <v>2020</v>
      </c>
      <c r="B5672" s="36">
        <v>2525</v>
      </c>
      <c r="C5672" s="90" t="str">
        <f>VLOOKUP(B5672,'All Districts'!$A$3:$B$874,2,FALSE)</f>
        <v>Sayville</v>
      </c>
      <c r="D5672" s="40">
        <v>3134585</v>
      </c>
      <c r="E5672">
        <f>VLOOKUP(C5672,'All Districts'!$B$3:$C$874,2,FALSE)</f>
        <v>3625920</v>
      </c>
      <c r="F5672" s="91">
        <f>COUNTIF($E$2:$E$7106,E5672)</f>
        <v>9</v>
      </c>
    </row>
    <row r="5673" spans="1:6" x14ac:dyDescent="0.2">
      <c r="A5673" s="10">
        <v>2021</v>
      </c>
      <c r="B5673" s="52">
        <v>2525</v>
      </c>
      <c r="C5673" s="90" t="str">
        <f>VLOOKUP(B5673,'All Districts'!$A$3:$B$874,2,FALSE)</f>
        <v>Sayville</v>
      </c>
      <c r="D5673" s="76">
        <v>3444538</v>
      </c>
      <c r="E5673">
        <f>VLOOKUP(C5673,'All Districts'!$B$3:$C$874,2,FALSE)</f>
        <v>3625920</v>
      </c>
      <c r="F5673" s="91">
        <f>COUNTIF($E$2:$E$7106,E5673)</f>
        <v>9</v>
      </c>
    </row>
    <row r="5674" spans="1:6" x14ac:dyDescent="0.2">
      <c r="A5674">
        <v>2022</v>
      </c>
      <c r="B5674" s="36">
        <v>2525</v>
      </c>
      <c r="C5674" s="90" t="str">
        <f>VLOOKUP(B5674,'All Districts'!$A$3:$B$874,2,FALSE)</f>
        <v>Sayville</v>
      </c>
      <c r="D5674" s="82">
        <v>3689486</v>
      </c>
      <c r="E5674">
        <f>VLOOKUP(C5674,'All Districts'!$B$3:$C$874,2,FALSE)</f>
        <v>3625920</v>
      </c>
      <c r="F5674" s="91">
        <f>COUNTIF($E$2:$E$7106,E5674)</f>
        <v>9</v>
      </c>
    </row>
    <row r="5675" spans="1:6" x14ac:dyDescent="0.2">
      <c r="A5675">
        <v>2023</v>
      </c>
      <c r="B5675" s="36">
        <v>2525</v>
      </c>
      <c r="C5675" s="90" t="str">
        <f>VLOOKUP(B5675,'All Districts'!$A$3:$B$874,2,FALSE)</f>
        <v>Sayville</v>
      </c>
      <c r="D5675" s="40">
        <v>3943183</v>
      </c>
      <c r="E5675">
        <f>VLOOKUP(C5675,'All Districts'!$B$3:$C$874,2,FALSE)</f>
        <v>3625920</v>
      </c>
      <c r="F5675" s="91">
        <f>COUNTIF($E$2:$E$7106,E5675)</f>
        <v>9</v>
      </c>
    </row>
    <row r="5676" spans="1:6" x14ac:dyDescent="0.2">
      <c r="A5676">
        <v>2015</v>
      </c>
      <c r="B5676" s="13">
        <v>2530</v>
      </c>
      <c r="C5676" s="90" t="str">
        <f>VLOOKUP(B5676,'All Districts'!$A$3:$B$874,2,FALSE)</f>
        <v>Scarsdale</v>
      </c>
      <c r="D5676" s="14">
        <v>10762729</v>
      </c>
      <c r="E5676">
        <f>VLOOKUP(C5676,'All Districts'!$B$3:$C$874,2,FALSE)</f>
        <v>3625950</v>
      </c>
      <c r="F5676" s="91">
        <f>COUNTIF($E$2:$E$7106,E5676)</f>
        <v>9</v>
      </c>
    </row>
    <row r="5677" spans="1:6" x14ac:dyDescent="0.2">
      <c r="A5677">
        <v>2016</v>
      </c>
      <c r="B5677" s="13">
        <v>2530</v>
      </c>
      <c r="C5677" s="90" t="str">
        <f>VLOOKUP(B5677,'All Districts'!$A$3:$B$874,2,FALSE)</f>
        <v>Scarsdale</v>
      </c>
      <c r="D5677" s="16">
        <v>8314459</v>
      </c>
      <c r="E5677">
        <f>VLOOKUP(C5677,'All Districts'!$B$3:$C$874,2,FALSE)</f>
        <v>3625950</v>
      </c>
      <c r="F5677" s="91">
        <f>COUNTIF($E$2:$E$7106,E5677)</f>
        <v>9</v>
      </c>
    </row>
    <row r="5678" spans="1:6" x14ac:dyDescent="0.2">
      <c r="A5678">
        <v>2017</v>
      </c>
      <c r="B5678" s="13">
        <v>2530</v>
      </c>
      <c r="C5678" s="90" t="str">
        <f>VLOOKUP(B5678,'All Districts'!$A$3:$B$874,2,FALSE)</f>
        <v>Scarsdale</v>
      </c>
      <c r="D5678" s="16">
        <v>7501249</v>
      </c>
      <c r="E5678">
        <f>VLOOKUP(C5678,'All Districts'!$B$3:$C$874,2,FALSE)</f>
        <v>3625950</v>
      </c>
      <c r="F5678" s="91">
        <f>COUNTIF($E$2:$E$7106,E5678)</f>
        <v>9</v>
      </c>
    </row>
    <row r="5679" spans="1:6" x14ac:dyDescent="0.2">
      <c r="A5679" s="10">
        <v>2018</v>
      </c>
      <c r="B5679" s="13">
        <v>2530</v>
      </c>
      <c r="C5679" s="90" t="str">
        <f>VLOOKUP(B5679,'All Districts'!$A$3:$B$874,2,FALSE)</f>
        <v>Scarsdale</v>
      </c>
      <c r="D5679" s="15">
        <v>6480749</v>
      </c>
      <c r="E5679">
        <f>VLOOKUP(C5679,'All Districts'!$B$3:$C$874,2,FALSE)</f>
        <v>3625950</v>
      </c>
      <c r="F5679" s="91">
        <f>COUNTIF($E$2:$E$7106,E5679)</f>
        <v>9</v>
      </c>
    </row>
    <row r="5680" spans="1:6" x14ac:dyDescent="0.2">
      <c r="A5680">
        <v>2019</v>
      </c>
      <c r="B5680" s="36">
        <v>2530</v>
      </c>
      <c r="C5680" s="90" t="str">
        <f>VLOOKUP(B5680,'All Districts'!$A$3:$B$874,2,FALSE)</f>
        <v>Scarsdale</v>
      </c>
      <c r="D5680" s="40">
        <v>7110677</v>
      </c>
      <c r="E5680">
        <f>VLOOKUP(C5680,'All Districts'!$B$3:$C$874,2,FALSE)</f>
        <v>3625950</v>
      </c>
      <c r="F5680" s="91">
        <f>COUNTIF($E$2:$E$7106,E5680)</f>
        <v>9</v>
      </c>
    </row>
    <row r="5681" spans="1:6" x14ac:dyDescent="0.2">
      <c r="A5681">
        <v>2020</v>
      </c>
      <c r="B5681" s="36">
        <v>2530</v>
      </c>
      <c r="C5681" s="90" t="str">
        <f>VLOOKUP(B5681,'All Districts'!$A$3:$B$874,2,FALSE)</f>
        <v>Scarsdale</v>
      </c>
      <c r="D5681" s="40">
        <v>6079523</v>
      </c>
      <c r="E5681">
        <f>VLOOKUP(C5681,'All Districts'!$B$3:$C$874,2,FALSE)</f>
        <v>3625950</v>
      </c>
      <c r="F5681" s="91">
        <f>COUNTIF($E$2:$E$7106,E5681)</f>
        <v>9</v>
      </c>
    </row>
    <row r="5682" spans="1:6" x14ac:dyDescent="0.2">
      <c r="A5682" s="10">
        <v>2021</v>
      </c>
      <c r="B5682" s="52">
        <v>2530</v>
      </c>
      <c r="C5682" s="90" t="str">
        <f>VLOOKUP(B5682,'All Districts'!$A$3:$B$874,2,FALSE)</f>
        <v>Scarsdale</v>
      </c>
      <c r="D5682" s="76">
        <v>6801674</v>
      </c>
      <c r="E5682">
        <f>VLOOKUP(C5682,'All Districts'!$B$3:$C$874,2,FALSE)</f>
        <v>3625950</v>
      </c>
      <c r="F5682" s="91">
        <f>COUNTIF($E$2:$E$7106,E5682)</f>
        <v>9</v>
      </c>
    </row>
    <row r="5683" spans="1:6" x14ac:dyDescent="0.2">
      <c r="A5683">
        <v>2022</v>
      </c>
      <c r="B5683" s="36">
        <v>2530</v>
      </c>
      <c r="C5683" s="90" t="str">
        <f>VLOOKUP(B5683,'All Districts'!$A$3:$B$874,2,FALSE)</f>
        <v>Scarsdale</v>
      </c>
      <c r="D5683" s="82">
        <v>7225228</v>
      </c>
      <c r="E5683">
        <f>VLOOKUP(C5683,'All Districts'!$B$3:$C$874,2,FALSE)</f>
        <v>3625950</v>
      </c>
      <c r="F5683" s="91">
        <f>COUNTIF($E$2:$E$7106,E5683)</f>
        <v>9</v>
      </c>
    </row>
    <row r="5684" spans="1:6" x14ac:dyDescent="0.2">
      <c r="A5684">
        <v>2023</v>
      </c>
      <c r="B5684" s="36">
        <v>2530</v>
      </c>
      <c r="C5684" s="90" t="str">
        <f>VLOOKUP(B5684,'All Districts'!$A$3:$B$874,2,FALSE)</f>
        <v>Scarsdale</v>
      </c>
      <c r="D5684" s="40">
        <v>7959384</v>
      </c>
      <c r="E5684">
        <f>VLOOKUP(C5684,'All Districts'!$B$3:$C$874,2,FALSE)</f>
        <v>3625950</v>
      </c>
      <c r="F5684" s="91">
        <f>COUNTIF($E$2:$E$7106,E5684)</f>
        <v>9</v>
      </c>
    </row>
    <row r="5685" spans="1:6" x14ac:dyDescent="0.2">
      <c r="A5685">
        <v>2015</v>
      </c>
      <c r="B5685" s="13">
        <v>2533</v>
      </c>
      <c r="C5685" s="90" t="str">
        <f>VLOOKUP(B5685,'All Districts'!$A$3:$B$874,2,FALSE)</f>
        <v>Schalmont</v>
      </c>
      <c r="D5685" s="14">
        <v>2583771</v>
      </c>
      <c r="E5685">
        <f>VLOOKUP(C5685,'All Districts'!$B$3:$C$874,2,FALSE)</f>
        <v>3625980</v>
      </c>
      <c r="F5685" s="91">
        <f>COUNTIF($E$2:$E$7106,E5685)</f>
        <v>9</v>
      </c>
    </row>
    <row r="5686" spans="1:6" x14ac:dyDescent="0.2">
      <c r="A5686">
        <v>2016</v>
      </c>
      <c r="B5686" s="13">
        <v>2533</v>
      </c>
      <c r="C5686" s="90" t="str">
        <f>VLOOKUP(B5686,'All Districts'!$A$3:$B$874,2,FALSE)</f>
        <v>Schalmont</v>
      </c>
      <c r="D5686" s="16">
        <v>2068478</v>
      </c>
      <c r="E5686">
        <f>VLOOKUP(C5686,'All Districts'!$B$3:$C$874,2,FALSE)</f>
        <v>3625980</v>
      </c>
      <c r="F5686" s="91">
        <f>COUNTIF($E$2:$E$7106,E5686)</f>
        <v>9</v>
      </c>
    </row>
    <row r="5687" spans="1:6" x14ac:dyDescent="0.2">
      <c r="A5687">
        <v>2017</v>
      </c>
      <c r="B5687" s="13">
        <v>2533</v>
      </c>
      <c r="C5687" s="90" t="str">
        <f>VLOOKUP(B5687,'All Districts'!$A$3:$B$874,2,FALSE)</f>
        <v>Schalmont</v>
      </c>
      <c r="D5687" s="16">
        <v>1821084</v>
      </c>
      <c r="E5687">
        <f>VLOOKUP(C5687,'All Districts'!$B$3:$C$874,2,FALSE)</f>
        <v>3625980</v>
      </c>
      <c r="F5687" s="91">
        <f>COUNTIF($E$2:$E$7106,E5687)</f>
        <v>9</v>
      </c>
    </row>
    <row r="5688" spans="1:6" x14ac:dyDescent="0.2">
      <c r="A5688" s="10">
        <v>2018</v>
      </c>
      <c r="B5688" s="13">
        <v>2533</v>
      </c>
      <c r="C5688" s="90" t="str">
        <f>VLOOKUP(B5688,'All Districts'!$A$3:$B$874,2,FALSE)</f>
        <v>Schalmont</v>
      </c>
      <c r="D5688" s="15">
        <v>1541005</v>
      </c>
      <c r="E5688">
        <f>VLOOKUP(C5688,'All Districts'!$B$3:$C$874,2,FALSE)</f>
        <v>3625980</v>
      </c>
      <c r="F5688" s="91">
        <f>COUNTIF($E$2:$E$7106,E5688)</f>
        <v>9</v>
      </c>
    </row>
    <row r="5689" spans="1:6" x14ac:dyDescent="0.2">
      <c r="A5689">
        <v>2019</v>
      </c>
      <c r="B5689" s="36">
        <v>2533</v>
      </c>
      <c r="C5689" s="90" t="str">
        <f>VLOOKUP(B5689,'All Districts'!$A$3:$B$874,2,FALSE)</f>
        <v>Schalmont</v>
      </c>
      <c r="D5689" s="40">
        <v>1738379</v>
      </c>
      <c r="E5689">
        <f>VLOOKUP(C5689,'All Districts'!$B$3:$C$874,2,FALSE)</f>
        <v>3625980</v>
      </c>
      <c r="F5689" s="91">
        <f>COUNTIF($E$2:$E$7106,E5689)</f>
        <v>9</v>
      </c>
    </row>
    <row r="5690" spans="1:6" x14ac:dyDescent="0.2">
      <c r="A5690">
        <v>2020</v>
      </c>
      <c r="B5690" s="36">
        <v>2533</v>
      </c>
      <c r="C5690" s="90" t="str">
        <f>VLOOKUP(B5690,'All Districts'!$A$3:$B$874,2,FALSE)</f>
        <v>Schalmont</v>
      </c>
      <c r="D5690" s="40">
        <v>1491235</v>
      </c>
      <c r="E5690">
        <f>VLOOKUP(C5690,'All Districts'!$B$3:$C$874,2,FALSE)</f>
        <v>3625980</v>
      </c>
      <c r="F5690" s="91">
        <f>COUNTIF($E$2:$E$7106,E5690)</f>
        <v>9</v>
      </c>
    </row>
    <row r="5691" spans="1:6" x14ac:dyDescent="0.2">
      <c r="A5691" s="10">
        <v>2021</v>
      </c>
      <c r="B5691" s="52">
        <v>2533</v>
      </c>
      <c r="C5691" s="90" t="str">
        <f>VLOOKUP(B5691,'All Districts'!$A$3:$B$874,2,FALSE)</f>
        <v>Schalmont</v>
      </c>
      <c r="D5691" s="76">
        <v>1632543</v>
      </c>
      <c r="E5691">
        <f>VLOOKUP(C5691,'All Districts'!$B$3:$C$874,2,FALSE)</f>
        <v>3625980</v>
      </c>
      <c r="F5691" s="91">
        <f>COUNTIF($E$2:$E$7106,E5691)</f>
        <v>9</v>
      </c>
    </row>
    <row r="5692" spans="1:6" x14ac:dyDescent="0.2">
      <c r="A5692">
        <v>2022</v>
      </c>
      <c r="B5692" s="36">
        <v>2533</v>
      </c>
      <c r="C5692" s="90" t="str">
        <f>VLOOKUP(B5692,'All Districts'!$A$3:$B$874,2,FALSE)</f>
        <v>Schalmont</v>
      </c>
      <c r="D5692" s="82">
        <v>1606062</v>
      </c>
      <c r="E5692">
        <f>VLOOKUP(C5692,'All Districts'!$B$3:$C$874,2,FALSE)</f>
        <v>3625980</v>
      </c>
      <c r="F5692" s="91">
        <f>COUNTIF($E$2:$E$7106,E5692)</f>
        <v>9</v>
      </c>
    </row>
    <row r="5693" spans="1:6" x14ac:dyDescent="0.2">
      <c r="A5693">
        <v>2023</v>
      </c>
      <c r="B5693" s="36">
        <v>2533</v>
      </c>
      <c r="C5693" s="90" t="str">
        <f>VLOOKUP(B5693,'All Districts'!$A$3:$B$874,2,FALSE)</f>
        <v>Schalmont</v>
      </c>
      <c r="D5693" s="40">
        <v>1715462</v>
      </c>
      <c r="E5693">
        <f>VLOOKUP(C5693,'All Districts'!$B$3:$C$874,2,FALSE)</f>
        <v>3625980</v>
      </c>
      <c r="F5693" s="91">
        <f>COUNTIF($E$2:$E$7106,E5693)</f>
        <v>9</v>
      </c>
    </row>
    <row r="5694" spans="1:6" x14ac:dyDescent="0.2">
      <c r="A5694">
        <v>2015</v>
      </c>
      <c r="B5694" s="13">
        <v>1260</v>
      </c>
      <c r="C5694" s="90" t="str">
        <f>VLOOKUP(B5694,'All Districts'!$A$3:$B$874,2,FALSE)</f>
        <v>Schenectady</v>
      </c>
      <c r="D5694" s="14">
        <v>11618088</v>
      </c>
      <c r="E5694">
        <f>VLOOKUP(C5694,'All Districts'!$B$3:$C$874,2,FALSE)</f>
        <v>3626010</v>
      </c>
      <c r="F5694" s="91">
        <f>COUNTIF($E$2:$E$7106,E5694)</f>
        <v>9</v>
      </c>
    </row>
    <row r="5695" spans="1:6" x14ac:dyDescent="0.2">
      <c r="A5695">
        <v>2016</v>
      </c>
      <c r="B5695" s="13">
        <v>1260</v>
      </c>
      <c r="C5695" s="90" t="str">
        <f>VLOOKUP(B5695,'All Districts'!$A$3:$B$874,2,FALSE)</f>
        <v>Schenectady</v>
      </c>
      <c r="D5695" s="16">
        <v>8985399</v>
      </c>
      <c r="E5695">
        <f>VLOOKUP(C5695,'All Districts'!$B$3:$C$874,2,FALSE)</f>
        <v>3626010</v>
      </c>
      <c r="F5695" s="91">
        <f>COUNTIF($E$2:$E$7106,E5695)</f>
        <v>9</v>
      </c>
    </row>
    <row r="5696" spans="1:6" x14ac:dyDescent="0.2">
      <c r="A5696">
        <v>2017</v>
      </c>
      <c r="B5696" s="13">
        <v>1260</v>
      </c>
      <c r="C5696" s="90" t="str">
        <f>VLOOKUP(B5696,'All Districts'!$A$3:$B$874,2,FALSE)</f>
        <v>Schenectady</v>
      </c>
      <c r="D5696" s="16">
        <v>8472044</v>
      </c>
      <c r="E5696">
        <f>VLOOKUP(C5696,'All Districts'!$B$3:$C$874,2,FALSE)</f>
        <v>3626010</v>
      </c>
      <c r="F5696" s="91">
        <f>COUNTIF($E$2:$E$7106,E5696)</f>
        <v>9</v>
      </c>
    </row>
    <row r="5697" spans="1:6" x14ac:dyDescent="0.2">
      <c r="A5697" s="10">
        <v>2018</v>
      </c>
      <c r="B5697" s="13">
        <v>1260</v>
      </c>
      <c r="C5697" s="90" t="str">
        <f>VLOOKUP(B5697,'All Districts'!$A$3:$B$874,2,FALSE)</f>
        <v>Schenectady</v>
      </c>
      <c r="D5697" s="15">
        <v>7439635</v>
      </c>
      <c r="E5697">
        <f>VLOOKUP(C5697,'All Districts'!$B$3:$C$874,2,FALSE)</f>
        <v>3626010</v>
      </c>
      <c r="F5697" s="91">
        <f>COUNTIF($E$2:$E$7106,E5697)</f>
        <v>9</v>
      </c>
    </row>
    <row r="5698" spans="1:6" x14ac:dyDescent="0.2">
      <c r="A5698">
        <v>2019</v>
      </c>
      <c r="B5698" s="36">
        <v>1260</v>
      </c>
      <c r="C5698" s="90" t="str">
        <f>VLOOKUP(B5698,'All Districts'!$A$3:$B$874,2,FALSE)</f>
        <v>Schenectady</v>
      </c>
      <c r="D5698" s="40">
        <v>8309307</v>
      </c>
      <c r="E5698">
        <f>VLOOKUP(C5698,'All Districts'!$B$3:$C$874,2,FALSE)</f>
        <v>3626010</v>
      </c>
      <c r="F5698" s="91">
        <f>COUNTIF($E$2:$E$7106,E5698)</f>
        <v>9</v>
      </c>
    </row>
    <row r="5699" spans="1:6" x14ac:dyDescent="0.2">
      <c r="A5699">
        <v>2020</v>
      </c>
      <c r="B5699" s="36">
        <v>1260</v>
      </c>
      <c r="C5699" s="90" t="str">
        <f>VLOOKUP(B5699,'All Districts'!$A$3:$B$874,2,FALSE)</f>
        <v>Schenectady</v>
      </c>
      <c r="D5699" s="40">
        <v>7159112</v>
      </c>
      <c r="E5699">
        <f>VLOOKUP(C5699,'All Districts'!$B$3:$C$874,2,FALSE)</f>
        <v>3626010</v>
      </c>
      <c r="F5699" s="91">
        <f>COUNTIF($E$2:$E$7106,E5699)</f>
        <v>9</v>
      </c>
    </row>
    <row r="5700" spans="1:6" x14ac:dyDescent="0.2">
      <c r="A5700" s="10">
        <v>2021</v>
      </c>
      <c r="B5700" s="52">
        <v>1260</v>
      </c>
      <c r="C5700" s="90" t="str">
        <f>VLOOKUP(B5700,'All Districts'!$A$3:$B$874,2,FALSE)</f>
        <v>Schenectady</v>
      </c>
      <c r="D5700" s="76">
        <v>7098051</v>
      </c>
      <c r="E5700">
        <f>VLOOKUP(C5700,'All Districts'!$B$3:$C$874,2,FALSE)</f>
        <v>3626010</v>
      </c>
      <c r="F5700" s="91">
        <f>COUNTIF($E$2:$E$7106,E5700)</f>
        <v>9</v>
      </c>
    </row>
    <row r="5701" spans="1:6" x14ac:dyDescent="0.2">
      <c r="A5701">
        <v>2022</v>
      </c>
      <c r="B5701" s="36">
        <v>1260</v>
      </c>
      <c r="C5701" s="90" t="str">
        <f>VLOOKUP(B5701,'All Districts'!$A$3:$B$874,2,FALSE)</f>
        <v>Schenectady</v>
      </c>
      <c r="D5701" s="82">
        <v>7988851</v>
      </c>
      <c r="E5701">
        <f>VLOOKUP(C5701,'All Districts'!$B$3:$C$874,2,FALSE)</f>
        <v>3626010</v>
      </c>
      <c r="F5701" s="91">
        <f>COUNTIF($E$2:$E$7106,E5701)</f>
        <v>9</v>
      </c>
    </row>
    <row r="5702" spans="1:6" x14ac:dyDescent="0.2">
      <c r="A5702">
        <v>2023</v>
      </c>
      <c r="B5702" s="36">
        <v>1260</v>
      </c>
      <c r="C5702" s="90" t="str">
        <f>VLOOKUP(B5702,'All Districts'!$A$3:$B$874,2,FALSE)</f>
        <v>Schenectady</v>
      </c>
      <c r="D5702" s="40">
        <v>9565285</v>
      </c>
      <c r="E5702">
        <f>VLOOKUP(C5702,'All Districts'!$B$3:$C$874,2,FALSE)</f>
        <v>3626010</v>
      </c>
      <c r="F5702" s="91">
        <f>COUNTIF($E$2:$E$7106,E5702)</f>
        <v>9</v>
      </c>
    </row>
    <row r="5703" spans="1:6" x14ac:dyDescent="0.2">
      <c r="A5703">
        <v>2015</v>
      </c>
      <c r="B5703" s="13">
        <v>3999</v>
      </c>
      <c r="C5703" s="90" t="str">
        <f>VLOOKUP(B5703,'All Districts'!$A$3:$B$874,2,FALSE)</f>
        <v>Schenevus</v>
      </c>
      <c r="D5703" s="14">
        <v>415096</v>
      </c>
      <c r="E5703">
        <f>VLOOKUP(C5703,'All Districts'!$B$3:$C$874,2,FALSE)</f>
        <v>3603060</v>
      </c>
      <c r="F5703" s="91">
        <f>COUNTIF($E$2:$E$7106,E5703)</f>
        <v>9</v>
      </c>
    </row>
    <row r="5704" spans="1:6" x14ac:dyDescent="0.2">
      <c r="A5704">
        <v>2016</v>
      </c>
      <c r="B5704" s="13">
        <v>3999</v>
      </c>
      <c r="C5704" s="90" t="str">
        <f>VLOOKUP(B5704,'All Districts'!$A$3:$B$874,2,FALSE)</f>
        <v>Schenevus</v>
      </c>
      <c r="D5704" s="16">
        <v>340567</v>
      </c>
      <c r="E5704">
        <f>VLOOKUP(C5704,'All Districts'!$B$3:$C$874,2,FALSE)</f>
        <v>3603060</v>
      </c>
      <c r="F5704" s="91">
        <f>COUNTIF($E$2:$E$7106,E5704)</f>
        <v>9</v>
      </c>
    </row>
    <row r="5705" spans="1:6" x14ac:dyDescent="0.2">
      <c r="A5705">
        <v>2017</v>
      </c>
      <c r="B5705" s="13">
        <v>3999</v>
      </c>
      <c r="C5705" s="90" t="str">
        <f>VLOOKUP(B5705,'All Districts'!$A$3:$B$874,2,FALSE)</f>
        <v>Schenevus</v>
      </c>
      <c r="D5705" s="16">
        <v>325164</v>
      </c>
      <c r="E5705">
        <f>VLOOKUP(C5705,'All Districts'!$B$3:$C$874,2,FALSE)</f>
        <v>3603060</v>
      </c>
      <c r="F5705" s="91">
        <f>COUNTIF($E$2:$E$7106,E5705)</f>
        <v>9</v>
      </c>
    </row>
    <row r="5706" spans="1:6" x14ac:dyDescent="0.2">
      <c r="A5706" s="10">
        <v>2018</v>
      </c>
      <c r="B5706" s="13">
        <v>3999</v>
      </c>
      <c r="C5706" s="90" t="str">
        <f>VLOOKUP(B5706,'All Districts'!$A$3:$B$874,2,FALSE)</f>
        <v>Schenevus</v>
      </c>
      <c r="D5706" s="15">
        <v>280521</v>
      </c>
      <c r="E5706">
        <f>VLOOKUP(C5706,'All Districts'!$B$3:$C$874,2,FALSE)</f>
        <v>3603060</v>
      </c>
      <c r="F5706" s="91">
        <f>COUNTIF($E$2:$E$7106,E5706)</f>
        <v>9</v>
      </c>
    </row>
    <row r="5707" spans="1:6" x14ac:dyDescent="0.2">
      <c r="A5707">
        <v>2019</v>
      </c>
      <c r="B5707" s="36">
        <v>3999</v>
      </c>
      <c r="C5707" s="90" t="str">
        <f>VLOOKUP(B5707,'All Districts'!$A$3:$B$874,2,FALSE)</f>
        <v>Schenevus</v>
      </c>
      <c r="D5707" s="40">
        <v>274985</v>
      </c>
      <c r="E5707">
        <f>VLOOKUP(C5707,'All Districts'!$B$3:$C$874,2,FALSE)</f>
        <v>3603060</v>
      </c>
      <c r="F5707" s="91">
        <f>COUNTIF($E$2:$E$7106,E5707)</f>
        <v>9</v>
      </c>
    </row>
    <row r="5708" spans="1:6" x14ac:dyDescent="0.2">
      <c r="A5708">
        <v>2020</v>
      </c>
      <c r="B5708" s="36">
        <v>3999</v>
      </c>
      <c r="C5708" s="90" t="str">
        <f>VLOOKUP(B5708,'All Districts'!$A$3:$B$874,2,FALSE)</f>
        <v>Schenevus</v>
      </c>
      <c r="D5708" s="40">
        <v>200432</v>
      </c>
      <c r="E5708">
        <f>VLOOKUP(C5708,'All Districts'!$B$3:$C$874,2,FALSE)</f>
        <v>3603060</v>
      </c>
      <c r="F5708" s="91">
        <f>COUNTIF($E$2:$E$7106,E5708)</f>
        <v>9</v>
      </c>
    </row>
    <row r="5709" spans="1:6" x14ac:dyDescent="0.2">
      <c r="A5709" s="10">
        <v>2021</v>
      </c>
      <c r="B5709" s="52">
        <v>3999</v>
      </c>
      <c r="C5709" s="90" t="str">
        <f>VLOOKUP(B5709,'All Districts'!$A$3:$B$874,2,FALSE)</f>
        <v>Schenevus</v>
      </c>
      <c r="D5709" s="76">
        <v>196860</v>
      </c>
      <c r="E5709">
        <f>VLOOKUP(C5709,'All Districts'!$B$3:$C$874,2,FALSE)</f>
        <v>3603060</v>
      </c>
      <c r="F5709" s="91">
        <f>COUNTIF($E$2:$E$7106,E5709)</f>
        <v>9</v>
      </c>
    </row>
    <row r="5710" spans="1:6" x14ac:dyDescent="0.2">
      <c r="A5710">
        <v>2022</v>
      </c>
      <c r="B5710" s="36">
        <v>3999</v>
      </c>
      <c r="C5710" s="90" t="str">
        <f>VLOOKUP(B5710,'All Districts'!$A$3:$B$874,2,FALSE)</f>
        <v>Schenevus</v>
      </c>
      <c r="D5710" s="82">
        <v>239329</v>
      </c>
      <c r="E5710">
        <f>VLOOKUP(C5710,'All Districts'!$B$3:$C$874,2,FALSE)</f>
        <v>3603060</v>
      </c>
      <c r="F5710" s="91">
        <f>COUNTIF($E$2:$E$7106,E5710)</f>
        <v>9</v>
      </c>
    </row>
    <row r="5711" spans="1:6" x14ac:dyDescent="0.2">
      <c r="A5711">
        <v>2023</v>
      </c>
      <c r="B5711" s="36">
        <v>3999</v>
      </c>
      <c r="C5711" s="90" t="str">
        <f>VLOOKUP(B5711,'All Districts'!$A$3:$B$874,2,FALSE)</f>
        <v>Schenevus</v>
      </c>
      <c r="D5711" s="40">
        <v>224624</v>
      </c>
      <c r="E5711">
        <f>VLOOKUP(C5711,'All Districts'!$B$3:$C$874,2,FALSE)</f>
        <v>3603060</v>
      </c>
      <c r="F5711" s="91">
        <f>COUNTIF($E$2:$E$7106,E5711)</f>
        <v>9</v>
      </c>
    </row>
    <row r="5712" spans="1:6" x14ac:dyDescent="0.2">
      <c r="A5712">
        <v>2015</v>
      </c>
      <c r="B5712" s="13">
        <v>4885</v>
      </c>
      <c r="C5712" s="90" t="str">
        <f>VLOOKUP(B5712,'All Districts'!$A$3:$B$874,2,FALSE)</f>
        <v>Schodack</v>
      </c>
      <c r="D5712" s="14">
        <v>1236353</v>
      </c>
      <c r="E5712">
        <f>VLOOKUP(C5712,'All Districts'!$B$3:$C$874,2,FALSE)</f>
        <v>3626070</v>
      </c>
      <c r="F5712" s="91">
        <f>COUNTIF($E$2:$E$7106,E5712)</f>
        <v>9</v>
      </c>
    </row>
    <row r="5713" spans="1:6" x14ac:dyDescent="0.2">
      <c r="A5713">
        <v>2016</v>
      </c>
      <c r="B5713" s="13">
        <v>4885</v>
      </c>
      <c r="C5713" s="90" t="str">
        <f>VLOOKUP(B5713,'All Districts'!$A$3:$B$874,2,FALSE)</f>
        <v>Schodack</v>
      </c>
      <c r="D5713" s="16">
        <v>986123</v>
      </c>
      <c r="E5713">
        <f>VLOOKUP(C5713,'All Districts'!$B$3:$C$874,2,FALSE)</f>
        <v>3626070</v>
      </c>
      <c r="F5713" s="91">
        <f>COUNTIF($E$2:$E$7106,E5713)</f>
        <v>9</v>
      </c>
    </row>
    <row r="5714" spans="1:6" x14ac:dyDescent="0.2">
      <c r="A5714">
        <v>2017</v>
      </c>
      <c r="B5714" s="13">
        <v>4885</v>
      </c>
      <c r="C5714" s="90" t="str">
        <f>VLOOKUP(B5714,'All Districts'!$A$3:$B$874,2,FALSE)</f>
        <v>Schodack</v>
      </c>
      <c r="D5714" s="16">
        <v>848231</v>
      </c>
      <c r="E5714">
        <f>VLOOKUP(C5714,'All Districts'!$B$3:$C$874,2,FALSE)</f>
        <v>3626070</v>
      </c>
      <c r="F5714" s="91">
        <f>COUNTIF($E$2:$E$7106,E5714)</f>
        <v>9</v>
      </c>
    </row>
    <row r="5715" spans="1:6" x14ac:dyDescent="0.2">
      <c r="A5715" s="10">
        <v>2018</v>
      </c>
      <c r="B5715" s="13">
        <v>4885</v>
      </c>
      <c r="C5715" s="90" t="str">
        <f>VLOOKUP(B5715,'All Districts'!$A$3:$B$874,2,FALSE)</f>
        <v>Schodack</v>
      </c>
      <c r="D5715" s="15">
        <v>731584</v>
      </c>
      <c r="E5715">
        <f>VLOOKUP(C5715,'All Districts'!$B$3:$C$874,2,FALSE)</f>
        <v>3626070</v>
      </c>
      <c r="F5715" s="91">
        <f>COUNTIF($E$2:$E$7106,E5715)</f>
        <v>9</v>
      </c>
    </row>
    <row r="5716" spans="1:6" x14ac:dyDescent="0.2">
      <c r="A5716">
        <v>2019</v>
      </c>
      <c r="B5716" s="36">
        <v>4885</v>
      </c>
      <c r="C5716" s="90" t="str">
        <f>VLOOKUP(B5716,'All Districts'!$A$3:$B$874,2,FALSE)</f>
        <v>Schodack</v>
      </c>
      <c r="D5716" s="40">
        <v>804345</v>
      </c>
      <c r="E5716">
        <f>VLOOKUP(C5716,'All Districts'!$B$3:$C$874,2,FALSE)</f>
        <v>3626070</v>
      </c>
      <c r="F5716" s="91">
        <f>COUNTIF($E$2:$E$7106,E5716)</f>
        <v>9</v>
      </c>
    </row>
    <row r="5717" spans="1:6" x14ac:dyDescent="0.2">
      <c r="A5717">
        <v>2020</v>
      </c>
      <c r="B5717" s="36">
        <v>4885</v>
      </c>
      <c r="C5717" s="90" t="str">
        <f>VLOOKUP(B5717,'All Districts'!$A$3:$B$874,2,FALSE)</f>
        <v>Schodack</v>
      </c>
      <c r="D5717" s="40">
        <v>684020</v>
      </c>
      <c r="E5717">
        <f>VLOOKUP(C5717,'All Districts'!$B$3:$C$874,2,FALSE)</f>
        <v>3626070</v>
      </c>
      <c r="F5717" s="91">
        <f>COUNTIF($E$2:$E$7106,E5717)</f>
        <v>9</v>
      </c>
    </row>
    <row r="5718" spans="1:6" x14ac:dyDescent="0.2">
      <c r="A5718" s="10">
        <v>2021</v>
      </c>
      <c r="B5718" s="52">
        <v>4885</v>
      </c>
      <c r="C5718" s="90" t="str">
        <f>VLOOKUP(B5718,'All Districts'!$A$3:$B$874,2,FALSE)</f>
        <v>Schodack</v>
      </c>
      <c r="D5718" s="76">
        <v>751085</v>
      </c>
      <c r="E5718">
        <f>VLOOKUP(C5718,'All Districts'!$B$3:$C$874,2,FALSE)</f>
        <v>3626070</v>
      </c>
      <c r="F5718" s="91">
        <f>COUNTIF($E$2:$E$7106,E5718)</f>
        <v>9</v>
      </c>
    </row>
    <row r="5719" spans="1:6" x14ac:dyDescent="0.2">
      <c r="A5719">
        <v>2022</v>
      </c>
      <c r="B5719" s="36">
        <v>4885</v>
      </c>
      <c r="C5719" s="90" t="str">
        <f>VLOOKUP(B5719,'All Districts'!$A$3:$B$874,2,FALSE)</f>
        <v>Schodack</v>
      </c>
      <c r="D5719" s="82">
        <v>815500</v>
      </c>
      <c r="E5719">
        <f>VLOOKUP(C5719,'All Districts'!$B$3:$C$874,2,FALSE)</f>
        <v>3626070</v>
      </c>
      <c r="F5719" s="91">
        <f>COUNTIF($E$2:$E$7106,E5719)</f>
        <v>9</v>
      </c>
    </row>
    <row r="5720" spans="1:6" x14ac:dyDescent="0.2">
      <c r="A5720">
        <v>2023</v>
      </c>
      <c r="B5720" s="36">
        <v>4885</v>
      </c>
      <c r="C5720" s="90" t="str">
        <f>VLOOKUP(B5720,'All Districts'!$A$3:$B$874,2,FALSE)</f>
        <v>Schodack</v>
      </c>
      <c r="D5720" s="40">
        <v>915360</v>
      </c>
      <c r="E5720">
        <f>VLOOKUP(C5720,'All Districts'!$B$3:$C$874,2,FALSE)</f>
        <v>3626070</v>
      </c>
      <c r="F5720" s="91">
        <f>COUNTIF($E$2:$E$7106,E5720)</f>
        <v>9</v>
      </c>
    </row>
    <row r="5721" spans="1:6" x14ac:dyDescent="0.2">
      <c r="A5721">
        <v>2015</v>
      </c>
      <c r="B5721" s="13">
        <v>3043</v>
      </c>
      <c r="C5721" s="90" t="str">
        <f>VLOOKUP(B5721,'All Districts'!$A$3:$B$874,2,FALSE)</f>
        <v>Schoharie</v>
      </c>
      <c r="D5721" s="14">
        <v>1227001</v>
      </c>
      <c r="E5721">
        <f>VLOOKUP(C5721,'All Districts'!$B$3:$C$874,2,FALSE)</f>
        <v>3626100</v>
      </c>
      <c r="F5721" s="91">
        <f>COUNTIF($E$2:$E$7106,E5721)</f>
        <v>9</v>
      </c>
    </row>
    <row r="5722" spans="1:6" x14ac:dyDescent="0.2">
      <c r="A5722">
        <v>2016</v>
      </c>
      <c r="B5722" s="13">
        <v>3043</v>
      </c>
      <c r="C5722" s="90" t="str">
        <f>VLOOKUP(B5722,'All Districts'!$A$3:$B$874,2,FALSE)</f>
        <v>Schoharie</v>
      </c>
      <c r="D5722" s="16">
        <v>967552</v>
      </c>
      <c r="E5722">
        <f>VLOOKUP(C5722,'All Districts'!$B$3:$C$874,2,FALSE)</f>
        <v>3626100</v>
      </c>
      <c r="F5722" s="91">
        <f>COUNTIF($E$2:$E$7106,E5722)</f>
        <v>9</v>
      </c>
    </row>
    <row r="5723" spans="1:6" x14ac:dyDescent="0.2">
      <c r="A5723">
        <v>2017</v>
      </c>
      <c r="B5723" s="13">
        <v>3043</v>
      </c>
      <c r="C5723" s="90" t="str">
        <f>VLOOKUP(B5723,'All Districts'!$A$3:$B$874,2,FALSE)</f>
        <v>Schoharie</v>
      </c>
      <c r="D5723" s="16">
        <v>869293</v>
      </c>
      <c r="E5723">
        <f>VLOOKUP(C5723,'All Districts'!$B$3:$C$874,2,FALSE)</f>
        <v>3626100</v>
      </c>
      <c r="F5723" s="91">
        <f>COUNTIF($E$2:$E$7106,E5723)</f>
        <v>9</v>
      </c>
    </row>
    <row r="5724" spans="1:6" x14ac:dyDescent="0.2">
      <c r="A5724" s="10">
        <v>2018</v>
      </c>
      <c r="B5724" s="13">
        <v>3043</v>
      </c>
      <c r="C5724" s="90" t="str">
        <f>VLOOKUP(B5724,'All Districts'!$A$3:$B$874,2,FALSE)</f>
        <v>Schoharie</v>
      </c>
      <c r="D5724" s="15">
        <v>733491</v>
      </c>
      <c r="E5724">
        <f>VLOOKUP(C5724,'All Districts'!$B$3:$C$874,2,FALSE)</f>
        <v>3626100</v>
      </c>
      <c r="F5724" s="91">
        <f>COUNTIF($E$2:$E$7106,E5724)</f>
        <v>9</v>
      </c>
    </row>
    <row r="5725" spans="1:6" x14ac:dyDescent="0.2">
      <c r="A5725">
        <v>2019</v>
      </c>
      <c r="B5725" s="36">
        <v>3043</v>
      </c>
      <c r="C5725" s="90" t="str">
        <f>VLOOKUP(B5725,'All Districts'!$A$3:$B$874,2,FALSE)</f>
        <v>Schoharie</v>
      </c>
      <c r="D5725" s="40">
        <v>789379</v>
      </c>
      <c r="E5725">
        <f>VLOOKUP(C5725,'All Districts'!$B$3:$C$874,2,FALSE)</f>
        <v>3626100</v>
      </c>
      <c r="F5725" s="91">
        <f>COUNTIF($E$2:$E$7106,E5725)</f>
        <v>9</v>
      </c>
    </row>
    <row r="5726" spans="1:6" x14ac:dyDescent="0.2">
      <c r="A5726">
        <v>2020</v>
      </c>
      <c r="B5726" s="36">
        <v>3043</v>
      </c>
      <c r="C5726" s="90" t="str">
        <f>VLOOKUP(B5726,'All Districts'!$A$3:$B$874,2,FALSE)</f>
        <v>Schoharie</v>
      </c>
      <c r="D5726" s="40">
        <v>663028</v>
      </c>
      <c r="E5726">
        <f>VLOOKUP(C5726,'All Districts'!$B$3:$C$874,2,FALSE)</f>
        <v>3626100</v>
      </c>
      <c r="F5726" s="91">
        <f>COUNTIF($E$2:$E$7106,E5726)</f>
        <v>9</v>
      </c>
    </row>
    <row r="5727" spans="1:6" x14ac:dyDescent="0.2">
      <c r="A5727" s="10">
        <v>2021</v>
      </c>
      <c r="B5727" s="52">
        <v>3043</v>
      </c>
      <c r="C5727" s="90" t="str">
        <f>VLOOKUP(B5727,'All Districts'!$A$3:$B$874,2,FALSE)</f>
        <v>Schoharie</v>
      </c>
      <c r="D5727" s="76">
        <v>637018</v>
      </c>
      <c r="E5727">
        <f>VLOOKUP(C5727,'All Districts'!$B$3:$C$874,2,FALSE)</f>
        <v>3626100</v>
      </c>
      <c r="F5727" s="91">
        <f>COUNTIF($E$2:$E$7106,E5727)</f>
        <v>9</v>
      </c>
    </row>
    <row r="5728" spans="1:6" x14ac:dyDescent="0.2">
      <c r="A5728">
        <v>2022</v>
      </c>
      <c r="B5728" s="36">
        <v>3043</v>
      </c>
      <c r="C5728" s="90" t="str">
        <f>VLOOKUP(B5728,'All Districts'!$A$3:$B$874,2,FALSE)</f>
        <v>Schoharie</v>
      </c>
      <c r="D5728" s="82">
        <v>682404</v>
      </c>
      <c r="E5728">
        <f>VLOOKUP(C5728,'All Districts'!$B$3:$C$874,2,FALSE)</f>
        <v>3626100</v>
      </c>
      <c r="F5728" s="91">
        <f>COUNTIF($E$2:$E$7106,E5728)</f>
        <v>9</v>
      </c>
    </row>
    <row r="5729" spans="1:6" x14ac:dyDescent="0.2">
      <c r="A5729">
        <v>2023</v>
      </c>
      <c r="B5729" s="36">
        <v>3043</v>
      </c>
      <c r="C5729" s="90" t="str">
        <f>VLOOKUP(B5729,'All Districts'!$A$3:$B$874,2,FALSE)</f>
        <v>Schoharie</v>
      </c>
      <c r="D5729" s="40">
        <v>751379</v>
      </c>
      <c r="E5729">
        <f>VLOOKUP(C5729,'All Districts'!$B$3:$C$874,2,FALSE)</f>
        <v>3626100</v>
      </c>
      <c r="F5729" s="91">
        <f>COUNTIF($E$2:$E$7106,E5729)</f>
        <v>9</v>
      </c>
    </row>
    <row r="5730" spans="1:6" x14ac:dyDescent="0.2">
      <c r="A5730">
        <v>2015</v>
      </c>
      <c r="B5730" s="13">
        <v>3467</v>
      </c>
      <c r="C5730" s="90" t="str">
        <f>VLOOKUP(B5730,'All Districts'!$A$3:$B$874,2,FALSE)</f>
        <v>Schroon Lake</v>
      </c>
      <c r="D5730" s="14">
        <v>407696</v>
      </c>
      <c r="E5730">
        <f>VLOOKUP(C5730,'All Districts'!$B$3:$C$874,2,FALSE)</f>
        <v>3626130</v>
      </c>
      <c r="F5730" s="91">
        <f>COUNTIF($E$2:$E$7106,E5730)</f>
        <v>9</v>
      </c>
    </row>
    <row r="5731" spans="1:6" x14ac:dyDescent="0.2">
      <c r="A5731">
        <v>2016</v>
      </c>
      <c r="B5731" s="13">
        <v>3467</v>
      </c>
      <c r="C5731" s="90" t="str">
        <f>VLOOKUP(B5731,'All Districts'!$A$3:$B$874,2,FALSE)</f>
        <v>Schroon Lake</v>
      </c>
      <c r="D5731" s="16">
        <v>336081</v>
      </c>
      <c r="E5731">
        <f>VLOOKUP(C5731,'All Districts'!$B$3:$C$874,2,FALSE)</f>
        <v>3626130</v>
      </c>
      <c r="F5731" s="91">
        <f>COUNTIF($E$2:$E$7106,E5731)</f>
        <v>9</v>
      </c>
    </row>
    <row r="5732" spans="1:6" x14ac:dyDescent="0.2">
      <c r="A5732">
        <v>2017</v>
      </c>
      <c r="B5732" s="13">
        <v>3467</v>
      </c>
      <c r="C5732" s="90" t="str">
        <f>VLOOKUP(B5732,'All Districts'!$A$3:$B$874,2,FALSE)</f>
        <v>Schroon Lake</v>
      </c>
      <c r="D5732" s="16">
        <v>299294</v>
      </c>
      <c r="E5732">
        <f>VLOOKUP(C5732,'All Districts'!$B$3:$C$874,2,FALSE)</f>
        <v>3626130</v>
      </c>
      <c r="F5732" s="91">
        <f>COUNTIF($E$2:$E$7106,E5732)</f>
        <v>9</v>
      </c>
    </row>
    <row r="5733" spans="1:6" x14ac:dyDescent="0.2">
      <c r="A5733" s="10">
        <v>2018</v>
      </c>
      <c r="B5733" s="13">
        <v>3467</v>
      </c>
      <c r="C5733" s="90" t="str">
        <f>VLOOKUP(B5733,'All Districts'!$A$3:$B$874,2,FALSE)</f>
        <v>Schroon Lake</v>
      </c>
      <c r="D5733" s="15">
        <v>263916</v>
      </c>
      <c r="E5733">
        <f>VLOOKUP(C5733,'All Districts'!$B$3:$C$874,2,FALSE)</f>
        <v>3626130</v>
      </c>
      <c r="F5733" s="91">
        <f>COUNTIF($E$2:$E$7106,E5733)</f>
        <v>9</v>
      </c>
    </row>
    <row r="5734" spans="1:6" x14ac:dyDescent="0.2">
      <c r="A5734">
        <v>2019</v>
      </c>
      <c r="B5734" s="36">
        <v>3467</v>
      </c>
      <c r="C5734" s="90" t="str">
        <f>VLOOKUP(B5734,'All Districts'!$A$3:$B$874,2,FALSE)</f>
        <v>Schroon Lake</v>
      </c>
      <c r="D5734" s="40">
        <v>308651</v>
      </c>
      <c r="E5734">
        <f>VLOOKUP(C5734,'All Districts'!$B$3:$C$874,2,FALSE)</f>
        <v>3626130</v>
      </c>
      <c r="F5734" s="91">
        <f>COUNTIF($E$2:$E$7106,E5734)</f>
        <v>9</v>
      </c>
    </row>
    <row r="5735" spans="1:6" x14ac:dyDescent="0.2">
      <c r="A5735">
        <v>2020</v>
      </c>
      <c r="B5735" s="36">
        <v>3467</v>
      </c>
      <c r="C5735" s="90" t="str">
        <f>VLOOKUP(B5735,'All Districts'!$A$3:$B$874,2,FALSE)</f>
        <v>Schroon Lake</v>
      </c>
      <c r="D5735" s="40">
        <v>268424</v>
      </c>
      <c r="E5735">
        <f>VLOOKUP(C5735,'All Districts'!$B$3:$C$874,2,FALSE)</f>
        <v>3626130</v>
      </c>
      <c r="F5735" s="91">
        <f>COUNTIF($E$2:$E$7106,E5735)</f>
        <v>9</v>
      </c>
    </row>
    <row r="5736" spans="1:6" x14ac:dyDescent="0.2">
      <c r="A5736" s="10">
        <v>2021</v>
      </c>
      <c r="B5736" s="55">
        <v>3467</v>
      </c>
      <c r="C5736" s="90" t="str">
        <f>VLOOKUP(B5736,'All Districts'!$A$3:$B$874,2,FALSE)</f>
        <v>Schroon Lake</v>
      </c>
      <c r="D5736" s="75">
        <v>272899</v>
      </c>
      <c r="E5736">
        <f>VLOOKUP(C5736,'All Districts'!$B$3:$C$874,2,FALSE)</f>
        <v>3626130</v>
      </c>
      <c r="F5736" s="91">
        <f>COUNTIF($E$2:$E$7106,E5736)</f>
        <v>9</v>
      </c>
    </row>
    <row r="5737" spans="1:6" x14ac:dyDescent="0.2">
      <c r="A5737">
        <v>2022</v>
      </c>
      <c r="B5737" s="36">
        <v>3467</v>
      </c>
      <c r="C5737" s="90" t="str">
        <f>VLOOKUP(B5737,'All Districts'!$A$3:$B$874,2,FALSE)</f>
        <v>Schroon Lake</v>
      </c>
      <c r="D5737" s="82">
        <v>288994</v>
      </c>
      <c r="E5737">
        <f>VLOOKUP(C5737,'All Districts'!$B$3:$C$874,2,FALSE)</f>
        <v>3626130</v>
      </c>
      <c r="F5737" s="91">
        <f>COUNTIF($E$2:$E$7106,E5737)</f>
        <v>9</v>
      </c>
    </row>
    <row r="5738" spans="1:6" x14ac:dyDescent="0.2">
      <c r="A5738">
        <v>2023</v>
      </c>
      <c r="B5738" s="36">
        <v>3467</v>
      </c>
      <c r="C5738" s="90" t="str">
        <f>VLOOKUP(B5738,'All Districts'!$A$3:$B$874,2,FALSE)</f>
        <v>Schroon Lake</v>
      </c>
      <c r="D5738" s="40">
        <v>284990</v>
      </c>
      <c r="E5738">
        <f>VLOOKUP(C5738,'All Districts'!$B$3:$C$874,2,FALSE)</f>
        <v>3626130</v>
      </c>
      <c r="F5738" s="91">
        <f>COUNTIF($E$2:$E$7106,E5738)</f>
        <v>9</v>
      </c>
    </row>
    <row r="5739" spans="1:6" x14ac:dyDescent="0.2">
      <c r="A5739">
        <v>2015</v>
      </c>
      <c r="B5739" s="13">
        <v>6094</v>
      </c>
      <c r="C5739" s="90" t="str">
        <f>VLOOKUP(B5739,'All Districts'!$A$3:$B$874,2,FALSE)</f>
        <v>Schuyler-Steuben-Chemung-Tioga-Allegany (Greater Southern Tier-GST)</v>
      </c>
      <c r="D5739" s="15">
        <v>4267378</v>
      </c>
      <c r="E5739">
        <f>VLOOKUP(C5739,'All Districts'!$B$3:$C$874,2,FALSE)</f>
        <v>3680780</v>
      </c>
      <c r="F5739" s="91">
        <f>COUNTIF($E$2:$E$7106,E5739)</f>
        <v>9</v>
      </c>
    </row>
    <row r="5740" spans="1:6" x14ac:dyDescent="0.2">
      <c r="A5740">
        <v>2016</v>
      </c>
      <c r="B5740" s="13">
        <v>6094</v>
      </c>
      <c r="C5740" s="90" t="str">
        <f>VLOOKUP(B5740,'All Districts'!$A$3:$B$874,2,FALSE)</f>
        <v>Schuyler-Steuben-Chemung-Tioga-Allegany (Greater Southern Tier-GST)</v>
      </c>
      <c r="D5740" s="16">
        <v>3392457</v>
      </c>
      <c r="E5740">
        <f>VLOOKUP(C5740,'All Districts'!$B$3:$C$874,2,FALSE)</f>
        <v>3680780</v>
      </c>
      <c r="F5740" s="91">
        <f>COUNTIF($E$2:$E$7106,E5740)</f>
        <v>9</v>
      </c>
    </row>
    <row r="5741" spans="1:6" x14ac:dyDescent="0.2">
      <c r="A5741">
        <v>2017</v>
      </c>
      <c r="B5741" s="13">
        <v>6094</v>
      </c>
      <c r="C5741" s="90" t="str">
        <f>VLOOKUP(B5741,'All Districts'!$A$3:$B$874,2,FALSE)</f>
        <v>Schuyler-Steuben-Chemung-Tioga-Allegany (Greater Southern Tier-GST)</v>
      </c>
      <c r="D5741" s="16">
        <v>3109473</v>
      </c>
      <c r="E5741">
        <f>VLOOKUP(C5741,'All Districts'!$B$3:$C$874,2,FALSE)</f>
        <v>3680780</v>
      </c>
      <c r="F5741" s="91">
        <f>COUNTIF($E$2:$E$7106,E5741)</f>
        <v>9</v>
      </c>
    </row>
    <row r="5742" spans="1:6" x14ac:dyDescent="0.2">
      <c r="A5742" s="10">
        <v>2018</v>
      </c>
      <c r="B5742" s="13">
        <v>6094</v>
      </c>
      <c r="C5742" s="90" t="str">
        <f>VLOOKUP(B5742,'All Districts'!$A$3:$B$874,2,FALSE)</f>
        <v>Schuyler-Steuben-Chemung-Tioga-Allegany (Greater Southern Tier-GST)</v>
      </c>
      <c r="D5742" s="15">
        <v>2666213</v>
      </c>
      <c r="E5742">
        <f>VLOOKUP(C5742,'All Districts'!$B$3:$C$874,2,FALSE)</f>
        <v>3680780</v>
      </c>
      <c r="F5742" s="91">
        <f>COUNTIF($E$2:$E$7106,E5742)</f>
        <v>9</v>
      </c>
    </row>
    <row r="5743" spans="1:6" x14ac:dyDescent="0.2">
      <c r="A5743">
        <v>2019</v>
      </c>
      <c r="B5743" s="36">
        <v>6094</v>
      </c>
      <c r="C5743" s="90" t="str">
        <f>VLOOKUP(B5743,'All Districts'!$A$3:$B$874,2,FALSE)</f>
        <v>Schuyler-Steuben-Chemung-Tioga-Allegany (Greater Southern Tier-GST)</v>
      </c>
      <c r="D5743" s="40">
        <v>2950206</v>
      </c>
      <c r="E5743">
        <f>VLOOKUP(C5743,'All Districts'!$B$3:$C$874,2,FALSE)</f>
        <v>3680780</v>
      </c>
      <c r="F5743" s="91">
        <f>COUNTIF($E$2:$E$7106,E5743)</f>
        <v>9</v>
      </c>
    </row>
    <row r="5744" spans="1:6" x14ac:dyDescent="0.2">
      <c r="A5744">
        <v>2020</v>
      </c>
      <c r="B5744" s="36">
        <v>6094</v>
      </c>
      <c r="C5744" s="90" t="str">
        <f>VLOOKUP(B5744,'All Districts'!$A$3:$B$874,2,FALSE)</f>
        <v>Schuyler-Steuben-Chemung-Tioga-Allegany (Greater Southern Tier-GST)</v>
      </c>
      <c r="D5744" s="40">
        <v>2545244</v>
      </c>
      <c r="E5744">
        <f>VLOOKUP(C5744,'All Districts'!$B$3:$C$874,2,FALSE)</f>
        <v>3680780</v>
      </c>
      <c r="F5744" s="91">
        <f>COUNTIF($E$2:$E$7106,E5744)</f>
        <v>9</v>
      </c>
    </row>
    <row r="5745" spans="1:6" x14ac:dyDescent="0.2">
      <c r="A5745" s="10">
        <v>2021</v>
      </c>
      <c r="B5745" s="52">
        <v>6094</v>
      </c>
      <c r="C5745" s="90" t="str">
        <f>VLOOKUP(B5745,'All Districts'!$A$3:$B$874,2,FALSE)</f>
        <v>Schuyler-Steuben-Chemung-Tioga-Allegany (Greater Southern Tier-GST)</v>
      </c>
      <c r="D5745" s="75">
        <v>2675635</v>
      </c>
      <c r="E5745">
        <f>VLOOKUP(C5745,'All Districts'!$B$3:$C$874,2,FALSE)</f>
        <v>3680780</v>
      </c>
      <c r="F5745" s="91">
        <f>COUNTIF($E$2:$E$7106,E5745)</f>
        <v>9</v>
      </c>
    </row>
    <row r="5746" spans="1:6" x14ac:dyDescent="0.2">
      <c r="A5746">
        <v>2022</v>
      </c>
      <c r="B5746" s="36">
        <v>6094</v>
      </c>
      <c r="C5746" s="90" t="str">
        <f>VLOOKUP(B5746,'All Districts'!$A$3:$B$874,2,FALSE)</f>
        <v>Schuyler-Steuben-Chemung-Tioga-Allegany (Greater Southern Tier-GST)</v>
      </c>
      <c r="D5746" s="82">
        <v>2817097</v>
      </c>
      <c r="E5746">
        <f>VLOOKUP(C5746,'All Districts'!$B$3:$C$874,2,FALSE)</f>
        <v>3680780</v>
      </c>
      <c r="F5746" s="91">
        <f>COUNTIF($E$2:$E$7106,E5746)</f>
        <v>9</v>
      </c>
    </row>
    <row r="5747" spans="1:6" x14ac:dyDescent="0.2">
      <c r="A5747">
        <v>2023</v>
      </c>
      <c r="B5747" s="36">
        <v>6094</v>
      </c>
      <c r="C5747" s="90" t="str">
        <f>VLOOKUP(B5747,'All Districts'!$A$3:$B$874,2,FALSE)</f>
        <v>Schuyler-Steuben-Chemung-Tioga-Allegany (Greater Southern Tier-GST)</v>
      </c>
      <c r="D5747" s="40">
        <v>3265675</v>
      </c>
      <c r="E5747">
        <f>VLOOKUP(C5747,'All Districts'!$B$3:$C$874,2,FALSE)</f>
        <v>3680780</v>
      </c>
      <c r="F5747" s="91">
        <f>COUNTIF($E$2:$E$7106,E5747)</f>
        <v>9</v>
      </c>
    </row>
    <row r="5748" spans="1:6" x14ac:dyDescent="0.2">
      <c r="A5748">
        <v>2015</v>
      </c>
      <c r="B5748" s="13">
        <v>5103</v>
      </c>
      <c r="C5748" s="90" t="str">
        <f>VLOOKUP(B5748,'All Districts'!$A$3:$B$874,2,FALSE)</f>
        <v>Schuylerville</v>
      </c>
      <c r="D5748" s="14">
        <v>1855302</v>
      </c>
      <c r="E5748">
        <f>VLOOKUP(C5748,'All Districts'!$B$3:$C$874,2,FALSE)</f>
        <v>3626160</v>
      </c>
      <c r="F5748" s="91">
        <f>COUNTIF($E$2:$E$7106,E5748)</f>
        <v>9</v>
      </c>
    </row>
    <row r="5749" spans="1:6" x14ac:dyDescent="0.2">
      <c r="A5749">
        <v>2016</v>
      </c>
      <c r="B5749" s="13">
        <v>5103</v>
      </c>
      <c r="C5749" s="90" t="str">
        <f>VLOOKUP(B5749,'All Districts'!$A$3:$B$874,2,FALSE)</f>
        <v>Schuylerville</v>
      </c>
      <c r="D5749" s="16">
        <v>1435955</v>
      </c>
      <c r="E5749">
        <f>VLOOKUP(C5749,'All Districts'!$B$3:$C$874,2,FALSE)</f>
        <v>3626160</v>
      </c>
      <c r="F5749" s="91">
        <f>COUNTIF($E$2:$E$7106,E5749)</f>
        <v>9</v>
      </c>
    </row>
    <row r="5750" spans="1:6" x14ac:dyDescent="0.2">
      <c r="A5750">
        <v>2017</v>
      </c>
      <c r="B5750" s="13">
        <v>5103</v>
      </c>
      <c r="C5750" s="90" t="str">
        <f>VLOOKUP(B5750,'All Districts'!$A$3:$B$874,2,FALSE)</f>
        <v>Schuylerville</v>
      </c>
      <c r="D5750" s="16">
        <v>1292247</v>
      </c>
      <c r="E5750">
        <f>VLOOKUP(C5750,'All Districts'!$B$3:$C$874,2,FALSE)</f>
        <v>3626160</v>
      </c>
      <c r="F5750" s="91">
        <f>COUNTIF($E$2:$E$7106,E5750)</f>
        <v>9</v>
      </c>
    </row>
    <row r="5751" spans="1:6" x14ac:dyDescent="0.2">
      <c r="A5751" s="10">
        <v>2018</v>
      </c>
      <c r="B5751" s="13">
        <v>5103</v>
      </c>
      <c r="C5751" s="90" t="str">
        <f>VLOOKUP(B5751,'All Districts'!$A$3:$B$874,2,FALSE)</f>
        <v>Schuylerville</v>
      </c>
      <c r="D5751" s="15">
        <v>1092859</v>
      </c>
      <c r="E5751">
        <f>VLOOKUP(C5751,'All Districts'!$B$3:$C$874,2,FALSE)</f>
        <v>3626160</v>
      </c>
      <c r="F5751" s="91">
        <f>COUNTIF($E$2:$E$7106,E5751)</f>
        <v>9</v>
      </c>
    </row>
    <row r="5752" spans="1:6" x14ac:dyDescent="0.2">
      <c r="A5752">
        <v>2019</v>
      </c>
      <c r="B5752" s="36">
        <v>5103</v>
      </c>
      <c r="C5752" s="90" t="str">
        <f>VLOOKUP(B5752,'All Districts'!$A$3:$B$874,2,FALSE)</f>
        <v>Schuylerville</v>
      </c>
      <c r="D5752" s="40">
        <v>1216497</v>
      </c>
      <c r="E5752">
        <f>VLOOKUP(C5752,'All Districts'!$B$3:$C$874,2,FALSE)</f>
        <v>3626160</v>
      </c>
      <c r="F5752" s="91">
        <f>COUNTIF($E$2:$E$7106,E5752)</f>
        <v>9</v>
      </c>
    </row>
    <row r="5753" spans="1:6" x14ac:dyDescent="0.2">
      <c r="A5753">
        <v>2020</v>
      </c>
      <c r="B5753" s="36">
        <v>5103</v>
      </c>
      <c r="C5753" s="90" t="str">
        <f>VLOOKUP(B5753,'All Districts'!$A$3:$B$874,2,FALSE)</f>
        <v>Schuylerville</v>
      </c>
      <c r="D5753" s="40">
        <v>992667</v>
      </c>
      <c r="E5753">
        <f>VLOOKUP(C5753,'All Districts'!$B$3:$C$874,2,FALSE)</f>
        <v>3626160</v>
      </c>
      <c r="F5753" s="91">
        <f>COUNTIF($E$2:$E$7106,E5753)</f>
        <v>9</v>
      </c>
    </row>
    <row r="5754" spans="1:6" x14ac:dyDescent="0.2">
      <c r="A5754" s="10">
        <v>2021</v>
      </c>
      <c r="B5754" s="52">
        <v>5103</v>
      </c>
      <c r="C5754" s="90" t="str">
        <f>VLOOKUP(B5754,'All Districts'!$A$3:$B$874,2,FALSE)</f>
        <v>Schuylerville</v>
      </c>
      <c r="D5754" s="76">
        <v>1089119</v>
      </c>
      <c r="E5754">
        <f>VLOOKUP(C5754,'All Districts'!$B$3:$C$874,2,FALSE)</f>
        <v>3626160</v>
      </c>
      <c r="F5754" s="91">
        <f>COUNTIF($E$2:$E$7106,E5754)</f>
        <v>9</v>
      </c>
    </row>
    <row r="5755" spans="1:6" x14ac:dyDescent="0.2">
      <c r="A5755">
        <v>2022</v>
      </c>
      <c r="B5755" s="36">
        <v>5103</v>
      </c>
      <c r="C5755" s="90" t="str">
        <f>VLOOKUP(B5755,'All Districts'!$A$3:$B$874,2,FALSE)</f>
        <v>Schuylerville</v>
      </c>
      <c r="D5755" s="82">
        <v>1230917</v>
      </c>
      <c r="E5755">
        <f>VLOOKUP(C5755,'All Districts'!$B$3:$C$874,2,FALSE)</f>
        <v>3626160</v>
      </c>
      <c r="F5755" s="91">
        <f>COUNTIF($E$2:$E$7106,E5755)</f>
        <v>9</v>
      </c>
    </row>
    <row r="5756" spans="1:6" x14ac:dyDescent="0.2">
      <c r="A5756">
        <v>2023</v>
      </c>
      <c r="B5756" s="36">
        <v>5103</v>
      </c>
      <c r="C5756" s="90" t="str">
        <f>VLOOKUP(B5756,'All Districts'!$A$3:$B$874,2,FALSE)</f>
        <v>Schuylerville</v>
      </c>
      <c r="D5756" s="40">
        <v>1340999</v>
      </c>
      <c r="E5756">
        <f>VLOOKUP(C5756,'All Districts'!$B$3:$C$874,2,FALSE)</f>
        <v>3626160</v>
      </c>
      <c r="F5756" s="91">
        <f>COUNTIF($E$2:$E$7106,E5756)</f>
        <v>9</v>
      </c>
    </row>
    <row r="5757" spans="1:6" x14ac:dyDescent="0.2">
      <c r="A5757">
        <v>2015</v>
      </c>
      <c r="B5757" s="13">
        <v>3081</v>
      </c>
      <c r="C5757" s="90" t="str">
        <f>VLOOKUP(B5757,'All Districts'!$A$3:$B$874,2,FALSE)</f>
        <v>Scio</v>
      </c>
      <c r="D5757" s="14">
        <v>521834</v>
      </c>
      <c r="E5757">
        <f>VLOOKUP(C5757,'All Districts'!$B$3:$C$874,2,FALSE)</f>
        <v>3626190</v>
      </c>
      <c r="F5757" s="91">
        <f>COUNTIF($E$2:$E$7106,E5757)</f>
        <v>9</v>
      </c>
    </row>
    <row r="5758" spans="1:6" x14ac:dyDescent="0.2">
      <c r="A5758">
        <v>2016</v>
      </c>
      <c r="B5758" s="13">
        <v>3081</v>
      </c>
      <c r="C5758" s="90" t="str">
        <f>VLOOKUP(B5758,'All Districts'!$A$3:$B$874,2,FALSE)</f>
        <v>Scio</v>
      </c>
      <c r="D5758" s="16">
        <v>387772</v>
      </c>
      <c r="E5758">
        <f>VLOOKUP(C5758,'All Districts'!$B$3:$C$874,2,FALSE)</f>
        <v>3626190</v>
      </c>
      <c r="F5758" s="91">
        <f>COUNTIF($E$2:$E$7106,E5758)</f>
        <v>9</v>
      </c>
    </row>
    <row r="5759" spans="1:6" x14ac:dyDescent="0.2">
      <c r="A5759">
        <v>2017</v>
      </c>
      <c r="B5759" s="13">
        <v>3081</v>
      </c>
      <c r="C5759" s="90" t="str">
        <f>VLOOKUP(B5759,'All Districts'!$A$3:$B$874,2,FALSE)</f>
        <v>Scio</v>
      </c>
      <c r="D5759" s="16">
        <v>352315</v>
      </c>
      <c r="E5759">
        <f>VLOOKUP(C5759,'All Districts'!$B$3:$C$874,2,FALSE)</f>
        <v>3626190</v>
      </c>
      <c r="F5759" s="91">
        <f>COUNTIF($E$2:$E$7106,E5759)</f>
        <v>9</v>
      </c>
    </row>
    <row r="5760" spans="1:6" x14ac:dyDescent="0.2">
      <c r="A5760" s="10">
        <v>2018</v>
      </c>
      <c r="B5760" s="13">
        <v>3081</v>
      </c>
      <c r="C5760" s="90" t="str">
        <f>VLOOKUP(B5760,'All Districts'!$A$3:$B$874,2,FALSE)</f>
        <v>Scio</v>
      </c>
      <c r="D5760" s="15">
        <v>294390</v>
      </c>
      <c r="E5760">
        <f>VLOOKUP(C5760,'All Districts'!$B$3:$C$874,2,FALSE)</f>
        <v>3626190</v>
      </c>
      <c r="F5760" s="91">
        <f>COUNTIF($E$2:$E$7106,E5760)</f>
        <v>9</v>
      </c>
    </row>
    <row r="5761" spans="1:6" x14ac:dyDescent="0.2">
      <c r="A5761">
        <v>2019</v>
      </c>
      <c r="B5761" s="36">
        <v>3081</v>
      </c>
      <c r="C5761" s="90" t="str">
        <f>VLOOKUP(B5761,'All Districts'!$A$3:$B$874,2,FALSE)</f>
        <v>Scio</v>
      </c>
      <c r="D5761" s="40">
        <v>302322</v>
      </c>
      <c r="E5761">
        <f>VLOOKUP(C5761,'All Districts'!$B$3:$C$874,2,FALSE)</f>
        <v>3626190</v>
      </c>
      <c r="F5761" s="91">
        <f>COUNTIF($E$2:$E$7106,E5761)</f>
        <v>9</v>
      </c>
    </row>
    <row r="5762" spans="1:6" x14ac:dyDescent="0.2">
      <c r="A5762">
        <v>2020</v>
      </c>
      <c r="B5762" s="36">
        <v>3081</v>
      </c>
      <c r="C5762" s="90" t="str">
        <f>VLOOKUP(B5762,'All Districts'!$A$3:$B$874,2,FALSE)</f>
        <v>Scio</v>
      </c>
      <c r="D5762" s="40">
        <v>266941</v>
      </c>
      <c r="E5762">
        <f>VLOOKUP(C5762,'All Districts'!$B$3:$C$874,2,FALSE)</f>
        <v>3626190</v>
      </c>
      <c r="F5762" s="91">
        <f>COUNTIF($E$2:$E$7106,E5762)</f>
        <v>9</v>
      </c>
    </row>
    <row r="5763" spans="1:6" x14ac:dyDescent="0.2">
      <c r="A5763" s="10">
        <v>2021</v>
      </c>
      <c r="B5763" s="55">
        <v>3081</v>
      </c>
      <c r="C5763" s="90" t="str">
        <f>VLOOKUP(B5763,'All Districts'!$A$3:$B$874,2,FALSE)</f>
        <v>Scio</v>
      </c>
      <c r="D5763" s="75">
        <v>266228</v>
      </c>
      <c r="E5763">
        <f>VLOOKUP(C5763,'All Districts'!$B$3:$C$874,2,FALSE)</f>
        <v>3626190</v>
      </c>
      <c r="F5763" s="91">
        <f>COUNTIF($E$2:$E$7106,E5763)</f>
        <v>9</v>
      </c>
    </row>
    <row r="5764" spans="1:6" x14ac:dyDescent="0.2">
      <c r="A5764">
        <v>2022</v>
      </c>
      <c r="B5764" s="36">
        <v>3081</v>
      </c>
      <c r="C5764" s="90" t="str">
        <f>VLOOKUP(B5764,'All Districts'!$A$3:$B$874,2,FALSE)</f>
        <v>Scio</v>
      </c>
      <c r="D5764" s="82">
        <v>293043</v>
      </c>
      <c r="E5764">
        <f>VLOOKUP(C5764,'All Districts'!$B$3:$C$874,2,FALSE)</f>
        <v>3626190</v>
      </c>
      <c r="F5764" s="91">
        <f>COUNTIF($E$2:$E$7106,E5764)</f>
        <v>9</v>
      </c>
    </row>
    <row r="5765" spans="1:6" x14ac:dyDescent="0.2">
      <c r="A5765">
        <v>2023</v>
      </c>
      <c r="B5765" s="36">
        <v>3081</v>
      </c>
      <c r="C5765" s="90" t="str">
        <f>VLOOKUP(B5765,'All Districts'!$A$3:$B$874,2,FALSE)</f>
        <v>Scio</v>
      </c>
      <c r="D5765" s="40">
        <v>317079</v>
      </c>
      <c r="E5765">
        <f>VLOOKUP(C5765,'All Districts'!$B$3:$C$874,2,FALSE)</f>
        <v>3626190</v>
      </c>
      <c r="F5765" s="91">
        <f>COUNTIF($E$2:$E$7106,E5765)</f>
        <v>9</v>
      </c>
    </row>
    <row r="5766" spans="1:6" x14ac:dyDescent="0.2">
      <c r="A5766">
        <v>2015</v>
      </c>
      <c r="B5766" s="13">
        <v>2535</v>
      </c>
      <c r="C5766" s="90" t="str">
        <f>VLOOKUP(B5766,'All Districts'!$A$3:$B$874,2,FALSE)</f>
        <v>Scotia-Glenville</v>
      </c>
      <c r="D5766" s="14">
        <v>3170816</v>
      </c>
      <c r="E5766">
        <f>VLOOKUP(C5766,'All Districts'!$B$3:$C$874,2,FALSE)</f>
        <v>3626310</v>
      </c>
      <c r="F5766" s="91">
        <f>COUNTIF($E$2:$E$7106,E5766)</f>
        <v>9</v>
      </c>
    </row>
    <row r="5767" spans="1:6" x14ac:dyDescent="0.2">
      <c r="A5767">
        <v>2016</v>
      </c>
      <c r="B5767" s="13">
        <v>2535</v>
      </c>
      <c r="C5767" s="90" t="str">
        <f>VLOOKUP(B5767,'All Districts'!$A$3:$B$874,2,FALSE)</f>
        <v>Scotia-Glenville</v>
      </c>
      <c r="D5767" s="16">
        <v>2430072</v>
      </c>
      <c r="E5767">
        <f>VLOOKUP(C5767,'All Districts'!$B$3:$C$874,2,FALSE)</f>
        <v>3626310</v>
      </c>
      <c r="F5767" s="91">
        <f>COUNTIF($E$2:$E$7106,E5767)</f>
        <v>9</v>
      </c>
    </row>
    <row r="5768" spans="1:6" x14ac:dyDescent="0.2">
      <c r="A5768">
        <v>2017</v>
      </c>
      <c r="B5768" s="13">
        <v>2535</v>
      </c>
      <c r="C5768" s="90" t="str">
        <f>VLOOKUP(B5768,'All Districts'!$A$3:$B$874,2,FALSE)</f>
        <v>Scotia-Glenville</v>
      </c>
      <c r="D5768" s="16">
        <v>2219898</v>
      </c>
      <c r="E5768">
        <f>VLOOKUP(C5768,'All Districts'!$B$3:$C$874,2,FALSE)</f>
        <v>3626310</v>
      </c>
      <c r="F5768" s="91">
        <f>COUNTIF($E$2:$E$7106,E5768)</f>
        <v>9</v>
      </c>
    </row>
    <row r="5769" spans="1:6" x14ac:dyDescent="0.2">
      <c r="A5769" s="10">
        <v>2018</v>
      </c>
      <c r="B5769" s="13">
        <v>2535</v>
      </c>
      <c r="C5769" s="90" t="str">
        <f>VLOOKUP(B5769,'All Districts'!$A$3:$B$874,2,FALSE)</f>
        <v>Scotia-Glenville</v>
      </c>
      <c r="D5769" s="15">
        <v>1907254</v>
      </c>
      <c r="E5769">
        <f>VLOOKUP(C5769,'All Districts'!$B$3:$C$874,2,FALSE)</f>
        <v>3626310</v>
      </c>
      <c r="F5769" s="91">
        <f>COUNTIF($E$2:$E$7106,E5769)</f>
        <v>9</v>
      </c>
    </row>
    <row r="5770" spans="1:6" x14ac:dyDescent="0.2">
      <c r="A5770">
        <v>2019</v>
      </c>
      <c r="B5770" s="36">
        <v>2535</v>
      </c>
      <c r="C5770" s="90" t="str">
        <f>VLOOKUP(B5770,'All Districts'!$A$3:$B$874,2,FALSE)</f>
        <v>Scotia-Glenville</v>
      </c>
      <c r="D5770" s="40">
        <v>2096135</v>
      </c>
      <c r="E5770">
        <f>VLOOKUP(C5770,'All Districts'!$B$3:$C$874,2,FALSE)</f>
        <v>3626310</v>
      </c>
      <c r="F5770" s="91">
        <f>COUNTIF($E$2:$E$7106,E5770)</f>
        <v>9</v>
      </c>
    </row>
    <row r="5771" spans="1:6" x14ac:dyDescent="0.2">
      <c r="A5771">
        <v>2020</v>
      </c>
      <c r="B5771" s="36">
        <v>2535</v>
      </c>
      <c r="C5771" s="90" t="str">
        <f>VLOOKUP(B5771,'All Districts'!$A$3:$B$874,2,FALSE)</f>
        <v>Scotia-Glenville</v>
      </c>
      <c r="D5771" s="40">
        <v>1803688</v>
      </c>
      <c r="E5771">
        <f>VLOOKUP(C5771,'All Districts'!$B$3:$C$874,2,FALSE)</f>
        <v>3626310</v>
      </c>
      <c r="F5771" s="91">
        <f>COUNTIF($E$2:$E$7106,E5771)</f>
        <v>9</v>
      </c>
    </row>
    <row r="5772" spans="1:6" x14ac:dyDescent="0.2">
      <c r="A5772" s="10">
        <v>2021</v>
      </c>
      <c r="B5772" s="52">
        <v>2535</v>
      </c>
      <c r="C5772" s="90" t="str">
        <f>VLOOKUP(B5772,'All Districts'!$A$3:$B$874,2,FALSE)</f>
        <v>Scotia-Glenville</v>
      </c>
      <c r="D5772" s="76">
        <v>1979403</v>
      </c>
      <c r="E5772">
        <f>VLOOKUP(C5772,'All Districts'!$B$3:$C$874,2,FALSE)</f>
        <v>3626310</v>
      </c>
      <c r="F5772" s="91">
        <f>COUNTIF($E$2:$E$7106,E5772)</f>
        <v>9</v>
      </c>
    </row>
    <row r="5773" spans="1:6" x14ac:dyDescent="0.2">
      <c r="A5773">
        <v>2022</v>
      </c>
      <c r="B5773" s="36">
        <v>2535</v>
      </c>
      <c r="C5773" s="90" t="str">
        <f>VLOOKUP(B5773,'All Districts'!$A$3:$B$874,2,FALSE)</f>
        <v>Scotia-Glenville</v>
      </c>
      <c r="D5773" s="82">
        <v>2088315</v>
      </c>
      <c r="E5773">
        <f>VLOOKUP(C5773,'All Districts'!$B$3:$C$874,2,FALSE)</f>
        <v>3626310</v>
      </c>
      <c r="F5773" s="91">
        <f>COUNTIF($E$2:$E$7106,E5773)</f>
        <v>9</v>
      </c>
    </row>
    <row r="5774" spans="1:6" x14ac:dyDescent="0.2">
      <c r="A5774">
        <v>2023</v>
      </c>
      <c r="B5774" s="36">
        <v>2535</v>
      </c>
      <c r="C5774" s="90" t="str">
        <f>VLOOKUP(B5774,'All Districts'!$A$3:$B$874,2,FALSE)</f>
        <v>Scotia-Glenville</v>
      </c>
      <c r="D5774" s="40">
        <v>2235362</v>
      </c>
      <c r="E5774">
        <f>VLOOKUP(C5774,'All Districts'!$B$3:$C$874,2,FALSE)</f>
        <v>3626310</v>
      </c>
      <c r="F5774" s="91">
        <f>COUNTIF($E$2:$E$7106,E5774)</f>
        <v>9</v>
      </c>
    </row>
    <row r="5775" spans="1:6" x14ac:dyDescent="0.2">
      <c r="A5775">
        <v>2015</v>
      </c>
      <c r="B5775" s="13">
        <v>2541</v>
      </c>
      <c r="C5775" s="90" t="str">
        <f>VLOOKUP(B5775,'All Districts'!$A$3:$B$874,2,FALSE)</f>
        <v>Seaford</v>
      </c>
      <c r="D5775" s="14">
        <v>4526707</v>
      </c>
      <c r="E5775">
        <f>VLOOKUP(C5775,'All Districts'!$B$3:$C$874,2,FALSE)</f>
        <v>3626400</v>
      </c>
      <c r="F5775" s="91">
        <f>COUNTIF($E$2:$E$7106,E5775)</f>
        <v>9</v>
      </c>
    </row>
    <row r="5776" spans="1:6" x14ac:dyDescent="0.2">
      <c r="A5776">
        <v>2016</v>
      </c>
      <c r="B5776" s="13">
        <v>2541</v>
      </c>
      <c r="C5776" s="90" t="str">
        <f>VLOOKUP(B5776,'All Districts'!$A$3:$B$874,2,FALSE)</f>
        <v>Seaford</v>
      </c>
      <c r="D5776" s="16">
        <v>3591795</v>
      </c>
      <c r="E5776">
        <f>VLOOKUP(C5776,'All Districts'!$B$3:$C$874,2,FALSE)</f>
        <v>3626400</v>
      </c>
      <c r="F5776" s="91">
        <f>COUNTIF($E$2:$E$7106,E5776)</f>
        <v>9</v>
      </c>
    </row>
    <row r="5777" spans="1:6" x14ac:dyDescent="0.2">
      <c r="A5777">
        <v>2017</v>
      </c>
      <c r="B5777" s="13">
        <v>2541</v>
      </c>
      <c r="C5777" s="90" t="str">
        <f>VLOOKUP(B5777,'All Districts'!$A$3:$B$874,2,FALSE)</f>
        <v>Seaford</v>
      </c>
      <c r="D5777" s="16">
        <v>3178872</v>
      </c>
      <c r="E5777">
        <f>VLOOKUP(C5777,'All Districts'!$B$3:$C$874,2,FALSE)</f>
        <v>3626400</v>
      </c>
      <c r="F5777" s="91">
        <f>COUNTIF($E$2:$E$7106,E5777)</f>
        <v>9</v>
      </c>
    </row>
    <row r="5778" spans="1:6" x14ac:dyDescent="0.2">
      <c r="A5778" s="10">
        <v>2018</v>
      </c>
      <c r="B5778" s="13">
        <v>2541</v>
      </c>
      <c r="C5778" s="90" t="str">
        <f>VLOOKUP(B5778,'All Districts'!$A$3:$B$874,2,FALSE)</f>
        <v>Seaford</v>
      </c>
      <c r="D5778" s="15">
        <v>2741910</v>
      </c>
      <c r="E5778">
        <f>VLOOKUP(C5778,'All Districts'!$B$3:$C$874,2,FALSE)</f>
        <v>3626400</v>
      </c>
      <c r="F5778" s="91">
        <f>COUNTIF($E$2:$E$7106,E5778)</f>
        <v>9</v>
      </c>
    </row>
    <row r="5779" spans="1:6" x14ac:dyDescent="0.2">
      <c r="A5779">
        <v>2019</v>
      </c>
      <c r="B5779" s="36">
        <v>2541</v>
      </c>
      <c r="C5779" s="90" t="str">
        <f>VLOOKUP(B5779,'All Districts'!$A$3:$B$874,2,FALSE)</f>
        <v>Seaford</v>
      </c>
      <c r="D5779" s="40">
        <v>2984797</v>
      </c>
      <c r="E5779">
        <f>VLOOKUP(C5779,'All Districts'!$B$3:$C$874,2,FALSE)</f>
        <v>3626400</v>
      </c>
      <c r="F5779" s="91">
        <f>COUNTIF($E$2:$E$7106,E5779)</f>
        <v>9</v>
      </c>
    </row>
    <row r="5780" spans="1:6" x14ac:dyDescent="0.2">
      <c r="A5780">
        <v>2020</v>
      </c>
      <c r="B5780" s="36">
        <v>2541</v>
      </c>
      <c r="C5780" s="90" t="str">
        <f>VLOOKUP(B5780,'All Districts'!$A$3:$B$874,2,FALSE)</f>
        <v>Seaford</v>
      </c>
      <c r="D5780" s="40">
        <v>2583639</v>
      </c>
      <c r="E5780">
        <f>VLOOKUP(C5780,'All Districts'!$B$3:$C$874,2,FALSE)</f>
        <v>3626400</v>
      </c>
      <c r="F5780" s="91">
        <f>COUNTIF($E$2:$E$7106,E5780)</f>
        <v>9</v>
      </c>
    </row>
    <row r="5781" spans="1:6" x14ac:dyDescent="0.2">
      <c r="A5781" s="10">
        <v>2021</v>
      </c>
      <c r="B5781" s="52">
        <v>2541</v>
      </c>
      <c r="C5781" s="90" t="str">
        <f>VLOOKUP(B5781,'All Districts'!$A$3:$B$874,2,FALSE)</f>
        <v>Seaford</v>
      </c>
      <c r="D5781" s="75">
        <v>2802691</v>
      </c>
      <c r="E5781">
        <f>VLOOKUP(C5781,'All Districts'!$B$3:$C$874,2,FALSE)</f>
        <v>3626400</v>
      </c>
      <c r="F5781" s="91">
        <f>COUNTIF($E$2:$E$7106,E5781)</f>
        <v>9</v>
      </c>
    </row>
    <row r="5782" spans="1:6" x14ac:dyDescent="0.2">
      <c r="A5782">
        <v>2022</v>
      </c>
      <c r="B5782" s="36">
        <v>2541</v>
      </c>
      <c r="C5782" s="90" t="str">
        <f>VLOOKUP(B5782,'All Districts'!$A$3:$B$874,2,FALSE)</f>
        <v>Seaford</v>
      </c>
      <c r="D5782" s="82">
        <v>2993189</v>
      </c>
      <c r="E5782">
        <f>VLOOKUP(C5782,'All Districts'!$B$3:$C$874,2,FALSE)</f>
        <v>3626400</v>
      </c>
      <c r="F5782" s="91">
        <f>COUNTIF($E$2:$E$7106,E5782)</f>
        <v>9</v>
      </c>
    </row>
    <row r="5783" spans="1:6" x14ac:dyDescent="0.2">
      <c r="A5783">
        <v>2023</v>
      </c>
      <c r="B5783" s="36">
        <v>2541</v>
      </c>
      <c r="C5783" s="90" t="str">
        <f>VLOOKUP(B5783,'All Districts'!$A$3:$B$874,2,FALSE)</f>
        <v>Seaford</v>
      </c>
      <c r="D5783" s="40">
        <v>3191971</v>
      </c>
      <c r="E5783">
        <f>VLOOKUP(C5783,'All Districts'!$B$3:$C$874,2,FALSE)</f>
        <v>3626400</v>
      </c>
      <c r="F5783" s="91">
        <f>COUNTIF($E$2:$E$7106,E5783)</f>
        <v>9</v>
      </c>
    </row>
    <row r="5784" spans="1:6" x14ac:dyDescent="0.2">
      <c r="A5784">
        <v>2015</v>
      </c>
      <c r="B5784" s="13">
        <v>2545</v>
      </c>
      <c r="C5784" s="90" t="str">
        <f>VLOOKUP(B5784,'All Districts'!$A$3:$B$874,2,FALSE)</f>
        <v>Seneca Falls</v>
      </c>
      <c r="D5784" s="14">
        <v>1401578</v>
      </c>
      <c r="E5784">
        <f>VLOOKUP(C5784,'All Districts'!$B$3:$C$874,2,FALSE)</f>
        <v>3626430</v>
      </c>
      <c r="F5784" s="91">
        <f>COUNTIF($E$2:$E$7106,E5784)</f>
        <v>9</v>
      </c>
    </row>
    <row r="5785" spans="1:6" x14ac:dyDescent="0.2">
      <c r="A5785">
        <v>2016</v>
      </c>
      <c r="B5785" s="13">
        <v>2545</v>
      </c>
      <c r="C5785" s="90" t="str">
        <f>VLOOKUP(B5785,'All Districts'!$A$3:$B$874,2,FALSE)</f>
        <v>Seneca Falls</v>
      </c>
      <c r="D5785" s="16">
        <v>1077090</v>
      </c>
      <c r="E5785">
        <f>VLOOKUP(C5785,'All Districts'!$B$3:$C$874,2,FALSE)</f>
        <v>3626430</v>
      </c>
      <c r="F5785" s="91">
        <f>COUNTIF($E$2:$E$7106,E5785)</f>
        <v>9</v>
      </c>
    </row>
    <row r="5786" spans="1:6" x14ac:dyDescent="0.2">
      <c r="A5786">
        <v>2017</v>
      </c>
      <c r="B5786" s="13">
        <v>2545</v>
      </c>
      <c r="C5786" s="90" t="str">
        <f>VLOOKUP(B5786,'All Districts'!$A$3:$B$874,2,FALSE)</f>
        <v>Seneca Falls</v>
      </c>
      <c r="D5786" s="16">
        <v>988772</v>
      </c>
      <c r="E5786">
        <f>VLOOKUP(C5786,'All Districts'!$B$3:$C$874,2,FALSE)</f>
        <v>3626430</v>
      </c>
      <c r="F5786" s="91">
        <f>COUNTIF($E$2:$E$7106,E5786)</f>
        <v>9</v>
      </c>
    </row>
    <row r="5787" spans="1:6" x14ac:dyDescent="0.2">
      <c r="A5787" s="10">
        <v>2018</v>
      </c>
      <c r="B5787" s="13">
        <v>2545</v>
      </c>
      <c r="C5787" s="90" t="str">
        <f>VLOOKUP(B5787,'All Districts'!$A$3:$B$874,2,FALSE)</f>
        <v>Seneca Falls</v>
      </c>
      <c r="D5787" s="15">
        <v>842104</v>
      </c>
      <c r="E5787">
        <f>VLOOKUP(C5787,'All Districts'!$B$3:$C$874,2,FALSE)</f>
        <v>3626430</v>
      </c>
      <c r="F5787" s="91">
        <f>COUNTIF($E$2:$E$7106,E5787)</f>
        <v>9</v>
      </c>
    </row>
    <row r="5788" spans="1:6" x14ac:dyDescent="0.2">
      <c r="A5788">
        <v>2019</v>
      </c>
      <c r="B5788" s="36">
        <v>2545</v>
      </c>
      <c r="C5788" s="90" t="str">
        <f>VLOOKUP(B5788,'All Districts'!$A$3:$B$874,2,FALSE)</f>
        <v>Seneca Falls</v>
      </c>
      <c r="D5788" s="40">
        <v>910881</v>
      </c>
      <c r="E5788">
        <f>VLOOKUP(C5788,'All Districts'!$B$3:$C$874,2,FALSE)</f>
        <v>3626430</v>
      </c>
      <c r="F5788" s="91">
        <f>COUNTIF($E$2:$E$7106,E5788)</f>
        <v>9</v>
      </c>
    </row>
    <row r="5789" spans="1:6" x14ac:dyDescent="0.2">
      <c r="A5789">
        <v>2020</v>
      </c>
      <c r="B5789" s="36">
        <v>2545</v>
      </c>
      <c r="C5789" s="90" t="str">
        <f>VLOOKUP(B5789,'All Districts'!$A$3:$B$874,2,FALSE)</f>
        <v>Seneca Falls</v>
      </c>
      <c r="D5789" s="40">
        <v>783802</v>
      </c>
      <c r="E5789">
        <f>VLOOKUP(C5789,'All Districts'!$B$3:$C$874,2,FALSE)</f>
        <v>3626430</v>
      </c>
      <c r="F5789" s="91">
        <f>COUNTIF($E$2:$E$7106,E5789)</f>
        <v>9</v>
      </c>
    </row>
    <row r="5790" spans="1:6" x14ac:dyDescent="0.2">
      <c r="A5790" s="10">
        <v>2021</v>
      </c>
      <c r="B5790" s="55">
        <v>2545</v>
      </c>
      <c r="C5790" s="90" t="str">
        <f>VLOOKUP(B5790,'All Districts'!$A$3:$B$874,2,FALSE)</f>
        <v>Seneca Falls</v>
      </c>
      <c r="D5790" s="76">
        <v>847619</v>
      </c>
      <c r="E5790">
        <f>VLOOKUP(C5790,'All Districts'!$B$3:$C$874,2,FALSE)</f>
        <v>3626430</v>
      </c>
      <c r="F5790" s="91">
        <f>COUNTIF($E$2:$E$7106,E5790)</f>
        <v>9</v>
      </c>
    </row>
    <row r="5791" spans="1:6" x14ac:dyDescent="0.2">
      <c r="A5791">
        <v>2022</v>
      </c>
      <c r="B5791" s="36">
        <v>2545</v>
      </c>
      <c r="C5791" s="90" t="str">
        <f>VLOOKUP(B5791,'All Districts'!$A$3:$B$874,2,FALSE)</f>
        <v>Seneca Falls</v>
      </c>
      <c r="D5791" s="82">
        <v>910270</v>
      </c>
      <c r="E5791">
        <f>VLOOKUP(C5791,'All Districts'!$B$3:$C$874,2,FALSE)</f>
        <v>3626430</v>
      </c>
      <c r="F5791" s="91">
        <f>COUNTIF($E$2:$E$7106,E5791)</f>
        <v>9</v>
      </c>
    </row>
    <row r="5792" spans="1:6" x14ac:dyDescent="0.2">
      <c r="A5792">
        <v>2023</v>
      </c>
      <c r="B5792" s="36">
        <v>2545</v>
      </c>
      <c r="C5792" s="90" t="str">
        <f>VLOOKUP(B5792,'All Districts'!$A$3:$B$874,2,FALSE)</f>
        <v>Seneca Falls</v>
      </c>
      <c r="D5792" s="40">
        <v>1021259</v>
      </c>
      <c r="E5792">
        <f>VLOOKUP(C5792,'All Districts'!$B$3:$C$874,2,FALSE)</f>
        <v>3626430</v>
      </c>
      <c r="F5792" s="91">
        <f>COUNTIF($E$2:$E$7106,E5792)</f>
        <v>9</v>
      </c>
    </row>
    <row r="5793" spans="1:6" x14ac:dyDescent="0.2">
      <c r="A5793">
        <v>2015</v>
      </c>
      <c r="B5793" s="13">
        <v>4367</v>
      </c>
      <c r="C5793" s="90" t="str">
        <f>VLOOKUP(B5793,'All Districts'!$A$3:$B$874,2,FALSE)</f>
        <v>Sewanhaka</v>
      </c>
      <c r="D5793" s="14">
        <v>13933997</v>
      </c>
      <c r="E5793">
        <f>VLOOKUP(C5793,'All Districts'!$B$3:$C$874,2,FALSE)</f>
        <v>3626520</v>
      </c>
      <c r="F5793" s="91">
        <f>COUNTIF($E$2:$E$7106,E5793)</f>
        <v>9</v>
      </c>
    </row>
    <row r="5794" spans="1:6" x14ac:dyDescent="0.2">
      <c r="A5794">
        <v>2016</v>
      </c>
      <c r="B5794" s="13">
        <v>4367</v>
      </c>
      <c r="C5794" s="90" t="str">
        <f>VLOOKUP(B5794,'All Districts'!$A$3:$B$874,2,FALSE)</f>
        <v>Sewanhaka</v>
      </c>
      <c r="D5794" s="16">
        <v>10846792</v>
      </c>
      <c r="E5794">
        <f>VLOOKUP(C5794,'All Districts'!$B$3:$C$874,2,FALSE)</f>
        <v>3626520</v>
      </c>
      <c r="F5794" s="91">
        <f>COUNTIF($E$2:$E$7106,E5794)</f>
        <v>9</v>
      </c>
    </row>
    <row r="5795" spans="1:6" x14ac:dyDescent="0.2">
      <c r="A5795">
        <v>2017</v>
      </c>
      <c r="B5795" s="13">
        <v>4367</v>
      </c>
      <c r="C5795" s="90" t="str">
        <f>VLOOKUP(B5795,'All Districts'!$A$3:$B$874,2,FALSE)</f>
        <v>Sewanhaka</v>
      </c>
      <c r="D5795" s="16">
        <v>9872937</v>
      </c>
      <c r="E5795">
        <f>VLOOKUP(C5795,'All Districts'!$B$3:$C$874,2,FALSE)</f>
        <v>3626520</v>
      </c>
      <c r="F5795" s="91">
        <f>COUNTIF($E$2:$E$7106,E5795)</f>
        <v>9</v>
      </c>
    </row>
    <row r="5796" spans="1:6" x14ac:dyDescent="0.2">
      <c r="A5796" s="10">
        <v>2018</v>
      </c>
      <c r="B5796" s="13">
        <v>4367</v>
      </c>
      <c r="C5796" s="90" t="str">
        <f>VLOOKUP(B5796,'All Districts'!$A$3:$B$874,2,FALSE)</f>
        <v>Sewanhaka</v>
      </c>
      <c r="D5796" s="15">
        <v>8355495</v>
      </c>
      <c r="E5796">
        <f>VLOOKUP(C5796,'All Districts'!$B$3:$C$874,2,FALSE)</f>
        <v>3626520</v>
      </c>
      <c r="F5796" s="91">
        <f>COUNTIF($E$2:$E$7106,E5796)</f>
        <v>9</v>
      </c>
    </row>
    <row r="5797" spans="1:6" x14ac:dyDescent="0.2">
      <c r="A5797">
        <v>2019</v>
      </c>
      <c r="B5797" s="36">
        <v>4367</v>
      </c>
      <c r="C5797" s="90" t="str">
        <f>VLOOKUP(B5797,'All Districts'!$A$3:$B$874,2,FALSE)</f>
        <v>Sewanhaka</v>
      </c>
      <c r="D5797" s="40">
        <v>9262309</v>
      </c>
      <c r="E5797">
        <f>VLOOKUP(C5797,'All Districts'!$B$3:$C$874,2,FALSE)</f>
        <v>3626520</v>
      </c>
      <c r="F5797" s="91">
        <f>COUNTIF($E$2:$E$7106,E5797)</f>
        <v>9</v>
      </c>
    </row>
    <row r="5798" spans="1:6" x14ac:dyDescent="0.2">
      <c r="A5798">
        <v>2020</v>
      </c>
      <c r="B5798" s="36">
        <v>4367</v>
      </c>
      <c r="C5798" s="90" t="str">
        <f>VLOOKUP(B5798,'All Districts'!$A$3:$B$874,2,FALSE)</f>
        <v>Sewanhaka</v>
      </c>
      <c r="D5798" s="40">
        <v>7934200</v>
      </c>
      <c r="E5798">
        <f>VLOOKUP(C5798,'All Districts'!$B$3:$C$874,2,FALSE)</f>
        <v>3626520</v>
      </c>
      <c r="F5798" s="91">
        <f>COUNTIF($E$2:$E$7106,E5798)</f>
        <v>9</v>
      </c>
    </row>
    <row r="5799" spans="1:6" x14ac:dyDescent="0.2">
      <c r="A5799" s="10">
        <v>2021</v>
      </c>
      <c r="B5799" s="52">
        <v>4367</v>
      </c>
      <c r="C5799" s="90" t="str">
        <f>VLOOKUP(B5799,'All Districts'!$A$3:$B$874,2,FALSE)</f>
        <v>Sewanhaka</v>
      </c>
      <c r="D5799" s="75">
        <v>8973061</v>
      </c>
      <c r="E5799">
        <f>VLOOKUP(C5799,'All Districts'!$B$3:$C$874,2,FALSE)</f>
        <v>3626520</v>
      </c>
      <c r="F5799" s="91">
        <f>COUNTIF($E$2:$E$7106,E5799)</f>
        <v>9</v>
      </c>
    </row>
    <row r="5800" spans="1:6" x14ac:dyDescent="0.2">
      <c r="A5800">
        <v>2022</v>
      </c>
      <c r="B5800" s="36">
        <v>4367</v>
      </c>
      <c r="C5800" s="90" t="str">
        <f>VLOOKUP(B5800,'All Districts'!$A$3:$B$874,2,FALSE)</f>
        <v>Sewanhaka</v>
      </c>
      <c r="D5800" s="82">
        <v>9654501</v>
      </c>
      <c r="E5800">
        <f>VLOOKUP(C5800,'All Districts'!$B$3:$C$874,2,FALSE)</f>
        <v>3626520</v>
      </c>
      <c r="F5800" s="91">
        <f>COUNTIF($E$2:$E$7106,E5800)</f>
        <v>9</v>
      </c>
    </row>
    <row r="5801" spans="1:6" x14ac:dyDescent="0.2">
      <c r="A5801">
        <v>2023</v>
      </c>
      <c r="B5801" s="36">
        <v>4367</v>
      </c>
      <c r="C5801" s="90" t="str">
        <f>VLOOKUP(B5801,'All Districts'!$A$3:$B$874,2,FALSE)</f>
        <v>Sewanhaka</v>
      </c>
      <c r="D5801" s="40">
        <v>10489267</v>
      </c>
      <c r="E5801">
        <f>VLOOKUP(C5801,'All Districts'!$B$3:$C$874,2,FALSE)</f>
        <v>3626520</v>
      </c>
      <c r="F5801" s="91">
        <f>COUNTIF($E$2:$E$7106,E5801)</f>
        <v>9</v>
      </c>
    </row>
    <row r="5802" spans="1:6" x14ac:dyDescent="0.2">
      <c r="A5802">
        <v>2015</v>
      </c>
      <c r="B5802" s="13">
        <v>3041</v>
      </c>
      <c r="C5802" s="90" t="str">
        <f>VLOOKUP(B5802,'All Districts'!$A$3:$B$874,2,FALSE)</f>
        <v>Sharon Springs</v>
      </c>
      <c r="D5802" s="14">
        <v>414286</v>
      </c>
      <c r="E5802">
        <f>VLOOKUP(C5802,'All Districts'!$B$3:$C$874,2,FALSE)</f>
        <v>3626580</v>
      </c>
      <c r="F5802" s="91">
        <f>COUNTIF($E$2:$E$7106,E5802)</f>
        <v>9</v>
      </c>
    </row>
    <row r="5803" spans="1:6" x14ac:dyDescent="0.2">
      <c r="A5803">
        <v>2016</v>
      </c>
      <c r="B5803" s="13">
        <v>3041</v>
      </c>
      <c r="C5803" s="90" t="str">
        <f>VLOOKUP(B5803,'All Districts'!$A$3:$B$874,2,FALSE)</f>
        <v>Sharon Springs</v>
      </c>
      <c r="D5803" s="16">
        <v>326949</v>
      </c>
      <c r="E5803">
        <f>VLOOKUP(C5803,'All Districts'!$B$3:$C$874,2,FALSE)</f>
        <v>3626580</v>
      </c>
      <c r="F5803" s="91">
        <f>COUNTIF($E$2:$E$7106,E5803)</f>
        <v>9</v>
      </c>
    </row>
    <row r="5804" spans="1:6" x14ac:dyDescent="0.2">
      <c r="A5804">
        <v>2017</v>
      </c>
      <c r="B5804" s="13">
        <v>3041</v>
      </c>
      <c r="C5804" s="90" t="str">
        <f>VLOOKUP(B5804,'All Districts'!$A$3:$B$874,2,FALSE)</f>
        <v>Sharon Springs</v>
      </c>
      <c r="D5804" s="16">
        <v>293742</v>
      </c>
      <c r="E5804">
        <f>VLOOKUP(C5804,'All Districts'!$B$3:$C$874,2,FALSE)</f>
        <v>3626580</v>
      </c>
      <c r="F5804" s="91">
        <f>COUNTIF($E$2:$E$7106,E5804)</f>
        <v>9</v>
      </c>
    </row>
    <row r="5805" spans="1:6" x14ac:dyDescent="0.2">
      <c r="A5805" s="10">
        <v>2018</v>
      </c>
      <c r="B5805" s="13">
        <v>3041</v>
      </c>
      <c r="C5805" s="90" t="str">
        <f>VLOOKUP(B5805,'All Districts'!$A$3:$B$874,2,FALSE)</f>
        <v>Sharon Springs</v>
      </c>
      <c r="D5805" s="15">
        <v>256397</v>
      </c>
      <c r="E5805">
        <f>VLOOKUP(C5805,'All Districts'!$B$3:$C$874,2,FALSE)</f>
        <v>3626580</v>
      </c>
      <c r="F5805" s="91">
        <f>COUNTIF($E$2:$E$7106,E5805)</f>
        <v>9</v>
      </c>
    </row>
    <row r="5806" spans="1:6" x14ac:dyDescent="0.2">
      <c r="A5806">
        <v>2019</v>
      </c>
      <c r="B5806" s="36">
        <v>3041</v>
      </c>
      <c r="C5806" s="90" t="str">
        <f>VLOOKUP(B5806,'All Districts'!$A$3:$B$874,2,FALSE)</f>
        <v>Sharon Springs</v>
      </c>
      <c r="D5806" s="40">
        <v>271035</v>
      </c>
      <c r="E5806">
        <f>VLOOKUP(C5806,'All Districts'!$B$3:$C$874,2,FALSE)</f>
        <v>3626580</v>
      </c>
      <c r="F5806" s="91">
        <f>COUNTIF($E$2:$E$7106,E5806)</f>
        <v>9</v>
      </c>
    </row>
    <row r="5807" spans="1:6" x14ac:dyDescent="0.2">
      <c r="A5807">
        <v>2020</v>
      </c>
      <c r="B5807" s="36">
        <v>3041</v>
      </c>
      <c r="C5807" s="90" t="str">
        <f>VLOOKUP(B5807,'All Districts'!$A$3:$B$874,2,FALSE)</f>
        <v>Sharon Springs</v>
      </c>
      <c r="D5807" s="40">
        <v>234156</v>
      </c>
      <c r="E5807">
        <f>VLOOKUP(C5807,'All Districts'!$B$3:$C$874,2,FALSE)</f>
        <v>3626580</v>
      </c>
      <c r="F5807" s="91">
        <f>COUNTIF($E$2:$E$7106,E5807)</f>
        <v>9</v>
      </c>
    </row>
    <row r="5808" spans="1:6" x14ac:dyDescent="0.2">
      <c r="A5808" s="10">
        <v>2021</v>
      </c>
      <c r="B5808" s="52">
        <v>3041</v>
      </c>
      <c r="C5808" s="90" t="str">
        <f>VLOOKUP(B5808,'All Districts'!$A$3:$B$874,2,FALSE)</f>
        <v>Sharon Springs</v>
      </c>
      <c r="D5808" s="76">
        <v>243057</v>
      </c>
      <c r="E5808">
        <f>VLOOKUP(C5808,'All Districts'!$B$3:$C$874,2,FALSE)</f>
        <v>3626580</v>
      </c>
      <c r="F5808" s="91">
        <f>COUNTIF($E$2:$E$7106,E5808)</f>
        <v>9</v>
      </c>
    </row>
    <row r="5809" spans="1:6" x14ac:dyDescent="0.2">
      <c r="A5809">
        <v>2022</v>
      </c>
      <c r="B5809" s="36">
        <v>3041</v>
      </c>
      <c r="C5809" s="90" t="str">
        <f>VLOOKUP(B5809,'All Districts'!$A$3:$B$874,2,FALSE)</f>
        <v>Sharon Springs</v>
      </c>
      <c r="D5809" s="82">
        <v>257150</v>
      </c>
      <c r="E5809">
        <f>VLOOKUP(C5809,'All Districts'!$B$3:$C$874,2,FALSE)</f>
        <v>3626580</v>
      </c>
      <c r="F5809" s="91">
        <f>COUNTIF($E$2:$E$7106,E5809)</f>
        <v>9</v>
      </c>
    </row>
    <row r="5810" spans="1:6" x14ac:dyDescent="0.2">
      <c r="A5810">
        <v>2023</v>
      </c>
      <c r="B5810" s="36">
        <v>3041</v>
      </c>
      <c r="C5810" s="90" t="str">
        <f>VLOOKUP(B5810,'All Districts'!$A$3:$B$874,2,FALSE)</f>
        <v>Sharon Springs</v>
      </c>
      <c r="D5810" s="40">
        <v>285496</v>
      </c>
      <c r="E5810">
        <f>VLOOKUP(C5810,'All Districts'!$B$3:$C$874,2,FALSE)</f>
        <v>3626580</v>
      </c>
      <c r="F5810" s="91">
        <f>COUNTIF($E$2:$E$7106,E5810)</f>
        <v>9</v>
      </c>
    </row>
    <row r="5811" spans="1:6" x14ac:dyDescent="0.2">
      <c r="A5811">
        <v>2015</v>
      </c>
      <c r="B5811" s="13">
        <v>5359</v>
      </c>
      <c r="C5811" s="90" t="str">
        <f>VLOOKUP(B5811,'All Districts'!$A$3:$B$874,2,FALSE)</f>
        <v>Shelter Island</v>
      </c>
      <c r="D5811" s="14">
        <v>743935</v>
      </c>
      <c r="E5811">
        <f>VLOOKUP(C5811,'All Districts'!$B$3:$C$874,2,FALSE)</f>
        <v>3626640</v>
      </c>
      <c r="F5811" s="91">
        <f>COUNTIF($E$2:$E$7106,E5811)</f>
        <v>9</v>
      </c>
    </row>
    <row r="5812" spans="1:6" x14ac:dyDescent="0.2">
      <c r="A5812">
        <v>2016</v>
      </c>
      <c r="B5812" s="13">
        <v>5359</v>
      </c>
      <c r="C5812" s="90" t="str">
        <f>VLOOKUP(B5812,'All Districts'!$A$3:$B$874,2,FALSE)</f>
        <v>Shelter Island</v>
      </c>
      <c r="D5812" s="16">
        <v>585379</v>
      </c>
      <c r="E5812">
        <f>VLOOKUP(C5812,'All Districts'!$B$3:$C$874,2,FALSE)</f>
        <v>3626640</v>
      </c>
      <c r="F5812" s="91">
        <f>COUNTIF($E$2:$E$7106,E5812)</f>
        <v>9</v>
      </c>
    </row>
    <row r="5813" spans="1:6" x14ac:dyDescent="0.2">
      <c r="A5813">
        <v>2017</v>
      </c>
      <c r="B5813" s="13">
        <v>5359</v>
      </c>
      <c r="C5813" s="90" t="str">
        <f>VLOOKUP(B5813,'All Districts'!$A$3:$B$874,2,FALSE)</f>
        <v>Shelter Island</v>
      </c>
      <c r="D5813" s="16">
        <v>519292</v>
      </c>
      <c r="E5813">
        <f>VLOOKUP(C5813,'All Districts'!$B$3:$C$874,2,FALSE)</f>
        <v>3626640</v>
      </c>
      <c r="F5813" s="91">
        <f>COUNTIF($E$2:$E$7106,E5813)</f>
        <v>9</v>
      </c>
    </row>
    <row r="5814" spans="1:6" x14ac:dyDescent="0.2">
      <c r="A5814" s="10">
        <v>2018</v>
      </c>
      <c r="B5814" s="13">
        <v>5359</v>
      </c>
      <c r="C5814" s="90" t="str">
        <f>VLOOKUP(B5814,'All Districts'!$A$3:$B$874,2,FALSE)</f>
        <v>Shelter Island</v>
      </c>
      <c r="D5814" s="15">
        <v>440648</v>
      </c>
      <c r="E5814">
        <f>VLOOKUP(C5814,'All Districts'!$B$3:$C$874,2,FALSE)</f>
        <v>3626640</v>
      </c>
      <c r="F5814" s="91">
        <f>COUNTIF($E$2:$E$7106,E5814)</f>
        <v>9</v>
      </c>
    </row>
    <row r="5815" spans="1:6" x14ac:dyDescent="0.2">
      <c r="A5815">
        <v>2019</v>
      </c>
      <c r="B5815" s="36">
        <v>5359</v>
      </c>
      <c r="C5815" s="90" t="str">
        <f>VLOOKUP(B5815,'All Districts'!$A$3:$B$874,2,FALSE)</f>
        <v>Shelter Island</v>
      </c>
      <c r="D5815" s="40">
        <v>491766</v>
      </c>
      <c r="E5815">
        <f>VLOOKUP(C5815,'All Districts'!$B$3:$C$874,2,FALSE)</f>
        <v>3626640</v>
      </c>
      <c r="F5815" s="91">
        <f>COUNTIF($E$2:$E$7106,E5815)</f>
        <v>9</v>
      </c>
    </row>
    <row r="5816" spans="1:6" x14ac:dyDescent="0.2">
      <c r="A5816">
        <v>2020</v>
      </c>
      <c r="B5816" s="36">
        <v>5359</v>
      </c>
      <c r="C5816" s="90" t="str">
        <f>VLOOKUP(B5816,'All Districts'!$A$3:$B$874,2,FALSE)</f>
        <v>Shelter Island</v>
      </c>
      <c r="D5816" s="40">
        <v>412537</v>
      </c>
      <c r="E5816">
        <f>VLOOKUP(C5816,'All Districts'!$B$3:$C$874,2,FALSE)</f>
        <v>3626640</v>
      </c>
      <c r="F5816" s="91">
        <f>COUNTIF($E$2:$E$7106,E5816)</f>
        <v>9</v>
      </c>
    </row>
    <row r="5817" spans="1:6" x14ac:dyDescent="0.2">
      <c r="A5817" s="10">
        <v>2021</v>
      </c>
      <c r="B5817" s="52">
        <v>5359</v>
      </c>
      <c r="C5817" s="90" t="str">
        <f>VLOOKUP(B5817,'All Districts'!$A$3:$B$874,2,FALSE)</f>
        <v>Shelter Island</v>
      </c>
      <c r="D5817" s="76">
        <v>452327</v>
      </c>
      <c r="E5817">
        <f>VLOOKUP(C5817,'All Districts'!$B$3:$C$874,2,FALSE)</f>
        <v>3626640</v>
      </c>
      <c r="F5817" s="91">
        <f>COUNTIF($E$2:$E$7106,E5817)</f>
        <v>9</v>
      </c>
    </row>
    <row r="5818" spans="1:6" x14ac:dyDescent="0.2">
      <c r="A5818">
        <v>2022</v>
      </c>
      <c r="B5818" s="36">
        <v>5359</v>
      </c>
      <c r="C5818" s="90" t="str">
        <f>VLOOKUP(B5818,'All Districts'!$A$3:$B$874,2,FALSE)</f>
        <v>Shelter Island</v>
      </c>
      <c r="D5818" s="82">
        <v>462686</v>
      </c>
      <c r="E5818">
        <f>VLOOKUP(C5818,'All Districts'!$B$3:$C$874,2,FALSE)</f>
        <v>3626640</v>
      </c>
      <c r="F5818" s="91">
        <f>COUNTIF($E$2:$E$7106,E5818)</f>
        <v>9</v>
      </c>
    </row>
    <row r="5819" spans="1:6" x14ac:dyDescent="0.2">
      <c r="A5819">
        <v>2023</v>
      </c>
      <c r="B5819" s="36">
        <v>5359</v>
      </c>
      <c r="C5819" s="90" t="str">
        <f>VLOOKUP(B5819,'All Districts'!$A$3:$B$874,2,FALSE)</f>
        <v>Shelter Island</v>
      </c>
      <c r="D5819" s="40">
        <v>498908</v>
      </c>
      <c r="E5819">
        <f>VLOOKUP(C5819,'All Districts'!$B$3:$C$874,2,FALSE)</f>
        <v>3626640</v>
      </c>
      <c r="F5819" s="91">
        <f>COUNTIF($E$2:$E$7106,E5819)</f>
        <v>9</v>
      </c>
    </row>
    <row r="5820" spans="1:6" x14ac:dyDescent="0.2">
      <c r="A5820">
        <v>2015</v>
      </c>
      <c r="B5820" s="13">
        <v>2547</v>
      </c>
      <c r="C5820" s="90" t="str">
        <f>VLOOKUP(B5820,'All Districts'!$A$3:$B$874,2,FALSE)</f>
        <v>Shenendehowa At Clifton Park</v>
      </c>
      <c r="D5820" s="14">
        <v>9777615</v>
      </c>
      <c r="E5820">
        <f>VLOOKUP(C5820,'All Districts'!$B$3:$C$874,2,FALSE)</f>
        <v>3626670</v>
      </c>
      <c r="F5820" s="91">
        <f>COUNTIF($E$2:$E$7106,E5820)</f>
        <v>9</v>
      </c>
    </row>
    <row r="5821" spans="1:6" x14ac:dyDescent="0.2">
      <c r="A5821">
        <v>2016</v>
      </c>
      <c r="B5821" s="13">
        <v>2547</v>
      </c>
      <c r="C5821" s="90" t="str">
        <f>VLOOKUP(B5821,'All Districts'!$A$3:$B$874,2,FALSE)</f>
        <v>Shenendehowa At Clifton Park</v>
      </c>
      <c r="D5821" s="16">
        <v>7870893</v>
      </c>
      <c r="E5821">
        <f>VLOOKUP(C5821,'All Districts'!$B$3:$C$874,2,FALSE)</f>
        <v>3626670</v>
      </c>
      <c r="F5821" s="91">
        <f>COUNTIF($E$2:$E$7106,E5821)</f>
        <v>9</v>
      </c>
    </row>
    <row r="5822" spans="1:6" x14ac:dyDescent="0.2">
      <c r="A5822">
        <v>2017</v>
      </c>
      <c r="B5822" s="13">
        <v>2547</v>
      </c>
      <c r="C5822" s="90" t="str">
        <f>VLOOKUP(B5822,'All Districts'!$A$3:$B$874,2,FALSE)</f>
        <v>Shenendehowa At Clifton Park</v>
      </c>
      <c r="D5822" s="16">
        <v>7069133</v>
      </c>
      <c r="E5822">
        <f>VLOOKUP(C5822,'All Districts'!$B$3:$C$874,2,FALSE)</f>
        <v>3626670</v>
      </c>
      <c r="F5822" s="91">
        <f>COUNTIF($E$2:$E$7106,E5822)</f>
        <v>9</v>
      </c>
    </row>
    <row r="5823" spans="1:6" x14ac:dyDescent="0.2">
      <c r="A5823" s="10">
        <v>2018</v>
      </c>
      <c r="B5823" s="13">
        <v>2547</v>
      </c>
      <c r="C5823" s="90" t="str">
        <f>VLOOKUP(B5823,'All Districts'!$A$3:$B$874,2,FALSE)</f>
        <v>Shenendehowa At Clifton Park</v>
      </c>
      <c r="D5823" s="15">
        <v>6186361</v>
      </c>
      <c r="E5823">
        <f>VLOOKUP(C5823,'All Districts'!$B$3:$C$874,2,FALSE)</f>
        <v>3626670</v>
      </c>
      <c r="F5823" s="91">
        <f>COUNTIF($E$2:$E$7106,E5823)</f>
        <v>9</v>
      </c>
    </row>
    <row r="5824" spans="1:6" x14ac:dyDescent="0.2">
      <c r="A5824">
        <v>2019</v>
      </c>
      <c r="B5824" s="36">
        <v>2547</v>
      </c>
      <c r="C5824" s="90" t="str">
        <f>VLOOKUP(B5824,'All Districts'!$A$3:$B$874,2,FALSE)</f>
        <v>Shenendehowa At Clifton Park</v>
      </c>
      <c r="D5824" s="40">
        <v>6854351</v>
      </c>
      <c r="E5824">
        <f>VLOOKUP(C5824,'All Districts'!$B$3:$C$874,2,FALSE)</f>
        <v>3626670</v>
      </c>
      <c r="F5824" s="91">
        <f>COUNTIF($E$2:$E$7106,E5824)</f>
        <v>9</v>
      </c>
    </row>
    <row r="5825" spans="1:6" x14ac:dyDescent="0.2">
      <c r="A5825">
        <v>2020</v>
      </c>
      <c r="B5825" s="36">
        <v>2547</v>
      </c>
      <c r="C5825" s="90" t="str">
        <f>VLOOKUP(B5825,'All Districts'!$A$3:$B$874,2,FALSE)</f>
        <v>Shenendehowa At Clifton Park</v>
      </c>
      <c r="D5825" s="40">
        <v>6080676</v>
      </c>
      <c r="E5825">
        <f>VLOOKUP(C5825,'All Districts'!$B$3:$C$874,2,FALSE)</f>
        <v>3626670</v>
      </c>
      <c r="F5825" s="91">
        <f>COUNTIF($E$2:$E$7106,E5825)</f>
        <v>9</v>
      </c>
    </row>
    <row r="5826" spans="1:6" x14ac:dyDescent="0.2">
      <c r="A5826" s="10">
        <v>2021</v>
      </c>
      <c r="B5826" s="52">
        <v>2547</v>
      </c>
      <c r="C5826" s="90" t="str">
        <f>VLOOKUP(B5826,'All Districts'!$A$3:$B$874,2,FALSE)</f>
        <v>Shenendehowa At Clifton Park</v>
      </c>
      <c r="D5826" s="75">
        <v>6533609</v>
      </c>
      <c r="E5826">
        <f>VLOOKUP(C5826,'All Districts'!$B$3:$C$874,2,FALSE)</f>
        <v>3626670</v>
      </c>
      <c r="F5826" s="91">
        <f>COUNTIF($E$2:$E$7106,E5826)</f>
        <v>9</v>
      </c>
    </row>
    <row r="5827" spans="1:6" x14ac:dyDescent="0.2">
      <c r="A5827">
        <v>2022</v>
      </c>
      <c r="B5827" s="36">
        <v>2547</v>
      </c>
      <c r="C5827" s="90" t="str">
        <f>VLOOKUP(B5827,'All Districts'!$A$3:$B$874,2,FALSE)</f>
        <v>Shenendehowa At Clifton Park</v>
      </c>
      <c r="D5827" s="82">
        <v>6980748</v>
      </c>
      <c r="E5827">
        <f>VLOOKUP(C5827,'All Districts'!$B$3:$C$874,2,FALSE)</f>
        <v>3626670</v>
      </c>
      <c r="F5827" s="91">
        <f>COUNTIF($E$2:$E$7106,E5827)</f>
        <v>9</v>
      </c>
    </row>
    <row r="5828" spans="1:6" x14ac:dyDescent="0.2">
      <c r="A5828">
        <v>2023</v>
      </c>
      <c r="B5828" s="36">
        <v>2547</v>
      </c>
      <c r="C5828" s="90" t="str">
        <f>VLOOKUP(B5828,'All Districts'!$A$3:$B$874,2,FALSE)</f>
        <v>Shenendehowa At Clifton Park</v>
      </c>
      <c r="D5828" s="40">
        <v>7579332</v>
      </c>
      <c r="E5828">
        <f>VLOOKUP(C5828,'All Districts'!$B$3:$C$874,2,FALSE)</f>
        <v>3626670</v>
      </c>
      <c r="F5828" s="91">
        <f>COUNTIF($E$2:$E$7106,E5828)</f>
        <v>9</v>
      </c>
    </row>
    <row r="5829" spans="1:6" x14ac:dyDescent="0.2">
      <c r="A5829">
        <v>2015</v>
      </c>
      <c r="B5829" s="13">
        <v>3593</v>
      </c>
      <c r="C5829" s="90" t="str">
        <f>VLOOKUP(B5829,'All Districts'!$A$3:$B$874,2,FALSE)</f>
        <v>Sherburne-Earlville</v>
      </c>
      <c r="D5829" s="14">
        <v>1795692</v>
      </c>
      <c r="E5829">
        <f>VLOOKUP(C5829,'All Districts'!$B$3:$C$874,2,FALSE)</f>
        <v>3626700</v>
      </c>
      <c r="F5829" s="91">
        <f>COUNTIF($E$2:$E$7106,E5829)</f>
        <v>9</v>
      </c>
    </row>
    <row r="5830" spans="1:6" x14ac:dyDescent="0.2">
      <c r="A5830">
        <v>2016</v>
      </c>
      <c r="B5830" s="13">
        <v>3593</v>
      </c>
      <c r="C5830" s="90" t="str">
        <f>VLOOKUP(B5830,'All Districts'!$A$3:$B$874,2,FALSE)</f>
        <v>Sherburne-Earlville</v>
      </c>
      <c r="D5830" s="16">
        <v>1401966</v>
      </c>
      <c r="E5830">
        <f>VLOOKUP(C5830,'All Districts'!$B$3:$C$874,2,FALSE)</f>
        <v>3626700</v>
      </c>
      <c r="F5830" s="91">
        <f>COUNTIF($E$2:$E$7106,E5830)</f>
        <v>9</v>
      </c>
    </row>
    <row r="5831" spans="1:6" x14ac:dyDescent="0.2">
      <c r="A5831">
        <v>2017</v>
      </c>
      <c r="B5831" s="13">
        <v>3593</v>
      </c>
      <c r="C5831" s="90" t="str">
        <f>VLOOKUP(B5831,'All Districts'!$A$3:$B$874,2,FALSE)</f>
        <v>Sherburne-Earlville</v>
      </c>
      <c r="D5831" s="16">
        <v>1255301</v>
      </c>
      <c r="E5831">
        <f>VLOOKUP(C5831,'All Districts'!$B$3:$C$874,2,FALSE)</f>
        <v>3626700</v>
      </c>
      <c r="F5831" s="91">
        <f>COUNTIF($E$2:$E$7106,E5831)</f>
        <v>9</v>
      </c>
    </row>
    <row r="5832" spans="1:6" x14ac:dyDescent="0.2">
      <c r="A5832" s="10">
        <v>2018</v>
      </c>
      <c r="B5832" s="13">
        <v>3593</v>
      </c>
      <c r="C5832" s="90" t="str">
        <f>VLOOKUP(B5832,'All Districts'!$A$3:$B$874,2,FALSE)</f>
        <v>Sherburne-Earlville</v>
      </c>
      <c r="D5832" s="15">
        <v>1056319</v>
      </c>
      <c r="E5832">
        <f>VLOOKUP(C5832,'All Districts'!$B$3:$C$874,2,FALSE)</f>
        <v>3626700</v>
      </c>
      <c r="F5832" s="91">
        <f>COUNTIF($E$2:$E$7106,E5832)</f>
        <v>9</v>
      </c>
    </row>
    <row r="5833" spans="1:6" x14ac:dyDescent="0.2">
      <c r="A5833">
        <v>2019</v>
      </c>
      <c r="B5833" s="36">
        <v>3593</v>
      </c>
      <c r="C5833" s="90" t="str">
        <f>VLOOKUP(B5833,'All Districts'!$A$3:$B$874,2,FALSE)</f>
        <v>Sherburne-Earlville</v>
      </c>
      <c r="D5833" s="40">
        <v>1170211</v>
      </c>
      <c r="E5833">
        <f>VLOOKUP(C5833,'All Districts'!$B$3:$C$874,2,FALSE)</f>
        <v>3626700</v>
      </c>
      <c r="F5833" s="91">
        <f>COUNTIF($E$2:$E$7106,E5833)</f>
        <v>9</v>
      </c>
    </row>
    <row r="5834" spans="1:6" x14ac:dyDescent="0.2">
      <c r="A5834">
        <v>2020</v>
      </c>
      <c r="B5834" s="36">
        <v>3593</v>
      </c>
      <c r="C5834" s="90" t="str">
        <f>VLOOKUP(B5834,'All Districts'!$A$3:$B$874,2,FALSE)</f>
        <v>Sherburne-Earlville</v>
      </c>
      <c r="D5834" s="40">
        <v>994252</v>
      </c>
      <c r="E5834">
        <f>VLOOKUP(C5834,'All Districts'!$B$3:$C$874,2,FALSE)</f>
        <v>3626700</v>
      </c>
      <c r="F5834" s="91">
        <f>COUNTIF($E$2:$E$7106,E5834)</f>
        <v>9</v>
      </c>
    </row>
    <row r="5835" spans="1:6" x14ac:dyDescent="0.2">
      <c r="A5835" s="10">
        <v>2021</v>
      </c>
      <c r="B5835" s="52">
        <v>3593</v>
      </c>
      <c r="C5835" s="90" t="str">
        <f>VLOOKUP(B5835,'All Districts'!$A$3:$B$874,2,FALSE)</f>
        <v>Sherburne-Earlville</v>
      </c>
      <c r="D5835" s="76">
        <v>1026922</v>
      </c>
      <c r="E5835">
        <f>VLOOKUP(C5835,'All Districts'!$B$3:$C$874,2,FALSE)</f>
        <v>3626700</v>
      </c>
      <c r="F5835" s="91">
        <f>COUNTIF($E$2:$E$7106,E5835)</f>
        <v>9</v>
      </c>
    </row>
    <row r="5836" spans="1:6" x14ac:dyDescent="0.2">
      <c r="A5836">
        <v>2022</v>
      </c>
      <c r="B5836" s="36">
        <v>3593</v>
      </c>
      <c r="C5836" s="90" t="str">
        <f>VLOOKUP(B5836,'All Districts'!$A$3:$B$874,2,FALSE)</f>
        <v>Sherburne-Earlville</v>
      </c>
      <c r="D5836" s="82">
        <v>1078063</v>
      </c>
      <c r="E5836">
        <f>VLOOKUP(C5836,'All Districts'!$B$3:$C$874,2,FALSE)</f>
        <v>3626700</v>
      </c>
      <c r="F5836" s="91">
        <f>COUNTIF($E$2:$E$7106,E5836)</f>
        <v>9</v>
      </c>
    </row>
    <row r="5837" spans="1:6" x14ac:dyDescent="0.2">
      <c r="A5837">
        <v>2023</v>
      </c>
      <c r="B5837" s="36">
        <v>3593</v>
      </c>
      <c r="C5837" s="90" t="str">
        <f>VLOOKUP(B5837,'All Districts'!$A$3:$B$874,2,FALSE)</f>
        <v>Sherburne-Earlville</v>
      </c>
      <c r="D5837" s="40">
        <v>1176120</v>
      </c>
      <c r="E5837">
        <f>VLOOKUP(C5837,'All Districts'!$B$3:$C$874,2,FALSE)</f>
        <v>3626700</v>
      </c>
      <c r="F5837" s="91">
        <f>COUNTIF($E$2:$E$7106,E5837)</f>
        <v>9</v>
      </c>
    </row>
    <row r="5838" spans="1:6" x14ac:dyDescent="0.2">
      <c r="A5838">
        <v>2015</v>
      </c>
      <c r="B5838" s="13">
        <v>3308</v>
      </c>
      <c r="C5838" s="90" t="str">
        <f>VLOOKUP(B5838,'All Districts'!$A$3:$B$874,2,FALSE)</f>
        <v>Sherman</v>
      </c>
      <c r="D5838" s="14">
        <v>570670</v>
      </c>
      <c r="E5838">
        <f>VLOOKUP(C5838,'All Districts'!$B$3:$C$874,2,FALSE)</f>
        <v>3626730</v>
      </c>
      <c r="F5838" s="91">
        <f>COUNTIF($E$2:$E$7106,E5838)</f>
        <v>9</v>
      </c>
    </row>
    <row r="5839" spans="1:6" x14ac:dyDescent="0.2">
      <c r="A5839">
        <v>2016</v>
      </c>
      <c r="B5839" s="13">
        <v>3308</v>
      </c>
      <c r="C5839" s="90" t="str">
        <f>VLOOKUP(B5839,'All Districts'!$A$3:$B$874,2,FALSE)</f>
        <v>Sherman</v>
      </c>
      <c r="D5839" s="16">
        <v>445208</v>
      </c>
      <c r="E5839">
        <f>VLOOKUP(C5839,'All Districts'!$B$3:$C$874,2,FALSE)</f>
        <v>3626730</v>
      </c>
      <c r="F5839" s="91">
        <f>COUNTIF($E$2:$E$7106,E5839)</f>
        <v>9</v>
      </c>
    </row>
    <row r="5840" spans="1:6" x14ac:dyDescent="0.2">
      <c r="A5840">
        <v>2017</v>
      </c>
      <c r="B5840" s="13">
        <v>3308</v>
      </c>
      <c r="C5840" s="90" t="str">
        <f>VLOOKUP(B5840,'All Districts'!$A$3:$B$874,2,FALSE)</f>
        <v>Sherman</v>
      </c>
      <c r="D5840" s="16">
        <v>425021</v>
      </c>
      <c r="E5840">
        <f>VLOOKUP(C5840,'All Districts'!$B$3:$C$874,2,FALSE)</f>
        <v>3626730</v>
      </c>
      <c r="F5840" s="91">
        <f>COUNTIF($E$2:$E$7106,E5840)</f>
        <v>9</v>
      </c>
    </row>
    <row r="5841" spans="1:6" x14ac:dyDescent="0.2">
      <c r="A5841" s="10">
        <v>2018</v>
      </c>
      <c r="B5841" s="13">
        <v>3308</v>
      </c>
      <c r="C5841" s="90" t="str">
        <f>VLOOKUP(B5841,'All Districts'!$A$3:$B$874,2,FALSE)</f>
        <v>Sherman</v>
      </c>
      <c r="D5841" s="15">
        <v>365287</v>
      </c>
      <c r="E5841">
        <f>VLOOKUP(C5841,'All Districts'!$B$3:$C$874,2,FALSE)</f>
        <v>3626730</v>
      </c>
      <c r="F5841" s="91">
        <f>COUNTIF($E$2:$E$7106,E5841)</f>
        <v>9</v>
      </c>
    </row>
    <row r="5842" spans="1:6" x14ac:dyDescent="0.2">
      <c r="A5842">
        <v>2019</v>
      </c>
      <c r="B5842" s="36">
        <v>3308</v>
      </c>
      <c r="C5842" s="90" t="str">
        <f>VLOOKUP(B5842,'All Districts'!$A$3:$B$874,2,FALSE)</f>
        <v>Sherman</v>
      </c>
      <c r="D5842" s="40">
        <v>409893</v>
      </c>
      <c r="E5842">
        <f>VLOOKUP(C5842,'All Districts'!$B$3:$C$874,2,FALSE)</f>
        <v>3626730</v>
      </c>
      <c r="F5842" s="91">
        <f>COUNTIF($E$2:$E$7106,E5842)</f>
        <v>9</v>
      </c>
    </row>
    <row r="5843" spans="1:6" x14ac:dyDescent="0.2">
      <c r="A5843">
        <v>2020</v>
      </c>
      <c r="B5843" s="36">
        <v>3308</v>
      </c>
      <c r="C5843" s="90" t="str">
        <f>VLOOKUP(B5843,'All Districts'!$A$3:$B$874,2,FALSE)</f>
        <v>Sherman</v>
      </c>
      <c r="D5843" s="40">
        <v>340718</v>
      </c>
      <c r="E5843">
        <f>VLOOKUP(C5843,'All Districts'!$B$3:$C$874,2,FALSE)</f>
        <v>3626730</v>
      </c>
      <c r="F5843" s="91">
        <f>COUNTIF($E$2:$E$7106,E5843)</f>
        <v>9</v>
      </c>
    </row>
    <row r="5844" spans="1:6" x14ac:dyDescent="0.2">
      <c r="A5844" s="10">
        <v>2021</v>
      </c>
      <c r="B5844" s="52">
        <v>3308</v>
      </c>
      <c r="C5844" s="90" t="str">
        <f>VLOOKUP(B5844,'All Districts'!$A$3:$B$874,2,FALSE)</f>
        <v>Sherman</v>
      </c>
      <c r="D5844" s="76">
        <v>362515</v>
      </c>
      <c r="E5844">
        <f>VLOOKUP(C5844,'All Districts'!$B$3:$C$874,2,FALSE)</f>
        <v>3626730</v>
      </c>
      <c r="F5844" s="91">
        <f>COUNTIF($E$2:$E$7106,E5844)</f>
        <v>9</v>
      </c>
    </row>
    <row r="5845" spans="1:6" x14ac:dyDescent="0.2">
      <c r="A5845">
        <v>2022</v>
      </c>
      <c r="B5845" s="36">
        <v>3308</v>
      </c>
      <c r="C5845" s="90" t="str">
        <f>VLOOKUP(B5845,'All Districts'!$A$3:$B$874,2,FALSE)</f>
        <v>Sherman</v>
      </c>
      <c r="D5845" s="82">
        <v>400637</v>
      </c>
      <c r="E5845">
        <f>VLOOKUP(C5845,'All Districts'!$B$3:$C$874,2,FALSE)</f>
        <v>3626730</v>
      </c>
      <c r="F5845" s="91">
        <f>COUNTIF($E$2:$E$7106,E5845)</f>
        <v>9</v>
      </c>
    </row>
    <row r="5846" spans="1:6" x14ac:dyDescent="0.2">
      <c r="A5846">
        <v>2023</v>
      </c>
      <c r="B5846" s="36">
        <v>3308</v>
      </c>
      <c r="C5846" s="90" t="str">
        <f>VLOOKUP(B5846,'All Districts'!$A$3:$B$874,2,FALSE)</f>
        <v>Sherman</v>
      </c>
      <c r="D5846" s="40">
        <v>453496</v>
      </c>
      <c r="E5846">
        <f>VLOOKUP(C5846,'All Districts'!$B$3:$C$874,2,FALSE)</f>
        <v>3626730</v>
      </c>
      <c r="F5846" s="91">
        <f>COUNTIF($E$2:$E$7106,E5846)</f>
        <v>9</v>
      </c>
    </row>
    <row r="5847" spans="1:6" x14ac:dyDescent="0.2">
      <c r="A5847">
        <v>2015</v>
      </c>
      <c r="B5847" s="13">
        <v>5357</v>
      </c>
      <c r="C5847" s="90" t="str">
        <f>VLOOKUP(B5847,'All Districts'!$A$3:$B$874,2,FALSE)</f>
        <v>Shoreham-Wading River</v>
      </c>
      <c r="D5847" s="14">
        <v>4000021</v>
      </c>
      <c r="E5847">
        <f>VLOOKUP(C5847,'All Districts'!$B$3:$C$874,2,FALSE)</f>
        <v>3626840</v>
      </c>
      <c r="F5847" s="91">
        <f>COUNTIF($E$2:$E$7106,E5847)</f>
        <v>9</v>
      </c>
    </row>
    <row r="5848" spans="1:6" x14ac:dyDescent="0.2">
      <c r="A5848">
        <v>2016</v>
      </c>
      <c r="B5848" s="13">
        <v>5357</v>
      </c>
      <c r="C5848" s="90" t="str">
        <f>VLOOKUP(B5848,'All Districts'!$A$3:$B$874,2,FALSE)</f>
        <v>Shoreham-Wading River</v>
      </c>
      <c r="D5848" s="16">
        <v>3088193</v>
      </c>
      <c r="E5848">
        <f>VLOOKUP(C5848,'All Districts'!$B$3:$C$874,2,FALSE)</f>
        <v>3626840</v>
      </c>
      <c r="F5848" s="91">
        <f>COUNTIF($E$2:$E$7106,E5848)</f>
        <v>9</v>
      </c>
    </row>
    <row r="5849" spans="1:6" x14ac:dyDescent="0.2">
      <c r="A5849">
        <v>2017</v>
      </c>
      <c r="B5849" s="13">
        <v>5357</v>
      </c>
      <c r="C5849" s="90" t="str">
        <f>VLOOKUP(B5849,'All Districts'!$A$3:$B$874,2,FALSE)</f>
        <v>Shoreham-Wading River</v>
      </c>
      <c r="D5849" s="16">
        <v>2800759</v>
      </c>
      <c r="E5849">
        <f>VLOOKUP(C5849,'All Districts'!$B$3:$C$874,2,FALSE)</f>
        <v>3626840</v>
      </c>
      <c r="F5849" s="91">
        <f>COUNTIF($E$2:$E$7106,E5849)</f>
        <v>9</v>
      </c>
    </row>
    <row r="5850" spans="1:6" x14ac:dyDescent="0.2">
      <c r="A5850" s="10">
        <v>2018</v>
      </c>
      <c r="B5850" s="13">
        <v>5357</v>
      </c>
      <c r="C5850" s="90" t="str">
        <f>VLOOKUP(B5850,'All Districts'!$A$3:$B$874,2,FALSE)</f>
        <v>Shoreham-Wading River</v>
      </c>
      <c r="D5850" s="15">
        <v>2316628</v>
      </c>
      <c r="E5850">
        <f>VLOOKUP(C5850,'All Districts'!$B$3:$C$874,2,FALSE)</f>
        <v>3626840</v>
      </c>
      <c r="F5850" s="91">
        <f>COUNTIF($E$2:$E$7106,E5850)</f>
        <v>9</v>
      </c>
    </row>
    <row r="5851" spans="1:6" x14ac:dyDescent="0.2">
      <c r="A5851">
        <v>2019</v>
      </c>
      <c r="B5851" s="36">
        <v>5357</v>
      </c>
      <c r="C5851" s="90" t="str">
        <f>VLOOKUP(B5851,'All Districts'!$A$3:$B$874,2,FALSE)</f>
        <v>Shoreham-Wading River</v>
      </c>
      <c r="D5851" s="40">
        <v>2708377</v>
      </c>
      <c r="E5851">
        <f>VLOOKUP(C5851,'All Districts'!$B$3:$C$874,2,FALSE)</f>
        <v>3626840</v>
      </c>
      <c r="F5851" s="91">
        <f>COUNTIF($E$2:$E$7106,E5851)</f>
        <v>9</v>
      </c>
    </row>
    <row r="5852" spans="1:6" x14ac:dyDescent="0.2">
      <c r="A5852">
        <v>2020</v>
      </c>
      <c r="B5852" s="36">
        <v>5357</v>
      </c>
      <c r="C5852" s="90" t="str">
        <f>VLOOKUP(B5852,'All Districts'!$A$3:$B$874,2,FALSE)</f>
        <v>Shoreham-Wading River</v>
      </c>
      <c r="D5852" s="40">
        <v>2228144</v>
      </c>
      <c r="E5852">
        <f>VLOOKUP(C5852,'All Districts'!$B$3:$C$874,2,FALSE)</f>
        <v>3626840</v>
      </c>
      <c r="F5852" s="91">
        <f>COUNTIF($E$2:$E$7106,E5852)</f>
        <v>9</v>
      </c>
    </row>
    <row r="5853" spans="1:6" x14ac:dyDescent="0.2">
      <c r="A5853" s="10">
        <v>2021</v>
      </c>
      <c r="B5853" s="52">
        <v>5357</v>
      </c>
      <c r="C5853" s="90" t="str">
        <f>VLOOKUP(B5853,'All Districts'!$A$3:$B$874,2,FALSE)</f>
        <v>Shoreham-Wading River</v>
      </c>
      <c r="D5853" s="75">
        <v>2616890</v>
      </c>
      <c r="E5853">
        <f>VLOOKUP(C5853,'All Districts'!$B$3:$C$874,2,FALSE)</f>
        <v>3626840</v>
      </c>
      <c r="F5853" s="91">
        <f>COUNTIF($E$2:$E$7106,E5853)</f>
        <v>9</v>
      </c>
    </row>
    <row r="5854" spans="1:6" x14ac:dyDescent="0.2">
      <c r="A5854">
        <v>2022</v>
      </c>
      <c r="B5854" s="36">
        <v>5357</v>
      </c>
      <c r="C5854" s="90" t="str">
        <f>VLOOKUP(B5854,'All Districts'!$A$3:$B$874,2,FALSE)</f>
        <v>Shoreham-Wading River</v>
      </c>
      <c r="D5854" s="82">
        <v>2732713</v>
      </c>
      <c r="E5854">
        <f>VLOOKUP(C5854,'All Districts'!$B$3:$C$874,2,FALSE)</f>
        <v>3626840</v>
      </c>
      <c r="F5854" s="91">
        <f>COUNTIF($E$2:$E$7106,E5854)</f>
        <v>9</v>
      </c>
    </row>
    <row r="5855" spans="1:6" x14ac:dyDescent="0.2">
      <c r="A5855">
        <v>2023</v>
      </c>
      <c r="B5855" s="36">
        <v>5357</v>
      </c>
      <c r="C5855" s="90" t="str">
        <f>VLOOKUP(B5855,'All Districts'!$A$3:$B$874,2,FALSE)</f>
        <v>Shoreham-Wading River</v>
      </c>
      <c r="D5855" s="40">
        <v>2897512</v>
      </c>
      <c r="E5855">
        <f>VLOOKUP(C5855,'All Districts'!$B$3:$C$874,2,FALSE)</f>
        <v>3626840</v>
      </c>
      <c r="F5855" s="91">
        <f>COUNTIF($E$2:$E$7106,E5855)</f>
        <v>9</v>
      </c>
    </row>
    <row r="5856" spans="1:6" x14ac:dyDescent="0.2">
      <c r="A5856">
        <v>2015</v>
      </c>
      <c r="B5856" s="13">
        <v>2550</v>
      </c>
      <c r="C5856" s="90" t="str">
        <f>VLOOKUP(B5856,'All Districts'!$A$3:$B$874,2,FALSE)</f>
        <v>Sidney</v>
      </c>
      <c r="D5856" s="14">
        <v>1248376</v>
      </c>
      <c r="E5856">
        <f>VLOOKUP(C5856,'All Districts'!$B$3:$C$874,2,FALSE)</f>
        <v>3626850</v>
      </c>
      <c r="F5856" s="91">
        <f>COUNTIF($E$2:$E$7106,E5856)</f>
        <v>9</v>
      </c>
    </row>
    <row r="5857" spans="1:6" x14ac:dyDescent="0.2">
      <c r="A5857">
        <v>2016</v>
      </c>
      <c r="B5857" s="13">
        <v>2550</v>
      </c>
      <c r="C5857" s="90" t="str">
        <f>VLOOKUP(B5857,'All Districts'!$A$3:$B$874,2,FALSE)</f>
        <v>Sidney</v>
      </c>
      <c r="D5857" s="16">
        <v>905134</v>
      </c>
      <c r="E5857">
        <f>VLOOKUP(C5857,'All Districts'!$B$3:$C$874,2,FALSE)</f>
        <v>3626850</v>
      </c>
      <c r="F5857" s="91">
        <f>COUNTIF($E$2:$E$7106,E5857)</f>
        <v>9</v>
      </c>
    </row>
    <row r="5858" spans="1:6" x14ac:dyDescent="0.2">
      <c r="A5858">
        <v>2017</v>
      </c>
      <c r="B5858" s="13">
        <v>2550</v>
      </c>
      <c r="C5858" s="90" t="str">
        <f>VLOOKUP(B5858,'All Districts'!$A$3:$B$874,2,FALSE)</f>
        <v>Sidney</v>
      </c>
      <c r="D5858" s="16">
        <v>839714</v>
      </c>
      <c r="E5858">
        <f>VLOOKUP(C5858,'All Districts'!$B$3:$C$874,2,FALSE)</f>
        <v>3626850</v>
      </c>
      <c r="F5858" s="91">
        <f>COUNTIF($E$2:$E$7106,E5858)</f>
        <v>9</v>
      </c>
    </row>
    <row r="5859" spans="1:6" x14ac:dyDescent="0.2">
      <c r="A5859" s="10">
        <v>2018</v>
      </c>
      <c r="B5859" s="13">
        <v>2550</v>
      </c>
      <c r="C5859" s="90" t="str">
        <f>VLOOKUP(B5859,'All Districts'!$A$3:$B$874,2,FALSE)</f>
        <v>Sidney</v>
      </c>
      <c r="D5859" s="15">
        <v>738799</v>
      </c>
      <c r="E5859">
        <f>VLOOKUP(C5859,'All Districts'!$B$3:$C$874,2,FALSE)</f>
        <v>3626850</v>
      </c>
      <c r="F5859" s="91">
        <f>COUNTIF($E$2:$E$7106,E5859)</f>
        <v>9</v>
      </c>
    </row>
    <row r="5860" spans="1:6" x14ac:dyDescent="0.2">
      <c r="A5860">
        <v>2019</v>
      </c>
      <c r="B5860" s="36">
        <v>2550</v>
      </c>
      <c r="C5860" s="90" t="str">
        <f>VLOOKUP(B5860,'All Districts'!$A$3:$B$874,2,FALSE)</f>
        <v>Sidney</v>
      </c>
      <c r="D5860" s="40">
        <v>820001</v>
      </c>
      <c r="E5860">
        <f>VLOOKUP(C5860,'All Districts'!$B$3:$C$874,2,FALSE)</f>
        <v>3626850</v>
      </c>
      <c r="F5860" s="91">
        <f>COUNTIF($E$2:$E$7106,E5860)</f>
        <v>9</v>
      </c>
    </row>
    <row r="5861" spans="1:6" x14ac:dyDescent="0.2">
      <c r="A5861">
        <v>2020</v>
      </c>
      <c r="B5861" s="36">
        <v>2550</v>
      </c>
      <c r="C5861" s="90" t="str">
        <f>VLOOKUP(B5861,'All Districts'!$A$3:$B$874,2,FALSE)</f>
        <v>Sidney</v>
      </c>
      <c r="D5861" s="40">
        <v>649459</v>
      </c>
      <c r="E5861">
        <f>VLOOKUP(C5861,'All Districts'!$B$3:$C$874,2,FALSE)</f>
        <v>3626850</v>
      </c>
      <c r="F5861" s="91">
        <f>COUNTIF($E$2:$E$7106,E5861)</f>
        <v>9</v>
      </c>
    </row>
    <row r="5862" spans="1:6" x14ac:dyDescent="0.2">
      <c r="A5862" s="10">
        <v>2021</v>
      </c>
      <c r="B5862" s="52">
        <v>2550</v>
      </c>
      <c r="C5862" s="90" t="str">
        <f>VLOOKUP(B5862,'All Districts'!$A$3:$B$874,2,FALSE)</f>
        <v>Sidney</v>
      </c>
      <c r="D5862" s="76">
        <v>695767</v>
      </c>
      <c r="E5862">
        <f>VLOOKUP(C5862,'All Districts'!$B$3:$C$874,2,FALSE)</f>
        <v>3626850</v>
      </c>
      <c r="F5862" s="91">
        <f>COUNTIF($E$2:$E$7106,E5862)</f>
        <v>9</v>
      </c>
    </row>
    <row r="5863" spans="1:6" x14ac:dyDescent="0.2">
      <c r="A5863">
        <v>2022</v>
      </c>
      <c r="B5863" s="36">
        <v>2550</v>
      </c>
      <c r="C5863" s="90" t="str">
        <f>VLOOKUP(B5863,'All Districts'!$A$3:$B$874,2,FALSE)</f>
        <v>Sidney</v>
      </c>
      <c r="D5863" s="82">
        <v>714339</v>
      </c>
      <c r="E5863">
        <f>VLOOKUP(C5863,'All Districts'!$B$3:$C$874,2,FALSE)</f>
        <v>3626850</v>
      </c>
      <c r="F5863" s="91">
        <f>COUNTIF($E$2:$E$7106,E5863)</f>
        <v>9</v>
      </c>
    </row>
    <row r="5864" spans="1:6" x14ac:dyDescent="0.2">
      <c r="A5864">
        <v>2023</v>
      </c>
      <c r="B5864" s="36">
        <v>2550</v>
      </c>
      <c r="C5864" s="90" t="str">
        <f>VLOOKUP(B5864,'All Districts'!$A$3:$B$874,2,FALSE)</f>
        <v>Sidney</v>
      </c>
      <c r="D5864" s="40">
        <v>804759</v>
      </c>
      <c r="E5864">
        <f>VLOOKUP(C5864,'All Districts'!$B$3:$C$874,2,FALSE)</f>
        <v>3626850</v>
      </c>
      <c r="F5864" s="91">
        <f>COUNTIF($E$2:$E$7106,E5864)</f>
        <v>9</v>
      </c>
    </row>
    <row r="5865" spans="1:6" x14ac:dyDescent="0.2">
      <c r="A5865">
        <v>2015</v>
      </c>
      <c r="B5865" s="13">
        <v>3331</v>
      </c>
      <c r="C5865" s="90" t="str">
        <f>VLOOKUP(B5865,'All Districts'!$A$3:$B$874,2,FALSE)</f>
        <v>Silver Creek</v>
      </c>
      <c r="D5865" s="14">
        <v>1368687</v>
      </c>
      <c r="E5865">
        <f>VLOOKUP(C5865,'All Districts'!$B$3:$C$874,2,FALSE)</f>
        <v>3626880</v>
      </c>
      <c r="F5865" s="91">
        <f>COUNTIF($E$2:$E$7106,E5865)</f>
        <v>9</v>
      </c>
    </row>
    <row r="5866" spans="1:6" x14ac:dyDescent="0.2">
      <c r="A5866">
        <v>2016</v>
      </c>
      <c r="B5866" s="13">
        <v>3331</v>
      </c>
      <c r="C5866" s="90" t="str">
        <f>VLOOKUP(B5866,'All Districts'!$A$3:$B$874,2,FALSE)</f>
        <v>Silver Creek</v>
      </c>
      <c r="D5866" s="16">
        <v>1105293</v>
      </c>
      <c r="E5866">
        <f>VLOOKUP(C5866,'All Districts'!$B$3:$C$874,2,FALSE)</f>
        <v>3626880</v>
      </c>
      <c r="F5866" s="91">
        <f>COUNTIF($E$2:$E$7106,E5866)</f>
        <v>9</v>
      </c>
    </row>
    <row r="5867" spans="1:6" x14ac:dyDescent="0.2">
      <c r="A5867">
        <v>2017</v>
      </c>
      <c r="B5867" s="13">
        <v>3331</v>
      </c>
      <c r="C5867" s="90" t="str">
        <f>VLOOKUP(B5867,'All Districts'!$A$3:$B$874,2,FALSE)</f>
        <v>Silver Creek</v>
      </c>
      <c r="D5867" s="16">
        <v>1035960</v>
      </c>
      <c r="E5867">
        <f>VLOOKUP(C5867,'All Districts'!$B$3:$C$874,2,FALSE)</f>
        <v>3626880</v>
      </c>
      <c r="F5867" s="91">
        <f>COUNTIF($E$2:$E$7106,E5867)</f>
        <v>9</v>
      </c>
    </row>
    <row r="5868" spans="1:6" x14ac:dyDescent="0.2">
      <c r="A5868" s="10">
        <v>2018</v>
      </c>
      <c r="B5868" s="13">
        <v>3331</v>
      </c>
      <c r="C5868" s="90" t="str">
        <f>VLOOKUP(B5868,'All Districts'!$A$3:$B$874,2,FALSE)</f>
        <v>Silver Creek</v>
      </c>
      <c r="D5868" s="15">
        <v>887532</v>
      </c>
      <c r="E5868">
        <f>VLOOKUP(C5868,'All Districts'!$B$3:$C$874,2,FALSE)</f>
        <v>3626880</v>
      </c>
      <c r="F5868" s="91">
        <f>COUNTIF($E$2:$E$7106,E5868)</f>
        <v>9</v>
      </c>
    </row>
    <row r="5869" spans="1:6" x14ac:dyDescent="0.2">
      <c r="A5869">
        <v>2019</v>
      </c>
      <c r="B5869" s="36">
        <v>3331</v>
      </c>
      <c r="C5869" s="90" t="str">
        <f>VLOOKUP(B5869,'All Districts'!$A$3:$B$874,2,FALSE)</f>
        <v>Silver Creek</v>
      </c>
      <c r="D5869" s="40">
        <v>990966</v>
      </c>
      <c r="E5869">
        <f>VLOOKUP(C5869,'All Districts'!$B$3:$C$874,2,FALSE)</f>
        <v>3626880</v>
      </c>
      <c r="F5869" s="91">
        <f>COUNTIF($E$2:$E$7106,E5869)</f>
        <v>9</v>
      </c>
    </row>
    <row r="5870" spans="1:6" x14ac:dyDescent="0.2">
      <c r="A5870">
        <v>2020</v>
      </c>
      <c r="B5870" s="36">
        <v>3331</v>
      </c>
      <c r="C5870" s="90" t="str">
        <f>VLOOKUP(B5870,'All Districts'!$A$3:$B$874,2,FALSE)</f>
        <v>Silver Creek</v>
      </c>
      <c r="D5870" s="40">
        <v>787737</v>
      </c>
      <c r="E5870">
        <f>VLOOKUP(C5870,'All Districts'!$B$3:$C$874,2,FALSE)</f>
        <v>3626880</v>
      </c>
      <c r="F5870" s="91">
        <f>COUNTIF($E$2:$E$7106,E5870)</f>
        <v>9</v>
      </c>
    </row>
    <row r="5871" spans="1:6" x14ac:dyDescent="0.2">
      <c r="A5871" s="10">
        <v>2021</v>
      </c>
      <c r="B5871" s="52">
        <v>3331</v>
      </c>
      <c r="C5871" s="90" t="str">
        <f>VLOOKUP(B5871,'All Districts'!$A$3:$B$874,2,FALSE)</f>
        <v>Silver Creek</v>
      </c>
      <c r="D5871" s="76">
        <v>846442</v>
      </c>
      <c r="E5871">
        <f>VLOOKUP(C5871,'All Districts'!$B$3:$C$874,2,FALSE)</f>
        <v>3626880</v>
      </c>
      <c r="F5871" s="91">
        <f>COUNTIF($E$2:$E$7106,E5871)</f>
        <v>9</v>
      </c>
    </row>
    <row r="5872" spans="1:6" x14ac:dyDescent="0.2">
      <c r="A5872">
        <v>2022</v>
      </c>
      <c r="B5872" s="36">
        <v>3331</v>
      </c>
      <c r="C5872" s="90" t="str">
        <f>VLOOKUP(B5872,'All Districts'!$A$3:$B$874,2,FALSE)</f>
        <v>Silver Creek</v>
      </c>
      <c r="D5872" s="82">
        <v>939919</v>
      </c>
      <c r="E5872">
        <f>VLOOKUP(C5872,'All Districts'!$B$3:$C$874,2,FALSE)</f>
        <v>3626880</v>
      </c>
      <c r="F5872" s="91">
        <f>COUNTIF($E$2:$E$7106,E5872)</f>
        <v>9</v>
      </c>
    </row>
    <row r="5873" spans="1:6" x14ac:dyDescent="0.2">
      <c r="A5873">
        <v>2023</v>
      </c>
      <c r="B5873" s="36">
        <v>3331</v>
      </c>
      <c r="C5873" s="90" t="str">
        <f>VLOOKUP(B5873,'All Districts'!$A$3:$B$874,2,FALSE)</f>
        <v>Silver Creek</v>
      </c>
      <c r="D5873" s="40">
        <v>996209</v>
      </c>
      <c r="E5873">
        <f>VLOOKUP(C5873,'All Districts'!$B$3:$C$874,2,FALSE)</f>
        <v>3626880</v>
      </c>
      <c r="F5873" s="91">
        <f>COUNTIF($E$2:$E$7106,E5873)</f>
        <v>9</v>
      </c>
    </row>
    <row r="5874" spans="1:6" x14ac:dyDescent="0.2">
      <c r="A5874">
        <v>2015</v>
      </c>
      <c r="B5874" s="13">
        <v>2551</v>
      </c>
      <c r="C5874" s="90" t="str">
        <f>VLOOKUP(B5874,'All Districts'!$A$3:$B$874,2,FALSE)</f>
        <v>Skaneateles</v>
      </c>
      <c r="D5874" s="14">
        <v>1800206</v>
      </c>
      <c r="E5874">
        <f>VLOOKUP(C5874,'All Districts'!$B$3:$C$874,2,FALSE)</f>
        <v>3626940</v>
      </c>
      <c r="F5874" s="91">
        <f>COUNTIF($E$2:$E$7106,E5874)</f>
        <v>9</v>
      </c>
    </row>
    <row r="5875" spans="1:6" x14ac:dyDescent="0.2">
      <c r="A5875">
        <v>2016</v>
      </c>
      <c r="B5875" s="13">
        <v>2551</v>
      </c>
      <c r="C5875" s="90" t="str">
        <f>VLOOKUP(B5875,'All Districts'!$A$3:$B$874,2,FALSE)</f>
        <v>Skaneateles</v>
      </c>
      <c r="D5875" s="16">
        <v>1357828</v>
      </c>
      <c r="E5875">
        <f>VLOOKUP(C5875,'All Districts'!$B$3:$C$874,2,FALSE)</f>
        <v>3626940</v>
      </c>
      <c r="F5875" s="91">
        <f>COUNTIF($E$2:$E$7106,E5875)</f>
        <v>9</v>
      </c>
    </row>
    <row r="5876" spans="1:6" x14ac:dyDescent="0.2">
      <c r="A5876">
        <v>2017</v>
      </c>
      <c r="B5876" s="13">
        <v>2551</v>
      </c>
      <c r="C5876" s="90" t="str">
        <f>VLOOKUP(B5876,'All Districts'!$A$3:$B$874,2,FALSE)</f>
        <v>Skaneateles</v>
      </c>
      <c r="D5876" s="16">
        <v>1256368</v>
      </c>
      <c r="E5876">
        <f>VLOOKUP(C5876,'All Districts'!$B$3:$C$874,2,FALSE)</f>
        <v>3626940</v>
      </c>
      <c r="F5876" s="91">
        <f>COUNTIF($E$2:$E$7106,E5876)</f>
        <v>9</v>
      </c>
    </row>
    <row r="5877" spans="1:6" x14ac:dyDescent="0.2">
      <c r="A5877" s="10">
        <v>2018</v>
      </c>
      <c r="B5877" s="13">
        <v>2551</v>
      </c>
      <c r="C5877" s="90" t="str">
        <f>VLOOKUP(B5877,'All Districts'!$A$3:$B$874,2,FALSE)</f>
        <v>Skaneateles</v>
      </c>
      <c r="D5877" s="15">
        <v>1125922</v>
      </c>
      <c r="E5877">
        <f>VLOOKUP(C5877,'All Districts'!$B$3:$C$874,2,FALSE)</f>
        <v>3626940</v>
      </c>
      <c r="F5877" s="91">
        <f>COUNTIF($E$2:$E$7106,E5877)</f>
        <v>9</v>
      </c>
    </row>
    <row r="5878" spans="1:6" x14ac:dyDescent="0.2">
      <c r="A5878">
        <v>2019</v>
      </c>
      <c r="B5878" s="36">
        <v>2551</v>
      </c>
      <c r="C5878" s="90" t="str">
        <f>VLOOKUP(B5878,'All Districts'!$A$3:$B$874,2,FALSE)</f>
        <v>Skaneateles</v>
      </c>
      <c r="D5878" s="40">
        <v>1259877</v>
      </c>
      <c r="E5878">
        <f>VLOOKUP(C5878,'All Districts'!$B$3:$C$874,2,FALSE)</f>
        <v>3626940</v>
      </c>
      <c r="F5878" s="91">
        <f>COUNTIF($E$2:$E$7106,E5878)</f>
        <v>9</v>
      </c>
    </row>
    <row r="5879" spans="1:6" x14ac:dyDescent="0.2">
      <c r="A5879">
        <v>2020</v>
      </c>
      <c r="B5879" s="36">
        <v>2551</v>
      </c>
      <c r="C5879" s="90" t="str">
        <f>VLOOKUP(B5879,'All Districts'!$A$3:$B$874,2,FALSE)</f>
        <v>Skaneateles</v>
      </c>
      <c r="D5879" s="40">
        <v>1025916</v>
      </c>
      <c r="E5879">
        <f>VLOOKUP(C5879,'All Districts'!$B$3:$C$874,2,FALSE)</f>
        <v>3626940</v>
      </c>
      <c r="F5879" s="91">
        <f>COUNTIF($E$2:$E$7106,E5879)</f>
        <v>9</v>
      </c>
    </row>
    <row r="5880" spans="1:6" x14ac:dyDescent="0.2">
      <c r="A5880" s="10">
        <v>2021</v>
      </c>
      <c r="B5880" s="52">
        <v>2551</v>
      </c>
      <c r="C5880" s="90" t="str">
        <f>VLOOKUP(B5880,'All Districts'!$A$3:$B$874,2,FALSE)</f>
        <v>Skaneateles</v>
      </c>
      <c r="D5880" s="76">
        <v>1175666</v>
      </c>
      <c r="E5880">
        <f>VLOOKUP(C5880,'All Districts'!$B$3:$C$874,2,FALSE)</f>
        <v>3626940</v>
      </c>
      <c r="F5880" s="91">
        <f>COUNTIF($E$2:$E$7106,E5880)</f>
        <v>9</v>
      </c>
    </row>
    <row r="5881" spans="1:6" x14ac:dyDescent="0.2">
      <c r="A5881">
        <v>2022</v>
      </c>
      <c r="B5881" s="36">
        <v>2551</v>
      </c>
      <c r="C5881" s="90" t="str">
        <f>VLOOKUP(B5881,'All Districts'!$A$3:$B$874,2,FALSE)</f>
        <v>Skaneateles</v>
      </c>
      <c r="D5881" s="82">
        <v>1268886</v>
      </c>
      <c r="E5881">
        <f>VLOOKUP(C5881,'All Districts'!$B$3:$C$874,2,FALSE)</f>
        <v>3626940</v>
      </c>
      <c r="F5881" s="91">
        <f>COUNTIF($E$2:$E$7106,E5881)</f>
        <v>9</v>
      </c>
    </row>
    <row r="5882" spans="1:6" x14ac:dyDescent="0.2">
      <c r="A5882">
        <v>2023</v>
      </c>
      <c r="B5882" s="36">
        <v>2551</v>
      </c>
      <c r="C5882" s="90" t="str">
        <f>VLOOKUP(B5882,'All Districts'!$A$3:$B$874,2,FALSE)</f>
        <v>Skaneateles</v>
      </c>
      <c r="D5882" s="40">
        <v>1378147</v>
      </c>
      <c r="E5882">
        <f>VLOOKUP(C5882,'All Districts'!$B$3:$C$874,2,FALSE)</f>
        <v>3626940</v>
      </c>
      <c r="F5882" s="91">
        <f>COUNTIF($E$2:$E$7106,E5882)</f>
        <v>9</v>
      </c>
    </row>
    <row r="5883" spans="1:6" x14ac:dyDescent="0.2">
      <c r="A5883">
        <v>2015</v>
      </c>
      <c r="B5883" s="13">
        <v>2557</v>
      </c>
      <c r="C5883" s="90" t="str">
        <f>VLOOKUP(B5883,'All Districts'!$A$3:$B$874,2,FALSE)</f>
        <v>Smithtown</v>
      </c>
      <c r="D5883" s="14">
        <v>15496316</v>
      </c>
      <c r="E5883">
        <f>VLOOKUP(C5883,'All Districts'!$B$3:$C$874,2,FALSE)</f>
        <v>3627060</v>
      </c>
      <c r="F5883" s="91">
        <f>COUNTIF($E$2:$E$7106,E5883)</f>
        <v>9</v>
      </c>
    </row>
    <row r="5884" spans="1:6" x14ac:dyDescent="0.2">
      <c r="A5884">
        <v>2016</v>
      </c>
      <c r="B5884" s="13">
        <v>2557</v>
      </c>
      <c r="C5884" s="90" t="str">
        <f>VLOOKUP(B5884,'All Districts'!$A$3:$B$874,2,FALSE)</f>
        <v>Smithtown</v>
      </c>
      <c r="D5884" s="16">
        <v>11903452</v>
      </c>
      <c r="E5884">
        <f>VLOOKUP(C5884,'All Districts'!$B$3:$C$874,2,FALSE)</f>
        <v>3627060</v>
      </c>
      <c r="F5884" s="91">
        <f>COUNTIF($E$2:$E$7106,E5884)</f>
        <v>9</v>
      </c>
    </row>
    <row r="5885" spans="1:6" x14ac:dyDescent="0.2">
      <c r="A5885">
        <v>2017</v>
      </c>
      <c r="B5885" s="13">
        <v>2557</v>
      </c>
      <c r="C5885" s="90" t="str">
        <f>VLOOKUP(B5885,'All Districts'!$A$3:$B$874,2,FALSE)</f>
        <v>Smithtown</v>
      </c>
      <c r="D5885" s="16">
        <v>10952279</v>
      </c>
      <c r="E5885">
        <f>VLOOKUP(C5885,'All Districts'!$B$3:$C$874,2,FALSE)</f>
        <v>3627060</v>
      </c>
      <c r="F5885" s="91">
        <f>COUNTIF($E$2:$E$7106,E5885)</f>
        <v>9</v>
      </c>
    </row>
    <row r="5886" spans="1:6" x14ac:dyDescent="0.2">
      <c r="A5886" s="10">
        <v>2018</v>
      </c>
      <c r="B5886" s="13">
        <v>2557</v>
      </c>
      <c r="C5886" s="90" t="str">
        <f>VLOOKUP(B5886,'All Districts'!$A$3:$B$874,2,FALSE)</f>
        <v>Smithtown</v>
      </c>
      <c r="D5886" s="15">
        <v>9446602</v>
      </c>
      <c r="E5886">
        <f>VLOOKUP(C5886,'All Districts'!$B$3:$C$874,2,FALSE)</f>
        <v>3627060</v>
      </c>
      <c r="F5886" s="91">
        <f>COUNTIF($E$2:$E$7106,E5886)</f>
        <v>9</v>
      </c>
    </row>
    <row r="5887" spans="1:6" x14ac:dyDescent="0.2">
      <c r="A5887">
        <v>2019</v>
      </c>
      <c r="B5887" s="36">
        <v>2557</v>
      </c>
      <c r="C5887" s="90" t="str">
        <f>VLOOKUP(B5887,'All Districts'!$A$3:$B$874,2,FALSE)</f>
        <v>Smithtown</v>
      </c>
      <c r="D5887" s="40">
        <v>10486582</v>
      </c>
      <c r="E5887">
        <f>VLOOKUP(C5887,'All Districts'!$B$3:$C$874,2,FALSE)</f>
        <v>3627060</v>
      </c>
      <c r="F5887" s="91">
        <f>COUNTIF($E$2:$E$7106,E5887)</f>
        <v>9</v>
      </c>
    </row>
    <row r="5888" spans="1:6" x14ac:dyDescent="0.2">
      <c r="A5888">
        <v>2020</v>
      </c>
      <c r="B5888" s="36">
        <v>2557</v>
      </c>
      <c r="C5888" s="90" t="str">
        <f>VLOOKUP(B5888,'All Districts'!$A$3:$B$874,2,FALSE)</f>
        <v>Smithtown</v>
      </c>
      <c r="D5888" s="40">
        <v>8907408</v>
      </c>
      <c r="E5888">
        <f>VLOOKUP(C5888,'All Districts'!$B$3:$C$874,2,FALSE)</f>
        <v>3627060</v>
      </c>
      <c r="F5888" s="91">
        <f>COUNTIF($E$2:$E$7106,E5888)</f>
        <v>9</v>
      </c>
    </row>
    <row r="5889" spans="1:6" x14ac:dyDescent="0.2">
      <c r="A5889" s="10">
        <v>2021</v>
      </c>
      <c r="B5889" s="55">
        <v>2557</v>
      </c>
      <c r="C5889" s="90" t="str">
        <f>VLOOKUP(B5889,'All Districts'!$A$3:$B$874,2,FALSE)</f>
        <v>Smithtown</v>
      </c>
      <c r="D5889" s="76">
        <v>9845630</v>
      </c>
      <c r="E5889">
        <f>VLOOKUP(C5889,'All Districts'!$B$3:$C$874,2,FALSE)</f>
        <v>3627060</v>
      </c>
      <c r="F5889" s="91">
        <f>COUNTIF($E$2:$E$7106,E5889)</f>
        <v>9</v>
      </c>
    </row>
    <row r="5890" spans="1:6" x14ac:dyDescent="0.2">
      <c r="A5890">
        <v>2022</v>
      </c>
      <c r="B5890" s="36">
        <v>2557</v>
      </c>
      <c r="C5890" s="90" t="str">
        <f>VLOOKUP(B5890,'All Districts'!$A$3:$B$874,2,FALSE)</f>
        <v>Smithtown</v>
      </c>
      <c r="D5890" s="82">
        <v>10598891</v>
      </c>
      <c r="E5890">
        <f>VLOOKUP(C5890,'All Districts'!$B$3:$C$874,2,FALSE)</f>
        <v>3627060</v>
      </c>
      <c r="F5890" s="91">
        <f>COUNTIF($E$2:$E$7106,E5890)</f>
        <v>9</v>
      </c>
    </row>
    <row r="5891" spans="1:6" x14ac:dyDescent="0.2">
      <c r="A5891">
        <v>2023</v>
      </c>
      <c r="B5891" s="36">
        <v>2557</v>
      </c>
      <c r="C5891" s="90" t="str">
        <f>VLOOKUP(B5891,'All Districts'!$A$3:$B$874,2,FALSE)</f>
        <v>Smithtown</v>
      </c>
      <c r="D5891" s="40">
        <v>11438712</v>
      </c>
      <c r="E5891">
        <f>VLOOKUP(C5891,'All Districts'!$B$3:$C$874,2,FALSE)</f>
        <v>3627060</v>
      </c>
      <c r="F5891" s="91">
        <f>COUNTIF($E$2:$E$7106,E5891)</f>
        <v>9</v>
      </c>
    </row>
    <row r="5892" spans="1:6" x14ac:dyDescent="0.2">
      <c r="A5892">
        <v>2015</v>
      </c>
      <c r="B5892" s="13">
        <v>2559</v>
      </c>
      <c r="C5892" s="90" t="str">
        <f>VLOOKUP(B5892,'All Districts'!$A$3:$B$874,2,FALSE)</f>
        <v>Sodus</v>
      </c>
      <c r="D5892" s="14">
        <v>1586362</v>
      </c>
      <c r="E5892">
        <f>VLOOKUP(C5892,'All Districts'!$B$3:$C$874,2,FALSE)</f>
        <v>3627120</v>
      </c>
      <c r="F5892" s="91">
        <f>COUNTIF($E$2:$E$7106,E5892)</f>
        <v>9</v>
      </c>
    </row>
    <row r="5893" spans="1:6" x14ac:dyDescent="0.2">
      <c r="A5893">
        <v>2016</v>
      </c>
      <c r="B5893" s="13">
        <v>2559</v>
      </c>
      <c r="C5893" s="90" t="str">
        <f>VLOOKUP(B5893,'All Districts'!$A$3:$B$874,2,FALSE)</f>
        <v>Sodus</v>
      </c>
      <c r="D5893" s="16">
        <v>1279715</v>
      </c>
      <c r="E5893">
        <f>VLOOKUP(C5893,'All Districts'!$B$3:$C$874,2,FALSE)</f>
        <v>3627120</v>
      </c>
      <c r="F5893" s="91">
        <f>COUNTIF($E$2:$E$7106,E5893)</f>
        <v>9</v>
      </c>
    </row>
    <row r="5894" spans="1:6" x14ac:dyDescent="0.2">
      <c r="A5894">
        <v>2017</v>
      </c>
      <c r="B5894" s="13">
        <v>2559</v>
      </c>
      <c r="C5894" s="90" t="str">
        <f>VLOOKUP(B5894,'All Districts'!$A$3:$B$874,2,FALSE)</f>
        <v>Sodus</v>
      </c>
      <c r="D5894" s="16">
        <v>1137617</v>
      </c>
      <c r="E5894">
        <f>VLOOKUP(C5894,'All Districts'!$B$3:$C$874,2,FALSE)</f>
        <v>3627120</v>
      </c>
      <c r="F5894" s="91">
        <f>COUNTIF($E$2:$E$7106,E5894)</f>
        <v>9</v>
      </c>
    </row>
    <row r="5895" spans="1:6" x14ac:dyDescent="0.2">
      <c r="A5895" s="10">
        <v>2018</v>
      </c>
      <c r="B5895" s="13">
        <v>2559</v>
      </c>
      <c r="C5895" s="90" t="str">
        <f>VLOOKUP(B5895,'All Districts'!$A$3:$B$874,2,FALSE)</f>
        <v>Sodus</v>
      </c>
      <c r="D5895" s="15">
        <v>948340</v>
      </c>
      <c r="E5895">
        <f>VLOOKUP(C5895,'All Districts'!$B$3:$C$874,2,FALSE)</f>
        <v>3627120</v>
      </c>
      <c r="F5895" s="91">
        <f>COUNTIF($E$2:$E$7106,E5895)</f>
        <v>9</v>
      </c>
    </row>
    <row r="5896" spans="1:6" x14ac:dyDescent="0.2">
      <c r="A5896">
        <v>2019</v>
      </c>
      <c r="B5896" s="36">
        <v>2559</v>
      </c>
      <c r="C5896" s="90" t="str">
        <f>VLOOKUP(B5896,'All Districts'!$A$3:$B$874,2,FALSE)</f>
        <v>Sodus</v>
      </c>
      <c r="D5896" s="40">
        <v>1034546</v>
      </c>
      <c r="E5896">
        <f>VLOOKUP(C5896,'All Districts'!$B$3:$C$874,2,FALSE)</f>
        <v>3627120</v>
      </c>
      <c r="F5896" s="91">
        <f>COUNTIF($E$2:$E$7106,E5896)</f>
        <v>9</v>
      </c>
    </row>
    <row r="5897" spans="1:6" x14ac:dyDescent="0.2">
      <c r="A5897">
        <v>2020</v>
      </c>
      <c r="B5897" s="36">
        <v>2559</v>
      </c>
      <c r="C5897" s="90" t="str">
        <f>VLOOKUP(B5897,'All Districts'!$A$3:$B$874,2,FALSE)</f>
        <v>Sodus</v>
      </c>
      <c r="D5897" s="40">
        <v>856886</v>
      </c>
      <c r="E5897">
        <f>VLOOKUP(C5897,'All Districts'!$B$3:$C$874,2,FALSE)</f>
        <v>3627120</v>
      </c>
      <c r="F5897" s="91">
        <f>COUNTIF($E$2:$E$7106,E5897)</f>
        <v>9</v>
      </c>
    </row>
    <row r="5898" spans="1:6" x14ac:dyDescent="0.2">
      <c r="A5898" s="10">
        <v>2021</v>
      </c>
      <c r="B5898" s="52">
        <v>2559</v>
      </c>
      <c r="C5898" s="90" t="str">
        <f>VLOOKUP(B5898,'All Districts'!$A$3:$B$874,2,FALSE)</f>
        <v>Sodus</v>
      </c>
      <c r="D5898" s="76">
        <v>925248</v>
      </c>
      <c r="E5898">
        <f>VLOOKUP(C5898,'All Districts'!$B$3:$C$874,2,FALSE)</f>
        <v>3627120</v>
      </c>
      <c r="F5898" s="91">
        <f>COUNTIF($E$2:$E$7106,E5898)</f>
        <v>9</v>
      </c>
    </row>
    <row r="5899" spans="1:6" x14ac:dyDescent="0.2">
      <c r="A5899">
        <v>2022</v>
      </c>
      <c r="B5899" s="36">
        <v>2559</v>
      </c>
      <c r="C5899" s="90" t="str">
        <f>VLOOKUP(B5899,'All Districts'!$A$3:$B$874,2,FALSE)</f>
        <v>Sodus</v>
      </c>
      <c r="D5899" s="82">
        <v>981912</v>
      </c>
      <c r="E5899">
        <f>VLOOKUP(C5899,'All Districts'!$B$3:$C$874,2,FALSE)</f>
        <v>3627120</v>
      </c>
      <c r="F5899" s="91">
        <f>COUNTIF($E$2:$E$7106,E5899)</f>
        <v>9</v>
      </c>
    </row>
    <row r="5900" spans="1:6" x14ac:dyDescent="0.2">
      <c r="A5900">
        <v>2023</v>
      </c>
      <c r="B5900" s="36">
        <v>2559</v>
      </c>
      <c r="C5900" s="90" t="str">
        <f>VLOOKUP(B5900,'All Districts'!$A$3:$B$874,2,FALSE)</f>
        <v>Sodus</v>
      </c>
      <c r="D5900" s="40">
        <v>1051406</v>
      </c>
      <c r="E5900">
        <f>VLOOKUP(C5900,'All Districts'!$B$3:$C$874,2,FALSE)</f>
        <v>3627120</v>
      </c>
      <c r="F5900" s="91">
        <f>COUNTIF($E$2:$E$7106,E5900)</f>
        <v>9</v>
      </c>
    </row>
    <row r="5901" spans="1:6" x14ac:dyDescent="0.2">
      <c r="A5901">
        <v>2015</v>
      </c>
      <c r="B5901" s="13">
        <v>2560</v>
      </c>
      <c r="C5901" s="90" t="str">
        <f>VLOOKUP(B5901,'All Districts'!$A$3:$B$874,2,FALSE)</f>
        <v>Solvay</v>
      </c>
      <c r="D5901" s="14">
        <v>1923019</v>
      </c>
      <c r="E5901">
        <f>VLOOKUP(C5901,'All Districts'!$B$3:$C$874,2,FALSE)</f>
        <v>3627150</v>
      </c>
      <c r="F5901" s="91">
        <f>COUNTIF($E$2:$E$7106,E5901)</f>
        <v>9</v>
      </c>
    </row>
    <row r="5902" spans="1:6" x14ac:dyDescent="0.2">
      <c r="A5902">
        <v>2016</v>
      </c>
      <c r="B5902" s="13">
        <v>2560</v>
      </c>
      <c r="C5902" s="90" t="str">
        <f>VLOOKUP(B5902,'All Districts'!$A$3:$B$874,2,FALSE)</f>
        <v>Solvay</v>
      </c>
      <c r="D5902" s="16">
        <v>1481374</v>
      </c>
      <c r="E5902">
        <f>VLOOKUP(C5902,'All Districts'!$B$3:$C$874,2,FALSE)</f>
        <v>3627150</v>
      </c>
      <c r="F5902" s="91">
        <f>COUNTIF($E$2:$E$7106,E5902)</f>
        <v>9</v>
      </c>
    </row>
    <row r="5903" spans="1:6" x14ac:dyDescent="0.2">
      <c r="A5903">
        <v>2017</v>
      </c>
      <c r="B5903" s="13">
        <v>2560</v>
      </c>
      <c r="C5903" s="90" t="str">
        <f>VLOOKUP(B5903,'All Districts'!$A$3:$B$874,2,FALSE)</f>
        <v>Solvay</v>
      </c>
      <c r="D5903" s="16">
        <v>1320050</v>
      </c>
      <c r="E5903">
        <f>VLOOKUP(C5903,'All Districts'!$B$3:$C$874,2,FALSE)</f>
        <v>3627150</v>
      </c>
      <c r="F5903" s="91">
        <f>COUNTIF($E$2:$E$7106,E5903)</f>
        <v>9</v>
      </c>
    </row>
    <row r="5904" spans="1:6" x14ac:dyDescent="0.2">
      <c r="A5904" s="10">
        <v>2018</v>
      </c>
      <c r="B5904" s="13">
        <v>2560</v>
      </c>
      <c r="C5904" s="90" t="str">
        <f>VLOOKUP(B5904,'All Districts'!$A$3:$B$874,2,FALSE)</f>
        <v>Solvay</v>
      </c>
      <c r="D5904" s="15">
        <v>1147753</v>
      </c>
      <c r="E5904">
        <f>VLOOKUP(C5904,'All Districts'!$B$3:$C$874,2,FALSE)</f>
        <v>3627150</v>
      </c>
      <c r="F5904" s="91">
        <f>COUNTIF($E$2:$E$7106,E5904)</f>
        <v>9</v>
      </c>
    </row>
    <row r="5905" spans="1:6" x14ac:dyDescent="0.2">
      <c r="A5905">
        <v>2019</v>
      </c>
      <c r="B5905" s="36">
        <v>2560</v>
      </c>
      <c r="C5905" s="90" t="str">
        <f>VLOOKUP(B5905,'All Districts'!$A$3:$B$874,2,FALSE)</f>
        <v>Solvay</v>
      </c>
      <c r="D5905" s="40">
        <v>1299308</v>
      </c>
      <c r="E5905">
        <f>VLOOKUP(C5905,'All Districts'!$B$3:$C$874,2,FALSE)</f>
        <v>3627150</v>
      </c>
      <c r="F5905" s="91">
        <f>COUNTIF($E$2:$E$7106,E5905)</f>
        <v>9</v>
      </c>
    </row>
    <row r="5906" spans="1:6" x14ac:dyDescent="0.2">
      <c r="A5906">
        <v>2020</v>
      </c>
      <c r="B5906" s="36">
        <v>2560</v>
      </c>
      <c r="C5906" s="90" t="str">
        <f>VLOOKUP(B5906,'All Districts'!$A$3:$B$874,2,FALSE)</f>
        <v>Solvay</v>
      </c>
      <c r="D5906" s="40">
        <v>1077844</v>
      </c>
      <c r="E5906">
        <f>VLOOKUP(C5906,'All Districts'!$B$3:$C$874,2,FALSE)</f>
        <v>3627150</v>
      </c>
      <c r="F5906" s="91">
        <f>COUNTIF($E$2:$E$7106,E5906)</f>
        <v>9</v>
      </c>
    </row>
    <row r="5907" spans="1:6" x14ac:dyDescent="0.2">
      <c r="A5907" s="10">
        <v>2021</v>
      </c>
      <c r="B5907" s="52">
        <v>2560</v>
      </c>
      <c r="C5907" s="90" t="str">
        <f>VLOOKUP(B5907,'All Districts'!$A$3:$B$874,2,FALSE)</f>
        <v>Solvay</v>
      </c>
      <c r="D5907" s="76">
        <v>1163448</v>
      </c>
      <c r="E5907">
        <f>VLOOKUP(C5907,'All Districts'!$B$3:$C$874,2,FALSE)</f>
        <v>3627150</v>
      </c>
      <c r="F5907" s="91">
        <f>COUNTIF($E$2:$E$7106,E5907)</f>
        <v>9</v>
      </c>
    </row>
    <row r="5908" spans="1:6" x14ac:dyDescent="0.2">
      <c r="A5908">
        <v>2022</v>
      </c>
      <c r="B5908" s="36">
        <v>2560</v>
      </c>
      <c r="C5908" s="90" t="str">
        <f>VLOOKUP(B5908,'All Districts'!$A$3:$B$874,2,FALSE)</f>
        <v>Solvay</v>
      </c>
      <c r="D5908" s="82">
        <v>1306553</v>
      </c>
      <c r="E5908">
        <f>VLOOKUP(C5908,'All Districts'!$B$3:$C$874,2,FALSE)</f>
        <v>3627150</v>
      </c>
      <c r="F5908" s="91">
        <f>COUNTIF($E$2:$E$7106,E5908)</f>
        <v>9</v>
      </c>
    </row>
    <row r="5909" spans="1:6" x14ac:dyDescent="0.2">
      <c r="A5909">
        <v>2023</v>
      </c>
      <c r="B5909" s="36">
        <v>2560</v>
      </c>
      <c r="C5909" s="90" t="str">
        <f>VLOOKUP(B5909,'All Districts'!$A$3:$B$874,2,FALSE)</f>
        <v>Solvay</v>
      </c>
      <c r="D5909" s="40">
        <v>1441704</v>
      </c>
      <c r="E5909">
        <f>VLOOKUP(C5909,'All Districts'!$B$3:$C$874,2,FALSE)</f>
        <v>3627150</v>
      </c>
      <c r="F5909" s="91">
        <f>COUNTIF($E$2:$E$7106,E5909)</f>
        <v>9</v>
      </c>
    </row>
    <row r="5910" spans="1:6" x14ac:dyDescent="0.2">
      <c r="A5910">
        <v>2015</v>
      </c>
      <c r="B5910" s="13">
        <v>2561</v>
      </c>
      <c r="C5910" s="90" t="str">
        <f>VLOOKUP(B5910,'All Districts'!$A$3:$B$874,2,FALSE)</f>
        <v>Somers</v>
      </c>
      <c r="D5910" s="14">
        <v>6220543</v>
      </c>
      <c r="E5910">
        <f>VLOOKUP(C5910,'All Districts'!$B$3:$C$874,2,FALSE)</f>
        <v>3627180</v>
      </c>
      <c r="F5910" s="91">
        <f>COUNTIF($E$2:$E$7106,E5910)</f>
        <v>9</v>
      </c>
    </row>
    <row r="5911" spans="1:6" x14ac:dyDescent="0.2">
      <c r="A5911">
        <v>2016</v>
      </c>
      <c r="B5911" s="13">
        <v>2561</v>
      </c>
      <c r="C5911" s="90" t="str">
        <f>VLOOKUP(B5911,'All Districts'!$A$3:$B$874,2,FALSE)</f>
        <v>Somers</v>
      </c>
      <c r="D5911" s="16">
        <v>4856175</v>
      </c>
      <c r="E5911">
        <f>VLOOKUP(C5911,'All Districts'!$B$3:$C$874,2,FALSE)</f>
        <v>3627180</v>
      </c>
      <c r="F5911" s="91">
        <f>COUNTIF($E$2:$E$7106,E5911)</f>
        <v>9</v>
      </c>
    </row>
    <row r="5912" spans="1:6" x14ac:dyDescent="0.2">
      <c r="A5912">
        <v>2017</v>
      </c>
      <c r="B5912" s="13">
        <v>2561</v>
      </c>
      <c r="C5912" s="90" t="str">
        <f>VLOOKUP(B5912,'All Districts'!$A$3:$B$874,2,FALSE)</f>
        <v>Somers</v>
      </c>
      <c r="D5912" s="16">
        <v>4348701</v>
      </c>
      <c r="E5912">
        <f>VLOOKUP(C5912,'All Districts'!$B$3:$C$874,2,FALSE)</f>
        <v>3627180</v>
      </c>
      <c r="F5912" s="91">
        <f>COUNTIF($E$2:$E$7106,E5912)</f>
        <v>9</v>
      </c>
    </row>
    <row r="5913" spans="1:6" x14ac:dyDescent="0.2">
      <c r="A5913" s="10">
        <v>2018</v>
      </c>
      <c r="B5913" s="13">
        <v>2561</v>
      </c>
      <c r="C5913" s="90" t="str">
        <f>VLOOKUP(B5913,'All Districts'!$A$3:$B$874,2,FALSE)</f>
        <v>Somers</v>
      </c>
      <c r="D5913" s="15">
        <v>3768526</v>
      </c>
      <c r="E5913">
        <f>VLOOKUP(C5913,'All Districts'!$B$3:$C$874,2,FALSE)</f>
        <v>3627180</v>
      </c>
      <c r="F5913" s="91">
        <f>COUNTIF($E$2:$E$7106,E5913)</f>
        <v>9</v>
      </c>
    </row>
    <row r="5914" spans="1:6" x14ac:dyDescent="0.2">
      <c r="A5914">
        <v>2019</v>
      </c>
      <c r="B5914" s="36">
        <v>2561</v>
      </c>
      <c r="C5914" s="90" t="str">
        <f>VLOOKUP(B5914,'All Districts'!$A$3:$B$874,2,FALSE)</f>
        <v>Somers</v>
      </c>
      <c r="D5914" s="40">
        <v>4179971</v>
      </c>
      <c r="E5914">
        <f>VLOOKUP(C5914,'All Districts'!$B$3:$C$874,2,FALSE)</f>
        <v>3627180</v>
      </c>
      <c r="F5914" s="91">
        <f>COUNTIF($E$2:$E$7106,E5914)</f>
        <v>9</v>
      </c>
    </row>
    <row r="5915" spans="1:6" x14ac:dyDescent="0.2">
      <c r="A5915">
        <v>2020</v>
      </c>
      <c r="B5915" s="36">
        <v>2561</v>
      </c>
      <c r="C5915" s="90" t="str">
        <f>VLOOKUP(B5915,'All Districts'!$A$3:$B$874,2,FALSE)</f>
        <v>Somers</v>
      </c>
      <c r="D5915" s="40">
        <v>3490976</v>
      </c>
      <c r="E5915">
        <f>VLOOKUP(C5915,'All Districts'!$B$3:$C$874,2,FALSE)</f>
        <v>3627180</v>
      </c>
      <c r="F5915" s="91">
        <f>COUNTIF($E$2:$E$7106,E5915)</f>
        <v>9</v>
      </c>
    </row>
    <row r="5916" spans="1:6" x14ac:dyDescent="0.2">
      <c r="A5916" s="10">
        <v>2021</v>
      </c>
      <c r="B5916" s="52">
        <v>2561</v>
      </c>
      <c r="C5916" s="90" t="str">
        <f>VLOOKUP(B5916,'All Districts'!$A$3:$B$874,2,FALSE)</f>
        <v>Somers</v>
      </c>
      <c r="D5916" s="76">
        <v>3810015</v>
      </c>
      <c r="E5916">
        <f>VLOOKUP(C5916,'All Districts'!$B$3:$C$874,2,FALSE)</f>
        <v>3627180</v>
      </c>
      <c r="F5916" s="91">
        <f>COUNTIF($E$2:$E$7106,E5916)</f>
        <v>9</v>
      </c>
    </row>
    <row r="5917" spans="1:6" x14ac:dyDescent="0.2">
      <c r="A5917">
        <v>2022</v>
      </c>
      <c r="B5917" s="36">
        <v>2561</v>
      </c>
      <c r="C5917" s="90" t="str">
        <f>VLOOKUP(B5917,'All Districts'!$A$3:$B$874,2,FALSE)</f>
        <v>Somers</v>
      </c>
      <c r="D5917" s="82">
        <v>3945453</v>
      </c>
      <c r="E5917">
        <f>VLOOKUP(C5917,'All Districts'!$B$3:$C$874,2,FALSE)</f>
        <v>3627180</v>
      </c>
      <c r="F5917" s="91">
        <f>COUNTIF($E$2:$E$7106,E5917)</f>
        <v>9</v>
      </c>
    </row>
    <row r="5918" spans="1:6" x14ac:dyDescent="0.2">
      <c r="A5918">
        <v>2023</v>
      </c>
      <c r="B5918" s="36">
        <v>2561</v>
      </c>
      <c r="C5918" s="90" t="str">
        <f>VLOOKUP(B5918,'All Districts'!$A$3:$B$874,2,FALSE)</f>
        <v>Somers</v>
      </c>
      <c r="D5918" s="40">
        <v>4257378</v>
      </c>
      <c r="E5918">
        <f>VLOOKUP(C5918,'All Districts'!$B$3:$C$874,2,FALSE)</f>
        <v>3627180</v>
      </c>
      <c r="F5918" s="91">
        <f>COUNTIF($E$2:$E$7106,E5918)</f>
        <v>9</v>
      </c>
    </row>
    <row r="5919" spans="1:6" x14ac:dyDescent="0.2">
      <c r="A5919">
        <v>2015</v>
      </c>
      <c r="B5919" s="13">
        <v>8400</v>
      </c>
      <c r="C5919" s="90" t="str">
        <f>VLOOKUP(B5919,'All Districts'!$A$3:$B$874,2,FALSE)</f>
        <v>South Buffalo</v>
      </c>
      <c r="D5919" s="15">
        <v>643200</v>
      </c>
      <c r="E5919">
        <f>VLOOKUP(C5919,'All Districts'!$B$3:$C$874,2,FALSE)</f>
        <v>3600036</v>
      </c>
      <c r="F5919" s="91">
        <f>COUNTIF($E$2:$E$7106,E5919)</f>
        <v>9</v>
      </c>
    </row>
    <row r="5920" spans="1:6" x14ac:dyDescent="0.2">
      <c r="A5920">
        <v>2016</v>
      </c>
      <c r="B5920" s="13">
        <v>8400</v>
      </c>
      <c r="C5920" s="90" t="str">
        <f>VLOOKUP(B5920,'All Districts'!$A$3:$B$874,2,FALSE)</f>
        <v>South Buffalo</v>
      </c>
      <c r="D5920" s="16">
        <v>584416</v>
      </c>
      <c r="E5920">
        <f>VLOOKUP(C5920,'All Districts'!$B$3:$C$874,2,FALSE)</f>
        <v>3600036</v>
      </c>
      <c r="F5920" s="91">
        <f>COUNTIF($E$2:$E$7106,E5920)</f>
        <v>9</v>
      </c>
    </row>
    <row r="5921" spans="1:6" x14ac:dyDescent="0.2">
      <c r="A5921">
        <v>2017</v>
      </c>
      <c r="B5921" s="13">
        <v>8400</v>
      </c>
      <c r="C5921" s="90" t="str">
        <f>VLOOKUP(B5921,'All Districts'!$A$3:$B$874,2,FALSE)</f>
        <v>South Buffalo</v>
      </c>
      <c r="D5921" s="16">
        <v>525790</v>
      </c>
      <c r="E5921">
        <f>VLOOKUP(C5921,'All Districts'!$B$3:$C$874,2,FALSE)</f>
        <v>3600036</v>
      </c>
      <c r="F5921" s="91">
        <f>COUNTIF($E$2:$E$7106,E5921)</f>
        <v>9</v>
      </c>
    </row>
    <row r="5922" spans="1:6" x14ac:dyDescent="0.2">
      <c r="A5922" s="10">
        <v>2018</v>
      </c>
      <c r="B5922" s="13">
        <v>8400</v>
      </c>
      <c r="C5922" s="90" t="str">
        <f>VLOOKUP(B5922,'All Districts'!$A$3:$B$874,2,FALSE)</f>
        <v>South Buffalo</v>
      </c>
      <c r="D5922" s="15">
        <v>434174</v>
      </c>
      <c r="E5922">
        <f>VLOOKUP(C5922,'All Districts'!$B$3:$C$874,2,FALSE)</f>
        <v>3600036</v>
      </c>
      <c r="F5922" s="91">
        <f>COUNTIF($E$2:$E$7106,E5922)</f>
        <v>9</v>
      </c>
    </row>
    <row r="5923" spans="1:6" x14ac:dyDescent="0.2">
      <c r="A5923">
        <v>2019</v>
      </c>
      <c r="B5923" s="36">
        <v>8400</v>
      </c>
      <c r="C5923" s="90" t="str">
        <f>VLOOKUP(B5923,'All Districts'!$A$3:$B$874,2,FALSE)</f>
        <v>South Buffalo</v>
      </c>
      <c r="D5923" s="40">
        <v>497470</v>
      </c>
      <c r="E5923">
        <f>VLOOKUP(C5923,'All Districts'!$B$3:$C$874,2,FALSE)</f>
        <v>3600036</v>
      </c>
      <c r="F5923" s="91">
        <f>COUNTIF($E$2:$E$7106,E5923)</f>
        <v>9</v>
      </c>
    </row>
    <row r="5924" spans="1:6" x14ac:dyDescent="0.2">
      <c r="A5924">
        <v>2020</v>
      </c>
      <c r="B5924" s="36">
        <v>8400</v>
      </c>
      <c r="C5924" s="90" t="str">
        <f>VLOOKUP(B5924,'All Districts'!$A$3:$B$874,2,FALSE)</f>
        <v>South Buffalo</v>
      </c>
      <c r="D5924" s="40">
        <v>422010</v>
      </c>
      <c r="E5924">
        <f>VLOOKUP(C5924,'All Districts'!$B$3:$C$874,2,FALSE)</f>
        <v>3600036</v>
      </c>
      <c r="F5924" s="91">
        <f>COUNTIF($E$2:$E$7106,E5924)</f>
        <v>9</v>
      </c>
    </row>
    <row r="5925" spans="1:6" x14ac:dyDescent="0.2">
      <c r="A5925" s="10">
        <v>2021</v>
      </c>
      <c r="B5925" s="55">
        <v>8400</v>
      </c>
      <c r="C5925" s="90" t="str">
        <f>VLOOKUP(B5925,'All Districts'!$A$3:$B$874,2,FALSE)</f>
        <v>South Buffalo</v>
      </c>
      <c r="D5925" s="76">
        <v>448052</v>
      </c>
      <c r="E5925">
        <f>VLOOKUP(C5925,'All Districts'!$B$3:$C$874,2,FALSE)</f>
        <v>3600036</v>
      </c>
      <c r="F5925" s="91">
        <f>COUNTIF($E$2:$E$7106,E5925)</f>
        <v>9</v>
      </c>
    </row>
    <row r="5926" spans="1:6" x14ac:dyDescent="0.2">
      <c r="A5926">
        <v>2022</v>
      </c>
      <c r="B5926" s="36">
        <v>8400</v>
      </c>
      <c r="C5926" s="90" t="str">
        <f>VLOOKUP(B5926,'All Districts'!$A$3:$B$874,2,FALSE)</f>
        <v>South Buffalo</v>
      </c>
      <c r="D5926" s="82">
        <v>492119</v>
      </c>
      <c r="E5926">
        <f>VLOOKUP(C5926,'All Districts'!$B$3:$C$874,2,FALSE)</f>
        <v>3600036</v>
      </c>
      <c r="F5926" s="91">
        <f>COUNTIF($E$2:$E$7106,E5926)</f>
        <v>9</v>
      </c>
    </row>
    <row r="5927" spans="1:6" x14ac:dyDescent="0.2">
      <c r="A5927">
        <v>2023</v>
      </c>
      <c r="B5927" s="36">
        <v>8400</v>
      </c>
      <c r="C5927" s="90" t="str">
        <f>VLOOKUP(B5927,'All Districts'!$A$3:$B$874,2,FALSE)</f>
        <v>South Buffalo</v>
      </c>
      <c r="D5927" s="40">
        <v>522049</v>
      </c>
      <c r="E5927">
        <f>VLOOKUP(C5927,'All Districts'!$B$3:$C$874,2,FALSE)</f>
        <v>3600036</v>
      </c>
      <c r="F5927" s="91">
        <f>COUNTIF($E$2:$E$7106,E5927)</f>
        <v>9</v>
      </c>
    </row>
    <row r="5928" spans="1:6" x14ac:dyDescent="0.2">
      <c r="A5928">
        <v>2015</v>
      </c>
      <c r="B5928" s="13">
        <v>2562</v>
      </c>
      <c r="C5928" s="90" t="str">
        <f>VLOOKUP(B5928,'All Districts'!$A$3:$B$874,2,FALSE)</f>
        <v>South Colonie</v>
      </c>
      <c r="D5928" s="14">
        <v>7190636</v>
      </c>
      <c r="E5928">
        <f>VLOOKUP(C5928,'All Districts'!$B$3:$C$874,2,FALSE)</f>
        <v>3627210</v>
      </c>
      <c r="F5928" s="91">
        <f>COUNTIF($E$2:$E$7106,E5928)</f>
        <v>9</v>
      </c>
    </row>
    <row r="5929" spans="1:6" x14ac:dyDescent="0.2">
      <c r="A5929">
        <v>2016</v>
      </c>
      <c r="B5929" s="13">
        <v>2562</v>
      </c>
      <c r="C5929" s="90" t="str">
        <f>VLOOKUP(B5929,'All Districts'!$A$3:$B$874,2,FALSE)</f>
        <v>South Colonie</v>
      </c>
      <c r="D5929" s="16">
        <v>5571397</v>
      </c>
      <c r="E5929">
        <f>VLOOKUP(C5929,'All Districts'!$B$3:$C$874,2,FALSE)</f>
        <v>3627210</v>
      </c>
      <c r="F5929" s="91">
        <f>COUNTIF($E$2:$E$7106,E5929)</f>
        <v>9</v>
      </c>
    </row>
    <row r="5930" spans="1:6" x14ac:dyDescent="0.2">
      <c r="A5930">
        <v>2017</v>
      </c>
      <c r="B5930" s="13">
        <v>2562</v>
      </c>
      <c r="C5930" s="90" t="str">
        <f>VLOOKUP(B5930,'All Districts'!$A$3:$B$874,2,FALSE)</f>
        <v>South Colonie</v>
      </c>
      <c r="D5930" s="16">
        <v>5161433</v>
      </c>
      <c r="E5930">
        <f>VLOOKUP(C5930,'All Districts'!$B$3:$C$874,2,FALSE)</f>
        <v>3627210</v>
      </c>
      <c r="F5930" s="91">
        <f>COUNTIF($E$2:$E$7106,E5930)</f>
        <v>9</v>
      </c>
    </row>
    <row r="5931" spans="1:6" x14ac:dyDescent="0.2">
      <c r="A5931" s="10">
        <v>2018</v>
      </c>
      <c r="B5931" s="13">
        <v>2562</v>
      </c>
      <c r="C5931" s="90" t="str">
        <f>VLOOKUP(B5931,'All Districts'!$A$3:$B$874,2,FALSE)</f>
        <v>South Colonie</v>
      </c>
      <c r="D5931" s="15">
        <v>4478164</v>
      </c>
      <c r="E5931">
        <f>VLOOKUP(C5931,'All Districts'!$B$3:$C$874,2,FALSE)</f>
        <v>3627210</v>
      </c>
      <c r="F5931" s="91">
        <f>COUNTIF($E$2:$E$7106,E5931)</f>
        <v>9</v>
      </c>
    </row>
    <row r="5932" spans="1:6" x14ac:dyDescent="0.2">
      <c r="A5932">
        <v>2019</v>
      </c>
      <c r="B5932" s="36">
        <v>2562</v>
      </c>
      <c r="C5932" s="90" t="str">
        <f>VLOOKUP(B5932,'All Districts'!$A$3:$B$874,2,FALSE)</f>
        <v>South Colonie</v>
      </c>
      <c r="D5932" s="40">
        <v>4948728</v>
      </c>
      <c r="E5932">
        <f>VLOOKUP(C5932,'All Districts'!$B$3:$C$874,2,FALSE)</f>
        <v>3627210</v>
      </c>
      <c r="F5932" s="91">
        <f>COUNTIF($E$2:$E$7106,E5932)</f>
        <v>9</v>
      </c>
    </row>
    <row r="5933" spans="1:6" x14ac:dyDescent="0.2">
      <c r="A5933">
        <v>2020</v>
      </c>
      <c r="B5933" s="36">
        <v>2562</v>
      </c>
      <c r="C5933" s="90" t="str">
        <f>VLOOKUP(B5933,'All Districts'!$A$3:$B$874,2,FALSE)</f>
        <v>South Colonie</v>
      </c>
      <c r="D5933" s="40">
        <v>4267142</v>
      </c>
      <c r="E5933">
        <f>VLOOKUP(C5933,'All Districts'!$B$3:$C$874,2,FALSE)</f>
        <v>3627210</v>
      </c>
      <c r="F5933" s="91">
        <f>COUNTIF($E$2:$E$7106,E5933)</f>
        <v>9</v>
      </c>
    </row>
    <row r="5934" spans="1:6" x14ac:dyDescent="0.2">
      <c r="A5934" s="10">
        <v>2021</v>
      </c>
      <c r="B5934" s="52">
        <v>2562</v>
      </c>
      <c r="C5934" s="90" t="str">
        <f>VLOOKUP(B5934,'All Districts'!$A$3:$B$874,2,FALSE)</f>
        <v>South Colonie</v>
      </c>
      <c r="D5934" s="75">
        <v>4604970</v>
      </c>
      <c r="E5934">
        <f>VLOOKUP(C5934,'All Districts'!$B$3:$C$874,2,FALSE)</f>
        <v>3627210</v>
      </c>
      <c r="F5934" s="91">
        <f>COUNTIF($E$2:$E$7106,E5934)</f>
        <v>9</v>
      </c>
    </row>
    <row r="5935" spans="1:6" x14ac:dyDescent="0.2">
      <c r="A5935">
        <v>2022</v>
      </c>
      <c r="B5935" s="36">
        <v>2562</v>
      </c>
      <c r="C5935" s="90" t="str">
        <f>VLOOKUP(B5935,'All Districts'!$A$3:$B$874,2,FALSE)</f>
        <v>South Colonie</v>
      </c>
      <c r="D5935" s="82">
        <v>4944101</v>
      </c>
      <c r="E5935">
        <f>VLOOKUP(C5935,'All Districts'!$B$3:$C$874,2,FALSE)</f>
        <v>3627210</v>
      </c>
      <c r="F5935" s="91">
        <f>COUNTIF($E$2:$E$7106,E5935)</f>
        <v>9</v>
      </c>
    </row>
    <row r="5936" spans="1:6" x14ac:dyDescent="0.2">
      <c r="A5936">
        <v>2023</v>
      </c>
      <c r="B5936" s="36">
        <v>2562</v>
      </c>
      <c r="C5936" s="90" t="str">
        <f>VLOOKUP(B5936,'All Districts'!$A$3:$B$874,2,FALSE)</f>
        <v>South Colonie</v>
      </c>
      <c r="D5936" s="40">
        <v>5527422</v>
      </c>
      <c r="E5936">
        <f>VLOOKUP(C5936,'All Districts'!$B$3:$C$874,2,FALSE)</f>
        <v>3627210</v>
      </c>
      <c r="F5936" s="91">
        <f>COUNTIF($E$2:$E$7106,E5936)</f>
        <v>9</v>
      </c>
    </row>
    <row r="5937" spans="1:6" x14ac:dyDescent="0.2">
      <c r="A5937">
        <v>2015</v>
      </c>
      <c r="B5937" s="13">
        <v>2563</v>
      </c>
      <c r="C5937" s="90" t="str">
        <f>VLOOKUP(B5937,'All Districts'!$A$3:$B$874,2,FALSE)</f>
        <v>South Country</v>
      </c>
      <c r="D5937" s="14">
        <v>7669898</v>
      </c>
      <c r="E5937">
        <f>VLOOKUP(C5937,'All Districts'!$B$3:$C$874,2,FALSE)</f>
        <v>3600008</v>
      </c>
      <c r="F5937" s="91">
        <f>COUNTIF($E$2:$E$7106,E5937)</f>
        <v>9</v>
      </c>
    </row>
    <row r="5938" spans="1:6" x14ac:dyDescent="0.2">
      <c r="A5938">
        <v>2016</v>
      </c>
      <c r="B5938" s="13">
        <v>2563</v>
      </c>
      <c r="C5938" s="90" t="str">
        <f>VLOOKUP(B5938,'All Districts'!$A$3:$B$874,2,FALSE)</f>
        <v>South Country</v>
      </c>
      <c r="D5938" s="16">
        <v>6127463</v>
      </c>
      <c r="E5938">
        <f>VLOOKUP(C5938,'All Districts'!$B$3:$C$874,2,FALSE)</f>
        <v>3600008</v>
      </c>
      <c r="F5938" s="91">
        <f>COUNTIF($E$2:$E$7106,E5938)</f>
        <v>9</v>
      </c>
    </row>
    <row r="5939" spans="1:6" x14ac:dyDescent="0.2">
      <c r="A5939">
        <v>2017</v>
      </c>
      <c r="B5939" s="13">
        <v>2563</v>
      </c>
      <c r="C5939" s="90" t="str">
        <f>VLOOKUP(B5939,'All Districts'!$A$3:$B$874,2,FALSE)</f>
        <v>South Country</v>
      </c>
      <c r="D5939" s="16">
        <v>5592265</v>
      </c>
      <c r="E5939">
        <f>VLOOKUP(C5939,'All Districts'!$B$3:$C$874,2,FALSE)</f>
        <v>3600008</v>
      </c>
      <c r="F5939" s="91">
        <f>COUNTIF($E$2:$E$7106,E5939)</f>
        <v>9</v>
      </c>
    </row>
    <row r="5940" spans="1:6" x14ac:dyDescent="0.2">
      <c r="A5940" s="10">
        <v>2018</v>
      </c>
      <c r="B5940" s="13">
        <v>2563</v>
      </c>
      <c r="C5940" s="90" t="str">
        <f>VLOOKUP(B5940,'All Districts'!$A$3:$B$874,2,FALSE)</f>
        <v>South Country</v>
      </c>
      <c r="D5940" s="15">
        <v>4875750</v>
      </c>
      <c r="E5940">
        <f>VLOOKUP(C5940,'All Districts'!$B$3:$C$874,2,FALSE)</f>
        <v>3600008</v>
      </c>
      <c r="F5940" s="91">
        <f>COUNTIF($E$2:$E$7106,E5940)</f>
        <v>9</v>
      </c>
    </row>
    <row r="5941" spans="1:6" x14ac:dyDescent="0.2">
      <c r="A5941">
        <v>2019</v>
      </c>
      <c r="B5941" s="36">
        <v>2563</v>
      </c>
      <c r="C5941" s="90" t="str">
        <f>VLOOKUP(B5941,'All Districts'!$A$3:$B$874,2,FALSE)</f>
        <v>South Country</v>
      </c>
      <c r="D5941" s="40">
        <v>5410073</v>
      </c>
      <c r="E5941">
        <f>VLOOKUP(C5941,'All Districts'!$B$3:$C$874,2,FALSE)</f>
        <v>3600008</v>
      </c>
      <c r="F5941" s="91">
        <f>COUNTIF($E$2:$E$7106,E5941)</f>
        <v>9</v>
      </c>
    </row>
    <row r="5942" spans="1:6" x14ac:dyDescent="0.2">
      <c r="A5942">
        <v>2020</v>
      </c>
      <c r="B5942" s="36">
        <v>2563</v>
      </c>
      <c r="C5942" s="90" t="str">
        <f>VLOOKUP(B5942,'All Districts'!$A$3:$B$874,2,FALSE)</f>
        <v>South Country</v>
      </c>
      <c r="D5942" s="40">
        <v>4551675</v>
      </c>
      <c r="E5942">
        <f>VLOOKUP(C5942,'All Districts'!$B$3:$C$874,2,FALSE)</f>
        <v>3600008</v>
      </c>
      <c r="F5942" s="91">
        <f>COUNTIF($E$2:$E$7106,E5942)</f>
        <v>9</v>
      </c>
    </row>
    <row r="5943" spans="1:6" x14ac:dyDescent="0.2">
      <c r="A5943" s="10">
        <v>2021</v>
      </c>
      <c r="B5943" s="52">
        <v>2563</v>
      </c>
      <c r="C5943" s="90" t="str">
        <f>VLOOKUP(B5943,'All Districts'!$A$3:$B$874,2,FALSE)</f>
        <v>South Country</v>
      </c>
      <c r="D5943" s="76">
        <v>4839470</v>
      </c>
      <c r="E5943">
        <f>VLOOKUP(C5943,'All Districts'!$B$3:$C$874,2,FALSE)</f>
        <v>3600008</v>
      </c>
      <c r="F5943" s="91">
        <f>COUNTIF($E$2:$E$7106,E5943)</f>
        <v>9</v>
      </c>
    </row>
    <row r="5944" spans="1:6" x14ac:dyDescent="0.2">
      <c r="A5944">
        <v>2022</v>
      </c>
      <c r="B5944" s="36">
        <v>2563</v>
      </c>
      <c r="C5944" s="90" t="str">
        <f>VLOOKUP(B5944,'All Districts'!$A$3:$B$874,2,FALSE)</f>
        <v>South Country</v>
      </c>
      <c r="D5944" s="82">
        <v>5309488</v>
      </c>
      <c r="E5944">
        <f>VLOOKUP(C5944,'All Districts'!$B$3:$C$874,2,FALSE)</f>
        <v>3600008</v>
      </c>
      <c r="F5944" s="91">
        <f>COUNTIF($E$2:$E$7106,E5944)</f>
        <v>9</v>
      </c>
    </row>
    <row r="5945" spans="1:6" x14ac:dyDescent="0.2">
      <c r="A5945">
        <v>2023</v>
      </c>
      <c r="B5945" s="36">
        <v>2563</v>
      </c>
      <c r="C5945" s="90" t="str">
        <f>VLOOKUP(B5945,'All Districts'!$A$3:$B$874,2,FALSE)</f>
        <v>South Country</v>
      </c>
      <c r="D5945" s="40">
        <v>5556953</v>
      </c>
      <c r="E5945">
        <f>VLOOKUP(C5945,'All Districts'!$B$3:$C$874,2,FALSE)</f>
        <v>3600008</v>
      </c>
      <c r="F5945" s="91">
        <f>COUNTIF($E$2:$E$7106,E5945)</f>
        <v>9</v>
      </c>
    </row>
    <row r="5946" spans="1:6" x14ac:dyDescent="0.2">
      <c r="A5946">
        <v>2015</v>
      </c>
      <c r="B5946" s="13">
        <v>5102</v>
      </c>
      <c r="C5946" s="90" t="str">
        <f>VLOOKUP(B5946,'All Districts'!$A$3:$B$874,2,FALSE)</f>
        <v>South Glens Falls</v>
      </c>
      <c r="D5946" s="14">
        <v>3480497</v>
      </c>
      <c r="E5946">
        <f>VLOOKUP(C5946,'All Districts'!$B$3:$C$874,2,FALSE)</f>
        <v>3627240</v>
      </c>
      <c r="F5946" s="91">
        <f>COUNTIF($E$2:$E$7106,E5946)</f>
        <v>9</v>
      </c>
    </row>
    <row r="5947" spans="1:6" x14ac:dyDescent="0.2">
      <c r="A5947">
        <v>2016</v>
      </c>
      <c r="B5947" s="13">
        <v>5102</v>
      </c>
      <c r="C5947" s="90" t="str">
        <f>VLOOKUP(B5947,'All Districts'!$A$3:$B$874,2,FALSE)</f>
        <v>South Glens Falls</v>
      </c>
      <c r="D5947" s="16">
        <v>2700319</v>
      </c>
      <c r="E5947">
        <f>VLOOKUP(C5947,'All Districts'!$B$3:$C$874,2,FALSE)</f>
        <v>3627240</v>
      </c>
      <c r="F5947" s="91">
        <f>COUNTIF($E$2:$E$7106,E5947)</f>
        <v>9</v>
      </c>
    </row>
    <row r="5948" spans="1:6" x14ac:dyDescent="0.2">
      <c r="A5948">
        <v>2017</v>
      </c>
      <c r="B5948" s="13">
        <v>5102</v>
      </c>
      <c r="C5948" s="90" t="str">
        <f>VLOOKUP(B5948,'All Districts'!$A$3:$B$874,2,FALSE)</f>
        <v>South Glens Falls</v>
      </c>
      <c r="D5948" s="16">
        <v>2413741</v>
      </c>
      <c r="E5948">
        <f>VLOOKUP(C5948,'All Districts'!$B$3:$C$874,2,FALSE)</f>
        <v>3627240</v>
      </c>
      <c r="F5948" s="91">
        <f>COUNTIF($E$2:$E$7106,E5948)</f>
        <v>9</v>
      </c>
    </row>
    <row r="5949" spans="1:6" x14ac:dyDescent="0.2">
      <c r="A5949" s="10">
        <v>2018</v>
      </c>
      <c r="B5949" s="13">
        <v>5102</v>
      </c>
      <c r="C5949" s="90" t="str">
        <f>VLOOKUP(B5949,'All Districts'!$A$3:$B$874,2,FALSE)</f>
        <v>South Glens Falls</v>
      </c>
      <c r="D5949" s="15">
        <v>2065084</v>
      </c>
      <c r="E5949">
        <f>VLOOKUP(C5949,'All Districts'!$B$3:$C$874,2,FALSE)</f>
        <v>3627240</v>
      </c>
      <c r="F5949" s="91">
        <f>COUNTIF($E$2:$E$7106,E5949)</f>
        <v>9</v>
      </c>
    </row>
    <row r="5950" spans="1:6" x14ac:dyDescent="0.2">
      <c r="A5950">
        <v>2019</v>
      </c>
      <c r="B5950" s="36">
        <v>5102</v>
      </c>
      <c r="C5950" s="90" t="str">
        <f>VLOOKUP(B5950,'All Districts'!$A$3:$B$874,2,FALSE)</f>
        <v>South Glens Falls</v>
      </c>
      <c r="D5950" s="40">
        <v>2302134</v>
      </c>
      <c r="E5950">
        <f>VLOOKUP(C5950,'All Districts'!$B$3:$C$874,2,FALSE)</f>
        <v>3627240</v>
      </c>
      <c r="F5950" s="91">
        <f>COUNTIF($E$2:$E$7106,E5950)</f>
        <v>9</v>
      </c>
    </row>
    <row r="5951" spans="1:6" x14ac:dyDescent="0.2">
      <c r="A5951">
        <v>2020</v>
      </c>
      <c r="B5951" s="36">
        <v>5102</v>
      </c>
      <c r="C5951" s="90" t="str">
        <f>VLOOKUP(B5951,'All Districts'!$A$3:$B$874,2,FALSE)</f>
        <v>South Glens Falls</v>
      </c>
      <c r="D5951" s="40">
        <v>1957214</v>
      </c>
      <c r="E5951">
        <f>VLOOKUP(C5951,'All Districts'!$B$3:$C$874,2,FALSE)</f>
        <v>3627240</v>
      </c>
      <c r="F5951" s="91">
        <f>COUNTIF($E$2:$E$7106,E5951)</f>
        <v>9</v>
      </c>
    </row>
    <row r="5952" spans="1:6" x14ac:dyDescent="0.2">
      <c r="A5952" s="10">
        <v>2021</v>
      </c>
      <c r="B5952" s="55">
        <v>5102</v>
      </c>
      <c r="C5952" s="90" t="str">
        <f>VLOOKUP(B5952,'All Districts'!$A$3:$B$874,2,FALSE)</f>
        <v>South Glens Falls</v>
      </c>
      <c r="D5952" s="79">
        <v>2201842</v>
      </c>
      <c r="E5952">
        <f>VLOOKUP(C5952,'All Districts'!$B$3:$C$874,2,FALSE)</f>
        <v>3627240</v>
      </c>
      <c r="F5952" s="91">
        <f>COUNTIF($E$2:$E$7106,E5952)</f>
        <v>9</v>
      </c>
    </row>
    <row r="5953" spans="1:6" x14ac:dyDescent="0.2">
      <c r="A5953">
        <v>2022</v>
      </c>
      <c r="B5953" s="36">
        <v>5102</v>
      </c>
      <c r="C5953" s="90" t="str">
        <f>VLOOKUP(B5953,'All Districts'!$A$3:$B$874,2,FALSE)</f>
        <v>South Glens Falls</v>
      </c>
      <c r="D5953" s="82">
        <v>2317284</v>
      </c>
      <c r="E5953">
        <f>VLOOKUP(C5953,'All Districts'!$B$3:$C$874,2,FALSE)</f>
        <v>3627240</v>
      </c>
      <c r="F5953" s="91">
        <f>COUNTIF($E$2:$E$7106,E5953)</f>
        <v>9</v>
      </c>
    </row>
    <row r="5954" spans="1:6" x14ac:dyDescent="0.2">
      <c r="A5954">
        <v>2023</v>
      </c>
      <c r="B5954" s="36">
        <v>5102</v>
      </c>
      <c r="C5954" s="90" t="str">
        <f>VLOOKUP(B5954,'All Districts'!$A$3:$B$874,2,FALSE)</f>
        <v>South Glens Falls</v>
      </c>
      <c r="D5954" s="40">
        <v>2516475</v>
      </c>
      <c r="E5954">
        <f>VLOOKUP(C5954,'All Districts'!$B$3:$C$874,2,FALSE)</f>
        <v>3627240</v>
      </c>
      <c r="F5954" s="91">
        <f>COUNTIF($E$2:$E$7106,E5954)</f>
        <v>9</v>
      </c>
    </row>
    <row r="5955" spans="1:6" x14ac:dyDescent="0.2">
      <c r="A5955">
        <v>2015</v>
      </c>
      <c r="B5955" s="13">
        <v>2564</v>
      </c>
      <c r="C5955" s="90" t="str">
        <f>VLOOKUP(B5955,'All Districts'!$A$3:$B$874,2,FALSE)</f>
        <v>South Huntington</v>
      </c>
      <c r="D5955" s="14">
        <v>10004554</v>
      </c>
      <c r="E5955">
        <f>VLOOKUP(C5955,'All Districts'!$B$3:$C$874,2,FALSE)</f>
        <v>3627300</v>
      </c>
      <c r="F5955" s="91">
        <f>COUNTIF($E$2:$E$7106,E5955)</f>
        <v>9</v>
      </c>
    </row>
    <row r="5956" spans="1:6" x14ac:dyDescent="0.2">
      <c r="A5956">
        <v>2016</v>
      </c>
      <c r="B5956" s="13">
        <v>2564</v>
      </c>
      <c r="C5956" s="90" t="str">
        <f>VLOOKUP(B5956,'All Districts'!$A$3:$B$874,2,FALSE)</f>
        <v>South Huntington</v>
      </c>
      <c r="D5956" s="16">
        <v>7857388</v>
      </c>
      <c r="E5956">
        <f>VLOOKUP(C5956,'All Districts'!$B$3:$C$874,2,FALSE)</f>
        <v>3627300</v>
      </c>
      <c r="F5956" s="91">
        <f>COUNTIF($E$2:$E$7106,E5956)</f>
        <v>9</v>
      </c>
    </row>
    <row r="5957" spans="1:6" x14ac:dyDescent="0.2">
      <c r="A5957">
        <v>2017</v>
      </c>
      <c r="B5957" s="13">
        <v>2564</v>
      </c>
      <c r="C5957" s="90" t="str">
        <f>VLOOKUP(B5957,'All Districts'!$A$3:$B$874,2,FALSE)</f>
        <v>South Huntington</v>
      </c>
      <c r="D5957" s="16">
        <v>7119881</v>
      </c>
      <c r="E5957">
        <f>VLOOKUP(C5957,'All Districts'!$B$3:$C$874,2,FALSE)</f>
        <v>3627300</v>
      </c>
      <c r="F5957" s="91">
        <f>COUNTIF($E$2:$E$7106,E5957)</f>
        <v>9</v>
      </c>
    </row>
    <row r="5958" spans="1:6" x14ac:dyDescent="0.2">
      <c r="A5958" s="10">
        <v>2018</v>
      </c>
      <c r="B5958" s="13">
        <v>2564</v>
      </c>
      <c r="C5958" s="90" t="str">
        <f>VLOOKUP(B5958,'All Districts'!$A$3:$B$874,2,FALSE)</f>
        <v>South Huntington</v>
      </c>
      <c r="D5958" s="15">
        <v>6377650</v>
      </c>
      <c r="E5958">
        <f>VLOOKUP(C5958,'All Districts'!$B$3:$C$874,2,FALSE)</f>
        <v>3627300</v>
      </c>
      <c r="F5958" s="91">
        <f>COUNTIF($E$2:$E$7106,E5958)</f>
        <v>9</v>
      </c>
    </row>
    <row r="5959" spans="1:6" x14ac:dyDescent="0.2">
      <c r="A5959">
        <v>2019</v>
      </c>
      <c r="B5959" s="36">
        <v>2564</v>
      </c>
      <c r="C5959" s="90" t="str">
        <f>VLOOKUP(B5959,'All Districts'!$A$3:$B$874,2,FALSE)</f>
        <v>South Huntington</v>
      </c>
      <c r="D5959" s="40">
        <v>7293140</v>
      </c>
      <c r="E5959">
        <f>VLOOKUP(C5959,'All Districts'!$B$3:$C$874,2,FALSE)</f>
        <v>3627300</v>
      </c>
      <c r="F5959" s="91">
        <f>COUNTIF($E$2:$E$7106,E5959)</f>
        <v>9</v>
      </c>
    </row>
    <row r="5960" spans="1:6" x14ac:dyDescent="0.2">
      <c r="A5960">
        <v>2020</v>
      </c>
      <c r="B5960" s="36">
        <v>2564</v>
      </c>
      <c r="C5960" s="90" t="str">
        <f>VLOOKUP(B5960,'All Districts'!$A$3:$B$874,2,FALSE)</f>
        <v>South Huntington</v>
      </c>
      <c r="D5960" s="40">
        <v>6279139</v>
      </c>
      <c r="E5960">
        <f>VLOOKUP(C5960,'All Districts'!$B$3:$C$874,2,FALSE)</f>
        <v>3627300</v>
      </c>
      <c r="F5960" s="91">
        <f>COUNTIF($E$2:$E$7106,E5960)</f>
        <v>9</v>
      </c>
    </row>
    <row r="5961" spans="1:6" x14ac:dyDescent="0.2">
      <c r="A5961" s="10">
        <v>2021</v>
      </c>
      <c r="B5961" s="52">
        <v>2564</v>
      </c>
      <c r="C5961" s="90" t="str">
        <f>VLOOKUP(B5961,'All Districts'!$A$3:$B$874,2,FALSE)</f>
        <v>South Huntington</v>
      </c>
      <c r="D5961" s="76">
        <v>6758692</v>
      </c>
      <c r="E5961">
        <f>VLOOKUP(C5961,'All Districts'!$B$3:$C$874,2,FALSE)</f>
        <v>3627300</v>
      </c>
      <c r="F5961" s="91">
        <f>COUNTIF($E$2:$E$7106,E5961)</f>
        <v>9</v>
      </c>
    </row>
    <row r="5962" spans="1:6" x14ac:dyDescent="0.2">
      <c r="A5962">
        <v>2022</v>
      </c>
      <c r="B5962" s="36">
        <v>2564</v>
      </c>
      <c r="C5962" s="90" t="str">
        <f>VLOOKUP(B5962,'All Districts'!$A$3:$B$874,2,FALSE)</f>
        <v>South Huntington</v>
      </c>
      <c r="D5962" s="82">
        <v>7362812</v>
      </c>
      <c r="E5962">
        <f>VLOOKUP(C5962,'All Districts'!$B$3:$C$874,2,FALSE)</f>
        <v>3627300</v>
      </c>
      <c r="F5962" s="91">
        <f>COUNTIF($E$2:$E$7106,E5962)</f>
        <v>9</v>
      </c>
    </row>
    <row r="5963" spans="1:6" x14ac:dyDescent="0.2">
      <c r="A5963">
        <v>2023</v>
      </c>
      <c r="B5963" s="36">
        <v>2564</v>
      </c>
      <c r="C5963" s="90" t="str">
        <f>VLOOKUP(B5963,'All Districts'!$A$3:$B$874,2,FALSE)</f>
        <v>South Huntington</v>
      </c>
      <c r="D5963" s="40">
        <v>7848454</v>
      </c>
      <c r="E5963">
        <f>VLOOKUP(C5963,'All Districts'!$B$3:$C$874,2,FALSE)</f>
        <v>3627300</v>
      </c>
      <c r="F5963" s="91">
        <f>COUNTIF($E$2:$E$7106,E5963)</f>
        <v>9</v>
      </c>
    </row>
    <row r="5964" spans="1:6" x14ac:dyDescent="0.2">
      <c r="A5964">
        <v>2015</v>
      </c>
      <c r="B5964" s="13">
        <v>4126</v>
      </c>
      <c r="C5964" s="90" t="str">
        <f>VLOOKUP(B5964,'All Districts'!$A$3:$B$874,2,FALSE)</f>
        <v>South Jefferson</v>
      </c>
      <c r="D5964" s="14">
        <v>1871452</v>
      </c>
      <c r="E5964">
        <f>VLOOKUP(C5964,'All Districts'!$B$3:$C$874,2,FALSE)</f>
        <v>3602340</v>
      </c>
      <c r="F5964" s="91">
        <f>COUNTIF($E$2:$E$7106,E5964)</f>
        <v>9</v>
      </c>
    </row>
    <row r="5965" spans="1:6" x14ac:dyDescent="0.2">
      <c r="A5965">
        <v>2016</v>
      </c>
      <c r="B5965" s="13">
        <v>4126</v>
      </c>
      <c r="C5965" s="90" t="str">
        <f>VLOOKUP(B5965,'All Districts'!$A$3:$B$874,2,FALSE)</f>
        <v>South Jefferson</v>
      </c>
      <c r="D5965" s="16">
        <v>1418188</v>
      </c>
      <c r="E5965">
        <f>VLOOKUP(C5965,'All Districts'!$B$3:$C$874,2,FALSE)</f>
        <v>3602340</v>
      </c>
      <c r="F5965" s="91">
        <f>COUNTIF($E$2:$E$7106,E5965)</f>
        <v>9</v>
      </c>
    </row>
    <row r="5966" spans="1:6" x14ac:dyDescent="0.2">
      <c r="A5966">
        <v>2017</v>
      </c>
      <c r="B5966" s="13">
        <v>4126</v>
      </c>
      <c r="C5966" s="90" t="str">
        <f>VLOOKUP(B5966,'All Districts'!$A$3:$B$874,2,FALSE)</f>
        <v>South Jefferson</v>
      </c>
      <c r="D5966" s="16">
        <v>1266632</v>
      </c>
      <c r="E5966">
        <f>VLOOKUP(C5966,'All Districts'!$B$3:$C$874,2,FALSE)</f>
        <v>3602340</v>
      </c>
      <c r="F5966" s="91">
        <f>COUNTIF($E$2:$E$7106,E5966)</f>
        <v>9</v>
      </c>
    </row>
    <row r="5967" spans="1:6" x14ac:dyDescent="0.2">
      <c r="A5967" s="10">
        <v>2018</v>
      </c>
      <c r="B5967" s="13">
        <v>4126</v>
      </c>
      <c r="C5967" s="90" t="str">
        <f>VLOOKUP(B5967,'All Districts'!$A$3:$B$874,2,FALSE)</f>
        <v>South Jefferson</v>
      </c>
      <c r="D5967" s="15">
        <v>1086182</v>
      </c>
      <c r="E5967">
        <f>VLOOKUP(C5967,'All Districts'!$B$3:$C$874,2,FALSE)</f>
        <v>3602340</v>
      </c>
      <c r="F5967" s="91">
        <f>COUNTIF($E$2:$E$7106,E5967)</f>
        <v>9</v>
      </c>
    </row>
    <row r="5968" spans="1:6" x14ac:dyDescent="0.2">
      <c r="A5968">
        <v>2019</v>
      </c>
      <c r="B5968" s="36">
        <v>4126</v>
      </c>
      <c r="C5968" s="90" t="str">
        <f>VLOOKUP(B5968,'All Districts'!$A$3:$B$874,2,FALSE)</f>
        <v>South Jefferson</v>
      </c>
      <c r="D5968" s="40">
        <v>1203447</v>
      </c>
      <c r="E5968">
        <f>VLOOKUP(C5968,'All Districts'!$B$3:$C$874,2,FALSE)</f>
        <v>3602340</v>
      </c>
      <c r="F5968" s="91">
        <f>COUNTIF($E$2:$E$7106,E5968)</f>
        <v>9</v>
      </c>
    </row>
    <row r="5969" spans="1:6" x14ac:dyDescent="0.2">
      <c r="A5969">
        <v>2020</v>
      </c>
      <c r="B5969" s="36">
        <v>4126</v>
      </c>
      <c r="C5969" s="90" t="str">
        <f>VLOOKUP(B5969,'All Districts'!$A$3:$B$874,2,FALSE)</f>
        <v>South Jefferson</v>
      </c>
      <c r="D5969" s="40">
        <v>1009686</v>
      </c>
      <c r="E5969">
        <f>VLOOKUP(C5969,'All Districts'!$B$3:$C$874,2,FALSE)</f>
        <v>3602340</v>
      </c>
      <c r="F5969" s="91">
        <f>COUNTIF($E$2:$E$7106,E5969)</f>
        <v>9</v>
      </c>
    </row>
    <row r="5970" spans="1:6" x14ac:dyDescent="0.2">
      <c r="A5970" s="10">
        <v>2021</v>
      </c>
      <c r="B5970" s="52">
        <v>4126</v>
      </c>
      <c r="C5970" s="90" t="str">
        <f>VLOOKUP(B5970,'All Districts'!$A$3:$B$874,2,FALSE)</f>
        <v>South Jefferson</v>
      </c>
      <c r="D5970" s="76">
        <v>1031565</v>
      </c>
      <c r="E5970">
        <f>VLOOKUP(C5970,'All Districts'!$B$3:$C$874,2,FALSE)</f>
        <v>3602340</v>
      </c>
      <c r="F5970" s="91">
        <f>COUNTIF($E$2:$E$7106,E5970)</f>
        <v>9</v>
      </c>
    </row>
    <row r="5971" spans="1:6" x14ac:dyDescent="0.2">
      <c r="A5971">
        <v>2022</v>
      </c>
      <c r="B5971" s="36">
        <v>4126</v>
      </c>
      <c r="C5971" s="90" t="str">
        <f>VLOOKUP(B5971,'All Districts'!$A$3:$B$874,2,FALSE)</f>
        <v>South Jefferson</v>
      </c>
      <c r="D5971" s="82">
        <v>1147606</v>
      </c>
      <c r="E5971">
        <f>VLOOKUP(C5971,'All Districts'!$B$3:$C$874,2,FALSE)</f>
        <v>3602340</v>
      </c>
      <c r="F5971" s="91">
        <f>COUNTIF($E$2:$E$7106,E5971)</f>
        <v>9</v>
      </c>
    </row>
    <row r="5972" spans="1:6" x14ac:dyDescent="0.2">
      <c r="A5972">
        <v>2023</v>
      </c>
      <c r="B5972" s="36">
        <v>4126</v>
      </c>
      <c r="C5972" s="90" t="str">
        <f>VLOOKUP(B5972,'All Districts'!$A$3:$B$874,2,FALSE)</f>
        <v>South Jefferson</v>
      </c>
      <c r="D5972" s="40">
        <v>1229999</v>
      </c>
      <c r="E5972">
        <f>VLOOKUP(C5972,'All Districts'!$B$3:$C$874,2,FALSE)</f>
        <v>3602340</v>
      </c>
      <c r="F5972" s="91">
        <f>COUNTIF($E$2:$E$7106,E5972)</f>
        <v>9</v>
      </c>
    </row>
    <row r="5973" spans="1:6" x14ac:dyDescent="0.2">
      <c r="A5973">
        <v>2015</v>
      </c>
      <c r="B5973" s="13">
        <v>3988</v>
      </c>
      <c r="C5973" s="90" t="str">
        <f>VLOOKUP(B5973,'All Districts'!$A$3:$B$874,2,FALSE)</f>
        <v>South Kortright</v>
      </c>
      <c r="D5973" s="14">
        <v>521151</v>
      </c>
      <c r="E5973">
        <f>VLOOKUP(C5973,'All Districts'!$B$3:$C$874,2,FALSE)</f>
        <v>3627330</v>
      </c>
      <c r="F5973" s="91">
        <f>COUNTIF($E$2:$E$7106,E5973)</f>
        <v>9</v>
      </c>
    </row>
    <row r="5974" spans="1:6" x14ac:dyDescent="0.2">
      <c r="A5974">
        <v>2016</v>
      </c>
      <c r="B5974" s="13">
        <v>3988</v>
      </c>
      <c r="C5974" s="90" t="str">
        <f>VLOOKUP(B5974,'All Districts'!$A$3:$B$874,2,FALSE)</f>
        <v>South Kortright</v>
      </c>
      <c r="D5974" s="16">
        <v>374431</v>
      </c>
      <c r="E5974">
        <f>VLOOKUP(C5974,'All Districts'!$B$3:$C$874,2,FALSE)</f>
        <v>3627330</v>
      </c>
      <c r="F5974" s="91">
        <f>COUNTIF($E$2:$E$7106,E5974)</f>
        <v>9</v>
      </c>
    </row>
    <row r="5975" spans="1:6" x14ac:dyDescent="0.2">
      <c r="A5975">
        <v>2017</v>
      </c>
      <c r="B5975" s="13">
        <v>3988</v>
      </c>
      <c r="C5975" s="90" t="str">
        <f>VLOOKUP(B5975,'All Districts'!$A$3:$B$874,2,FALSE)</f>
        <v>South Kortright</v>
      </c>
      <c r="D5975" s="16">
        <v>335182</v>
      </c>
      <c r="E5975">
        <f>VLOOKUP(C5975,'All Districts'!$B$3:$C$874,2,FALSE)</f>
        <v>3627330</v>
      </c>
      <c r="F5975" s="91">
        <f>COUNTIF($E$2:$E$7106,E5975)</f>
        <v>9</v>
      </c>
    </row>
    <row r="5976" spans="1:6" x14ac:dyDescent="0.2">
      <c r="A5976" s="10">
        <v>2018</v>
      </c>
      <c r="B5976" s="13">
        <v>3988</v>
      </c>
      <c r="C5976" s="90" t="str">
        <f>VLOOKUP(B5976,'All Districts'!$A$3:$B$874,2,FALSE)</f>
        <v>South Kortright</v>
      </c>
      <c r="D5976" s="15">
        <v>279135</v>
      </c>
      <c r="E5976">
        <f>VLOOKUP(C5976,'All Districts'!$B$3:$C$874,2,FALSE)</f>
        <v>3627330</v>
      </c>
      <c r="F5976" s="91">
        <f>COUNTIF($E$2:$E$7106,E5976)</f>
        <v>9</v>
      </c>
    </row>
    <row r="5977" spans="1:6" x14ac:dyDescent="0.2">
      <c r="A5977">
        <v>2019</v>
      </c>
      <c r="B5977" s="36">
        <v>3988</v>
      </c>
      <c r="C5977" s="90" t="str">
        <f>VLOOKUP(B5977,'All Districts'!$A$3:$B$874,2,FALSE)</f>
        <v>South Kortright</v>
      </c>
      <c r="D5977" s="40">
        <v>294016</v>
      </c>
      <c r="E5977">
        <f>VLOOKUP(C5977,'All Districts'!$B$3:$C$874,2,FALSE)</f>
        <v>3627330</v>
      </c>
      <c r="F5977" s="91">
        <f>COUNTIF($E$2:$E$7106,E5977)</f>
        <v>9</v>
      </c>
    </row>
    <row r="5978" spans="1:6" x14ac:dyDescent="0.2">
      <c r="A5978">
        <v>2020</v>
      </c>
      <c r="B5978" s="36">
        <v>3988</v>
      </c>
      <c r="C5978" s="90" t="str">
        <f>VLOOKUP(B5978,'All Districts'!$A$3:$B$874,2,FALSE)</f>
        <v>South Kortright</v>
      </c>
      <c r="D5978" s="40">
        <v>236010</v>
      </c>
      <c r="E5978">
        <f>VLOOKUP(C5978,'All Districts'!$B$3:$C$874,2,FALSE)</f>
        <v>3627330</v>
      </c>
      <c r="F5978" s="91">
        <f>COUNTIF($E$2:$E$7106,E5978)</f>
        <v>9</v>
      </c>
    </row>
    <row r="5979" spans="1:6" x14ac:dyDescent="0.2">
      <c r="A5979" s="10">
        <v>2021</v>
      </c>
      <c r="B5979" s="55">
        <v>3988</v>
      </c>
      <c r="C5979" s="90" t="str">
        <f>VLOOKUP(B5979,'All Districts'!$A$3:$B$874,2,FALSE)</f>
        <v>South Kortright</v>
      </c>
      <c r="D5979" s="75">
        <v>247590</v>
      </c>
      <c r="E5979">
        <f>VLOOKUP(C5979,'All Districts'!$B$3:$C$874,2,FALSE)</f>
        <v>3627330</v>
      </c>
      <c r="F5979" s="91">
        <f>COUNTIF($E$2:$E$7106,E5979)</f>
        <v>9</v>
      </c>
    </row>
    <row r="5980" spans="1:6" x14ac:dyDescent="0.2">
      <c r="A5980">
        <v>2022</v>
      </c>
      <c r="B5980" s="36">
        <v>3988</v>
      </c>
      <c r="C5980" s="90" t="str">
        <f>VLOOKUP(B5980,'All Districts'!$A$3:$B$874,2,FALSE)</f>
        <v>South Kortright</v>
      </c>
      <c r="D5980" s="82">
        <v>273819</v>
      </c>
      <c r="E5980">
        <f>VLOOKUP(C5980,'All Districts'!$B$3:$C$874,2,FALSE)</f>
        <v>3627330</v>
      </c>
      <c r="F5980" s="91">
        <f>COUNTIF($E$2:$E$7106,E5980)</f>
        <v>9</v>
      </c>
    </row>
    <row r="5981" spans="1:6" x14ac:dyDescent="0.2">
      <c r="A5981">
        <v>2023</v>
      </c>
      <c r="B5981" s="36">
        <v>3988</v>
      </c>
      <c r="C5981" s="90" t="str">
        <f>VLOOKUP(B5981,'All Districts'!$A$3:$B$874,2,FALSE)</f>
        <v>South Kortright</v>
      </c>
      <c r="D5981" s="40">
        <v>277760</v>
      </c>
      <c r="E5981">
        <f>VLOOKUP(C5981,'All Districts'!$B$3:$C$874,2,FALSE)</f>
        <v>3627330</v>
      </c>
      <c r="F5981" s="91">
        <f>COUNTIF($E$2:$E$7106,E5981)</f>
        <v>9</v>
      </c>
    </row>
    <row r="5982" spans="1:6" x14ac:dyDescent="0.2">
      <c r="A5982">
        <v>2015</v>
      </c>
      <c r="B5982" s="13">
        <v>4143</v>
      </c>
      <c r="C5982" s="90" t="str">
        <f>VLOOKUP(B5982,'All Districts'!$A$3:$B$874,2,FALSE)</f>
        <v>South Lewis</v>
      </c>
      <c r="D5982" s="14">
        <v>1294627</v>
      </c>
      <c r="E5982">
        <f>VLOOKUP(C5982,'All Districts'!$B$3:$C$874,2,FALSE)</f>
        <v>3627360</v>
      </c>
      <c r="F5982" s="91">
        <f>COUNTIF($E$2:$E$7106,E5982)</f>
        <v>9</v>
      </c>
    </row>
    <row r="5983" spans="1:6" x14ac:dyDescent="0.2">
      <c r="A5983">
        <v>2016</v>
      </c>
      <c r="B5983" s="13">
        <v>4143</v>
      </c>
      <c r="C5983" s="90" t="str">
        <f>VLOOKUP(B5983,'All Districts'!$A$3:$B$874,2,FALSE)</f>
        <v>South Lewis</v>
      </c>
      <c r="D5983" s="16">
        <v>1029119</v>
      </c>
      <c r="E5983">
        <f>VLOOKUP(C5983,'All Districts'!$B$3:$C$874,2,FALSE)</f>
        <v>3627360</v>
      </c>
      <c r="F5983" s="91">
        <f>COUNTIF($E$2:$E$7106,E5983)</f>
        <v>9</v>
      </c>
    </row>
    <row r="5984" spans="1:6" x14ac:dyDescent="0.2">
      <c r="A5984">
        <v>2017</v>
      </c>
      <c r="B5984" s="13">
        <v>4143</v>
      </c>
      <c r="C5984" s="90" t="str">
        <f>VLOOKUP(B5984,'All Districts'!$A$3:$B$874,2,FALSE)</f>
        <v>South Lewis</v>
      </c>
      <c r="D5984" s="16">
        <v>918098</v>
      </c>
      <c r="E5984">
        <f>VLOOKUP(C5984,'All Districts'!$B$3:$C$874,2,FALSE)</f>
        <v>3627360</v>
      </c>
      <c r="F5984" s="91">
        <f>COUNTIF($E$2:$E$7106,E5984)</f>
        <v>9</v>
      </c>
    </row>
    <row r="5985" spans="1:6" x14ac:dyDescent="0.2">
      <c r="A5985" s="10">
        <v>2018</v>
      </c>
      <c r="B5985" s="13">
        <v>4143</v>
      </c>
      <c r="C5985" s="90" t="str">
        <f>VLOOKUP(B5985,'All Districts'!$A$3:$B$874,2,FALSE)</f>
        <v>South Lewis</v>
      </c>
      <c r="D5985" s="15">
        <v>767977</v>
      </c>
      <c r="E5985">
        <f>VLOOKUP(C5985,'All Districts'!$B$3:$C$874,2,FALSE)</f>
        <v>3627360</v>
      </c>
      <c r="F5985" s="91">
        <f>COUNTIF($E$2:$E$7106,E5985)</f>
        <v>9</v>
      </c>
    </row>
    <row r="5986" spans="1:6" x14ac:dyDescent="0.2">
      <c r="A5986">
        <v>2019</v>
      </c>
      <c r="B5986" s="36">
        <v>4143</v>
      </c>
      <c r="C5986" s="90" t="str">
        <f>VLOOKUP(B5986,'All Districts'!$A$3:$B$874,2,FALSE)</f>
        <v>South Lewis</v>
      </c>
      <c r="D5986" s="40">
        <v>839640</v>
      </c>
      <c r="E5986">
        <f>VLOOKUP(C5986,'All Districts'!$B$3:$C$874,2,FALSE)</f>
        <v>3627360</v>
      </c>
      <c r="F5986" s="91">
        <f>COUNTIF($E$2:$E$7106,E5986)</f>
        <v>9</v>
      </c>
    </row>
    <row r="5987" spans="1:6" x14ac:dyDescent="0.2">
      <c r="A5987">
        <v>2020</v>
      </c>
      <c r="B5987" s="36">
        <v>4143</v>
      </c>
      <c r="C5987" s="90" t="str">
        <f>VLOOKUP(B5987,'All Districts'!$A$3:$B$874,2,FALSE)</f>
        <v>South Lewis</v>
      </c>
      <c r="D5987" s="40">
        <v>711573</v>
      </c>
      <c r="E5987">
        <f>VLOOKUP(C5987,'All Districts'!$B$3:$C$874,2,FALSE)</f>
        <v>3627360</v>
      </c>
      <c r="F5987" s="91">
        <f>COUNTIF($E$2:$E$7106,E5987)</f>
        <v>9</v>
      </c>
    </row>
    <row r="5988" spans="1:6" x14ac:dyDescent="0.2">
      <c r="A5988" s="10">
        <v>2021</v>
      </c>
      <c r="B5988" s="52">
        <v>4143</v>
      </c>
      <c r="C5988" s="90" t="str">
        <f>VLOOKUP(B5988,'All Districts'!$A$3:$B$874,2,FALSE)</f>
        <v>South Lewis</v>
      </c>
      <c r="D5988" s="76">
        <v>755391</v>
      </c>
      <c r="E5988">
        <f>VLOOKUP(C5988,'All Districts'!$B$3:$C$874,2,FALSE)</f>
        <v>3627360</v>
      </c>
      <c r="F5988" s="91">
        <f>COUNTIF($E$2:$E$7106,E5988)</f>
        <v>9</v>
      </c>
    </row>
    <row r="5989" spans="1:6" x14ac:dyDescent="0.2">
      <c r="A5989">
        <v>2022</v>
      </c>
      <c r="B5989" s="36">
        <v>4143</v>
      </c>
      <c r="C5989" s="90" t="str">
        <f>VLOOKUP(B5989,'All Districts'!$A$3:$B$874,2,FALSE)</f>
        <v>South Lewis</v>
      </c>
      <c r="D5989" s="82">
        <v>806344</v>
      </c>
      <c r="E5989">
        <f>VLOOKUP(C5989,'All Districts'!$B$3:$C$874,2,FALSE)</f>
        <v>3627360</v>
      </c>
      <c r="F5989" s="91">
        <f>COUNTIF($E$2:$E$7106,E5989)</f>
        <v>9</v>
      </c>
    </row>
    <row r="5990" spans="1:6" x14ac:dyDescent="0.2">
      <c r="A5990">
        <v>2023</v>
      </c>
      <c r="B5990" s="36">
        <v>4143</v>
      </c>
      <c r="C5990" s="90" t="str">
        <f>VLOOKUP(B5990,'All Districts'!$A$3:$B$874,2,FALSE)</f>
        <v>South Lewis</v>
      </c>
      <c r="D5990" s="40">
        <v>877740</v>
      </c>
      <c r="E5990">
        <f>VLOOKUP(C5990,'All Districts'!$B$3:$C$874,2,FALSE)</f>
        <v>3627360</v>
      </c>
      <c r="F5990" s="91">
        <f>COUNTIF($E$2:$E$7106,E5990)</f>
        <v>9</v>
      </c>
    </row>
    <row r="5991" spans="1:6" x14ac:dyDescent="0.2">
      <c r="A5991">
        <v>2015</v>
      </c>
      <c r="B5991" s="13">
        <v>2565</v>
      </c>
      <c r="C5991" s="90" t="str">
        <f>VLOOKUP(B5991,'All Districts'!$A$3:$B$874,2,FALSE)</f>
        <v>South Orangetown</v>
      </c>
      <c r="D5991" s="14">
        <v>6486699</v>
      </c>
      <c r="E5991">
        <f>VLOOKUP(C5991,'All Districts'!$B$3:$C$874,2,FALSE)</f>
        <v>3627450</v>
      </c>
      <c r="F5991" s="91">
        <f>COUNTIF($E$2:$E$7106,E5991)</f>
        <v>9</v>
      </c>
    </row>
    <row r="5992" spans="1:6" x14ac:dyDescent="0.2">
      <c r="A5992">
        <v>2016</v>
      </c>
      <c r="B5992" s="13">
        <v>2565</v>
      </c>
      <c r="C5992" s="90" t="str">
        <f>VLOOKUP(B5992,'All Districts'!$A$3:$B$874,2,FALSE)</f>
        <v>South Orangetown</v>
      </c>
      <c r="D5992" s="16">
        <v>4811228</v>
      </c>
      <c r="E5992">
        <f>VLOOKUP(C5992,'All Districts'!$B$3:$C$874,2,FALSE)</f>
        <v>3627450</v>
      </c>
      <c r="F5992" s="91">
        <f>COUNTIF($E$2:$E$7106,E5992)</f>
        <v>9</v>
      </c>
    </row>
    <row r="5993" spans="1:6" x14ac:dyDescent="0.2">
      <c r="A5993">
        <v>2017</v>
      </c>
      <c r="B5993" s="13">
        <v>2565</v>
      </c>
      <c r="C5993" s="90" t="str">
        <f>VLOOKUP(B5993,'All Districts'!$A$3:$B$874,2,FALSE)</f>
        <v>South Orangetown</v>
      </c>
      <c r="D5993" s="16">
        <v>4275109</v>
      </c>
      <c r="E5993">
        <f>VLOOKUP(C5993,'All Districts'!$B$3:$C$874,2,FALSE)</f>
        <v>3627450</v>
      </c>
      <c r="F5993" s="91">
        <f>COUNTIF($E$2:$E$7106,E5993)</f>
        <v>9</v>
      </c>
    </row>
    <row r="5994" spans="1:6" x14ac:dyDescent="0.2">
      <c r="A5994" s="10">
        <v>2018</v>
      </c>
      <c r="B5994" s="13">
        <v>2565</v>
      </c>
      <c r="C5994" s="90" t="str">
        <f>VLOOKUP(B5994,'All Districts'!$A$3:$B$874,2,FALSE)</f>
        <v>South Orangetown</v>
      </c>
      <c r="D5994" s="15">
        <v>3692683</v>
      </c>
      <c r="E5994">
        <f>VLOOKUP(C5994,'All Districts'!$B$3:$C$874,2,FALSE)</f>
        <v>3627450</v>
      </c>
      <c r="F5994" s="91">
        <f>COUNTIF($E$2:$E$7106,E5994)</f>
        <v>9</v>
      </c>
    </row>
    <row r="5995" spans="1:6" x14ac:dyDescent="0.2">
      <c r="A5995">
        <v>2019</v>
      </c>
      <c r="B5995" s="36">
        <v>2565</v>
      </c>
      <c r="C5995" s="90" t="str">
        <f>VLOOKUP(B5995,'All Districts'!$A$3:$B$874,2,FALSE)</f>
        <v>South Orangetown</v>
      </c>
      <c r="D5995" s="40">
        <v>4127391</v>
      </c>
      <c r="E5995">
        <f>VLOOKUP(C5995,'All Districts'!$B$3:$C$874,2,FALSE)</f>
        <v>3627450</v>
      </c>
      <c r="F5995" s="91">
        <f>COUNTIF($E$2:$E$7106,E5995)</f>
        <v>9</v>
      </c>
    </row>
    <row r="5996" spans="1:6" x14ac:dyDescent="0.2">
      <c r="A5996">
        <v>2020</v>
      </c>
      <c r="B5996" s="36">
        <v>2565</v>
      </c>
      <c r="C5996" s="90" t="str">
        <f>VLOOKUP(B5996,'All Districts'!$A$3:$B$874,2,FALSE)</f>
        <v>South Orangetown</v>
      </c>
      <c r="D5996" s="40">
        <v>3457555</v>
      </c>
      <c r="E5996">
        <f>VLOOKUP(C5996,'All Districts'!$B$3:$C$874,2,FALSE)</f>
        <v>3627450</v>
      </c>
      <c r="F5996" s="91">
        <f>COUNTIF($E$2:$E$7106,E5996)</f>
        <v>9</v>
      </c>
    </row>
    <row r="5997" spans="1:6" x14ac:dyDescent="0.2">
      <c r="A5997" s="10">
        <v>2021</v>
      </c>
      <c r="B5997" s="52">
        <v>2565</v>
      </c>
      <c r="C5997" s="90" t="str">
        <f>VLOOKUP(B5997,'All Districts'!$A$3:$B$874,2,FALSE)</f>
        <v>South Orangetown</v>
      </c>
      <c r="D5997" s="75">
        <v>3841657</v>
      </c>
      <c r="E5997">
        <f>VLOOKUP(C5997,'All Districts'!$B$3:$C$874,2,FALSE)</f>
        <v>3627450</v>
      </c>
      <c r="F5997" s="91">
        <f>COUNTIF($E$2:$E$7106,E5997)</f>
        <v>9</v>
      </c>
    </row>
    <row r="5998" spans="1:6" x14ac:dyDescent="0.2">
      <c r="A5998">
        <v>2022</v>
      </c>
      <c r="B5998" s="36">
        <v>2565</v>
      </c>
      <c r="C5998" s="90" t="str">
        <f>VLOOKUP(B5998,'All Districts'!$A$3:$B$874,2,FALSE)</f>
        <v>South Orangetown</v>
      </c>
      <c r="D5998" s="82">
        <v>4058515</v>
      </c>
      <c r="E5998">
        <f>VLOOKUP(C5998,'All Districts'!$B$3:$C$874,2,FALSE)</f>
        <v>3627450</v>
      </c>
      <c r="F5998" s="91">
        <f>COUNTIF($E$2:$E$7106,E5998)</f>
        <v>9</v>
      </c>
    </row>
    <row r="5999" spans="1:6" x14ac:dyDescent="0.2">
      <c r="A5999">
        <v>2023</v>
      </c>
      <c r="B5999" s="36">
        <v>2565</v>
      </c>
      <c r="C5999" s="90" t="str">
        <f>VLOOKUP(B5999,'All Districts'!$A$3:$B$874,2,FALSE)</f>
        <v>South Orangetown</v>
      </c>
      <c r="D5999" s="40">
        <v>4414844</v>
      </c>
      <c r="E5999">
        <f>VLOOKUP(C5999,'All Districts'!$B$3:$C$874,2,FALSE)</f>
        <v>3627450</v>
      </c>
      <c r="F5999" s="91">
        <f>COUNTIF($E$2:$E$7106,E5999)</f>
        <v>9</v>
      </c>
    </row>
    <row r="6000" spans="1:6" x14ac:dyDescent="0.2">
      <c r="A6000">
        <v>2015</v>
      </c>
      <c r="B6000" s="13">
        <v>5528</v>
      </c>
      <c r="C6000" s="90" t="str">
        <f>VLOOKUP(B6000,'All Districts'!$A$3:$B$874,2,FALSE)</f>
        <v>South Seneca</v>
      </c>
      <c r="D6000" s="14">
        <v>1009283</v>
      </c>
      <c r="E6000">
        <f>VLOOKUP(C6000,'All Districts'!$B$3:$C$874,2,FALSE)</f>
        <v>3622140</v>
      </c>
      <c r="F6000" s="91">
        <f>COUNTIF($E$2:$E$7106,E6000)</f>
        <v>9</v>
      </c>
    </row>
    <row r="6001" spans="1:6" x14ac:dyDescent="0.2">
      <c r="A6001">
        <v>2016</v>
      </c>
      <c r="B6001" s="13">
        <v>5528</v>
      </c>
      <c r="C6001" s="90" t="str">
        <f>VLOOKUP(B6001,'All Districts'!$A$3:$B$874,2,FALSE)</f>
        <v>South Seneca</v>
      </c>
      <c r="D6001" s="16">
        <v>803175</v>
      </c>
      <c r="E6001">
        <f>VLOOKUP(C6001,'All Districts'!$B$3:$C$874,2,FALSE)</f>
        <v>3622140</v>
      </c>
      <c r="F6001" s="91">
        <f>COUNTIF($E$2:$E$7106,E6001)</f>
        <v>9</v>
      </c>
    </row>
    <row r="6002" spans="1:6" x14ac:dyDescent="0.2">
      <c r="A6002">
        <v>2017</v>
      </c>
      <c r="B6002" s="13">
        <v>5528</v>
      </c>
      <c r="C6002" s="90" t="str">
        <f>VLOOKUP(B6002,'All Districts'!$A$3:$B$874,2,FALSE)</f>
        <v>South Seneca</v>
      </c>
      <c r="D6002" s="16">
        <v>757331</v>
      </c>
      <c r="E6002">
        <f>VLOOKUP(C6002,'All Districts'!$B$3:$C$874,2,FALSE)</f>
        <v>3622140</v>
      </c>
      <c r="F6002" s="91">
        <f>COUNTIF($E$2:$E$7106,E6002)</f>
        <v>9</v>
      </c>
    </row>
    <row r="6003" spans="1:6" x14ac:dyDescent="0.2">
      <c r="A6003" s="10">
        <v>2018</v>
      </c>
      <c r="B6003" s="13">
        <v>5528</v>
      </c>
      <c r="C6003" s="90" t="str">
        <f>VLOOKUP(B6003,'All Districts'!$A$3:$B$874,2,FALSE)</f>
        <v>South Seneca</v>
      </c>
      <c r="D6003" s="15">
        <v>631251</v>
      </c>
      <c r="E6003">
        <f>VLOOKUP(C6003,'All Districts'!$B$3:$C$874,2,FALSE)</f>
        <v>3622140</v>
      </c>
      <c r="F6003" s="91">
        <f>COUNTIF($E$2:$E$7106,E6003)</f>
        <v>9</v>
      </c>
    </row>
    <row r="6004" spans="1:6" x14ac:dyDescent="0.2">
      <c r="A6004">
        <v>2019</v>
      </c>
      <c r="B6004" s="36">
        <v>5528</v>
      </c>
      <c r="C6004" s="90" t="str">
        <f>VLOOKUP(B6004,'All Districts'!$A$3:$B$874,2,FALSE)</f>
        <v>South Seneca</v>
      </c>
      <c r="D6004" s="40">
        <v>690023</v>
      </c>
      <c r="E6004">
        <f>VLOOKUP(C6004,'All Districts'!$B$3:$C$874,2,FALSE)</f>
        <v>3622140</v>
      </c>
      <c r="F6004" s="91">
        <f>COUNTIF($E$2:$E$7106,E6004)</f>
        <v>9</v>
      </c>
    </row>
    <row r="6005" spans="1:6" x14ac:dyDescent="0.2">
      <c r="A6005">
        <v>2020</v>
      </c>
      <c r="B6005" s="36">
        <v>5528</v>
      </c>
      <c r="C6005" s="90" t="str">
        <f>VLOOKUP(B6005,'All Districts'!$A$3:$B$874,2,FALSE)</f>
        <v>South Seneca</v>
      </c>
      <c r="D6005" s="40">
        <v>589082</v>
      </c>
      <c r="E6005">
        <f>VLOOKUP(C6005,'All Districts'!$B$3:$C$874,2,FALSE)</f>
        <v>3622140</v>
      </c>
      <c r="F6005" s="91">
        <f>COUNTIF($E$2:$E$7106,E6005)</f>
        <v>9</v>
      </c>
    </row>
    <row r="6006" spans="1:6" x14ac:dyDescent="0.2">
      <c r="A6006" s="10">
        <v>2021</v>
      </c>
      <c r="B6006" s="52">
        <v>5528</v>
      </c>
      <c r="C6006" s="90" t="str">
        <f>VLOOKUP(B6006,'All Districts'!$A$3:$B$874,2,FALSE)</f>
        <v>South Seneca</v>
      </c>
      <c r="D6006" s="75">
        <v>680281</v>
      </c>
      <c r="E6006">
        <f>VLOOKUP(C6006,'All Districts'!$B$3:$C$874,2,FALSE)</f>
        <v>3622140</v>
      </c>
      <c r="F6006" s="91">
        <f>COUNTIF($E$2:$E$7106,E6006)</f>
        <v>9</v>
      </c>
    </row>
    <row r="6007" spans="1:6" x14ac:dyDescent="0.2">
      <c r="A6007">
        <v>2022</v>
      </c>
      <c r="B6007" s="36">
        <v>5528</v>
      </c>
      <c r="C6007" s="90" t="str">
        <f>VLOOKUP(B6007,'All Districts'!$A$3:$B$874,2,FALSE)</f>
        <v>South Seneca</v>
      </c>
      <c r="D6007" s="82">
        <v>674117</v>
      </c>
      <c r="E6007">
        <f>VLOOKUP(C6007,'All Districts'!$B$3:$C$874,2,FALSE)</f>
        <v>3622140</v>
      </c>
      <c r="F6007" s="91">
        <f>COUNTIF($E$2:$E$7106,E6007)</f>
        <v>9</v>
      </c>
    </row>
    <row r="6008" spans="1:6" x14ac:dyDescent="0.2">
      <c r="A6008">
        <v>2023</v>
      </c>
      <c r="B6008" s="36">
        <v>5528</v>
      </c>
      <c r="C6008" s="90" t="str">
        <f>VLOOKUP(B6008,'All Districts'!$A$3:$B$874,2,FALSE)</f>
        <v>South Seneca</v>
      </c>
      <c r="D6008" s="40">
        <v>719885</v>
      </c>
      <c r="E6008">
        <f>VLOOKUP(C6008,'All Districts'!$B$3:$C$874,2,FALSE)</f>
        <v>3622140</v>
      </c>
      <c r="F6008" s="91">
        <f>COUNTIF($E$2:$E$7106,E6008)</f>
        <v>9</v>
      </c>
    </row>
    <row r="6009" spans="1:6" x14ac:dyDescent="0.2">
      <c r="A6009">
        <v>2015</v>
      </c>
      <c r="B6009" s="13">
        <v>2570</v>
      </c>
      <c r="C6009" s="90" t="str">
        <f>VLOOKUP(B6009,'All Districts'!$A$3:$B$874,2,FALSE)</f>
        <v>Southampton</v>
      </c>
      <c r="D6009" s="14">
        <v>4190716</v>
      </c>
      <c r="E6009">
        <f>VLOOKUP(C6009,'All Districts'!$B$3:$C$874,2,FALSE)</f>
        <v>3627540</v>
      </c>
      <c r="F6009" s="91">
        <f>COUNTIF($E$2:$E$7106,E6009)</f>
        <v>9</v>
      </c>
    </row>
    <row r="6010" spans="1:6" x14ac:dyDescent="0.2">
      <c r="A6010">
        <v>2016</v>
      </c>
      <c r="B6010" s="13">
        <v>2570</v>
      </c>
      <c r="C6010" s="90" t="str">
        <f>VLOOKUP(B6010,'All Districts'!$A$3:$B$874,2,FALSE)</f>
        <v>Southampton</v>
      </c>
      <c r="D6010" s="16">
        <v>3350965</v>
      </c>
      <c r="E6010">
        <f>VLOOKUP(C6010,'All Districts'!$B$3:$C$874,2,FALSE)</f>
        <v>3627540</v>
      </c>
      <c r="F6010" s="91">
        <f>COUNTIF($E$2:$E$7106,E6010)</f>
        <v>9</v>
      </c>
    </row>
    <row r="6011" spans="1:6" x14ac:dyDescent="0.2">
      <c r="A6011">
        <v>2017</v>
      </c>
      <c r="B6011" s="13">
        <v>2570</v>
      </c>
      <c r="C6011" s="90" t="str">
        <f>VLOOKUP(B6011,'All Districts'!$A$3:$B$874,2,FALSE)</f>
        <v>Southampton</v>
      </c>
      <c r="D6011" s="16">
        <v>3010777</v>
      </c>
      <c r="E6011">
        <f>VLOOKUP(C6011,'All Districts'!$B$3:$C$874,2,FALSE)</f>
        <v>3627540</v>
      </c>
      <c r="F6011" s="91">
        <f>COUNTIF($E$2:$E$7106,E6011)</f>
        <v>9</v>
      </c>
    </row>
    <row r="6012" spans="1:6" x14ac:dyDescent="0.2">
      <c r="A6012" s="10">
        <v>2018</v>
      </c>
      <c r="B6012" s="13">
        <v>2570</v>
      </c>
      <c r="C6012" s="90" t="str">
        <f>VLOOKUP(B6012,'All Districts'!$A$3:$B$874,2,FALSE)</f>
        <v>Southampton</v>
      </c>
      <c r="D6012" s="15">
        <v>2601594</v>
      </c>
      <c r="E6012">
        <f>VLOOKUP(C6012,'All Districts'!$B$3:$C$874,2,FALSE)</f>
        <v>3627540</v>
      </c>
      <c r="F6012" s="91">
        <f>COUNTIF($E$2:$E$7106,E6012)</f>
        <v>9</v>
      </c>
    </row>
    <row r="6013" spans="1:6" x14ac:dyDescent="0.2">
      <c r="A6013">
        <v>2019</v>
      </c>
      <c r="B6013" s="36">
        <v>2570</v>
      </c>
      <c r="C6013" s="90" t="str">
        <f>VLOOKUP(B6013,'All Districts'!$A$3:$B$874,2,FALSE)</f>
        <v>Southampton</v>
      </c>
      <c r="D6013" s="40">
        <v>2871836</v>
      </c>
      <c r="E6013">
        <f>VLOOKUP(C6013,'All Districts'!$B$3:$C$874,2,FALSE)</f>
        <v>3627540</v>
      </c>
      <c r="F6013" s="91">
        <f>COUNTIF($E$2:$E$7106,E6013)</f>
        <v>9</v>
      </c>
    </row>
    <row r="6014" spans="1:6" x14ac:dyDescent="0.2">
      <c r="A6014">
        <v>2020</v>
      </c>
      <c r="B6014" s="36">
        <v>2570</v>
      </c>
      <c r="C6014" s="90" t="str">
        <f>VLOOKUP(B6014,'All Districts'!$A$3:$B$874,2,FALSE)</f>
        <v>Southampton</v>
      </c>
      <c r="D6014" s="40">
        <v>2445483</v>
      </c>
      <c r="E6014">
        <f>VLOOKUP(C6014,'All Districts'!$B$3:$C$874,2,FALSE)</f>
        <v>3627540</v>
      </c>
      <c r="F6014" s="91">
        <f>COUNTIF($E$2:$E$7106,E6014)</f>
        <v>9</v>
      </c>
    </row>
    <row r="6015" spans="1:6" x14ac:dyDescent="0.2">
      <c r="A6015" s="10">
        <v>2021</v>
      </c>
      <c r="B6015" s="52">
        <v>2570</v>
      </c>
      <c r="C6015" s="90" t="str">
        <f>VLOOKUP(B6015,'All Districts'!$A$3:$B$874,2,FALSE)</f>
        <v>Southampton</v>
      </c>
      <c r="D6015" s="75">
        <v>2621242</v>
      </c>
      <c r="E6015">
        <f>VLOOKUP(C6015,'All Districts'!$B$3:$C$874,2,FALSE)</f>
        <v>3627540</v>
      </c>
      <c r="F6015" s="91">
        <f>COUNTIF($E$2:$E$7106,E6015)</f>
        <v>9</v>
      </c>
    </row>
    <row r="6016" spans="1:6" x14ac:dyDescent="0.2">
      <c r="A6016">
        <v>2022</v>
      </c>
      <c r="B6016" s="36">
        <v>2570</v>
      </c>
      <c r="C6016" s="90" t="str">
        <f>VLOOKUP(B6016,'All Districts'!$A$3:$B$874,2,FALSE)</f>
        <v>Southampton</v>
      </c>
      <c r="D6016" s="82">
        <v>2762416</v>
      </c>
      <c r="E6016">
        <f>VLOOKUP(C6016,'All Districts'!$B$3:$C$874,2,FALSE)</f>
        <v>3627540</v>
      </c>
      <c r="F6016" s="91">
        <f>COUNTIF($E$2:$E$7106,E6016)</f>
        <v>9</v>
      </c>
    </row>
    <row r="6017" spans="1:6" x14ac:dyDescent="0.2">
      <c r="A6017">
        <v>2023</v>
      </c>
      <c r="B6017" s="36">
        <v>2570</v>
      </c>
      <c r="C6017" s="90" t="str">
        <f>VLOOKUP(B6017,'All Districts'!$A$3:$B$874,2,FALSE)</f>
        <v>Southampton</v>
      </c>
      <c r="D6017" s="40">
        <v>2967888</v>
      </c>
      <c r="E6017">
        <f>VLOOKUP(C6017,'All Districts'!$B$3:$C$874,2,FALSE)</f>
        <v>3627540</v>
      </c>
      <c r="F6017" s="91">
        <f>COUNTIF($E$2:$E$7106,E6017)</f>
        <v>9</v>
      </c>
    </row>
    <row r="6018" spans="1:6" x14ac:dyDescent="0.2">
      <c r="A6018">
        <v>2015</v>
      </c>
      <c r="B6018" s="13">
        <v>3278</v>
      </c>
      <c r="C6018" s="90" t="str">
        <f>VLOOKUP(B6018,'All Districts'!$A$3:$B$874,2,FALSE)</f>
        <v>Southern Cayuga</v>
      </c>
      <c r="D6018" s="14">
        <v>836676</v>
      </c>
      <c r="E6018">
        <f>VLOOKUP(C6018,'All Districts'!$B$3:$C$874,2,FALSE)</f>
        <v>3627570</v>
      </c>
      <c r="F6018" s="91">
        <f>COUNTIF($E$2:$E$7106,E6018)</f>
        <v>9</v>
      </c>
    </row>
    <row r="6019" spans="1:6" x14ac:dyDescent="0.2">
      <c r="A6019">
        <v>2016</v>
      </c>
      <c r="B6019" s="13">
        <v>3278</v>
      </c>
      <c r="C6019" s="90" t="str">
        <f>VLOOKUP(B6019,'All Districts'!$A$3:$B$874,2,FALSE)</f>
        <v>Southern Cayuga</v>
      </c>
      <c r="D6019" s="16">
        <v>647632</v>
      </c>
      <c r="E6019">
        <f>VLOOKUP(C6019,'All Districts'!$B$3:$C$874,2,FALSE)</f>
        <v>3627570</v>
      </c>
      <c r="F6019" s="91">
        <f>COUNTIF($E$2:$E$7106,E6019)</f>
        <v>9</v>
      </c>
    </row>
    <row r="6020" spans="1:6" x14ac:dyDescent="0.2">
      <c r="A6020">
        <v>2017</v>
      </c>
      <c r="B6020" s="13">
        <v>3278</v>
      </c>
      <c r="C6020" s="90" t="str">
        <f>VLOOKUP(B6020,'All Districts'!$A$3:$B$874,2,FALSE)</f>
        <v>Southern Cayuga</v>
      </c>
      <c r="D6020" s="16">
        <v>594204</v>
      </c>
      <c r="E6020">
        <f>VLOOKUP(C6020,'All Districts'!$B$3:$C$874,2,FALSE)</f>
        <v>3627570</v>
      </c>
      <c r="F6020" s="91">
        <f>COUNTIF($E$2:$E$7106,E6020)</f>
        <v>9</v>
      </c>
    </row>
    <row r="6021" spans="1:6" x14ac:dyDescent="0.2">
      <c r="A6021" s="10">
        <v>2018</v>
      </c>
      <c r="B6021" s="13">
        <v>3278</v>
      </c>
      <c r="C6021" s="90" t="str">
        <f>VLOOKUP(B6021,'All Districts'!$A$3:$B$874,2,FALSE)</f>
        <v>Southern Cayuga</v>
      </c>
      <c r="D6021" s="15">
        <v>515101</v>
      </c>
      <c r="E6021">
        <f>VLOOKUP(C6021,'All Districts'!$B$3:$C$874,2,FALSE)</f>
        <v>3627570</v>
      </c>
      <c r="F6021" s="91">
        <f>COUNTIF($E$2:$E$7106,E6021)</f>
        <v>9</v>
      </c>
    </row>
    <row r="6022" spans="1:6" x14ac:dyDescent="0.2">
      <c r="A6022">
        <v>2019</v>
      </c>
      <c r="B6022" s="36">
        <v>3278</v>
      </c>
      <c r="C6022" s="90" t="str">
        <f>VLOOKUP(B6022,'All Districts'!$A$3:$B$874,2,FALSE)</f>
        <v>Southern Cayuga</v>
      </c>
      <c r="D6022" s="40">
        <v>573634</v>
      </c>
      <c r="E6022">
        <f>VLOOKUP(C6022,'All Districts'!$B$3:$C$874,2,FALSE)</f>
        <v>3627570</v>
      </c>
      <c r="F6022" s="91">
        <f>COUNTIF($E$2:$E$7106,E6022)</f>
        <v>9</v>
      </c>
    </row>
    <row r="6023" spans="1:6" x14ac:dyDescent="0.2">
      <c r="A6023">
        <v>2020</v>
      </c>
      <c r="B6023" s="36">
        <v>3278</v>
      </c>
      <c r="C6023" s="90" t="str">
        <f>VLOOKUP(B6023,'All Districts'!$A$3:$B$874,2,FALSE)</f>
        <v>Southern Cayuga</v>
      </c>
      <c r="D6023" s="40">
        <v>491406</v>
      </c>
      <c r="E6023">
        <f>VLOOKUP(C6023,'All Districts'!$B$3:$C$874,2,FALSE)</f>
        <v>3627570</v>
      </c>
      <c r="F6023" s="91">
        <f>COUNTIF($E$2:$E$7106,E6023)</f>
        <v>9</v>
      </c>
    </row>
    <row r="6024" spans="1:6" x14ac:dyDescent="0.2">
      <c r="A6024" s="10">
        <v>2021</v>
      </c>
      <c r="B6024" s="52">
        <v>3278</v>
      </c>
      <c r="C6024" s="90" t="str">
        <f>VLOOKUP(B6024,'All Districts'!$A$3:$B$874,2,FALSE)</f>
        <v>Southern Cayuga</v>
      </c>
      <c r="D6024" s="76">
        <v>489009</v>
      </c>
      <c r="E6024">
        <f>VLOOKUP(C6024,'All Districts'!$B$3:$C$874,2,FALSE)</f>
        <v>3627570</v>
      </c>
      <c r="F6024" s="91">
        <f>COUNTIF($E$2:$E$7106,E6024)</f>
        <v>9</v>
      </c>
    </row>
    <row r="6025" spans="1:6" x14ac:dyDescent="0.2">
      <c r="A6025">
        <v>2022</v>
      </c>
      <c r="B6025" s="36">
        <v>3278</v>
      </c>
      <c r="C6025" s="90" t="str">
        <f>VLOOKUP(B6025,'All Districts'!$A$3:$B$874,2,FALSE)</f>
        <v>Southern Cayuga</v>
      </c>
      <c r="D6025" s="82">
        <v>577294</v>
      </c>
      <c r="E6025">
        <f>VLOOKUP(C6025,'All Districts'!$B$3:$C$874,2,FALSE)</f>
        <v>3627570</v>
      </c>
      <c r="F6025" s="91">
        <f>COUNTIF($E$2:$E$7106,E6025)</f>
        <v>9</v>
      </c>
    </row>
    <row r="6026" spans="1:6" x14ac:dyDescent="0.2">
      <c r="A6026">
        <v>2023</v>
      </c>
      <c r="B6026" s="36">
        <v>3278</v>
      </c>
      <c r="C6026" s="90" t="str">
        <f>VLOOKUP(B6026,'All Districts'!$A$3:$B$874,2,FALSE)</f>
        <v>Southern Cayuga</v>
      </c>
      <c r="D6026" s="40">
        <v>649808</v>
      </c>
      <c r="E6026">
        <f>VLOOKUP(C6026,'All Districts'!$B$3:$C$874,2,FALSE)</f>
        <v>3627570</v>
      </c>
      <c r="F6026" s="91">
        <f>COUNTIF($E$2:$E$7106,E6026)</f>
        <v>9</v>
      </c>
    </row>
    <row r="6027" spans="1:6" x14ac:dyDescent="0.2">
      <c r="A6027">
        <v>2015</v>
      </c>
      <c r="B6027" s="13">
        <v>5372</v>
      </c>
      <c r="C6027" s="90" t="str">
        <f>VLOOKUP(B6027,'All Districts'!$A$3:$B$874,2,FALSE)</f>
        <v>Southold</v>
      </c>
      <c r="D6027" s="14">
        <v>2024090</v>
      </c>
      <c r="E6027">
        <f>VLOOKUP(C6027,'All Districts'!$B$3:$C$874,2,FALSE)</f>
        <v>3627620</v>
      </c>
      <c r="F6027" s="91">
        <f>COUNTIF($E$2:$E$7106,E6027)</f>
        <v>9</v>
      </c>
    </row>
    <row r="6028" spans="1:6" x14ac:dyDescent="0.2">
      <c r="A6028">
        <v>2016</v>
      </c>
      <c r="B6028" s="13">
        <v>5372</v>
      </c>
      <c r="C6028" s="90" t="str">
        <f>VLOOKUP(B6028,'All Districts'!$A$3:$B$874,2,FALSE)</f>
        <v>Southold</v>
      </c>
      <c r="D6028" s="16">
        <v>1589140</v>
      </c>
      <c r="E6028">
        <f>VLOOKUP(C6028,'All Districts'!$B$3:$C$874,2,FALSE)</f>
        <v>3627620</v>
      </c>
      <c r="F6028" s="91">
        <f>COUNTIF($E$2:$E$7106,E6028)</f>
        <v>9</v>
      </c>
    </row>
    <row r="6029" spans="1:6" x14ac:dyDescent="0.2">
      <c r="A6029">
        <v>2017</v>
      </c>
      <c r="B6029" s="13">
        <v>5372</v>
      </c>
      <c r="C6029" s="90" t="str">
        <f>VLOOKUP(B6029,'All Districts'!$A$3:$B$874,2,FALSE)</f>
        <v>Southold</v>
      </c>
      <c r="D6029" s="16">
        <v>1384074</v>
      </c>
      <c r="E6029">
        <f>VLOOKUP(C6029,'All Districts'!$B$3:$C$874,2,FALSE)</f>
        <v>3627620</v>
      </c>
      <c r="F6029" s="91">
        <f>COUNTIF($E$2:$E$7106,E6029)</f>
        <v>9</v>
      </c>
    </row>
    <row r="6030" spans="1:6" x14ac:dyDescent="0.2">
      <c r="A6030" s="10">
        <v>2018</v>
      </c>
      <c r="B6030" s="13">
        <v>5372</v>
      </c>
      <c r="C6030" s="90" t="str">
        <f>VLOOKUP(B6030,'All Districts'!$A$3:$B$874,2,FALSE)</f>
        <v>Southold</v>
      </c>
      <c r="D6030" s="15">
        <v>1138098</v>
      </c>
      <c r="E6030">
        <f>VLOOKUP(C6030,'All Districts'!$B$3:$C$874,2,FALSE)</f>
        <v>3627620</v>
      </c>
      <c r="F6030" s="91">
        <f>COUNTIF($E$2:$E$7106,E6030)</f>
        <v>9</v>
      </c>
    </row>
    <row r="6031" spans="1:6" x14ac:dyDescent="0.2">
      <c r="A6031">
        <v>2019</v>
      </c>
      <c r="B6031" s="36">
        <v>5372</v>
      </c>
      <c r="C6031" s="90" t="str">
        <f>VLOOKUP(B6031,'All Districts'!$A$3:$B$874,2,FALSE)</f>
        <v>Southold</v>
      </c>
      <c r="D6031" s="40">
        <v>1280652</v>
      </c>
      <c r="E6031">
        <f>VLOOKUP(C6031,'All Districts'!$B$3:$C$874,2,FALSE)</f>
        <v>3627620</v>
      </c>
      <c r="F6031" s="91">
        <f>COUNTIF($E$2:$E$7106,E6031)</f>
        <v>9</v>
      </c>
    </row>
    <row r="6032" spans="1:6" x14ac:dyDescent="0.2">
      <c r="A6032">
        <v>2020</v>
      </c>
      <c r="B6032" s="36">
        <v>5372</v>
      </c>
      <c r="C6032" s="90" t="str">
        <f>VLOOKUP(B6032,'All Districts'!$A$3:$B$874,2,FALSE)</f>
        <v>Southold</v>
      </c>
      <c r="D6032" s="40">
        <v>1103999</v>
      </c>
      <c r="E6032">
        <f>VLOOKUP(C6032,'All Districts'!$B$3:$C$874,2,FALSE)</f>
        <v>3627620</v>
      </c>
      <c r="F6032" s="91">
        <f>COUNTIF($E$2:$E$7106,E6032)</f>
        <v>9</v>
      </c>
    </row>
    <row r="6033" spans="1:6" x14ac:dyDescent="0.2">
      <c r="A6033" s="10">
        <v>2021</v>
      </c>
      <c r="B6033" s="52">
        <v>5372</v>
      </c>
      <c r="C6033" s="90" t="str">
        <f>VLOOKUP(B6033,'All Districts'!$A$3:$B$874,2,FALSE)</f>
        <v>Southold</v>
      </c>
      <c r="D6033" s="76">
        <v>1224846</v>
      </c>
      <c r="E6033">
        <f>VLOOKUP(C6033,'All Districts'!$B$3:$C$874,2,FALSE)</f>
        <v>3627620</v>
      </c>
      <c r="F6033" s="91">
        <f>COUNTIF($E$2:$E$7106,E6033)</f>
        <v>9</v>
      </c>
    </row>
    <row r="6034" spans="1:6" x14ac:dyDescent="0.2">
      <c r="A6034">
        <v>2022</v>
      </c>
      <c r="B6034" s="36">
        <v>5372</v>
      </c>
      <c r="C6034" s="90" t="str">
        <f>VLOOKUP(B6034,'All Districts'!$A$3:$B$874,2,FALSE)</f>
        <v>Southold</v>
      </c>
      <c r="D6034" s="82">
        <v>1286178</v>
      </c>
      <c r="E6034">
        <f>VLOOKUP(C6034,'All Districts'!$B$3:$C$874,2,FALSE)</f>
        <v>3627620</v>
      </c>
      <c r="F6034" s="91">
        <f>COUNTIF($E$2:$E$7106,E6034)</f>
        <v>9</v>
      </c>
    </row>
    <row r="6035" spans="1:6" x14ac:dyDescent="0.2">
      <c r="A6035">
        <v>2023</v>
      </c>
      <c r="B6035" s="36">
        <v>5372</v>
      </c>
      <c r="C6035" s="90" t="str">
        <f>VLOOKUP(B6035,'All Districts'!$A$3:$B$874,2,FALSE)</f>
        <v>Southold</v>
      </c>
      <c r="D6035" s="40">
        <v>1350010</v>
      </c>
      <c r="E6035">
        <f>VLOOKUP(C6035,'All Districts'!$B$3:$C$874,2,FALSE)</f>
        <v>3627620</v>
      </c>
      <c r="F6035" s="91">
        <f>COUNTIF($E$2:$E$7106,E6035)</f>
        <v>9</v>
      </c>
    </row>
    <row r="6036" spans="1:6" x14ac:dyDescent="0.2">
      <c r="A6036">
        <v>2015</v>
      </c>
      <c r="B6036" s="13">
        <v>2574</v>
      </c>
      <c r="C6036" s="90" t="str">
        <f>VLOOKUP(B6036,'All Districts'!$A$3:$B$874,2,FALSE)</f>
        <v>Southwestern</v>
      </c>
      <c r="D6036" s="14">
        <v>1514787</v>
      </c>
      <c r="E6036">
        <f>VLOOKUP(C6036,'All Districts'!$B$3:$C$874,2,FALSE)</f>
        <v>3627660</v>
      </c>
      <c r="F6036" s="91">
        <f>COUNTIF($E$2:$E$7106,E6036)</f>
        <v>9</v>
      </c>
    </row>
    <row r="6037" spans="1:6" x14ac:dyDescent="0.2">
      <c r="A6037">
        <v>2016</v>
      </c>
      <c r="B6037" s="13">
        <v>2574</v>
      </c>
      <c r="C6037" s="90" t="str">
        <f>VLOOKUP(B6037,'All Districts'!$A$3:$B$874,2,FALSE)</f>
        <v>Southwestern</v>
      </c>
      <c r="D6037" s="16">
        <v>1172053</v>
      </c>
      <c r="E6037">
        <f>VLOOKUP(C6037,'All Districts'!$B$3:$C$874,2,FALSE)</f>
        <v>3627660</v>
      </c>
      <c r="F6037" s="91">
        <f>COUNTIF($E$2:$E$7106,E6037)</f>
        <v>9</v>
      </c>
    </row>
    <row r="6038" spans="1:6" x14ac:dyDescent="0.2">
      <c r="A6038">
        <v>2017</v>
      </c>
      <c r="B6038" s="13">
        <v>2574</v>
      </c>
      <c r="C6038" s="90" t="str">
        <f>VLOOKUP(B6038,'All Districts'!$A$3:$B$874,2,FALSE)</f>
        <v>Southwestern</v>
      </c>
      <c r="D6038" s="16">
        <v>1048869</v>
      </c>
      <c r="E6038">
        <f>VLOOKUP(C6038,'All Districts'!$B$3:$C$874,2,FALSE)</f>
        <v>3627660</v>
      </c>
      <c r="F6038" s="91">
        <f>COUNTIF($E$2:$E$7106,E6038)</f>
        <v>9</v>
      </c>
    </row>
    <row r="6039" spans="1:6" x14ac:dyDescent="0.2">
      <c r="A6039" s="10">
        <v>2018</v>
      </c>
      <c r="B6039" s="13">
        <v>2574</v>
      </c>
      <c r="C6039" s="90" t="str">
        <f>VLOOKUP(B6039,'All Districts'!$A$3:$B$874,2,FALSE)</f>
        <v>Southwestern</v>
      </c>
      <c r="D6039" s="15">
        <v>894817</v>
      </c>
      <c r="E6039">
        <f>VLOOKUP(C6039,'All Districts'!$B$3:$C$874,2,FALSE)</f>
        <v>3627660</v>
      </c>
      <c r="F6039" s="91">
        <f>COUNTIF($E$2:$E$7106,E6039)</f>
        <v>9</v>
      </c>
    </row>
    <row r="6040" spans="1:6" x14ac:dyDescent="0.2">
      <c r="A6040">
        <v>2019</v>
      </c>
      <c r="B6040" s="36">
        <v>2574</v>
      </c>
      <c r="C6040" s="90" t="str">
        <f>VLOOKUP(B6040,'All Districts'!$A$3:$B$874,2,FALSE)</f>
        <v>Southwestern</v>
      </c>
      <c r="D6040" s="40">
        <v>987033</v>
      </c>
      <c r="E6040">
        <f>VLOOKUP(C6040,'All Districts'!$B$3:$C$874,2,FALSE)</f>
        <v>3627660</v>
      </c>
      <c r="F6040" s="91">
        <f>COUNTIF($E$2:$E$7106,E6040)</f>
        <v>9</v>
      </c>
    </row>
    <row r="6041" spans="1:6" x14ac:dyDescent="0.2">
      <c r="A6041">
        <v>2020</v>
      </c>
      <c r="B6041" s="36">
        <v>2574</v>
      </c>
      <c r="C6041" s="90" t="str">
        <f>VLOOKUP(B6041,'All Districts'!$A$3:$B$874,2,FALSE)</f>
        <v>Southwestern</v>
      </c>
      <c r="D6041" s="40">
        <v>834425</v>
      </c>
      <c r="E6041">
        <f>VLOOKUP(C6041,'All Districts'!$B$3:$C$874,2,FALSE)</f>
        <v>3627660</v>
      </c>
      <c r="F6041" s="91">
        <f>COUNTIF($E$2:$E$7106,E6041)</f>
        <v>9</v>
      </c>
    </row>
    <row r="6042" spans="1:6" x14ac:dyDescent="0.2">
      <c r="A6042" s="10">
        <v>2021</v>
      </c>
      <c r="B6042" s="52">
        <v>2574</v>
      </c>
      <c r="C6042" s="90" t="str">
        <f>VLOOKUP(B6042,'All Districts'!$A$3:$B$874,2,FALSE)</f>
        <v>Southwestern</v>
      </c>
      <c r="D6042" s="76">
        <v>882495</v>
      </c>
      <c r="E6042">
        <f>VLOOKUP(C6042,'All Districts'!$B$3:$C$874,2,FALSE)</f>
        <v>3627660</v>
      </c>
      <c r="F6042" s="91">
        <f>COUNTIF($E$2:$E$7106,E6042)</f>
        <v>9</v>
      </c>
    </row>
    <row r="6043" spans="1:6" x14ac:dyDescent="0.2">
      <c r="A6043">
        <v>2022</v>
      </c>
      <c r="B6043" s="36">
        <v>2574</v>
      </c>
      <c r="C6043" s="90" t="str">
        <f>VLOOKUP(B6043,'All Districts'!$A$3:$B$874,2,FALSE)</f>
        <v>Southwestern</v>
      </c>
      <c r="D6043" s="82">
        <v>933580</v>
      </c>
      <c r="E6043">
        <f>VLOOKUP(C6043,'All Districts'!$B$3:$C$874,2,FALSE)</f>
        <v>3627660</v>
      </c>
      <c r="F6043" s="91">
        <f>COUNTIF($E$2:$E$7106,E6043)</f>
        <v>9</v>
      </c>
    </row>
    <row r="6044" spans="1:6" x14ac:dyDescent="0.2">
      <c r="A6044">
        <v>2023</v>
      </c>
      <c r="B6044" s="36">
        <v>2574</v>
      </c>
      <c r="C6044" s="90" t="str">
        <f>VLOOKUP(B6044,'All Districts'!$A$3:$B$874,2,FALSE)</f>
        <v>Southwestern</v>
      </c>
      <c r="D6044" s="40">
        <v>1011475</v>
      </c>
      <c r="E6044">
        <f>VLOOKUP(C6044,'All Districts'!$B$3:$C$874,2,FALSE)</f>
        <v>3627660</v>
      </c>
      <c r="F6044" s="91">
        <f>COUNTIF($E$2:$E$7106,E6044)</f>
        <v>9</v>
      </c>
    </row>
    <row r="6045" spans="1:6" x14ac:dyDescent="0.2">
      <c r="A6045">
        <v>2015</v>
      </c>
      <c r="B6045" s="13">
        <v>3632</v>
      </c>
      <c r="C6045" s="90" t="str">
        <f>VLOOKUP(B6045,'All Districts'!$A$3:$B$874,2,FALSE)</f>
        <v>Spackenkill</v>
      </c>
      <c r="D6045" s="14">
        <v>2939355</v>
      </c>
      <c r="E6045">
        <f>VLOOKUP(C6045,'All Districts'!$B$3:$C$874,2,FALSE)</f>
        <v>3606500</v>
      </c>
      <c r="F6045" s="91">
        <f>COUNTIF($E$2:$E$7106,E6045)</f>
        <v>9</v>
      </c>
    </row>
    <row r="6046" spans="1:6" x14ac:dyDescent="0.2">
      <c r="A6046">
        <v>2016</v>
      </c>
      <c r="B6046" s="13">
        <v>3632</v>
      </c>
      <c r="C6046" s="90" t="str">
        <f>VLOOKUP(B6046,'All Districts'!$A$3:$B$874,2,FALSE)</f>
        <v>Spackenkill</v>
      </c>
      <c r="D6046" s="16">
        <v>2297552</v>
      </c>
      <c r="E6046">
        <f>VLOOKUP(C6046,'All Districts'!$B$3:$C$874,2,FALSE)</f>
        <v>3606500</v>
      </c>
      <c r="F6046" s="91">
        <f>COUNTIF($E$2:$E$7106,E6046)</f>
        <v>9</v>
      </c>
    </row>
    <row r="6047" spans="1:6" x14ac:dyDescent="0.2">
      <c r="A6047">
        <v>2017</v>
      </c>
      <c r="B6047" s="13">
        <v>3632</v>
      </c>
      <c r="C6047" s="90" t="str">
        <f>VLOOKUP(B6047,'All Districts'!$A$3:$B$874,2,FALSE)</f>
        <v>Spackenkill</v>
      </c>
      <c r="D6047" s="16">
        <v>2072361</v>
      </c>
      <c r="E6047">
        <f>VLOOKUP(C6047,'All Districts'!$B$3:$C$874,2,FALSE)</f>
        <v>3606500</v>
      </c>
      <c r="F6047" s="91">
        <f>COUNTIF($E$2:$E$7106,E6047)</f>
        <v>9</v>
      </c>
    </row>
    <row r="6048" spans="1:6" x14ac:dyDescent="0.2">
      <c r="A6048" s="10">
        <v>2018</v>
      </c>
      <c r="B6048" s="13">
        <v>3632</v>
      </c>
      <c r="C6048" s="90" t="str">
        <f>VLOOKUP(B6048,'All Districts'!$A$3:$B$874,2,FALSE)</f>
        <v>Spackenkill</v>
      </c>
      <c r="D6048" s="15">
        <v>1769765</v>
      </c>
      <c r="E6048">
        <f>VLOOKUP(C6048,'All Districts'!$B$3:$C$874,2,FALSE)</f>
        <v>3606500</v>
      </c>
      <c r="F6048" s="91">
        <f>COUNTIF($E$2:$E$7106,E6048)</f>
        <v>9</v>
      </c>
    </row>
    <row r="6049" spans="1:6" x14ac:dyDescent="0.2">
      <c r="A6049">
        <v>2019</v>
      </c>
      <c r="B6049" s="36">
        <v>3632</v>
      </c>
      <c r="C6049" s="90" t="str">
        <f>VLOOKUP(B6049,'All Districts'!$A$3:$B$874,2,FALSE)</f>
        <v>Spackenkill</v>
      </c>
      <c r="D6049" s="40">
        <v>1933048</v>
      </c>
      <c r="E6049">
        <f>VLOOKUP(C6049,'All Districts'!$B$3:$C$874,2,FALSE)</f>
        <v>3606500</v>
      </c>
      <c r="F6049" s="91">
        <f>COUNTIF($E$2:$E$7106,E6049)</f>
        <v>9</v>
      </c>
    </row>
    <row r="6050" spans="1:6" x14ac:dyDescent="0.2">
      <c r="A6050">
        <v>2020</v>
      </c>
      <c r="B6050" s="36">
        <v>3632</v>
      </c>
      <c r="C6050" s="90" t="str">
        <f>VLOOKUP(B6050,'All Districts'!$A$3:$B$874,2,FALSE)</f>
        <v>Spackenkill</v>
      </c>
      <c r="D6050" s="40">
        <v>1656786</v>
      </c>
      <c r="E6050">
        <f>VLOOKUP(C6050,'All Districts'!$B$3:$C$874,2,FALSE)</f>
        <v>3606500</v>
      </c>
      <c r="F6050" s="91">
        <f>COUNTIF($E$2:$E$7106,E6050)</f>
        <v>9</v>
      </c>
    </row>
    <row r="6051" spans="1:6" x14ac:dyDescent="0.2">
      <c r="A6051" s="10">
        <v>2021</v>
      </c>
      <c r="B6051" s="55">
        <v>3632</v>
      </c>
      <c r="C6051" s="90" t="str">
        <f>VLOOKUP(B6051,'All Districts'!$A$3:$B$874,2,FALSE)</f>
        <v>Spackenkill</v>
      </c>
      <c r="D6051" s="76">
        <v>1801402</v>
      </c>
      <c r="E6051">
        <f>VLOOKUP(C6051,'All Districts'!$B$3:$C$874,2,FALSE)</f>
        <v>3606500</v>
      </c>
      <c r="F6051" s="91">
        <f>COUNTIF($E$2:$E$7106,E6051)</f>
        <v>9</v>
      </c>
    </row>
    <row r="6052" spans="1:6" x14ac:dyDescent="0.2">
      <c r="A6052">
        <v>2022</v>
      </c>
      <c r="B6052" s="36">
        <v>3632</v>
      </c>
      <c r="C6052" s="90" t="str">
        <f>VLOOKUP(B6052,'All Districts'!$A$3:$B$874,2,FALSE)</f>
        <v>Spackenkill</v>
      </c>
      <c r="D6052" s="82">
        <v>1941705</v>
      </c>
      <c r="E6052">
        <f>VLOOKUP(C6052,'All Districts'!$B$3:$C$874,2,FALSE)</f>
        <v>3606500</v>
      </c>
      <c r="F6052" s="91">
        <f>COUNTIF($E$2:$E$7106,E6052)</f>
        <v>9</v>
      </c>
    </row>
    <row r="6053" spans="1:6" x14ac:dyDescent="0.2">
      <c r="A6053">
        <v>2023</v>
      </c>
      <c r="B6053" s="36">
        <v>3632</v>
      </c>
      <c r="C6053" s="90" t="str">
        <f>VLOOKUP(B6053,'All Districts'!$A$3:$B$874,2,FALSE)</f>
        <v>Spackenkill</v>
      </c>
      <c r="D6053" s="40">
        <v>2095382</v>
      </c>
      <c r="E6053">
        <f>VLOOKUP(C6053,'All Districts'!$B$3:$C$874,2,FALSE)</f>
        <v>3606500</v>
      </c>
      <c r="F6053" s="91">
        <f>COUNTIF($E$2:$E$7106,E6053)</f>
        <v>9</v>
      </c>
    </row>
    <row r="6054" spans="1:6" x14ac:dyDescent="0.2">
      <c r="A6054">
        <v>2015</v>
      </c>
      <c r="B6054" s="13">
        <v>5253</v>
      </c>
      <c r="C6054" s="90" t="str">
        <f>VLOOKUP(B6054,'All Districts'!$A$3:$B$874,2,FALSE)</f>
        <v>Spencer-Van Etten</v>
      </c>
      <c r="D6054" s="14">
        <v>1112581</v>
      </c>
      <c r="E6054">
        <f>VLOOKUP(C6054,'All Districts'!$B$3:$C$874,2,FALSE)</f>
        <v>3627750</v>
      </c>
      <c r="F6054" s="91">
        <f>COUNTIF($E$2:$E$7106,E6054)</f>
        <v>9</v>
      </c>
    </row>
    <row r="6055" spans="1:6" x14ac:dyDescent="0.2">
      <c r="A6055">
        <v>2016</v>
      </c>
      <c r="B6055" s="13">
        <v>5253</v>
      </c>
      <c r="C6055" s="90" t="str">
        <f>VLOOKUP(B6055,'All Districts'!$A$3:$B$874,2,FALSE)</f>
        <v>Spencer-Van Etten</v>
      </c>
      <c r="D6055" s="16">
        <v>885387</v>
      </c>
      <c r="E6055">
        <f>VLOOKUP(C6055,'All Districts'!$B$3:$C$874,2,FALSE)</f>
        <v>3627750</v>
      </c>
      <c r="F6055" s="91">
        <f>COUNTIF($E$2:$E$7106,E6055)</f>
        <v>9</v>
      </c>
    </row>
    <row r="6056" spans="1:6" x14ac:dyDescent="0.2">
      <c r="A6056">
        <v>2017</v>
      </c>
      <c r="B6056" s="13">
        <v>5253</v>
      </c>
      <c r="C6056" s="90" t="str">
        <f>VLOOKUP(B6056,'All Districts'!$A$3:$B$874,2,FALSE)</f>
        <v>Spencer-Van Etten</v>
      </c>
      <c r="D6056" s="16">
        <v>799832</v>
      </c>
      <c r="E6056">
        <f>VLOOKUP(C6056,'All Districts'!$B$3:$C$874,2,FALSE)</f>
        <v>3627750</v>
      </c>
      <c r="F6056" s="91">
        <f>COUNTIF($E$2:$E$7106,E6056)</f>
        <v>9</v>
      </c>
    </row>
    <row r="6057" spans="1:6" x14ac:dyDescent="0.2">
      <c r="A6057" s="10">
        <v>2018</v>
      </c>
      <c r="B6057" s="13">
        <v>5253</v>
      </c>
      <c r="C6057" s="90" t="str">
        <f>VLOOKUP(B6057,'All Districts'!$A$3:$B$874,2,FALSE)</f>
        <v>Spencer-Van Etten</v>
      </c>
      <c r="D6057" s="15">
        <v>687141</v>
      </c>
      <c r="E6057">
        <f>VLOOKUP(C6057,'All Districts'!$B$3:$C$874,2,FALSE)</f>
        <v>3627750</v>
      </c>
      <c r="F6057" s="91">
        <f>COUNTIF($E$2:$E$7106,E6057)</f>
        <v>9</v>
      </c>
    </row>
    <row r="6058" spans="1:6" x14ac:dyDescent="0.2">
      <c r="A6058">
        <v>2019</v>
      </c>
      <c r="B6058" s="36">
        <v>5253</v>
      </c>
      <c r="C6058" s="90" t="str">
        <f>VLOOKUP(B6058,'All Districts'!$A$3:$B$874,2,FALSE)</f>
        <v>Spencer-Van Etten</v>
      </c>
      <c r="D6058" s="40">
        <v>773490</v>
      </c>
      <c r="E6058">
        <f>VLOOKUP(C6058,'All Districts'!$B$3:$C$874,2,FALSE)</f>
        <v>3627750</v>
      </c>
      <c r="F6058" s="91">
        <f>COUNTIF($E$2:$E$7106,E6058)</f>
        <v>9</v>
      </c>
    </row>
    <row r="6059" spans="1:6" x14ac:dyDescent="0.2">
      <c r="A6059">
        <v>2020</v>
      </c>
      <c r="B6059" s="36">
        <v>5253</v>
      </c>
      <c r="C6059" s="90" t="str">
        <f>VLOOKUP(B6059,'All Districts'!$A$3:$B$874,2,FALSE)</f>
        <v>Spencer-Van Etten</v>
      </c>
      <c r="D6059" s="40">
        <v>666211</v>
      </c>
      <c r="E6059">
        <f>VLOOKUP(C6059,'All Districts'!$B$3:$C$874,2,FALSE)</f>
        <v>3627750</v>
      </c>
      <c r="F6059" s="91">
        <f>COUNTIF($E$2:$E$7106,E6059)</f>
        <v>9</v>
      </c>
    </row>
    <row r="6060" spans="1:6" x14ac:dyDescent="0.2">
      <c r="A6060" s="10">
        <v>2021</v>
      </c>
      <c r="B6060" s="52">
        <v>5253</v>
      </c>
      <c r="C6060" s="90" t="str">
        <f>VLOOKUP(B6060,'All Districts'!$A$3:$B$874,2,FALSE)</f>
        <v>Spencer-Van Etten</v>
      </c>
      <c r="D6060" s="76">
        <v>641013</v>
      </c>
      <c r="E6060">
        <f>VLOOKUP(C6060,'All Districts'!$B$3:$C$874,2,FALSE)</f>
        <v>3627750</v>
      </c>
      <c r="F6060" s="91">
        <f>COUNTIF($E$2:$E$7106,E6060)</f>
        <v>9</v>
      </c>
    </row>
    <row r="6061" spans="1:6" x14ac:dyDescent="0.2">
      <c r="A6061">
        <v>2022</v>
      </c>
      <c r="B6061" s="36">
        <v>5253</v>
      </c>
      <c r="C6061" s="90" t="str">
        <f>VLOOKUP(B6061,'All Districts'!$A$3:$B$874,2,FALSE)</f>
        <v>Spencer-Van Etten</v>
      </c>
      <c r="D6061" s="82">
        <v>671963</v>
      </c>
      <c r="E6061">
        <f>VLOOKUP(C6061,'All Districts'!$B$3:$C$874,2,FALSE)</f>
        <v>3627750</v>
      </c>
      <c r="F6061" s="91">
        <f>COUNTIF($E$2:$E$7106,E6061)</f>
        <v>9</v>
      </c>
    </row>
    <row r="6062" spans="1:6" x14ac:dyDescent="0.2">
      <c r="A6062">
        <v>2023</v>
      </c>
      <c r="B6062" s="36">
        <v>5253</v>
      </c>
      <c r="C6062" s="90" t="str">
        <f>VLOOKUP(B6062,'All Districts'!$A$3:$B$874,2,FALSE)</f>
        <v>Spencer-Van Etten</v>
      </c>
      <c r="D6062" s="40">
        <v>767832</v>
      </c>
      <c r="E6062">
        <f>VLOOKUP(C6062,'All Districts'!$B$3:$C$874,2,FALSE)</f>
        <v>3627750</v>
      </c>
      <c r="F6062" s="91">
        <f>COUNTIF($E$2:$E$7106,E6062)</f>
        <v>9</v>
      </c>
    </row>
    <row r="6063" spans="1:6" x14ac:dyDescent="0.2">
      <c r="A6063">
        <v>2015</v>
      </c>
      <c r="B6063" s="13">
        <v>2573</v>
      </c>
      <c r="C6063" s="90" t="str">
        <f>VLOOKUP(B6063,'All Districts'!$A$3:$B$874,2,FALSE)</f>
        <v>Spencerport</v>
      </c>
      <c r="D6063" s="14">
        <v>4382453</v>
      </c>
      <c r="E6063">
        <f>VLOOKUP(C6063,'All Districts'!$B$3:$C$874,2,FALSE)</f>
        <v>3627780</v>
      </c>
      <c r="F6063" s="91">
        <f>COUNTIF($E$2:$E$7106,E6063)</f>
        <v>9</v>
      </c>
    </row>
    <row r="6064" spans="1:6" x14ac:dyDescent="0.2">
      <c r="A6064">
        <v>2016</v>
      </c>
      <c r="B6064" s="13">
        <v>2573</v>
      </c>
      <c r="C6064" s="90" t="str">
        <f>VLOOKUP(B6064,'All Districts'!$A$3:$B$874,2,FALSE)</f>
        <v>Spencerport</v>
      </c>
      <c r="D6064" s="16">
        <v>3412664</v>
      </c>
      <c r="E6064">
        <f>VLOOKUP(C6064,'All Districts'!$B$3:$C$874,2,FALSE)</f>
        <v>3627780</v>
      </c>
      <c r="F6064" s="91">
        <f>COUNTIF($E$2:$E$7106,E6064)</f>
        <v>9</v>
      </c>
    </row>
    <row r="6065" spans="1:6" x14ac:dyDescent="0.2">
      <c r="A6065">
        <v>2017</v>
      </c>
      <c r="B6065" s="13">
        <v>2573</v>
      </c>
      <c r="C6065" s="90" t="str">
        <f>VLOOKUP(B6065,'All Districts'!$A$3:$B$874,2,FALSE)</f>
        <v>Spencerport</v>
      </c>
      <c r="D6065" s="16">
        <v>3139616</v>
      </c>
      <c r="E6065">
        <f>VLOOKUP(C6065,'All Districts'!$B$3:$C$874,2,FALSE)</f>
        <v>3627780</v>
      </c>
      <c r="F6065" s="91">
        <f>COUNTIF($E$2:$E$7106,E6065)</f>
        <v>9</v>
      </c>
    </row>
    <row r="6066" spans="1:6" x14ac:dyDescent="0.2">
      <c r="A6066" s="10">
        <v>2018</v>
      </c>
      <c r="B6066" s="13">
        <v>2573</v>
      </c>
      <c r="C6066" s="90" t="str">
        <f>VLOOKUP(B6066,'All Districts'!$A$3:$B$874,2,FALSE)</f>
        <v>Spencerport</v>
      </c>
      <c r="D6066" s="15">
        <v>2699321</v>
      </c>
      <c r="E6066">
        <f>VLOOKUP(C6066,'All Districts'!$B$3:$C$874,2,FALSE)</f>
        <v>3627780</v>
      </c>
      <c r="F6066" s="91">
        <f>COUNTIF($E$2:$E$7106,E6066)</f>
        <v>9</v>
      </c>
    </row>
    <row r="6067" spans="1:6" x14ac:dyDescent="0.2">
      <c r="A6067">
        <v>2019</v>
      </c>
      <c r="B6067" s="36">
        <v>2573</v>
      </c>
      <c r="C6067" s="90" t="str">
        <f>VLOOKUP(B6067,'All Districts'!$A$3:$B$874,2,FALSE)</f>
        <v>Spencerport</v>
      </c>
      <c r="D6067" s="40">
        <v>3025881</v>
      </c>
      <c r="E6067">
        <f>VLOOKUP(C6067,'All Districts'!$B$3:$C$874,2,FALSE)</f>
        <v>3627780</v>
      </c>
      <c r="F6067" s="91">
        <f>COUNTIF($E$2:$E$7106,E6067)</f>
        <v>9</v>
      </c>
    </row>
    <row r="6068" spans="1:6" x14ac:dyDescent="0.2">
      <c r="A6068">
        <v>2020</v>
      </c>
      <c r="B6068" s="36">
        <v>2573</v>
      </c>
      <c r="C6068" s="90" t="str">
        <f>VLOOKUP(B6068,'All Districts'!$A$3:$B$874,2,FALSE)</f>
        <v>Spencerport</v>
      </c>
      <c r="D6068" s="40">
        <v>2572731</v>
      </c>
      <c r="E6068">
        <f>VLOOKUP(C6068,'All Districts'!$B$3:$C$874,2,FALSE)</f>
        <v>3627780</v>
      </c>
      <c r="F6068" s="91">
        <f>COUNTIF($E$2:$E$7106,E6068)</f>
        <v>9</v>
      </c>
    </row>
    <row r="6069" spans="1:6" x14ac:dyDescent="0.2">
      <c r="A6069" s="10">
        <v>2021</v>
      </c>
      <c r="B6069" s="55">
        <v>2573</v>
      </c>
      <c r="C6069" s="90" t="str">
        <f>VLOOKUP(B6069,'All Districts'!$A$3:$B$874,2,FALSE)</f>
        <v>Spencerport</v>
      </c>
      <c r="D6069" s="75">
        <v>2765681</v>
      </c>
      <c r="E6069">
        <f>VLOOKUP(C6069,'All Districts'!$B$3:$C$874,2,FALSE)</f>
        <v>3627780</v>
      </c>
      <c r="F6069" s="91">
        <f>COUNTIF($E$2:$E$7106,E6069)</f>
        <v>9</v>
      </c>
    </row>
    <row r="6070" spans="1:6" x14ac:dyDescent="0.2">
      <c r="A6070">
        <v>2022</v>
      </c>
      <c r="B6070" s="36">
        <v>2573</v>
      </c>
      <c r="C6070" s="90" t="str">
        <f>VLOOKUP(B6070,'All Districts'!$A$3:$B$874,2,FALSE)</f>
        <v>Spencerport</v>
      </c>
      <c r="D6070" s="82">
        <v>3013892</v>
      </c>
      <c r="E6070">
        <f>VLOOKUP(C6070,'All Districts'!$B$3:$C$874,2,FALSE)</f>
        <v>3627780</v>
      </c>
      <c r="F6070" s="91">
        <f>COUNTIF($E$2:$E$7106,E6070)</f>
        <v>9</v>
      </c>
    </row>
    <row r="6071" spans="1:6" x14ac:dyDescent="0.2">
      <c r="A6071">
        <v>2023</v>
      </c>
      <c r="B6071" s="36">
        <v>2573</v>
      </c>
      <c r="C6071" s="90" t="str">
        <f>VLOOKUP(B6071,'All Districts'!$A$3:$B$874,2,FALSE)</f>
        <v>Spencerport</v>
      </c>
      <c r="D6071" s="40">
        <v>3257033</v>
      </c>
      <c r="E6071">
        <f>VLOOKUP(C6071,'All Districts'!$B$3:$C$874,2,FALSE)</f>
        <v>3627780</v>
      </c>
      <c r="F6071" s="91">
        <f>COUNTIF($E$2:$E$7106,E6071)</f>
        <v>9</v>
      </c>
    </row>
    <row r="6072" spans="1:6" x14ac:dyDescent="0.2">
      <c r="A6072">
        <v>2015</v>
      </c>
      <c r="B6072" s="13">
        <v>5354</v>
      </c>
      <c r="C6072" s="90" t="str">
        <f>VLOOKUP(B6072,'All Districts'!$A$3:$B$874,2,FALSE)</f>
        <v>Springs</v>
      </c>
      <c r="D6072" s="14">
        <v>1334546</v>
      </c>
      <c r="E6072">
        <f>VLOOKUP(C6072,'All Districts'!$B$3:$C$874,2,FALSE)</f>
        <v>3627900</v>
      </c>
      <c r="F6072" s="91">
        <f>COUNTIF($E$2:$E$7106,E6072)</f>
        <v>9</v>
      </c>
    </row>
    <row r="6073" spans="1:6" x14ac:dyDescent="0.2">
      <c r="A6073">
        <v>2016</v>
      </c>
      <c r="B6073" s="13">
        <v>5354</v>
      </c>
      <c r="C6073" s="90" t="str">
        <f>VLOOKUP(B6073,'All Districts'!$A$3:$B$874,2,FALSE)</f>
        <v>Springs</v>
      </c>
      <c r="D6073" s="16">
        <v>1060017</v>
      </c>
      <c r="E6073">
        <f>VLOOKUP(C6073,'All Districts'!$B$3:$C$874,2,FALSE)</f>
        <v>3627900</v>
      </c>
      <c r="F6073" s="91">
        <f>COUNTIF($E$2:$E$7106,E6073)</f>
        <v>9</v>
      </c>
    </row>
    <row r="6074" spans="1:6" x14ac:dyDescent="0.2">
      <c r="A6074">
        <v>2017</v>
      </c>
      <c r="B6074" s="13">
        <v>5354</v>
      </c>
      <c r="C6074" s="90" t="str">
        <f>VLOOKUP(B6074,'All Districts'!$A$3:$B$874,2,FALSE)</f>
        <v>Springs</v>
      </c>
      <c r="D6074" s="16">
        <v>982760</v>
      </c>
      <c r="E6074">
        <f>VLOOKUP(C6074,'All Districts'!$B$3:$C$874,2,FALSE)</f>
        <v>3627900</v>
      </c>
      <c r="F6074" s="91">
        <f>COUNTIF($E$2:$E$7106,E6074)</f>
        <v>9</v>
      </c>
    </row>
    <row r="6075" spans="1:6" x14ac:dyDescent="0.2">
      <c r="A6075" s="10">
        <v>2018</v>
      </c>
      <c r="B6075" s="13">
        <v>5354</v>
      </c>
      <c r="C6075" s="90" t="str">
        <f>VLOOKUP(B6075,'All Districts'!$A$3:$B$874,2,FALSE)</f>
        <v>Springs</v>
      </c>
      <c r="D6075" s="15">
        <v>883657</v>
      </c>
      <c r="E6075">
        <f>VLOOKUP(C6075,'All Districts'!$B$3:$C$874,2,FALSE)</f>
        <v>3627900</v>
      </c>
      <c r="F6075" s="91">
        <f>COUNTIF($E$2:$E$7106,E6075)</f>
        <v>9</v>
      </c>
    </row>
    <row r="6076" spans="1:6" x14ac:dyDescent="0.2">
      <c r="A6076">
        <v>2019</v>
      </c>
      <c r="B6076" s="36">
        <v>5354</v>
      </c>
      <c r="C6076" s="90" t="str">
        <f>VLOOKUP(B6076,'All Districts'!$A$3:$B$874,2,FALSE)</f>
        <v>Springs</v>
      </c>
      <c r="D6076" s="40">
        <v>950674</v>
      </c>
      <c r="E6076">
        <f>VLOOKUP(C6076,'All Districts'!$B$3:$C$874,2,FALSE)</f>
        <v>3627900</v>
      </c>
      <c r="F6076" s="91">
        <f>COUNTIF($E$2:$E$7106,E6076)</f>
        <v>9</v>
      </c>
    </row>
    <row r="6077" spans="1:6" x14ac:dyDescent="0.2">
      <c r="A6077">
        <v>2020</v>
      </c>
      <c r="B6077" s="36">
        <v>5354</v>
      </c>
      <c r="C6077" s="90" t="str">
        <f>VLOOKUP(B6077,'All Districts'!$A$3:$B$874,2,FALSE)</f>
        <v>Springs</v>
      </c>
      <c r="D6077" s="40">
        <v>805429</v>
      </c>
      <c r="E6077">
        <f>VLOOKUP(C6077,'All Districts'!$B$3:$C$874,2,FALSE)</f>
        <v>3627900</v>
      </c>
      <c r="F6077" s="91">
        <f>COUNTIF($E$2:$E$7106,E6077)</f>
        <v>9</v>
      </c>
    </row>
    <row r="6078" spans="1:6" x14ac:dyDescent="0.2">
      <c r="A6078" s="10">
        <v>2021</v>
      </c>
      <c r="B6078" s="52">
        <v>5354</v>
      </c>
      <c r="C6078" s="90" t="str">
        <f>VLOOKUP(B6078,'All Districts'!$A$3:$B$874,2,FALSE)</f>
        <v>Springs</v>
      </c>
      <c r="D6078" s="75">
        <v>888814</v>
      </c>
      <c r="E6078">
        <f>VLOOKUP(C6078,'All Districts'!$B$3:$C$874,2,FALSE)</f>
        <v>3627900</v>
      </c>
      <c r="F6078" s="91">
        <f>COUNTIF($E$2:$E$7106,E6078)</f>
        <v>9</v>
      </c>
    </row>
    <row r="6079" spans="1:6" x14ac:dyDescent="0.2">
      <c r="A6079">
        <v>2022</v>
      </c>
      <c r="B6079" s="36">
        <v>5354</v>
      </c>
      <c r="C6079" s="90" t="str">
        <f>VLOOKUP(B6079,'All Districts'!$A$3:$B$874,2,FALSE)</f>
        <v>Springs</v>
      </c>
      <c r="D6079" s="82">
        <v>917069</v>
      </c>
      <c r="E6079">
        <f>VLOOKUP(C6079,'All Districts'!$B$3:$C$874,2,FALSE)</f>
        <v>3627900</v>
      </c>
      <c r="F6079" s="91">
        <f>COUNTIF($E$2:$E$7106,E6079)</f>
        <v>9</v>
      </c>
    </row>
    <row r="6080" spans="1:6" x14ac:dyDescent="0.2">
      <c r="A6080">
        <v>2023</v>
      </c>
      <c r="B6080" s="36">
        <v>5354</v>
      </c>
      <c r="C6080" s="90" t="str">
        <f>VLOOKUP(B6080,'All Districts'!$A$3:$B$874,2,FALSE)</f>
        <v>Springs</v>
      </c>
      <c r="D6080" s="40">
        <v>972911</v>
      </c>
      <c r="E6080">
        <f>VLOOKUP(C6080,'All Districts'!$B$3:$C$874,2,FALSE)</f>
        <v>3627900</v>
      </c>
      <c r="F6080" s="91">
        <f>COUNTIF($E$2:$E$7106,E6080)</f>
        <v>9</v>
      </c>
    </row>
    <row r="6081" spans="1:6" x14ac:dyDescent="0.2">
      <c r="A6081">
        <v>2015</v>
      </c>
      <c r="B6081" s="13">
        <v>2206</v>
      </c>
      <c r="C6081" s="90" t="str">
        <f>VLOOKUP(B6081,'All Districts'!$A$3:$B$874,2,FALSE)</f>
        <v>Springville-Griffith Institute</v>
      </c>
      <c r="D6081" s="14">
        <v>2151782</v>
      </c>
      <c r="E6081">
        <f>VLOOKUP(C6081,'All Districts'!$B$3:$C$874,2,FALSE)</f>
        <v>3612990</v>
      </c>
      <c r="F6081" s="91">
        <f>COUNTIF($E$2:$E$7106,E6081)</f>
        <v>9</v>
      </c>
    </row>
    <row r="6082" spans="1:6" x14ac:dyDescent="0.2">
      <c r="A6082">
        <v>2016</v>
      </c>
      <c r="B6082" s="13">
        <v>2206</v>
      </c>
      <c r="C6082" s="90" t="str">
        <f>VLOOKUP(B6082,'All Districts'!$A$3:$B$874,2,FALSE)</f>
        <v>Springville-Griffith Institute</v>
      </c>
      <c r="D6082" s="16">
        <v>1630095</v>
      </c>
      <c r="E6082">
        <f>VLOOKUP(C6082,'All Districts'!$B$3:$C$874,2,FALSE)</f>
        <v>3612990</v>
      </c>
      <c r="F6082" s="91">
        <f>COUNTIF($E$2:$E$7106,E6082)</f>
        <v>9</v>
      </c>
    </row>
    <row r="6083" spans="1:6" x14ac:dyDescent="0.2">
      <c r="A6083">
        <v>2017</v>
      </c>
      <c r="B6083" s="13">
        <v>2206</v>
      </c>
      <c r="C6083" s="90" t="str">
        <f>VLOOKUP(B6083,'All Districts'!$A$3:$B$874,2,FALSE)</f>
        <v>Springville-Griffith Institute</v>
      </c>
      <c r="D6083" s="16">
        <v>1497572</v>
      </c>
      <c r="E6083">
        <f>VLOOKUP(C6083,'All Districts'!$B$3:$C$874,2,FALSE)</f>
        <v>3612990</v>
      </c>
      <c r="F6083" s="91">
        <f>COUNTIF($E$2:$E$7106,E6083)</f>
        <v>9</v>
      </c>
    </row>
    <row r="6084" spans="1:6" x14ac:dyDescent="0.2">
      <c r="A6084" s="10">
        <v>2018</v>
      </c>
      <c r="B6084" s="13">
        <v>2206</v>
      </c>
      <c r="C6084" s="90" t="str">
        <f>VLOOKUP(B6084,'All Districts'!$A$3:$B$874,2,FALSE)</f>
        <v>Springville-Griffith Institute</v>
      </c>
      <c r="D6084" s="15">
        <v>1295523</v>
      </c>
      <c r="E6084">
        <f>VLOOKUP(C6084,'All Districts'!$B$3:$C$874,2,FALSE)</f>
        <v>3612990</v>
      </c>
      <c r="F6084" s="91">
        <f>COUNTIF($E$2:$E$7106,E6084)</f>
        <v>9</v>
      </c>
    </row>
    <row r="6085" spans="1:6" x14ac:dyDescent="0.2">
      <c r="A6085">
        <v>2019</v>
      </c>
      <c r="B6085" s="36">
        <v>2206</v>
      </c>
      <c r="C6085" s="90" t="str">
        <f>VLOOKUP(B6085,'All Districts'!$A$3:$B$874,2,FALSE)</f>
        <v>Springville-Griffith Institute</v>
      </c>
      <c r="D6085" s="40">
        <v>1454604</v>
      </c>
      <c r="E6085">
        <f>VLOOKUP(C6085,'All Districts'!$B$3:$C$874,2,FALSE)</f>
        <v>3612990</v>
      </c>
      <c r="F6085" s="91">
        <f>COUNTIF($E$2:$E$7106,E6085)</f>
        <v>9</v>
      </c>
    </row>
    <row r="6086" spans="1:6" x14ac:dyDescent="0.2">
      <c r="A6086">
        <v>2020</v>
      </c>
      <c r="B6086" s="36">
        <v>2206</v>
      </c>
      <c r="C6086" s="90" t="str">
        <f>VLOOKUP(B6086,'All Districts'!$A$3:$B$874,2,FALSE)</f>
        <v>Springville-Griffith Institute</v>
      </c>
      <c r="D6086" s="40">
        <v>1216776</v>
      </c>
      <c r="E6086">
        <f>VLOOKUP(C6086,'All Districts'!$B$3:$C$874,2,FALSE)</f>
        <v>3612990</v>
      </c>
      <c r="F6086" s="91">
        <f>COUNTIF($E$2:$E$7106,E6086)</f>
        <v>9</v>
      </c>
    </row>
    <row r="6087" spans="1:6" x14ac:dyDescent="0.2">
      <c r="A6087" s="10">
        <v>2021</v>
      </c>
      <c r="B6087" s="52">
        <v>2206</v>
      </c>
      <c r="C6087" s="90" t="str">
        <f>VLOOKUP(B6087,'All Districts'!$A$3:$B$874,2,FALSE)</f>
        <v>Springville-Griffith Institute</v>
      </c>
      <c r="D6087" s="76">
        <v>1330140</v>
      </c>
      <c r="E6087">
        <f>VLOOKUP(C6087,'All Districts'!$B$3:$C$874,2,FALSE)</f>
        <v>3612990</v>
      </c>
      <c r="F6087" s="91">
        <f>COUNTIF($E$2:$E$7106,E6087)</f>
        <v>9</v>
      </c>
    </row>
    <row r="6088" spans="1:6" x14ac:dyDescent="0.2">
      <c r="A6088">
        <v>2022</v>
      </c>
      <c r="B6088" s="36">
        <v>2206</v>
      </c>
      <c r="C6088" s="90" t="str">
        <f>VLOOKUP(B6088,'All Districts'!$A$3:$B$874,2,FALSE)</f>
        <v>Springville-Griffith Institute</v>
      </c>
      <c r="D6088" s="82">
        <v>1464213</v>
      </c>
      <c r="E6088">
        <f>VLOOKUP(C6088,'All Districts'!$B$3:$C$874,2,FALSE)</f>
        <v>3612990</v>
      </c>
      <c r="F6088" s="91">
        <f>COUNTIF($E$2:$E$7106,E6088)</f>
        <v>9</v>
      </c>
    </row>
    <row r="6089" spans="1:6" x14ac:dyDescent="0.2">
      <c r="A6089">
        <v>2023</v>
      </c>
      <c r="B6089" s="36">
        <v>2206</v>
      </c>
      <c r="C6089" s="90" t="str">
        <f>VLOOKUP(B6089,'All Districts'!$A$3:$B$874,2,FALSE)</f>
        <v>Springville-Griffith Institute</v>
      </c>
      <c r="D6089" s="40">
        <v>1611648</v>
      </c>
      <c r="E6089">
        <f>VLOOKUP(C6089,'All Districts'!$B$3:$C$874,2,FALSE)</f>
        <v>3612990</v>
      </c>
      <c r="F6089" s="91">
        <f>COUNTIF($E$2:$E$7106,E6089)</f>
        <v>9</v>
      </c>
    </row>
    <row r="6090" spans="1:6" x14ac:dyDescent="0.2">
      <c r="A6090">
        <v>2015</v>
      </c>
      <c r="B6090" s="13">
        <v>6079</v>
      </c>
      <c r="C6090" s="90" t="str">
        <f>VLOOKUP(B6090,'All Districts'!$A$3:$B$874,2,FALSE)</f>
        <v>St Lawrence-Lewis</v>
      </c>
      <c r="D6090" s="15">
        <v>3177819</v>
      </c>
      <c r="E6090">
        <f>VLOOKUP(C6090,'All Districts'!$B$3:$C$874,2,FALSE)</f>
        <v>3680740</v>
      </c>
      <c r="F6090" s="91">
        <f>COUNTIF($E$2:$E$7106,E6090)</f>
        <v>9</v>
      </c>
    </row>
    <row r="6091" spans="1:6" x14ac:dyDescent="0.2">
      <c r="A6091">
        <v>2016</v>
      </c>
      <c r="B6091" s="13">
        <v>6079</v>
      </c>
      <c r="C6091" s="90" t="str">
        <f>VLOOKUP(B6091,'All Districts'!$A$3:$B$874,2,FALSE)</f>
        <v>St Lawrence-Lewis</v>
      </c>
      <c r="D6091" s="16">
        <v>2481242</v>
      </c>
      <c r="E6091">
        <f>VLOOKUP(C6091,'All Districts'!$B$3:$C$874,2,FALSE)</f>
        <v>3680740</v>
      </c>
      <c r="F6091" s="91">
        <f>COUNTIF($E$2:$E$7106,E6091)</f>
        <v>9</v>
      </c>
    </row>
    <row r="6092" spans="1:6" x14ac:dyDescent="0.2">
      <c r="A6092">
        <v>2017</v>
      </c>
      <c r="B6092" s="13">
        <v>6079</v>
      </c>
      <c r="C6092" s="90" t="str">
        <f>VLOOKUP(B6092,'All Districts'!$A$3:$B$874,2,FALSE)</f>
        <v>St Lawrence-Lewis</v>
      </c>
      <c r="D6092" s="16">
        <v>2226686</v>
      </c>
      <c r="E6092">
        <f>VLOOKUP(C6092,'All Districts'!$B$3:$C$874,2,FALSE)</f>
        <v>3680740</v>
      </c>
      <c r="F6092" s="91">
        <f>COUNTIF($E$2:$E$7106,E6092)</f>
        <v>9</v>
      </c>
    </row>
    <row r="6093" spans="1:6" x14ac:dyDescent="0.2">
      <c r="A6093" s="10">
        <v>2018</v>
      </c>
      <c r="B6093" s="13">
        <v>6079</v>
      </c>
      <c r="C6093" s="90" t="str">
        <f>VLOOKUP(B6093,'All Districts'!$A$3:$B$874,2,FALSE)</f>
        <v>St Lawrence-Lewis</v>
      </c>
      <c r="D6093" s="15">
        <v>1901178</v>
      </c>
      <c r="E6093">
        <f>VLOOKUP(C6093,'All Districts'!$B$3:$C$874,2,FALSE)</f>
        <v>3680740</v>
      </c>
      <c r="F6093" s="91">
        <f>COUNTIF($E$2:$E$7106,E6093)</f>
        <v>9</v>
      </c>
    </row>
    <row r="6094" spans="1:6" x14ac:dyDescent="0.2">
      <c r="A6094">
        <v>2019</v>
      </c>
      <c r="B6094" s="36">
        <v>6079</v>
      </c>
      <c r="C6094" s="90" t="str">
        <f>VLOOKUP(B6094,'All Districts'!$A$3:$B$874,2,FALSE)</f>
        <v>St Lawrence-Lewis</v>
      </c>
      <c r="D6094" s="40">
        <v>2043352</v>
      </c>
      <c r="E6094">
        <f>VLOOKUP(C6094,'All Districts'!$B$3:$C$874,2,FALSE)</f>
        <v>3680740</v>
      </c>
      <c r="F6094" s="91">
        <f>COUNTIF($E$2:$E$7106,E6094)</f>
        <v>9</v>
      </c>
    </row>
    <row r="6095" spans="1:6" x14ac:dyDescent="0.2">
      <c r="A6095">
        <v>2020</v>
      </c>
      <c r="B6095" s="36">
        <v>6079</v>
      </c>
      <c r="C6095" s="90" t="str">
        <f>VLOOKUP(B6095,'All Districts'!$A$3:$B$874,2,FALSE)</f>
        <v>St Lawrence-Lewis</v>
      </c>
      <c r="D6095" s="40">
        <v>1748103</v>
      </c>
      <c r="E6095">
        <f>VLOOKUP(C6095,'All Districts'!$B$3:$C$874,2,FALSE)</f>
        <v>3680740</v>
      </c>
      <c r="F6095" s="91">
        <f>COUNTIF($E$2:$E$7106,E6095)</f>
        <v>9</v>
      </c>
    </row>
    <row r="6096" spans="1:6" x14ac:dyDescent="0.2">
      <c r="A6096" s="10">
        <v>2021</v>
      </c>
      <c r="B6096" s="55">
        <v>6079</v>
      </c>
      <c r="C6096" s="90" t="str">
        <f>VLOOKUP(B6096,'All Districts'!$A$3:$B$874,2,FALSE)</f>
        <v>St Lawrence-Lewis</v>
      </c>
      <c r="D6096" s="76">
        <v>1678096</v>
      </c>
      <c r="E6096">
        <f>VLOOKUP(C6096,'All Districts'!$B$3:$C$874,2,FALSE)</f>
        <v>3680740</v>
      </c>
      <c r="F6096" s="91">
        <f>COUNTIF($E$2:$E$7106,E6096)</f>
        <v>9</v>
      </c>
    </row>
    <row r="6097" spans="1:6" x14ac:dyDescent="0.2">
      <c r="A6097">
        <v>2022</v>
      </c>
      <c r="B6097" s="36">
        <v>6079</v>
      </c>
      <c r="C6097" s="90" t="str">
        <f>VLOOKUP(B6097,'All Districts'!$A$3:$B$874,2,FALSE)</f>
        <v>St Lawrence-Lewis</v>
      </c>
      <c r="D6097" s="82">
        <v>1674908</v>
      </c>
      <c r="E6097">
        <f>VLOOKUP(C6097,'All Districts'!$B$3:$C$874,2,FALSE)</f>
        <v>3680740</v>
      </c>
      <c r="F6097" s="91">
        <f>COUNTIF($E$2:$E$7106,E6097)</f>
        <v>9</v>
      </c>
    </row>
    <row r="6098" spans="1:6" x14ac:dyDescent="0.2">
      <c r="A6098">
        <v>2023</v>
      </c>
      <c r="B6098" s="36">
        <v>6079</v>
      </c>
      <c r="C6098" s="90" t="str">
        <f>VLOOKUP(B6098,'All Districts'!$A$3:$B$874,2,FALSE)</f>
        <v>St Lawrence-Lewis</v>
      </c>
      <c r="D6098" s="40">
        <v>1759725</v>
      </c>
      <c r="E6098">
        <f>VLOOKUP(C6098,'All Districts'!$B$3:$C$874,2,FALSE)</f>
        <v>3680740</v>
      </c>
      <c r="F6098" s="91">
        <f>COUNTIF($E$2:$E$7106,E6098)</f>
        <v>9</v>
      </c>
    </row>
    <row r="6099" spans="1:6" x14ac:dyDescent="0.2">
      <c r="A6099">
        <v>2015</v>
      </c>
      <c r="B6099" s="13">
        <v>3822</v>
      </c>
      <c r="C6099" s="90" t="str">
        <f>VLOOKUP(B6099,'All Districts'!$A$3:$B$874,2,FALSE)</f>
        <v>St Regis Falls</v>
      </c>
      <c r="D6099" s="14">
        <v>296427</v>
      </c>
      <c r="E6099">
        <f>VLOOKUP(C6099,'All Districts'!$B$3:$C$874,2,FALSE)</f>
        <v>3627990</v>
      </c>
      <c r="F6099" s="91">
        <f>COUNTIF($E$2:$E$7106,E6099)</f>
        <v>9</v>
      </c>
    </row>
    <row r="6100" spans="1:6" x14ac:dyDescent="0.2">
      <c r="A6100">
        <v>2016</v>
      </c>
      <c r="B6100" s="13">
        <v>3822</v>
      </c>
      <c r="C6100" s="90" t="str">
        <f>VLOOKUP(B6100,'All Districts'!$A$3:$B$874,2,FALSE)</f>
        <v>St Regis Falls</v>
      </c>
      <c r="D6100" s="16">
        <v>237380</v>
      </c>
      <c r="E6100">
        <f>VLOOKUP(C6100,'All Districts'!$B$3:$C$874,2,FALSE)</f>
        <v>3627990</v>
      </c>
      <c r="F6100" s="91">
        <f>COUNTIF($E$2:$E$7106,E6100)</f>
        <v>9</v>
      </c>
    </row>
    <row r="6101" spans="1:6" x14ac:dyDescent="0.2">
      <c r="A6101">
        <v>2017</v>
      </c>
      <c r="B6101" s="13">
        <v>3822</v>
      </c>
      <c r="C6101" s="90" t="str">
        <f>VLOOKUP(B6101,'All Districts'!$A$3:$B$874,2,FALSE)</f>
        <v>St Regis Falls</v>
      </c>
      <c r="D6101" s="16">
        <v>233507</v>
      </c>
      <c r="E6101">
        <f>VLOOKUP(C6101,'All Districts'!$B$3:$C$874,2,FALSE)</f>
        <v>3627990</v>
      </c>
      <c r="F6101" s="91">
        <f>COUNTIF($E$2:$E$7106,E6101)</f>
        <v>9</v>
      </c>
    </row>
    <row r="6102" spans="1:6" x14ac:dyDescent="0.2">
      <c r="A6102" s="10">
        <v>2018</v>
      </c>
      <c r="B6102" s="13">
        <v>3822</v>
      </c>
      <c r="C6102" s="90" t="str">
        <f>VLOOKUP(B6102,'All Districts'!$A$3:$B$874,2,FALSE)</f>
        <v>St Regis Falls</v>
      </c>
      <c r="D6102" s="15">
        <v>216112</v>
      </c>
      <c r="E6102">
        <f>VLOOKUP(C6102,'All Districts'!$B$3:$C$874,2,FALSE)</f>
        <v>3627990</v>
      </c>
      <c r="F6102" s="91">
        <f>COUNTIF($E$2:$E$7106,E6102)</f>
        <v>9</v>
      </c>
    </row>
    <row r="6103" spans="1:6" x14ac:dyDescent="0.2">
      <c r="A6103">
        <v>2019</v>
      </c>
      <c r="B6103" s="36">
        <v>3822</v>
      </c>
      <c r="C6103" s="90" t="str">
        <f>VLOOKUP(B6103,'All Districts'!$A$3:$B$874,2,FALSE)</f>
        <v>St Regis Falls</v>
      </c>
      <c r="D6103" s="40">
        <v>245366</v>
      </c>
      <c r="E6103">
        <f>VLOOKUP(C6103,'All Districts'!$B$3:$C$874,2,FALSE)</f>
        <v>3627990</v>
      </c>
      <c r="F6103" s="91">
        <f>COUNTIF($E$2:$E$7106,E6103)</f>
        <v>9</v>
      </c>
    </row>
    <row r="6104" spans="1:6" x14ac:dyDescent="0.2">
      <c r="A6104">
        <v>2020</v>
      </c>
      <c r="B6104" s="36">
        <v>3822</v>
      </c>
      <c r="C6104" s="90" t="str">
        <f>VLOOKUP(B6104,'All Districts'!$A$3:$B$874,2,FALSE)</f>
        <v>St Regis Falls</v>
      </c>
      <c r="D6104" s="40">
        <v>230602</v>
      </c>
      <c r="E6104">
        <f>VLOOKUP(C6104,'All Districts'!$B$3:$C$874,2,FALSE)</f>
        <v>3627990</v>
      </c>
      <c r="F6104" s="91">
        <f>COUNTIF($E$2:$E$7106,E6104)</f>
        <v>9</v>
      </c>
    </row>
    <row r="6105" spans="1:6" x14ac:dyDescent="0.2">
      <c r="A6105" s="10">
        <v>2021</v>
      </c>
      <c r="B6105" s="52">
        <v>3822</v>
      </c>
      <c r="C6105" s="90" t="str">
        <f>VLOOKUP(B6105,'All Districts'!$A$3:$B$874,2,FALSE)</f>
        <v>St Regis Falls</v>
      </c>
      <c r="D6105" s="76">
        <v>239793</v>
      </c>
      <c r="E6105">
        <f>VLOOKUP(C6105,'All Districts'!$B$3:$C$874,2,FALSE)</f>
        <v>3627990</v>
      </c>
      <c r="F6105" s="91">
        <f>COUNTIF($E$2:$E$7106,E6105)</f>
        <v>9</v>
      </c>
    </row>
    <row r="6106" spans="1:6" x14ac:dyDescent="0.2">
      <c r="A6106">
        <v>2022</v>
      </c>
      <c r="B6106" s="36">
        <v>3822</v>
      </c>
      <c r="C6106" s="90" t="str">
        <f>VLOOKUP(B6106,'All Districts'!$A$3:$B$874,2,FALSE)</f>
        <v>St Regis Falls</v>
      </c>
      <c r="D6106" s="82">
        <v>250510</v>
      </c>
      <c r="E6106">
        <f>VLOOKUP(C6106,'All Districts'!$B$3:$C$874,2,FALSE)</f>
        <v>3627990</v>
      </c>
      <c r="F6106" s="91">
        <f>COUNTIF($E$2:$E$7106,E6106)</f>
        <v>9</v>
      </c>
    </row>
    <row r="6107" spans="1:6" x14ac:dyDescent="0.2">
      <c r="A6107">
        <v>2023</v>
      </c>
      <c r="B6107" s="36">
        <v>3822</v>
      </c>
      <c r="C6107" s="90" t="str">
        <f>VLOOKUP(B6107,'All Districts'!$A$3:$B$874,2,FALSE)</f>
        <v>St Regis Falls</v>
      </c>
      <c r="D6107" s="40">
        <v>268010</v>
      </c>
      <c r="E6107">
        <f>VLOOKUP(C6107,'All Districts'!$B$3:$C$874,2,FALSE)</f>
        <v>3627990</v>
      </c>
      <c r="F6107" s="91">
        <f>COUNTIF($E$2:$E$7106,E6107)</f>
        <v>9</v>
      </c>
    </row>
    <row r="6108" spans="1:6" x14ac:dyDescent="0.2">
      <c r="A6108">
        <v>2015</v>
      </c>
      <c r="B6108" s="13">
        <v>3987</v>
      </c>
      <c r="C6108" s="90" t="str">
        <f>VLOOKUP(B6108,'All Districts'!$A$3:$B$874,2,FALSE)</f>
        <v>Stamford</v>
      </c>
      <c r="D6108" s="14">
        <v>360289</v>
      </c>
      <c r="E6108">
        <f>VLOOKUP(C6108,'All Districts'!$B$3:$C$874,2,FALSE)</f>
        <v>3628020</v>
      </c>
      <c r="F6108" s="91">
        <f>COUNTIF($E$2:$E$7106,E6108)</f>
        <v>9</v>
      </c>
    </row>
    <row r="6109" spans="1:6" x14ac:dyDescent="0.2">
      <c r="A6109">
        <v>2016</v>
      </c>
      <c r="B6109" s="13">
        <v>3987</v>
      </c>
      <c r="C6109" s="90" t="str">
        <f>VLOOKUP(B6109,'All Districts'!$A$3:$B$874,2,FALSE)</f>
        <v>Stamford</v>
      </c>
      <c r="D6109" s="16">
        <v>299935</v>
      </c>
      <c r="E6109">
        <f>VLOOKUP(C6109,'All Districts'!$B$3:$C$874,2,FALSE)</f>
        <v>3628020</v>
      </c>
      <c r="F6109" s="91">
        <f>COUNTIF($E$2:$E$7106,E6109)</f>
        <v>9</v>
      </c>
    </row>
    <row r="6110" spans="1:6" x14ac:dyDescent="0.2">
      <c r="A6110">
        <v>2017</v>
      </c>
      <c r="B6110" s="13">
        <v>3987</v>
      </c>
      <c r="C6110" s="90" t="str">
        <f>VLOOKUP(B6110,'All Districts'!$A$3:$B$874,2,FALSE)</f>
        <v>Stamford</v>
      </c>
      <c r="D6110" s="16">
        <v>274861</v>
      </c>
      <c r="E6110">
        <f>VLOOKUP(C6110,'All Districts'!$B$3:$C$874,2,FALSE)</f>
        <v>3628020</v>
      </c>
      <c r="F6110" s="91">
        <f>COUNTIF($E$2:$E$7106,E6110)</f>
        <v>9</v>
      </c>
    </row>
    <row r="6111" spans="1:6" x14ac:dyDescent="0.2">
      <c r="A6111" s="10">
        <v>2018</v>
      </c>
      <c r="B6111" s="13">
        <v>3987</v>
      </c>
      <c r="C6111" s="90" t="str">
        <f>VLOOKUP(B6111,'All Districts'!$A$3:$B$874,2,FALSE)</f>
        <v>Stamford</v>
      </c>
      <c r="D6111" s="15">
        <v>208709</v>
      </c>
      <c r="E6111">
        <f>VLOOKUP(C6111,'All Districts'!$B$3:$C$874,2,FALSE)</f>
        <v>3628020</v>
      </c>
      <c r="F6111" s="91">
        <f>COUNTIF($E$2:$E$7106,E6111)</f>
        <v>9</v>
      </c>
    </row>
    <row r="6112" spans="1:6" x14ac:dyDescent="0.2">
      <c r="A6112">
        <v>2019</v>
      </c>
      <c r="B6112" s="36">
        <v>3987</v>
      </c>
      <c r="C6112" s="90" t="str">
        <f>VLOOKUP(B6112,'All Districts'!$A$3:$B$874,2,FALSE)</f>
        <v>Stamford</v>
      </c>
      <c r="D6112" s="40">
        <v>234204</v>
      </c>
      <c r="E6112">
        <f>VLOOKUP(C6112,'All Districts'!$B$3:$C$874,2,FALSE)</f>
        <v>3628020</v>
      </c>
      <c r="F6112" s="91">
        <f>COUNTIF($E$2:$E$7106,E6112)</f>
        <v>9</v>
      </c>
    </row>
    <row r="6113" spans="1:6" x14ac:dyDescent="0.2">
      <c r="A6113">
        <v>2020</v>
      </c>
      <c r="B6113" s="36">
        <v>3987</v>
      </c>
      <c r="C6113" s="90" t="str">
        <f>VLOOKUP(B6113,'All Districts'!$A$3:$B$874,2,FALSE)</f>
        <v>Stamford</v>
      </c>
      <c r="D6113" s="40">
        <v>202212</v>
      </c>
      <c r="E6113">
        <f>VLOOKUP(C6113,'All Districts'!$B$3:$C$874,2,FALSE)</f>
        <v>3628020</v>
      </c>
      <c r="F6113" s="91">
        <f>COUNTIF($E$2:$E$7106,E6113)</f>
        <v>9</v>
      </c>
    </row>
    <row r="6114" spans="1:6" x14ac:dyDescent="0.2">
      <c r="A6114" s="10">
        <v>2021</v>
      </c>
      <c r="B6114" s="55">
        <v>3987</v>
      </c>
      <c r="C6114" s="90" t="str">
        <f>VLOOKUP(B6114,'All Districts'!$A$3:$B$874,2,FALSE)</f>
        <v>Stamford</v>
      </c>
      <c r="D6114" s="75">
        <v>205819</v>
      </c>
      <c r="E6114">
        <f>VLOOKUP(C6114,'All Districts'!$B$3:$C$874,2,FALSE)</f>
        <v>3628020</v>
      </c>
      <c r="F6114" s="91">
        <f>COUNTIF($E$2:$E$7106,E6114)</f>
        <v>9</v>
      </c>
    </row>
    <row r="6115" spans="1:6" x14ac:dyDescent="0.2">
      <c r="A6115">
        <v>2022</v>
      </c>
      <c r="B6115" s="36">
        <v>3987</v>
      </c>
      <c r="C6115" s="90" t="str">
        <f>VLOOKUP(B6115,'All Districts'!$A$3:$B$874,2,FALSE)</f>
        <v>Stamford</v>
      </c>
      <c r="D6115" s="82">
        <v>218395</v>
      </c>
      <c r="E6115">
        <f>VLOOKUP(C6115,'All Districts'!$B$3:$C$874,2,FALSE)</f>
        <v>3628020</v>
      </c>
      <c r="F6115" s="91">
        <f>COUNTIF($E$2:$E$7106,E6115)</f>
        <v>9</v>
      </c>
    </row>
    <row r="6116" spans="1:6" x14ac:dyDescent="0.2">
      <c r="A6116">
        <v>2023</v>
      </c>
      <c r="B6116" s="36">
        <v>3987</v>
      </c>
      <c r="C6116" s="90" t="str">
        <f>VLOOKUP(B6116,'All Districts'!$A$3:$B$874,2,FALSE)</f>
        <v>Stamford</v>
      </c>
      <c r="D6116" s="40">
        <v>244497</v>
      </c>
      <c r="E6116">
        <f>VLOOKUP(C6116,'All Districts'!$B$3:$C$874,2,FALSE)</f>
        <v>3628020</v>
      </c>
      <c r="F6116" s="91">
        <f>COUNTIF($E$2:$E$7106,E6116)</f>
        <v>9</v>
      </c>
    </row>
    <row r="6117" spans="1:6" x14ac:dyDescent="0.2">
      <c r="A6117">
        <v>2015</v>
      </c>
      <c r="B6117" s="13">
        <v>2576</v>
      </c>
      <c r="C6117" s="90" t="str">
        <f>VLOOKUP(B6117,'All Districts'!$A$3:$B$874,2,FALSE)</f>
        <v>Starpoint</v>
      </c>
      <c r="D6117" s="14">
        <v>3009195</v>
      </c>
      <c r="E6117">
        <f>VLOOKUP(C6117,'All Districts'!$B$3:$C$874,2,FALSE)</f>
        <v>3628050</v>
      </c>
      <c r="F6117" s="91">
        <f>COUNTIF($E$2:$E$7106,E6117)</f>
        <v>9</v>
      </c>
    </row>
    <row r="6118" spans="1:6" x14ac:dyDescent="0.2">
      <c r="A6118">
        <v>2016</v>
      </c>
      <c r="B6118" s="13">
        <v>2576</v>
      </c>
      <c r="C6118" s="90" t="str">
        <f>VLOOKUP(B6118,'All Districts'!$A$3:$B$874,2,FALSE)</f>
        <v>Starpoint</v>
      </c>
      <c r="D6118" s="16">
        <v>2366989</v>
      </c>
      <c r="E6118">
        <f>VLOOKUP(C6118,'All Districts'!$B$3:$C$874,2,FALSE)</f>
        <v>3628050</v>
      </c>
      <c r="F6118" s="91">
        <f>COUNTIF($E$2:$E$7106,E6118)</f>
        <v>9</v>
      </c>
    </row>
    <row r="6119" spans="1:6" x14ac:dyDescent="0.2">
      <c r="A6119">
        <v>2017</v>
      </c>
      <c r="B6119" s="13">
        <v>2576</v>
      </c>
      <c r="C6119" s="90" t="str">
        <f>VLOOKUP(B6119,'All Districts'!$A$3:$B$874,2,FALSE)</f>
        <v>Starpoint</v>
      </c>
      <c r="D6119" s="16">
        <v>2205952</v>
      </c>
      <c r="E6119">
        <f>VLOOKUP(C6119,'All Districts'!$B$3:$C$874,2,FALSE)</f>
        <v>3628050</v>
      </c>
      <c r="F6119" s="91">
        <f>COUNTIF($E$2:$E$7106,E6119)</f>
        <v>9</v>
      </c>
    </row>
    <row r="6120" spans="1:6" x14ac:dyDescent="0.2">
      <c r="A6120" s="10">
        <v>2018</v>
      </c>
      <c r="B6120" s="13">
        <v>2576</v>
      </c>
      <c r="C6120" s="90" t="str">
        <f>VLOOKUP(B6120,'All Districts'!$A$3:$B$874,2,FALSE)</f>
        <v>Starpoint</v>
      </c>
      <c r="D6120" s="15">
        <v>1915547</v>
      </c>
      <c r="E6120">
        <f>VLOOKUP(C6120,'All Districts'!$B$3:$C$874,2,FALSE)</f>
        <v>3628050</v>
      </c>
      <c r="F6120" s="91">
        <f>COUNTIF($E$2:$E$7106,E6120)</f>
        <v>9</v>
      </c>
    </row>
    <row r="6121" spans="1:6" x14ac:dyDescent="0.2">
      <c r="A6121">
        <v>2019</v>
      </c>
      <c r="B6121" s="36">
        <v>2576</v>
      </c>
      <c r="C6121" s="90" t="str">
        <f>VLOOKUP(B6121,'All Districts'!$A$3:$B$874,2,FALSE)</f>
        <v>Starpoint</v>
      </c>
      <c r="D6121" s="40">
        <v>2126154</v>
      </c>
      <c r="E6121">
        <f>VLOOKUP(C6121,'All Districts'!$B$3:$C$874,2,FALSE)</f>
        <v>3628050</v>
      </c>
      <c r="F6121" s="91">
        <f>COUNTIF($E$2:$E$7106,E6121)</f>
        <v>9</v>
      </c>
    </row>
    <row r="6122" spans="1:6" x14ac:dyDescent="0.2">
      <c r="A6122">
        <v>2020</v>
      </c>
      <c r="B6122" s="36">
        <v>2576</v>
      </c>
      <c r="C6122" s="90" t="str">
        <f>VLOOKUP(B6122,'All Districts'!$A$3:$B$874,2,FALSE)</f>
        <v>Starpoint</v>
      </c>
      <c r="D6122" s="40">
        <v>1803503</v>
      </c>
      <c r="E6122">
        <f>VLOOKUP(C6122,'All Districts'!$B$3:$C$874,2,FALSE)</f>
        <v>3628050</v>
      </c>
      <c r="F6122" s="91">
        <f>COUNTIF($E$2:$E$7106,E6122)</f>
        <v>9</v>
      </c>
    </row>
    <row r="6123" spans="1:6" x14ac:dyDescent="0.2">
      <c r="A6123" s="10">
        <v>2021</v>
      </c>
      <c r="B6123" s="52">
        <v>2576</v>
      </c>
      <c r="C6123" s="90" t="str">
        <f>VLOOKUP(B6123,'All Districts'!$A$3:$B$874,2,FALSE)</f>
        <v>Starpoint</v>
      </c>
      <c r="D6123" s="76">
        <v>1968221</v>
      </c>
      <c r="E6123">
        <f>VLOOKUP(C6123,'All Districts'!$B$3:$C$874,2,FALSE)</f>
        <v>3628050</v>
      </c>
      <c r="F6123" s="91">
        <f>COUNTIF($E$2:$E$7106,E6123)</f>
        <v>9</v>
      </c>
    </row>
    <row r="6124" spans="1:6" x14ac:dyDescent="0.2">
      <c r="A6124">
        <v>2022</v>
      </c>
      <c r="B6124" s="36">
        <v>2576</v>
      </c>
      <c r="C6124" s="90" t="str">
        <f>VLOOKUP(B6124,'All Districts'!$A$3:$B$874,2,FALSE)</f>
        <v>Starpoint</v>
      </c>
      <c r="D6124" s="82">
        <v>2162375</v>
      </c>
      <c r="E6124">
        <f>VLOOKUP(C6124,'All Districts'!$B$3:$C$874,2,FALSE)</f>
        <v>3628050</v>
      </c>
      <c r="F6124" s="91">
        <f>COUNTIF($E$2:$E$7106,E6124)</f>
        <v>9</v>
      </c>
    </row>
    <row r="6125" spans="1:6" x14ac:dyDescent="0.2">
      <c r="A6125">
        <v>2023</v>
      </c>
      <c r="B6125" s="36">
        <v>2576</v>
      </c>
      <c r="C6125" s="90" t="str">
        <f>VLOOKUP(B6125,'All Districts'!$A$3:$B$874,2,FALSE)</f>
        <v>Starpoint</v>
      </c>
      <c r="D6125" s="40">
        <v>2376258</v>
      </c>
      <c r="E6125">
        <f>VLOOKUP(C6125,'All Districts'!$B$3:$C$874,2,FALSE)</f>
        <v>3628050</v>
      </c>
      <c r="F6125" s="91">
        <f>COUNTIF($E$2:$E$7106,E6125)</f>
        <v>9</v>
      </c>
    </row>
    <row r="6126" spans="1:6" x14ac:dyDescent="0.2">
      <c r="A6126">
        <v>2015</v>
      </c>
      <c r="B6126" s="13">
        <v>5107</v>
      </c>
      <c r="C6126" s="90" t="str">
        <f>VLOOKUP(B6126,'All Districts'!$A$3:$B$874,2,FALSE)</f>
        <v>Stillwater</v>
      </c>
      <c r="D6126" s="14">
        <v>1212113</v>
      </c>
      <c r="E6126">
        <f>VLOOKUP(C6126,'All Districts'!$B$3:$C$874,2,FALSE)</f>
        <v>3628110</v>
      </c>
      <c r="F6126" s="91">
        <f>COUNTIF($E$2:$E$7106,E6126)</f>
        <v>9</v>
      </c>
    </row>
    <row r="6127" spans="1:6" x14ac:dyDescent="0.2">
      <c r="A6127">
        <v>2016</v>
      </c>
      <c r="B6127" s="13">
        <v>5107</v>
      </c>
      <c r="C6127" s="90" t="str">
        <f>VLOOKUP(B6127,'All Districts'!$A$3:$B$874,2,FALSE)</f>
        <v>Stillwater</v>
      </c>
      <c r="D6127" s="16">
        <v>959396</v>
      </c>
      <c r="E6127">
        <f>VLOOKUP(C6127,'All Districts'!$B$3:$C$874,2,FALSE)</f>
        <v>3628110</v>
      </c>
      <c r="F6127" s="91">
        <f>COUNTIF($E$2:$E$7106,E6127)</f>
        <v>9</v>
      </c>
    </row>
    <row r="6128" spans="1:6" x14ac:dyDescent="0.2">
      <c r="A6128">
        <v>2017</v>
      </c>
      <c r="B6128" s="13">
        <v>5107</v>
      </c>
      <c r="C6128" s="90" t="str">
        <f>VLOOKUP(B6128,'All Districts'!$A$3:$B$874,2,FALSE)</f>
        <v>Stillwater</v>
      </c>
      <c r="D6128" s="16">
        <v>869747</v>
      </c>
      <c r="E6128">
        <f>VLOOKUP(C6128,'All Districts'!$B$3:$C$874,2,FALSE)</f>
        <v>3628110</v>
      </c>
      <c r="F6128" s="91">
        <f>COUNTIF($E$2:$E$7106,E6128)</f>
        <v>9</v>
      </c>
    </row>
    <row r="6129" spans="1:6" x14ac:dyDescent="0.2">
      <c r="A6129" s="10">
        <v>2018</v>
      </c>
      <c r="B6129" s="13">
        <v>5107</v>
      </c>
      <c r="C6129" s="90" t="str">
        <f>VLOOKUP(B6129,'All Districts'!$A$3:$B$874,2,FALSE)</f>
        <v>Stillwater</v>
      </c>
      <c r="D6129" s="15">
        <v>753367</v>
      </c>
      <c r="E6129">
        <f>VLOOKUP(C6129,'All Districts'!$B$3:$C$874,2,FALSE)</f>
        <v>3628110</v>
      </c>
      <c r="F6129" s="91">
        <f>COUNTIF($E$2:$E$7106,E6129)</f>
        <v>9</v>
      </c>
    </row>
    <row r="6130" spans="1:6" x14ac:dyDescent="0.2">
      <c r="A6130">
        <v>2019</v>
      </c>
      <c r="B6130" s="36">
        <v>5107</v>
      </c>
      <c r="C6130" s="90" t="str">
        <f>VLOOKUP(B6130,'All Districts'!$A$3:$B$874,2,FALSE)</f>
        <v>Stillwater</v>
      </c>
      <c r="D6130" s="40">
        <v>834094</v>
      </c>
      <c r="E6130">
        <f>VLOOKUP(C6130,'All Districts'!$B$3:$C$874,2,FALSE)</f>
        <v>3628110</v>
      </c>
      <c r="F6130" s="91">
        <f>COUNTIF($E$2:$E$7106,E6130)</f>
        <v>9</v>
      </c>
    </row>
    <row r="6131" spans="1:6" x14ac:dyDescent="0.2">
      <c r="A6131">
        <v>2020</v>
      </c>
      <c r="B6131" s="36">
        <v>5107</v>
      </c>
      <c r="C6131" s="90" t="str">
        <f>VLOOKUP(B6131,'All Districts'!$A$3:$B$874,2,FALSE)</f>
        <v>Stillwater</v>
      </c>
      <c r="D6131" s="40">
        <v>729521</v>
      </c>
      <c r="E6131">
        <f>VLOOKUP(C6131,'All Districts'!$B$3:$C$874,2,FALSE)</f>
        <v>3628110</v>
      </c>
      <c r="F6131" s="91">
        <f>COUNTIF($E$2:$E$7106,E6131)</f>
        <v>9</v>
      </c>
    </row>
    <row r="6132" spans="1:6" x14ac:dyDescent="0.2">
      <c r="A6132" s="10">
        <v>2021</v>
      </c>
      <c r="B6132" s="52">
        <v>5107</v>
      </c>
      <c r="C6132" s="90" t="str">
        <f>VLOOKUP(B6132,'All Districts'!$A$3:$B$874,2,FALSE)</f>
        <v>Stillwater</v>
      </c>
      <c r="D6132" s="76">
        <v>791263</v>
      </c>
      <c r="E6132">
        <f>VLOOKUP(C6132,'All Districts'!$B$3:$C$874,2,FALSE)</f>
        <v>3628110</v>
      </c>
      <c r="F6132" s="91">
        <f>COUNTIF($E$2:$E$7106,E6132)</f>
        <v>9</v>
      </c>
    </row>
    <row r="6133" spans="1:6" x14ac:dyDescent="0.2">
      <c r="A6133">
        <v>2022</v>
      </c>
      <c r="B6133" s="36">
        <v>5107</v>
      </c>
      <c r="C6133" s="90" t="str">
        <f>VLOOKUP(B6133,'All Districts'!$A$3:$B$874,2,FALSE)</f>
        <v>Stillwater</v>
      </c>
      <c r="D6133" s="82">
        <v>890090</v>
      </c>
      <c r="E6133">
        <f>VLOOKUP(C6133,'All Districts'!$B$3:$C$874,2,FALSE)</f>
        <v>3628110</v>
      </c>
      <c r="F6133" s="91">
        <f>COUNTIF($E$2:$E$7106,E6133)</f>
        <v>9</v>
      </c>
    </row>
    <row r="6134" spans="1:6" x14ac:dyDescent="0.2">
      <c r="A6134">
        <v>2023</v>
      </c>
      <c r="B6134" s="36">
        <v>5107</v>
      </c>
      <c r="C6134" s="90" t="str">
        <f>VLOOKUP(B6134,'All Districts'!$A$3:$B$874,2,FALSE)</f>
        <v>Stillwater</v>
      </c>
      <c r="D6134" s="40">
        <v>991425</v>
      </c>
      <c r="E6134">
        <f>VLOOKUP(C6134,'All Districts'!$B$3:$C$874,2,FALSE)</f>
        <v>3628110</v>
      </c>
      <c r="F6134" s="91">
        <f>COUNTIF($E$2:$E$7106,E6134)</f>
        <v>9</v>
      </c>
    </row>
    <row r="6135" spans="1:6" x14ac:dyDescent="0.2">
      <c r="A6135">
        <v>2015</v>
      </c>
      <c r="B6135" s="13">
        <v>4206</v>
      </c>
      <c r="C6135" s="90" t="str">
        <f>VLOOKUP(B6135,'All Districts'!$A$3:$B$874,2,FALSE)</f>
        <v>Stockbridge</v>
      </c>
      <c r="D6135" s="14">
        <v>516791</v>
      </c>
      <c r="E6135">
        <f>VLOOKUP(C6135,'All Districts'!$B$3:$C$874,2,FALSE)</f>
        <v>3628140</v>
      </c>
      <c r="F6135" s="91">
        <f>COUNTIF($E$2:$E$7106,E6135)</f>
        <v>9</v>
      </c>
    </row>
    <row r="6136" spans="1:6" x14ac:dyDescent="0.2">
      <c r="A6136">
        <v>2016</v>
      </c>
      <c r="B6136" s="13">
        <v>4206</v>
      </c>
      <c r="C6136" s="90" t="str">
        <f>VLOOKUP(B6136,'All Districts'!$A$3:$B$874,2,FALSE)</f>
        <v>Stockbridge</v>
      </c>
      <c r="D6136" s="16">
        <v>388000</v>
      </c>
      <c r="E6136">
        <f>VLOOKUP(C6136,'All Districts'!$B$3:$C$874,2,FALSE)</f>
        <v>3628140</v>
      </c>
      <c r="F6136" s="91">
        <f>COUNTIF($E$2:$E$7106,E6136)</f>
        <v>9</v>
      </c>
    </row>
    <row r="6137" spans="1:6" x14ac:dyDescent="0.2">
      <c r="A6137">
        <v>2017</v>
      </c>
      <c r="B6137" s="13">
        <v>4206</v>
      </c>
      <c r="C6137" s="90" t="str">
        <f>VLOOKUP(B6137,'All Districts'!$A$3:$B$874,2,FALSE)</f>
        <v>Stockbridge</v>
      </c>
      <c r="D6137" s="16">
        <v>346131</v>
      </c>
      <c r="E6137">
        <f>VLOOKUP(C6137,'All Districts'!$B$3:$C$874,2,FALSE)</f>
        <v>3628140</v>
      </c>
      <c r="F6137" s="91">
        <f>COUNTIF($E$2:$E$7106,E6137)</f>
        <v>9</v>
      </c>
    </row>
    <row r="6138" spans="1:6" x14ac:dyDescent="0.2">
      <c r="A6138" s="10">
        <v>2018</v>
      </c>
      <c r="B6138" s="13">
        <v>4206</v>
      </c>
      <c r="C6138" s="90" t="str">
        <f>VLOOKUP(B6138,'All Districts'!$A$3:$B$874,2,FALSE)</f>
        <v>Stockbridge</v>
      </c>
      <c r="D6138" s="15">
        <v>295700</v>
      </c>
      <c r="E6138">
        <f>VLOOKUP(C6138,'All Districts'!$B$3:$C$874,2,FALSE)</f>
        <v>3628140</v>
      </c>
      <c r="F6138" s="91">
        <f>COUNTIF($E$2:$E$7106,E6138)</f>
        <v>9</v>
      </c>
    </row>
    <row r="6139" spans="1:6" x14ac:dyDescent="0.2">
      <c r="A6139">
        <v>2019</v>
      </c>
      <c r="B6139" s="36">
        <v>4206</v>
      </c>
      <c r="C6139" s="90" t="str">
        <f>VLOOKUP(B6139,'All Districts'!$A$3:$B$874,2,FALSE)</f>
        <v>Stockbridge</v>
      </c>
      <c r="D6139" s="40">
        <v>329327</v>
      </c>
      <c r="E6139">
        <f>VLOOKUP(C6139,'All Districts'!$B$3:$C$874,2,FALSE)</f>
        <v>3628140</v>
      </c>
      <c r="F6139" s="91">
        <f>COUNTIF($E$2:$E$7106,E6139)</f>
        <v>9</v>
      </c>
    </row>
    <row r="6140" spans="1:6" x14ac:dyDescent="0.2">
      <c r="A6140">
        <v>2020</v>
      </c>
      <c r="B6140" s="36">
        <v>4206</v>
      </c>
      <c r="C6140" s="90" t="str">
        <f>VLOOKUP(B6140,'All Districts'!$A$3:$B$874,2,FALSE)</f>
        <v>Stockbridge</v>
      </c>
      <c r="D6140" s="40">
        <v>272879</v>
      </c>
      <c r="E6140">
        <f>VLOOKUP(C6140,'All Districts'!$B$3:$C$874,2,FALSE)</f>
        <v>3628140</v>
      </c>
      <c r="F6140" s="91">
        <f>COUNTIF($E$2:$E$7106,E6140)</f>
        <v>9</v>
      </c>
    </row>
    <row r="6141" spans="1:6" x14ac:dyDescent="0.2">
      <c r="A6141" s="10">
        <v>2021</v>
      </c>
      <c r="B6141" s="55">
        <v>4206</v>
      </c>
      <c r="C6141" s="90" t="str">
        <f>VLOOKUP(B6141,'All Districts'!$A$3:$B$874,2,FALSE)</f>
        <v>Stockbridge</v>
      </c>
      <c r="D6141" s="75">
        <v>334198</v>
      </c>
      <c r="E6141">
        <f>VLOOKUP(C6141,'All Districts'!$B$3:$C$874,2,FALSE)</f>
        <v>3628140</v>
      </c>
      <c r="F6141" s="91">
        <f>COUNTIF($E$2:$E$7106,E6141)</f>
        <v>9</v>
      </c>
    </row>
    <row r="6142" spans="1:6" x14ac:dyDescent="0.2">
      <c r="A6142">
        <v>2022</v>
      </c>
      <c r="B6142" s="36">
        <v>4206</v>
      </c>
      <c r="C6142" s="90" t="str">
        <f>VLOOKUP(B6142,'All Districts'!$A$3:$B$874,2,FALSE)</f>
        <v>Stockbridge</v>
      </c>
      <c r="D6142" s="82">
        <v>330902</v>
      </c>
      <c r="E6142">
        <f>VLOOKUP(C6142,'All Districts'!$B$3:$C$874,2,FALSE)</f>
        <v>3628140</v>
      </c>
      <c r="F6142" s="91">
        <f>COUNTIF($E$2:$E$7106,E6142)</f>
        <v>9</v>
      </c>
    </row>
    <row r="6143" spans="1:6" x14ac:dyDescent="0.2">
      <c r="A6143">
        <v>2023</v>
      </c>
      <c r="B6143" s="36">
        <v>4206</v>
      </c>
      <c r="C6143" s="90" t="str">
        <f>VLOOKUP(B6143,'All Districts'!$A$3:$B$874,2,FALSE)</f>
        <v>Stockbridge</v>
      </c>
      <c r="D6143" s="40">
        <v>388509</v>
      </c>
      <c r="E6143">
        <f>VLOOKUP(C6143,'All Districts'!$B$3:$C$874,2,FALSE)</f>
        <v>3628140</v>
      </c>
      <c r="F6143" s="91">
        <f>COUNTIF($E$2:$E$7106,E6143)</f>
        <v>9</v>
      </c>
    </row>
    <row r="6144" spans="1:6" x14ac:dyDescent="0.2">
      <c r="A6144">
        <v>2015</v>
      </c>
      <c r="B6144" s="13">
        <v>6095</v>
      </c>
      <c r="C6144" s="90" t="str">
        <f>VLOOKUP(B6144,'All Districts'!$A$3:$B$874,2,FALSE)</f>
        <v>Sullivan</v>
      </c>
      <c r="D6144" s="15">
        <v>1847855</v>
      </c>
      <c r="E6144">
        <f>VLOOKUP(C6144,'All Districts'!$B$3:$C$874,2,FALSE)</f>
        <v>3680880</v>
      </c>
      <c r="F6144" s="91">
        <f>COUNTIF($E$2:$E$7106,E6144)</f>
        <v>9</v>
      </c>
    </row>
    <row r="6145" spans="1:6" x14ac:dyDescent="0.2">
      <c r="A6145">
        <v>2016</v>
      </c>
      <c r="B6145" s="13">
        <v>6095</v>
      </c>
      <c r="C6145" s="90" t="str">
        <f>VLOOKUP(B6145,'All Districts'!$A$3:$B$874,2,FALSE)</f>
        <v>Sullivan</v>
      </c>
      <c r="D6145" s="16">
        <v>1415655</v>
      </c>
      <c r="E6145">
        <f>VLOOKUP(C6145,'All Districts'!$B$3:$C$874,2,FALSE)</f>
        <v>3680880</v>
      </c>
      <c r="F6145" s="91">
        <f>COUNTIF($E$2:$E$7106,E6145)</f>
        <v>9</v>
      </c>
    </row>
    <row r="6146" spans="1:6" x14ac:dyDescent="0.2">
      <c r="A6146">
        <v>2017</v>
      </c>
      <c r="B6146" s="13">
        <v>6095</v>
      </c>
      <c r="C6146" s="90" t="str">
        <f>VLOOKUP(B6146,'All Districts'!$A$3:$B$874,2,FALSE)</f>
        <v>Sullivan</v>
      </c>
      <c r="D6146" s="16">
        <v>1251894</v>
      </c>
      <c r="E6146">
        <f>VLOOKUP(C6146,'All Districts'!$B$3:$C$874,2,FALSE)</f>
        <v>3680880</v>
      </c>
      <c r="F6146" s="91">
        <f>COUNTIF($E$2:$E$7106,E6146)</f>
        <v>9</v>
      </c>
    </row>
    <row r="6147" spans="1:6" x14ac:dyDescent="0.2">
      <c r="A6147" s="10">
        <v>2018</v>
      </c>
      <c r="B6147" s="13">
        <v>6095</v>
      </c>
      <c r="C6147" s="90" t="str">
        <f>VLOOKUP(B6147,'All Districts'!$A$3:$B$874,2,FALSE)</f>
        <v>Sullivan</v>
      </c>
      <c r="D6147" s="15">
        <v>1034856</v>
      </c>
      <c r="E6147">
        <f>VLOOKUP(C6147,'All Districts'!$B$3:$C$874,2,FALSE)</f>
        <v>3680880</v>
      </c>
      <c r="F6147" s="91">
        <f>COUNTIF($E$2:$E$7106,E6147)</f>
        <v>9</v>
      </c>
    </row>
    <row r="6148" spans="1:6" x14ac:dyDescent="0.2">
      <c r="A6148">
        <v>2019</v>
      </c>
      <c r="B6148" s="36">
        <v>6095</v>
      </c>
      <c r="C6148" s="90" t="str">
        <f>VLOOKUP(B6148,'All Districts'!$A$3:$B$874,2,FALSE)</f>
        <v>Sullivan</v>
      </c>
      <c r="D6148" s="40">
        <v>1134085</v>
      </c>
      <c r="E6148">
        <f>VLOOKUP(C6148,'All Districts'!$B$3:$C$874,2,FALSE)</f>
        <v>3680880</v>
      </c>
      <c r="F6148" s="91">
        <f>COUNTIF($E$2:$E$7106,E6148)</f>
        <v>9</v>
      </c>
    </row>
    <row r="6149" spans="1:6" x14ac:dyDescent="0.2">
      <c r="A6149">
        <v>2020</v>
      </c>
      <c r="B6149" s="36">
        <v>6095</v>
      </c>
      <c r="C6149" s="90" t="str">
        <f>VLOOKUP(B6149,'All Districts'!$A$3:$B$874,2,FALSE)</f>
        <v>Sullivan</v>
      </c>
      <c r="D6149" s="40">
        <v>968541</v>
      </c>
      <c r="E6149">
        <f>VLOOKUP(C6149,'All Districts'!$B$3:$C$874,2,FALSE)</f>
        <v>3680880</v>
      </c>
      <c r="F6149" s="91">
        <f>COUNTIF($E$2:$E$7106,E6149)</f>
        <v>9</v>
      </c>
    </row>
    <row r="6150" spans="1:6" x14ac:dyDescent="0.2">
      <c r="A6150" s="10">
        <v>2021</v>
      </c>
      <c r="B6150" s="52">
        <v>6095</v>
      </c>
      <c r="C6150" s="90" t="str">
        <f>VLOOKUP(B6150,'All Districts'!$A$3:$B$874,2,FALSE)</f>
        <v>Sullivan</v>
      </c>
      <c r="D6150" s="76">
        <v>1012709</v>
      </c>
      <c r="E6150">
        <f>VLOOKUP(C6150,'All Districts'!$B$3:$C$874,2,FALSE)</f>
        <v>3680880</v>
      </c>
      <c r="F6150" s="91">
        <f>COUNTIF($E$2:$E$7106,E6150)</f>
        <v>9</v>
      </c>
    </row>
    <row r="6151" spans="1:6" x14ac:dyDescent="0.2">
      <c r="A6151">
        <v>2022</v>
      </c>
      <c r="B6151" s="36">
        <v>6095</v>
      </c>
      <c r="C6151" s="90" t="str">
        <f>VLOOKUP(B6151,'All Districts'!$A$3:$B$874,2,FALSE)</f>
        <v>Sullivan</v>
      </c>
      <c r="D6151" s="82">
        <v>957960</v>
      </c>
      <c r="E6151">
        <f>VLOOKUP(C6151,'All Districts'!$B$3:$C$874,2,FALSE)</f>
        <v>3680880</v>
      </c>
      <c r="F6151" s="91">
        <f>COUNTIF($E$2:$E$7106,E6151)</f>
        <v>9</v>
      </c>
    </row>
    <row r="6152" spans="1:6" x14ac:dyDescent="0.2">
      <c r="A6152">
        <v>2023</v>
      </c>
      <c r="B6152" s="36">
        <v>6095</v>
      </c>
      <c r="C6152" s="90" t="str">
        <f>VLOOKUP(B6152,'All Districts'!$A$3:$B$874,2,FALSE)</f>
        <v>Sullivan</v>
      </c>
      <c r="D6152" s="40">
        <v>1012906</v>
      </c>
      <c r="E6152">
        <f>VLOOKUP(C6152,'All Districts'!$B$3:$C$874,2,FALSE)</f>
        <v>3680880</v>
      </c>
      <c r="F6152" s="91">
        <f>COUNTIF($E$2:$E$7106,E6152)</f>
        <v>9</v>
      </c>
    </row>
    <row r="6153" spans="1:6" x14ac:dyDescent="0.2">
      <c r="A6153">
        <v>2015</v>
      </c>
      <c r="B6153" s="13">
        <v>5501</v>
      </c>
      <c r="C6153" s="90" t="str">
        <f>VLOOKUP(B6153,'All Districts'!$A$3:$B$874,2,FALSE)</f>
        <v>Sullivan West Central School District at Cali-Jeff</v>
      </c>
      <c r="D6153" s="14">
        <v>1695217</v>
      </c>
      <c r="E6153">
        <f>VLOOKUP(C6153,'All Districts'!$B$3:$C$874,2,FALSE)</f>
        <v>3600023</v>
      </c>
      <c r="F6153" s="91">
        <f>COUNTIF($E$2:$E$7106,E6153)</f>
        <v>9</v>
      </c>
    </row>
    <row r="6154" spans="1:6" x14ac:dyDescent="0.2">
      <c r="A6154">
        <v>2016</v>
      </c>
      <c r="B6154" s="13">
        <v>5501</v>
      </c>
      <c r="C6154" s="90" t="str">
        <f>VLOOKUP(B6154,'All Districts'!$A$3:$B$874,2,FALSE)</f>
        <v>Sullivan West Central School District at Cali-Jeff</v>
      </c>
      <c r="D6154" s="16">
        <v>1320392</v>
      </c>
      <c r="E6154">
        <f>VLOOKUP(C6154,'All Districts'!$B$3:$C$874,2,FALSE)</f>
        <v>3600023</v>
      </c>
      <c r="F6154" s="91">
        <f>COUNTIF($E$2:$E$7106,E6154)</f>
        <v>9</v>
      </c>
    </row>
    <row r="6155" spans="1:6" x14ac:dyDescent="0.2">
      <c r="A6155">
        <v>2017</v>
      </c>
      <c r="B6155" s="13">
        <v>5501</v>
      </c>
      <c r="C6155" s="90" t="str">
        <f>VLOOKUP(B6155,'All Districts'!$A$3:$B$874,2,FALSE)</f>
        <v>Sullivan West Central School District at Cali-Jeff</v>
      </c>
      <c r="D6155" s="16">
        <v>1193834</v>
      </c>
      <c r="E6155">
        <f>VLOOKUP(C6155,'All Districts'!$B$3:$C$874,2,FALSE)</f>
        <v>3600023</v>
      </c>
      <c r="F6155" s="91">
        <f>COUNTIF($E$2:$E$7106,E6155)</f>
        <v>9</v>
      </c>
    </row>
    <row r="6156" spans="1:6" x14ac:dyDescent="0.2">
      <c r="A6156" s="10">
        <v>2018</v>
      </c>
      <c r="B6156" s="13">
        <v>5501</v>
      </c>
      <c r="C6156" s="90" t="str">
        <f>VLOOKUP(B6156,'All Districts'!$A$3:$B$874,2,FALSE)</f>
        <v>Sullivan West Central School District at Cali-Jeff</v>
      </c>
      <c r="D6156" s="15">
        <v>995692</v>
      </c>
      <c r="E6156">
        <f>VLOOKUP(C6156,'All Districts'!$B$3:$C$874,2,FALSE)</f>
        <v>3600023</v>
      </c>
      <c r="F6156" s="91">
        <f>COUNTIF($E$2:$E$7106,E6156)</f>
        <v>9</v>
      </c>
    </row>
    <row r="6157" spans="1:6" x14ac:dyDescent="0.2">
      <c r="A6157">
        <v>2019</v>
      </c>
      <c r="B6157" s="36">
        <v>5501</v>
      </c>
      <c r="C6157" s="90" t="str">
        <f>VLOOKUP(B6157,'All Districts'!$A$3:$B$874,2,FALSE)</f>
        <v>Sullivan West Central School District at Cali-Jeff</v>
      </c>
      <c r="D6157" s="40">
        <v>1097697</v>
      </c>
      <c r="E6157">
        <f>VLOOKUP(C6157,'All Districts'!$B$3:$C$874,2,FALSE)</f>
        <v>3600023</v>
      </c>
      <c r="F6157" s="91">
        <f>COUNTIF($E$2:$E$7106,E6157)</f>
        <v>9</v>
      </c>
    </row>
    <row r="6158" spans="1:6" x14ac:dyDescent="0.2">
      <c r="A6158">
        <v>2020</v>
      </c>
      <c r="B6158" s="36">
        <v>5501</v>
      </c>
      <c r="C6158" s="90" t="str">
        <f>VLOOKUP(B6158,'All Districts'!$A$3:$B$874,2,FALSE)</f>
        <v>Sullivan West Central School District at Cali-Jeff</v>
      </c>
      <c r="D6158" s="40">
        <v>914920</v>
      </c>
      <c r="E6158">
        <f>VLOOKUP(C6158,'All Districts'!$B$3:$C$874,2,FALSE)</f>
        <v>3600023</v>
      </c>
      <c r="F6158" s="91">
        <f>COUNTIF($E$2:$E$7106,E6158)</f>
        <v>9</v>
      </c>
    </row>
    <row r="6159" spans="1:6" x14ac:dyDescent="0.2">
      <c r="A6159" s="10">
        <v>2021</v>
      </c>
      <c r="B6159" s="52">
        <v>5501</v>
      </c>
      <c r="C6159" s="90" t="str">
        <f>VLOOKUP(B6159,'All Districts'!$A$3:$B$874,2,FALSE)</f>
        <v>Sullivan West Central School District at Cali-Jeff</v>
      </c>
      <c r="D6159" s="76">
        <v>980359</v>
      </c>
      <c r="E6159">
        <f>VLOOKUP(C6159,'All Districts'!$B$3:$C$874,2,FALSE)</f>
        <v>3600023</v>
      </c>
      <c r="F6159" s="91">
        <f>COUNTIF($E$2:$E$7106,E6159)</f>
        <v>9</v>
      </c>
    </row>
    <row r="6160" spans="1:6" x14ac:dyDescent="0.2">
      <c r="A6160">
        <v>2022</v>
      </c>
      <c r="B6160" s="36">
        <v>5501</v>
      </c>
      <c r="C6160" s="90" t="str">
        <f>VLOOKUP(B6160,'All Districts'!$A$3:$B$874,2,FALSE)</f>
        <v>Sullivan West Central School District at Cali-Jeff</v>
      </c>
      <c r="D6160" s="82">
        <v>1042741</v>
      </c>
      <c r="E6160">
        <f>VLOOKUP(C6160,'All Districts'!$B$3:$C$874,2,FALSE)</f>
        <v>3600023</v>
      </c>
      <c r="F6160" s="91">
        <f>COUNTIF($E$2:$E$7106,E6160)</f>
        <v>9</v>
      </c>
    </row>
    <row r="6161" spans="1:6" x14ac:dyDescent="0.2">
      <c r="A6161">
        <v>2023</v>
      </c>
      <c r="B6161" s="36">
        <v>5501</v>
      </c>
      <c r="C6161" s="90" t="str">
        <f>VLOOKUP(B6161,'All Districts'!$A$3:$B$874,2,FALSE)</f>
        <v>Sullivan West Central School District at Cali-Jeff</v>
      </c>
      <c r="D6161" s="40">
        <v>1128298</v>
      </c>
      <c r="E6161">
        <f>VLOOKUP(C6161,'All Districts'!$B$3:$C$874,2,FALSE)</f>
        <v>3600023</v>
      </c>
      <c r="F6161" s="91">
        <f>COUNTIF($E$2:$E$7106,E6161)</f>
        <v>9</v>
      </c>
    </row>
    <row r="6162" spans="1:6" x14ac:dyDescent="0.2">
      <c r="A6162">
        <v>2015</v>
      </c>
      <c r="B6162" s="13">
        <v>2582</v>
      </c>
      <c r="C6162" s="90" t="str">
        <f>VLOOKUP(B6162,'All Districts'!$A$3:$B$874,2,FALSE)</f>
        <v>Susquehanna Valley</v>
      </c>
      <c r="D6162" s="14">
        <v>2013701</v>
      </c>
      <c r="E6162">
        <f>VLOOKUP(C6162,'All Districts'!$B$3:$C$874,2,FALSE)</f>
        <v>3628380</v>
      </c>
      <c r="F6162" s="91">
        <f>COUNTIF($E$2:$E$7106,E6162)</f>
        <v>9</v>
      </c>
    </row>
    <row r="6163" spans="1:6" x14ac:dyDescent="0.2">
      <c r="A6163">
        <v>2016</v>
      </c>
      <c r="B6163" s="13">
        <v>2582</v>
      </c>
      <c r="C6163" s="90" t="str">
        <f>VLOOKUP(B6163,'All Districts'!$A$3:$B$874,2,FALSE)</f>
        <v>Susquehanna Valley</v>
      </c>
      <c r="D6163" s="16">
        <v>1501469</v>
      </c>
      <c r="E6163">
        <f>VLOOKUP(C6163,'All Districts'!$B$3:$C$874,2,FALSE)</f>
        <v>3628380</v>
      </c>
      <c r="F6163" s="91">
        <f>COUNTIF($E$2:$E$7106,E6163)</f>
        <v>9</v>
      </c>
    </row>
    <row r="6164" spans="1:6" x14ac:dyDescent="0.2">
      <c r="A6164">
        <v>2017</v>
      </c>
      <c r="B6164" s="13">
        <v>2582</v>
      </c>
      <c r="C6164" s="90" t="str">
        <f>VLOOKUP(B6164,'All Districts'!$A$3:$B$874,2,FALSE)</f>
        <v>Susquehanna Valley</v>
      </c>
      <c r="D6164" s="16">
        <v>1353468</v>
      </c>
      <c r="E6164">
        <f>VLOOKUP(C6164,'All Districts'!$B$3:$C$874,2,FALSE)</f>
        <v>3628380</v>
      </c>
      <c r="F6164" s="91">
        <f>COUNTIF($E$2:$E$7106,E6164)</f>
        <v>9</v>
      </c>
    </row>
    <row r="6165" spans="1:6" x14ac:dyDescent="0.2">
      <c r="A6165" s="10">
        <v>2018</v>
      </c>
      <c r="B6165" s="13">
        <v>2582</v>
      </c>
      <c r="C6165" s="90" t="str">
        <f>VLOOKUP(B6165,'All Districts'!$A$3:$B$874,2,FALSE)</f>
        <v>Susquehanna Valley</v>
      </c>
      <c r="D6165" s="15">
        <v>1130606</v>
      </c>
      <c r="E6165">
        <f>VLOOKUP(C6165,'All Districts'!$B$3:$C$874,2,FALSE)</f>
        <v>3628380</v>
      </c>
      <c r="F6165" s="91">
        <f>COUNTIF($E$2:$E$7106,E6165)</f>
        <v>9</v>
      </c>
    </row>
    <row r="6166" spans="1:6" x14ac:dyDescent="0.2">
      <c r="A6166">
        <v>2019</v>
      </c>
      <c r="B6166" s="36">
        <v>2582</v>
      </c>
      <c r="C6166" s="90" t="str">
        <f>VLOOKUP(B6166,'All Districts'!$A$3:$B$874,2,FALSE)</f>
        <v>Susquehanna Valley</v>
      </c>
      <c r="D6166" s="40">
        <v>1238593</v>
      </c>
      <c r="E6166">
        <f>VLOOKUP(C6166,'All Districts'!$B$3:$C$874,2,FALSE)</f>
        <v>3628380</v>
      </c>
      <c r="F6166" s="91">
        <f>COUNTIF($E$2:$E$7106,E6166)</f>
        <v>9</v>
      </c>
    </row>
    <row r="6167" spans="1:6" x14ac:dyDescent="0.2">
      <c r="A6167">
        <v>2020</v>
      </c>
      <c r="B6167" s="36">
        <v>2582</v>
      </c>
      <c r="C6167" s="90" t="str">
        <f>VLOOKUP(B6167,'All Districts'!$A$3:$B$874,2,FALSE)</f>
        <v>Susquehanna Valley</v>
      </c>
      <c r="D6167" s="40">
        <v>1028020</v>
      </c>
      <c r="E6167">
        <f>VLOOKUP(C6167,'All Districts'!$B$3:$C$874,2,FALSE)</f>
        <v>3628380</v>
      </c>
      <c r="F6167" s="91">
        <f>COUNTIF($E$2:$E$7106,E6167)</f>
        <v>9</v>
      </c>
    </row>
    <row r="6168" spans="1:6" x14ac:dyDescent="0.2">
      <c r="A6168" s="10">
        <v>2021</v>
      </c>
      <c r="B6168" s="52">
        <v>2582</v>
      </c>
      <c r="C6168" s="90" t="str">
        <f>VLOOKUP(B6168,'All Districts'!$A$3:$B$874,2,FALSE)</f>
        <v>Susquehanna Valley</v>
      </c>
      <c r="D6168" s="76">
        <v>1104684</v>
      </c>
      <c r="E6168">
        <f>VLOOKUP(C6168,'All Districts'!$B$3:$C$874,2,FALSE)</f>
        <v>3628380</v>
      </c>
      <c r="F6168" s="91">
        <f>COUNTIF($E$2:$E$7106,E6168)</f>
        <v>9</v>
      </c>
    </row>
    <row r="6169" spans="1:6" x14ac:dyDescent="0.2">
      <c r="A6169">
        <v>2022</v>
      </c>
      <c r="B6169" s="36">
        <v>2582</v>
      </c>
      <c r="C6169" s="90" t="str">
        <f>VLOOKUP(B6169,'All Districts'!$A$3:$B$874,2,FALSE)</f>
        <v>Susquehanna Valley</v>
      </c>
      <c r="D6169" s="82">
        <v>1196492</v>
      </c>
      <c r="E6169">
        <f>VLOOKUP(C6169,'All Districts'!$B$3:$C$874,2,FALSE)</f>
        <v>3628380</v>
      </c>
      <c r="F6169" s="91">
        <f>COUNTIF($E$2:$E$7106,E6169)</f>
        <v>9</v>
      </c>
    </row>
    <row r="6170" spans="1:6" x14ac:dyDescent="0.2">
      <c r="A6170">
        <v>2023</v>
      </c>
      <c r="B6170" s="36">
        <v>2582</v>
      </c>
      <c r="C6170" s="90" t="str">
        <f>VLOOKUP(B6170,'All Districts'!$A$3:$B$874,2,FALSE)</f>
        <v>Susquehanna Valley</v>
      </c>
      <c r="D6170" s="40">
        <v>1283348</v>
      </c>
      <c r="E6170">
        <f>VLOOKUP(C6170,'All Districts'!$B$3:$C$874,2,FALSE)</f>
        <v>3628380</v>
      </c>
      <c r="F6170" s="91">
        <f>COUNTIF($E$2:$E$7106,E6170)</f>
        <v>9</v>
      </c>
    </row>
    <row r="6171" spans="1:6" x14ac:dyDescent="0.2">
      <c r="A6171">
        <v>2015</v>
      </c>
      <c r="B6171" s="13">
        <v>2584</v>
      </c>
      <c r="C6171" s="90" t="str">
        <f>VLOOKUP(B6171,'All Districts'!$A$3:$B$874,2,FALSE)</f>
        <v>Sweet Home</v>
      </c>
      <c r="D6171" s="14">
        <v>4817632</v>
      </c>
      <c r="E6171">
        <f>VLOOKUP(C6171,'All Districts'!$B$3:$C$874,2,FALSE)</f>
        <v>3628500</v>
      </c>
      <c r="F6171" s="91">
        <f>COUNTIF($E$2:$E$7106,E6171)</f>
        <v>9</v>
      </c>
    </row>
    <row r="6172" spans="1:6" x14ac:dyDescent="0.2">
      <c r="A6172">
        <v>2016</v>
      </c>
      <c r="B6172" s="13">
        <v>2584</v>
      </c>
      <c r="C6172" s="90" t="str">
        <f>VLOOKUP(B6172,'All Districts'!$A$3:$B$874,2,FALSE)</f>
        <v>Sweet Home</v>
      </c>
      <c r="D6172" s="16">
        <v>3805779</v>
      </c>
      <c r="E6172">
        <f>VLOOKUP(C6172,'All Districts'!$B$3:$C$874,2,FALSE)</f>
        <v>3628500</v>
      </c>
      <c r="F6172" s="91">
        <f>COUNTIF($E$2:$E$7106,E6172)</f>
        <v>9</v>
      </c>
    </row>
    <row r="6173" spans="1:6" x14ac:dyDescent="0.2">
      <c r="A6173">
        <v>2017</v>
      </c>
      <c r="B6173" s="13">
        <v>2584</v>
      </c>
      <c r="C6173" s="90" t="str">
        <f>VLOOKUP(B6173,'All Districts'!$A$3:$B$874,2,FALSE)</f>
        <v>Sweet Home</v>
      </c>
      <c r="D6173" s="16">
        <v>3462482</v>
      </c>
      <c r="E6173">
        <f>VLOOKUP(C6173,'All Districts'!$B$3:$C$874,2,FALSE)</f>
        <v>3628500</v>
      </c>
      <c r="F6173" s="91">
        <f>COUNTIF($E$2:$E$7106,E6173)</f>
        <v>9</v>
      </c>
    </row>
    <row r="6174" spans="1:6" x14ac:dyDescent="0.2">
      <c r="A6174" s="10">
        <v>2018</v>
      </c>
      <c r="B6174" s="13">
        <v>2584</v>
      </c>
      <c r="C6174" s="90" t="str">
        <f>VLOOKUP(B6174,'All Districts'!$A$3:$B$874,2,FALSE)</f>
        <v>Sweet Home</v>
      </c>
      <c r="D6174" s="15">
        <v>2971155</v>
      </c>
      <c r="E6174">
        <f>VLOOKUP(C6174,'All Districts'!$B$3:$C$874,2,FALSE)</f>
        <v>3628500</v>
      </c>
      <c r="F6174" s="91">
        <f>COUNTIF($E$2:$E$7106,E6174)</f>
        <v>9</v>
      </c>
    </row>
    <row r="6175" spans="1:6" x14ac:dyDescent="0.2">
      <c r="A6175">
        <v>2019</v>
      </c>
      <c r="B6175" s="36">
        <v>2584</v>
      </c>
      <c r="C6175" s="90" t="str">
        <f>VLOOKUP(B6175,'All Districts'!$A$3:$B$874,2,FALSE)</f>
        <v>Sweet Home</v>
      </c>
      <c r="D6175" s="40">
        <v>3290427</v>
      </c>
      <c r="E6175">
        <f>VLOOKUP(C6175,'All Districts'!$B$3:$C$874,2,FALSE)</f>
        <v>3628500</v>
      </c>
      <c r="F6175" s="91">
        <f>COUNTIF($E$2:$E$7106,E6175)</f>
        <v>9</v>
      </c>
    </row>
    <row r="6176" spans="1:6" x14ac:dyDescent="0.2">
      <c r="A6176">
        <v>2020</v>
      </c>
      <c r="B6176" s="36">
        <v>2584</v>
      </c>
      <c r="C6176" s="90" t="str">
        <f>VLOOKUP(B6176,'All Districts'!$A$3:$B$874,2,FALSE)</f>
        <v>Sweet Home</v>
      </c>
      <c r="D6176" s="40">
        <v>2840890</v>
      </c>
      <c r="E6176">
        <f>VLOOKUP(C6176,'All Districts'!$B$3:$C$874,2,FALSE)</f>
        <v>3628500</v>
      </c>
      <c r="F6176" s="91">
        <f>COUNTIF($E$2:$E$7106,E6176)</f>
        <v>9</v>
      </c>
    </row>
    <row r="6177" spans="1:6" x14ac:dyDescent="0.2">
      <c r="A6177" s="10">
        <v>2021</v>
      </c>
      <c r="B6177" s="55">
        <v>2584</v>
      </c>
      <c r="C6177" s="90" t="str">
        <f>VLOOKUP(B6177,'All Districts'!$A$3:$B$874,2,FALSE)</f>
        <v>Sweet Home</v>
      </c>
      <c r="D6177" s="76">
        <v>3162247</v>
      </c>
      <c r="E6177">
        <f>VLOOKUP(C6177,'All Districts'!$B$3:$C$874,2,FALSE)</f>
        <v>3628500</v>
      </c>
      <c r="F6177" s="91">
        <f>COUNTIF($E$2:$E$7106,E6177)</f>
        <v>9</v>
      </c>
    </row>
    <row r="6178" spans="1:6" x14ac:dyDescent="0.2">
      <c r="A6178">
        <v>2022</v>
      </c>
      <c r="B6178" s="36">
        <v>2584</v>
      </c>
      <c r="C6178" s="90" t="str">
        <f>VLOOKUP(B6178,'All Districts'!$A$3:$B$874,2,FALSE)</f>
        <v>Sweet Home</v>
      </c>
      <c r="D6178" s="82">
        <v>3459004</v>
      </c>
      <c r="E6178">
        <f>VLOOKUP(C6178,'All Districts'!$B$3:$C$874,2,FALSE)</f>
        <v>3628500</v>
      </c>
      <c r="F6178" s="91">
        <f>COUNTIF($E$2:$E$7106,E6178)</f>
        <v>9</v>
      </c>
    </row>
    <row r="6179" spans="1:6" x14ac:dyDescent="0.2">
      <c r="A6179">
        <v>2023</v>
      </c>
      <c r="B6179" s="36">
        <v>2584</v>
      </c>
      <c r="C6179" s="90" t="str">
        <f>VLOOKUP(B6179,'All Districts'!$A$3:$B$874,2,FALSE)</f>
        <v>Sweet Home</v>
      </c>
      <c r="D6179" s="40">
        <v>3832737</v>
      </c>
      <c r="E6179">
        <f>VLOOKUP(C6179,'All Districts'!$B$3:$C$874,2,FALSE)</f>
        <v>3628500</v>
      </c>
      <c r="F6179" s="91">
        <f>COUNTIF($E$2:$E$7106,E6179)</f>
        <v>9</v>
      </c>
    </row>
    <row r="6180" spans="1:6" x14ac:dyDescent="0.2">
      <c r="A6180">
        <v>2015</v>
      </c>
      <c r="B6180" s="13">
        <v>2585</v>
      </c>
      <c r="C6180" s="90" t="str">
        <f>VLOOKUP(B6180,'All Districts'!$A$3:$B$874,2,FALSE)</f>
        <v>Syosset</v>
      </c>
      <c r="D6180" s="14">
        <v>17277839</v>
      </c>
      <c r="E6180">
        <f>VLOOKUP(C6180,'All Districts'!$B$3:$C$874,2,FALSE)</f>
        <v>3628560</v>
      </c>
      <c r="F6180" s="91">
        <f>COUNTIF($E$2:$E$7106,E6180)</f>
        <v>9</v>
      </c>
    </row>
    <row r="6181" spans="1:6" x14ac:dyDescent="0.2">
      <c r="A6181">
        <v>2016</v>
      </c>
      <c r="B6181" s="13">
        <v>2585</v>
      </c>
      <c r="C6181" s="90" t="str">
        <f>VLOOKUP(B6181,'All Districts'!$A$3:$B$874,2,FALSE)</f>
        <v>Syosset</v>
      </c>
      <c r="D6181" s="16">
        <v>13233124</v>
      </c>
      <c r="E6181">
        <f>VLOOKUP(C6181,'All Districts'!$B$3:$C$874,2,FALSE)</f>
        <v>3628560</v>
      </c>
      <c r="F6181" s="91">
        <f>COUNTIF($E$2:$E$7106,E6181)</f>
        <v>9</v>
      </c>
    </row>
    <row r="6182" spans="1:6" x14ac:dyDescent="0.2">
      <c r="A6182">
        <v>2017</v>
      </c>
      <c r="B6182" s="13">
        <v>2585</v>
      </c>
      <c r="C6182" s="90" t="str">
        <f>VLOOKUP(B6182,'All Districts'!$A$3:$B$874,2,FALSE)</f>
        <v>Syosset</v>
      </c>
      <c r="D6182" s="16">
        <v>11936889</v>
      </c>
      <c r="E6182">
        <f>VLOOKUP(C6182,'All Districts'!$B$3:$C$874,2,FALSE)</f>
        <v>3628560</v>
      </c>
      <c r="F6182" s="91">
        <f>COUNTIF($E$2:$E$7106,E6182)</f>
        <v>9</v>
      </c>
    </row>
    <row r="6183" spans="1:6" x14ac:dyDescent="0.2">
      <c r="A6183" s="10">
        <v>2018</v>
      </c>
      <c r="B6183" s="13">
        <v>2585</v>
      </c>
      <c r="C6183" s="90" t="str">
        <f>VLOOKUP(B6183,'All Districts'!$A$3:$B$874,2,FALSE)</f>
        <v>Syosset</v>
      </c>
      <c r="D6183" s="15">
        <v>10175023</v>
      </c>
      <c r="E6183">
        <f>VLOOKUP(C6183,'All Districts'!$B$3:$C$874,2,FALSE)</f>
        <v>3628560</v>
      </c>
      <c r="F6183" s="91">
        <f>COUNTIF($E$2:$E$7106,E6183)</f>
        <v>9</v>
      </c>
    </row>
    <row r="6184" spans="1:6" x14ac:dyDescent="0.2">
      <c r="A6184">
        <v>2019</v>
      </c>
      <c r="B6184" s="36">
        <v>2585</v>
      </c>
      <c r="C6184" s="90" t="str">
        <f>VLOOKUP(B6184,'All Districts'!$A$3:$B$874,2,FALSE)</f>
        <v>Syosset</v>
      </c>
      <c r="D6184" s="40">
        <v>11179049</v>
      </c>
      <c r="E6184">
        <f>VLOOKUP(C6184,'All Districts'!$B$3:$C$874,2,FALSE)</f>
        <v>3628560</v>
      </c>
      <c r="F6184" s="91">
        <f>COUNTIF($E$2:$E$7106,E6184)</f>
        <v>9</v>
      </c>
    </row>
    <row r="6185" spans="1:6" x14ac:dyDescent="0.2">
      <c r="A6185">
        <v>2020</v>
      </c>
      <c r="B6185" s="36">
        <v>2585</v>
      </c>
      <c r="C6185" s="90" t="str">
        <f>VLOOKUP(B6185,'All Districts'!$A$3:$B$874,2,FALSE)</f>
        <v>Syosset</v>
      </c>
      <c r="D6185" s="40">
        <v>9391502</v>
      </c>
      <c r="E6185">
        <f>VLOOKUP(C6185,'All Districts'!$B$3:$C$874,2,FALSE)</f>
        <v>3628560</v>
      </c>
      <c r="F6185" s="91">
        <f>COUNTIF($E$2:$E$7106,E6185)</f>
        <v>9</v>
      </c>
    </row>
    <row r="6186" spans="1:6" x14ac:dyDescent="0.2">
      <c r="A6186" s="10">
        <v>2021</v>
      </c>
      <c r="B6186" s="52">
        <v>2585</v>
      </c>
      <c r="C6186" s="90" t="str">
        <f>VLOOKUP(B6186,'All Districts'!$A$3:$B$874,2,FALSE)</f>
        <v>Syosset</v>
      </c>
      <c r="D6186" s="76">
        <v>10077398</v>
      </c>
      <c r="E6186">
        <f>VLOOKUP(C6186,'All Districts'!$B$3:$C$874,2,FALSE)</f>
        <v>3628560</v>
      </c>
      <c r="F6186" s="91">
        <f>COUNTIF($E$2:$E$7106,E6186)</f>
        <v>9</v>
      </c>
    </row>
    <row r="6187" spans="1:6" x14ac:dyDescent="0.2">
      <c r="A6187">
        <v>2022</v>
      </c>
      <c r="B6187" s="36">
        <v>2585</v>
      </c>
      <c r="C6187" s="90" t="str">
        <f>VLOOKUP(B6187,'All Districts'!$A$3:$B$874,2,FALSE)</f>
        <v>Syosset</v>
      </c>
      <c r="D6187" s="82">
        <v>10812111</v>
      </c>
      <c r="E6187">
        <f>VLOOKUP(C6187,'All Districts'!$B$3:$C$874,2,FALSE)</f>
        <v>3628560</v>
      </c>
      <c r="F6187" s="91">
        <f>COUNTIF($E$2:$E$7106,E6187)</f>
        <v>9</v>
      </c>
    </row>
    <row r="6188" spans="1:6" x14ac:dyDescent="0.2">
      <c r="A6188">
        <v>2023</v>
      </c>
      <c r="B6188" s="36">
        <v>2585</v>
      </c>
      <c r="C6188" s="90" t="str">
        <f>VLOOKUP(B6188,'All Districts'!$A$3:$B$874,2,FALSE)</f>
        <v>Syosset</v>
      </c>
      <c r="D6188" s="40">
        <v>11840027</v>
      </c>
      <c r="E6188">
        <f>VLOOKUP(C6188,'All Districts'!$B$3:$C$874,2,FALSE)</f>
        <v>3628560</v>
      </c>
      <c r="F6188" s="91">
        <f>COUNTIF($E$2:$E$7106,E6188)</f>
        <v>9</v>
      </c>
    </row>
    <row r="6189" spans="1:6" x14ac:dyDescent="0.2">
      <c r="A6189">
        <v>2015</v>
      </c>
      <c r="B6189" s="13">
        <v>1270</v>
      </c>
      <c r="C6189" s="90" t="str">
        <f>VLOOKUP(B6189,'All Districts'!$A$3:$B$874,2,FALSE)</f>
        <v>Syracuse</v>
      </c>
      <c r="D6189" s="14">
        <v>27692017</v>
      </c>
      <c r="E6189">
        <f>VLOOKUP(C6189,'All Districts'!$B$3:$C$874,2,FALSE)</f>
        <v>3628590</v>
      </c>
      <c r="F6189" s="91">
        <f>COUNTIF($E$2:$E$7106,E6189)</f>
        <v>9</v>
      </c>
    </row>
    <row r="6190" spans="1:6" x14ac:dyDescent="0.2">
      <c r="A6190">
        <v>2016</v>
      </c>
      <c r="B6190" s="13">
        <v>1270</v>
      </c>
      <c r="C6190" s="90" t="str">
        <f>VLOOKUP(B6190,'All Districts'!$A$3:$B$874,2,FALSE)</f>
        <v>Syracuse</v>
      </c>
      <c r="D6190" s="16">
        <v>23282509</v>
      </c>
      <c r="E6190">
        <f>VLOOKUP(C6190,'All Districts'!$B$3:$C$874,2,FALSE)</f>
        <v>3628590</v>
      </c>
      <c r="F6190" s="91">
        <f>COUNTIF($E$2:$E$7106,E6190)</f>
        <v>9</v>
      </c>
    </row>
    <row r="6191" spans="1:6" x14ac:dyDescent="0.2">
      <c r="A6191">
        <v>2017</v>
      </c>
      <c r="B6191" s="13">
        <v>1270</v>
      </c>
      <c r="C6191" s="90" t="str">
        <f>VLOOKUP(B6191,'All Districts'!$A$3:$B$874,2,FALSE)</f>
        <v>Syracuse</v>
      </c>
      <c r="D6191" s="16">
        <v>20788074</v>
      </c>
      <c r="E6191">
        <f>VLOOKUP(C6191,'All Districts'!$B$3:$C$874,2,FALSE)</f>
        <v>3628590</v>
      </c>
      <c r="F6191" s="91">
        <f>COUNTIF($E$2:$E$7106,E6191)</f>
        <v>9</v>
      </c>
    </row>
    <row r="6192" spans="1:6" x14ac:dyDescent="0.2">
      <c r="A6192" s="10">
        <v>2018</v>
      </c>
      <c r="B6192" s="13">
        <v>1270</v>
      </c>
      <c r="C6192" s="90" t="str">
        <f>VLOOKUP(B6192,'All Districts'!$A$3:$B$874,2,FALSE)</f>
        <v>Syracuse</v>
      </c>
      <c r="D6192" s="15">
        <v>18028006</v>
      </c>
      <c r="E6192">
        <f>VLOOKUP(C6192,'All Districts'!$B$3:$C$874,2,FALSE)</f>
        <v>3628590</v>
      </c>
      <c r="F6192" s="91">
        <f>COUNTIF($E$2:$E$7106,E6192)</f>
        <v>9</v>
      </c>
    </row>
    <row r="6193" spans="1:6" x14ac:dyDescent="0.2">
      <c r="A6193">
        <v>2019</v>
      </c>
      <c r="B6193" s="36">
        <v>1270</v>
      </c>
      <c r="C6193" s="90" t="str">
        <f>VLOOKUP(B6193,'All Districts'!$A$3:$B$874,2,FALSE)</f>
        <v>Syracuse</v>
      </c>
      <c r="D6193" s="40">
        <v>20169382</v>
      </c>
      <c r="E6193">
        <f>VLOOKUP(C6193,'All Districts'!$B$3:$C$874,2,FALSE)</f>
        <v>3628590</v>
      </c>
      <c r="F6193" s="91">
        <f>COUNTIF($E$2:$E$7106,E6193)</f>
        <v>9</v>
      </c>
    </row>
    <row r="6194" spans="1:6" x14ac:dyDescent="0.2">
      <c r="A6194">
        <v>2020</v>
      </c>
      <c r="B6194" s="36">
        <v>1270</v>
      </c>
      <c r="C6194" s="90" t="str">
        <f>VLOOKUP(B6194,'All Districts'!$A$3:$B$874,2,FALSE)</f>
        <v>Syracuse</v>
      </c>
      <c r="D6194" s="40">
        <v>17250303</v>
      </c>
      <c r="E6194">
        <f>VLOOKUP(C6194,'All Districts'!$B$3:$C$874,2,FALSE)</f>
        <v>3628590</v>
      </c>
      <c r="F6194" s="91">
        <f>COUNTIF($E$2:$E$7106,E6194)</f>
        <v>9</v>
      </c>
    </row>
    <row r="6195" spans="1:6" x14ac:dyDescent="0.2">
      <c r="A6195" s="10">
        <v>2021</v>
      </c>
      <c r="B6195" s="52">
        <v>1270</v>
      </c>
      <c r="C6195" s="90" t="str">
        <f>VLOOKUP(B6195,'All Districts'!$A$3:$B$874,2,FALSE)</f>
        <v>Syracuse</v>
      </c>
      <c r="D6195" s="76">
        <v>17487327</v>
      </c>
      <c r="E6195">
        <f>VLOOKUP(C6195,'All Districts'!$B$3:$C$874,2,FALSE)</f>
        <v>3628590</v>
      </c>
      <c r="F6195" s="91">
        <f>COUNTIF($E$2:$E$7106,E6195)</f>
        <v>9</v>
      </c>
    </row>
    <row r="6196" spans="1:6" x14ac:dyDescent="0.2">
      <c r="A6196">
        <v>2022</v>
      </c>
      <c r="B6196" s="36">
        <v>1270</v>
      </c>
      <c r="C6196" s="90" t="str">
        <f>VLOOKUP(B6196,'All Districts'!$A$3:$B$874,2,FALSE)</f>
        <v>Syracuse</v>
      </c>
      <c r="D6196" s="82">
        <v>20209748</v>
      </c>
      <c r="E6196">
        <f>VLOOKUP(C6196,'All Districts'!$B$3:$C$874,2,FALSE)</f>
        <v>3628590</v>
      </c>
      <c r="F6196" s="91">
        <f>COUNTIF($E$2:$E$7106,E6196)</f>
        <v>9</v>
      </c>
    </row>
    <row r="6197" spans="1:6" x14ac:dyDescent="0.2">
      <c r="A6197">
        <v>2023</v>
      </c>
      <c r="B6197" s="36">
        <v>1270</v>
      </c>
      <c r="C6197" s="90" t="str">
        <f>VLOOKUP(B6197,'All Districts'!$A$3:$B$874,2,FALSE)</f>
        <v>Syracuse</v>
      </c>
      <c r="D6197" s="40">
        <v>21563876</v>
      </c>
      <c r="E6197">
        <f>VLOOKUP(C6197,'All Districts'!$B$3:$C$874,2,FALSE)</f>
        <v>3628590</v>
      </c>
      <c r="F6197" s="91">
        <f>COUNTIF($E$2:$E$7106,E6197)</f>
        <v>9</v>
      </c>
    </row>
    <row r="6198" spans="1:6" x14ac:dyDescent="0.2">
      <c r="A6198">
        <v>2015</v>
      </c>
      <c r="B6198" s="13">
        <v>8415</v>
      </c>
      <c r="C6198" s="90" t="str">
        <f>VLOOKUP(B6198,'All Districts'!$A$3:$B$874,2,FALSE)</f>
        <v>Syracuse Academy of Science</v>
      </c>
      <c r="D6198" s="16">
        <v>653966</v>
      </c>
      <c r="E6198">
        <f>VLOOKUP(C6198,'All Districts'!$B$3:$C$874,2,FALSE)</f>
        <v>3600104</v>
      </c>
      <c r="F6198" s="91">
        <f>COUNTIF($E$2:$E$7106,E6198)</f>
        <v>9</v>
      </c>
    </row>
    <row r="6199" spans="1:6" x14ac:dyDescent="0.2">
      <c r="A6199">
        <v>2016</v>
      </c>
      <c r="B6199" s="13">
        <v>8415</v>
      </c>
      <c r="C6199" s="90" t="str">
        <f>VLOOKUP(B6199,'All Districts'!$A$3:$B$874,2,FALSE)</f>
        <v>Syracuse Academy of Science</v>
      </c>
      <c r="D6199" s="16">
        <v>534763</v>
      </c>
      <c r="E6199">
        <f>VLOOKUP(C6199,'All Districts'!$B$3:$C$874,2,FALSE)</f>
        <v>3600104</v>
      </c>
      <c r="F6199" s="91">
        <f>COUNTIF($E$2:$E$7106,E6199)</f>
        <v>9</v>
      </c>
    </row>
    <row r="6200" spans="1:6" x14ac:dyDescent="0.2">
      <c r="A6200">
        <v>2017</v>
      </c>
      <c r="B6200" s="13">
        <v>8415</v>
      </c>
      <c r="C6200" s="90" t="str">
        <f>VLOOKUP(B6200,'All Districts'!$A$3:$B$874,2,FALSE)</f>
        <v>Syracuse Academy of Science</v>
      </c>
      <c r="D6200" s="16">
        <v>551371</v>
      </c>
      <c r="E6200">
        <f>VLOOKUP(C6200,'All Districts'!$B$3:$C$874,2,FALSE)</f>
        <v>3600104</v>
      </c>
      <c r="F6200" s="91">
        <f>COUNTIF($E$2:$E$7106,E6200)</f>
        <v>9</v>
      </c>
    </row>
    <row r="6201" spans="1:6" x14ac:dyDescent="0.2">
      <c r="A6201" s="10">
        <v>2018</v>
      </c>
      <c r="B6201" s="13">
        <v>8415</v>
      </c>
      <c r="C6201" s="90" t="str">
        <f>VLOOKUP(B6201,'All Districts'!$A$3:$B$874,2,FALSE)</f>
        <v>Syracuse Academy of Science</v>
      </c>
      <c r="D6201" s="15">
        <v>559094</v>
      </c>
      <c r="E6201">
        <f>VLOOKUP(C6201,'All Districts'!$B$3:$C$874,2,FALSE)</f>
        <v>3600104</v>
      </c>
      <c r="F6201" s="91">
        <f>COUNTIF($E$2:$E$7106,E6201)</f>
        <v>9</v>
      </c>
    </row>
    <row r="6202" spans="1:6" x14ac:dyDescent="0.2">
      <c r="A6202">
        <v>2019</v>
      </c>
      <c r="B6202" s="36">
        <v>8415</v>
      </c>
      <c r="C6202" s="90" t="str">
        <f>VLOOKUP(B6202,'All Districts'!$A$3:$B$874,2,FALSE)</f>
        <v>Syracuse Academy of Science</v>
      </c>
      <c r="D6202" s="40">
        <v>613957</v>
      </c>
      <c r="E6202">
        <f>VLOOKUP(C6202,'All Districts'!$B$3:$C$874,2,FALSE)</f>
        <v>3600104</v>
      </c>
      <c r="F6202" s="91">
        <f>COUNTIF($E$2:$E$7106,E6202)</f>
        <v>9</v>
      </c>
    </row>
    <row r="6203" spans="1:6" x14ac:dyDescent="0.2">
      <c r="A6203">
        <v>2020</v>
      </c>
      <c r="B6203" s="36">
        <v>8415</v>
      </c>
      <c r="C6203" s="90" t="str">
        <f>VLOOKUP(B6203,'All Districts'!$A$3:$B$874,2,FALSE)</f>
        <v>Syracuse Academy of Science</v>
      </c>
      <c r="D6203" s="40">
        <v>509344</v>
      </c>
      <c r="E6203">
        <f>VLOOKUP(C6203,'All Districts'!$B$3:$C$874,2,FALSE)</f>
        <v>3600104</v>
      </c>
      <c r="F6203" s="91">
        <f>COUNTIF($E$2:$E$7106,E6203)</f>
        <v>9</v>
      </c>
    </row>
    <row r="6204" spans="1:6" x14ac:dyDescent="0.2">
      <c r="A6204" s="10">
        <v>2021</v>
      </c>
      <c r="B6204" s="52">
        <v>8415</v>
      </c>
      <c r="C6204" s="90" t="str">
        <f>VLOOKUP(B6204,'All Districts'!$A$3:$B$874,2,FALSE)</f>
        <v>Syracuse Academy of Science</v>
      </c>
      <c r="D6204" s="76">
        <v>526805</v>
      </c>
      <c r="E6204">
        <f>VLOOKUP(C6204,'All Districts'!$B$3:$C$874,2,FALSE)</f>
        <v>3600104</v>
      </c>
      <c r="F6204" s="91">
        <f>COUNTIF($E$2:$E$7106,E6204)</f>
        <v>9</v>
      </c>
    </row>
    <row r="6205" spans="1:6" x14ac:dyDescent="0.2">
      <c r="A6205">
        <v>2022</v>
      </c>
      <c r="B6205" s="36">
        <v>8415</v>
      </c>
      <c r="C6205" s="90" t="str">
        <f>VLOOKUP(B6205,'All Districts'!$A$3:$B$874,2,FALSE)</f>
        <v>Syracuse Academy of Science</v>
      </c>
      <c r="D6205" s="82">
        <v>601167</v>
      </c>
      <c r="E6205">
        <f>VLOOKUP(C6205,'All Districts'!$B$3:$C$874,2,FALSE)</f>
        <v>3600104</v>
      </c>
      <c r="F6205" s="91">
        <f>COUNTIF($E$2:$E$7106,E6205)</f>
        <v>9</v>
      </c>
    </row>
    <row r="6206" spans="1:6" x14ac:dyDescent="0.2">
      <c r="A6206">
        <v>2023</v>
      </c>
      <c r="B6206" s="36">
        <v>8415</v>
      </c>
      <c r="C6206" s="90" t="str">
        <f>VLOOKUP(B6206,'All Districts'!$A$3:$B$874,2,FALSE)</f>
        <v>Syracuse Academy of Science</v>
      </c>
      <c r="D6206" s="40">
        <v>692126</v>
      </c>
      <c r="E6206">
        <f>VLOOKUP(C6206,'All Districts'!$B$3:$C$874,2,FALSE)</f>
        <v>3600104</v>
      </c>
      <c r="F6206" s="91">
        <f>COUNTIF($E$2:$E$7106,E6206)</f>
        <v>9</v>
      </c>
    </row>
    <row r="6207" spans="1:6" x14ac:dyDescent="0.2">
      <c r="A6207">
        <v>2015</v>
      </c>
      <c r="B6207" s="13">
        <v>4909</v>
      </c>
      <c r="C6207" s="90" t="str">
        <f>VLOOKUP(B6207,'All Districts'!$A$3:$B$874,2,FALSE)</f>
        <v>Taconic Hills</v>
      </c>
      <c r="D6207" s="14">
        <v>1814118</v>
      </c>
      <c r="E6207">
        <f>VLOOKUP(C6207,'All Districts'!$B$3:$C$874,2,FALSE)</f>
        <v>3628620</v>
      </c>
      <c r="F6207" s="91">
        <f>COUNTIF($E$2:$E$7106,E6207)</f>
        <v>9</v>
      </c>
    </row>
    <row r="6208" spans="1:6" x14ac:dyDescent="0.2">
      <c r="A6208">
        <v>2016</v>
      </c>
      <c r="B6208" s="13">
        <v>4909</v>
      </c>
      <c r="C6208" s="90" t="str">
        <f>VLOOKUP(B6208,'All Districts'!$A$3:$B$874,2,FALSE)</f>
        <v>Taconic Hills</v>
      </c>
      <c r="D6208" s="16">
        <v>1407993</v>
      </c>
      <c r="E6208">
        <f>VLOOKUP(C6208,'All Districts'!$B$3:$C$874,2,FALSE)</f>
        <v>3628620</v>
      </c>
      <c r="F6208" s="91">
        <f>COUNTIF($E$2:$E$7106,E6208)</f>
        <v>9</v>
      </c>
    </row>
    <row r="6209" spans="1:6" x14ac:dyDescent="0.2">
      <c r="A6209">
        <v>2017</v>
      </c>
      <c r="B6209" s="13">
        <v>4909</v>
      </c>
      <c r="C6209" s="90" t="str">
        <f>VLOOKUP(B6209,'All Districts'!$A$3:$B$874,2,FALSE)</f>
        <v>Taconic Hills</v>
      </c>
      <c r="D6209" s="16">
        <v>1278966</v>
      </c>
      <c r="E6209">
        <f>VLOOKUP(C6209,'All Districts'!$B$3:$C$874,2,FALSE)</f>
        <v>3628620</v>
      </c>
      <c r="F6209" s="91">
        <f>COUNTIF($E$2:$E$7106,E6209)</f>
        <v>9</v>
      </c>
    </row>
    <row r="6210" spans="1:6" x14ac:dyDescent="0.2">
      <c r="A6210" s="10">
        <v>2018</v>
      </c>
      <c r="B6210" s="13">
        <v>4909</v>
      </c>
      <c r="C6210" s="90" t="str">
        <f>VLOOKUP(B6210,'All Districts'!$A$3:$B$874,2,FALSE)</f>
        <v>Taconic Hills</v>
      </c>
      <c r="D6210" s="15">
        <v>1086703</v>
      </c>
      <c r="E6210">
        <f>VLOOKUP(C6210,'All Districts'!$B$3:$C$874,2,FALSE)</f>
        <v>3628620</v>
      </c>
      <c r="F6210" s="91">
        <f>COUNTIF($E$2:$E$7106,E6210)</f>
        <v>9</v>
      </c>
    </row>
    <row r="6211" spans="1:6" x14ac:dyDescent="0.2">
      <c r="A6211">
        <v>2019</v>
      </c>
      <c r="B6211" s="36">
        <v>4909</v>
      </c>
      <c r="C6211" s="90" t="str">
        <f>VLOOKUP(B6211,'All Districts'!$A$3:$B$874,2,FALSE)</f>
        <v>Taconic Hills</v>
      </c>
      <c r="D6211" s="40">
        <v>1228497</v>
      </c>
      <c r="E6211">
        <f>VLOOKUP(C6211,'All Districts'!$B$3:$C$874,2,FALSE)</f>
        <v>3628620</v>
      </c>
      <c r="F6211" s="91">
        <f>COUNTIF($E$2:$E$7106,E6211)</f>
        <v>9</v>
      </c>
    </row>
    <row r="6212" spans="1:6" x14ac:dyDescent="0.2">
      <c r="A6212">
        <v>2020</v>
      </c>
      <c r="B6212" s="36">
        <v>4909</v>
      </c>
      <c r="C6212" s="90" t="str">
        <f>VLOOKUP(B6212,'All Districts'!$A$3:$B$874,2,FALSE)</f>
        <v>Taconic Hills</v>
      </c>
      <c r="D6212" s="40">
        <v>1048775</v>
      </c>
      <c r="E6212">
        <f>VLOOKUP(C6212,'All Districts'!$B$3:$C$874,2,FALSE)</f>
        <v>3628620</v>
      </c>
      <c r="F6212" s="91">
        <f>COUNTIF($E$2:$E$7106,E6212)</f>
        <v>9</v>
      </c>
    </row>
    <row r="6213" spans="1:6" x14ac:dyDescent="0.2">
      <c r="A6213" s="10">
        <v>2021</v>
      </c>
      <c r="B6213" s="52">
        <v>4909</v>
      </c>
      <c r="C6213" s="90" t="str">
        <f>VLOOKUP(B6213,'All Districts'!$A$3:$B$874,2,FALSE)</f>
        <v>Taconic Hills</v>
      </c>
      <c r="D6213" s="75">
        <v>1139449</v>
      </c>
      <c r="E6213">
        <f>VLOOKUP(C6213,'All Districts'!$B$3:$C$874,2,FALSE)</f>
        <v>3628620</v>
      </c>
      <c r="F6213" s="91">
        <f>COUNTIF($E$2:$E$7106,E6213)</f>
        <v>9</v>
      </c>
    </row>
    <row r="6214" spans="1:6" x14ac:dyDescent="0.2">
      <c r="A6214">
        <v>2022</v>
      </c>
      <c r="B6214" s="36">
        <v>4909</v>
      </c>
      <c r="C6214" s="90" t="str">
        <f>VLOOKUP(B6214,'All Districts'!$A$3:$B$874,2,FALSE)</f>
        <v>Taconic Hills</v>
      </c>
      <c r="D6214" s="82">
        <v>1189335</v>
      </c>
      <c r="E6214">
        <f>VLOOKUP(C6214,'All Districts'!$B$3:$C$874,2,FALSE)</f>
        <v>3628620</v>
      </c>
      <c r="F6214" s="91">
        <f>COUNTIF($E$2:$E$7106,E6214)</f>
        <v>9</v>
      </c>
    </row>
    <row r="6215" spans="1:6" x14ac:dyDescent="0.2">
      <c r="A6215">
        <v>2023</v>
      </c>
      <c r="B6215" s="36">
        <v>4909</v>
      </c>
      <c r="C6215" s="90" t="str">
        <f>VLOOKUP(B6215,'All Districts'!$A$3:$B$874,2,FALSE)</f>
        <v>Taconic Hills</v>
      </c>
      <c r="D6215" s="40">
        <v>1220638</v>
      </c>
      <c r="E6215">
        <f>VLOOKUP(C6215,'All Districts'!$B$3:$C$874,2,FALSE)</f>
        <v>3628620</v>
      </c>
      <c r="F6215" s="91">
        <f>COUNTIF($E$2:$E$7106,E6215)</f>
        <v>9</v>
      </c>
    </row>
    <row r="6216" spans="1:6" x14ac:dyDescent="0.2">
      <c r="A6216">
        <v>2015</v>
      </c>
      <c r="B6216" s="13">
        <v>8409</v>
      </c>
      <c r="C6216" s="90" t="str">
        <f>VLOOKUP(B6216,'All Districts'!$A$3:$B$874,2,FALSE)</f>
        <v>Tapestry</v>
      </c>
      <c r="D6216" s="16">
        <v>820163</v>
      </c>
      <c r="E6216">
        <f>VLOOKUP(C6216,'All Districts'!$B$3:$C$874,2,FALSE)</f>
        <v>3600038</v>
      </c>
      <c r="F6216" s="91">
        <f>COUNTIF($E$2:$E$7106,E6216)</f>
        <v>9</v>
      </c>
    </row>
    <row r="6217" spans="1:6" x14ac:dyDescent="0.2">
      <c r="A6217">
        <v>2016</v>
      </c>
      <c r="B6217" s="13">
        <v>8409</v>
      </c>
      <c r="C6217" s="90" t="str">
        <f>VLOOKUP(B6217,'All Districts'!$A$3:$B$874,2,FALSE)</f>
        <v>Tapestry</v>
      </c>
      <c r="D6217" s="16">
        <v>687973</v>
      </c>
      <c r="E6217">
        <f>VLOOKUP(C6217,'All Districts'!$B$3:$C$874,2,FALSE)</f>
        <v>3600038</v>
      </c>
      <c r="F6217" s="91">
        <f>COUNTIF($E$2:$E$7106,E6217)</f>
        <v>9</v>
      </c>
    </row>
    <row r="6218" spans="1:6" x14ac:dyDescent="0.2">
      <c r="A6218">
        <v>2017</v>
      </c>
      <c r="B6218" s="13">
        <v>8409</v>
      </c>
      <c r="C6218" s="90" t="str">
        <f>VLOOKUP(B6218,'All Districts'!$A$3:$B$874,2,FALSE)</f>
        <v>Tapestry</v>
      </c>
      <c r="D6218" s="16">
        <v>656304</v>
      </c>
      <c r="E6218">
        <f>VLOOKUP(C6218,'All Districts'!$B$3:$C$874,2,FALSE)</f>
        <v>3600038</v>
      </c>
      <c r="F6218" s="91">
        <f>COUNTIF($E$2:$E$7106,E6218)</f>
        <v>9</v>
      </c>
    </row>
    <row r="6219" spans="1:6" x14ac:dyDescent="0.2">
      <c r="A6219" s="10">
        <v>2018</v>
      </c>
      <c r="B6219" s="13">
        <v>8409</v>
      </c>
      <c r="C6219" s="90" t="str">
        <f>VLOOKUP(B6219,'All Districts'!$A$3:$B$874,2,FALSE)</f>
        <v>Tapestry</v>
      </c>
      <c r="D6219" s="15">
        <v>594612</v>
      </c>
      <c r="E6219">
        <f>VLOOKUP(C6219,'All Districts'!$B$3:$C$874,2,FALSE)</f>
        <v>3600038</v>
      </c>
      <c r="F6219" s="91">
        <f>COUNTIF($E$2:$E$7106,E6219)</f>
        <v>9</v>
      </c>
    </row>
    <row r="6220" spans="1:6" x14ac:dyDescent="0.2">
      <c r="A6220">
        <v>2019</v>
      </c>
      <c r="B6220" s="36">
        <v>8409</v>
      </c>
      <c r="C6220" s="90" t="str">
        <f>VLOOKUP(B6220,'All Districts'!$A$3:$B$874,2,FALSE)</f>
        <v>Tapestry</v>
      </c>
      <c r="D6220" s="40">
        <v>701951</v>
      </c>
      <c r="E6220">
        <f>VLOOKUP(C6220,'All Districts'!$B$3:$C$874,2,FALSE)</f>
        <v>3600038</v>
      </c>
      <c r="F6220" s="91">
        <f>COUNTIF($E$2:$E$7106,E6220)</f>
        <v>9</v>
      </c>
    </row>
    <row r="6221" spans="1:6" x14ac:dyDescent="0.2">
      <c r="A6221">
        <v>2020</v>
      </c>
      <c r="B6221" s="36">
        <v>8409</v>
      </c>
      <c r="C6221" s="90" t="str">
        <f>VLOOKUP(B6221,'All Districts'!$A$3:$B$874,2,FALSE)</f>
        <v>Tapestry</v>
      </c>
      <c r="D6221" s="40">
        <v>627388</v>
      </c>
      <c r="E6221">
        <f>VLOOKUP(C6221,'All Districts'!$B$3:$C$874,2,FALSE)</f>
        <v>3600038</v>
      </c>
      <c r="F6221" s="91">
        <f>COUNTIF($E$2:$E$7106,E6221)</f>
        <v>9</v>
      </c>
    </row>
    <row r="6222" spans="1:6" x14ac:dyDescent="0.2">
      <c r="A6222" s="10">
        <v>2021</v>
      </c>
      <c r="B6222" s="52">
        <v>8409</v>
      </c>
      <c r="C6222" s="90" t="str">
        <f>VLOOKUP(B6222,'All Districts'!$A$3:$B$874,2,FALSE)</f>
        <v>Tapestry</v>
      </c>
      <c r="D6222" s="75">
        <v>678082</v>
      </c>
      <c r="E6222">
        <f>VLOOKUP(C6222,'All Districts'!$B$3:$C$874,2,FALSE)</f>
        <v>3600038</v>
      </c>
      <c r="F6222" s="91">
        <f>COUNTIF($E$2:$E$7106,E6222)</f>
        <v>9</v>
      </c>
    </row>
    <row r="6223" spans="1:6" x14ac:dyDescent="0.2">
      <c r="A6223">
        <v>2022</v>
      </c>
      <c r="B6223" s="36">
        <v>8409</v>
      </c>
      <c r="C6223" s="90" t="str">
        <f>VLOOKUP(B6223,'All Districts'!$A$3:$B$874,2,FALSE)</f>
        <v>Tapestry</v>
      </c>
      <c r="D6223" s="82">
        <v>836535</v>
      </c>
      <c r="E6223">
        <f>VLOOKUP(C6223,'All Districts'!$B$3:$C$874,2,FALSE)</f>
        <v>3600038</v>
      </c>
      <c r="F6223" s="91">
        <f>COUNTIF($E$2:$E$7106,E6223)</f>
        <v>9</v>
      </c>
    </row>
    <row r="6224" spans="1:6" x14ac:dyDescent="0.2">
      <c r="A6224">
        <v>2023</v>
      </c>
      <c r="B6224" s="36">
        <v>8409</v>
      </c>
      <c r="C6224" s="90" t="str">
        <f>VLOOKUP(B6224,'All Districts'!$A$3:$B$874,2,FALSE)</f>
        <v>Tapestry</v>
      </c>
      <c r="D6224" s="40">
        <v>878149</v>
      </c>
      <c r="E6224">
        <f>VLOOKUP(C6224,'All Districts'!$B$3:$C$874,2,FALSE)</f>
        <v>3600038</v>
      </c>
      <c r="F6224" s="91">
        <f>COUNTIF($E$2:$E$7106,E6224)</f>
        <v>9</v>
      </c>
    </row>
    <row r="6225" spans="1:6" x14ac:dyDescent="0.2">
      <c r="A6225">
        <v>2015</v>
      </c>
      <c r="B6225" s="13">
        <v>4130</v>
      </c>
      <c r="C6225" s="90" t="str">
        <f>VLOOKUP(B6225,'All Districts'!$A$3:$B$874,2,FALSE)</f>
        <v>Thousand Islands</v>
      </c>
      <c r="D6225" s="14">
        <v>1043282</v>
      </c>
      <c r="E6225">
        <f>VLOOKUP(C6225,'All Districts'!$B$3:$C$874,2,FALSE)</f>
        <v>3607650</v>
      </c>
      <c r="F6225" s="91">
        <f>COUNTIF($E$2:$E$7106,E6225)</f>
        <v>9</v>
      </c>
    </row>
    <row r="6226" spans="1:6" x14ac:dyDescent="0.2">
      <c r="A6226">
        <v>2016</v>
      </c>
      <c r="B6226" s="13">
        <v>4130</v>
      </c>
      <c r="C6226" s="90" t="str">
        <f>VLOOKUP(B6226,'All Districts'!$A$3:$B$874,2,FALSE)</f>
        <v>Thousand Islands</v>
      </c>
      <c r="D6226" s="16">
        <v>788023</v>
      </c>
      <c r="E6226">
        <f>VLOOKUP(C6226,'All Districts'!$B$3:$C$874,2,FALSE)</f>
        <v>3607650</v>
      </c>
      <c r="F6226" s="91">
        <f>COUNTIF($E$2:$E$7106,E6226)</f>
        <v>9</v>
      </c>
    </row>
    <row r="6227" spans="1:6" x14ac:dyDescent="0.2">
      <c r="A6227">
        <v>2017</v>
      </c>
      <c r="B6227" s="13">
        <v>4130</v>
      </c>
      <c r="C6227" s="90" t="str">
        <f>VLOOKUP(B6227,'All Districts'!$A$3:$B$874,2,FALSE)</f>
        <v>Thousand Islands</v>
      </c>
      <c r="D6227" s="16">
        <v>716672</v>
      </c>
      <c r="E6227">
        <f>VLOOKUP(C6227,'All Districts'!$B$3:$C$874,2,FALSE)</f>
        <v>3607650</v>
      </c>
      <c r="F6227" s="91">
        <f>COUNTIF($E$2:$E$7106,E6227)</f>
        <v>9</v>
      </c>
    </row>
    <row r="6228" spans="1:6" x14ac:dyDescent="0.2">
      <c r="A6228" s="10">
        <v>2018</v>
      </c>
      <c r="B6228" s="13">
        <v>4130</v>
      </c>
      <c r="C6228" s="90" t="str">
        <f>VLOOKUP(B6228,'All Districts'!$A$3:$B$874,2,FALSE)</f>
        <v>Thousand Islands</v>
      </c>
      <c r="D6228" s="15">
        <v>582754</v>
      </c>
      <c r="E6228">
        <f>VLOOKUP(C6228,'All Districts'!$B$3:$C$874,2,FALSE)</f>
        <v>3607650</v>
      </c>
      <c r="F6228" s="91">
        <f>COUNTIF($E$2:$E$7106,E6228)</f>
        <v>9</v>
      </c>
    </row>
    <row r="6229" spans="1:6" x14ac:dyDescent="0.2">
      <c r="A6229">
        <v>2019</v>
      </c>
      <c r="B6229" s="36">
        <v>4130</v>
      </c>
      <c r="C6229" s="90" t="str">
        <f>VLOOKUP(B6229,'All Districts'!$A$3:$B$874,2,FALSE)</f>
        <v>Thousand Islands</v>
      </c>
      <c r="D6229" s="40">
        <v>659249</v>
      </c>
      <c r="E6229">
        <f>VLOOKUP(C6229,'All Districts'!$B$3:$C$874,2,FALSE)</f>
        <v>3607650</v>
      </c>
      <c r="F6229" s="91">
        <f>COUNTIF($E$2:$E$7106,E6229)</f>
        <v>9</v>
      </c>
    </row>
    <row r="6230" spans="1:6" x14ac:dyDescent="0.2">
      <c r="A6230">
        <v>2020</v>
      </c>
      <c r="B6230" s="36">
        <v>4130</v>
      </c>
      <c r="C6230" s="90" t="str">
        <f>VLOOKUP(B6230,'All Districts'!$A$3:$B$874,2,FALSE)</f>
        <v>Thousand Islands</v>
      </c>
      <c r="D6230" s="40">
        <v>552377</v>
      </c>
      <c r="E6230">
        <f>VLOOKUP(C6230,'All Districts'!$B$3:$C$874,2,FALSE)</f>
        <v>3607650</v>
      </c>
      <c r="F6230" s="91">
        <f>COUNTIF($E$2:$E$7106,E6230)</f>
        <v>9</v>
      </c>
    </row>
    <row r="6231" spans="1:6" x14ac:dyDescent="0.2">
      <c r="A6231" s="10">
        <v>2021</v>
      </c>
      <c r="B6231" s="52">
        <v>4130</v>
      </c>
      <c r="C6231" s="90" t="str">
        <f>VLOOKUP(B6231,'All Districts'!$A$3:$B$874,2,FALSE)</f>
        <v>Thousand Islands</v>
      </c>
      <c r="D6231" s="76">
        <v>585824</v>
      </c>
      <c r="E6231">
        <f>VLOOKUP(C6231,'All Districts'!$B$3:$C$874,2,FALSE)</f>
        <v>3607650</v>
      </c>
      <c r="F6231" s="91">
        <f>COUNTIF($E$2:$E$7106,E6231)</f>
        <v>9</v>
      </c>
    </row>
    <row r="6232" spans="1:6" x14ac:dyDescent="0.2">
      <c r="A6232">
        <v>2022</v>
      </c>
      <c r="B6232" s="36">
        <v>4130</v>
      </c>
      <c r="C6232" s="90" t="str">
        <f>VLOOKUP(B6232,'All Districts'!$A$3:$B$874,2,FALSE)</f>
        <v>Thousand Islands</v>
      </c>
      <c r="D6232" s="82">
        <v>580360</v>
      </c>
      <c r="E6232">
        <f>VLOOKUP(C6232,'All Districts'!$B$3:$C$874,2,FALSE)</f>
        <v>3607650</v>
      </c>
      <c r="F6232" s="91">
        <f>COUNTIF($E$2:$E$7106,E6232)</f>
        <v>9</v>
      </c>
    </row>
    <row r="6233" spans="1:6" x14ac:dyDescent="0.2">
      <c r="A6233">
        <v>2023</v>
      </c>
      <c r="B6233" s="36">
        <v>4130</v>
      </c>
      <c r="C6233" s="90" t="str">
        <f>VLOOKUP(B6233,'All Districts'!$A$3:$B$874,2,FALSE)</f>
        <v>Thousand Islands</v>
      </c>
      <c r="D6233" s="40">
        <v>623591</v>
      </c>
      <c r="E6233">
        <f>VLOOKUP(C6233,'All Districts'!$B$3:$C$874,2,FALSE)</f>
        <v>3607650</v>
      </c>
      <c r="F6233" s="91">
        <f>COUNTIF($E$2:$E$7106,E6233)</f>
        <v>9</v>
      </c>
    </row>
    <row r="6234" spans="1:6" x14ac:dyDescent="0.2">
      <c r="A6234">
        <v>2015</v>
      </c>
      <c r="B6234" s="13">
        <v>2593</v>
      </c>
      <c r="C6234" s="90" t="str">
        <f>VLOOKUP(B6234,'All Districts'!$A$3:$B$874,2,FALSE)</f>
        <v>Three Village</v>
      </c>
      <c r="D6234" s="14">
        <v>12689211</v>
      </c>
      <c r="E6234">
        <f>VLOOKUP(C6234,'All Districts'!$B$3:$C$874,2,FALSE)</f>
        <v>3628200</v>
      </c>
      <c r="F6234" s="91">
        <f>COUNTIF($E$2:$E$7106,E6234)</f>
        <v>9</v>
      </c>
    </row>
    <row r="6235" spans="1:6" x14ac:dyDescent="0.2">
      <c r="A6235">
        <v>2016</v>
      </c>
      <c r="B6235" s="13">
        <v>2593</v>
      </c>
      <c r="C6235" s="90" t="str">
        <f>VLOOKUP(B6235,'All Districts'!$A$3:$B$874,2,FALSE)</f>
        <v>Three Village</v>
      </c>
      <c r="D6235" s="16">
        <v>10057742</v>
      </c>
      <c r="E6235">
        <f>VLOOKUP(C6235,'All Districts'!$B$3:$C$874,2,FALSE)</f>
        <v>3628200</v>
      </c>
      <c r="F6235" s="91">
        <f>COUNTIF($E$2:$E$7106,E6235)</f>
        <v>9</v>
      </c>
    </row>
    <row r="6236" spans="1:6" x14ac:dyDescent="0.2">
      <c r="A6236">
        <v>2017</v>
      </c>
      <c r="B6236" s="13">
        <v>2593</v>
      </c>
      <c r="C6236" s="90" t="str">
        <f>VLOOKUP(B6236,'All Districts'!$A$3:$B$874,2,FALSE)</f>
        <v>Three Village</v>
      </c>
      <c r="D6236" s="16">
        <v>9502307</v>
      </c>
      <c r="E6236">
        <f>VLOOKUP(C6236,'All Districts'!$B$3:$C$874,2,FALSE)</f>
        <v>3628200</v>
      </c>
      <c r="F6236" s="91">
        <f>COUNTIF($E$2:$E$7106,E6236)</f>
        <v>9</v>
      </c>
    </row>
    <row r="6237" spans="1:6" x14ac:dyDescent="0.2">
      <c r="A6237" s="10">
        <v>2018</v>
      </c>
      <c r="B6237" s="13">
        <v>2593</v>
      </c>
      <c r="C6237" s="90" t="str">
        <f>VLOOKUP(B6237,'All Districts'!$A$3:$B$874,2,FALSE)</f>
        <v>Three Village</v>
      </c>
      <c r="D6237" s="15">
        <v>8204812</v>
      </c>
      <c r="E6237">
        <f>VLOOKUP(C6237,'All Districts'!$B$3:$C$874,2,FALSE)</f>
        <v>3628200</v>
      </c>
      <c r="F6237" s="91">
        <f>COUNTIF($E$2:$E$7106,E6237)</f>
        <v>9</v>
      </c>
    </row>
    <row r="6238" spans="1:6" x14ac:dyDescent="0.2">
      <c r="A6238">
        <v>2019</v>
      </c>
      <c r="B6238" s="36">
        <v>2593</v>
      </c>
      <c r="C6238" s="90" t="str">
        <f>VLOOKUP(B6238,'All Districts'!$A$3:$B$874,2,FALSE)</f>
        <v>Three Village</v>
      </c>
      <c r="D6238" s="40">
        <v>9128281</v>
      </c>
      <c r="E6238">
        <f>VLOOKUP(C6238,'All Districts'!$B$3:$C$874,2,FALSE)</f>
        <v>3628200</v>
      </c>
      <c r="F6238" s="91">
        <f>COUNTIF($E$2:$E$7106,E6238)</f>
        <v>9</v>
      </c>
    </row>
    <row r="6239" spans="1:6" x14ac:dyDescent="0.2">
      <c r="A6239">
        <v>2020</v>
      </c>
      <c r="B6239" s="36">
        <v>2593</v>
      </c>
      <c r="C6239" s="90" t="str">
        <f>VLOOKUP(B6239,'All Districts'!$A$3:$B$874,2,FALSE)</f>
        <v>Three Village</v>
      </c>
      <c r="D6239" s="40">
        <v>7799597</v>
      </c>
      <c r="E6239">
        <f>VLOOKUP(C6239,'All Districts'!$B$3:$C$874,2,FALSE)</f>
        <v>3628200</v>
      </c>
      <c r="F6239" s="91">
        <f>COUNTIF($E$2:$E$7106,E6239)</f>
        <v>9</v>
      </c>
    </row>
    <row r="6240" spans="1:6" x14ac:dyDescent="0.2">
      <c r="A6240" s="10">
        <v>2021</v>
      </c>
      <c r="B6240" s="52">
        <v>2593</v>
      </c>
      <c r="C6240" s="90" t="str">
        <f>VLOOKUP(B6240,'All Districts'!$A$3:$B$874,2,FALSE)</f>
        <v>Three Village</v>
      </c>
      <c r="D6240" s="75">
        <v>8707519</v>
      </c>
      <c r="E6240">
        <f>VLOOKUP(C6240,'All Districts'!$B$3:$C$874,2,FALSE)</f>
        <v>3628200</v>
      </c>
      <c r="F6240" s="91">
        <f>COUNTIF($E$2:$E$7106,E6240)</f>
        <v>9</v>
      </c>
    </row>
    <row r="6241" spans="1:6" x14ac:dyDescent="0.2">
      <c r="A6241">
        <v>2022</v>
      </c>
      <c r="B6241" s="36">
        <v>2593</v>
      </c>
      <c r="C6241" s="90" t="str">
        <f>VLOOKUP(B6241,'All Districts'!$A$3:$B$874,2,FALSE)</f>
        <v>Three Village</v>
      </c>
      <c r="D6241" s="82">
        <v>8969666</v>
      </c>
      <c r="E6241">
        <f>VLOOKUP(C6241,'All Districts'!$B$3:$C$874,2,FALSE)</f>
        <v>3628200</v>
      </c>
      <c r="F6241" s="91">
        <f>COUNTIF($E$2:$E$7106,E6241)</f>
        <v>9</v>
      </c>
    </row>
    <row r="6242" spans="1:6" x14ac:dyDescent="0.2">
      <c r="A6242">
        <v>2023</v>
      </c>
      <c r="B6242" s="36">
        <v>2593</v>
      </c>
      <c r="C6242" s="90" t="str">
        <f>VLOOKUP(B6242,'All Districts'!$A$3:$B$874,2,FALSE)</f>
        <v>Three Village</v>
      </c>
      <c r="D6242" s="40">
        <v>9527757</v>
      </c>
      <c r="E6242">
        <f>VLOOKUP(C6242,'All Districts'!$B$3:$C$874,2,FALSE)</f>
        <v>3628200</v>
      </c>
      <c r="F6242" s="91">
        <f>COUNTIF($E$2:$E$7106,E6242)</f>
        <v>9</v>
      </c>
    </row>
    <row r="6243" spans="1:6" x14ac:dyDescent="0.2">
      <c r="A6243">
        <v>2015</v>
      </c>
      <c r="B6243" s="13">
        <v>2595</v>
      </c>
      <c r="C6243" s="90" t="str">
        <f>VLOOKUP(B6243,'All Districts'!$A$3:$B$874,2,FALSE)</f>
        <v>Ticonderoga</v>
      </c>
      <c r="D6243" s="14">
        <v>1123223</v>
      </c>
      <c r="E6243">
        <f>VLOOKUP(C6243,'All Districts'!$B$3:$C$874,2,FALSE)</f>
        <v>3628680</v>
      </c>
      <c r="F6243" s="91">
        <f>COUNTIF($E$2:$E$7106,E6243)</f>
        <v>9</v>
      </c>
    </row>
    <row r="6244" spans="1:6" x14ac:dyDescent="0.2">
      <c r="A6244">
        <v>2016</v>
      </c>
      <c r="B6244" s="13">
        <v>2595</v>
      </c>
      <c r="C6244" s="90" t="str">
        <f>VLOOKUP(B6244,'All Districts'!$A$3:$B$874,2,FALSE)</f>
        <v>Ticonderoga</v>
      </c>
      <c r="D6244" s="16">
        <v>889506</v>
      </c>
      <c r="E6244">
        <f>VLOOKUP(C6244,'All Districts'!$B$3:$C$874,2,FALSE)</f>
        <v>3628680</v>
      </c>
      <c r="F6244" s="91">
        <f>COUNTIF($E$2:$E$7106,E6244)</f>
        <v>9</v>
      </c>
    </row>
    <row r="6245" spans="1:6" x14ac:dyDescent="0.2">
      <c r="A6245">
        <v>2017</v>
      </c>
      <c r="B6245" s="13">
        <v>2595</v>
      </c>
      <c r="C6245" s="90" t="str">
        <f>VLOOKUP(B6245,'All Districts'!$A$3:$B$874,2,FALSE)</f>
        <v>Ticonderoga</v>
      </c>
      <c r="D6245" s="16">
        <v>817713</v>
      </c>
      <c r="E6245">
        <f>VLOOKUP(C6245,'All Districts'!$B$3:$C$874,2,FALSE)</f>
        <v>3628680</v>
      </c>
      <c r="F6245" s="91">
        <f>COUNTIF($E$2:$E$7106,E6245)</f>
        <v>9</v>
      </c>
    </row>
    <row r="6246" spans="1:6" x14ac:dyDescent="0.2">
      <c r="A6246" s="10">
        <v>2018</v>
      </c>
      <c r="B6246" s="13">
        <v>2595</v>
      </c>
      <c r="C6246" s="90" t="str">
        <f>VLOOKUP(B6246,'All Districts'!$A$3:$B$874,2,FALSE)</f>
        <v>Ticonderoga</v>
      </c>
      <c r="D6246" s="15">
        <v>696257</v>
      </c>
      <c r="E6246">
        <f>VLOOKUP(C6246,'All Districts'!$B$3:$C$874,2,FALSE)</f>
        <v>3628680</v>
      </c>
      <c r="F6246" s="91">
        <f>COUNTIF($E$2:$E$7106,E6246)</f>
        <v>9</v>
      </c>
    </row>
    <row r="6247" spans="1:6" x14ac:dyDescent="0.2">
      <c r="A6247">
        <v>2019</v>
      </c>
      <c r="B6247" s="36">
        <v>2595</v>
      </c>
      <c r="C6247" s="90" t="str">
        <f>VLOOKUP(B6247,'All Districts'!$A$3:$B$874,2,FALSE)</f>
        <v>Ticonderoga</v>
      </c>
      <c r="D6247" s="40">
        <v>758692</v>
      </c>
      <c r="E6247">
        <f>VLOOKUP(C6247,'All Districts'!$B$3:$C$874,2,FALSE)</f>
        <v>3628680</v>
      </c>
      <c r="F6247" s="91">
        <f>COUNTIF($E$2:$E$7106,E6247)</f>
        <v>9</v>
      </c>
    </row>
    <row r="6248" spans="1:6" x14ac:dyDescent="0.2">
      <c r="A6248">
        <v>2020</v>
      </c>
      <c r="B6248" s="36">
        <v>2595</v>
      </c>
      <c r="C6248" s="90" t="str">
        <f>VLOOKUP(B6248,'All Districts'!$A$3:$B$874,2,FALSE)</f>
        <v>Ticonderoga</v>
      </c>
      <c r="D6248" s="40">
        <v>606010</v>
      </c>
      <c r="E6248">
        <f>VLOOKUP(C6248,'All Districts'!$B$3:$C$874,2,FALSE)</f>
        <v>3628680</v>
      </c>
      <c r="F6248" s="91">
        <f>COUNTIF($E$2:$E$7106,E6248)</f>
        <v>9</v>
      </c>
    </row>
    <row r="6249" spans="1:6" x14ac:dyDescent="0.2">
      <c r="A6249" s="10">
        <v>2021</v>
      </c>
      <c r="B6249" s="55">
        <v>2595</v>
      </c>
      <c r="C6249" s="90" t="str">
        <f>VLOOKUP(B6249,'All Districts'!$A$3:$B$874,2,FALSE)</f>
        <v>Ticonderoga</v>
      </c>
      <c r="D6249" s="75">
        <v>600329</v>
      </c>
      <c r="E6249">
        <f>VLOOKUP(C6249,'All Districts'!$B$3:$C$874,2,FALSE)</f>
        <v>3628680</v>
      </c>
      <c r="F6249" s="91">
        <f>COUNTIF($E$2:$E$7106,E6249)</f>
        <v>9</v>
      </c>
    </row>
    <row r="6250" spans="1:6" x14ac:dyDescent="0.2">
      <c r="A6250">
        <v>2022</v>
      </c>
      <c r="B6250" s="36">
        <v>2595</v>
      </c>
      <c r="C6250" s="90" t="str">
        <f>VLOOKUP(B6250,'All Districts'!$A$3:$B$874,2,FALSE)</f>
        <v>Ticonderoga</v>
      </c>
      <c r="D6250" s="82">
        <v>647008</v>
      </c>
      <c r="E6250">
        <f>VLOOKUP(C6250,'All Districts'!$B$3:$C$874,2,FALSE)</f>
        <v>3628680</v>
      </c>
      <c r="F6250" s="91">
        <f>COUNTIF($E$2:$E$7106,E6250)</f>
        <v>9</v>
      </c>
    </row>
    <row r="6251" spans="1:6" x14ac:dyDescent="0.2">
      <c r="A6251">
        <v>2023</v>
      </c>
      <c r="B6251" s="36">
        <v>2595</v>
      </c>
      <c r="C6251" s="90" t="str">
        <f>VLOOKUP(B6251,'All Districts'!$A$3:$B$874,2,FALSE)</f>
        <v>Ticonderoga</v>
      </c>
      <c r="D6251" s="40">
        <v>700250</v>
      </c>
      <c r="E6251">
        <f>VLOOKUP(C6251,'All Districts'!$B$3:$C$874,2,FALSE)</f>
        <v>3628680</v>
      </c>
      <c r="F6251" s="91">
        <f>COUNTIF($E$2:$E$7106,E6251)</f>
        <v>9</v>
      </c>
    </row>
    <row r="6252" spans="1:6" x14ac:dyDescent="0.2">
      <c r="A6252">
        <v>2015</v>
      </c>
      <c r="B6252" s="13">
        <v>3179</v>
      </c>
      <c r="C6252" s="90" t="str">
        <f>VLOOKUP(B6252,'All Districts'!$A$3:$B$874,2,FALSE)</f>
        <v>Tioga</v>
      </c>
      <c r="D6252" s="14">
        <v>860426</v>
      </c>
      <c r="E6252">
        <f>VLOOKUP(C6252,'All Districts'!$B$3:$C$874,2,FALSE)</f>
        <v>3628710</v>
      </c>
      <c r="F6252" s="91">
        <f>COUNTIF($E$2:$E$7106,E6252)</f>
        <v>9</v>
      </c>
    </row>
    <row r="6253" spans="1:6" x14ac:dyDescent="0.2">
      <c r="A6253">
        <v>2016</v>
      </c>
      <c r="B6253" s="13">
        <v>3179</v>
      </c>
      <c r="C6253" s="90" t="str">
        <f>VLOOKUP(B6253,'All Districts'!$A$3:$B$874,2,FALSE)</f>
        <v>Tioga</v>
      </c>
      <c r="D6253" s="16">
        <v>670629</v>
      </c>
      <c r="E6253">
        <f>VLOOKUP(C6253,'All Districts'!$B$3:$C$874,2,FALSE)</f>
        <v>3628710</v>
      </c>
      <c r="F6253" s="91">
        <f>COUNTIF($E$2:$E$7106,E6253)</f>
        <v>9</v>
      </c>
    </row>
    <row r="6254" spans="1:6" x14ac:dyDescent="0.2">
      <c r="A6254">
        <v>2017</v>
      </c>
      <c r="B6254" s="13">
        <v>3179</v>
      </c>
      <c r="C6254" s="90" t="str">
        <f>VLOOKUP(B6254,'All Districts'!$A$3:$B$874,2,FALSE)</f>
        <v>Tioga</v>
      </c>
      <c r="D6254" s="16">
        <v>611762</v>
      </c>
      <c r="E6254">
        <f>VLOOKUP(C6254,'All Districts'!$B$3:$C$874,2,FALSE)</f>
        <v>3628710</v>
      </c>
      <c r="F6254" s="91">
        <f>COUNTIF($E$2:$E$7106,E6254)</f>
        <v>9</v>
      </c>
    </row>
    <row r="6255" spans="1:6" x14ac:dyDescent="0.2">
      <c r="A6255" s="10">
        <v>2018</v>
      </c>
      <c r="B6255" s="13">
        <v>3179</v>
      </c>
      <c r="C6255" s="90" t="str">
        <f>VLOOKUP(B6255,'All Districts'!$A$3:$B$874,2,FALSE)</f>
        <v>Tioga</v>
      </c>
      <c r="D6255" s="15">
        <v>542330</v>
      </c>
      <c r="E6255">
        <f>VLOOKUP(C6255,'All Districts'!$B$3:$C$874,2,FALSE)</f>
        <v>3628710</v>
      </c>
      <c r="F6255" s="91">
        <f>COUNTIF($E$2:$E$7106,E6255)</f>
        <v>9</v>
      </c>
    </row>
    <row r="6256" spans="1:6" x14ac:dyDescent="0.2">
      <c r="A6256">
        <v>2019</v>
      </c>
      <c r="B6256" s="36">
        <v>3179</v>
      </c>
      <c r="C6256" s="90" t="str">
        <f>VLOOKUP(B6256,'All Districts'!$A$3:$B$874,2,FALSE)</f>
        <v>Tioga</v>
      </c>
      <c r="D6256" s="40">
        <v>609884</v>
      </c>
      <c r="E6256">
        <f>VLOOKUP(C6256,'All Districts'!$B$3:$C$874,2,FALSE)</f>
        <v>3628710</v>
      </c>
      <c r="F6256" s="91">
        <f>COUNTIF($E$2:$E$7106,E6256)</f>
        <v>9</v>
      </c>
    </row>
    <row r="6257" spans="1:6" x14ac:dyDescent="0.2">
      <c r="A6257">
        <v>2020</v>
      </c>
      <c r="B6257" s="36">
        <v>3179</v>
      </c>
      <c r="C6257" s="90" t="str">
        <f>VLOOKUP(B6257,'All Districts'!$A$3:$B$874,2,FALSE)</f>
        <v>Tioga</v>
      </c>
      <c r="D6257" s="40">
        <v>534685</v>
      </c>
      <c r="E6257">
        <f>VLOOKUP(C6257,'All Districts'!$B$3:$C$874,2,FALSE)</f>
        <v>3628710</v>
      </c>
      <c r="F6257" s="91">
        <f>COUNTIF($E$2:$E$7106,E6257)</f>
        <v>9</v>
      </c>
    </row>
    <row r="6258" spans="1:6" x14ac:dyDescent="0.2">
      <c r="A6258" s="10">
        <v>2021</v>
      </c>
      <c r="B6258" s="55">
        <v>3179</v>
      </c>
      <c r="C6258" s="90" t="str">
        <f>VLOOKUP(B6258,'All Districts'!$A$3:$B$874,2,FALSE)</f>
        <v>Tioga</v>
      </c>
      <c r="D6258" s="76">
        <v>548232</v>
      </c>
      <c r="E6258">
        <f>VLOOKUP(C6258,'All Districts'!$B$3:$C$874,2,FALSE)</f>
        <v>3628710</v>
      </c>
      <c r="F6258" s="91">
        <f>COUNTIF($E$2:$E$7106,E6258)</f>
        <v>9</v>
      </c>
    </row>
    <row r="6259" spans="1:6" x14ac:dyDescent="0.2">
      <c r="A6259">
        <v>2022</v>
      </c>
      <c r="B6259" s="36">
        <v>3179</v>
      </c>
      <c r="C6259" s="90" t="str">
        <f>VLOOKUP(B6259,'All Districts'!$A$3:$B$874,2,FALSE)</f>
        <v>Tioga</v>
      </c>
      <c r="D6259" s="82">
        <v>610310</v>
      </c>
      <c r="E6259">
        <f>VLOOKUP(C6259,'All Districts'!$B$3:$C$874,2,FALSE)</f>
        <v>3628710</v>
      </c>
      <c r="F6259" s="91">
        <f>COUNTIF($E$2:$E$7106,E6259)</f>
        <v>9</v>
      </c>
    </row>
    <row r="6260" spans="1:6" x14ac:dyDescent="0.2">
      <c r="A6260">
        <v>2023</v>
      </c>
      <c r="B6260" s="36">
        <v>3179</v>
      </c>
      <c r="C6260" s="90" t="str">
        <f>VLOOKUP(B6260,'All Districts'!$A$3:$B$874,2,FALSE)</f>
        <v>Tioga</v>
      </c>
      <c r="D6260" s="40">
        <v>667256</v>
      </c>
      <c r="E6260">
        <f>VLOOKUP(C6260,'All Districts'!$B$3:$C$874,2,FALSE)</f>
        <v>3628710</v>
      </c>
      <c r="F6260" s="91">
        <f>COUNTIF($E$2:$E$7106,E6260)</f>
        <v>9</v>
      </c>
    </row>
    <row r="6261" spans="1:6" x14ac:dyDescent="0.2">
      <c r="A6261">
        <v>2015</v>
      </c>
      <c r="B6261" s="13">
        <v>6097</v>
      </c>
      <c r="C6261" s="90" t="str">
        <f>VLOOKUP(B6261,'All Districts'!$A$3:$B$874,2,FALSE)</f>
        <v>Tompkins-Seneca-Tioga</v>
      </c>
      <c r="D6261" s="15">
        <v>1372222</v>
      </c>
      <c r="E6261">
        <f>VLOOKUP(C6261,'All Districts'!$B$3:$C$874,2,FALSE)</f>
        <v>3680900</v>
      </c>
      <c r="F6261" s="91">
        <f>COUNTIF($E$2:$E$7106,E6261)</f>
        <v>9</v>
      </c>
    </row>
    <row r="6262" spans="1:6" x14ac:dyDescent="0.2">
      <c r="A6262">
        <v>2016</v>
      </c>
      <c r="B6262" s="13">
        <v>6097</v>
      </c>
      <c r="C6262" s="90" t="str">
        <f>VLOOKUP(B6262,'All Districts'!$A$3:$B$874,2,FALSE)</f>
        <v>Tompkins-Seneca-Tioga</v>
      </c>
      <c r="D6262" s="16">
        <v>1101088</v>
      </c>
      <c r="E6262">
        <f>VLOOKUP(C6262,'All Districts'!$B$3:$C$874,2,FALSE)</f>
        <v>3680900</v>
      </c>
      <c r="F6262" s="91">
        <f>COUNTIF($E$2:$E$7106,E6262)</f>
        <v>9</v>
      </c>
    </row>
    <row r="6263" spans="1:6" x14ac:dyDescent="0.2">
      <c r="A6263">
        <v>2017</v>
      </c>
      <c r="B6263" s="13">
        <v>6097</v>
      </c>
      <c r="C6263" s="90" t="str">
        <f>VLOOKUP(B6263,'All Districts'!$A$3:$B$874,2,FALSE)</f>
        <v>Tompkins-Seneca-Tioga</v>
      </c>
      <c r="D6263" s="16">
        <v>1028802</v>
      </c>
      <c r="E6263">
        <f>VLOOKUP(C6263,'All Districts'!$B$3:$C$874,2,FALSE)</f>
        <v>3680900</v>
      </c>
      <c r="F6263" s="91">
        <f>COUNTIF($E$2:$E$7106,E6263)</f>
        <v>9</v>
      </c>
    </row>
    <row r="6264" spans="1:6" x14ac:dyDescent="0.2">
      <c r="A6264" s="10">
        <v>2018</v>
      </c>
      <c r="B6264" s="13">
        <v>6097</v>
      </c>
      <c r="C6264" s="90" t="str">
        <f>VLOOKUP(B6264,'All Districts'!$A$3:$B$874,2,FALSE)</f>
        <v>Tompkins-Seneca-Tioga</v>
      </c>
      <c r="D6264" s="15">
        <v>887255</v>
      </c>
      <c r="E6264">
        <f>VLOOKUP(C6264,'All Districts'!$B$3:$C$874,2,FALSE)</f>
        <v>3680900</v>
      </c>
      <c r="F6264" s="91">
        <f>COUNTIF($E$2:$E$7106,E6264)</f>
        <v>9</v>
      </c>
    </row>
    <row r="6265" spans="1:6" x14ac:dyDescent="0.2">
      <c r="A6265">
        <v>2019</v>
      </c>
      <c r="B6265" s="36">
        <v>6097</v>
      </c>
      <c r="C6265" s="90" t="str">
        <f>VLOOKUP(B6265,'All Districts'!$A$3:$B$874,2,FALSE)</f>
        <v>Tompkins-Seneca-Tioga</v>
      </c>
      <c r="D6265" s="40">
        <v>971358</v>
      </c>
      <c r="E6265">
        <f>VLOOKUP(C6265,'All Districts'!$B$3:$C$874,2,FALSE)</f>
        <v>3680900</v>
      </c>
      <c r="F6265" s="91">
        <f>COUNTIF($E$2:$E$7106,E6265)</f>
        <v>9</v>
      </c>
    </row>
    <row r="6266" spans="1:6" x14ac:dyDescent="0.2">
      <c r="A6266">
        <v>2020</v>
      </c>
      <c r="B6266" s="36">
        <v>6097</v>
      </c>
      <c r="C6266" s="90" t="str">
        <f>VLOOKUP(B6266,'All Districts'!$A$3:$B$874,2,FALSE)</f>
        <v>Tompkins-Seneca-Tioga</v>
      </c>
      <c r="D6266" s="40">
        <v>779088</v>
      </c>
      <c r="E6266">
        <f>VLOOKUP(C6266,'All Districts'!$B$3:$C$874,2,FALSE)</f>
        <v>3680900</v>
      </c>
      <c r="F6266" s="91">
        <f>COUNTIF($E$2:$E$7106,E6266)</f>
        <v>9</v>
      </c>
    </row>
    <row r="6267" spans="1:6" x14ac:dyDescent="0.2">
      <c r="A6267" s="10">
        <v>2021</v>
      </c>
      <c r="B6267" s="55">
        <v>6097</v>
      </c>
      <c r="C6267" s="90" t="str">
        <f>VLOOKUP(B6267,'All Districts'!$A$3:$B$874,2,FALSE)</f>
        <v>Tompkins-Seneca-Tioga</v>
      </c>
      <c r="D6267" s="75">
        <v>825894</v>
      </c>
      <c r="E6267">
        <f>VLOOKUP(C6267,'All Districts'!$B$3:$C$874,2,FALSE)</f>
        <v>3680900</v>
      </c>
      <c r="F6267" s="91">
        <f>COUNTIF($E$2:$E$7106,E6267)</f>
        <v>9</v>
      </c>
    </row>
    <row r="6268" spans="1:6" x14ac:dyDescent="0.2">
      <c r="A6268">
        <v>2022</v>
      </c>
      <c r="B6268" s="36">
        <v>6097</v>
      </c>
      <c r="C6268" s="90" t="str">
        <f>VLOOKUP(B6268,'All Districts'!$A$3:$B$874,2,FALSE)</f>
        <v>Tompkins-Seneca-Tioga</v>
      </c>
      <c r="D6268" s="82">
        <v>869761</v>
      </c>
      <c r="E6268">
        <f>VLOOKUP(C6268,'All Districts'!$B$3:$C$874,2,FALSE)</f>
        <v>3680900</v>
      </c>
      <c r="F6268" s="91">
        <f>COUNTIF($E$2:$E$7106,E6268)</f>
        <v>9</v>
      </c>
    </row>
    <row r="6269" spans="1:6" x14ac:dyDescent="0.2">
      <c r="A6269">
        <v>2023</v>
      </c>
      <c r="B6269" s="36">
        <v>6097</v>
      </c>
      <c r="C6269" s="90" t="str">
        <f>VLOOKUP(B6269,'All Districts'!$A$3:$B$874,2,FALSE)</f>
        <v>Tompkins-Seneca-Tioga</v>
      </c>
      <c r="D6269" s="40">
        <v>1061372</v>
      </c>
      <c r="E6269">
        <f>VLOOKUP(C6269,'All Districts'!$B$3:$C$874,2,FALSE)</f>
        <v>3680900</v>
      </c>
      <c r="F6269" s="91">
        <f>COUNTIF($E$2:$E$7106,E6269)</f>
        <v>9</v>
      </c>
    </row>
    <row r="6270" spans="1:6" x14ac:dyDescent="0.2">
      <c r="A6270">
        <v>2015</v>
      </c>
      <c r="B6270" s="13">
        <v>1275</v>
      </c>
      <c r="C6270" s="90" t="str">
        <f>VLOOKUP(B6270,'All Districts'!$A$3:$B$874,2,FALSE)</f>
        <v>Tonawanda</v>
      </c>
      <c r="D6270" s="14">
        <v>1994470</v>
      </c>
      <c r="E6270">
        <f>VLOOKUP(C6270,'All Districts'!$B$3:$C$874,2,FALSE)</f>
        <v>3628740</v>
      </c>
      <c r="F6270" s="91">
        <f>COUNTIF($E$2:$E$7106,E6270)</f>
        <v>9</v>
      </c>
    </row>
    <row r="6271" spans="1:6" x14ac:dyDescent="0.2">
      <c r="A6271">
        <v>2016</v>
      </c>
      <c r="B6271" s="13">
        <v>1275</v>
      </c>
      <c r="C6271" s="90" t="str">
        <f>VLOOKUP(B6271,'All Districts'!$A$3:$B$874,2,FALSE)</f>
        <v>Tonawanda</v>
      </c>
      <c r="D6271" s="16">
        <v>1575981</v>
      </c>
      <c r="E6271">
        <f>VLOOKUP(C6271,'All Districts'!$B$3:$C$874,2,FALSE)</f>
        <v>3628740</v>
      </c>
      <c r="F6271" s="91">
        <f>COUNTIF($E$2:$E$7106,E6271)</f>
        <v>9</v>
      </c>
    </row>
    <row r="6272" spans="1:6" x14ac:dyDescent="0.2">
      <c r="A6272">
        <v>2017</v>
      </c>
      <c r="B6272" s="13">
        <v>1275</v>
      </c>
      <c r="C6272" s="90" t="str">
        <f>VLOOKUP(B6272,'All Districts'!$A$3:$B$874,2,FALSE)</f>
        <v>Tonawanda</v>
      </c>
      <c r="D6272" s="16">
        <v>1419043</v>
      </c>
      <c r="E6272">
        <f>VLOOKUP(C6272,'All Districts'!$B$3:$C$874,2,FALSE)</f>
        <v>3628740</v>
      </c>
      <c r="F6272" s="91">
        <f>COUNTIF($E$2:$E$7106,E6272)</f>
        <v>9</v>
      </c>
    </row>
    <row r="6273" spans="1:6" x14ac:dyDescent="0.2">
      <c r="A6273" s="10">
        <v>2018</v>
      </c>
      <c r="B6273" s="13">
        <v>1275</v>
      </c>
      <c r="C6273" s="90" t="str">
        <f>VLOOKUP(B6273,'All Districts'!$A$3:$B$874,2,FALSE)</f>
        <v>Tonawanda</v>
      </c>
      <c r="D6273" s="15">
        <v>1265486</v>
      </c>
      <c r="E6273">
        <f>VLOOKUP(C6273,'All Districts'!$B$3:$C$874,2,FALSE)</f>
        <v>3628740</v>
      </c>
      <c r="F6273" s="91">
        <f>COUNTIF($E$2:$E$7106,E6273)</f>
        <v>9</v>
      </c>
    </row>
    <row r="6274" spans="1:6" x14ac:dyDescent="0.2">
      <c r="A6274">
        <v>2019</v>
      </c>
      <c r="B6274" s="36">
        <v>1275</v>
      </c>
      <c r="C6274" s="90" t="str">
        <f>VLOOKUP(B6274,'All Districts'!$A$3:$B$874,2,FALSE)</f>
        <v>Tonawanda</v>
      </c>
      <c r="D6274" s="40">
        <v>1437530</v>
      </c>
      <c r="E6274">
        <f>VLOOKUP(C6274,'All Districts'!$B$3:$C$874,2,FALSE)</f>
        <v>3628740</v>
      </c>
      <c r="F6274" s="91">
        <f>COUNTIF($E$2:$E$7106,E6274)</f>
        <v>9</v>
      </c>
    </row>
    <row r="6275" spans="1:6" x14ac:dyDescent="0.2">
      <c r="A6275">
        <v>2020</v>
      </c>
      <c r="B6275" s="36">
        <v>1275</v>
      </c>
      <c r="C6275" s="90" t="str">
        <f>VLOOKUP(B6275,'All Districts'!$A$3:$B$874,2,FALSE)</f>
        <v>Tonawanda</v>
      </c>
      <c r="D6275" s="40">
        <v>1217624</v>
      </c>
      <c r="E6275">
        <f>VLOOKUP(C6275,'All Districts'!$B$3:$C$874,2,FALSE)</f>
        <v>3628740</v>
      </c>
      <c r="F6275" s="91">
        <f>COUNTIF($E$2:$E$7106,E6275)</f>
        <v>9</v>
      </c>
    </row>
    <row r="6276" spans="1:6" x14ac:dyDescent="0.2">
      <c r="A6276" s="10">
        <v>2021</v>
      </c>
      <c r="B6276" s="52">
        <v>1275</v>
      </c>
      <c r="C6276" s="90" t="str">
        <f>VLOOKUP(B6276,'All Districts'!$A$3:$B$874,2,FALSE)</f>
        <v>Tonawanda</v>
      </c>
      <c r="D6276" s="76">
        <v>1291703</v>
      </c>
      <c r="E6276">
        <f>VLOOKUP(C6276,'All Districts'!$B$3:$C$874,2,FALSE)</f>
        <v>3628740</v>
      </c>
      <c r="F6276" s="91">
        <f>COUNTIF($E$2:$E$7106,E6276)</f>
        <v>9</v>
      </c>
    </row>
    <row r="6277" spans="1:6" x14ac:dyDescent="0.2">
      <c r="A6277">
        <v>2022</v>
      </c>
      <c r="B6277" s="36">
        <v>1275</v>
      </c>
      <c r="C6277" s="90" t="str">
        <f>VLOOKUP(B6277,'All Districts'!$A$3:$B$874,2,FALSE)</f>
        <v>Tonawanda</v>
      </c>
      <c r="D6277" s="82">
        <v>1368272</v>
      </c>
      <c r="E6277">
        <f>VLOOKUP(C6277,'All Districts'!$B$3:$C$874,2,FALSE)</f>
        <v>3628740</v>
      </c>
      <c r="F6277" s="91">
        <f>COUNTIF($E$2:$E$7106,E6277)</f>
        <v>9</v>
      </c>
    </row>
    <row r="6278" spans="1:6" x14ac:dyDescent="0.2">
      <c r="A6278">
        <v>2023</v>
      </c>
      <c r="B6278" s="36">
        <v>1275</v>
      </c>
      <c r="C6278" s="90" t="str">
        <f>VLOOKUP(B6278,'All Districts'!$A$3:$B$874,2,FALSE)</f>
        <v>Tonawanda</v>
      </c>
      <c r="D6278" s="40">
        <v>1529514</v>
      </c>
      <c r="E6278">
        <f>VLOOKUP(C6278,'All Districts'!$B$3:$C$874,2,FALSE)</f>
        <v>3628740</v>
      </c>
      <c r="F6278" s="91">
        <f>COUNTIF($E$2:$E$7106,E6278)</f>
        <v>9</v>
      </c>
    </row>
    <row r="6279" spans="1:6" x14ac:dyDescent="0.2">
      <c r="A6279">
        <v>2015</v>
      </c>
      <c r="B6279" s="13">
        <v>4149</v>
      </c>
      <c r="C6279" s="90" t="str">
        <f>VLOOKUP(B6279,'All Districts'!$A$3:$B$874,2,FALSE)</f>
        <v>Town of Webb</v>
      </c>
      <c r="D6279" s="14">
        <v>449851</v>
      </c>
      <c r="E6279">
        <f>VLOOKUP(C6279,'All Districts'!$B$3:$C$874,2,FALSE)</f>
        <v>3628800</v>
      </c>
      <c r="F6279" s="91">
        <f>COUNTIF($E$2:$E$7106,E6279)</f>
        <v>9</v>
      </c>
    </row>
    <row r="6280" spans="1:6" x14ac:dyDescent="0.2">
      <c r="A6280">
        <v>2016</v>
      </c>
      <c r="B6280" s="13">
        <v>4149</v>
      </c>
      <c r="C6280" s="90" t="str">
        <f>VLOOKUP(B6280,'All Districts'!$A$3:$B$874,2,FALSE)</f>
        <v>Town of Webb</v>
      </c>
      <c r="D6280" s="16">
        <v>342595</v>
      </c>
      <c r="E6280">
        <f>VLOOKUP(C6280,'All Districts'!$B$3:$C$874,2,FALSE)</f>
        <v>3628800</v>
      </c>
      <c r="F6280" s="91">
        <f>COUNTIF($E$2:$E$7106,E6280)</f>
        <v>9</v>
      </c>
    </row>
    <row r="6281" spans="1:6" x14ac:dyDescent="0.2">
      <c r="A6281">
        <v>2017</v>
      </c>
      <c r="B6281" s="13">
        <v>4149</v>
      </c>
      <c r="C6281" s="90" t="str">
        <f>VLOOKUP(B6281,'All Districts'!$A$3:$B$874,2,FALSE)</f>
        <v>Town of Webb</v>
      </c>
      <c r="D6281" s="16">
        <v>316611</v>
      </c>
      <c r="E6281">
        <f>VLOOKUP(C6281,'All Districts'!$B$3:$C$874,2,FALSE)</f>
        <v>3628800</v>
      </c>
      <c r="F6281" s="91">
        <f>COUNTIF($E$2:$E$7106,E6281)</f>
        <v>9</v>
      </c>
    </row>
    <row r="6282" spans="1:6" x14ac:dyDescent="0.2">
      <c r="A6282" s="10">
        <v>2018</v>
      </c>
      <c r="B6282" s="13">
        <v>4149</v>
      </c>
      <c r="C6282" s="90" t="str">
        <f>VLOOKUP(B6282,'All Districts'!$A$3:$B$874,2,FALSE)</f>
        <v>Town of Webb</v>
      </c>
      <c r="D6282" s="15">
        <v>271704</v>
      </c>
      <c r="E6282">
        <f>VLOOKUP(C6282,'All Districts'!$B$3:$C$874,2,FALSE)</f>
        <v>3628800</v>
      </c>
      <c r="F6282" s="91">
        <f>COUNTIF($E$2:$E$7106,E6282)</f>
        <v>9</v>
      </c>
    </row>
    <row r="6283" spans="1:6" x14ac:dyDescent="0.2">
      <c r="A6283">
        <v>2019</v>
      </c>
      <c r="B6283" s="36">
        <v>4149</v>
      </c>
      <c r="C6283" s="90" t="str">
        <f>VLOOKUP(B6283,'All Districts'!$A$3:$B$874,2,FALSE)</f>
        <v>Town of Webb</v>
      </c>
      <c r="D6283" s="40">
        <v>280456</v>
      </c>
      <c r="E6283">
        <f>VLOOKUP(C6283,'All Districts'!$B$3:$C$874,2,FALSE)</f>
        <v>3628800</v>
      </c>
      <c r="F6283" s="91">
        <f>COUNTIF($E$2:$E$7106,E6283)</f>
        <v>9</v>
      </c>
    </row>
    <row r="6284" spans="1:6" x14ac:dyDescent="0.2">
      <c r="A6284">
        <v>2020</v>
      </c>
      <c r="B6284" s="36">
        <v>4149</v>
      </c>
      <c r="C6284" s="90" t="str">
        <f>VLOOKUP(B6284,'All Districts'!$A$3:$B$874,2,FALSE)</f>
        <v>Town of Webb</v>
      </c>
      <c r="D6284" s="40">
        <v>244474</v>
      </c>
      <c r="E6284">
        <f>VLOOKUP(C6284,'All Districts'!$B$3:$C$874,2,FALSE)</f>
        <v>3628800</v>
      </c>
      <c r="F6284" s="91">
        <f>COUNTIF($E$2:$E$7106,E6284)</f>
        <v>9</v>
      </c>
    </row>
    <row r="6285" spans="1:6" x14ac:dyDescent="0.2">
      <c r="A6285" s="10">
        <v>2021</v>
      </c>
      <c r="B6285" s="52">
        <v>4149</v>
      </c>
      <c r="C6285" s="90" t="str">
        <f>VLOOKUP(B6285,'All Districts'!$A$3:$B$874,2,FALSE)</f>
        <v>Town of Webb</v>
      </c>
      <c r="D6285" s="75">
        <v>273066</v>
      </c>
      <c r="E6285">
        <f>VLOOKUP(C6285,'All Districts'!$B$3:$C$874,2,FALSE)</f>
        <v>3628800</v>
      </c>
      <c r="F6285" s="91">
        <f>COUNTIF($E$2:$E$7106,E6285)</f>
        <v>9</v>
      </c>
    </row>
    <row r="6286" spans="1:6" x14ac:dyDescent="0.2">
      <c r="A6286">
        <v>2022</v>
      </c>
      <c r="B6286" s="36">
        <v>4149</v>
      </c>
      <c r="C6286" s="90" t="str">
        <f>VLOOKUP(B6286,'All Districts'!$A$3:$B$874,2,FALSE)</f>
        <v>Town of Webb</v>
      </c>
      <c r="D6286" s="82">
        <v>282480</v>
      </c>
      <c r="E6286">
        <f>VLOOKUP(C6286,'All Districts'!$B$3:$C$874,2,FALSE)</f>
        <v>3628800</v>
      </c>
      <c r="F6286" s="91">
        <f>COUNTIF($E$2:$E$7106,E6286)</f>
        <v>9</v>
      </c>
    </row>
    <row r="6287" spans="1:6" x14ac:dyDescent="0.2">
      <c r="A6287">
        <v>2023</v>
      </c>
      <c r="B6287" s="36">
        <v>4149</v>
      </c>
      <c r="C6287" s="90" t="str">
        <f>VLOOKUP(B6287,'All Districts'!$A$3:$B$874,2,FALSE)</f>
        <v>Town of Webb</v>
      </c>
      <c r="D6287" s="40">
        <v>318873</v>
      </c>
      <c r="E6287">
        <f>VLOOKUP(C6287,'All Districts'!$B$3:$C$874,2,FALSE)</f>
        <v>3628800</v>
      </c>
      <c r="F6287" s="91">
        <f>COUNTIF($E$2:$E$7106,E6287)</f>
        <v>9</v>
      </c>
    </row>
    <row r="6288" spans="1:6" x14ac:dyDescent="0.2">
      <c r="A6288">
        <v>2015</v>
      </c>
      <c r="B6288" s="13">
        <v>5504</v>
      </c>
      <c r="C6288" s="90" t="str">
        <f>VLOOKUP(B6288,'All Districts'!$A$3:$B$874,2,FALSE)</f>
        <v>Tri Valley</v>
      </c>
      <c r="D6288" s="14">
        <v>1636074</v>
      </c>
      <c r="E6288">
        <f>VLOOKUP(C6288,'All Districts'!$B$3:$C$874,2,FALSE)</f>
        <v>3628890</v>
      </c>
      <c r="F6288" s="91">
        <f>COUNTIF($E$2:$E$7106,E6288)</f>
        <v>9</v>
      </c>
    </row>
    <row r="6289" spans="1:6" x14ac:dyDescent="0.2">
      <c r="A6289">
        <v>2016</v>
      </c>
      <c r="B6289" s="13">
        <v>5504</v>
      </c>
      <c r="C6289" s="90" t="str">
        <f>VLOOKUP(B6289,'All Districts'!$A$3:$B$874,2,FALSE)</f>
        <v>Tri Valley</v>
      </c>
      <c r="D6289" s="16">
        <v>1269279</v>
      </c>
      <c r="E6289">
        <f>VLOOKUP(C6289,'All Districts'!$B$3:$C$874,2,FALSE)</f>
        <v>3628890</v>
      </c>
      <c r="F6289" s="91">
        <f>COUNTIF($E$2:$E$7106,E6289)</f>
        <v>9</v>
      </c>
    </row>
    <row r="6290" spans="1:6" x14ac:dyDescent="0.2">
      <c r="A6290">
        <v>2017</v>
      </c>
      <c r="B6290" s="13">
        <v>5504</v>
      </c>
      <c r="C6290" s="90" t="str">
        <f>VLOOKUP(B6290,'All Districts'!$A$3:$B$874,2,FALSE)</f>
        <v>Tri Valley</v>
      </c>
      <c r="D6290" s="16">
        <v>1117600</v>
      </c>
      <c r="E6290">
        <f>VLOOKUP(C6290,'All Districts'!$B$3:$C$874,2,FALSE)</f>
        <v>3628890</v>
      </c>
      <c r="F6290" s="91">
        <f>COUNTIF($E$2:$E$7106,E6290)</f>
        <v>9</v>
      </c>
    </row>
    <row r="6291" spans="1:6" x14ac:dyDescent="0.2">
      <c r="A6291" s="10">
        <v>2018</v>
      </c>
      <c r="B6291" s="13">
        <v>5504</v>
      </c>
      <c r="C6291" s="90" t="str">
        <f>VLOOKUP(B6291,'All Districts'!$A$3:$B$874,2,FALSE)</f>
        <v>Tri Valley</v>
      </c>
      <c r="D6291" s="15">
        <v>933799</v>
      </c>
      <c r="E6291">
        <f>VLOOKUP(C6291,'All Districts'!$B$3:$C$874,2,FALSE)</f>
        <v>3628890</v>
      </c>
      <c r="F6291" s="91">
        <f>COUNTIF($E$2:$E$7106,E6291)</f>
        <v>9</v>
      </c>
    </row>
    <row r="6292" spans="1:6" x14ac:dyDescent="0.2">
      <c r="A6292">
        <v>2019</v>
      </c>
      <c r="B6292" s="36">
        <v>5504</v>
      </c>
      <c r="C6292" s="90" t="str">
        <f>VLOOKUP(B6292,'All Districts'!$A$3:$B$874,2,FALSE)</f>
        <v>Tri Valley</v>
      </c>
      <c r="D6292" s="40">
        <v>1040306</v>
      </c>
      <c r="E6292">
        <f>VLOOKUP(C6292,'All Districts'!$B$3:$C$874,2,FALSE)</f>
        <v>3628890</v>
      </c>
      <c r="F6292" s="91">
        <f>COUNTIF($E$2:$E$7106,E6292)</f>
        <v>9</v>
      </c>
    </row>
    <row r="6293" spans="1:6" x14ac:dyDescent="0.2">
      <c r="A6293">
        <v>2020</v>
      </c>
      <c r="B6293" s="36">
        <v>5504</v>
      </c>
      <c r="C6293" s="90" t="str">
        <f>VLOOKUP(B6293,'All Districts'!$A$3:$B$874,2,FALSE)</f>
        <v>Tri Valley</v>
      </c>
      <c r="D6293" s="40">
        <v>880895</v>
      </c>
      <c r="E6293">
        <f>VLOOKUP(C6293,'All Districts'!$B$3:$C$874,2,FALSE)</f>
        <v>3628890</v>
      </c>
      <c r="F6293" s="91">
        <f>COUNTIF($E$2:$E$7106,E6293)</f>
        <v>9</v>
      </c>
    </row>
    <row r="6294" spans="1:6" x14ac:dyDescent="0.2">
      <c r="A6294" s="10">
        <v>2021</v>
      </c>
      <c r="B6294" s="52">
        <v>5504</v>
      </c>
      <c r="C6294" s="90" t="str">
        <f>VLOOKUP(B6294,'All Districts'!$A$3:$B$874,2,FALSE)</f>
        <v>Tri Valley</v>
      </c>
      <c r="D6294" s="76">
        <v>961933</v>
      </c>
      <c r="E6294">
        <f>VLOOKUP(C6294,'All Districts'!$B$3:$C$874,2,FALSE)</f>
        <v>3628890</v>
      </c>
      <c r="F6294" s="91">
        <f>COUNTIF($E$2:$E$7106,E6294)</f>
        <v>9</v>
      </c>
    </row>
    <row r="6295" spans="1:6" x14ac:dyDescent="0.2">
      <c r="A6295">
        <v>2022</v>
      </c>
      <c r="B6295" s="36">
        <v>5504</v>
      </c>
      <c r="C6295" s="90" t="str">
        <f>VLOOKUP(B6295,'All Districts'!$A$3:$B$874,2,FALSE)</f>
        <v>Tri Valley</v>
      </c>
      <c r="D6295" s="82">
        <v>1037491</v>
      </c>
      <c r="E6295">
        <f>VLOOKUP(C6295,'All Districts'!$B$3:$C$874,2,FALSE)</f>
        <v>3628890</v>
      </c>
      <c r="F6295" s="91">
        <f>COUNTIF($E$2:$E$7106,E6295)</f>
        <v>9</v>
      </c>
    </row>
    <row r="6296" spans="1:6" x14ac:dyDescent="0.2">
      <c r="A6296">
        <v>2023</v>
      </c>
      <c r="B6296" s="36">
        <v>5504</v>
      </c>
      <c r="C6296" s="90" t="str">
        <f>VLOOKUP(B6296,'All Districts'!$A$3:$B$874,2,FALSE)</f>
        <v>Tri Valley</v>
      </c>
      <c r="D6296" s="40">
        <v>1095834</v>
      </c>
      <c r="E6296">
        <f>VLOOKUP(C6296,'All Districts'!$B$3:$C$874,2,FALSE)</f>
        <v>3628890</v>
      </c>
      <c r="F6296" s="91">
        <f>COUNTIF($E$2:$E$7106,E6296)</f>
        <v>9</v>
      </c>
    </row>
    <row r="6297" spans="1:6" x14ac:dyDescent="0.2">
      <c r="A6297">
        <v>2015</v>
      </c>
      <c r="B6297" s="13">
        <v>1280</v>
      </c>
      <c r="C6297" s="90" t="str">
        <f>VLOOKUP(B6297,'All Districts'!$A$3:$B$874,2,FALSE)</f>
        <v>Troy</v>
      </c>
      <c r="D6297" s="14">
        <v>5495697</v>
      </c>
      <c r="E6297">
        <f>VLOOKUP(C6297,'All Districts'!$B$3:$C$874,2,FALSE)</f>
        <v>3628950</v>
      </c>
      <c r="F6297" s="91">
        <f>COUNTIF($E$2:$E$7106,E6297)</f>
        <v>9</v>
      </c>
    </row>
    <row r="6298" spans="1:6" x14ac:dyDescent="0.2">
      <c r="A6298">
        <v>2016</v>
      </c>
      <c r="B6298" s="13">
        <v>1280</v>
      </c>
      <c r="C6298" s="90" t="str">
        <f>VLOOKUP(B6298,'All Districts'!$A$3:$B$874,2,FALSE)</f>
        <v>Troy</v>
      </c>
      <c r="D6298" s="16">
        <v>4258077</v>
      </c>
      <c r="E6298">
        <f>VLOOKUP(C6298,'All Districts'!$B$3:$C$874,2,FALSE)</f>
        <v>3628950</v>
      </c>
      <c r="F6298" s="91">
        <f>COUNTIF($E$2:$E$7106,E6298)</f>
        <v>9</v>
      </c>
    </row>
    <row r="6299" spans="1:6" x14ac:dyDescent="0.2">
      <c r="A6299">
        <v>2017</v>
      </c>
      <c r="B6299" s="13">
        <v>1280</v>
      </c>
      <c r="C6299" s="90" t="str">
        <f>VLOOKUP(B6299,'All Districts'!$A$3:$B$874,2,FALSE)</f>
        <v>Troy</v>
      </c>
      <c r="D6299" s="16">
        <v>3887774</v>
      </c>
      <c r="E6299">
        <f>VLOOKUP(C6299,'All Districts'!$B$3:$C$874,2,FALSE)</f>
        <v>3628950</v>
      </c>
      <c r="F6299" s="91">
        <f>COUNTIF($E$2:$E$7106,E6299)</f>
        <v>9</v>
      </c>
    </row>
    <row r="6300" spans="1:6" x14ac:dyDescent="0.2">
      <c r="A6300" s="10">
        <v>2018</v>
      </c>
      <c r="B6300" s="13">
        <v>1280</v>
      </c>
      <c r="C6300" s="90" t="str">
        <f>VLOOKUP(B6300,'All Districts'!$A$3:$B$874,2,FALSE)</f>
        <v>Troy</v>
      </c>
      <c r="D6300" s="15">
        <v>3352335</v>
      </c>
      <c r="E6300">
        <f>VLOOKUP(C6300,'All Districts'!$B$3:$C$874,2,FALSE)</f>
        <v>3628950</v>
      </c>
      <c r="F6300" s="91">
        <f>COUNTIF($E$2:$E$7106,E6300)</f>
        <v>9</v>
      </c>
    </row>
    <row r="6301" spans="1:6" x14ac:dyDescent="0.2">
      <c r="A6301">
        <v>2019</v>
      </c>
      <c r="B6301" s="36">
        <v>1280</v>
      </c>
      <c r="C6301" s="90" t="str">
        <f>VLOOKUP(B6301,'All Districts'!$A$3:$B$874,2,FALSE)</f>
        <v>Troy</v>
      </c>
      <c r="D6301" s="40">
        <v>3643513</v>
      </c>
      <c r="E6301">
        <f>VLOOKUP(C6301,'All Districts'!$B$3:$C$874,2,FALSE)</f>
        <v>3628950</v>
      </c>
      <c r="F6301" s="91">
        <f>COUNTIF($E$2:$E$7106,E6301)</f>
        <v>9</v>
      </c>
    </row>
    <row r="6302" spans="1:6" x14ac:dyDescent="0.2">
      <c r="A6302">
        <v>2020</v>
      </c>
      <c r="B6302" s="36">
        <v>1280</v>
      </c>
      <c r="C6302" s="90" t="str">
        <f>VLOOKUP(B6302,'All Districts'!$A$3:$B$874,2,FALSE)</f>
        <v>Troy</v>
      </c>
      <c r="D6302" s="40">
        <v>3122467</v>
      </c>
      <c r="E6302">
        <f>VLOOKUP(C6302,'All Districts'!$B$3:$C$874,2,FALSE)</f>
        <v>3628950</v>
      </c>
      <c r="F6302" s="91">
        <f>COUNTIF($E$2:$E$7106,E6302)</f>
        <v>9</v>
      </c>
    </row>
    <row r="6303" spans="1:6" x14ac:dyDescent="0.2">
      <c r="A6303" s="10">
        <v>2021</v>
      </c>
      <c r="B6303" s="52">
        <v>1280</v>
      </c>
      <c r="C6303" s="90" t="str">
        <f>VLOOKUP(B6303,'All Districts'!$A$3:$B$874,2,FALSE)</f>
        <v>Troy</v>
      </c>
      <c r="D6303" s="76">
        <v>3140728</v>
      </c>
      <c r="E6303">
        <f>VLOOKUP(C6303,'All Districts'!$B$3:$C$874,2,FALSE)</f>
        <v>3628950</v>
      </c>
      <c r="F6303" s="91">
        <f>COUNTIF($E$2:$E$7106,E6303)</f>
        <v>9</v>
      </c>
    </row>
    <row r="6304" spans="1:6" x14ac:dyDescent="0.2">
      <c r="A6304">
        <v>2022</v>
      </c>
      <c r="B6304" s="36">
        <v>1280</v>
      </c>
      <c r="C6304" s="90" t="str">
        <f>VLOOKUP(B6304,'All Districts'!$A$3:$B$874,2,FALSE)</f>
        <v>Troy</v>
      </c>
      <c r="D6304" s="82">
        <v>3514688</v>
      </c>
      <c r="E6304">
        <f>VLOOKUP(C6304,'All Districts'!$B$3:$C$874,2,FALSE)</f>
        <v>3628950</v>
      </c>
      <c r="F6304" s="91">
        <f>COUNTIF($E$2:$E$7106,E6304)</f>
        <v>9</v>
      </c>
    </row>
    <row r="6305" spans="1:6" x14ac:dyDescent="0.2">
      <c r="A6305">
        <v>2023</v>
      </c>
      <c r="B6305" s="36">
        <v>1280</v>
      </c>
      <c r="C6305" s="90" t="str">
        <f>VLOOKUP(B6305,'All Districts'!$A$3:$B$874,2,FALSE)</f>
        <v>Troy</v>
      </c>
      <c r="D6305" s="40">
        <v>3997657</v>
      </c>
      <c r="E6305">
        <f>VLOOKUP(C6305,'All Districts'!$B$3:$C$874,2,FALSE)</f>
        <v>3628950</v>
      </c>
      <c r="F6305" s="91">
        <f>COUNTIF($E$2:$E$7106,E6305)</f>
        <v>9</v>
      </c>
    </row>
    <row r="6306" spans="1:6" x14ac:dyDescent="0.2">
      <c r="A6306">
        <v>2015</v>
      </c>
      <c r="B6306" s="13">
        <v>5530</v>
      </c>
      <c r="C6306" s="90" t="str">
        <f>VLOOKUP(B6306,'All Districts'!$A$3:$B$874,2,FALSE)</f>
        <v>Trumansburg</v>
      </c>
      <c r="D6306" s="14">
        <v>1264967</v>
      </c>
      <c r="E6306">
        <f>VLOOKUP(C6306,'All Districts'!$B$3:$C$874,2,FALSE)</f>
        <v>3628980</v>
      </c>
      <c r="F6306" s="91">
        <f>COUNTIF($E$2:$E$7106,E6306)</f>
        <v>9</v>
      </c>
    </row>
    <row r="6307" spans="1:6" x14ac:dyDescent="0.2">
      <c r="A6307">
        <v>2016</v>
      </c>
      <c r="B6307" s="13">
        <v>5530</v>
      </c>
      <c r="C6307" s="90" t="str">
        <f>VLOOKUP(B6307,'All Districts'!$A$3:$B$874,2,FALSE)</f>
        <v>Trumansburg</v>
      </c>
      <c r="D6307" s="16">
        <v>990876</v>
      </c>
      <c r="E6307">
        <f>VLOOKUP(C6307,'All Districts'!$B$3:$C$874,2,FALSE)</f>
        <v>3628980</v>
      </c>
      <c r="F6307" s="91">
        <f>COUNTIF($E$2:$E$7106,E6307)</f>
        <v>9</v>
      </c>
    </row>
    <row r="6308" spans="1:6" x14ac:dyDescent="0.2">
      <c r="A6308">
        <v>2017</v>
      </c>
      <c r="B6308" s="13">
        <v>5530</v>
      </c>
      <c r="C6308" s="90" t="str">
        <f>VLOOKUP(B6308,'All Districts'!$A$3:$B$874,2,FALSE)</f>
        <v>Trumansburg</v>
      </c>
      <c r="D6308" s="16">
        <v>891791</v>
      </c>
      <c r="E6308">
        <f>VLOOKUP(C6308,'All Districts'!$B$3:$C$874,2,FALSE)</f>
        <v>3628980</v>
      </c>
      <c r="F6308" s="91">
        <f>COUNTIF($E$2:$E$7106,E6308)</f>
        <v>9</v>
      </c>
    </row>
    <row r="6309" spans="1:6" x14ac:dyDescent="0.2">
      <c r="A6309" s="10">
        <v>2018</v>
      </c>
      <c r="B6309" s="13">
        <v>5530</v>
      </c>
      <c r="C6309" s="90" t="str">
        <f>VLOOKUP(B6309,'All Districts'!$A$3:$B$874,2,FALSE)</f>
        <v>Trumansburg</v>
      </c>
      <c r="D6309" s="15">
        <v>832501</v>
      </c>
      <c r="E6309">
        <f>VLOOKUP(C6309,'All Districts'!$B$3:$C$874,2,FALSE)</f>
        <v>3628980</v>
      </c>
      <c r="F6309" s="91">
        <f>COUNTIF($E$2:$E$7106,E6309)</f>
        <v>9</v>
      </c>
    </row>
    <row r="6310" spans="1:6" x14ac:dyDescent="0.2">
      <c r="A6310">
        <v>2019</v>
      </c>
      <c r="B6310" s="36">
        <v>5530</v>
      </c>
      <c r="C6310" s="90" t="str">
        <f>VLOOKUP(B6310,'All Districts'!$A$3:$B$874,2,FALSE)</f>
        <v>Trumansburg</v>
      </c>
      <c r="D6310" s="40">
        <v>915728</v>
      </c>
      <c r="E6310">
        <f>VLOOKUP(C6310,'All Districts'!$B$3:$C$874,2,FALSE)</f>
        <v>3628980</v>
      </c>
      <c r="F6310" s="91">
        <f>COUNTIF($E$2:$E$7106,E6310)</f>
        <v>9</v>
      </c>
    </row>
    <row r="6311" spans="1:6" x14ac:dyDescent="0.2">
      <c r="A6311">
        <v>2020</v>
      </c>
      <c r="B6311" s="36">
        <v>5530</v>
      </c>
      <c r="C6311" s="90" t="str">
        <f>VLOOKUP(B6311,'All Districts'!$A$3:$B$874,2,FALSE)</f>
        <v>Trumansburg</v>
      </c>
      <c r="D6311" s="40">
        <v>772127</v>
      </c>
      <c r="E6311">
        <f>VLOOKUP(C6311,'All Districts'!$B$3:$C$874,2,FALSE)</f>
        <v>3628980</v>
      </c>
      <c r="F6311" s="91">
        <f>COUNTIF($E$2:$E$7106,E6311)</f>
        <v>9</v>
      </c>
    </row>
    <row r="6312" spans="1:6" x14ac:dyDescent="0.2">
      <c r="A6312" s="10">
        <v>2021</v>
      </c>
      <c r="B6312" s="52">
        <v>5530</v>
      </c>
      <c r="C6312" s="90" t="str">
        <f>VLOOKUP(B6312,'All Districts'!$A$3:$B$874,2,FALSE)</f>
        <v>Trumansburg</v>
      </c>
      <c r="D6312" s="75">
        <v>851441</v>
      </c>
      <c r="E6312">
        <f>VLOOKUP(C6312,'All Districts'!$B$3:$C$874,2,FALSE)</f>
        <v>3628980</v>
      </c>
      <c r="F6312" s="91">
        <f>COUNTIF($E$2:$E$7106,E6312)</f>
        <v>9</v>
      </c>
    </row>
    <row r="6313" spans="1:6" x14ac:dyDescent="0.2">
      <c r="A6313">
        <v>2022</v>
      </c>
      <c r="B6313" s="36">
        <v>5530</v>
      </c>
      <c r="C6313" s="90" t="str">
        <f>VLOOKUP(B6313,'All Districts'!$A$3:$B$874,2,FALSE)</f>
        <v>Trumansburg</v>
      </c>
      <c r="D6313" s="82">
        <v>950827</v>
      </c>
      <c r="E6313">
        <f>VLOOKUP(C6313,'All Districts'!$B$3:$C$874,2,FALSE)</f>
        <v>3628980</v>
      </c>
      <c r="F6313" s="91">
        <f>COUNTIF($E$2:$E$7106,E6313)</f>
        <v>9</v>
      </c>
    </row>
    <row r="6314" spans="1:6" x14ac:dyDescent="0.2">
      <c r="A6314">
        <v>2023</v>
      </c>
      <c r="B6314" s="36">
        <v>5530</v>
      </c>
      <c r="C6314" s="90" t="str">
        <f>VLOOKUP(B6314,'All Districts'!$A$3:$B$874,2,FALSE)</f>
        <v>Trumansburg</v>
      </c>
      <c r="D6314" s="40">
        <v>1017785</v>
      </c>
      <c r="E6314">
        <f>VLOOKUP(C6314,'All Districts'!$B$3:$C$874,2,FALSE)</f>
        <v>3628980</v>
      </c>
      <c r="F6314" s="91">
        <f>COUNTIF($E$2:$E$7106,E6314)</f>
        <v>9</v>
      </c>
    </row>
    <row r="6315" spans="1:6" x14ac:dyDescent="0.2">
      <c r="A6315">
        <v>2015</v>
      </c>
      <c r="B6315" s="13">
        <v>4534</v>
      </c>
      <c r="C6315" s="90" t="str">
        <f>VLOOKUP(B6315,'All Districts'!$A$3:$B$874,2,FALSE)</f>
        <v>Tully</v>
      </c>
      <c r="D6315" s="14">
        <v>1078564</v>
      </c>
      <c r="E6315">
        <f>VLOOKUP(C6315,'All Districts'!$B$3:$C$874,2,FALSE)</f>
        <v>3629130</v>
      </c>
      <c r="F6315" s="91">
        <f>COUNTIF($E$2:$E$7106,E6315)</f>
        <v>9</v>
      </c>
    </row>
    <row r="6316" spans="1:6" x14ac:dyDescent="0.2">
      <c r="A6316">
        <v>2016</v>
      </c>
      <c r="B6316" s="13">
        <v>4534</v>
      </c>
      <c r="C6316" s="90" t="str">
        <f>VLOOKUP(B6316,'All Districts'!$A$3:$B$874,2,FALSE)</f>
        <v>Tully</v>
      </c>
      <c r="D6316" s="16">
        <v>843644</v>
      </c>
      <c r="E6316">
        <f>VLOOKUP(C6316,'All Districts'!$B$3:$C$874,2,FALSE)</f>
        <v>3629130</v>
      </c>
      <c r="F6316" s="91">
        <f>COUNTIF($E$2:$E$7106,E6316)</f>
        <v>9</v>
      </c>
    </row>
    <row r="6317" spans="1:6" x14ac:dyDescent="0.2">
      <c r="A6317">
        <v>2017</v>
      </c>
      <c r="B6317" s="13">
        <v>4534</v>
      </c>
      <c r="C6317" s="90" t="str">
        <f>VLOOKUP(B6317,'All Districts'!$A$3:$B$874,2,FALSE)</f>
        <v>Tully</v>
      </c>
      <c r="D6317" s="16">
        <v>770891</v>
      </c>
      <c r="E6317">
        <f>VLOOKUP(C6317,'All Districts'!$B$3:$C$874,2,FALSE)</f>
        <v>3629130</v>
      </c>
      <c r="F6317" s="91">
        <f>COUNTIF($E$2:$E$7106,E6317)</f>
        <v>9</v>
      </c>
    </row>
    <row r="6318" spans="1:6" x14ac:dyDescent="0.2">
      <c r="A6318" s="10">
        <v>2018</v>
      </c>
      <c r="B6318" s="13">
        <v>4534</v>
      </c>
      <c r="C6318" s="90" t="str">
        <f>VLOOKUP(B6318,'All Districts'!$A$3:$B$874,2,FALSE)</f>
        <v>Tully</v>
      </c>
      <c r="D6318" s="15">
        <v>654513</v>
      </c>
      <c r="E6318">
        <f>VLOOKUP(C6318,'All Districts'!$B$3:$C$874,2,FALSE)</f>
        <v>3629130</v>
      </c>
      <c r="F6318" s="91">
        <f>COUNTIF($E$2:$E$7106,E6318)</f>
        <v>9</v>
      </c>
    </row>
    <row r="6319" spans="1:6" x14ac:dyDescent="0.2">
      <c r="A6319">
        <v>2019</v>
      </c>
      <c r="B6319" s="36">
        <v>4534</v>
      </c>
      <c r="C6319" s="90" t="str">
        <f>VLOOKUP(B6319,'All Districts'!$A$3:$B$874,2,FALSE)</f>
        <v>Tully</v>
      </c>
      <c r="D6319" s="40">
        <v>734915</v>
      </c>
      <c r="E6319">
        <f>VLOOKUP(C6319,'All Districts'!$B$3:$C$874,2,FALSE)</f>
        <v>3629130</v>
      </c>
      <c r="F6319" s="91">
        <f>COUNTIF($E$2:$E$7106,E6319)</f>
        <v>9</v>
      </c>
    </row>
    <row r="6320" spans="1:6" x14ac:dyDescent="0.2">
      <c r="A6320">
        <v>2020</v>
      </c>
      <c r="B6320" s="36">
        <v>4534</v>
      </c>
      <c r="C6320" s="90" t="str">
        <f>VLOOKUP(B6320,'All Districts'!$A$3:$B$874,2,FALSE)</f>
        <v>Tully</v>
      </c>
      <c r="D6320" s="40">
        <v>614079</v>
      </c>
      <c r="E6320">
        <f>VLOOKUP(C6320,'All Districts'!$B$3:$C$874,2,FALSE)</f>
        <v>3629130</v>
      </c>
      <c r="F6320" s="91">
        <f>COUNTIF($E$2:$E$7106,E6320)</f>
        <v>9</v>
      </c>
    </row>
    <row r="6321" spans="1:6" x14ac:dyDescent="0.2">
      <c r="A6321" s="10">
        <v>2021</v>
      </c>
      <c r="B6321" s="52">
        <v>4534</v>
      </c>
      <c r="C6321" s="90" t="str">
        <f>VLOOKUP(B6321,'All Districts'!$A$3:$B$874,2,FALSE)</f>
        <v>Tully</v>
      </c>
      <c r="D6321" s="75">
        <v>690674</v>
      </c>
      <c r="E6321">
        <f>VLOOKUP(C6321,'All Districts'!$B$3:$C$874,2,FALSE)</f>
        <v>3629130</v>
      </c>
      <c r="F6321" s="91">
        <f>COUNTIF($E$2:$E$7106,E6321)</f>
        <v>9</v>
      </c>
    </row>
    <row r="6322" spans="1:6" x14ac:dyDescent="0.2">
      <c r="A6322">
        <v>2022</v>
      </c>
      <c r="B6322" s="36">
        <v>4534</v>
      </c>
      <c r="C6322" s="90" t="str">
        <f>VLOOKUP(B6322,'All Districts'!$A$3:$B$874,2,FALSE)</f>
        <v>Tully</v>
      </c>
      <c r="D6322" s="82">
        <v>736033</v>
      </c>
      <c r="E6322">
        <f>VLOOKUP(C6322,'All Districts'!$B$3:$C$874,2,FALSE)</f>
        <v>3629130</v>
      </c>
      <c r="F6322" s="91">
        <f>COUNTIF($E$2:$E$7106,E6322)</f>
        <v>9</v>
      </c>
    </row>
    <row r="6323" spans="1:6" x14ac:dyDescent="0.2">
      <c r="A6323">
        <v>2023</v>
      </c>
      <c r="B6323" s="36">
        <v>4534</v>
      </c>
      <c r="C6323" s="90" t="str">
        <f>VLOOKUP(B6323,'All Districts'!$A$3:$B$874,2,FALSE)</f>
        <v>Tully</v>
      </c>
      <c r="D6323" s="40">
        <v>824663</v>
      </c>
      <c r="E6323">
        <f>VLOOKUP(C6323,'All Districts'!$B$3:$C$874,2,FALSE)</f>
        <v>3629130</v>
      </c>
      <c r="F6323" s="91">
        <f>COUNTIF($E$2:$E$7106,E6323)</f>
        <v>9</v>
      </c>
    </row>
    <row r="6324" spans="1:6" x14ac:dyDescent="0.2">
      <c r="A6324">
        <v>2015</v>
      </c>
      <c r="B6324" s="13">
        <v>2605</v>
      </c>
      <c r="C6324" s="90" t="str">
        <f>VLOOKUP(B6324,'All Districts'!$A$3:$B$874,2,FALSE)</f>
        <v>Tupper Lake</v>
      </c>
      <c r="D6324" s="14">
        <v>984244</v>
      </c>
      <c r="E6324">
        <f>VLOOKUP(C6324,'All Districts'!$B$3:$C$874,2,FALSE)</f>
        <v>3629160</v>
      </c>
      <c r="F6324" s="91">
        <f>COUNTIF($E$2:$E$7106,E6324)</f>
        <v>9</v>
      </c>
    </row>
    <row r="6325" spans="1:6" x14ac:dyDescent="0.2">
      <c r="A6325">
        <v>2016</v>
      </c>
      <c r="B6325" s="13">
        <v>2605</v>
      </c>
      <c r="C6325" s="90" t="str">
        <f>VLOOKUP(B6325,'All Districts'!$A$3:$B$874,2,FALSE)</f>
        <v>Tupper Lake</v>
      </c>
      <c r="D6325" s="16">
        <v>753858</v>
      </c>
      <c r="E6325">
        <f>VLOOKUP(C6325,'All Districts'!$B$3:$C$874,2,FALSE)</f>
        <v>3629160</v>
      </c>
      <c r="F6325" s="91">
        <f>COUNTIF($E$2:$E$7106,E6325)</f>
        <v>9</v>
      </c>
    </row>
    <row r="6326" spans="1:6" x14ac:dyDescent="0.2">
      <c r="A6326">
        <v>2017</v>
      </c>
      <c r="B6326" s="13">
        <v>2605</v>
      </c>
      <c r="C6326" s="90" t="str">
        <f>VLOOKUP(B6326,'All Districts'!$A$3:$B$874,2,FALSE)</f>
        <v>Tupper Lake</v>
      </c>
      <c r="D6326" s="16">
        <v>710451</v>
      </c>
      <c r="E6326">
        <f>VLOOKUP(C6326,'All Districts'!$B$3:$C$874,2,FALSE)</f>
        <v>3629160</v>
      </c>
      <c r="F6326" s="91">
        <f>COUNTIF($E$2:$E$7106,E6326)</f>
        <v>9</v>
      </c>
    </row>
    <row r="6327" spans="1:6" x14ac:dyDescent="0.2">
      <c r="A6327" s="10">
        <v>2018</v>
      </c>
      <c r="B6327" s="13">
        <v>2605</v>
      </c>
      <c r="C6327" s="90" t="str">
        <f>VLOOKUP(B6327,'All Districts'!$A$3:$B$874,2,FALSE)</f>
        <v>Tupper Lake</v>
      </c>
      <c r="D6327" s="15">
        <v>606063</v>
      </c>
      <c r="E6327">
        <f>VLOOKUP(C6327,'All Districts'!$B$3:$C$874,2,FALSE)</f>
        <v>3629160</v>
      </c>
      <c r="F6327" s="91">
        <f>COUNTIF($E$2:$E$7106,E6327)</f>
        <v>9</v>
      </c>
    </row>
    <row r="6328" spans="1:6" x14ac:dyDescent="0.2">
      <c r="A6328">
        <v>2019</v>
      </c>
      <c r="B6328" s="36">
        <v>2605</v>
      </c>
      <c r="C6328" s="90" t="str">
        <f>VLOOKUP(B6328,'All Districts'!$A$3:$B$874,2,FALSE)</f>
        <v>Tupper Lake</v>
      </c>
      <c r="D6328" s="40">
        <v>671867</v>
      </c>
      <c r="E6328">
        <f>VLOOKUP(C6328,'All Districts'!$B$3:$C$874,2,FALSE)</f>
        <v>3629160</v>
      </c>
      <c r="F6328" s="91">
        <f>COUNTIF($E$2:$E$7106,E6328)</f>
        <v>9</v>
      </c>
    </row>
    <row r="6329" spans="1:6" x14ac:dyDescent="0.2">
      <c r="A6329">
        <v>2020</v>
      </c>
      <c r="B6329" s="36">
        <v>2605</v>
      </c>
      <c r="C6329" s="90" t="str">
        <f>VLOOKUP(B6329,'All Districts'!$A$3:$B$874,2,FALSE)</f>
        <v>Tupper Lake</v>
      </c>
      <c r="D6329" s="40">
        <v>558238</v>
      </c>
      <c r="E6329">
        <f>VLOOKUP(C6329,'All Districts'!$B$3:$C$874,2,FALSE)</f>
        <v>3629160</v>
      </c>
      <c r="F6329" s="91">
        <f>COUNTIF($E$2:$E$7106,E6329)</f>
        <v>9</v>
      </c>
    </row>
    <row r="6330" spans="1:6" x14ac:dyDescent="0.2">
      <c r="A6330" s="10">
        <v>2021</v>
      </c>
      <c r="B6330" s="52">
        <v>2605</v>
      </c>
      <c r="C6330" s="90" t="str">
        <f>VLOOKUP(B6330,'All Districts'!$A$3:$B$874,2,FALSE)</f>
        <v>Tupper Lake</v>
      </c>
      <c r="D6330" s="76">
        <v>579469</v>
      </c>
      <c r="E6330">
        <f>VLOOKUP(C6330,'All Districts'!$B$3:$C$874,2,FALSE)</f>
        <v>3629160</v>
      </c>
      <c r="F6330" s="91">
        <f>COUNTIF($E$2:$E$7106,E6330)</f>
        <v>9</v>
      </c>
    </row>
    <row r="6331" spans="1:6" x14ac:dyDescent="0.2">
      <c r="A6331">
        <v>2022</v>
      </c>
      <c r="B6331" s="36">
        <v>2605</v>
      </c>
      <c r="C6331" s="90" t="str">
        <f>VLOOKUP(B6331,'All Districts'!$A$3:$B$874,2,FALSE)</f>
        <v>Tupper Lake</v>
      </c>
      <c r="D6331" s="82">
        <v>613943</v>
      </c>
      <c r="E6331">
        <f>VLOOKUP(C6331,'All Districts'!$B$3:$C$874,2,FALSE)</f>
        <v>3629160</v>
      </c>
      <c r="F6331" s="91">
        <f>COUNTIF($E$2:$E$7106,E6331)</f>
        <v>9</v>
      </c>
    </row>
    <row r="6332" spans="1:6" x14ac:dyDescent="0.2">
      <c r="A6332">
        <v>2023</v>
      </c>
      <c r="B6332" s="36">
        <v>2605</v>
      </c>
      <c r="C6332" s="90" t="str">
        <f>VLOOKUP(B6332,'All Districts'!$A$3:$B$874,2,FALSE)</f>
        <v>Tupper Lake</v>
      </c>
      <c r="D6332" s="40">
        <v>611128</v>
      </c>
      <c r="E6332">
        <f>VLOOKUP(C6332,'All Districts'!$B$3:$C$874,2,FALSE)</f>
        <v>3629160</v>
      </c>
      <c r="F6332" s="91">
        <f>COUNTIF($E$2:$E$7106,E6332)</f>
        <v>9</v>
      </c>
    </row>
    <row r="6333" spans="1:6" x14ac:dyDescent="0.2">
      <c r="A6333">
        <v>2015</v>
      </c>
      <c r="B6333" s="13">
        <v>4617</v>
      </c>
      <c r="C6333" s="90" t="str">
        <f>VLOOKUP(B6333,'All Districts'!$A$3:$B$874,2,FALSE)</f>
        <v>Tuxedo</v>
      </c>
      <c r="D6333" s="14">
        <v>937296</v>
      </c>
      <c r="E6333">
        <f>VLOOKUP(C6333,'All Districts'!$B$3:$C$874,2,FALSE)</f>
        <v>3629190</v>
      </c>
      <c r="F6333" s="91">
        <f>COUNTIF($E$2:$E$7106,E6333)</f>
        <v>9</v>
      </c>
    </row>
    <row r="6334" spans="1:6" x14ac:dyDescent="0.2">
      <c r="A6334">
        <v>2016</v>
      </c>
      <c r="B6334" s="13">
        <v>4617</v>
      </c>
      <c r="C6334" s="90" t="str">
        <f>VLOOKUP(B6334,'All Districts'!$A$3:$B$874,2,FALSE)</f>
        <v>Tuxedo</v>
      </c>
      <c r="D6334" s="16">
        <v>534344</v>
      </c>
      <c r="E6334">
        <f>VLOOKUP(C6334,'All Districts'!$B$3:$C$874,2,FALSE)</f>
        <v>3629190</v>
      </c>
      <c r="F6334" s="91">
        <f>COUNTIF($E$2:$E$7106,E6334)</f>
        <v>9</v>
      </c>
    </row>
    <row r="6335" spans="1:6" x14ac:dyDescent="0.2">
      <c r="A6335">
        <v>2017</v>
      </c>
      <c r="B6335" s="13">
        <v>4617</v>
      </c>
      <c r="C6335" s="90" t="str">
        <f>VLOOKUP(B6335,'All Districts'!$A$3:$B$874,2,FALSE)</f>
        <v>Tuxedo</v>
      </c>
      <c r="D6335" s="16">
        <v>474360</v>
      </c>
      <c r="E6335">
        <f>VLOOKUP(C6335,'All Districts'!$B$3:$C$874,2,FALSE)</f>
        <v>3629190</v>
      </c>
      <c r="F6335" s="91">
        <f>COUNTIF($E$2:$E$7106,E6335)</f>
        <v>9</v>
      </c>
    </row>
    <row r="6336" spans="1:6" x14ac:dyDescent="0.2">
      <c r="A6336" s="10">
        <v>2018</v>
      </c>
      <c r="B6336" s="13">
        <v>4617</v>
      </c>
      <c r="C6336" s="90" t="str">
        <f>VLOOKUP(B6336,'All Districts'!$A$3:$B$874,2,FALSE)</f>
        <v>Tuxedo</v>
      </c>
      <c r="D6336" s="15">
        <v>391139</v>
      </c>
      <c r="E6336">
        <f>VLOOKUP(C6336,'All Districts'!$B$3:$C$874,2,FALSE)</f>
        <v>3629190</v>
      </c>
      <c r="F6336" s="91">
        <f>COUNTIF($E$2:$E$7106,E6336)</f>
        <v>9</v>
      </c>
    </row>
    <row r="6337" spans="1:6" x14ac:dyDescent="0.2">
      <c r="A6337">
        <v>2019</v>
      </c>
      <c r="B6337" s="36">
        <v>4617</v>
      </c>
      <c r="C6337" s="90" t="str">
        <f>VLOOKUP(B6337,'All Districts'!$A$3:$B$874,2,FALSE)</f>
        <v>Tuxedo</v>
      </c>
      <c r="D6337" s="40">
        <v>408828</v>
      </c>
      <c r="E6337">
        <f>VLOOKUP(C6337,'All Districts'!$B$3:$C$874,2,FALSE)</f>
        <v>3629190</v>
      </c>
      <c r="F6337" s="91">
        <f>COUNTIF($E$2:$E$7106,E6337)</f>
        <v>9</v>
      </c>
    </row>
    <row r="6338" spans="1:6" x14ac:dyDescent="0.2">
      <c r="A6338">
        <v>2020</v>
      </c>
      <c r="B6338" s="36">
        <v>4617</v>
      </c>
      <c r="C6338" s="90" t="str">
        <f>VLOOKUP(B6338,'All Districts'!$A$3:$B$874,2,FALSE)</f>
        <v>Tuxedo</v>
      </c>
      <c r="D6338" s="40">
        <v>349890</v>
      </c>
      <c r="E6338">
        <f>VLOOKUP(C6338,'All Districts'!$B$3:$C$874,2,FALSE)</f>
        <v>3629190</v>
      </c>
      <c r="F6338" s="91">
        <f>COUNTIF($E$2:$E$7106,E6338)</f>
        <v>9</v>
      </c>
    </row>
    <row r="6339" spans="1:6" x14ac:dyDescent="0.2">
      <c r="A6339" s="10">
        <v>2021</v>
      </c>
      <c r="B6339" s="55">
        <v>4617</v>
      </c>
      <c r="C6339" s="90" t="str">
        <f>VLOOKUP(B6339,'All Districts'!$A$3:$B$874,2,FALSE)</f>
        <v>Tuxedo</v>
      </c>
      <c r="D6339" s="79">
        <v>379565</v>
      </c>
      <c r="E6339">
        <f>VLOOKUP(C6339,'All Districts'!$B$3:$C$874,2,FALSE)</f>
        <v>3629190</v>
      </c>
      <c r="F6339" s="91">
        <f>COUNTIF($E$2:$E$7106,E6339)</f>
        <v>9</v>
      </c>
    </row>
    <row r="6340" spans="1:6" x14ac:dyDescent="0.2">
      <c r="A6340">
        <v>2022</v>
      </c>
      <c r="B6340" s="36">
        <v>4617</v>
      </c>
      <c r="C6340" s="90" t="str">
        <f>VLOOKUP(B6340,'All Districts'!$A$3:$B$874,2,FALSE)</f>
        <v>Tuxedo</v>
      </c>
      <c r="D6340" s="82">
        <v>387237</v>
      </c>
      <c r="E6340">
        <f>VLOOKUP(C6340,'All Districts'!$B$3:$C$874,2,FALSE)</f>
        <v>3629190</v>
      </c>
      <c r="F6340" s="91">
        <f>COUNTIF($E$2:$E$7106,E6340)</f>
        <v>9</v>
      </c>
    </row>
    <row r="6341" spans="1:6" x14ac:dyDescent="0.2">
      <c r="A6341">
        <v>2023</v>
      </c>
      <c r="B6341" s="36">
        <v>4617</v>
      </c>
      <c r="C6341" s="90" t="str">
        <f>VLOOKUP(B6341,'All Districts'!$A$3:$B$874,2,FALSE)</f>
        <v>Tuxedo</v>
      </c>
      <c r="D6341" s="40">
        <v>376950</v>
      </c>
      <c r="E6341">
        <f>VLOOKUP(C6341,'All Districts'!$B$3:$C$874,2,FALSE)</f>
        <v>3629190</v>
      </c>
      <c r="F6341" s="91">
        <f>COUNTIF($E$2:$E$7106,E6341)</f>
        <v>9</v>
      </c>
    </row>
    <row r="6342" spans="1:6" x14ac:dyDescent="0.2">
      <c r="A6342">
        <v>2015</v>
      </c>
      <c r="B6342" s="13">
        <v>6099</v>
      </c>
      <c r="C6342" s="90" t="str">
        <f>VLOOKUP(B6342,'All Districts'!$A$3:$B$874,2,FALSE)</f>
        <v>Ulster</v>
      </c>
      <c r="D6342" s="15">
        <v>2090998</v>
      </c>
      <c r="E6342">
        <f>VLOOKUP(C6342,'All Districts'!$B$3:$C$874,2,FALSE)</f>
        <v>3680920</v>
      </c>
      <c r="F6342" s="91">
        <f>COUNTIF($E$2:$E$7106,E6342)</f>
        <v>9</v>
      </c>
    </row>
    <row r="6343" spans="1:6" x14ac:dyDescent="0.2">
      <c r="A6343">
        <v>2016</v>
      </c>
      <c r="B6343" s="13">
        <v>6099</v>
      </c>
      <c r="C6343" s="90" t="str">
        <f>VLOOKUP(B6343,'All Districts'!$A$3:$B$874,2,FALSE)</f>
        <v>Ulster</v>
      </c>
      <c r="D6343" s="16">
        <v>1418623</v>
      </c>
      <c r="E6343">
        <f>VLOOKUP(C6343,'All Districts'!$B$3:$C$874,2,FALSE)</f>
        <v>3680920</v>
      </c>
      <c r="F6343" s="91">
        <f>COUNTIF($E$2:$E$7106,E6343)</f>
        <v>9</v>
      </c>
    </row>
    <row r="6344" spans="1:6" x14ac:dyDescent="0.2">
      <c r="A6344">
        <v>2017</v>
      </c>
      <c r="B6344" s="13">
        <v>6099</v>
      </c>
      <c r="C6344" s="90" t="str">
        <f>VLOOKUP(B6344,'All Districts'!$A$3:$B$874,2,FALSE)</f>
        <v>Ulster</v>
      </c>
      <c r="D6344" s="16">
        <v>1347621</v>
      </c>
      <c r="E6344">
        <f>VLOOKUP(C6344,'All Districts'!$B$3:$C$874,2,FALSE)</f>
        <v>3680920</v>
      </c>
      <c r="F6344" s="91">
        <f>COUNTIF($E$2:$E$7106,E6344)</f>
        <v>9</v>
      </c>
    </row>
    <row r="6345" spans="1:6" x14ac:dyDescent="0.2">
      <c r="A6345" s="10">
        <v>2018</v>
      </c>
      <c r="B6345" s="13">
        <v>6099</v>
      </c>
      <c r="C6345" s="90" t="str">
        <f>VLOOKUP(B6345,'All Districts'!$A$3:$B$874,2,FALSE)</f>
        <v>Ulster</v>
      </c>
      <c r="D6345" s="15">
        <v>1100814</v>
      </c>
      <c r="E6345">
        <f>VLOOKUP(C6345,'All Districts'!$B$3:$C$874,2,FALSE)</f>
        <v>3680920</v>
      </c>
      <c r="F6345" s="91">
        <f>COUNTIF($E$2:$E$7106,E6345)</f>
        <v>9</v>
      </c>
    </row>
    <row r="6346" spans="1:6" x14ac:dyDescent="0.2">
      <c r="A6346">
        <v>2019</v>
      </c>
      <c r="B6346" s="36">
        <v>6099</v>
      </c>
      <c r="C6346" s="90" t="str">
        <f>VLOOKUP(B6346,'All Districts'!$A$3:$B$874,2,FALSE)</f>
        <v>Ulster</v>
      </c>
      <c r="D6346" s="40">
        <v>1275465</v>
      </c>
      <c r="E6346">
        <f>VLOOKUP(C6346,'All Districts'!$B$3:$C$874,2,FALSE)</f>
        <v>3680920</v>
      </c>
      <c r="F6346" s="91">
        <f>COUNTIF($E$2:$E$7106,E6346)</f>
        <v>9</v>
      </c>
    </row>
    <row r="6347" spans="1:6" x14ac:dyDescent="0.2">
      <c r="A6347">
        <v>2020</v>
      </c>
      <c r="B6347" s="36">
        <v>6099</v>
      </c>
      <c r="C6347" s="90" t="str">
        <f>VLOOKUP(B6347,'All Districts'!$A$3:$B$874,2,FALSE)</f>
        <v>Ulster</v>
      </c>
      <c r="D6347" s="40">
        <v>1180713</v>
      </c>
      <c r="E6347">
        <f>VLOOKUP(C6347,'All Districts'!$B$3:$C$874,2,FALSE)</f>
        <v>3680920</v>
      </c>
      <c r="F6347" s="91">
        <f>COUNTIF($E$2:$E$7106,E6347)</f>
        <v>9</v>
      </c>
    </row>
    <row r="6348" spans="1:6" x14ac:dyDescent="0.2">
      <c r="A6348" s="10">
        <v>2021</v>
      </c>
      <c r="B6348" s="52">
        <v>6099</v>
      </c>
      <c r="C6348" s="90" t="str">
        <f>VLOOKUP(B6348,'All Districts'!$A$3:$B$874,2,FALSE)</f>
        <v>Ulster</v>
      </c>
      <c r="D6348" s="75">
        <v>1356671</v>
      </c>
      <c r="E6348">
        <f>VLOOKUP(C6348,'All Districts'!$B$3:$C$874,2,FALSE)</f>
        <v>3680920</v>
      </c>
      <c r="F6348" s="91">
        <f>COUNTIF($E$2:$E$7106,E6348)</f>
        <v>9</v>
      </c>
    </row>
    <row r="6349" spans="1:6" x14ac:dyDescent="0.2">
      <c r="A6349">
        <v>2022</v>
      </c>
      <c r="B6349" s="36">
        <v>6099</v>
      </c>
      <c r="C6349" s="90" t="str">
        <f>VLOOKUP(B6349,'All Districts'!$A$3:$B$874,2,FALSE)</f>
        <v>Ulster</v>
      </c>
      <c r="D6349" s="82">
        <v>1594478</v>
      </c>
      <c r="E6349">
        <f>VLOOKUP(C6349,'All Districts'!$B$3:$C$874,2,FALSE)</f>
        <v>3680920</v>
      </c>
      <c r="F6349" s="91">
        <f>COUNTIF($E$2:$E$7106,E6349)</f>
        <v>9</v>
      </c>
    </row>
    <row r="6350" spans="1:6" x14ac:dyDescent="0.2">
      <c r="A6350">
        <v>2023</v>
      </c>
      <c r="B6350" s="36">
        <v>6099</v>
      </c>
      <c r="C6350" s="90" t="str">
        <f>VLOOKUP(B6350,'All Districts'!$A$3:$B$874,2,FALSE)</f>
        <v>Ulster</v>
      </c>
      <c r="D6350" s="40">
        <v>1784100</v>
      </c>
      <c r="E6350">
        <f>VLOOKUP(C6350,'All Districts'!$B$3:$C$874,2,FALSE)</f>
        <v>3680920</v>
      </c>
      <c r="F6350" s="91">
        <f>COUNTIF($E$2:$E$7106,E6350)</f>
        <v>9</v>
      </c>
    </row>
    <row r="6351" spans="1:6" x14ac:dyDescent="0.2">
      <c r="A6351">
        <v>2015</v>
      </c>
      <c r="B6351" s="13">
        <v>3589</v>
      </c>
      <c r="C6351" s="90" t="str">
        <f>VLOOKUP(B6351,'All Districts'!$A$3:$B$874,2,FALSE)</f>
        <v>Unadilla Valley</v>
      </c>
      <c r="D6351" s="14">
        <v>912825</v>
      </c>
      <c r="E6351">
        <f>VLOOKUP(C6351,'All Districts'!$B$3:$C$874,2,FALSE)</f>
        <v>3600019</v>
      </c>
      <c r="F6351" s="91">
        <f>COUNTIF($E$2:$E$7106,E6351)</f>
        <v>9</v>
      </c>
    </row>
    <row r="6352" spans="1:6" x14ac:dyDescent="0.2">
      <c r="A6352">
        <v>2016</v>
      </c>
      <c r="B6352" s="13">
        <v>3589</v>
      </c>
      <c r="C6352" s="90" t="str">
        <f>VLOOKUP(B6352,'All Districts'!$A$3:$B$874,2,FALSE)</f>
        <v>Unadilla Valley</v>
      </c>
      <c r="D6352" s="16">
        <v>686194</v>
      </c>
      <c r="E6352">
        <f>VLOOKUP(C6352,'All Districts'!$B$3:$C$874,2,FALSE)</f>
        <v>3600019</v>
      </c>
      <c r="F6352" s="91">
        <f>COUNTIF($E$2:$E$7106,E6352)</f>
        <v>9</v>
      </c>
    </row>
    <row r="6353" spans="1:6" x14ac:dyDescent="0.2">
      <c r="A6353">
        <v>2017</v>
      </c>
      <c r="B6353" s="13">
        <v>3589</v>
      </c>
      <c r="C6353" s="90" t="str">
        <f>VLOOKUP(B6353,'All Districts'!$A$3:$B$874,2,FALSE)</f>
        <v>Unadilla Valley</v>
      </c>
      <c r="D6353" s="16">
        <v>641488</v>
      </c>
      <c r="E6353">
        <f>VLOOKUP(C6353,'All Districts'!$B$3:$C$874,2,FALSE)</f>
        <v>3600019</v>
      </c>
      <c r="F6353" s="91">
        <f>COUNTIF($E$2:$E$7106,E6353)</f>
        <v>9</v>
      </c>
    </row>
    <row r="6354" spans="1:6" x14ac:dyDescent="0.2">
      <c r="A6354" s="10">
        <v>2018</v>
      </c>
      <c r="B6354" s="13">
        <v>3589</v>
      </c>
      <c r="C6354" s="90" t="str">
        <f>VLOOKUP(B6354,'All Districts'!$A$3:$B$874,2,FALSE)</f>
        <v>Unadilla Valley</v>
      </c>
      <c r="D6354" s="15">
        <v>534890</v>
      </c>
      <c r="E6354">
        <f>VLOOKUP(C6354,'All Districts'!$B$3:$C$874,2,FALSE)</f>
        <v>3600019</v>
      </c>
      <c r="F6354" s="91">
        <f>COUNTIF($E$2:$E$7106,E6354)</f>
        <v>9</v>
      </c>
    </row>
    <row r="6355" spans="1:6" x14ac:dyDescent="0.2">
      <c r="A6355">
        <v>2019</v>
      </c>
      <c r="B6355" s="36">
        <v>3589</v>
      </c>
      <c r="C6355" s="90" t="str">
        <f>VLOOKUP(B6355,'All Districts'!$A$3:$B$874,2,FALSE)</f>
        <v>Unadilla Valley</v>
      </c>
      <c r="D6355" s="40">
        <v>627976</v>
      </c>
      <c r="E6355">
        <f>VLOOKUP(C6355,'All Districts'!$B$3:$C$874,2,FALSE)</f>
        <v>3600019</v>
      </c>
      <c r="F6355" s="91">
        <f>COUNTIF($E$2:$E$7106,E6355)</f>
        <v>9</v>
      </c>
    </row>
    <row r="6356" spans="1:6" x14ac:dyDescent="0.2">
      <c r="A6356">
        <v>2020</v>
      </c>
      <c r="B6356" s="36">
        <v>3589</v>
      </c>
      <c r="C6356" s="90" t="str">
        <f>VLOOKUP(B6356,'All Districts'!$A$3:$B$874,2,FALSE)</f>
        <v>Unadilla Valley</v>
      </c>
      <c r="D6356" s="40">
        <v>545004</v>
      </c>
      <c r="E6356">
        <f>VLOOKUP(C6356,'All Districts'!$B$3:$C$874,2,FALSE)</f>
        <v>3600019</v>
      </c>
      <c r="F6356" s="91">
        <f>COUNTIF($E$2:$E$7106,E6356)</f>
        <v>9</v>
      </c>
    </row>
    <row r="6357" spans="1:6" x14ac:dyDescent="0.2">
      <c r="A6357" s="10">
        <v>2021</v>
      </c>
      <c r="B6357" s="52">
        <v>3589</v>
      </c>
      <c r="C6357" s="90" t="str">
        <f>VLOOKUP(B6357,'All Districts'!$A$3:$B$874,2,FALSE)</f>
        <v>Unadilla Valley</v>
      </c>
      <c r="D6357" s="76">
        <v>539423</v>
      </c>
      <c r="E6357">
        <f>VLOOKUP(C6357,'All Districts'!$B$3:$C$874,2,FALSE)</f>
        <v>3600019</v>
      </c>
      <c r="F6357" s="91">
        <f>COUNTIF($E$2:$E$7106,E6357)</f>
        <v>9</v>
      </c>
    </row>
    <row r="6358" spans="1:6" x14ac:dyDescent="0.2">
      <c r="A6358">
        <v>2022</v>
      </c>
      <c r="B6358" s="36">
        <v>3589</v>
      </c>
      <c r="C6358" s="90" t="str">
        <f>VLOOKUP(B6358,'All Districts'!$A$3:$B$874,2,FALSE)</f>
        <v>Unadilla Valley</v>
      </c>
      <c r="D6358" s="82">
        <v>579845</v>
      </c>
      <c r="E6358">
        <f>VLOOKUP(C6358,'All Districts'!$B$3:$C$874,2,FALSE)</f>
        <v>3600019</v>
      </c>
      <c r="F6358" s="91">
        <f>COUNTIF($E$2:$E$7106,E6358)</f>
        <v>9</v>
      </c>
    </row>
    <row r="6359" spans="1:6" x14ac:dyDescent="0.2">
      <c r="A6359">
        <v>2023</v>
      </c>
      <c r="B6359" s="36">
        <v>3589</v>
      </c>
      <c r="C6359" s="90" t="str">
        <f>VLOOKUP(B6359,'All Districts'!$A$3:$B$874,2,FALSE)</f>
        <v>Unadilla Valley</v>
      </c>
      <c r="D6359" s="40">
        <v>647534</v>
      </c>
      <c r="E6359">
        <f>VLOOKUP(C6359,'All Districts'!$B$3:$C$874,2,FALSE)</f>
        <v>3600019</v>
      </c>
      <c r="F6359" s="91">
        <f>COUNTIF($E$2:$E$7106,E6359)</f>
        <v>9</v>
      </c>
    </row>
    <row r="6360" spans="1:6" x14ac:dyDescent="0.2">
      <c r="A6360">
        <v>2015</v>
      </c>
      <c r="B6360" s="13">
        <v>3284</v>
      </c>
      <c r="C6360" s="90" t="str">
        <f>VLOOKUP(B6360,'All Districts'!$A$3:$B$874,2,FALSE)</f>
        <v>Union Springs</v>
      </c>
      <c r="D6360" s="14">
        <v>1044546</v>
      </c>
      <c r="E6360">
        <f>VLOOKUP(C6360,'All Districts'!$B$3:$C$874,2,FALSE)</f>
        <v>3629250</v>
      </c>
      <c r="F6360" s="91">
        <f>COUNTIF($E$2:$E$7106,E6360)</f>
        <v>9</v>
      </c>
    </row>
    <row r="6361" spans="1:6" x14ac:dyDescent="0.2">
      <c r="A6361">
        <v>2016</v>
      </c>
      <c r="B6361" s="13">
        <v>3284</v>
      </c>
      <c r="C6361" s="90" t="str">
        <f>VLOOKUP(B6361,'All Districts'!$A$3:$B$874,2,FALSE)</f>
        <v>Union Springs</v>
      </c>
      <c r="D6361" s="16">
        <v>847076</v>
      </c>
      <c r="E6361">
        <f>VLOOKUP(C6361,'All Districts'!$B$3:$C$874,2,FALSE)</f>
        <v>3629250</v>
      </c>
      <c r="F6361" s="91">
        <f>COUNTIF($E$2:$E$7106,E6361)</f>
        <v>9</v>
      </c>
    </row>
    <row r="6362" spans="1:6" x14ac:dyDescent="0.2">
      <c r="A6362">
        <v>2017</v>
      </c>
      <c r="B6362" s="13">
        <v>3284</v>
      </c>
      <c r="C6362" s="90" t="str">
        <f>VLOOKUP(B6362,'All Districts'!$A$3:$B$874,2,FALSE)</f>
        <v>Union Springs</v>
      </c>
      <c r="D6362" s="16">
        <v>780299</v>
      </c>
      <c r="E6362">
        <f>VLOOKUP(C6362,'All Districts'!$B$3:$C$874,2,FALSE)</f>
        <v>3629250</v>
      </c>
      <c r="F6362" s="91">
        <f>COUNTIF($E$2:$E$7106,E6362)</f>
        <v>9</v>
      </c>
    </row>
    <row r="6363" spans="1:6" x14ac:dyDescent="0.2">
      <c r="A6363" s="10">
        <v>2018</v>
      </c>
      <c r="B6363" s="13">
        <v>3284</v>
      </c>
      <c r="C6363" s="90" t="str">
        <f>VLOOKUP(B6363,'All Districts'!$A$3:$B$874,2,FALSE)</f>
        <v>Union Springs</v>
      </c>
      <c r="D6363" s="15">
        <v>666642</v>
      </c>
      <c r="E6363">
        <f>VLOOKUP(C6363,'All Districts'!$B$3:$C$874,2,FALSE)</f>
        <v>3629250</v>
      </c>
      <c r="F6363" s="91">
        <f>COUNTIF($E$2:$E$7106,E6363)</f>
        <v>9</v>
      </c>
    </row>
    <row r="6364" spans="1:6" x14ac:dyDescent="0.2">
      <c r="A6364">
        <v>2019</v>
      </c>
      <c r="B6364" s="36">
        <v>3284</v>
      </c>
      <c r="C6364" s="90" t="str">
        <f>VLOOKUP(B6364,'All Districts'!$A$3:$B$874,2,FALSE)</f>
        <v>Union Springs</v>
      </c>
      <c r="D6364" s="40">
        <v>740247</v>
      </c>
      <c r="E6364">
        <f>VLOOKUP(C6364,'All Districts'!$B$3:$C$874,2,FALSE)</f>
        <v>3629250</v>
      </c>
      <c r="F6364" s="91">
        <f>COUNTIF($E$2:$E$7106,E6364)</f>
        <v>9</v>
      </c>
    </row>
    <row r="6365" spans="1:6" x14ac:dyDescent="0.2">
      <c r="A6365">
        <v>2020</v>
      </c>
      <c r="B6365" s="36">
        <v>3284</v>
      </c>
      <c r="C6365" s="90" t="str">
        <f>VLOOKUP(B6365,'All Districts'!$A$3:$B$874,2,FALSE)</f>
        <v>Union Springs</v>
      </c>
      <c r="D6365" s="40">
        <v>625903</v>
      </c>
      <c r="E6365">
        <f>VLOOKUP(C6365,'All Districts'!$B$3:$C$874,2,FALSE)</f>
        <v>3629250</v>
      </c>
      <c r="F6365" s="91">
        <f>COUNTIF($E$2:$E$7106,E6365)</f>
        <v>9</v>
      </c>
    </row>
    <row r="6366" spans="1:6" x14ac:dyDescent="0.2">
      <c r="A6366" s="10">
        <v>2021</v>
      </c>
      <c r="B6366" s="52">
        <v>3284</v>
      </c>
      <c r="C6366" s="90" t="str">
        <f>VLOOKUP(B6366,'All Districts'!$A$3:$B$874,2,FALSE)</f>
        <v>Union Springs</v>
      </c>
      <c r="D6366" s="75">
        <v>635301</v>
      </c>
      <c r="E6366">
        <f>VLOOKUP(C6366,'All Districts'!$B$3:$C$874,2,FALSE)</f>
        <v>3629250</v>
      </c>
      <c r="F6366" s="91">
        <f>COUNTIF($E$2:$E$7106,E6366)</f>
        <v>9</v>
      </c>
    </row>
    <row r="6367" spans="1:6" x14ac:dyDescent="0.2">
      <c r="A6367">
        <v>2022</v>
      </c>
      <c r="B6367" s="36">
        <v>3284</v>
      </c>
      <c r="C6367" s="90" t="str">
        <f>VLOOKUP(B6367,'All Districts'!$A$3:$B$874,2,FALSE)</f>
        <v>Union Springs</v>
      </c>
      <c r="D6367" s="82">
        <v>695019</v>
      </c>
      <c r="E6367">
        <f>VLOOKUP(C6367,'All Districts'!$B$3:$C$874,2,FALSE)</f>
        <v>3629250</v>
      </c>
      <c r="F6367" s="91">
        <f>COUNTIF($E$2:$E$7106,E6367)</f>
        <v>9</v>
      </c>
    </row>
    <row r="6368" spans="1:6" x14ac:dyDescent="0.2">
      <c r="A6368">
        <v>2023</v>
      </c>
      <c r="B6368" s="36">
        <v>3284</v>
      </c>
      <c r="C6368" s="90" t="str">
        <f>VLOOKUP(B6368,'All Districts'!$A$3:$B$874,2,FALSE)</f>
        <v>Union Springs</v>
      </c>
      <c r="D6368" s="40">
        <v>750103</v>
      </c>
      <c r="E6368">
        <f>VLOOKUP(C6368,'All Districts'!$B$3:$C$874,2,FALSE)</f>
        <v>3629250</v>
      </c>
      <c r="F6368" s="91">
        <f>COUNTIF($E$2:$E$7106,E6368)</f>
        <v>9</v>
      </c>
    </row>
    <row r="6369" spans="1:6" x14ac:dyDescent="0.2">
      <c r="A6369">
        <v>2015</v>
      </c>
      <c r="B6369" s="13">
        <v>2155</v>
      </c>
      <c r="C6369" s="90" t="str">
        <f>VLOOKUP(B6369,'All Districts'!$A$3:$B$874,2,FALSE)</f>
        <v>Union-Endicott</v>
      </c>
      <c r="D6369" s="14">
        <v>4000230</v>
      </c>
      <c r="E6369">
        <f>VLOOKUP(C6369,'All Districts'!$B$3:$C$874,2,FALSE)</f>
        <v>3610710</v>
      </c>
      <c r="F6369" s="91">
        <f>COUNTIF($E$2:$E$7106,E6369)</f>
        <v>9</v>
      </c>
    </row>
    <row r="6370" spans="1:6" x14ac:dyDescent="0.2">
      <c r="A6370">
        <v>2016</v>
      </c>
      <c r="B6370" s="13">
        <v>2155</v>
      </c>
      <c r="C6370" s="90" t="str">
        <f>VLOOKUP(B6370,'All Districts'!$A$3:$B$874,2,FALSE)</f>
        <v>Union-Endicott</v>
      </c>
      <c r="D6370" s="16">
        <v>3064399</v>
      </c>
      <c r="E6370">
        <f>VLOOKUP(C6370,'All Districts'!$B$3:$C$874,2,FALSE)</f>
        <v>3610710</v>
      </c>
      <c r="F6370" s="91">
        <f>COUNTIF($E$2:$E$7106,E6370)</f>
        <v>9</v>
      </c>
    </row>
    <row r="6371" spans="1:6" x14ac:dyDescent="0.2">
      <c r="A6371">
        <v>2017</v>
      </c>
      <c r="B6371" s="13">
        <v>2155</v>
      </c>
      <c r="C6371" s="90" t="str">
        <f>VLOOKUP(B6371,'All Districts'!$A$3:$B$874,2,FALSE)</f>
        <v>Union-Endicott</v>
      </c>
      <c r="D6371" s="16">
        <v>2795022</v>
      </c>
      <c r="E6371">
        <f>VLOOKUP(C6371,'All Districts'!$B$3:$C$874,2,FALSE)</f>
        <v>3610710</v>
      </c>
      <c r="F6371" s="91">
        <f>COUNTIF($E$2:$E$7106,E6371)</f>
        <v>9</v>
      </c>
    </row>
    <row r="6372" spans="1:6" x14ac:dyDescent="0.2">
      <c r="A6372" s="10">
        <v>2018</v>
      </c>
      <c r="B6372" s="13">
        <v>2155</v>
      </c>
      <c r="C6372" s="90" t="str">
        <f>VLOOKUP(B6372,'All Districts'!$A$3:$B$874,2,FALSE)</f>
        <v>Union-Endicott</v>
      </c>
      <c r="D6372" s="15">
        <v>2436377</v>
      </c>
      <c r="E6372">
        <f>VLOOKUP(C6372,'All Districts'!$B$3:$C$874,2,FALSE)</f>
        <v>3610710</v>
      </c>
      <c r="F6372" s="91">
        <f>COUNTIF($E$2:$E$7106,E6372)</f>
        <v>9</v>
      </c>
    </row>
    <row r="6373" spans="1:6" x14ac:dyDescent="0.2">
      <c r="A6373">
        <v>2019</v>
      </c>
      <c r="B6373" s="36">
        <v>2155</v>
      </c>
      <c r="C6373" s="90" t="str">
        <f>VLOOKUP(B6373,'All Districts'!$A$3:$B$874,2,FALSE)</f>
        <v>Union-Endicott</v>
      </c>
      <c r="D6373" s="40">
        <v>2714653</v>
      </c>
      <c r="E6373">
        <f>VLOOKUP(C6373,'All Districts'!$B$3:$C$874,2,FALSE)</f>
        <v>3610710</v>
      </c>
      <c r="F6373" s="91">
        <f>COUNTIF($E$2:$E$7106,E6373)</f>
        <v>9</v>
      </c>
    </row>
    <row r="6374" spans="1:6" x14ac:dyDescent="0.2">
      <c r="A6374">
        <v>2020</v>
      </c>
      <c r="B6374" s="36">
        <v>2155</v>
      </c>
      <c r="C6374" s="90" t="str">
        <f>VLOOKUP(B6374,'All Districts'!$A$3:$B$874,2,FALSE)</f>
        <v>Union-Endicott</v>
      </c>
      <c r="D6374" s="40">
        <v>2301639</v>
      </c>
      <c r="E6374">
        <f>VLOOKUP(C6374,'All Districts'!$B$3:$C$874,2,FALSE)</f>
        <v>3610710</v>
      </c>
      <c r="F6374" s="91">
        <f>COUNTIF($E$2:$E$7106,E6374)</f>
        <v>9</v>
      </c>
    </row>
    <row r="6375" spans="1:6" x14ac:dyDescent="0.2">
      <c r="A6375" s="10">
        <v>2021</v>
      </c>
      <c r="B6375" s="72">
        <v>2155</v>
      </c>
      <c r="C6375" s="90" t="str">
        <f>VLOOKUP(B6375,'All Districts'!$A$3:$B$874,2,FALSE)</f>
        <v>Union-Endicott</v>
      </c>
      <c r="D6375" s="78">
        <v>2452393</v>
      </c>
      <c r="E6375">
        <f>VLOOKUP(C6375,'All Districts'!$B$3:$C$874,2,FALSE)</f>
        <v>3610710</v>
      </c>
      <c r="F6375" s="91">
        <f>COUNTIF($E$2:$E$7106,E6375)</f>
        <v>9</v>
      </c>
    </row>
    <row r="6376" spans="1:6" x14ac:dyDescent="0.2">
      <c r="A6376">
        <v>2022</v>
      </c>
      <c r="B6376" s="36">
        <v>2155</v>
      </c>
      <c r="C6376" s="90" t="str">
        <f>VLOOKUP(B6376,'All Districts'!$A$3:$B$874,2,FALSE)</f>
        <v>Union-Endicott</v>
      </c>
      <c r="D6376" s="82">
        <v>2636892</v>
      </c>
      <c r="E6376">
        <f>VLOOKUP(C6376,'All Districts'!$B$3:$C$874,2,FALSE)</f>
        <v>3610710</v>
      </c>
      <c r="F6376" s="91">
        <f>COUNTIF($E$2:$E$7106,E6376)</f>
        <v>9</v>
      </c>
    </row>
    <row r="6377" spans="1:6" x14ac:dyDescent="0.2">
      <c r="A6377">
        <v>2023</v>
      </c>
      <c r="B6377" s="36">
        <v>2155</v>
      </c>
      <c r="C6377" s="90" t="str">
        <f>VLOOKUP(B6377,'All Districts'!$A$3:$B$874,2,FALSE)</f>
        <v>Union-Endicott</v>
      </c>
      <c r="D6377" s="40">
        <v>2990841</v>
      </c>
      <c r="E6377">
        <f>VLOOKUP(C6377,'All Districts'!$B$3:$C$874,2,FALSE)</f>
        <v>3610710</v>
      </c>
      <c r="F6377" s="91">
        <f>COUNTIF($E$2:$E$7106,E6377)</f>
        <v>9</v>
      </c>
    </row>
    <row r="6378" spans="1:6" x14ac:dyDescent="0.2">
      <c r="A6378">
        <v>2015</v>
      </c>
      <c r="B6378" s="13">
        <v>2610</v>
      </c>
      <c r="C6378" s="90" t="str">
        <f>VLOOKUP(B6378,'All Districts'!$A$3:$B$874,2,FALSE)</f>
        <v>Uniondale</v>
      </c>
      <c r="D6378" s="14">
        <v>13697771</v>
      </c>
      <c r="E6378">
        <f>VLOOKUP(C6378,'All Districts'!$B$3:$C$874,2,FALSE)</f>
        <v>3629280</v>
      </c>
      <c r="F6378" s="91">
        <f>COUNTIF($E$2:$E$7106,E6378)</f>
        <v>9</v>
      </c>
    </row>
    <row r="6379" spans="1:6" x14ac:dyDescent="0.2">
      <c r="A6379">
        <v>2016</v>
      </c>
      <c r="B6379" s="13">
        <v>2610</v>
      </c>
      <c r="C6379" s="90" t="str">
        <f>VLOOKUP(B6379,'All Districts'!$A$3:$B$874,2,FALSE)</f>
        <v>Uniondale</v>
      </c>
      <c r="D6379" s="16">
        <v>10802068</v>
      </c>
      <c r="E6379">
        <f>VLOOKUP(C6379,'All Districts'!$B$3:$C$874,2,FALSE)</f>
        <v>3629280</v>
      </c>
      <c r="F6379" s="91">
        <f>COUNTIF($E$2:$E$7106,E6379)</f>
        <v>9</v>
      </c>
    </row>
    <row r="6380" spans="1:6" x14ac:dyDescent="0.2">
      <c r="A6380">
        <v>2017</v>
      </c>
      <c r="B6380" s="13">
        <v>2610</v>
      </c>
      <c r="C6380" s="90" t="str">
        <f>VLOOKUP(B6380,'All Districts'!$A$3:$B$874,2,FALSE)</f>
        <v>Uniondale</v>
      </c>
      <c r="D6380" s="16">
        <v>9877477</v>
      </c>
      <c r="E6380">
        <f>VLOOKUP(C6380,'All Districts'!$B$3:$C$874,2,FALSE)</f>
        <v>3629280</v>
      </c>
      <c r="F6380" s="91">
        <f>COUNTIF($E$2:$E$7106,E6380)</f>
        <v>9</v>
      </c>
    </row>
    <row r="6381" spans="1:6" x14ac:dyDescent="0.2">
      <c r="A6381" s="10">
        <v>2018</v>
      </c>
      <c r="B6381" s="13">
        <v>2610</v>
      </c>
      <c r="C6381" s="90" t="str">
        <f>VLOOKUP(B6381,'All Districts'!$A$3:$B$874,2,FALSE)</f>
        <v>Uniondale</v>
      </c>
      <c r="D6381" s="15">
        <v>8548059</v>
      </c>
      <c r="E6381">
        <f>VLOOKUP(C6381,'All Districts'!$B$3:$C$874,2,FALSE)</f>
        <v>3629280</v>
      </c>
      <c r="F6381" s="91">
        <f>COUNTIF($E$2:$E$7106,E6381)</f>
        <v>9</v>
      </c>
    </row>
    <row r="6382" spans="1:6" x14ac:dyDescent="0.2">
      <c r="A6382">
        <v>2019</v>
      </c>
      <c r="B6382" s="36">
        <v>2610</v>
      </c>
      <c r="C6382" s="90" t="str">
        <f>VLOOKUP(B6382,'All Districts'!$A$3:$B$874,2,FALSE)</f>
        <v>Uniondale</v>
      </c>
      <c r="D6382" s="40">
        <v>9351018</v>
      </c>
      <c r="E6382">
        <f>VLOOKUP(C6382,'All Districts'!$B$3:$C$874,2,FALSE)</f>
        <v>3629280</v>
      </c>
      <c r="F6382" s="91">
        <f>COUNTIF($E$2:$E$7106,E6382)</f>
        <v>9</v>
      </c>
    </row>
    <row r="6383" spans="1:6" x14ac:dyDescent="0.2">
      <c r="A6383">
        <v>2020</v>
      </c>
      <c r="B6383" s="36">
        <v>2610</v>
      </c>
      <c r="C6383" s="90" t="str">
        <f>VLOOKUP(B6383,'All Districts'!$A$3:$B$874,2,FALSE)</f>
        <v>Uniondale</v>
      </c>
      <c r="D6383" s="40">
        <v>7992083</v>
      </c>
      <c r="E6383">
        <f>VLOOKUP(C6383,'All Districts'!$B$3:$C$874,2,FALSE)</f>
        <v>3629280</v>
      </c>
      <c r="F6383" s="91">
        <f>COUNTIF($E$2:$E$7106,E6383)</f>
        <v>9</v>
      </c>
    </row>
    <row r="6384" spans="1:6" x14ac:dyDescent="0.2">
      <c r="A6384" s="10">
        <v>2021</v>
      </c>
      <c r="B6384" s="73">
        <v>2610</v>
      </c>
      <c r="C6384" s="90" t="str">
        <f>VLOOKUP(B6384,'All Districts'!$A$3:$B$874,2,FALSE)</f>
        <v>Uniondale</v>
      </c>
      <c r="D6384" s="75">
        <v>8755793</v>
      </c>
      <c r="E6384">
        <f>VLOOKUP(C6384,'All Districts'!$B$3:$C$874,2,FALSE)</f>
        <v>3629280</v>
      </c>
      <c r="F6384" s="91">
        <f>COUNTIF($E$2:$E$7106,E6384)</f>
        <v>9</v>
      </c>
    </row>
    <row r="6385" spans="1:6" x14ac:dyDescent="0.2">
      <c r="A6385">
        <v>2022</v>
      </c>
      <c r="B6385" s="36">
        <v>2610</v>
      </c>
      <c r="C6385" s="90" t="str">
        <f>VLOOKUP(B6385,'All Districts'!$A$3:$B$874,2,FALSE)</f>
        <v>Uniondale</v>
      </c>
      <c r="D6385" s="82">
        <v>9202383</v>
      </c>
      <c r="E6385">
        <f>VLOOKUP(C6385,'All Districts'!$B$3:$C$874,2,FALSE)</f>
        <v>3629280</v>
      </c>
      <c r="F6385" s="91">
        <f>COUNTIF($E$2:$E$7106,E6385)</f>
        <v>9</v>
      </c>
    </row>
    <row r="6386" spans="1:6" x14ac:dyDescent="0.2">
      <c r="A6386">
        <v>2023</v>
      </c>
      <c r="B6386" s="36">
        <v>2610</v>
      </c>
      <c r="C6386" s="90" t="str">
        <f>VLOOKUP(B6386,'All Districts'!$A$3:$B$874,2,FALSE)</f>
        <v>Uniondale</v>
      </c>
      <c r="D6386" s="40">
        <v>9969957</v>
      </c>
      <c r="E6386">
        <f>VLOOKUP(C6386,'All Districts'!$B$3:$C$874,2,FALSE)</f>
        <v>3629280</v>
      </c>
      <c r="F6386" s="91">
        <f>COUNTIF($E$2:$E$7106,E6386)</f>
        <v>9</v>
      </c>
    </row>
    <row r="6387" spans="1:6" x14ac:dyDescent="0.2">
      <c r="A6387">
        <v>2015</v>
      </c>
      <c r="B6387" s="13">
        <v>1285</v>
      </c>
      <c r="C6387" s="90" t="str">
        <f>VLOOKUP(B6387,'All Districts'!$A$3:$B$874,2,FALSE)</f>
        <v>Utica</v>
      </c>
      <c r="D6387" s="14">
        <v>9404475</v>
      </c>
      <c r="E6387">
        <f>VLOOKUP(C6387,'All Districts'!$B$3:$C$874,2,FALSE)</f>
        <v>3629370</v>
      </c>
      <c r="F6387" s="91">
        <f>COUNTIF($E$2:$E$7106,E6387)</f>
        <v>9</v>
      </c>
    </row>
    <row r="6388" spans="1:6" x14ac:dyDescent="0.2">
      <c r="A6388">
        <v>2016</v>
      </c>
      <c r="B6388" s="13">
        <v>1285</v>
      </c>
      <c r="C6388" s="90" t="str">
        <f>VLOOKUP(B6388,'All Districts'!$A$3:$B$874,2,FALSE)</f>
        <v>Utica</v>
      </c>
      <c r="D6388" s="16">
        <v>7542581</v>
      </c>
      <c r="E6388">
        <f>VLOOKUP(C6388,'All Districts'!$B$3:$C$874,2,FALSE)</f>
        <v>3629370</v>
      </c>
      <c r="F6388" s="91">
        <f>COUNTIF($E$2:$E$7106,E6388)</f>
        <v>9</v>
      </c>
    </row>
    <row r="6389" spans="1:6" x14ac:dyDescent="0.2">
      <c r="A6389">
        <v>2017</v>
      </c>
      <c r="B6389" s="13">
        <v>1285</v>
      </c>
      <c r="C6389" s="90" t="str">
        <f>VLOOKUP(B6389,'All Districts'!$A$3:$B$874,2,FALSE)</f>
        <v>Utica</v>
      </c>
      <c r="D6389" s="16">
        <v>6734433</v>
      </c>
      <c r="E6389">
        <f>VLOOKUP(C6389,'All Districts'!$B$3:$C$874,2,FALSE)</f>
        <v>3629370</v>
      </c>
      <c r="F6389" s="91">
        <f>COUNTIF($E$2:$E$7106,E6389)</f>
        <v>9</v>
      </c>
    </row>
    <row r="6390" spans="1:6" x14ac:dyDescent="0.2">
      <c r="A6390" s="10">
        <v>2018</v>
      </c>
      <c r="B6390" s="13">
        <v>1285</v>
      </c>
      <c r="C6390" s="90" t="str">
        <f>VLOOKUP(B6390,'All Districts'!$A$3:$B$874,2,FALSE)</f>
        <v>Utica</v>
      </c>
      <c r="D6390" s="15">
        <v>6046797</v>
      </c>
      <c r="E6390">
        <f>VLOOKUP(C6390,'All Districts'!$B$3:$C$874,2,FALSE)</f>
        <v>3629370</v>
      </c>
      <c r="F6390" s="91">
        <f>COUNTIF($E$2:$E$7106,E6390)</f>
        <v>9</v>
      </c>
    </row>
    <row r="6391" spans="1:6" x14ac:dyDescent="0.2">
      <c r="A6391">
        <v>2019</v>
      </c>
      <c r="B6391" s="36">
        <v>1285</v>
      </c>
      <c r="C6391" s="90" t="str">
        <f>VLOOKUP(B6391,'All Districts'!$A$3:$B$874,2,FALSE)</f>
        <v>Utica</v>
      </c>
      <c r="D6391" s="40">
        <v>6626299</v>
      </c>
      <c r="E6391">
        <f>VLOOKUP(C6391,'All Districts'!$B$3:$C$874,2,FALSE)</f>
        <v>3629370</v>
      </c>
      <c r="F6391" s="91">
        <f>COUNTIF($E$2:$E$7106,E6391)</f>
        <v>9</v>
      </c>
    </row>
    <row r="6392" spans="1:6" x14ac:dyDescent="0.2">
      <c r="A6392">
        <v>2020</v>
      </c>
      <c r="B6392" s="36">
        <v>1285</v>
      </c>
      <c r="C6392" s="90" t="str">
        <f>VLOOKUP(B6392,'All Districts'!$A$3:$B$874,2,FALSE)</f>
        <v>Utica</v>
      </c>
      <c r="D6392" s="40">
        <v>5522343</v>
      </c>
      <c r="E6392">
        <f>VLOOKUP(C6392,'All Districts'!$B$3:$C$874,2,FALSE)</f>
        <v>3629370</v>
      </c>
      <c r="F6392" s="91">
        <f>COUNTIF($E$2:$E$7106,E6392)</f>
        <v>9</v>
      </c>
    </row>
    <row r="6393" spans="1:6" x14ac:dyDescent="0.2">
      <c r="A6393" s="10">
        <v>2021</v>
      </c>
      <c r="B6393" s="52">
        <v>1285</v>
      </c>
      <c r="C6393" s="90" t="str">
        <f>VLOOKUP(B6393,'All Districts'!$A$3:$B$874,2,FALSE)</f>
        <v>Utica</v>
      </c>
      <c r="D6393" s="76">
        <v>5895149</v>
      </c>
      <c r="E6393">
        <f>VLOOKUP(C6393,'All Districts'!$B$3:$C$874,2,FALSE)</f>
        <v>3629370</v>
      </c>
      <c r="F6393" s="91">
        <f>COUNTIF($E$2:$E$7106,E6393)</f>
        <v>9</v>
      </c>
    </row>
    <row r="6394" spans="1:6" x14ac:dyDescent="0.2">
      <c r="A6394">
        <v>2022</v>
      </c>
      <c r="B6394" s="36">
        <v>1285</v>
      </c>
      <c r="C6394" s="90" t="str">
        <f>VLOOKUP(B6394,'All Districts'!$A$3:$B$874,2,FALSE)</f>
        <v>Utica</v>
      </c>
      <c r="D6394" s="82">
        <v>5987665</v>
      </c>
      <c r="E6394">
        <f>VLOOKUP(C6394,'All Districts'!$B$3:$C$874,2,FALSE)</f>
        <v>3629370</v>
      </c>
      <c r="F6394" s="91">
        <f>COUNTIF($E$2:$E$7106,E6394)</f>
        <v>9</v>
      </c>
    </row>
    <row r="6395" spans="1:6" x14ac:dyDescent="0.2">
      <c r="A6395">
        <v>2023</v>
      </c>
      <c r="B6395" s="36">
        <v>1285</v>
      </c>
      <c r="C6395" s="90" t="str">
        <f>VLOOKUP(B6395,'All Districts'!$A$3:$B$874,2,FALSE)</f>
        <v>Utica</v>
      </c>
      <c r="D6395" s="40">
        <v>6872398</v>
      </c>
      <c r="E6395">
        <f>VLOOKUP(C6395,'All Districts'!$B$3:$C$874,2,FALSE)</f>
        <v>3629370</v>
      </c>
      <c r="F6395" s="91">
        <f>COUNTIF($E$2:$E$7106,E6395)</f>
        <v>9</v>
      </c>
    </row>
    <row r="6396" spans="1:6" x14ac:dyDescent="0.2">
      <c r="A6396">
        <v>2015</v>
      </c>
      <c r="B6396" s="13">
        <v>8431</v>
      </c>
      <c r="C6396" s="90" t="str">
        <f>VLOOKUP(B6396,'All Districts'!$A$3:$B$874,2,FALSE)</f>
        <v>Utica Academy of Science</v>
      </c>
      <c r="D6396" s="16">
        <v>170825</v>
      </c>
      <c r="E6396">
        <f>VLOOKUP(C6396,'All Districts'!$B$3:$C$874,2,FALSE)</f>
        <v>3601084</v>
      </c>
      <c r="F6396" s="91">
        <f>COUNTIF($E$2:$E$7106,E6396)</f>
        <v>9</v>
      </c>
    </row>
    <row r="6397" spans="1:6" x14ac:dyDescent="0.2">
      <c r="A6397">
        <v>2016</v>
      </c>
      <c r="B6397" s="13">
        <v>8431</v>
      </c>
      <c r="C6397" s="90" t="str">
        <f>VLOOKUP(B6397,'All Districts'!$A$3:$B$874,2,FALSE)</f>
        <v>Utica Academy of Science</v>
      </c>
      <c r="D6397" s="16">
        <v>187555</v>
      </c>
      <c r="E6397">
        <f>VLOOKUP(C6397,'All Districts'!$B$3:$C$874,2,FALSE)</f>
        <v>3601084</v>
      </c>
      <c r="F6397" s="91">
        <f>COUNTIF($E$2:$E$7106,E6397)</f>
        <v>9</v>
      </c>
    </row>
    <row r="6398" spans="1:6" x14ac:dyDescent="0.2">
      <c r="A6398">
        <v>2017</v>
      </c>
      <c r="B6398" s="13">
        <v>8431</v>
      </c>
      <c r="C6398" s="90" t="str">
        <f>VLOOKUP(B6398,'All Districts'!$A$3:$B$874,2,FALSE)</f>
        <v>Utica Academy of Science</v>
      </c>
      <c r="D6398" s="16">
        <v>194864</v>
      </c>
      <c r="E6398">
        <f>VLOOKUP(C6398,'All Districts'!$B$3:$C$874,2,FALSE)</f>
        <v>3601084</v>
      </c>
      <c r="F6398" s="91">
        <f>COUNTIF($E$2:$E$7106,E6398)</f>
        <v>9</v>
      </c>
    </row>
    <row r="6399" spans="1:6" x14ac:dyDescent="0.2">
      <c r="A6399" s="10">
        <v>2018</v>
      </c>
      <c r="B6399" s="13">
        <v>8431</v>
      </c>
      <c r="C6399" s="90" t="str">
        <f>VLOOKUP(B6399,'All Districts'!$A$3:$B$874,2,FALSE)</f>
        <v>Utica Academy of Science</v>
      </c>
      <c r="D6399" s="15">
        <v>199552</v>
      </c>
      <c r="E6399">
        <f>VLOOKUP(C6399,'All Districts'!$B$3:$C$874,2,FALSE)</f>
        <v>3601084</v>
      </c>
      <c r="F6399" s="91">
        <f>COUNTIF($E$2:$E$7106,E6399)</f>
        <v>9</v>
      </c>
    </row>
    <row r="6400" spans="1:6" x14ac:dyDescent="0.2">
      <c r="A6400">
        <v>2019</v>
      </c>
      <c r="B6400" s="36">
        <v>8431</v>
      </c>
      <c r="C6400" s="90" t="str">
        <f>VLOOKUP(B6400,'All Districts'!$A$3:$B$874,2,FALSE)</f>
        <v>Utica Academy of Science</v>
      </c>
      <c r="D6400" s="40">
        <v>277533</v>
      </c>
      <c r="E6400">
        <f>VLOOKUP(C6400,'All Districts'!$B$3:$C$874,2,FALSE)</f>
        <v>3601084</v>
      </c>
      <c r="F6400" s="91">
        <f>COUNTIF($E$2:$E$7106,E6400)</f>
        <v>9</v>
      </c>
    </row>
    <row r="6401" spans="1:6" x14ac:dyDescent="0.2">
      <c r="A6401">
        <v>2020</v>
      </c>
      <c r="B6401" s="36">
        <v>8431</v>
      </c>
      <c r="C6401" s="90" t="str">
        <f>VLOOKUP(B6401,'All Districts'!$A$3:$B$874,2,FALSE)</f>
        <v>Utica Academy of Science</v>
      </c>
      <c r="D6401" s="40">
        <v>294599</v>
      </c>
      <c r="E6401">
        <f>VLOOKUP(C6401,'All Districts'!$B$3:$C$874,2,FALSE)</f>
        <v>3601084</v>
      </c>
      <c r="F6401" s="91">
        <f>COUNTIF($E$2:$E$7106,E6401)</f>
        <v>9</v>
      </c>
    </row>
    <row r="6402" spans="1:6" x14ac:dyDescent="0.2">
      <c r="A6402" s="10">
        <v>2021</v>
      </c>
      <c r="B6402" s="74">
        <v>8431</v>
      </c>
      <c r="C6402" s="90" t="str">
        <f>VLOOKUP(B6402,'All Districts'!$A$3:$B$874,2,FALSE)</f>
        <v>Utica Academy of Science</v>
      </c>
      <c r="D6402" s="81">
        <v>292843</v>
      </c>
      <c r="E6402">
        <f>VLOOKUP(C6402,'All Districts'!$B$3:$C$874,2,FALSE)</f>
        <v>3601084</v>
      </c>
      <c r="F6402" s="91">
        <f>COUNTIF($E$2:$E$7106,E6402)</f>
        <v>9</v>
      </c>
    </row>
    <row r="6403" spans="1:6" x14ac:dyDescent="0.2">
      <c r="A6403">
        <v>2022</v>
      </c>
      <c r="B6403" s="36">
        <v>8431</v>
      </c>
      <c r="C6403" s="90" t="str">
        <f>VLOOKUP(B6403,'All Districts'!$A$3:$B$874,2,FALSE)</f>
        <v>Utica Academy of Science</v>
      </c>
      <c r="D6403" s="82">
        <v>408755</v>
      </c>
      <c r="E6403">
        <f>VLOOKUP(C6403,'All Districts'!$B$3:$C$874,2,FALSE)</f>
        <v>3601084</v>
      </c>
      <c r="F6403" s="91">
        <f>COUNTIF($E$2:$E$7106,E6403)</f>
        <v>9</v>
      </c>
    </row>
    <row r="6404" spans="1:6" x14ac:dyDescent="0.2">
      <c r="A6404">
        <v>2023</v>
      </c>
      <c r="B6404" s="36">
        <v>8431</v>
      </c>
      <c r="C6404" s="90" t="str">
        <f>VLOOKUP(B6404,'All Districts'!$A$3:$B$874,2,FALSE)</f>
        <v>Utica Academy of Science</v>
      </c>
      <c r="D6404" s="40">
        <v>492244</v>
      </c>
      <c r="E6404">
        <f>VLOOKUP(C6404,'All Districts'!$B$3:$C$874,2,FALSE)</f>
        <v>3601084</v>
      </c>
      <c r="F6404" s="91">
        <f>COUNTIF($E$2:$E$7106,E6404)</f>
        <v>9</v>
      </c>
    </row>
    <row r="6405" spans="1:6" x14ac:dyDescent="0.2">
      <c r="A6405">
        <v>2015</v>
      </c>
      <c r="B6405" s="13">
        <v>2619</v>
      </c>
      <c r="C6405" s="90" t="str">
        <f>VLOOKUP(B6405,'All Districts'!$A$3:$B$874,2,FALSE)</f>
        <v>Valhalla</v>
      </c>
      <c r="D6405" s="14">
        <v>3171575</v>
      </c>
      <c r="E6405">
        <f>VLOOKUP(C6405,'All Districts'!$B$3:$C$874,2,FALSE)</f>
        <v>3629400</v>
      </c>
      <c r="F6405" s="91">
        <f>COUNTIF($E$2:$E$7106,E6405)</f>
        <v>9</v>
      </c>
    </row>
    <row r="6406" spans="1:6" x14ac:dyDescent="0.2">
      <c r="A6406">
        <v>2016</v>
      </c>
      <c r="B6406" s="13">
        <v>2619</v>
      </c>
      <c r="C6406" s="90" t="str">
        <f>VLOOKUP(B6406,'All Districts'!$A$3:$B$874,2,FALSE)</f>
        <v>Valhalla</v>
      </c>
      <c r="D6406" s="16">
        <v>2487072</v>
      </c>
      <c r="E6406">
        <f>VLOOKUP(C6406,'All Districts'!$B$3:$C$874,2,FALSE)</f>
        <v>3629400</v>
      </c>
      <c r="F6406" s="91">
        <f>COUNTIF($E$2:$E$7106,E6406)</f>
        <v>9</v>
      </c>
    </row>
    <row r="6407" spans="1:6" x14ac:dyDescent="0.2">
      <c r="A6407">
        <v>2017</v>
      </c>
      <c r="B6407" s="13">
        <v>2619</v>
      </c>
      <c r="C6407" s="90" t="str">
        <f>VLOOKUP(B6407,'All Districts'!$A$3:$B$874,2,FALSE)</f>
        <v>Valhalla</v>
      </c>
      <c r="D6407" s="16">
        <v>2262786</v>
      </c>
      <c r="E6407">
        <f>VLOOKUP(C6407,'All Districts'!$B$3:$C$874,2,FALSE)</f>
        <v>3629400</v>
      </c>
      <c r="F6407" s="91">
        <f>COUNTIF($E$2:$E$7106,E6407)</f>
        <v>9</v>
      </c>
    </row>
    <row r="6408" spans="1:6" x14ac:dyDescent="0.2">
      <c r="A6408" s="10">
        <v>2018</v>
      </c>
      <c r="B6408" s="13">
        <v>2619</v>
      </c>
      <c r="C6408" s="90" t="str">
        <f>VLOOKUP(B6408,'All Districts'!$A$3:$B$874,2,FALSE)</f>
        <v>Valhalla</v>
      </c>
      <c r="D6408" s="15">
        <v>1900647</v>
      </c>
      <c r="E6408">
        <f>VLOOKUP(C6408,'All Districts'!$B$3:$C$874,2,FALSE)</f>
        <v>3629400</v>
      </c>
      <c r="F6408" s="91">
        <f>COUNTIF($E$2:$E$7106,E6408)</f>
        <v>9</v>
      </c>
    </row>
    <row r="6409" spans="1:6" x14ac:dyDescent="0.2">
      <c r="A6409">
        <v>2019</v>
      </c>
      <c r="B6409" s="36">
        <v>2619</v>
      </c>
      <c r="C6409" s="90" t="str">
        <f>VLOOKUP(B6409,'All Districts'!$A$3:$B$874,2,FALSE)</f>
        <v>Valhalla</v>
      </c>
      <c r="D6409" s="40">
        <v>2065826</v>
      </c>
      <c r="E6409">
        <f>VLOOKUP(C6409,'All Districts'!$B$3:$C$874,2,FALSE)</f>
        <v>3629400</v>
      </c>
      <c r="F6409" s="91">
        <f>COUNTIF($E$2:$E$7106,E6409)</f>
        <v>9</v>
      </c>
    </row>
    <row r="6410" spans="1:6" x14ac:dyDescent="0.2">
      <c r="A6410">
        <v>2020</v>
      </c>
      <c r="B6410" s="36">
        <v>2619</v>
      </c>
      <c r="C6410" s="90" t="str">
        <f>VLOOKUP(B6410,'All Districts'!$A$3:$B$874,2,FALSE)</f>
        <v>Valhalla</v>
      </c>
      <c r="D6410" s="40">
        <v>1724129</v>
      </c>
      <c r="E6410">
        <f>VLOOKUP(C6410,'All Districts'!$B$3:$C$874,2,FALSE)</f>
        <v>3629400</v>
      </c>
      <c r="F6410" s="91">
        <f>COUNTIF($E$2:$E$7106,E6410)</f>
        <v>9</v>
      </c>
    </row>
    <row r="6411" spans="1:6" x14ac:dyDescent="0.2">
      <c r="A6411" s="10">
        <v>2021</v>
      </c>
      <c r="B6411" s="73">
        <v>2619</v>
      </c>
      <c r="C6411" s="90" t="str">
        <f>VLOOKUP(B6411,'All Districts'!$A$3:$B$874,2,FALSE)</f>
        <v>Valhalla</v>
      </c>
      <c r="D6411" s="75">
        <v>1890618</v>
      </c>
      <c r="E6411">
        <f>VLOOKUP(C6411,'All Districts'!$B$3:$C$874,2,FALSE)</f>
        <v>3629400</v>
      </c>
      <c r="F6411" s="91">
        <f>COUNTIF($E$2:$E$7106,E6411)</f>
        <v>9</v>
      </c>
    </row>
    <row r="6412" spans="1:6" x14ac:dyDescent="0.2">
      <c r="A6412">
        <v>2022</v>
      </c>
      <c r="B6412" s="36">
        <v>2619</v>
      </c>
      <c r="C6412" s="90" t="str">
        <f>VLOOKUP(B6412,'All Districts'!$A$3:$B$874,2,FALSE)</f>
        <v>Valhalla</v>
      </c>
      <c r="D6412" s="82">
        <v>1982548</v>
      </c>
      <c r="E6412">
        <f>VLOOKUP(C6412,'All Districts'!$B$3:$C$874,2,FALSE)</f>
        <v>3629400</v>
      </c>
      <c r="F6412" s="91">
        <f>COUNTIF($E$2:$E$7106,E6412)</f>
        <v>9</v>
      </c>
    </row>
    <row r="6413" spans="1:6" x14ac:dyDescent="0.2">
      <c r="A6413">
        <v>2023</v>
      </c>
      <c r="B6413" s="36">
        <v>2619</v>
      </c>
      <c r="C6413" s="90" t="str">
        <f>VLOOKUP(B6413,'All Districts'!$A$3:$B$874,2,FALSE)</f>
        <v>Valhalla</v>
      </c>
      <c r="D6413" s="40">
        <v>2160339</v>
      </c>
      <c r="E6413">
        <f>VLOOKUP(C6413,'All Districts'!$B$3:$C$874,2,FALSE)</f>
        <v>3629400</v>
      </c>
      <c r="F6413" s="91">
        <f>COUNTIF($E$2:$E$7106,E6413)</f>
        <v>9</v>
      </c>
    </row>
    <row r="6414" spans="1:6" x14ac:dyDescent="0.2">
      <c r="A6414">
        <v>2015</v>
      </c>
      <c r="B6414" s="13">
        <v>2384</v>
      </c>
      <c r="C6414" s="90" t="str">
        <f>VLOOKUP(B6414,'All Districts'!$A$3:$B$874,2,FALSE)</f>
        <v>Valley</v>
      </c>
      <c r="D6414" s="14">
        <v>6529659</v>
      </c>
      <c r="E6414">
        <f>VLOOKUP(C6414,'All Districts'!$B$3:$C$874,2,FALSE)</f>
        <v>3619680</v>
      </c>
      <c r="F6414" s="91">
        <f>COUNTIF($E$2:$E$7106,E6414)</f>
        <v>9</v>
      </c>
    </row>
    <row r="6415" spans="1:6" x14ac:dyDescent="0.2">
      <c r="A6415">
        <v>2016</v>
      </c>
      <c r="B6415" s="13">
        <v>2384</v>
      </c>
      <c r="C6415" s="90" t="str">
        <f>VLOOKUP(B6415,'All Districts'!$A$3:$B$874,2,FALSE)</f>
        <v>Valley</v>
      </c>
      <c r="D6415" s="16">
        <v>5380299</v>
      </c>
      <c r="E6415">
        <f>VLOOKUP(C6415,'All Districts'!$B$3:$C$874,2,FALSE)</f>
        <v>3619680</v>
      </c>
      <c r="F6415" s="91">
        <f>COUNTIF($E$2:$E$7106,E6415)</f>
        <v>9</v>
      </c>
    </row>
    <row r="6416" spans="1:6" x14ac:dyDescent="0.2">
      <c r="A6416">
        <v>2017</v>
      </c>
      <c r="B6416" s="13">
        <v>2384</v>
      </c>
      <c r="C6416" s="90" t="str">
        <f>VLOOKUP(B6416,'All Districts'!$A$3:$B$874,2,FALSE)</f>
        <v>Valley</v>
      </c>
      <c r="D6416" s="16">
        <v>4925377</v>
      </c>
      <c r="E6416">
        <f>VLOOKUP(C6416,'All Districts'!$B$3:$C$874,2,FALSE)</f>
        <v>3619680</v>
      </c>
      <c r="F6416" s="91">
        <f>COUNTIF($E$2:$E$7106,E6416)</f>
        <v>9</v>
      </c>
    </row>
    <row r="6417" spans="1:6" x14ac:dyDescent="0.2">
      <c r="A6417" s="10">
        <v>2018</v>
      </c>
      <c r="B6417" s="13">
        <v>2384</v>
      </c>
      <c r="C6417" s="90" t="str">
        <f>VLOOKUP(B6417,'All Districts'!$A$3:$B$874,2,FALSE)</f>
        <v>Valley</v>
      </c>
      <c r="D6417" s="15">
        <v>4246979</v>
      </c>
      <c r="E6417">
        <f>VLOOKUP(C6417,'All Districts'!$B$3:$C$874,2,FALSE)</f>
        <v>3619680</v>
      </c>
      <c r="F6417" s="91">
        <f>COUNTIF($E$2:$E$7106,E6417)</f>
        <v>9</v>
      </c>
    </row>
    <row r="6418" spans="1:6" x14ac:dyDescent="0.2">
      <c r="A6418">
        <v>2019</v>
      </c>
      <c r="B6418" s="36">
        <v>2384</v>
      </c>
      <c r="C6418" s="90" t="str">
        <f>VLOOKUP(B6418,'All Districts'!$A$3:$B$874,2,FALSE)</f>
        <v>Valley</v>
      </c>
      <c r="D6418" s="40">
        <v>4669181</v>
      </c>
      <c r="E6418">
        <f>VLOOKUP(C6418,'All Districts'!$B$3:$C$874,2,FALSE)</f>
        <v>3619680</v>
      </c>
      <c r="F6418" s="91">
        <f>COUNTIF($E$2:$E$7106,E6418)</f>
        <v>9</v>
      </c>
    </row>
    <row r="6419" spans="1:6" x14ac:dyDescent="0.2">
      <c r="A6419">
        <v>2020</v>
      </c>
      <c r="B6419" s="36">
        <v>2384</v>
      </c>
      <c r="C6419" s="90" t="str">
        <f>VLOOKUP(B6419,'All Districts'!$A$3:$B$874,2,FALSE)</f>
        <v>Valley</v>
      </c>
      <c r="D6419" s="40">
        <v>3994208</v>
      </c>
      <c r="E6419">
        <f>VLOOKUP(C6419,'All Districts'!$B$3:$C$874,2,FALSE)</f>
        <v>3619680</v>
      </c>
      <c r="F6419" s="91">
        <f>COUNTIF($E$2:$E$7106,E6419)</f>
        <v>9</v>
      </c>
    </row>
    <row r="6420" spans="1:6" x14ac:dyDescent="0.2">
      <c r="A6420" s="10">
        <v>2021</v>
      </c>
      <c r="B6420" s="52">
        <v>2384</v>
      </c>
      <c r="C6420" s="90" t="str">
        <f>VLOOKUP(B6420,'All Districts'!$A$3:$B$874,2,FALSE)</f>
        <v>Valley</v>
      </c>
      <c r="D6420" s="76">
        <v>4271745</v>
      </c>
      <c r="E6420">
        <f>VLOOKUP(C6420,'All Districts'!$B$3:$C$874,2,FALSE)</f>
        <v>3619680</v>
      </c>
      <c r="F6420" s="91">
        <f>COUNTIF($E$2:$E$7106,E6420)</f>
        <v>9</v>
      </c>
    </row>
    <row r="6421" spans="1:6" x14ac:dyDescent="0.2">
      <c r="A6421">
        <v>2022</v>
      </c>
      <c r="B6421" s="36">
        <v>2384</v>
      </c>
      <c r="C6421" s="90" t="str">
        <f>VLOOKUP(B6421,'All Districts'!$A$3:$B$874,2,FALSE)</f>
        <v>Valley</v>
      </c>
      <c r="D6421" s="82">
        <v>4552860</v>
      </c>
      <c r="E6421">
        <f>VLOOKUP(C6421,'All Districts'!$B$3:$C$874,2,FALSE)</f>
        <v>3619680</v>
      </c>
      <c r="F6421" s="91">
        <f>COUNTIF($E$2:$E$7106,E6421)</f>
        <v>9</v>
      </c>
    </row>
    <row r="6422" spans="1:6" x14ac:dyDescent="0.2">
      <c r="A6422">
        <v>2023</v>
      </c>
      <c r="B6422" s="36">
        <v>2384</v>
      </c>
      <c r="C6422" s="90" t="str">
        <f>VLOOKUP(B6422,'All Districts'!$A$3:$B$874,2,FALSE)</f>
        <v>Valley</v>
      </c>
      <c r="D6422" s="40">
        <v>4990524</v>
      </c>
      <c r="E6422">
        <f>VLOOKUP(C6422,'All Districts'!$B$3:$C$874,2,FALSE)</f>
        <v>3619680</v>
      </c>
      <c r="F6422" s="91">
        <f>COUNTIF($E$2:$E$7106,E6422)</f>
        <v>9</v>
      </c>
    </row>
    <row r="6423" spans="1:6" x14ac:dyDescent="0.2">
      <c r="A6423">
        <v>2015</v>
      </c>
      <c r="B6423" s="13">
        <v>4366</v>
      </c>
      <c r="C6423" s="90" t="str">
        <f>VLOOKUP(B6423,'All Districts'!$A$3:$B$874,2,FALSE)</f>
        <v>Valley Stream</v>
      </c>
      <c r="D6423" s="14">
        <v>8427501</v>
      </c>
      <c r="E6423">
        <f>VLOOKUP(C6423,'All Districts'!$B$3:$C$874,2,FALSE)</f>
        <v>3629520</v>
      </c>
      <c r="F6423" s="91">
        <f>COUNTIF($E$2:$E$7106,E6423)</f>
        <v>9</v>
      </c>
    </row>
    <row r="6424" spans="1:6" x14ac:dyDescent="0.2">
      <c r="A6424">
        <v>2016</v>
      </c>
      <c r="B6424" s="13">
        <v>4366</v>
      </c>
      <c r="C6424" s="90" t="str">
        <f>VLOOKUP(B6424,'All Districts'!$A$3:$B$874,2,FALSE)</f>
        <v>Valley Stream</v>
      </c>
      <c r="D6424" s="16">
        <v>6561794</v>
      </c>
      <c r="E6424">
        <f>VLOOKUP(C6424,'All Districts'!$B$3:$C$874,2,FALSE)</f>
        <v>3629520</v>
      </c>
      <c r="F6424" s="91">
        <f>COUNTIF($E$2:$E$7106,E6424)</f>
        <v>9</v>
      </c>
    </row>
    <row r="6425" spans="1:6" x14ac:dyDescent="0.2">
      <c r="A6425">
        <v>2017</v>
      </c>
      <c r="B6425" s="13">
        <v>4366</v>
      </c>
      <c r="C6425" s="90" t="str">
        <f>VLOOKUP(B6425,'All Districts'!$A$3:$B$874,2,FALSE)</f>
        <v>Valley Stream</v>
      </c>
      <c r="D6425" s="16">
        <v>5865625</v>
      </c>
      <c r="E6425">
        <f>VLOOKUP(C6425,'All Districts'!$B$3:$C$874,2,FALSE)</f>
        <v>3629520</v>
      </c>
      <c r="F6425" s="91">
        <f>COUNTIF($E$2:$E$7106,E6425)</f>
        <v>9</v>
      </c>
    </row>
    <row r="6426" spans="1:6" x14ac:dyDescent="0.2">
      <c r="A6426" s="10">
        <v>2018</v>
      </c>
      <c r="B6426" s="13">
        <v>4366</v>
      </c>
      <c r="C6426" s="90" t="str">
        <f>VLOOKUP(B6426,'All Districts'!$A$3:$B$874,2,FALSE)</f>
        <v>Valley Stream</v>
      </c>
      <c r="D6426" s="15">
        <v>5024579</v>
      </c>
      <c r="E6426">
        <f>VLOOKUP(C6426,'All Districts'!$B$3:$C$874,2,FALSE)</f>
        <v>3629520</v>
      </c>
      <c r="F6426" s="91">
        <f>COUNTIF($E$2:$E$7106,E6426)</f>
        <v>9</v>
      </c>
    </row>
    <row r="6427" spans="1:6" x14ac:dyDescent="0.2">
      <c r="A6427">
        <v>2019</v>
      </c>
      <c r="B6427" s="36">
        <v>4366</v>
      </c>
      <c r="C6427" s="90" t="str">
        <f>VLOOKUP(B6427,'All Districts'!$A$3:$B$874,2,FALSE)</f>
        <v>Valley Stream</v>
      </c>
      <c r="D6427" s="40">
        <v>5551016</v>
      </c>
      <c r="E6427">
        <f>VLOOKUP(C6427,'All Districts'!$B$3:$C$874,2,FALSE)</f>
        <v>3629520</v>
      </c>
      <c r="F6427" s="91">
        <f>COUNTIF($E$2:$E$7106,E6427)</f>
        <v>9</v>
      </c>
    </row>
    <row r="6428" spans="1:6" x14ac:dyDescent="0.2">
      <c r="A6428">
        <v>2020</v>
      </c>
      <c r="B6428" s="36">
        <v>4366</v>
      </c>
      <c r="C6428" s="90" t="str">
        <f>VLOOKUP(B6428,'All Districts'!$A$3:$B$874,2,FALSE)</f>
        <v>Valley Stream</v>
      </c>
      <c r="D6428" s="40">
        <v>4715505</v>
      </c>
      <c r="E6428">
        <f>VLOOKUP(C6428,'All Districts'!$B$3:$C$874,2,FALSE)</f>
        <v>3629520</v>
      </c>
      <c r="F6428" s="91">
        <f>COUNTIF($E$2:$E$7106,E6428)</f>
        <v>9</v>
      </c>
    </row>
    <row r="6429" spans="1:6" x14ac:dyDescent="0.2">
      <c r="A6429" s="10">
        <v>2021</v>
      </c>
      <c r="B6429" s="52">
        <v>4366</v>
      </c>
      <c r="C6429" s="90" t="str">
        <f>VLOOKUP(B6429,'All Districts'!$A$3:$B$874,2,FALSE)</f>
        <v>Valley Stream</v>
      </c>
      <c r="D6429" s="76">
        <v>5230300</v>
      </c>
      <c r="E6429">
        <f>VLOOKUP(C6429,'All Districts'!$B$3:$C$874,2,FALSE)</f>
        <v>3629520</v>
      </c>
      <c r="F6429" s="91">
        <f>COUNTIF($E$2:$E$7106,E6429)</f>
        <v>9</v>
      </c>
    </row>
    <row r="6430" spans="1:6" x14ac:dyDescent="0.2">
      <c r="A6430">
        <v>2022</v>
      </c>
      <c r="B6430" s="36">
        <v>4366</v>
      </c>
      <c r="C6430" s="90" t="str">
        <f>VLOOKUP(B6430,'All Districts'!$A$3:$B$874,2,FALSE)</f>
        <v>Valley Stream</v>
      </c>
      <c r="D6430" s="82">
        <v>5623831</v>
      </c>
      <c r="E6430">
        <f>VLOOKUP(C6430,'All Districts'!$B$3:$C$874,2,FALSE)</f>
        <v>3629520</v>
      </c>
      <c r="F6430" s="91">
        <f>COUNTIF($E$2:$E$7106,E6430)</f>
        <v>9</v>
      </c>
    </row>
    <row r="6431" spans="1:6" x14ac:dyDescent="0.2">
      <c r="A6431">
        <v>2023</v>
      </c>
      <c r="B6431" s="36">
        <v>4366</v>
      </c>
      <c r="C6431" s="90" t="str">
        <f>VLOOKUP(B6431,'All Districts'!$A$3:$B$874,2,FALSE)</f>
        <v>Valley Stream</v>
      </c>
      <c r="D6431" s="40">
        <v>6274439</v>
      </c>
      <c r="E6431">
        <f>VLOOKUP(C6431,'All Districts'!$B$3:$C$874,2,FALSE)</f>
        <v>3629520</v>
      </c>
      <c r="F6431" s="91">
        <f>COUNTIF($E$2:$E$7106,E6431)</f>
        <v>9</v>
      </c>
    </row>
    <row r="6432" spans="1:6" x14ac:dyDescent="0.2">
      <c r="A6432">
        <v>2015</v>
      </c>
      <c r="B6432" s="13">
        <v>4355</v>
      </c>
      <c r="C6432" s="90" t="str">
        <f>VLOOKUP(B6432,'All Districts'!$A$3:$B$874,2,FALSE)</f>
        <v>Valley Stream #13</v>
      </c>
      <c r="D6432" s="14">
        <v>3683920</v>
      </c>
      <c r="E6432">
        <f>VLOOKUP(C6432,'All Districts'!$B$3:$C$874,2,FALSE)</f>
        <v>3629430</v>
      </c>
      <c r="F6432" s="91">
        <f>COUNTIF($E$2:$E$7106,E6432)</f>
        <v>9</v>
      </c>
    </row>
    <row r="6433" spans="1:6" x14ac:dyDescent="0.2">
      <c r="A6433">
        <v>2016</v>
      </c>
      <c r="B6433" s="13">
        <v>4355</v>
      </c>
      <c r="C6433" s="90" t="str">
        <f>VLOOKUP(B6433,'All Districts'!$A$3:$B$874,2,FALSE)</f>
        <v>Valley Stream #13</v>
      </c>
      <c r="D6433" s="16">
        <v>2875240</v>
      </c>
      <c r="E6433">
        <f>VLOOKUP(C6433,'All Districts'!$B$3:$C$874,2,FALSE)</f>
        <v>3629430</v>
      </c>
      <c r="F6433" s="91">
        <f>COUNTIF($E$2:$E$7106,E6433)</f>
        <v>9</v>
      </c>
    </row>
    <row r="6434" spans="1:6" x14ac:dyDescent="0.2">
      <c r="A6434">
        <v>2017</v>
      </c>
      <c r="B6434" s="13">
        <v>4355</v>
      </c>
      <c r="C6434" s="90" t="str">
        <f>VLOOKUP(B6434,'All Districts'!$A$3:$B$874,2,FALSE)</f>
        <v>Valley Stream #13</v>
      </c>
      <c r="D6434" s="16">
        <v>2647046</v>
      </c>
      <c r="E6434">
        <f>VLOOKUP(C6434,'All Districts'!$B$3:$C$874,2,FALSE)</f>
        <v>3629430</v>
      </c>
      <c r="F6434" s="91">
        <f>COUNTIF($E$2:$E$7106,E6434)</f>
        <v>9</v>
      </c>
    </row>
    <row r="6435" spans="1:6" x14ac:dyDescent="0.2">
      <c r="A6435" s="10">
        <v>2018</v>
      </c>
      <c r="B6435" s="13">
        <v>4355</v>
      </c>
      <c r="C6435" s="90" t="str">
        <f>VLOOKUP(B6435,'All Districts'!$A$3:$B$874,2,FALSE)</f>
        <v>Valley Stream #13</v>
      </c>
      <c r="D6435" s="15">
        <v>2271705</v>
      </c>
      <c r="E6435">
        <f>VLOOKUP(C6435,'All Districts'!$B$3:$C$874,2,FALSE)</f>
        <v>3629430</v>
      </c>
      <c r="F6435" s="91">
        <f>COUNTIF($E$2:$E$7106,E6435)</f>
        <v>9</v>
      </c>
    </row>
    <row r="6436" spans="1:6" x14ac:dyDescent="0.2">
      <c r="A6436">
        <v>2019</v>
      </c>
      <c r="B6436" s="36">
        <v>4355</v>
      </c>
      <c r="C6436" s="90" t="str">
        <f>VLOOKUP(B6436,'All Districts'!$A$3:$B$874,2,FALSE)</f>
        <v>Valley Stream #13</v>
      </c>
      <c r="D6436" s="40">
        <v>2477915</v>
      </c>
      <c r="E6436">
        <f>VLOOKUP(C6436,'All Districts'!$B$3:$C$874,2,FALSE)</f>
        <v>3629430</v>
      </c>
      <c r="F6436" s="91">
        <f>COUNTIF($E$2:$E$7106,E6436)</f>
        <v>9</v>
      </c>
    </row>
    <row r="6437" spans="1:6" x14ac:dyDescent="0.2">
      <c r="A6437">
        <v>2020</v>
      </c>
      <c r="B6437" s="36">
        <v>4355</v>
      </c>
      <c r="C6437" s="90" t="str">
        <f>VLOOKUP(B6437,'All Districts'!$A$3:$B$874,2,FALSE)</f>
        <v>Valley Stream #13</v>
      </c>
      <c r="D6437" s="40">
        <v>2102142</v>
      </c>
      <c r="E6437">
        <f>VLOOKUP(C6437,'All Districts'!$B$3:$C$874,2,FALSE)</f>
        <v>3629430</v>
      </c>
      <c r="F6437" s="91">
        <f>COUNTIF($E$2:$E$7106,E6437)</f>
        <v>9</v>
      </c>
    </row>
    <row r="6438" spans="1:6" x14ac:dyDescent="0.2">
      <c r="A6438" s="10">
        <v>2021</v>
      </c>
      <c r="B6438" s="52">
        <v>4355</v>
      </c>
      <c r="C6438" s="90" t="str">
        <f>VLOOKUP(B6438,'All Districts'!$A$3:$B$874,2,FALSE)</f>
        <v>Valley Stream #13</v>
      </c>
      <c r="D6438" s="75">
        <v>2321809</v>
      </c>
      <c r="E6438">
        <f>VLOOKUP(C6438,'All Districts'!$B$3:$C$874,2,FALSE)</f>
        <v>3629430</v>
      </c>
      <c r="F6438" s="91">
        <f>COUNTIF($E$2:$E$7106,E6438)</f>
        <v>9</v>
      </c>
    </row>
    <row r="6439" spans="1:6" x14ac:dyDescent="0.2">
      <c r="A6439">
        <v>2022</v>
      </c>
      <c r="B6439" s="36">
        <v>4355</v>
      </c>
      <c r="C6439" s="90" t="str">
        <f>VLOOKUP(B6439,'All Districts'!$A$3:$B$874,2,FALSE)</f>
        <v>Valley Stream #13</v>
      </c>
      <c r="D6439" s="82">
        <v>2464221</v>
      </c>
      <c r="E6439">
        <f>VLOOKUP(C6439,'All Districts'!$B$3:$C$874,2,FALSE)</f>
        <v>3629430</v>
      </c>
      <c r="F6439" s="91">
        <f>COUNTIF($E$2:$E$7106,E6439)</f>
        <v>9</v>
      </c>
    </row>
    <row r="6440" spans="1:6" x14ac:dyDescent="0.2">
      <c r="A6440">
        <v>2023</v>
      </c>
      <c r="B6440" s="36">
        <v>4355</v>
      </c>
      <c r="C6440" s="90" t="str">
        <f>VLOOKUP(B6440,'All Districts'!$A$3:$B$874,2,FALSE)</f>
        <v>Valley Stream #13</v>
      </c>
      <c r="D6440" s="40">
        <v>2618505</v>
      </c>
      <c r="E6440">
        <f>VLOOKUP(C6440,'All Districts'!$B$3:$C$874,2,FALSE)</f>
        <v>3629430</v>
      </c>
      <c r="F6440" s="91">
        <f>COUNTIF($E$2:$E$7106,E6440)</f>
        <v>9</v>
      </c>
    </row>
    <row r="6441" spans="1:6" x14ac:dyDescent="0.2">
      <c r="A6441">
        <v>2015</v>
      </c>
      <c r="B6441" s="13">
        <v>4360</v>
      </c>
      <c r="C6441" s="90" t="str">
        <f>VLOOKUP(B6441,'All Districts'!$A$3:$B$874,2,FALSE)</f>
        <v>Valley Stream #24</v>
      </c>
      <c r="D6441" s="14">
        <v>2450335</v>
      </c>
      <c r="E6441">
        <f>VLOOKUP(C6441,'All Districts'!$B$3:$C$874,2,FALSE)</f>
        <v>3629460</v>
      </c>
      <c r="F6441" s="91">
        <f>COUNTIF($E$2:$E$7106,E6441)</f>
        <v>9</v>
      </c>
    </row>
    <row r="6442" spans="1:6" x14ac:dyDescent="0.2">
      <c r="A6442">
        <v>2016</v>
      </c>
      <c r="B6442" s="13">
        <v>4360</v>
      </c>
      <c r="C6442" s="90" t="str">
        <f>VLOOKUP(B6442,'All Districts'!$A$3:$B$874,2,FALSE)</f>
        <v>Valley Stream #24</v>
      </c>
      <c r="D6442" s="16">
        <v>1754726</v>
      </c>
      <c r="E6442">
        <f>VLOOKUP(C6442,'All Districts'!$B$3:$C$874,2,FALSE)</f>
        <v>3629460</v>
      </c>
      <c r="F6442" s="91">
        <f>COUNTIF($E$2:$E$7106,E6442)</f>
        <v>9</v>
      </c>
    </row>
    <row r="6443" spans="1:6" x14ac:dyDescent="0.2">
      <c r="A6443">
        <v>2017</v>
      </c>
      <c r="B6443" s="13">
        <v>4360</v>
      </c>
      <c r="C6443" s="90" t="str">
        <f>VLOOKUP(B6443,'All Districts'!$A$3:$B$874,2,FALSE)</f>
        <v>Valley Stream #24</v>
      </c>
      <c r="D6443" s="16">
        <v>1569920</v>
      </c>
      <c r="E6443">
        <f>VLOOKUP(C6443,'All Districts'!$B$3:$C$874,2,FALSE)</f>
        <v>3629460</v>
      </c>
      <c r="F6443" s="91">
        <f>COUNTIF($E$2:$E$7106,E6443)</f>
        <v>9</v>
      </c>
    </row>
    <row r="6444" spans="1:6" x14ac:dyDescent="0.2">
      <c r="A6444" s="10">
        <v>2018</v>
      </c>
      <c r="B6444" s="13">
        <v>4360</v>
      </c>
      <c r="C6444" s="90" t="str">
        <f>VLOOKUP(B6444,'All Districts'!$A$3:$B$874,2,FALSE)</f>
        <v>Valley Stream #24</v>
      </c>
      <c r="D6444" s="15">
        <v>1348613</v>
      </c>
      <c r="E6444">
        <f>VLOOKUP(C6444,'All Districts'!$B$3:$C$874,2,FALSE)</f>
        <v>3629460</v>
      </c>
      <c r="F6444" s="91">
        <f>COUNTIF($E$2:$E$7106,E6444)</f>
        <v>9</v>
      </c>
    </row>
    <row r="6445" spans="1:6" x14ac:dyDescent="0.2">
      <c r="A6445">
        <v>2019</v>
      </c>
      <c r="B6445" s="36">
        <v>4360</v>
      </c>
      <c r="C6445" s="90" t="str">
        <f>VLOOKUP(B6445,'All Districts'!$A$3:$B$874,2,FALSE)</f>
        <v>Valley Stream #24</v>
      </c>
      <c r="D6445" s="40">
        <v>1497929</v>
      </c>
      <c r="E6445">
        <f>VLOOKUP(C6445,'All Districts'!$B$3:$C$874,2,FALSE)</f>
        <v>3629460</v>
      </c>
      <c r="F6445" s="91">
        <f>COUNTIF($E$2:$E$7106,E6445)</f>
        <v>9</v>
      </c>
    </row>
    <row r="6446" spans="1:6" x14ac:dyDescent="0.2">
      <c r="A6446">
        <v>2020</v>
      </c>
      <c r="B6446" s="36">
        <v>4360</v>
      </c>
      <c r="C6446" s="90" t="str">
        <f>VLOOKUP(B6446,'All Districts'!$A$3:$B$874,2,FALSE)</f>
        <v>Valley Stream #24</v>
      </c>
      <c r="D6446" s="40">
        <v>1273461</v>
      </c>
      <c r="E6446">
        <f>VLOOKUP(C6446,'All Districts'!$B$3:$C$874,2,FALSE)</f>
        <v>3629460</v>
      </c>
      <c r="F6446" s="91">
        <f>COUNTIF($E$2:$E$7106,E6446)</f>
        <v>9</v>
      </c>
    </row>
    <row r="6447" spans="1:6" x14ac:dyDescent="0.2">
      <c r="A6447" s="10">
        <v>2021</v>
      </c>
      <c r="B6447" s="52">
        <v>4360</v>
      </c>
      <c r="C6447" s="90" t="str">
        <f>VLOOKUP(B6447,'All Districts'!$A$3:$B$874,2,FALSE)</f>
        <v>Valley Stream #24</v>
      </c>
      <c r="D6447" s="76">
        <v>1322408</v>
      </c>
      <c r="E6447">
        <f>VLOOKUP(C6447,'All Districts'!$B$3:$C$874,2,FALSE)</f>
        <v>3629460</v>
      </c>
      <c r="F6447" s="91">
        <f>COUNTIF($E$2:$E$7106,E6447)</f>
        <v>9</v>
      </c>
    </row>
    <row r="6448" spans="1:6" x14ac:dyDescent="0.2">
      <c r="A6448">
        <v>2022</v>
      </c>
      <c r="B6448" s="36">
        <v>4360</v>
      </c>
      <c r="C6448" s="90" t="str">
        <f>VLOOKUP(B6448,'All Districts'!$A$3:$B$874,2,FALSE)</f>
        <v>Valley Stream #24</v>
      </c>
      <c r="D6448" s="82">
        <v>1398432</v>
      </c>
      <c r="E6448">
        <f>VLOOKUP(C6448,'All Districts'!$B$3:$C$874,2,FALSE)</f>
        <v>3629460</v>
      </c>
      <c r="F6448" s="91">
        <f>COUNTIF($E$2:$E$7106,E6448)</f>
        <v>9</v>
      </c>
    </row>
    <row r="6449" spans="1:6" x14ac:dyDescent="0.2">
      <c r="A6449">
        <v>2023</v>
      </c>
      <c r="B6449" s="36">
        <v>4360</v>
      </c>
      <c r="C6449" s="90" t="str">
        <f>VLOOKUP(B6449,'All Districts'!$A$3:$B$874,2,FALSE)</f>
        <v>Valley Stream #24</v>
      </c>
      <c r="D6449" s="40">
        <v>1510843</v>
      </c>
      <c r="E6449">
        <f>VLOOKUP(C6449,'All Districts'!$B$3:$C$874,2,FALSE)</f>
        <v>3629460</v>
      </c>
      <c r="F6449" s="91">
        <f>COUNTIF($E$2:$E$7106,E6449)</f>
        <v>9</v>
      </c>
    </row>
    <row r="6450" spans="1:6" x14ac:dyDescent="0.2">
      <c r="A6450">
        <v>2015</v>
      </c>
      <c r="B6450" s="13">
        <v>4364</v>
      </c>
      <c r="C6450" s="90" t="str">
        <f>VLOOKUP(B6450,'All Districts'!$A$3:$B$874,2,FALSE)</f>
        <v>Valley Stream #30</v>
      </c>
      <c r="D6450" s="14">
        <v>2546670</v>
      </c>
      <c r="E6450">
        <f>VLOOKUP(C6450,'All Districts'!$B$3:$C$874,2,FALSE)</f>
        <v>3629490</v>
      </c>
      <c r="F6450" s="91">
        <f>COUNTIF($E$2:$E$7106,E6450)</f>
        <v>9</v>
      </c>
    </row>
    <row r="6451" spans="1:6" x14ac:dyDescent="0.2">
      <c r="A6451">
        <v>2016</v>
      </c>
      <c r="B6451" s="13">
        <v>4364</v>
      </c>
      <c r="C6451" s="90" t="str">
        <f>VLOOKUP(B6451,'All Districts'!$A$3:$B$874,2,FALSE)</f>
        <v>Valley Stream #30</v>
      </c>
      <c r="D6451" s="16">
        <v>1955148</v>
      </c>
      <c r="E6451">
        <f>VLOOKUP(C6451,'All Districts'!$B$3:$C$874,2,FALSE)</f>
        <v>3629490</v>
      </c>
      <c r="F6451" s="91">
        <f>COUNTIF($E$2:$E$7106,E6451)</f>
        <v>9</v>
      </c>
    </row>
    <row r="6452" spans="1:6" x14ac:dyDescent="0.2">
      <c r="A6452">
        <v>2017</v>
      </c>
      <c r="B6452" s="13">
        <v>4364</v>
      </c>
      <c r="C6452" s="90" t="str">
        <f>VLOOKUP(B6452,'All Districts'!$A$3:$B$874,2,FALSE)</f>
        <v>Valley Stream #30</v>
      </c>
      <c r="D6452" s="16">
        <v>1761654</v>
      </c>
      <c r="E6452">
        <f>VLOOKUP(C6452,'All Districts'!$B$3:$C$874,2,FALSE)</f>
        <v>3629490</v>
      </c>
      <c r="F6452" s="91">
        <f>COUNTIF($E$2:$E$7106,E6452)</f>
        <v>9</v>
      </c>
    </row>
    <row r="6453" spans="1:6" x14ac:dyDescent="0.2">
      <c r="A6453" s="10">
        <v>2018</v>
      </c>
      <c r="B6453" s="13">
        <v>4364</v>
      </c>
      <c r="C6453" s="90" t="str">
        <f>VLOOKUP(B6453,'All Districts'!$A$3:$B$874,2,FALSE)</f>
        <v>Valley Stream #30</v>
      </c>
      <c r="D6453" s="15">
        <v>1469016</v>
      </c>
      <c r="E6453">
        <f>VLOOKUP(C6453,'All Districts'!$B$3:$C$874,2,FALSE)</f>
        <v>3629490</v>
      </c>
      <c r="F6453" s="91">
        <f>COUNTIF($E$2:$E$7106,E6453)</f>
        <v>9</v>
      </c>
    </row>
    <row r="6454" spans="1:6" x14ac:dyDescent="0.2">
      <c r="A6454">
        <v>2019</v>
      </c>
      <c r="B6454" s="36">
        <v>4364</v>
      </c>
      <c r="C6454" s="90" t="str">
        <f>VLOOKUP(B6454,'All Districts'!$A$3:$B$874,2,FALSE)</f>
        <v>Valley Stream #30</v>
      </c>
      <c r="D6454" s="40">
        <v>1573346</v>
      </c>
      <c r="E6454">
        <f>VLOOKUP(C6454,'All Districts'!$B$3:$C$874,2,FALSE)</f>
        <v>3629490</v>
      </c>
      <c r="F6454" s="91">
        <f>COUNTIF($E$2:$E$7106,E6454)</f>
        <v>9</v>
      </c>
    </row>
    <row r="6455" spans="1:6" x14ac:dyDescent="0.2">
      <c r="A6455">
        <v>2020</v>
      </c>
      <c r="B6455" s="36">
        <v>4364</v>
      </c>
      <c r="C6455" s="90" t="str">
        <f>VLOOKUP(B6455,'All Districts'!$A$3:$B$874,2,FALSE)</f>
        <v>Valley Stream #30</v>
      </c>
      <c r="D6455" s="40">
        <v>1346737</v>
      </c>
      <c r="E6455">
        <f>VLOOKUP(C6455,'All Districts'!$B$3:$C$874,2,FALSE)</f>
        <v>3629490</v>
      </c>
      <c r="F6455" s="91">
        <f>COUNTIF($E$2:$E$7106,E6455)</f>
        <v>9</v>
      </c>
    </row>
    <row r="6456" spans="1:6" x14ac:dyDescent="0.2">
      <c r="A6456" s="10">
        <v>2021</v>
      </c>
      <c r="B6456" s="52">
        <v>4364</v>
      </c>
      <c r="C6456" s="90" t="str">
        <f>VLOOKUP(B6456,'All Districts'!$A$3:$B$874,2,FALSE)</f>
        <v>Valley Stream #30</v>
      </c>
      <c r="D6456" s="76">
        <v>1498802</v>
      </c>
      <c r="E6456">
        <f>VLOOKUP(C6456,'All Districts'!$B$3:$C$874,2,FALSE)</f>
        <v>3629490</v>
      </c>
      <c r="F6456" s="91">
        <f>COUNTIF($E$2:$E$7106,E6456)</f>
        <v>9</v>
      </c>
    </row>
    <row r="6457" spans="1:6" x14ac:dyDescent="0.2">
      <c r="A6457">
        <v>2022</v>
      </c>
      <c r="B6457" s="36">
        <v>4364</v>
      </c>
      <c r="C6457" s="90" t="str">
        <f>VLOOKUP(B6457,'All Districts'!$A$3:$B$874,2,FALSE)</f>
        <v>Valley Stream #30</v>
      </c>
      <c r="D6457" s="82">
        <v>1615948</v>
      </c>
      <c r="E6457">
        <f>VLOOKUP(C6457,'All Districts'!$B$3:$C$874,2,FALSE)</f>
        <v>3629490</v>
      </c>
      <c r="F6457" s="91">
        <f>COUNTIF($E$2:$E$7106,E6457)</f>
        <v>9</v>
      </c>
    </row>
    <row r="6458" spans="1:6" x14ac:dyDescent="0.2">
      <c r="A6458">
        <v>2023</v>
      </c>
      <c r="B6458" s="36">
        <v>4364</v>
      </c>
      <c r="C6458" s="90" t="str">
        <f>VLOOKUP(B6458,'All Districts'!$A$3:$B$874,2,FALSE)</f>
        <v>Valley Stream #30</v>
      </c>
      <c r="D6458" s="40">
        <v>1786178</v>
      </c>
      <c r="E6458">
        <f>VLOOKUP(C6458,'All Districts'!$B$3:$C$874,2,FALSE)</f>
        <v>3629490</v>
      </c>
      <c r="F6458" s="91">
        <f>COUNTIF($E$2:$E$7106,E6458)</f>
        <v>9</v>
      </c>
    </row>
    <row r="6459" spans="1:6" x14ac:dyDescent="0.2">
      <c r="A6459">
        <v>2015</v>
      </c>
      <c r="B6459" s="13">
        <v>2611</v>
      </c>
      <c r="C6459" s="90" t="str">
        <f>VLOOKUP(B6459,'All Districts'!$A$3:$B$874,2,FALSE)</f>
        <v>Vestal</v>
      </c>
      <c r="D6459" s="14">
        <v>3981048</v>
      </c>
      <c r="E6459">
        <f>VLOOKUP(C6459,'All Districts'!$B$3:$C$874,2,FALSE)</f>
        <v>3629610</v>
      </c>
      <c r="F6459" s="91">
        <f>COUNTIF($E$2:$E$7106,E6459)</f>
        <v>9</v>
      </c>
    </row>
    <row r="6460" spans="1:6" x14ac:dyDescent="0.2">
      <c r="A6460">
        <v>2016</v>
      </c>
      <c r="B6460" s="13">
        <v>2611</v>
      </c>
      <c r="C6460" s="90" t="str">
        <f>VLOOKUP(B6460,'All Districts'!$A$3:$B$874,2,FALSE)</f>
        <v>Vestal</v>
      </c>
      <c r="D6460" s="16">
        <v>2894333</v>
      </c>
      <c r="E6460">
        <f>VLOOKUP(C6460,'All Districts'!$B$3:$C$874,2,FALSE)</f>
        <v>3629610</v>
      </c>
      <c r="F6460" s="91">
        <f>COUNTIF($E$2:$E$7106,E6460)</f>
        <v>9</v>
      </c>
    </row>
    <row r="6461" spans="1:6" x14ac:dyDescent="0.2">
      <c r="A6461">
        <v>2017</v>
      </c>
      <c r="B6461" s="13">
        <v>2611</v>
      </c>
      <c r="C6461" s="90" t="str">
        <f>VLOOKUP(B6461,'All Districts'!$A$3:$B$874,2,FALSE)</f>
        <v>Vestal</v>
      </c>
      <c r="D6461" s="16">
        <v>2583869</v>
      </c>
      <c r="E6461">
        <f>VLOOKUP(C6461,'All Districts'!$B$3:$C$874,2,FALSE)</f>
        <v>3629610</v>
      </c>
      <c r="F6461" s="91">
        <f>COUNTIF($E$2:$E$7106,E6461)</f>
        <v>9</v>
      </c>
    </row>
    <row r="6462" spans="1:6" x14ac:dyDescent="0.2">
      <c r="A6462" s="10">
        <v>2018</v>
      </c>
      <c r="B6462" s="13">
        <v>2611</v>
      </c>
      <c r="C6462" s="90" t="str">
        <f>VLOOKUP(B6462,'All Districts'!$A$3:$B$874,2,FALSE)</f>
        <v>Vestal</v>
      </c>
      <c r="D6462" s="15">
        <v>2275828</v>
      </c>
      <c r="E6462">
        <f>VLOOKUP(C6462,'All Districts'!$B$3:$C$874,2,FALSE)</f>
        <v>3629610</v>
      </c>
      <c r="F6462" s="91">
        <f>COUNTIF($E$2:$E$7106,E6462)</f>
        <v>9</v>
      </c>
    </row>
    <row r="6463" spans="1:6" x14ac:dyDescent="0.2">
      <c r="A6463">
        <v>2019</v>
      </c>
      <c r="B6463" s="36">
        <v>2611</v>
      </c>
      <c r="C6463" s="90" t="str">
        <f>VLOOKUP(B6463,'All Districts'!$A$3:$B$874,2,FALSE)</f>
        <v>Vestal</v>
      </c>
      <c r="D6463" s="40">
        <v>2529944</v>
      </c>
      <c r="E6463">
        <f>VLOOKUP(C6463,'All Districts'!$B$3:$C$874,2,FALSE)</f>
        <v>3629610</v>
      </c>
      <c r="F6463" s="91">
        <f>COUNTIF($E$2:$E$7106,E6463)</f>
        <v>9</v>
      </c>
    </row>
    <row r="6464" spans="1:6" x14ac:dyDescent="0.2">
      <c r="A6464">
        <v>2020</v>
      </c>
      <c r="B6464" s="36">
        <v>2611</v>
      </c>
      <c r="C6464" s="90" t="str">
        <f>VLOOKUP(B6464,'All Districts'!$A$3:$B$874,2,FALSE)</f>
        <v>Vestal</v>
      </c>
      <c r="D6464" s="40">
        <v>2203966</v>
      </c>
      <c r="E6464">
        <f>VLOOKUP(C6464,'All Districts'!$B$3:$C$874,2,FALSE)</f>
        <v>3629610</v>
      </c>
      <c r="F6464" s="91">
        <f>COUNTIF($E$2:$E$7106,E6464)</f>
        <v>9</v>
      </c>
    </row>
    <row r="6465" spans="1:6" x14ac:dyDescent="0.2">
      <c r="A6465" s="10">
        <v>2021</v>
      </c>
      <c r="B6465" s="52">
        <v>2611</v>
      </c>
      <c r="C6465" s="90" t="str">
        <f>VLOOKUP(B6465,'All Districts'!$A$3:$B$874,2,FALSE)</f>
        <v>Vestal</v>
      </c>
      <c r="D6465" s="75">
        <v>2382688</v>
      </c>
      <c r="E6465">
        <f>VLOOKUP(C6465,'All Districts'!$B$3:$C$874,2,FALSE)</f>
        <v>3629610</v>
      </c>
      <c r="F6465" s="91">
        <f>COUNTIF($E$2:$E$7106,E6465)</f>
        <v>9</v>
      </c>
    </row>
    <row r="6466" spans="1:6" x14ac:dyDescent="0.2">
      <c r="A6466">
        <v>2022</v>
      </c>
      <c r="B6466" s="36">
        <v>2611</v>
      </c>
      <c r="C6466" s="90" t="str">
        <f>VLOOKUP(B6466,'All Districts'!$A$3:$B$874,2,FALSE)</f>
        <v>Vestal</v>
      </c>
      <c r="D6466" s="82">
        <v>2593467</v>
      </c>
      <c r="E6466">
        <f>VLOOKUP(C6466,'All Districts'!$B$3:$C$874,2,FALSE)</f>
        <v>3629610</v>
      </c>
      <c r="F6466" s="91">
        <f>COUNTIF($E$2:$E$7106,E6466)</f>
        <v>9</v>
      </c>
    </row>
    <row r="6467" spans="1:6" x14ac:dyDescent="0.2">
      <c r="A6467">
        <v>2023</v>
      </c>
      <c r="B6467" s="36">
        <v>2611</v>
      </c>
      <c r="C6467" s="90" t="str">
        <f>VLOOKUP(B6467,'All Districts'!$A$3:$B$874,2,FALSE)</f>
        <v>Vestal</v>
      </c>
      <c r="D6467" s="40">
        <v>2805464</v>
      </c>
      <c r="E6467">
        <f>VLOOKUP(C6467,'All Districts'!$B$3:$C$874,2,FALSE)</f>
        <v>3629610</v>
      </c>
      <c r="F6467" s="91">
        <f>COUNTIF($E$2:$E$7106,E6467)</f>
        <v>9</v>
      </c>
    </row>
    <row r="6468" spans="1:6" x14ac:dyDescent="0.2">
      <c r="A6468">
        <v>2015</v>
      </c>
      <c r="B6468" s="13">
        <v>2613</v>
      </c>
      <c r="C6468" s="90" t="str">
        <f>VLOOKUP(B6468,'All Districts'!$A$3:$B$874,2,FALSE)</f>
        <v>Victor</v>
      </c>
      <c r="D6468" s="14">
        <v>4178090</v>
      </c>
      <c r="E6468">
        <f>VLOOKUP(C6468,'All Districts'!$B$3:$C$874,2,FALSE)</f>
        <v>3629640</v>
      </c>
      <c r="F6468" s="91">
        <f>COUNTIF($E$2:$E$7106,E6468)</f>
        <v>9</v>
      </c>
    </row>
    <row r="6469" spans="1:6" x14ac:dyDescent="0.2">
      <c r="A6469">
        <v>2016</v>
      </c>
      <c r="B6469" s="13">
        <v>2613</v>
      </c>
      <c r="C6469" s="90" t="str">
        <f>VLOOKUP(B6469,'All Districts'!$A$3:$B$874,2,FALSE)</f>
        <v>Victor</v>
      </c>
      <c r="D6469" s="16">
        <v>3285300</v>
      </c>
      <c r="E6469">
        <f>VLOOKUP(C6469,'All Districts'!$B$3:$C$874,2,FALSE)</f>
        <v>3629640</v>
      </c>
      <c r="F6469" s="91">
        <f>COUNTIF($E$2:$E$7106,E6469)</f>
        <v>9</v>
      </c>
    </row>
    <row r="6470" spans="1:6" x14ac:dyDescent="0.2">
      <c r="A6470">
        <v>2017</v>
      </c>
      <c r="B6470" s="13">
        <v>2613</v>
      </c>
      <c r="C6470" s="90" t="str">
        <f>VLOOKUP(B6470,'All Districts'!$A$3:$B$874,2,FALSE)</f>
        <v>Victor</v>
      </c>
      <c r="D6470" s="16">
        <v>3023769</v>
      </c>
      <c r="E6470">
        <f>VLOOKUP(C6470,'All Districts'!$B$3:$C$874,2,FALSE)</f>
        <v>3629640</v>
      </c>
      <c r="F6470" s="91">
        <f>COUNTIF($E$2:$E$7106,E6470)</f>
        <v>9</v>
      </c>
    </row>
    <row r="6471" spans="1:6" x14ac:dyDescent="0.2">
      <c r="A6471" s="10">
        <v>2018</v>
      </c>
      <c r="B6471" s="13">
        <v>2613</v>
      </c>
      <c r="C6471" s="90" t="str">
        <f>VLOOKUP(B6471,'All Districts'!$A$3:$B$874,2,FALSE)</f>
        <v>Victor</v>
      </c>
      <c r="D6471" s="15">
        <v>2612685</v>
      </c>
      <c r="E6471">
        <f>VLOOKUP(C6471,'All Districts'!$B$3:$C$874,2,FALSE)</f>
        <v>3629640</v>
      </c>
      <c r="F6471" s="91">
        <f>COUNTIF($E$2:$E$7106,E6471)</f>
        <v>9</v>
      </c>
    </row>
    <row r="6472" spans="1:6" x14ac:dyDescent="0.2">
      <c r="A6472">
        <v>2019</v>
      </c>
      <c r="B6472" s="36">
        <v>2613</v>
      </c>
      <c r="C6472" s="90" t="str">
        <f>VLOOKUP(B6472,'All Districts'!$A$3:$B$874,2,FALSE)</f>
        <v>Victor</v>
      </c>
      <c r="D6472" s="40">
        <v>2952173</v>
      </c>
      <c r="E6472">
        <f>VLOOKUP(C6472,'All Districts'!$B$3:$C$874,2,FALSE)</f>
        <v>3629640</v>
      </c>
      <c r="F6472" s="91">
        <f>COUNTIF($E$2:$E$7106,E6472)</f>
        <v>9</v>
      </c>
    </row>
    <row r="6473" spans="1:6" x14ac:dyDescent="0.2">
      <c r="A6473">
        <v>2020</v>
      </c>
      <c r="B6473" s="36">
        <v>2613</v>
      </c>
      <c r="C6473" s="90" t="str">
        <f>VLOOKUP(B6473,'All Districts'!$A$3:$B$874,2,FALSE)</f>
        <v>Victor</v>
      </c>
      <c r="D6473" s="40">
        <v>2543529</v>
      </c>
      <c r="E6473">
        <f>VLOOKUP(C6473,'All Districts'!$B$3:$C$874,2,FALSE)</f>
        <v>3629640</v>
      </c>
      <c r="F6473" s="91">
        <f>COUNTIF($E$2:$E$7106,E6473)</f>
        <v>9</v>
      </c>
    </row>
    <row r="6474" spans="1:6" x14ac:dyDescent="0.2">
      <c r="A6474" s="10">
        <v>2021</v>
      </c>
      <c r="B6474" s="52">
        <v>2613</v>
      </c>
      <c r="C6474" s="90" t="str">
        <f>VLOOKUP(B6474,'All Districts'!$A$3:$B$874,2,FALSE)</f>
        <v>Victor</v>
      </c>
      <c r="D6474" s="75">
        <v>2788763</v>
      </c>
      <c r="E6474">
        <f>VLOOKUP(C6474,'All Districts'!$B$3:$C$874,2,FALSE)</f>
        <v>3629640</v>
      </c>
      <c r="F6474" s="91">
        <f>COUNTIF($E$2:$E$7106,E6474)</f>
        <v>9</v>
      </c>
    </row>
    <row r="6475" spans="1:6" x14ac:dyDescent="0.2">
      <c r="A6475">
        <v>2022</v>
      </c>
      <c r="B6475" s="36">
        <v>2613</v>
      </c>
      <c r="C6475" s="90" t="str">
        <f>VLOOKUP(B6475,'All Districts'!$A$3:$B$874,2,FALSE)</f>
        <v>Victor</v>
      </c>
      <c r="D6475" s="82">
        <v>2960643</v>
      </c>
      <c r="E6475">
        <f>VLOOKUP(C6475,'All Districts'!$B$3:$C$874,2,FALSE)</f>
        <v>3629640</v>
      </c>
      <c r="F6475" s="91">
        <f>COUNTIF($E$2:$E$7106,E6475)</f>
        <v>9</v>
      </c>
    </row>
    <row r="6476" spans="1:6" x14ac:dyDescent="0.2">
      <c r="A6476">
        <v>2023</v>
      </c>
      <c r="B6476" s="36">
        <v>2613</v>
      </c>
      <c r="C6476" s="90" t="str">
        <f>VLOOKUP(B6476,'All Districts'!$A$3:$B$874,2,FALSE)</f>
        <v>Victor</v>
      </c>
      <c r="D6476" s="40">
        <v>3288902</v>
      </c>
      <c r="E6476">
        <f>VLOOKUP(C6476,'All Districts'!$B$3:$C$874,2,FALSE)</f>
        <v>3629640</v>
      </c>
      <c r="F6476" s="91">
        <f>COUNTIF($E$2:$E$7106,E6476)</f>
        <v>9</v>
      </c>
    </row>
    <row r="6477" spans="1:6" x14ac:dyDescent="0.2">
      <c r="A6477">
        <v>2015</v>
      </c>
      <c r="B6477" s="13">
        <v>2618</v>
      </c>
      <c r="C6477" s="90" t="str">
        <f>VLOOKUP(B6477,'All Districts'!$A$3:$B$874,2,FALSE)</f>
        <v>Voorheesville</v>
      </c>
      <c r="D6477" s="14">
        <v>1408570</v>
      </c>
      <c r="E6477">
        <f>VLOOKUP(C6477,'All Districts'!$B$3:$C$874,2,FALSE)</f>
        <v>3629670</v>
      </c>
      <c r="F6477" s="91">
        <f>COUNTIF($E$2:$E$7106,E6477)</f>
        <v>9</v>
      </c>
    </row>
    <row r="6478" spans="1:6" x14ac:dyDescent="0.2">
      <c r="A6478">
        <v>2016</v>
      </c>
      <c r="B6478" s="13">
        <v>2618</v>
      </c>
      <c r="C6478" s="90" t="str">
        <f>VLOOKUP(B6478,'All Districts'!$A$3:$B$874,2,FALSE)</f>
        <v>Voorheesville</v>
      </c>
      <c r="D6478" s="16">
        <v>1103964</v>
      </c>
      <c r="E6478">
        <f>VLOOKUP(C6478,'All Districts'!$B$3:$C$874,2,FALSE)</f>
        <v>3629670</v>
      </c>
      <c r="F6478" s="91">
        <f>COUNTIF($E$2:$E$7106,E6478)</f>
        <v>9</v>
      </c>
    </row>
    <row r="6479" spans="1:6" x14ac:dyDescent="0.2">
      <c r="A6479">
        <v>2017</v>
      </c>
      <c r="B6479" s="13">
        <v>2618</v>
      </c>
      <c r="C6479" s="90" t="str">
        <f>VLOOKUP(B6479,'All Districts'!$A$3:$B$874,2,FALSE)</f>
        <v>Voorheesville</v>
      </c>
      <c r="D6479" s="16">
        <v>1037677</v>
      </c>
      <c r="E6479">
        <f>VLOOKUP(C6479,'All Districts'!$B$3:$C$874,2,FALSE)</f>
        <v>3629670</v>
      </c>
      <c r="F6479" s="91">
        <f>COUNTIF($E$2:$E$7106,E6479)</f>
        <v>9</v>
      </c>
    </row>
    <row r="6480" spans="1:6" x14ac:dyDescent="0.2">
      <c r="A6480" s="10">
        <v>2018</v>
      </c>
      <c r="B6480" s="13">
        <v>2618</v>
      </c>
      <c r="C6480" s="90" t="str">
        <f>VLOOKUP(B6480,'All Districts'!$A$3:$B$874,2,FALSE)</f>
        <v>Voorheesville</v>
      </c>
      <c r="D6480" s="15">
        <v>902027</v>
      </c>
      <c r="E6480">
        <f>VLOOKUP(C6480,'All Districts'!$B$3:$C$874,2,FALSE)</f>
        <v>3629670</v>
      </c>
      <c r="F6480" s="91">
        <f>COUNTIF($E$2:$E$7106,E6480)</f>
        <v>9</v>
      </c>
    </row>
    <row r="6481" spans="1:6" x14ac:dyDescent="0.2">
      <c r="A6481">
        <v>2019</v>
      </c>
      <c r="B6481" s="36">
        <v>2618</v>
      </c>
      <c r="C6481" s="90" t="str">
        <f>VLOOKUP(B6481,'All Districts'!$A$3:$B$874,2,FALSE)</f>
        <v>Voorheesville</v>
      </c>
      <c r="D6481" s="40">
        <v>967133</v>
      </c>
      <c r="E6481">
        <f>VLOOKUP(C6481,'All Districts'!$B$3:$C$874,2,FALSE)</f>
        <v>3629670</v>
      </c>
      <c r="F6481" s="91">
        <f>COUNTIF($E$2:$E$7106,E6481)</f>
        <v>9</v>
      </c>
    </row>
    <row r="6482" spans="1:6" x14ac:dyDescent="0.2">
      <c r="A6482">
        <v>2020</v>
      </c>
      <c r="B6482" s="36">
        <v>2618</v>
      </c>
      <c r="C6482" s="90" t="str">
        <f>VLOOKUP(B6482,'All Districts'!$A$3:$B$874,2,FALSE)</f>
        <v>Voorheesville</v>
      </c>
      <c r="D6482" s="40">
        <v>801689</v>
      </c>
      <c r="E6482">
        <f>VLOOKUP(C6482,'All Districts'!$B$3:$C$874,2,FALSE)</f>
        <v>3629670</v>
      </c>
      <c r="F6482" s="91">
        <f>COUNTIF($E$2:$E$7106,E6482)</f>
        <v>9</v>
      </c>
    </row>
    <row r="6483" spans="1:6" x14ac:dyDescent="0.2">
      <c r="A6483" s="10">
        <v>2021</v>
      </c>
      <c r="B6483" s="52">
        <v>2618</v>
      </c>
      <c r="C6483" s="90" t="str">
        <f>VLOOKUP(B6483,'All Districts'!$A$3:$B$874,2,FALSE)</f>
        <v>Voorheesville</v>
      </c>
      <c r="D6483" s="75">
        <v>890954</v>
      </c>
      <c r="E6483">
        <f>VLOOKUP(C6483,'All Districts'!$B$3:$C$874,2,FALSE)</f>
        <v>3629670</v>
      </c>
      <c r="F6483" s="91">
        <f>COUNTIF($E$2:$E$7106,E6483)</f>
        <v>9</v>
      </c>
    </row>
    <row r="6484" spans="1:6" x14ac:dyDescent="0.2">
      <c r="A6484">
        <v>2022</v>
      </c>
      <c r="B6484" s="36">
        <v>2618</v>
      </c>
      <c r="C6484" s="90" t="str">
        <f>VLOOKUP(B6484,'All Districts'!$A$3:$B$874,2,FALSE)</f>
        <v>Voorheesville</v>
      </c>
      <c r="D6484" s="82">
        <v>981620</v>
      </c>
      <c r="E6484">
        <f>VLOOKUP(C6484,'All Districts'!$B$3:$C$874,2,FALSE)</f>
        <v>3629670</v>
      </c>
      <c r="F6484" s="91">
        <f>COUNTIF($E$2:$E$7106,E6484)</f>
        <v>9</v>
      </c>
    </row>
    <row r="6485" spans="1:6" x14ac:dyDescent="0.2">
      <c r="A6485">
        <v>2023</v>
      </c>
      <c r="B6485" s="36">
        <v>2618</v>
      </c>
      <c r="C6485" s="90" t="str">
        <f>VLOOKUP(B6485,'All Districts'!$A$3:$B$874,2,FALSE)</f>
        <v>Voorheesville</v>
      </c>
      <c r="D6485" s="40">
        <v>1091708</v>
      </c>
      <c r="E6485">
        <f>VLOOKUP(C6485,'All Districts'!$B$3:$C$874,2,FALSE)</f>
        <v>3629670</v>
      </c>
      <c r="F6485" s="91">
        <f>COUNTIF($E$2:$E$7106,E6485)</f>
        <v>9</v>
      </c>
    </row>
    <row r="6486" spans="1:6" x14ac:dyDescent="0.2">
      <c r="A6486">
        <v>2015</v>
      </c>
      <c r="B6486" s="13">
        <v>5352</v>
      </c>
      <c r="C6486" s="90" t="str">
        <f>VLOOKUP(B6486,'All Districts'!$A$3:$B$874,2,FALSE)</f>
        <v>Wainscott</v>
      </c>
      <c r="D6486" s="14">
        <v>47711</v>
      </c>
      <c r="E6486">
        <f>VLOOKUP(C6486,'All Districts'!$B$3:$C$874,2,FALSE)</f>
        <v>3629760</v>
      </c>
      <c r="F6486" s="91">
        <f>COUNTIF($E$2:$E$7106,E6486)</f>
        <v>9</v>
      </c>
    </row>
    <row r="6487" spans="1:6" x14ac:dyDescent="0.2">
      <c r="A6487">
        <v>2016</v>
      </c>
      <c r="B6487" s="13">
        <v>5352</v>
      </c>
      <c r="C6487" s="90" t="str">
        <f>VLOOKUP(B6487,'All Districts'!$A$3:$B$874,2,FALSE)</f>
        <v>Wainscott</v>
      </c>
      <c r="D6487" s="16">
        <v>35253</v>
      </c>
      <c r="E6487">
        <f>VLOOKUP(C6487,'All Districts'!$B$3:$C$874,2,FALSE)</f>
        <v>3629760</v>
      </c>
      <c r="F6487" s="91">
        <f>COUNTIF($E$2:$E$7106,E6487)</f>
        <v>9</v>
      </c>
    </row>
    <row r="6488" spans="1:6" x14ac:dyDescent="0.2">
      <c r="A6488">
        <v>2017</v>
      </c>
      <c r="B6488" s="13">
        <v>5352</v>
      </c>
      <c r="C6488" s="90" t="str">
        <f>VLOOKUP(B6488,'All Districts'!$A$3:$B$874,2,FALSE)</f>
        <v>Wainscott</v>
      </c>
      <c r="D6488" s="16">
        <v>32375</v>
      </c>
      <c r="E6488">
        <f>VLOOKUP(C6488,'All Districts'!$B$3:$C$874,2,FALSE)</f>
        <v>3629760</v>
      </c>
      <c r="F6488" s="91">
        <f>COUNTIF($E$2:$E$7106,E6488)</f>
        <v>9</v>
      </c>
    </row>
    <row r="6489" spans="1:6" x14ac:dyDescent="0.2">
      <c r="A6489" s="10">
        <v>2018</v>
      </c>
      <c r="B6489" s="13">
        <v>5352</v>
      </c>
      <c r="C6489" s="90" t="str">
        <f>VLOOKUP(B6489,'All Districts'!$A$3:$B$874,2,FALSE)</f>
        <v>Wainscott</v>
      </c>
      <c r="D6489" s="15">
        <v>27180</v>
      </c>
      <c r="E6489">
        <f>VLOOKUP(C6489,'All Districts'!$B$3:$C$874,2,FALSE)</f>
        <v>3629760</v>
      </c>
      <c r="F6489" s="91">
        <f>COUNTIF($E$2:$E$7106,E6489)</f>
        <v>9</v>
      </c>
    </row>
    <row r="6490" spans="1:6" x14ac:dyDescent="0.2">
      <c r="A6490">
        <v>2019</v>
      </c>
      <c r="B6490" s="36">
        <v>5352</v>
      </c>
      <c r="C6490" s="90" t="str">
        <f>VLOOKUP(B6490,'All Districts'!$A$3:$B$874,2,FALSE)</f>
        <v>Wainscott</v>
      </c>
      <c r="D6490" s="40">
        <v>29647</v>
      </c>
      <c r="E6490">
        <f>VLOOKUP(C6490,'All Districts'!$B$3:$C$874,2,FALSE)</f>
        <v>3629760</v>
      </c>
      <c r="F6490" s="91">
        <f>COUNTIF($E$2:$E$7106,E6490)</f>
        <v>9</v>
      </c>
    </row>
    <row r="6491" spans="1:6" x14ac:dyDescent="0.2">
      <c r="A6491">
        <v>2020</v>
      </c>
      <c r="B6491" s="36">
        <v>5352</v>
      </c>
      <c r="C6491" s="90" t="str">
        <f>VLOOKUP(B6491,'All Districts'!$A$3:$B$874,2,FALSE)</f>
        <v>Wainscott</v>
      </c>
      <c r="D6491" s="40">
        <v>27005</v>
      </c>
      <c r="E6491">
        <f>VLOOKUP(C6491,'All Districts'!$B$3:$C$874,2,FALSE)</f>
        <v>3629760</v>
      </c>
      <c r="F6491" s="91">
        <f>COUNTIF($E$2:$E$7106,E6491)</f>
        <v>9</v>
      </c>
    </row>
    <row r="6492" spans="1:6" x14ac:dyDescent="0.2">
      <c r="A6492" s="10">
        <v>2021</v>
      </c>
      <c r="B6492" s="52">
        <v>5352</v>
      </c>
      <c r="C6492" s="90" t="str">
        <f>VLOOKUP(B6492,'All Districts'!$A$3:$B$874,2,FALSE)</f>
        <v>Wainscott</v>
      </c>
      <c r="D6492" s="76">
        <v>30438</v>
      </c>
      <c r="E6492">
        <f>VLOOKUP(C6492,'All Districts'!$B$3:$C$874,2,FALSE)</f>
        <v>3629760</v>
      </c>
      <c r="F6492" s="91">
        <f>COUNTIF($E$2:$E$7106,E6492)</f>
        <v>9</v>
      </c>
    </row>
    <row r="6493" spans="1:6" x14ac:dyDescent="0.2">
      <c r="A6493">
        <v>2022</v>
      </c>
      <c r="B6493" s="36">
        <v>5352</v>
      </c>
      <c r="C6493" s="90" t="str">
        <f>VLOOKUP(B6493,'All Districts'!$A$3:$B$874,2,FALSE)</f>
        <v>Wainscott</v>
      </c>
      <c r="D6493" s="82">
        <v>43711</v>
      </c>
      <c r="E6493">
        <f>VLOOKUP(C6493,'All Districts'!$B$3:$C$874,2,FALSE)</f>
        <v>3629760</v>
      </c>
      <c r="F6493" s="91">
        <f>COUNTIF($E$2:$E$7106,E6493)</f>
        <v>9</v>
      </c>
    </row>
    <row r="6494" spans="1:6" x14ac:dyDescent="0.2">
      <c r="A6494">
        <v>2023</v>
      </c>
      <c r="B6494" s="36">
        <v>5352</v>
      </c>
      <c r="C6494" s="90" t="str">
        <f>VLOOKUP(B6494,'All Districts'!$A$3:$B$874,2,FALSE)</f>
        <v>Wainscott</v>
      </c>
      <c r="D6494" s="40">
        <v>40894</v>
      </c>
      <c r="E6494">
        <f>VLOOKUP(C6494,'All Districts'!$B$3:$C$874,2,FALSE)</f>
        <v>3629760</v>
      </c>
      <c r="F6494" s="91">
        <f>COUNTIF($E$2:$E$7106,E6494)</f>
        <v>9</v>
      </c>
    </row>
    <row r="6495" spans="1:6" x14ac:dyDescent="0.2">
      <c r="A6495">
        <v>2015</v>
      </c>
      <c r="B6495" s="13">
        <v>2612</v>
      </c>
      <c r="C6495" s="90" t="str">
        <f>VLOOKUP(B6495,'All Districts'!$A$3:$B$874,2,FALSE)</f>
        <v>Wallkill</v>
      </c>
      <c r="D6495" s="14">
        <v>4420835</v>
      </c>
      <c r="E6495">
        <f>VLOOKUP(C6495,'All Districts'!$B$3:$C$874,2,FALSE)</f>
        <v>3629790</v>
      </c>
      <c r="F6495" s="91">
        <f>COUNTIF($E$2:$E$7106,E6495)</f>
        <v>9</v>
      </c>
    </row>
    <row r="6496" spans="1:6" x14ac:dyDescent="0.2">
      <c r="A6496">
        <v>2016</v>
      </c>
      <c r="B6496" s="13">
        <v>2612</v>
      </c>
      <c r="C6496" s="90" t="str">
        <f>VLOOKUP(B6496,'All Districts'!$A$3:$B$874,2,FALSE)</f>
        <v>Wallkill</v>
      </c>
      <c r="D6496" s="16">
        <v>3464485</v>
      </c>
      <c r="E6496">
        <f>VLOOKUP(C6496,'All Districts'!$B$3:$C$874,2,FALSE)</f>
        <v>3629790</v>
      </c>
      <c r="F6496" s="91">
        <f>COUNTIF($E$2:$E$7106,E6496)</f>
        <v>9</v>
      </c>
    </row>
    <row r="6497" spans="1:6" x14ac:dyDescent="0.2">
      <c r="A6497">
        <v>2017</v>
      </c>
      <c r="B6497" s="13">
        <v>2612</v>
      </c>
      <c r="C6497" s="90" t="str">
        <f>VLOOKUP(B6497,'All Districts'!$A$3:$B$874,2,FALSE)</f>
        <v>Wallkill</v>
      </c>
      <c r="D6497" s="16">
        <v>3136187</v>
      </c>
      <c r="E6497">
        <f>VLOOKUP(C6497,'All Districts'!$B$3:$C$874,2,FALSE)</f>
        <v>3629790</v>
      </c>
      <c r="F6497" s="91">
        <f>COUNTIF($E$2:$E$7106,E6497)</f>
        <v>9</v>
      </c>
    </row>
    <row r="6498" spans="1:6" x14ac:dyDescent="0.2">
      <c r="A6498" s="10">
        <v>2018</v>
      </c>
      <c r="B6498" s="13">
        <v>2612</v>
      </c>
      <c r="C6498" s="90" t="str">
        <f>VLOOKUP(B6498,'All Districts'!$A$3:$B$874,2,FALSE)</f>
        <v>Wallkill</v>
      </c>
      <c r="D6498" s="15">
        <v>2653216</v>
      </c>
      <c r="E6498">
        <f>VLOOKUP(C6498,'All Districts'!$B$3:$C$874,2,FALSE)</f>
        <v>3629790</v>
      </c>
      <c r="F6498" s="91">
        <f>COUNTIF($E$2:$E$7106,E6498)</f>
        <v>9</v>
      </c>
    </row>
    <row r="6499" spans="1:6" x14ac:dyDescent="0.2">
      <c r="A6499">
        <v>2019</v>
      </c>
      <c r="B6499" s="36">
        <v>2612</v>
      </c>
      <c r="C6499" s="90" t="str">
        <f>VLOOKUP(B6499,'All Districts'!$A$3:$B$874,2,FALSE)</f>
        <v>Wallkill</v>
      </c>
      <c r="D6499" s="40">
        <v>2920344</v>
      </c>
      <c r="E6499">
        <f>VLOOKUP(C6499,'All Districts'!$B$3:$C$874,2,FALSE)</f>
        <v>3629790</v>
      </c>
      <c r="F6499" s="91">
        <f>COUNTIF($E$2:$E$7106,E6499)</f>
        <v>9</v>
      </c>
    </row>
    <row r="6500" spans="1:6" x14ac:dyDescent="0.2">
      <c r="A6500">
        <v>2020</v>
      </c>
      <c r="B6500" s="36">
        <v>2612</v>
      </c>
      <c r="C6500" s="90" t="str">
        <f>VLOOKUP(B6500,'All Districts'!$A$3:$B$874,2,FALSE)</f>
        <v>Wallkill</v>
      </c>
      <c r="D6500" s="40">
        <v>2452815</v>
      </c>
      <c r="E6500">
        <f>VLOOKUP(C6500,'All Districts'!$B$3:$C$874,2,FALSE)</f>
        <v>3629790</v>
      </c>
      <c r="F6500" s="91">
        <f>COUNTIF($E$2:$E$7106,E6500)</f>
        <v>9</v>
      </c>
    </row>
    <row r="6501" spans="1:6" x14ac:dyDescent="0.2">
      <c r="A6501" s="10">
        <v>2021</v>
      </c>
      <c r="B6501" s="55">
        <v>2612</v>
      </c>
      <c r="C6501" s="90" t="str">
        <f>VLOOKUP(B6501,'All Districts'!$A$3:$B$874,2,FALSE)</f>
        <v>Wallkill</v>
      </c>
      <c r="D6501" s="75">
        <v>2721634</v>
      </c>
      <c r="E6501">
        <f>VLOOKUP(C6501,'All Districts'!$B$3:$C$874,2,FALSE)</f>
        <v>3629790</v>
      </c>
      <c r="F6501" s="91">
        <f>COUNTIF($E$2:$E$7106,E6501)</f>
        <v>9</v>
      </c>
    </row>
    <row r="6502" spans="1:6" x14ac:dyDescent="0.2">
      <c r="A6502">
        <v>2022</v>
      </c>
      <c r="B6502" s="36">
        <v>2612</v>
      </c>
      <c r="C6502" s="90" t="str">
        <f>VLOOKUP(B6502,'All Districts'!$A$3:$B$874,2,FALSE)</f>
        <v>Wallkill</v>
      </c>
      <c r="D6502" s="82">
        <v>2801868</v>
      </c>
      <c r="E6502">
        <f>VLOOKUP(C6502,'All Districts'!$B$3:$C$874,2,FALSE)</f>
        <v>3629790</v>
      </c>
      <c r="F6502" s="91">
        <f>COUNTIF($E$2:$E$7106,E6502)</f>
        <v>9</v>
      </c>
    </row>
    <row r="6503" spans="1:6" x14ac:dyDescent="0.2">
      <c r="A6503">
        <v>2023</v>
      </c>
      <c r="B6503" s="36">
        <v>2612</v>
      </c>
      <c r="C6503" s="90" t="str">
        <f>VLOOKUP(B6503,'All Districts'!$A$3:$B$874,2,FALSE)</f>
        <v>Wallkill</v>
      </c>
      <c r="D6503" s="40">
        <v>2988876</v>
      </c>
      <c r="E6503">
        <f>VLOOKUP(C6503,'All Districts'!$B$3:$C$874,2,FALSE)</f>
        <v>3629790</v>
      </c>
      <c r="F6503" s="91">
        <f>COUNTIF($E$2:$E$7106,E6503)</f>
        <v>9</v>
      </c>
    </row>
    <row r="6504" spans="1:6" x14ac:dyDescent="0.2">
      <c r="A6504">
        <v>2015</v>
      </c>
      <c r="B6504" s="13">
        <v>3585</v>
      </c>
      <c r="C6504" s="90" t="str">
        <f>VLOOKUP(B6504,'All Districts'!$A$3:$B$874,2,FALSE)</f>
        <v>Walton</v>
      </c>
      <c r="D6504" s="14">
        <v>1011069</v>
      </c>
      <c r="E6504">
        <f>VLOOKUP(C6504,'All Districts'!$B$3:$C$874,2,FALSE)</f>
        <v>3629820</v>
      </c>
      <c r="F6504" s="91">
        <f>COUNTIF($E$2:$E$7106,E6504)</f>
        <v>9</v>
      </c>
    </row>
    <row r="6505" spans="1:6" x14ac:dyDescent="0.2">
      <c r="A6505">
        <v>2016</v>
      </c>
      <c r="B6505" s="13">
        <v>3585</v>
      </c>
      <c r="C6505" s="90" t="str">
        <f>VLOOKUP(B6505,'All Districts'!$A$3:$B$874,2,FALSE)</f>
        <v>Walton</v>
      </c>
      <c r="D6505" s="16">
        <v>804708</v>
      </c>
      <c r="E6505">
        <f>VLOOKUP(C6505,'All Districts'!$B$3:$C$874,2,FALSE)</f>
        <v>3629820</v>
      </c>
      <c r="F6505" s="91">
        <f>COUNTIF($E$2:$E$7106,E6505)</f>
        <v>9</v>
      </c>
    </row>
    <row r="6506" spans="1:6" x14ac:dyDescent="0.2">
      <c r="A6506">
        <v>2017</v>
      </c>
      <c r="B6506" s="13">
        <v>3585</v>
      </c>
      <c r="C6506" s="90" t="str">
        <f>VLOOKUP(B6506,'All Districts'!$A$3:$B$874,2,FALSE)</f>
        <v>Walton</v>
      </c>
      <c r="D6506" s="16">
        <v>749909</v>
      </c>
      <c r="E6506">
        <f>VLOOKUP(C6506,'All Districts'!$B$3:$C$874,2,FALSE)</f>
        <v>3629820</v>
      </c>
      <c r="F6506" s="91">
        <f>COUNTIF($E$2:$E$7106,E6506)</f>
        <v>9</v>
      </c>
    </row>
    <row r="6507" spans="1:6" x14ac:dyDescent="0.2">
      <c r="A6507" s="10">
        <v>2018</v>
      </c>
      <c r="B6507" s="13">
        <v>3585</v>
      </c>
      <c r="C6507" s="90" t="str">
        <f>VLOOKUP(B6507,'All Districts'!$A$3:$B$874,2,FALSE)</f>
        <v>Walton</v>
      </c>
      <c r="D6507" s="15">
        <v>632902</v>
      </c>
      <c r="E6507">
        <f>VLOOKUP(C6507,'All Districts'!$B$3:$C$874,2,FALSE)</f>
        <v>3629820</v>
      </c>
      <c r="F6507" s="91">
        <f>COUNTIF($E$2:$E$7106,E6507)</f>
        <v>9</v>
      </c>
    </row>
    <row r="6508" spans="1:6" x14ac:dyDescent="0.2">
      <c r="A6508">
        <v>2019</v>
      </c>
      <c r="B6508" s="36">
        <v>3585</v>
      </c>
      <c r="C6508" s="90" t="str">
        <f>VLOOKUP(B6508,'All Districts'!$A$3:$B$874,2,FALSE)</f>
        <v>Walton</v>
      </c>
      <c r="D6508" s="40">
        <v>668233</v>
      </c>
      <c r="E6508">
        <f>VLOOKUP(C6508,'All Districts'!$B$3:$C$874,2,FALSE)</f>
        <v>3629820</v>
      </c>
      <c r="F6508" s="91">
        <f>COUNTIF($E$2:$E$7106,E6508)</f>
        <v>9</v>
      </c>
    </row>
    <row r="6509" spans="1:6" x14ac:dyDescent="0.2">
      <c r="A6509">
        <v>2020</v>
      </c>
      <c r="B6509" s="36">
        <v>3585</v>
      </c>
      <c r="C6509" s="90" t="str">
        <f>VLOOKUP(B6509,'All Districts'!$A$3:$B$874,2,FALSE)</f>
        <v>Walton</v>
      </c>
      <c r="D6509" s="40">
        <v>571499</v>
      </c>
      <c r="E6509">
        <f>VLOOKUP(C6509,'All Districts'!$B$3:$C$874,2,FALSE)</f>
        <v>3629820</v>
      </c>
      <c r="F6509" s="91">
        <f>COUNTIF($E$2:$E$7106,E6509)</f>
        <v>9</v>
      </c>
    </row>
    <row r="6510" spans="1:6" x14ac:dyDescent="0.2">
      <c r="A6510" s="10">
        <v>2021</v>
      </c>
      <c r="B6510" s="55">
        <v>3585</v>
      </c>
      <c r="C6510" s="90" t="str">
        <f>VLOOKUP(B6510,'All Districts'!$A$3:$B$874,2,FALSE)</f>
        <v>Walton</v>
      </c>
      <c r="D6510" s="76">
        <v>633205</v>
      </c>
      <c r="E6510">
        <f>VLOOKUP(C6510,'All Districts'!$B$3:$C$874,2,FALSE)</f>
        <v>3629820</v>
      </c>
      <c r="F6510" s="91">
        <f>COUNTIF($E$2:$E$7106,E6510)</f>
        <v>9</v>
      </c>
    </row>
    <row r="6511" spans="1:6" x14ac:dyDescent="0.2">
      <c r="A6511">
        <v>2022</v>
      </c>
      <c r="B6511" s="36">
        <v>3585</v>
      </c>
      <c r="C6511" s="90" t="str">
        <f>VLOOKUP(B6511,'All Districts'!$A$3:$B$874,2,FALSE)</f>
        <v>Walton</v>
      </c>
      <c r="D6511" s="82">
        <v>675468</v>
      </c>
      <c r="E6511">
        <f>VLOOKUP(C6511,'All Districts'!$B$3:$C$874,2,FALSE)</f>
        <v>3629820</v>
      </c>
      <c r="F6511" s="91">
        <f>COUNTIF($E$2:$E$7106,E6511)</f>
        <v>9</v>
      </c>
    </row>
    <row r="6512" spans="1:6" x14ac:dyDescent="0.2">
      <c r="A6512">
        <v>2023</v>
      </c>
      <c r="B6512" s="36">
        <v>3585</v>
      </c>
      <c r="C6512" s="90" t="str">
        <f>VLOOKUP(B6512,'All Districts'!$A$3:$B$874,2,FALSE)</f>
        <v>Walton</v>
      </c>
      <c r="D6512" s="40">
        <v>740085</v>
      </c>
      <c r="E6512">
        <f>VLOOKUP(C6512,'All Districts'!$B$3:$C$874,2,FALSE)</f>
        <v>3629820</v>
      </c>
      <c r="F6512" s="91">
        <f>COUNTIF($E$2:$E$7106,E6512)</f>
        <v>9</v>
      </c>
    </row>
    <row r="6513" spans="1:6" x14ac:dyDescent="0.2">
      <c r="A6513">
        <v>2015</v>
      </c>
      <c r="B6513" s="13">
        <v>2614</v>
      </c>
      <c r="C6513" s="90" t="str">
        <f>VLOOKUP(B6513,'All Districts'!$A$3:$B$874,2,FALSE)</f>
        <v>Wantagh</v>
      </c>
      <c r="D6513" s="14">
        <v>5665654</v>
      </c>
      <c r="E6513">
        <f>VLOOKUP(C6513,'All Districts'!$B$3:$C$874,2,FALSE)</f>
        <v>3629850</v>
      </c>
      <c r="F6513" s="91">
        <f>COUNTIF($E$2:$E$7106,E6513)</f>
        <v>9</v>
      </c>
    </row>
    <row r="6514" spans="1:6" x14ac:dyDescent="0.2">
      <c r="A6514">
        <v>2016</v>
      </c>
      <c r="B6514" s="13">
        <v>2614</v>
      </c>
      <c r="C6514" s="90" t="str">
        <f>VLOOKUP(B6514,'All Districts'!$A$3:$B$874,2,FALSE)</f>
        <v>Wantagh</v>
      </c>
      <c r="D6514" s="16">
        <v>4396082</v>
      </c>
      <c r="E6514">
        <f>VLOOKUP(C6514,'All Districts'!$B$3:$C$874,2,FALSE)</f>
        <v>3629850</v>
      </c>
      <c r="F6514" s="91">
        <f>COUNTIF($E$2:$E$7106,E6514)</f>
        <v>9</v>
      </c>
    </row>
    <row r="6515" spans="1:6" x14ac:dyDescent="0.2">
      <c r="A6515">
        <v>2017</v>
      </c>
      <c r="B6515" s="13">
        <v>2614</v>
      </c>
      <c r="C6515" s="90" t="str">
        <f>VLOOKUP(B6515,'All Districts'!$A$3:$B$874,2,FALSE)</f>
        <v>Wantagh</v>
      </c>
      <c r="D6515" s="16">
        <v>3962795</v>
      </c>
      <c r="E6515">
        <f>VLOOKUP(C6515,'All Districts'!$B$3:$C$874,2,FALSE)</f>
        <v>3629850</v>
      </c>
      <c r="F6515" s="91">
        <f>COUNTIF($E$2:$E$7106,E6515)</f>
        <v>9</v>
      </c>
    </row>
    <row r="6516" spans="1:6" x14ac:dyDescent="0.2">
      <c r="A6516" s="10">
        <v>2018</v>
      </c>
      <c r="B6516" s="13">
        <v>2614</v>
      </c>
      <c r="C6516" s="90" t="str">
        <f>VLOOKUP(B6516,'All Districts'!$A$3:$B$874,2,FALSE)</f>
        <v>Wantagh</v>
      </c>
      <c r="D6516" s="15">
        <v>3357476</v>
      </c>
      <c r="E6516">
        <f>VLOOKUP(C6516,'All Districts'!$B$3:$C$874,2,FALSE)</f>
        <v>3629850</v>
      </c>
      <c r="F6516" s="91">
        <f>COUNTIF($E$2:$E$7106,E6516)</f>
        <v>9</v>
      </c>
    </row>
    <row r="6517" spans="1:6" x14ac:dyDescent="0.2">
      <c r="A6517">
        <v>2019</v>
      </c>
      <c r="B6517" s="36">
        <v>2614</v>
      </c>
      <c r="C6517" s="90" t="str">
        <f>VLOOKUP(B6517,'All Districts'!$A$3:$B$874,2,FALSE)</f>
        <v>Wantagh</v>
      </c>
      <c r="D6517" s="40">
        <v>3583237</v>
      </c>
      <c r="E6517">
        <f>VLOOKUP(C6517,'All Districts'!$B$3:$C$874,2,FALSE)</f>
        <v>3629850</v>
      </c>
      <c r="F6517" s="91">
        <f>COUNTIF($E$2:$E$7106,E6517)</f>
        <v>9</v>
      </c>
    </row>
    <row r="6518" spans="1:6" x14ac:dyDescent="0.2">
      <c r="A6518">
        <v>2020</v>
      </c>
      <c r="B6518" s="36">
        <v>2614</v>
      </c>
      <c r="C6518" s="90" t="str">
        <f>VLOOKUP(B6518,'All Districts'!$A$3:$B$874,2,FALSE)</f>
        <v>Wantagh</v>
      </c>
      <c r="D6518" s="40">
        <v>3095068</v>
      </c>
      <c r="E6518">
        <f>VLOOKUP(C6518,'All Districts'!$B$3:$C$874,2,FALSE)</f>
        <v>3629850</v>
      </c>
      <c r="F6518" s="91">
        <f>COUNTIF($E$2:$E$7106,E6518)</f>
        <v>9</v>
      </c>
    </row>
    <row r="6519" spans="1:6" x14ac:dyDescent="0.2">
      <c r="A6519" s="10">
        <v>2021</v>
      </c>
      <c r="B6519" s="55">
        <v>2614</v>
      </c>
      <c r="C6519" s="90" t="str">
        <f>VLOOKUP(B6519,'All Districts'!$A$3:$B$874,2,FALSE)</f>
        <v>Wantagh</v>
      </c>
      <c r="D6519" s="75">
        <v>3329523</v>
      </c>
      <c r="E6519">
        <f>VLOOKUP(C6519,'All Districts'!$B$3:$C$874,2,FALSE)</f>
        <v>3629850</v>
      </c>
      <c r="F6519" s="91">
        <f>COUNTIF($E$2:$E$7106,E6519)</f>
        <v>9</v>
      </c>
    </row>
    <row r="6520" spans="1:6" x14ac:dyDescent="0.2">
      <c r="A6520">
        <v>2022</v>
      </c>
      <c r="B6520" s="36">
        <v>2614</v>
      </c>
      <c r="C6520" s="90" t="str">
        <f>VLOOKUP(B6520,'All Districts'!$A$3:$B$874,2,FALSE)</f>
        <v>Wantagh</v>
      </c>
      <c r="D6520" s="82">
        <v>3379599</v>
      </c>
      <c r="E6520">
        <f>VLOOKUP(C6520,'All Districts'!$B$3:$C$874,2,FALSE)</f>
        <v>3629850</v>
      </c>
      <c r="F6520" s="91">
        <f>COUNTIF($E$2:$E$7106,E6520)</f>
        <v>9</v>
      </c>
    </row>
    <row r="6521" spans="1:6" x14ac:dyDescent="0.2">
      <c r="A6521">
        <v>2023</v>
      </c>
      <c r="B6521" s="36">
        <v>2614</v>
      </c>
      <c r="C6521" s="90" t="str">
        <f>VLOOKUP(B6521,'All Districts'!$A$3:$B$874,2,FALSE)</f>
        <v>Wantagh</v>
      </c>
      <c r="D6521" s="40">
        <v>3742147</v>
      </c>
      <c r="E6521">
        <f>VLOOKUP(C6521,'All Districts'!$B$3:$C$874,2,FALSE)</f>
        <v>3629850</v>
      </c>
      <c r="F6521" s="91">
        <f>COUNTIF($E$2:$E$7106,E6521)</f>
        <v>9</v>
      </c>
    </row>
    <row r="6522" spans="1:6" x14ac:dyDescent="0.2">
      <c r="A6522">
        <v>2015</v>
      </c>
      <c r="B6522" s="13">
        <v>2615</v>
      </c>
      <c r="C6522" s="90" t="str">
        <f>VLOOKUP(B6522,'All Districts'!$A$3:$B$874,2,FALSE)</f>
        <v>Wappingers</v>
      </c>
      <c r="D6522" s="14">
        <v>14937467</v>
      </c>
      <c r="E6522">
        <f>VLOOKUP(C6522,'All Districts'!$B$3:$C$874,2,FALSE)</f>
        <v>3629880</v>
      </c>
      <c r="F6522" s="91">
        <f>COUNTIF($E$2:$E$7106,E6522)</f>
        <v>9</v>
      </c>
    </row>
    <row r="6523" spans="1:6" x14ac:dyDescent="0.2">
      <c r="A6523">
        <v>2016</v>
      </c>
      <c r="B6523" s="13">
        <v>2615</v>
      </c>
      <c r="C6523" s="90" t="str">
        <f>VLOOKUP(B6523,'All Districts'!$A$3:$B$874,2,FALSE)</f>
        <v>Wappingers</v>
      </c>
      <c r="D6523" s="16">
        <v>11664616</v>
      </c>
      <c r="E6523">
        <f>VLOOKUP(C6523,'All Districts'!$B$3:$C$874,2,FALSE)</f>
        <v>3629880</v>
      </c>
      <c r="F6523" s="91">
        <f>COUNTIF($E$2:$E$7106,E6523)</f>
        <v>9</v>
      </c>
    </row>
    <row r="6524" spans="1:6" x14ac:dyDescent="0.2">
      <c r="A6524">
        <v>2017</v>
      </c>
      <c r="B6524" s="13">
        <v>2615</v>
      </c>
      <c r="C6524" s="90" t="str">
        <f>VLOOKUP(B6524,'All Districts'!$A$3:$B$874,2,FALSE)</f>
        <v>Wappingers</v>
      </c>
      <c r="D6524" s="16">
        <v>10665723</v>
      </c>
      <c r="E6524">
        <f>VLOOKUP(C6524,'All Districts'!$B$3:$C$874,2,FALSE)</f>
        <v>3629880</v>
      </c>
      <c r="F6524" s="91">
        <f>COUNTIF($E$2:$E$7106,E6524)</f>
        <v>9</v>
      </c>
    </row>
    <row r="6525" spans="1:6" x14ac:dyDescent="0.2">
      <c r="A6525" s="10">
        <v>2018</v>
      </c>
      <c r="B6525" s="13">
        <v>2615</v>
      </c>
      <c r="C6525" s="90" t="str">
        <f>VLOOKUP(B6525,'All Districts'!$A$3:$B$874,2,FALSE)</f>
        <v>Wappingers</v>
      </c>
      <c r="D6525" s="15">
        <v>9219067</v>
      </c>
      <c r="E6525">
        <f>VLOOKUP(C6525,'All Districts'!$B$3:$C$874,2,FALSE)</f>
        <v>3629880</v>
      </c>
      <c r="F6525" s="91">
        <f>COUNTIF($E$2:$E$7106,E6525)</f>
        <v>9</v>
      </c>
    </row>
    <row r="6526" spans="1:6" x14ac:dyDescent="0.2">
      <c r="A6526">
        <v>2019</v>
      </c>
      <c r="B6526" s="36">
        <v>2615</v>
      </c>
      <c r="C6526" s="90" t="str">
        <f>VLOOKUP(B6526,'All Districts'!$A$3:$B$874,2,FALSE)</f>
        <v>Wappingers</v>
      </c>
      <c r="D6526" s="40">
        <v>10357181</v>
      </c>
      <c r="E6526">
        <f>VLOOKUP(C6526,'All Districts'!$B$3:$C$874,2,FALSE)</f>
        <v>3629880</v>
      </c>
      <c r="F6526" s="91">
        <f>COUNTIF($E$2:$E$7106,E6526)</f>
        <v>9</v>
      </c>
    </row>
    <row r="6527" spans="1:6" x14ac:dyDescent="0.2">
      <c r="A6527">
        <v>2020</v>
      </c>
      <c r="B6527" s="36">
        <v>2615</v>
      </c>
      <c r="C6527" s="90" t="str">
        <f>VLOOKUP(B6527,'All Districts'!$A$3:$B$874,2,FALSE)</f>
        <v>Wappingers</v>
      </c>
      <c r="D6527" s="40">
        <v>8818647</v>
      </c>
      <c r="E6527">
        <f>VLOOKUP(C6527,'All Districts'!$B$3:$C$874,2,FALSE)</f>
        <v>3629880</v>
      </c>
      <c r="F6527" s="91">
        <f>COUNTIF($E$2:$E$7106,E6527)</f>
        <v>9</v>
      </c>
    </row>
    <row r="6528" spans="1:6" x14ac:dyDescent="0.2">
      <c r="A6528" s="10">
        <v>2021</v>
      </c>
      <c r="B6528" s="52">
        <v>2615</v>
      </c>
      <c r="C6528" s="90" t="str">
        <f>VLOOKUP(B6528,'All Districts'!$A$3:$B$874,2,FALSE)</f>
        <v>Wappingers</v>
      </c>
      <c r="D6528" s="75">
        <v>9531241</v>
      </c>
      <c r="E6528">
        <f>VLOOKUP(C6528,'All Districts'!$B$3:$C$874,2,FALSE)</f>
        <v>3629880</v>
      </c>
      <c r="F6528" s="91">
        <f>COUNTIF($E$2:$E$7106,E6528)</f>
        <v>9</v>
      </c>
    </row>
    <row r="6529" spans="1:6" x14ac:dyDescent="0.2">
      <c r="A6529">
        <v>2022</v>
      </c>
      <c r="B6529" s="36">
        <v>2615</v>
      </c>
      <c r="C6529" s="90" t="str">
        <f>VLOOKUP(B6529,'All Districts'!$A$3:$B$874,2,FALSE)</f>
        <v>Wappingers</v>
      </c>
      <c r="D6529" s="82">
        <v>10259136</v>
      </c>
      <c r="E6529">
        <f>VLOOKUP(C6529,'All Districts'!$B$3:$C$874,2,FALSE)</f>
        <v>3629880</v>
      </c>
      <c r="F6529" s="91">
        <f>COUNTIF($E$2:$E$7106,E6529)</f>
        <v>9</v>
      </c>
    </row>
    <row r="6530" spans="1:6" x14ac:dyDescent="0.2">
      <c r="A6530">
        <v>2023</v>
      </c>
      <c r="B6530" s="36">
        <v>2615</v>
      </c>
      <c r="C6530" s="90" t="str">
        <f>VLOOKUP(B6530,'All Districts'!$A$3:$B$874,2,FALSE)</f>
        <v>Wappingers</v>
      </c>
      <c r="D6530" s="40">
        <v>11330383</v>
      </c>
      <c r="E6530">
        <f>VLOOKUP(C6530,'All Districts'!$B$3:$C$874,2,FALSE)</f>
        <v>3629880</v>
      </c>
      <c r="F6530" s="91">
        <f>COUNTIF($E$2:$E$7106,E6530)</f>
        <v>9</v>
      </c>
    </row>
    <row r="6531" spans="1:6" x14ac:dyDescent="0.2">
      <c r="A6531">
        <v>2015</v>
      </c>
      <c r="B6531" s="13">
        <v>5692</v>
      </c>
      <c r="C6531" s="90" t="str">
        <f>VLOOKUP(B6531,'All Districts'!$A$3:$B$874,2,FALSE)</f>
        <v>Warrensburg</v>
      </c>
      <c r="D6531" s="15">
        <v>1115457</v>
      </c>
      <c r="E6531">
        <f>VLOOKUP(C6531,'All Districts'!$B$3:$C$874,2,FALSE)</f>
        <v>3629910</v>
      </c>
      <c r="F6531" s="91">
        <f>COUNTIF($E$2:$E$7106,E6531)</f>
        <v>9</v>
      </c>
    </row>
    <row r="6532" spans="1:6" x14ac:dyDescent="0.2">
      <c r="A6532">
        <v>2016</v>
      </c>
      <c r="B6532" s="13">
        <v>5692</v>
      </c>
      <c r="C6532" s="90" t="str">
        <f>VLOOKUP(B6532,'All Districts'!$A$3:$B$874,2,FALSE)</f>
        <v>Warrensburg</v>
      </c>
      <c r="D6532" s="16">
        <v>852988</v>
      </c>
      <c r="E6532">
        <f>VLOOKUP(C6532,'All Districts'!$B$3:$C$874,2,FALSE)</f>
        <v>3629910</v>
      </c>
      <c r="F6532" s="91">
        <f>COUNTIF($E$2:$E$7106,E6532)</f>
        <v>9</v>
      </c>
    </row>
    <row r="6533" spans="1:6" x14ac:dyDescent="0.2">
      <c r="A6533">
        <v>2017</v>
      </c>
      <c r="B6533" s="13">
        <v>5692</v>
      </c>
      <c r="C6533" s="90" t="str">
        <f>VLOOKUP(B6533,'All Districts'!$A$3:$B$874,2,FALSE)</f>
        <v>Warrensburg</v>
      </c>
      <c r="D6533" s="16">
        <v>762377</v>
      </c>
      <c r="E6533">
        <f>VLOOKUP(C6533,'All Districts'!$B$3:$C$874,2,FALSE)</f>
        <v>3629910</v>
      </c>
      <c r="F6533" s="91">
        <f>COUNTIF($E$2:$E$7106,E6533)</f>
        <v>9</v>
      </c>
    </row>
    <row r="6534" spans="1:6" x14ac:dyDescent="0.2">
      <c r="A6534" s="10">
        <v>2018</v>
      </c>
      <c r="B6534" s="13">
        <v>5692</v>
      </c>
      <c r="C6534" s="90" t="str">
        <f>VLOOKUP(B6534,'All Districts'!$A$3:$B$874,2,FALSE)</f>
        <v>Warrensburg</v>
      </c>
      <c r="D6534" s="15">
        <v>661647</v>
      </c>
      <c r="E6534">
        <f>VLOOKUP(C6534,'All Districts'!$B$3:$C$874,2,FALSE)</f>
        <v>3629910</v>
      </c>
      <c r="F6534" s="91">
        <f>COUNTIF($E$2:$E$7106,E6534)</f>
        <v>9</v>
      </c>
    </row>
    <row r="6535" spans="1:6" x14ac:dyDescent="0.2">
      <c r="A6535">
        <v>2019</v>
      </c>
      <c r="B6535" s="36">
        <v>5692</v>
      </c>
      <c r="C6535" s="90" t="str">
        <f>VLOOKUP(B6535,'All Districts'!$A$3:$B$874,2,FALSE)</f>
        <v>Warrensburg</v>
      </c>
      <c r="D6535" s="40">
        <v>737267</v>
      </c>
      <c r="E6535">
        <f>VLOOKUP(C6535,'All Districts'!$B$3:$C$874,2,FALSE)</f>
        <v>3629910</v>
      </c>
      <c r="F6535" s="91">
        <f>COUNTIF($E$2:$E$7106,E6535)</f>
        <v>9</v>
      </c>
    </row>
    <row r="6536" spans="1:6" x14ac:dyDescent="0.2">
      <c r="A6536">
        <v>2020</v>
      </c>
      <c r="B6536" s="36">
        <v>5692</v>
      </c>
      <c r="C6536" s="90" t="str">
        <f>VLOOKUP(B6536,'All Districts'!$A$3:$B$874,2,FALSE)</f>
        <v>Warrensburg</v>
      </c>
      <c r="D6536" s="40">
        <v>623749</v>
      </c>
      <c r="E6536">
        <f>VLOOKUP(C6536,'All Districts'!$B$3:$C$874,2,FALSE)</f>
        <v>3629910</v>
      </c>
      <c r="F6536" s="91">
        <f>COUNTIF($E$2:$E$7106,E6536)</f>
        <v>9</v>
      </c>
    </row>
    <row r="6537" spans="1:6" x14ac:dyDescent="0.2">
      <c r="A6537" s="10">
        <v>2021</v>
      </c>
      <c r="B6537" s="55">
        <v>5692</v>
      </c>
      <c r="C6537" s="90" t="str">
        <f>VLOOKUP(B6537,'All Districts'!$A$3:$B$874,2,FALSE)</f>
        <v>Warrensburg</v>
      </c>
      <c r="D6537" s="75">
        <v>678189</v>
      </c>
      <c r="E6537">
        <f>VLOOKUP(C6537,'All Districts'!$B$3:$C$874,2,FALSE)</f>
        <v>3629910</v>
      </c>
      <c r="F6537" s="91">
        <f>COUNTIF($E$2:$E$7106,E6537)</f>
        <v>9</v>
      </c>
    </row>
    <row r="6538" spans="1:6" x14ac:dyDescent="0.2">
      <c r="A6538">
        <v>2022</v>
      </c>
      <c r="B6538" s="36">
        <v>5692</v>
      </c>
      <c r="C6538" s="90" t="str">
        <f>VLOOKUP(B6538,'All Districts'!$A$3:$B$874,2,FALSE)</f>
        <v>Warrensburg</v>
      </c>
      <c r="D6538" s="82">
        <v>726023</v>
      </c>
      <c r="E6538">
        <f>VLOOKUP(C6538,'All Districts'!$B$3:$C$874,2,FALSE)</f>
        <v>3629910</v>
      </c>
      <c r="F6538" s="91">
        <f>COUNTIF($E$2:$E$7106,E6538)</f>
        <v>9</v>
      </c>
    </row>
    <row r="6539" spans="1:6" x14ac:dyDescent="0.2">
      <c r="A6539">
        <v>2023</v>
      </c>
      <c r="B6539" s="36">
        <v>5692</v>
      </c>
      <c r="C6539" s="90" t="str">
        <f>VLOOKUP(B6539,'All Districts'!$A$3:$B$874,2,FALSE)</f>
        <v>Warrensburg</v>
      </c>
      <c r="D6539" s="40">
        <v>755321</v>
      </c>
      <c r="E6539">
        <f>VLOOKUP(C6539,'All Districts'!$B$3:$C$874,2,FALSE)</f>
        <v>3629910</v>
      </c>
      <c r="F6539" s="91">
        <f>COUNTIF($E$2:$E$7106,E6539)</f>
        <v>9</v>
      </c>
    </row>
    <row r="6540" spans="1:6" x14ac:dyDescent="0.2">
      <c r="A6540">
        <v>2015</v>
      </c>
      <c r="B6540" s="13">
        <v>4184</v>
      </c>
      <c r="C6540" s="90" t="str">
        <f>VLOOKUP(B6540,'All Districts'!$A$3:$B$874,2,FALSE)</f>
        <v>Warsaw</v>
      </c>
      <c r="D6540" s="14">
        <v>1049651</v>
      </c>
      <c r="E6540">
        <f>VLOOKUP(C6540,'All Districts'!$B$3:$C$874,2,FALSE)</f>
        <v>3629940</v>
      </c>
      <c r="F6540" s="91">
        <f>COUNTIF($E$2:$E$7106,E6540)</f>
        <v>9</v>
      </c>
    </row>
    <row r="6541" spans="1:6" x14ac:dyDescent="0.2">
      <c r="A6541">
        <v>2016</v>
      </c>
      <c r="B6541" s="13">
        <v>4184</v>
      </c>
      <c r="C6541" s="90" t="str">
        <f>VLOOKUP(B6541,'All Districts'!$A$3:$B$874,2,FALSE)</f>
        <v>Warsaw</v>
      </c>
      <c r="D6541" s="16">
        <v>829129</v>
      </c>
      <c r="E6541">
        <f>VLOOKUP(C6541,'All Districts'!$B$3:$C$874,2,FALSE)</f>
        <v>3629940</v>
      </c>
      <c r="F6541" s="91">
        <f>COUNTIF($E$2:$E$7106,E6541)</f>
        <v>9</v>
      </c>
    </row>
    <row r="6542" spans="1:6" x14ac:dyDescent="0.2">
      <c r="A6542">
        <v>2017</v>
      </c>
      <c r="B6542" s="13">
        <v>4184</v>
      </c>
      <c r="C6542" s="90" t="str">
        <f>VLOOKUP(B6542,'All Districts'!$A$3:$B$874,2,FALSE)</f>
        <v>Warsaw</v>
      </c>
      <c r="D6542" s="16">
        <v>760120</v>
      </c>
      <c r="E6542">
        <f>VLOOKUP(C6542,'All Districts'!$B$3:$C$874,2,FALSE)</f>
        <v>3629940</v>
      </c>
      <c r="F6542" s="91">
        <f>COUNTIF($E$2:$E$7106,E6542)</f>
        <v>9</v>
      </c>
    </row>
    <row r="6543" spans="1:6" x14ac:dyDescent="0.2">
      <c r="A6543" s="10">
        <v>2018</v>
      </c>
      <c r="B6543" s="13">
        <v>4184</v>
      </c>
      <c r="C6543" s="90" t="str">
        <f>VLOOKUP(B6543,'All Districts'!$A$3:$B$874,2,FALSE)</f>
        <v>Warsaw</v>
      </c>
      <c r="D6543" s="15">
        <v>630076</v>
      </c>
      <c r="E6543">
        <f>VLOOKUP(C6543,'All Districts'!$B$3:$C$874,2,FALSE)</f>
        <v>3629940</v>
      </c>
      <c r="F6543" s="91">
        <f>COUNTIF($E$2:$E$7106,E6543)</f>
        <v>9</v>
      </c>
    </row>
    <row r="6544" spans="1:6" x14ac:dyDescent="0.2">
      <c r="A6544">
        <v>2019</v>
      </c>
      <c r="B6544" s="36">
        <v>4184</v>
      </c>
      <c r="C6544" s="90" t="str">
        <f>VLOOKUP(B6544,'All Districts'!$A$3:$B$874,2,FALSE)</f>
        <v>Warsaw</v>
      </c>
      <c r="D6544" s="40">
        <v>727161</v>
      </c>
      <c r="E6544">
        <f>VLOOKUP(C6544,'All Districts'!$B$3:$C$874,2,FALSE)</f>
        <v>3629940</v>
      </c>
      <c r="F6544" s="91">
        <f>COUNTIF($E$2:$E$7106,E6544)</f>
        <v>9</v>
      </c>
    </row>
    <row r="6545" spans="1:6" x14ac:dyDescent="0.2">
      <c r="A6545">
        <v>2020</v>
      </c>
      <c r="B6545" s="36">
        <v>4184</v>
      </c>
      <c r="C6545" s="90" t="str">
        <f>VLOOKUP(B6545,'All Districts'!$A$3:$B$874,2,FALSE)</f>
        <v>Warsaw</v>
      </c>
      <c r="D6545" s="40">
        <v>617304</v>
      </c>
      <c r="E6545">
        <f>VLOOKUP(C6545,'All Districts'!$B$3:$C$874,2,FALSE)</f>
        <v>3629940</v>
      </c>
      <c r="F6545" s="91">
        <f>COUNTIF($E$2:$E$7106,E6545)</f>
        <v>9</v>
      </c>
    </row>
    <row r="6546" spans="1:6" x14ac:dyDescent="0.2">
      <c r="A6546" s="10">
        <v>2021</v>
      </c>
      <c r="B6546" s="52">
        <v>4184</v>
      </c>
      <c r="C6546" s="90" t="str">
        <f>VLOOKUP(B6546,'All Districts'!$A$3:$B$874,2,FALSE)</f>
        <v>Warsaw</v>
      </c>
      <c r="D6546" s="75">
        <v>655751</v>
      </c>
      <c r="E6546">
        <f>VLOOKUP(C6546,'All Districts'!$B$3:$C$874,2,FALSE)</f>
        <v>3629940</v>
      </c>
      <c r="F6546" s="91">
        <f>COUNTIF($E$2:$E$7106,E6546)</f>
        <v>9</v>
      </c>
    </row>
    <row r="6547" spans="1:6" x14ac:dyDescent="0.2">
      <c r="A6547">
        <v>2022</v>
      </c>
      <c r="B6547" s="36">
        <v>4184</v>
      </c>
      <c r="C6547" s="90" t="str">
        <f>VLOOKUP(B6547,'All Districts'!$A$3:$B$874,2,FALSE)</f>
        <v>Warsaw</v>
      </c>
      <c r="D6547" s="82">
        <v>693802</v>
      </c>
      <c r="E6547">
        <f>VLOOKUP(C6547,'All Districts'!$B$3:$C$874,2,FALSE)</f>
        <v>3629940</v>
      </c>
      <c r="F6547" s="91">
        <f>COUNTIF($E$2:$E$7106,E6547)</f>
        <v>9</v>
      </c>
    </row>
    <row r="6548" spans="1:6" x14ac:dyDescent="0.2">
      <c r="A6548">
        <v>2023</v>
      </c>
      <c r="B6548" s="36">
        <v>4184</v>
      </c>
      <c r="C6548" s="90" t="str">
        <f>VLOOKUP(B6548,'All Districts'!$A$3:$B$874,2,FALSE)</f>
        <v>Warsaw</v>
      </c>
      <c r="D6548" s="40">
        <v>777711</v>
      </c>
      <c r="E6548">
        <f>VLOOKUP(C6548,'All Districts'!$B$3:$C$874,2,FALSE)</f>
        <v>3629940</v>
      </c>
      <c r="F6548" s="91">
        <f>COUNTIF($E$2:$E$7106,E6548)</f>
        <v>9</v>
      </c>
    </row>
    <row r="6549" spans="1:6" x14ac:dyDescent="0.2">
      <c r="A6549">
        <v>2015</v>
      </c>
      <c r="B6549" s="13">
        <v>2616</v>
      </c>
      <c r="C6549" s="90" t="str">
        <f>VLOOKUP(B6549,'All Districts'!$A$3:$B$874,2,FALSE)</f>
        <v>Warwick Valley</v>
      </c>
      <c r="D6549" s="14">
        <v>5447319</v>
      </c>
      <c r="E6549">
        <f>VLOOKUP(C6549,'All Districts'!$B$3:$C$874,2,FALSE)</f>
        <v>3629970</v>
      </c>
      <c r="F6549" s="91">
        <f>COUNTIF($E$2:$E$7106,E6549)</f>
        <v>9</v>
      </c>
    </row>
    <row r="6550" spans="1:6" x14ac:dyDescent="0.2">
      <c r="A6550">
        <v>2016</v>
      </c>
      <c r="B6550" s="13">
        <v>2616</v>
      </c>
      <c r="C6550" s="90" t="str">
        <f>VLOOKUP(B6550,'All Districts'!$A$3:$B$874,2,FALSE)</f>
        <v>Warwick Valley</v>
      </c>
      <c r="D6550" s="16">
        <v>4238480</v>
      </c>
      <c r="E6550">
        <f>VLOOKUP(C6550,'All Districts'!$B$3:$C$874,2,FALSE)</f>
        <v>3629970</v>
      </c>
      <c r="F6550" s="91">
        <f>COUNTIF($E$2:$E$7106,E6550)</f>
        <v>9</v>
      </c>
    </row>
    <row r="6551" spans="1:6" x14ac:dyDescent="0.2">
      <c r="A6551">
        <v>2017</v>
      </c>
      <c r="B6551" s="13">
        <v>2616</v>
      </c>
      <c r="C6551" s="90" t="str">
        <f>VLOOKUP(B6551,'All Districts'!$A$3:$B$874,2,FALSE)</f>
        <v>Warwick Valley</v>
      </c>
      <c r="D6551" s="16">
        <v>3778788</v>
      </c>
      <c r="E6551">
        <f>VLOOKUP(C6551,'All Districts'!$B$3:$C$874,2,FALSE)</f>
        <v>3629970</v>
      </c>
      <c r="F6551" s="91">
        <f>COUNTIF($E$2:$E$7106,E6551)</f>
        <v>9</v>
      </c>
    </row>
    <row r="6552" spans="1:6" x14ac:dyDescent="0.2">
      <c r="A6552" s="10">
        <v>2018</v>
      </c>
      <c r="B6552" s="13">
        <v>2616</v>
      </c>
      <c r="C6552" s="90" t="str">
        <f>VLOOKUP(B6552,'All Districts'!$A$3:$B$874,2,FALSE)</f>
        <v>Warwick Valley</v>
      </c>
      <c r="D6552" s="15">
        <v>3210079</v>
      </c>
      <c r="E6552">
        <f>VLOOKUP(C6552,'All Districts'!$B$3:$C$874,2,FALSE)</f>
        <v>3629970</v>
      </c>
      <c r="F6552" s="91">
        <f>COUNTIF($E$2:$E$7106,E6552)</f>
        <v>9</v>
      </c>
    </row>
    <row r="6553" spans="1:6" x14ac:dyDescent="0.2">
      <c r="A6553">
        <v>2019</v>
      </c>
      <c r="B6553" s="36">
        <v>2616</v>
      </c>
      <c r="C6553" s="90" t="str">
        <f>VLOOKUP(B6553,'All Districts'!$A$3:$B$874,2,FALSE)</f>
        <v>Warwick Valley</v>
      </c>
      <c r="D6553" s="40">
        <v>3496461</v>
      </c>
      <c r="E6553">
        <f>VLOOKUP(C6553,'All Districts'!$B$3:$C$874,2,FALSE)</f>
        <v>3629970</v>
      </c>
      <c r="F6553" s="91">
        <f>COUNTIF($E$2:$E$7106,E6553)</f>
        <v>9</v>
      </c>
    </row>
    <row r="6554" spans="1:6" x14ac:dyDescent="0.2">
      <c r="A6554">
        <v>2020</v>
      </c>
      <c r="B6554" s="36">
        <v>2616</v>
      </c>
      <c r="C6554" s="90" t="str">
        <f>VLOOKUP(B6554,'All Districts'!$A$3:$B$874,2,FALSE)</f>
        <v>Warwick Valley</v>
      </c>
      <c r="D6554" s="40">
        <v>2944335</v>
      </c>
      <c r="E6554">
        <f>VLOOKUP(C6554,'All Districts'!$B$3:$C$874,2,FALSE)</f>
        <v>3629970</v>
      </c>
      <c r="F6554" s="91">
        <f>COUNTIF($E$2:$E$7106,E6554)</f>
        <v>9</v>
      </c>
    </row>
    <row r="6555" spans="1:6" x14ac:dyDescent="0.2">
      <c r="A6555" s="10">
        <v>2021</v>
      </c>
      <c r="B6555" s="55">
        <v>2616</v>
      </c>
      <c r="C6555" s="90" t="str">
        <f>VLOOKUP(B6555,'All Districts'!$A$3:$B$874,2,FALSE)</f>
        <v>Warwick Valley</v>
      </c>
      <c r="D6555" s="75">
        <v>3150036</v>
      </c>
      <c r="E6555">
        <f>VLOOKUP(C6555,'All Districts'!$B$3:$C$874,2,FALSE)</f>
        <v>3629970</v>
      </c>
      <c r="F6555" s="91">
        <f>COUNTIF($E$2:$E$7106,E6555)</f>
        <v>9</v>
      </c>
    </row>
    <row r="6556" spans="1:6" x14ac:dyDescent="0.2">
      <c r="A6556">
        <v>2022</v>
      </c>
      <c r="B6556" s="36">
        <v>2616</v>
      </c>
      <c r="C6556" s="90" t="str">
        <f>VLOOKUP(B6556,'All Districts'!$A$3:$B$874,2,FALSE)</f>
        <v>Warwick Valley</v>
      </c>
      <c r="D6556" s="82">
        <v>3510021</v>
      </c>
      <c r="E6556">
        <f>VLOOKUP(C6556,'All Districts'!$B$3:$C$874,2,FALSE)</f>
        <v>3629970</v>
      </c>
      <c r="F6556" s="91">
        <f>COUNTIF($E$2:$E$7106,E6556)</f>
        <v>9</v>
      </c>
    </row>
    <row r="6557" spans="1:6" x14ac:dyDescent="0.2">
      <c r="A6557">
        <v>2023</v>
      </c>
      <c r="B6557" s="36">
        <v>2616</v>
      </c>
      <c r="C6557" s="90" t="str">
        <f>VLOOKUP(B6557,'All Districts'!$A$3:$B$874,2,FALSE)</f>
        <v>Warwick Valley</v>
      </c>
      <c r="D6557" s="40">
        <v>3784101</v>
      </c>
      <c r="E6557">
        <f>VLOOKUP(C6557,'All Districts'!$B$3:$C$874,2,FALSE)</f>
        <v>3629970</v>
      </c>
      <c r="F6557" s="91">
        <f>COUNTIF($E$2:$E$7106,E6557)</f>
        <v>9</v>
      </c>
    </row>
    <row r="6558" spans="1:6" x14ac:dyDescent="0.2">
      <c r="A6558">
        <v>2015</v>
      </c>
      <c r="B6558" s="13">
        <v>6104</v>
      </c>
      <c r="C6558" s="90" t="str">
        <f>VLOOKUP(B6558,'All Districts'!$A$3:$B$874,2,FALSE)</f>
        <v>Washington-Saratoga-Warren-Hamilton-Essex (WSWHE)</v>
      </c>
      <c r="D6558" s="15">
        <v>2872492</v>
      </c>
      <c r="E6558">
        <f>VLOOKUP(C6558,'All Districts'!$B$3:$C$874,2,FALSE)</f>
        <v>3680940</v>
      </c>
      <c r="F6558" s="91">
        <f>COUNTIF($E$2:$E$7106,E6558)</f>
        <v>9</v>
      </c>
    </row>
    <row r="6559" spans="1:6" x14ac:dyDescent="0.2">
      <c r="A6559">
        <v>2016</v>
      </c>
      <c r="B6559" s="13">
        <v>6104</v>
      </c>
      <c r="C6559" s="90" t="str">
        <f>VLOOKUP(B6559,'All Districts'!$A$3:$B$874,2,FALSE)</f>
        <v>Washington-Saratoga-Warren-Hamilton-Essex (WSWHE)</v>
      </c>
      <c r="D6559" s="16">
        <v>2272706</v>
      </c>
      <c r="E6559">
        <f>VLOOKUP(C6559,'All Districts'!$B$3:$C$874,2,FALSE)</f>
        <v>3680940</v>
      </c>
      <c r="F6559" s="91">
        <f>COUNTIF($E$2:$E$7106,E6559)</f>
        <v>9</v>
      </c>
    </row>
    <row r="6560" spans="1:6" x14ac:dyDescent="0.2">
      <c r="A6560">
        <v>2017</v>
      </c>
      <c r="B6560" s="13">
        <v>6104</v>
      </c>
      <c r="C6560" s="90" t="str">
        <f>VLOOKUP(B6560,'All Districts'!$A$3:$B$874,2,FALSE)</f>
        <v>Washington-Saratoga-Warren-Hamilton-Essex (WSWHE)</v>
      </c>
      <c r="D6560" s="16">
        <v>2015967</v>
      </c>
      <c r="E6560">
        <f>VLOOKUP(C6560,'All Districts'!$B$3:$C$874,2,FALSE)</f>
        <v>3680940</v>
      </c>
      <c r="F6560" s="91">
        <f>COUNTIF($E$2:$E$7106,E6560)</f>
        <v>9</v>
      </c>
    </row>
    <row r="6561" spans="1:6" x14ac:dyDescent="0.2">
      <c r="A6561" s="10">
        <v>2018</v>
      </c>
      <c r="B6561" s="13">
        <v>6104</v>
      </c>
      <c r="C6561" s="90" t="str">
        <f>VLOOKUP(B6561,'All Districts'!$A$3:$B$874,2,FALSE)</f>
        <v>Washington-Saratoga-Warren-Hamilton-Essex (WSWHE)</v>
      </c>
      <c r="D6561" s="15">
        <v>1777293</v>
      </c>
      <c r="E6561">
        <f>VLOOKUP(C6561,'All Districts'!$B$3:$C$874,2,FALSE)</f>
        <v>3680940</v>
      </c>
      <c r="F6561" s="91">
        <f>COUNTIF($E$2:$E$7106,E6561)</f>
        <v>9</v>
      </c>
    </row>
    <row r="6562" spans="1:6" x14ac:dyDescent="0.2">
      <c r="A6562">
        <v>2019</v>
      </c>
      <c r="B6562" s="36">
        <v>6104</v>
      </c>
      <c r="C6562" s="90" t="str">
        <f>VLOOKUP(B6562,'All Districts'!$A$3:$B$874,2,FALSE)</f>
        <v>Washington-Saratoga-Warren-Hamilton-Essex (WSWHE)</v>
      </c>
      <c r="D6562" s="40">
        <v>1973567</v>
      </c>
      <c r="E6562">
        <f>VLOOKUP(C6562,'All Districts'!$B$3:$C$874,2,FALSE)</f>
        <v>3680940</v>
      </c>
      <c r="F6562" s="91">
        <f>COUNTIF($E$2:$E$7106,E6562)</f>
        <v>9</v>
      </c>
    </row>
    <row r="6563" spans="1:6" x14ac:dyDescent="0.2">
      <c r="A6563">
        <v>2020</v>
      </c>
      <c r="B6563" s="36">
        <v>6104</v>
      </c>
      <c r="C6563" s="90" t="str">
        <f>VLOOKUP(B6563,'All Districts'!$A$3:$B$874,2,FALSE)</f>
        <v>Washington-Saratoga-Warren-Hamilton-Essex (WSWHE)</v>
      </c>
      <c r="D6563" s="40">
        <v>1607687</v>
      </c>
      <c r="E6563">
        <f>VLOOKUP(C6563,'All Districts'!$B$3:$C$874,2,FALSE)</f>
        <v>3680940</v>
      </c>
      <c r="F6563" s="91">
        <f>COUNTIF($E$2:$E$7106,E6563)</f>
        <v>9</v>
      </c>
    </row>
    <row r="6564" spans="1:6" x14ac:dyDescent="0.2">
      <c r="A6564" s="10">
        <v>2021</v>
      </c>
      <c r="B6564" s="55">
        <v>6104</v>
      </c>
      <c r="C6564" s="90" t="str">
        <f>VLOOKUP(B6564,'All Districts'!$A$3:$B$874,2,FALSE)</f>
        <v>Washington-Saratoga-Warren-Hamilton-Essex (WSWHE)</v>
      </c>
      <c r="D6564" s="76">
        <v>1663996</v>
      </c>
      <c r="E6564">
        <f>VLOOKUP(C6564,'All Districts'!$B$3:$C$874,2,FALSE)</f>
        <v>3680940</v>
      </c>
      <c r="F6564" s="91">
        <f>COUNTIF($E$2:$E$7106,E6564)</f>
        <v>9</v>
      </c>
    </row>
    <row r="6565" spans="1:6" x14ac:dyDescent="0.2">
      <c r="A6565">
        <v>2022</v>
      </c>
      <c r="B6565" s="36">
        <v>6104</v>
      </c>
      <c r="C6565" s="90" t="str">
        <f>VLOOKUP(B6565,'All Districts'!$A$3:$B$874,2,FALSE)</f>
        <v>Washington-Saratoga-Warren-Hamilton-Essex (WSWHE)</v>
      </c>
      <c r="D6565" s="82">
        <v>1642888</v>
      </c>
      <c r="E6565">
        <f>VLOOKUP(C6565,'All Districts'!$B$3:$C$874,2,FALSE)</f>
        <v>3680940</v>
      </c>
      <c r="F6565" s="91">
        <f>COUNTIF($E$2:$E$7106,E6565)</f>
        <v>9</v>
      </c>
    </row>
    <row r="6566" spans="1:6" x14ac:dyDescent="0.2">
      <c r="A6566">
        <v>2023</v>
      </c>
      <c r="B6566" s="36">
        <v>6104</v>
      </c>
      <c r="C6566" s="90" t="str">
        <f>VLOOKUP(B6566,'All Districts'!$A$3:$B$874,2,FALSE)</f>
        <v>Washington-Saratoga-Warren-Hamilton-Essex (WSWHE)</v>
      </c>
      <c r="D6566" s="40">
        <v>1808554</v>
      </c>
      <c r="E6566">
        <f>VLOOKUP(C6566,'All Districts'!$B$3:$C$874,2,FALSE)</f>
        <v>3680940</v>
      </c>
      <c r="F6566" s="91">
        <f>COUNTIF($E$2:$E$7106,E6566)</f>
        <v>9</v>
      </c>
    </row>
    <row r="6567" spans="1:6" x14ac:dyDescent="0.2">
      <c r="A6567">
        <v>2015</v>
      </c>
      <c r="B6567" s="13">
        <v>2617</v>
      </c>
      <c r="C6567" s="90" t="str">
        <f>VLOOKUP(B6567,'All Districts'!$A$3:$B$874,2,FALSE)</f>
        <v>Washingtonville</v>
      </c>
      <c r="D6567" s="14">
        <v>5877957</v>
      </c>
      <c r="E6567">
        <f>VLOOKUP(C6567,'All Districts'!$B$3:$C$874,2,FALSE)</f>
        <v>3630030</v>
      </c>
      <c r="F6567" s="91">
        <f>COUNTIF($E$2:$E$7106,E6567)</f>
        <v>9</v>
      </c>
    </row>
    <row r="6568" spans="1:6" x14ac:dyDescent="0.2">
      <c r="A6568">
        <v>2016</v>
      </c>
      <c r="B6568" s="13">
        <v>2617</v>
      </c>
      <c r="C6568" s="90" t="str">
        <f>VLOOKUP(B6568,'All Districts'!$A$3:$B$874,2,FALSE)</f>
        <v>Washingtonville</v>
      </c>
      <c r="D6568" s="16">
        <v>4507288</v>
      </c>
      <c r="E6568">
        <f>VLOOKUP(C6568,'All Districts'!$B$3:$C$874,2,FALSE)</f>
        <v>3630030</v>
      </c>
      <c r="F6568" s="91">
        <f>COUNTIF($E$2:$E$7106,E6568)</f>
        <v>9</v>
      </c>
    </row>
    <row r="6569" spans="1:6" x14ac:dyDescent="0.2">
      <c r="A6569">
        <v>2017</v>
      </c>
      <c r="B6569" s="13">
        <v>2617</v>
      </c>
      <c r="C6569" s="90" t="str">
        <f>VLOOKUP(B6569,'All Districts'!$A$3:$B$874,2,FALSE)</f>
        <v>Washingtonville</v>
      </c>
      <c r="D6569" s="16">
        <v>4025864</v>
      </c>
      <c r="E6569">
        <f>VLOOKUP(C6569,'All Districts'!$B$3:$C$874,2,FALSE)</f>
        <v>3630030</v>
      </c>
      <c r="F6569" s="91">
        <f>COUNTIF($E$2:$E$7106,E6569)</f>
        <v>9</v>
      </c>
    </row>
    <row r="6570" spans="1:6" x14ac:dyDescent="0.2">
      <c r="A6570" s="10">
        <v>2018</v>
      </c>
      <c r="B6570" s="13">
        <v>2617</v>
      </c>
      <c r="C6570" s="90" t="str">
        <f>VLOOKUP(B6570,'All Districts'!$A$3:$B$874,2,FALSE)</f>
        <v>Washingtonville</v>
      </c>
      <c r="D6570" s="15">
        <v>3347422</v>
      </c>
      <c r="E6570">
        <f>VLOOKUP(C6570,'All Districts'!$B$3:$C$874,2,FALSE)</f>
        <v>3630030</v>
      </c>
      <c r="F6570" s="91">
        <f>COUNTIF($E$2:$E$7106,E6570)</f>
        <v>9</v>
      </c>
    </row>
    <row r="6571" spans="1:6" x14ac:dyDescent="0.2">
      <c r="A6571">
        <v>2019</v>
      </c>
      <c r="B6571" s="36">
        <v>2617</v>
      </c>
      <c r="C6571" s="90" t="str">
        <f>VLOOKUP(B6571,'All Districts'!$A$3:$B$874,2,FALSE)</f>
        <v>Washingtonville</v>
      </c>
      <c r="D6571" s="40">
        <v>3758805</v>
      </c>
      <c r="E6571">
        <f>VLOOKUP(C6571,'All Districts'!$B$3:$C$874,2,FALSE)</f>
        <v>3630030</v>
      </c>
      <c r="F6571" s="91">
        <f>COUNTIF($E$2:$E$7106,E6571)</f>
        <v>9</v>
      </c>
    </row>
    <row r="6572" spans="1:6" x14ac:dyDescent="0.2">
      <c r="A6572">
        <v>2020</v>
      </c>
      <c r="B6572" s="36">
        <v>2617</v>
      </c>
      <c r="C6572" s="90" t="str">
        <f>VLOOKUP(B6572,'All Districts'!$A$3:$B$874,2,FALSE)</f>
        <v>Washingtonville</v>
      </c>
      <c r="D6572" s="40">
        <v>3294241</v>
      </c>
      <c r="E6572">
        <f>VLOOKUP(C6572,'All Districts'!$B$3:$C$874,2,FALSE)</f>
        <v>3630030</v>
      </c>
      <c r="F6572" s="91">
        <f>COUNTIF($E$2:$E$7106,E6572)</f>
        <v>9</v>
      </c>
    </row>
    <row r="6573" spans="1:6" x14ac:dyDescent="0.2">
      <c r="A6573" s="10">
        <v>2021</v>
      </c>
      <c r="B6573" s="55">
        <v>2617</v>
      </c>
      <c r="C6573" s="90" t="str">
        <f>VLOOKUP(B6573,'All Districts'!$A$3:$B$874,2,FALSE)</f>
        <v>Washingtonville</v>
      </c>
      <c r="D6573" s="75">
        <v>3248574</v>
      </c>
      <c r="E6573">
        <f>VLOOKUP(C6573,'All Districts'!$B$3:$C$874,2,FALSE)</f>
        <v>3630030</v>
      </c>
      <c r="F6573" s="91">
        <f>COUNTIF($E$2:$E$7106,E6573)</f>
        <v>9</v>
      </c>
    </row>
    <row r="6574" spans="1:6" x14ac:dyDescent="0.2">
      <c r="A6574">
        <v>2022</v>
      </c>
      <c r="B6574" s="36">
        <v>2617</v>
      </c>
      <c r="C6574" s="90" t="str">
        <f>VLOOKUP(B6574,'All Districts'!$A$3:$B$874,2,FALSE)</f>
        <v>Washingtonville</v>
      </c>
      <c r="D6574" s="82">
        <v>3526290</v>
      </c>
      <c r="E6574">
        <f>VLOOKUP(C6574,'All Districts'!$B$3:$C$874,2,FALSE)</f>
        <v>3630030</v>
      </c>
      <c r="F6574" s="91">
        <f>COUNTIF($E$2:$E$7106,E6574)</f>
        <v>9</v>
      </c>
    </row>
    <row r="6575" spans="1:6" x14ac:dyDescent="0.2">
      <c r="A6575">
        <v>2023</v>
      </c>
      <c r="B6575" s="36">
        <v>2617</v>
      </c>
      <c r="C6575" s="90" t="str">
        <f>VLOOKUP(B6575,'All Districts'!$A$3:$B$874,2,FALSE)</f>
        <v>Washingtonville</v>
      </c>
      <c r="D6575" s="40">
        <v>3848053</v>
      </c>
      <c r="E6575">
        <f>VLOOKUP(C6575,'All Districts'!$B$3:$C$874,2,FALSE)</f>
        <v>3630030</v>
      </c>
      <c r="F6575" s="91">
        <f>COUNTIF($E$2:$E$7106,E6575)</f>
        <v>9</v>
      </c>
    </row>
    <row r="6576" spans="1:6" x14ac:dyDescent="0.2">
      <c r="A6576">
        <v>2015</v>
      </c>
      <c r="B6576" s="13">
        <v>2620</v>
      </c>
      <c r="C6576" s="90" t="str">
        <f>VLOOKUP(B6576,'All Districts'!$A$3:$B$874,2,FALSE)</f>
        <v>Waterford-Halfmoon</v>
      </c>
      <c r="D6576" s="14">
        <v>1089101</v>
      </c>
      <c r="E6576">
        <f>VLOOKUP(C6576,'All Districts'!$B$3:$C$874,2,FALSE)</f>
        <v>3630060</v>
      </c>
      <c r="F6576" s="91">
        <f>COUNTIF($E$2:$E$7106,E6576)</f>
        <v>9</v>
      </c>
    </row>
    <row r="6577" spans="1:6" x14ac:dyDescent="0.2">
      <c r="A6577">
        <v>2016</v>
      </c>
      <c r="B6577" s="13">
        <v>2620</v>
      </c>
      <c r="C6577" s="90" t="str">
        <f>VLOOKUP(B6577,'All Districts'!$A$3:$B$874,2,FALSE)</f>
        <v>Waterford-Halfmoon</v>
      </c>
      <c r="D6577" s="16">
        <v>846757</v>
      </c>
      <c r="E6577">
        <f>VLOOKUP(C6577,'All Districts'!$B$3:$C$874,2,FALSE)</f>
        <v>3630060</v>
      </c>
      <c r="F6577" s="91">
        <f>COUNTIF($E$2:$E$7106,E6577)</f>
        <v>9</v>
      </c>
    </row>
    <row r="6578" spans="1:6" x14ac:dyDescent="0.2">
      <c r="A6578">
        <v>2017</v>
      </c>
      <c r="B6578" s="13">
        <v>2620</v>
      </c>
      <c r="C6578" s="90" t="str">
        <f>VLOOKUP(B6578,'All Districts'!$A$3:$B$874,2,FALSE)</f>
        <v>Waterford-Halfmoon</v>
      </c>
      <c r="D6578" s="16">
        <v>759438</v>
      </c>
      <c r="E6578">
        <f>VLOOKUP(C6578,'All Districts'!$B$3:$C$874,2,FALSE)</f>
        <v>3630060</v>
      </c>
      <c r="F6578" s="91">
        <f>COUNTIF($E$2:$E$7106,E6578)</f>
        <v>9</v>
      </c>
    </row>
    <row r="6579" spans="1:6" x14ac:dyDescent="0.2">
      <c r="A6579" s="10">
        <v>2018</v>
      </c>
      <c r="B6579" s="13">
        <v>2620</v>
      </c>
      <c r="C6579" s="90" t="str">
        <f>VLOOKUP(B6579,'All Districts'!$A$3:$B$874,2,FALSE)</f>
        <v>Waterford-Halfmoon</v>
      </c>
      <c r="D6579" s="15">
        <v>628783</v>
      </c>
      <c r="E6579">
        <f>VLOOKUP(C6579,'All Districts'!$B$3:$C$874,2,FALSE)</f>
        <v>3630060</v>
      </c>
      <c r="F6579" s="91">
        <f>COUNTIF($E$2:$E$7106,E6579)</f>
        <v>9</v>
      </c>
    </row>
    <row r="6580" spans="1:6" x14ac:dyDescent="0.2">
      <c r="A6580">
        <v>2019</v>
      </c>
      <c r="B6580" s="36">
        <v>2620</v>
      </c>
      <c r="C6580" s="90" t="str">
        <f>VLOOKUP(B6580,'All Districts'!$A$3:$B$874,2,FALSE)</f>
        <v>Waterford-Halfmoon</v>
      </c>
      <c r="D6580" s="40">
        <v>709063</v>
      </c>
      <c r="E6580">
        <f>VLOOKUP(C6580,'All Districts'!$B$3:$C$874,2,FALSE)</f>
        <v>3630060</v>
      </c>
      <c r="F6580" s="91">
        <f>COUNTIF($E$2:$E$7106,E6580)</f>
        <v>9</v>
      </c>
    </row>
    <row r="6581" spans="1:6" x14ac:dyDescent="0.2">
      <c r="A6581">
        <v>2020</v>
      </c>
      <c r="B6581" s="36">
        <v>2620</v>
      </c>
      <c r="C6581" s="90" t="str">
        <f>VLOOKUP(B6581,'All Districts'!$A$3:$B$874,2,FALSE)</f>
        <v>Waterford-Halfmoon</v>
      </c>
      <c r="D6581" s="40">
        <v>615827</v>
      </c>
      <c r="E6581">
        <f>VLOOKUP(C6581,'All Districts'!$B$3:$C$874,2,FALSE)</f>
        <v>3630060</v>
      </c>
      <c r="F6581" s="91">
        <f>COUNTIF($E$2:$E$7106,E6581)</f>
        <v>9</v>
      </c>
    </row>
    <row r="6582" spans="1:6" x14ac:dyDescent="0.2">
      <c r="A6582" s="10">
        <v>2021</v>
      </c>
      <c r="B6582" s="55">
        <v>2620</v>
      </c>
      <c r="C6582" s="90" t="str">
        <f>VLOOKUP(B6582,'All Districts'!$A$3:$B$874,2,FALSE)</f>
        <v>Waterford-Halfmoon</v>
      </c>
      <c r="D6582" s="76">
        <v>647657</v>
      </c>
      <c r="E6582">
        <f>VLOOKUP(C6582,'All Districts'!$B$3:$C$874,2,FALSE)</f>
        <v>3630060</v>
      </c>
      <c r="F6582" s="91">
        <f>COUNTIF($E$2:$E$7106,E6582)</f>
        <v>9</v>
      </c>
    </row>
    <row r="6583" spans="1:6" x14ac:dyDescent="0.2">
      <c r="A6583">
        <v>2022</v>
      </c>
      <c r="B6583" s="36">
        <v>2620</v>
      </c>
      <c r="C6583" s="90" t="str">
        <f>VLOOKUP(B6583,'All Districts'!$A$3:$B$874,2,FALSE)</f>
        <v>Waterford-Halfmoon</v>
      </c>
      <c r="D6583" s="82">
        <v>717416</v>
      </c>
      <c r="E6583">
        <f>VLOOKUP(C6583,'All Districts'!$B$3:$C$874,2,FALSE)</f>
        <v>3630060</v>
      </c>
      <c r="F6583" s="91">
        <f>COUNTIF($E$2:$E$7106,E6583)</f>
        <v>9</v>
      </c>
    </row>
    <row r="6584" spans="1:6" x14ac:dyDescent="0.2">
      <c r="A6584">
        <v>2023</v>
      </c>
      <c r="B6584" s="36">
        <v>2620</v>
      </c>
      <c r="C6584" s="90" t="str">
        <f>VLOOKUP(B6584,'All Districts'!$A$3:$B$874,2,FALSE)</f>
        <v>Waterford-Halfmoon</v>
      </c>
      <c r="D6584" s="40">
        <v>776810</v>
      </c>
      <c r="E6584">
        <f>VLOOKUP(C6584,'All Districts'!$B$3:$C$874,2,FALSE)</f>
        <v>3630060</v>
      </c>
      <c r="F6584" s="91">
        <f>COUNTIF($E$2:$E$7106,E6584)</f>
        <v>9</v>
      </c>
    </row>
    <row r="6585" spans="1:6" x14ac:dyDescent="0.2">
      <c r="A6585">
        <v>2015</v>
      </c>
      <c r="B6585" s="13">
        <v>2625</v>
      </c>
      <c r="C6585" s="90" t="str">
        <f>VLOOKUP(B6585,'All Districts'!$A$3:$B$874,2,FALSE)</f>
        <v>Waterloo</v>
      </c>
      <c r="D6585" s="14">
        <v>1879780</v>
      </c>
      <c r="E6585">
        <f>VLOOKUP(C6585,'All Districts'!$B$3:$C$874,2,FALSE)</f>
        <v>3600014</v>
      </c>
      <c r="F6585" s="91">
        <f>COUNTIF($E$2:$E$7106,E6585)</f>
        <v>9</v>
      </c>
    </row>
    <row r="6586" spans="1:6" x14ac:dyDescent="0.2">
      <c r="A6586">
        <v>2016</v>
      </c>
      <c r="B6586" s="13">
        <v>2625</v>
      </c>
      <c r="C6586" s="90" t="str">
        <f>VLOOKUP(B6586,'All Districts'!$A$3:$B$874,2,FALSE)</f>
        <v>Waterloo</v>
      </c>
      <c r="D6586" s="16">
        <v>1424771</v>
      </c>
      <c r="E6586">
        <f>VLOOKUP(C6586,'All Districts'!$B$3:$C$874,2,FALSE)</f>
        <v>3600014</v>
      </c>
      <c r="F6586" s="91">
        <f>COUNTIF($E$2:$E$7106,E6586)</f>
        <v>9</v>
      </c>
    </row>
    <row r="6587" spans="1:6" x14ac:dyDescent="0.2">
      <c r="A6587">
        <v>2017</v>
      </c>
      <c r="B6587" s="13">
        <v>2625</v>
      </c>
      <c r="C6587" s="90" t="str">
        <f>VLOOKUP(B6587,'All Districts'!$A$3:$B$874,2,FALSE)</f>
        <v>Waterloo</v>
      </c>
      <c r="D6587" s="16">
        <v>1287412</v>
      </c>
      <c r="E6587">
        <f>VLOOKUP(C6587,'All Districts'!$B$3:$C$874,2,FALSE)</f>
        <v>3600014</v>
      </c>
      <c r="F6587" s="91">
        <f>COUNTIF($E$2:$E$7106,E6587)</f>
        <v>9</v>
      </c>
    </row>
    <row r="6588" spans="1:6" x14ac:dyDescent="0.2">
      <c r="A6588" s="10">
        <v>2018</v>
      </c>
      <c r="B6588" s="13">
        <v>2625</v>
      </c>
      <c r="C6588" s="90" t="str">
        <f>VLOOKUP(B6588,'All Districts'!$A$3:$B$874,2,FALSE)</f>
        <v>Waterloo</v>
      </c>
      <c r="D6588" s="15">
        <v>1083017</v>
      </c>
      <c r="E6588">
        <f>VLOOKUP(C6588,'All Districts'!$B$3:$C$874,2,FALSE)</f>
        <v>3600014</v>
      </c>
      <c r="F6588" s="91">
        <f>COUNTIF($E$2:$E$7106,E6588)</f>
        <v>9</v>
      </c>
    </row>
    <row r="6589" spans="1:6" x14ac:dyDescent="0.2">
      <c r="A6589">
        <v>2019</v>
      </c>
      <c r="B6589" s="36">
        <v>2625</v>
      </c>
      <c r="C6589" s="90" t="str">
        <f>VLOOKUP(B6589,'All Districts'!$A$3:$B$874,2,FALSE)</f>
        <v>Waterloo</v>
      </c>
      <c r="D6589" s="40">
        <v>1239471</v>
      </c>
      <c r="E6589">
        <f>VLOOKUP(C6589,'All Districts'!$B$3:$C$874,2,FALSE)</f>
        <v>3600014</v>
      </c>
      <c r="F6589" s="91">
        <f>COUNTIF($E$2:$E$7106,E6589)</f>
        <v>9</v>
      </c>
    </row>
    <row r="6590" spans="1:6" x14ac:dyDescent="0.2">
      <c r="A6590">
        <v>2020</v>
      </c>
      <c r="B6590" s="36">
        <v>2625</v>
      </c>
      <c r="C6590" s="90" t="str">
        <f>VLOOKUP(B6590,'All Districts'!$A$3:$B$874,2,FALSE)</f>
        <v>Waterloo</v>
      </c>
      <c r="D6590" s="40">
        <v>1044710</v>
      </c>
      <c r="E6590">
        <f>VLOOKUP(C6590,'All Districts'!$B$3:$C$874,2,FALSE)</f>
        <v>3600014</v>
      </c>
      <c r="F6590" s="91">
        <f>COUNTIF($E$2:$E$7106,E6590)</f>
        <v>9</v>
      </c>
    </row>
    <row r="6591" spans="1:6" x14ac:dyDescent="0.2">
      <c r="A6591" s="10">
        <v>2021</v>
      </c>
      <c r="B6591" s="55">
        <v>2625</v>
      </c>
      <c r="C6591" s="90" t="str">
        <f>VLOOKUP(B6591,'All Districts'!$A$3:$B$874,2,FALSE)</f>
        <v>Waterloo</v>
      </c>
      <c r="D6591" s="75">
        <v>1166457</v>
      </c>
      <c r="E6591">
        <f>VLOOKUP(C6591,'All Districts'!$B$3:$C$874,2,FALSE)</f>
        <v>3600014</v>
      </c>
      <c r="F6591" s="91">
        <f>COUNTIF($E$2:$E$7106,E6591)</f>
        <v>9</v>
      </c>
    </row>
    <row r="6592" spans="1:6" x14ac:dyDescent="0.2">
      <c r="A6592">
        <v>2022</v>
      </c>
      <c r="B6592" s="36">
        <v>2625</v>
      </c>
      <c r="C6592" s="90" t="str">
        <f>VLOOKUP(B6592,'All Districts'!$A$3:$B$874,2,FALSE)</f>
        <v>Waterloo</v>
      </c>
      <c r="D6592" s="82">
        <v>1307414</v>
      </c>
      <c r="E6592">
        <f>VLOOKUP(C6592,'All Districts'!$B$3:$C$874,2,FALSE)</f>
        <v>3600014</v>
      </c>
      <c r="F6592" s="91">
        <f>COUNTIF($E$2:$E$7106,E6592)</f>
        <v>9</v>
      </c>
    </row>
    <row r="6593" spans="1:6" x14ac:dyDescent="0.2">
      <c r="A6593">
        <v>2023</v>
      </c>
      <c r="B6593" s="36">
        <v>2625</v>
      </c>
      <c r="C6593" s="90" t="str">
        <f>VLOOKUP(B6593,'All Districts'!$A$3:$B$874,2,FALSE)</f>
        <v>Waterloo</v>
      </c>
      <c r="D6593" s="40">
        <v>1396071</v>
      </c>
      <c r="E6593">
        <f>VLOOKUP(C6593,'All Districts'!$B$3:$C$874,2,FALSE)</f>
        <v>3600014</v>
      </c>
      <c r="F6593" s="91">
        <f>COUNTIF($E$2:$E$7106,E6593)</f>
        <v>9</v>
      </c>
    </row>
    <row r="6594" spans="1:6" x14ac:dyDescent="0.2">
      <c r="A6594">
        <v>2015</v>
      </c>
      <c r="B6594" s="13">
        <v>1290</v>
      </c>
      <c r="C6594" s="90" t="str">
        <f>VLOOKUP(B6594,'All Districts'!$A$3:$B$874,2,FALSE)</f>
        <v>Watertown</v>
      </c>
      <c r="D6594" s="14">
        <v>3873186</v>
      </c>
      <c r="E6594">
        <f>VLOOKUP(C6594,'All Districts'!$B$3:$C$874,2,FALSE)</f>
        <v>3630120</v>
      </c>
      <c r="F6594" s="91">
        <f>COUNTIF($E$2:$E$7106,E6594)</f>
        <v>9</v>
      </c>
    </row>
    <row r="6595" spans="1:6" x14ac:dyDescent="0.2">
      <c r="A6595">
        <v>2016</v>
      </c>
      <c r="B6595" s="13">
        <v>1290</v>
      </c>
      <c r="C6595" s="90" t="str">
        <f>VLOOKUP(B6595,'All Districts'!$A$3:$B$874,2,FALSE)</f>
        <v>Watertown</v>
      </c>
      <c r="D6595" s="16">
        <v>2906016</v>
      </c>
      <c r="E6595">
        <f>VLOOKUP(C6595,'All Districts'!$B$3:$C$874,2,FALSE)</f>
        <v>3630120</v>
      </c>
      <c r="F6595" s="91">
        <f>COUNTIF($E$2:$E$7106,E6595)</f>
        <v>9</v>
      </c>
    </row>
    <row r="6596" spans="1:6" x14ac:dyDescent="0.2">
      <c r="A6596">
        <v>2017</v>
      </c>
      <c r="B6596" s="13">
        <v>1290</v>
      </c>
      <c r="C6596" s="90" t="str">
        <f>VLOOKUP(B6596,'All Districts'!$A$3:$B$874,2,FALSE)</f>
        <v>Watertown</v>
      </c>
      <c r="D6596" s="16">
        <v>2714699</v>
      </c>
      <c r="E6596">
        <f>VLOOKUP(C6596,'All Districts'!$B$3:$C$874,2,FALSE)</f>
        <v>3630120</v>
      </c>
      <c r="F6596" s="91">
        <f>COUNTIF($E$2:$E$7106,E6596)</f>
        <v>9</v>
      </c>
    </row>
    <row r="6597" spans="1:6" x14ac:dyDescent="0.2">
      <c r="A6597" s="10">
        <v>2018</v>
      </c>
      <c r="B6597" s="13">
        <v>1290</v>
      </c>
      <c r="C6597" s="90" t="str">
        <f>VLOOKUP(B6597,'All Districts'!$A$3:$B$874,2,FALSE)</f>
        <v>Watertown</v>
      </c>
      <c r="D6597" s="15">
        <v>2339211</v>
      </c>
      <c r="E6597">
        <f>VLOOKUP(C6597,'All Districts'!$B$3:$C$874,2,FALSE)</f>
        <v>3630120</v>
      </c>
      <c r="F6597" s="91">
        <f>COUNTIF($E$2:$E$7106,E6597)</f>
        <v>9</v>
      </c>
    </row>
    <row r="6598" spans="1:6" x14ac:dyDescent="0.2">
      <c r="A6598">
        <v>2019</v>
      </c>
      <c r="B6598" s="36">
        <v>1290</v>
      </c>
      <c r="C6598" s="90" t="str">
        <f>VLOOKUP(B6598,'All Districts'!$A$3:$B$874,2,FALSE)</f>
        <v>Watertown</v>
      </c>
      <c r="D6598" s="40">
        <v>2647516</v>
      </c>
      <c r="E6598">
        <f>VLOOKUP(C6598,'All Districts'!$B$3:$C$874,2,FALSE)</f>
        <v>3630120</v>
      </c>
      <c r="F6598" s="91">
        <f>COUNTIF($E$2:$E$7106,E6598)</f>
        <v>9</v>
      </c>
    </row>
    <row r="6599" spans="1:6" x14ac:dyDescent="0.2">
      <c r="A6599">
        <v>2020</v>
      </c>
      <c r="B6599" s="36">
        <v>1290</v>
      </c>
      <c r="C6599" s="90" t="str">
        <f>VLOOKUP(B6599,'All Districts'!$A$3:$B$874,2,FALSE)</f>
        <v>Watertown</v>
      </c>
      <c r="D6599" s="40">
        <v>2280302</v>
      </c>
      <c r="E6599">
        <f>VLOOKUP(C6599,'All Districts'!$B$3:$C$874,2,FALSE)</f>
        <v>3630120</v>
      </c>
      <c r="F6599" s="91">
        <f>COUNTIF($E$2:$E$7106,E6599)</f>
        <v>9</v>
      </c>
    </row>
    <row r="6600" spans="1:6" x14ac:dyDescent="0.2">
      <c r="A6600" s="10">
        <v>2021</v>
      </c>
      <c r="B6600" s="52">
        <v>1290</v>
      </c>
      <c r="C6600" s="90" t="str">
        <f>VLOOKUP(B6600,'All Districts'!$A$3:$B$874,2,FALSE)</f>
        <v>Watertown</v>
      </c>
      <c r="D6600" s="76">
        <v>2479833</v>
      </c>
      <c r="E6600">
        <f>VLOOKUP(C6600,'All Districts'!$B$3:$C$874,2,FALSE)</f>
        <v>3630120</v>
      </c>
      <c r="F6600" s="91">
        <f>COUNTIF($E$2:$E$7106,E6600)</f>
        <v>9</v>
      </c>
    </row>
    <row r="6601" spans="1:6" x14ac:dyDescent="0.2">
      <c r="A6601">
        <v>2022</v>
      </c>
      <c r="B6601" s="36">
        <v>1290</v>
      </c>
      <c r="C6601" s="90" t="str">
        <f>VLOOKUP(B6601,'All Districts'!$A$3:$B$874,2,FALSE)</f>
        <v>Watertown</v>
      </c>
      <c r="D6601" s="82">
        <v>2655325</v>
      </c>
      <c r="E6601">
        <f>VLOOKUP(C6601,'All Districts'!$B$3:$C$874,2,FALSE)</f>
        <v>3630120</v>
      </c>
      <c r="F6601" s="91">
        <f>COUNTIF($E$2:$E$7106,E6601)</f>
        <v>9</v>
      </c>
    </row>
    <row r="6602" spans="1:6" x14ac:dyDescent="0.2">
      <c r="A6602">
        <v>2023</v>
      </c>
      <c r="B6602" s="36">
        <v>1290</v>
      </c>
      <c r="C6602" s="90" t="str">
        <f>VLOOKUP(B6602,'All Districts'!$A$3:$B$874,2,FALSE)</f>
        <v>Watertown</v>
      </c>
      <c r="D6602" s="40">
        <v>2852109</v>
      </c>
      <c r="E6602">
        <f>VLOOKUP(C6602,'All Districts'!$B$3:$C$874,2,FALSE)</f>
        <v>3630120</v>
      </c>
      <c r="F6602" s="91">
        <f>COUNTIF($E$2:$E$7106,E6602)</f>
        <v>9</v>
      </c>
    </row>
    <row r="6603" spans="1:6" x14ac:dyDescent="0.2">
      <c r="A6603">
        <v>2015</v>
      </c>
      <c r="B6603" s="13">
        <v>4438</v>
      </c>
      <c r="C6603" s="90" t="str">
        <f>VLOOKUP(B6603,'All Districts'!$A$3:$B$874,2,FALSE)</f>
        <v>Waterville</v>
      </c>
      <c r="D6603" s="14">
        <v>839507</v>
      </c>
      <c r="E6603">
        <f>VLOOKUP(C6603,'All Districts'!$B$3:$C$874,2,FALSE)</f>
        <v>3630160</v>
      </c>
      <c r="F6603" s="91">
        <f>COUNTIF($E$2:$E$7106,E6603)</f>
        <v>9</v>
      </c>
    </row>
    <row r="6604" spans="1:6" x14ac:dyDescent="0.2">
      <c r="A6604">
        <v>2016</v>
      </c>
      <c r="B6604" s="13">
        <v>4438</v>
      </c>
      <c r="C6604" s="90" t="str">
        <f>VLOOKUP(B6604,'All Districts'!$A$3:$B$874,2,FALSE)</f>
        <v>Waterville</v>
      </c>
      <c r="D6604" s="16">
        <v>636780</v>
      </c>
      <c r="E6604">
        <f>VLOOKUP(C6604,'All Districts'!$B$3:$C$874,2,FALSE)</f>
        <v>3630160</v>
      </c>
      <c r="F6604" s="91">
        <f>COUNTIF($E$2:$E$7106,E6604)</f>
        <v>9</v>
      </c>
    </row>
    <row r="6605" spans="1:6" x14ac:dyDescent="0.2">
      <c r="A6605">
        <v>2017</v>
      </c>
      <c r="B6605" s="13">
        <v>4438</v>
      </c>
      <c r="C6605" s="90" t="str">
        <f>VLOOKUP(B6605,'All Districts'!$A$3:$B$874,2,FALSE)</f>
        <v>Waterville</v>
      </c>
      <c r="D6605" s="16">
        <v>567650</v>
      </c>
      <c r="E6605">
        <f>VLOOKUP(C6605,'All Districts'!$B$3:$C$874,2,FALSE)</f>
        <v>3630160</v>
      </c>
      <c r="F6605" s="91">
        <f>COUNTIF($E$2:$E$7106,E6605)</f>
        <v>9</v>
      </c>
    </row>
    <row r="6606" spans="1:6" x14ac:dyDescent="0.2">
      <c r="A6606" s="10">
        <v>2018</v>
      </c>
      <c r="B6606" s="13">
        <v>4438</v>
      </c>
      <c r="C6606" s="90" t="str">
        <f>VLOOKUP(B6606,'All Districts'!$A$3:$B$874,2,FALSE)</f>
        <v>Waterville</v>
      </c>
      <c r="D6606" s="15">
        <v>500744</v>
      </c>
      <c r="E6606">
        <f>VLOOKUP(C6606,'All Districts'!$B$3:$C$874,2,FALSE)</f>
        <v>3630160</v>
      </c>
      <c r="F6606" s="91">
        <f>COUNTIF($E$2:$E$7106,E6606)</f>
        <v>9</v>
      </c>
    </row>
    <row r="6607" spans="1:6" x14ac:dyDescent="0.2">
      <c r="A6607">
        <v>2019</v>
      </c>
      <c r="B6607" s="36">
        <v>4438</v>
      </c>
      <c r="C6607" s="90" t="str">
        <f>VLOOKUP(B6607,'All Districts'!$A$3:$B$874,2,FALSE)</f>
        <v>Waterville</v>
      </c>
      <c r="D6607" s="40">
        <v>546084</v>
      </c>
      <c r="E6607">
        <f>VLOOKUP(C6607,'All Districts'!$B$3:$C$874,2,FALSE)</f>
        <v>3630160</v>
      </c>
      <c r="F6607" s="91">
        <f>COUNTIF($E$2:$E$7106,E6607)</f>
        <v>9</v>
      </c>
    </row>
    <row r="6608" spans="1:6" x14ac:dyDescent="0.2">
      <c r="A6608">
        <v>2020</v>
      </c>
      <c r="B6608" s="36">
        <v>4438</v>
      </c>
      <c r="C6608" s="90" t="str">
        <f>VLOOKUP(B6608,'All Districts'!$A$3:$B$874,2,FALSE)</f>
        <v>Waterville</v>
      </c>
      <c r="D6608" s="40">
        <v>461100</v>
      </c>
      <c r="E6608">
        <f>VLOOKUP(C6608,'All Districts'!$B$3:$C$874,2,FALSE)</f>
        <v>3630160</v>
      </c>
      <c r="F6608" s="91">
        <f>COUNTIF($E$2:$E$7106,E6608)</f>
        <v>9</v>
      </c>
    </row>
    <row r="6609" spans="1:6" x14ac:dyDescent="0.2">
      <c r="A6609" s="10">
        <v>2021</v>
      </c>
      <c r="B6609" s="52">
        <v>4438</v>
      </c>
      <c r="C6609" s="90" t="str">
        <f>VLOOKUP(B6609,'All Districts'!$A$3:$B$874,2,FALSE)</f>
        <v>Waterville</v>
      </c>
      <c r="D6609" s="76">
        <v>444564</v>
      </c>
      <c r="E6609">
        <f>VLOOKUP(C6609,'All Districts'!$B$3:$C$874,2,FALSE)</f>
        <v>3630160</v>
      </c>
      <c r="F6609" s="91">
        <f>COUNTIF($E$2:$E$7106,E6609)</f>
        <v>9</v>
      </c>
    </row>
    <row r="6610" spans="1:6" x14ac:dyDescent="0.2">
      <c r="A6610">
        <v>2022</v>
      </c>
      <c r="B6610" s="36">
        <v>4438</v>
      </c>
      <c r="C6610" s="90" t="str">
        <f>VLOOKUP(B6610,'All Districts'!$A$3:$B$874,2,FALSE)</f>
        <v>Waterville</v>
      </c>
      <c r="D6610" s="82">
        <v>479590</v>
      </c>
      <c r="E6610">
        <f>VLOOKUP(C6610,'All Districts'!$B$3:$C$874,2,FALSE)</f>
        <v>3630160</v>
      </c>
      <c r="F6610" s="91">
        <f>COUNTIF($E$2:$E$7106,E6610)</f>
        <v>9</v>
      </c>
    </row>
    <row r="6611" spans="1:6" x14ac:dyDescent="0.2">
      <c r="A6611">
        <v>2023</v>
      </c>
      <c r="B6611" s="36">
        <v>4438</v>
      </c>
      <c r="C6611" s="90" t="str">
        <f>VLOOKUP(B6611,'All Districts'!$A$3:$B$874,2,FALSE)</f>
        <v>Waterville</v>
      </c>
      <c r="D6611" s="40">
        <v>561213</v>
      </c>
      <c r="E6611">
        <f>VLOOKUP(C6611,'All Districts'!$B$3:$C$874,2,FALSE)</f>
        <v>3630160</v>
      </c>
      <c r="F6611" s="91">
        <f>COUNTIF($E$2:$E$7106,E6611)</f>
        <v>9</v>
      </c>
    </row>
    <row r="6612" spans="1:6" x14ac:dyDescent="0.2">
      <c r="A6612">
        <v>2015</v>
      </c>
      <c r="B6612" s="13">
        <v>1295</v>
      </c>
      <c r="C6612" s="90" t="str">
        <f>VLOOKUP(B6612,'All Districts'!$A$3:$B$874,2,FALSE)</f>
        <v>Watervliet</v>
      </c>
      <c r="D6612" s="14">
        <v>1495015</v>
      </c>
      <c r="E6612">
        <f>VLOOKUP(C6612,'All Districts'!$B$3:$C$874,2,FALSE)</f>
        <v>3630210</v>
      </c>
      <c r="F6612" s="91">
        <f>COUNTIF($E$2:$E$7106,E6612)</f>
        <v>9</v>
      </c>
    </row>
    <row r="6613" spans="1:6" x14ac:dyDescent="0.2">
      <c r="A6613">
        <v>2016</v>
      </c>
      <c r="B6613" s="13">
        <v>1295</v>
      </c>
      <c r="C6613" s="90" t="str">
        <f>VLOOKUP(B6613,'All Districts'!$A$3:$B$874,2,FALSE)</f>
        <v>Watervliet</v>
      </c>
      <c r="D6613" s="16">
        <v>1159674</v>
      </c>
      <c r="E6613">
        <f>VLOOKUP(C6613,'All Districts'!$B$3:$C$874,2,FALSE)</f>
        <v>3630210</v>
      </c>
      <c r="F6613" s="91">
        <f>COUNTIF($E$2:$E$7106,E6613)</f>
        <v>9</v>
      </c>
    </row>
    <row r="6614" spans="1:6" x14ac:dyDescent="0.2">
      <c r="A6614">
        <v>2017</v>
      </c>
      <c r="B6614" s="13">
        <v>1295</v>
      </c>
      <c r="C6614" s="90" t="str">
        <f>VLOOKUP(B6614,'All Districts'!$A$3:$B$874,2,FALSE)</f>
        <v>Watervliet</v>
      </c>
      <c r="D6614" s="16">
        <v>1079802</v>
      </c>
      <c r="E6614">
        <f>VLOOKUP(C6614,'All Districts'!$B$3:$C$874,2,FALSE)</f>
        <v>3630210</v>
      </c>
      <c r="F6614" s="91">
        <f>COUNTIF($E$2:$E$7106,E6614)</f>
        <v>9</v>
      </c>
    </row>
    <row r="6615" spans="1:6" x14ac:dyDescent="0.2">
      <c r="A6615" s="10">
        <v>2018</v>
      </c>
      <c r="B6615" s="13">
        <v>1295</v>
      </c>
      <c r="C6615" s="90" t="str">
        <f>VLOOKUP(B6615,'All Districts'!$A$3:$B$874,2,FALSE)</f>
        <v>Watervliet</v>
      </c>
      <c r="D6615" s="15">
        <v>925459</v>
      </c>
      <c r="E6615">
        <f>VLOOKUP(C6615,'All Districts'!$B$3:$C$874,2,FALSE)</f>
        <v>3630210</v>
      </c>
      <c r="F6615" s="91">
        <f>COUNTIF($E$2:$E$7106,E6615)</f>
        <v>9</v>
      </c>
    </row>
    <row r="6616" spans="1:6" x14ac:dyDescent="0.2">
      <c r="A6616">
        <v>2019</v>
      </c>
      <c r="B6616" s="36">
        <v>1295</v>
      </c>
      <c r="C6616" s="90" t="str">
        <f>VLOOKUP(B6616,'All Districts'!$A$3:$B$874,2,FALSE)</f>
        <v>Watervliet</v>
      </c>
      <c r="D6616" s="40">
        <v>1013070</v>
      </c>
      <c r="E6616">
        <f>VLOOKUP(C6616,'All Districts'!$B$3:$C$874,2,FALSE)</f>
        <v>3630210</v>
      </c>
      <c r="F6616" s="91">
        <f>COUNTIF($E$2:$E$7106,E6616)</f>
        <v>9</v>
      </c>
    </row>
    <row r="6617" spans="1:6" x14ac:dyDescent="0.2">
      <c r="A6617">
        <v>2020</v>
      </c>
      <c r="B6617" s="36">
        <v>1295</v>
      </c>
      <c r="C6617" s="90" t="str">
        <f>VLOOKUP(B6617,'All Districts'!$A$3:$B$874,2,FALSE)</f>
        <v>Watervliet</v>
      </c>
      <c r="D6617" s="40">
        <v>848173</v>
      </c>
      <c r="E6617">
        <f>VLOOKUP(C6617,'All Districts'!$B$3:$C$874,2,FALSE)</f>
        <v>3630210</v>
      </c>
      <c r="F6617" s="91">
        <f>COUNTIF($E$2:$E$7106,E6617)</f>
        <v>9</v>
      </c>
    </row>
    <row r="6618" spans="1:6" x14ac:dyDescent="0.2">
      <c r="A6618" s="10">
        <v>2021</v>
      </c>
      <c r="B6618" s="52">
        <v>1295</v>
      </c>
      <c r="C6618" s="90" t="str">
        <f>VLOOKUP(B6618,'All Districts'!$A$3:$B$874,2,FALSE)</f>
        <v>Watervliet</v>
      </c>
      <c r="D6618" s="75">
        <v>914947</v>
      </c>
      <c r="E6618">
        <f>VLOOKUP(C6618,'All Districts'!$B$3:$C$874,2,FALSE)</f>
        <v>3630210</v>
      </c>
      <c r="F6618" s="91">
        <f>COUNTIF($E$2:$E$7106,E6618)</f>
        <v>9</v>
      </c>
    </row>
    <row r="6619" spans="1:6" x14ac:dyDescent="0.2">
      <c r="A6619">
        <v>2022</v>
      </c>
      <c r="B6619" s="36">
        <v>1295</v>
      </c>
      <c r="C6619" s="90" t="str">
        <f>VLOOKUP(B6619,'All Districts'!$A$3:$B$874,2,FALSE)</f>
        <v>Watervliet</v>
      </c>
      <c r="D6619" s="82">
        <v>1024217</v>
      </c>
      <c r="E6619">
        <f>VLOOKUP(C6619,'All Districts'!$B$3:$C$874,2,FALSE)</f>
        <v>3630210</v>
      </c>
      <c r="F6619" s="91">
        <f>COUNTIF($E$2:$E$7106,E6619)</f>
        <v>9</v>
      </c>
    </row>
    <row r="6620" spans="1:6" x14ac:dyDescent="0.2">
      <c r="A6620">
        <v>2023</v>
      </c>
      <c r="B6620" s="36">
        <v>1295</v>
      </c>
      <c r="C6620" s="90" t="str">
        <f>VLOOKUP(B6620,'All Districts'!$A$3:$B$874,2,FALSE)</f>
        <v>Watervliet</v>
      </c>
      <c r="D6620" s="40">
        <v>1155962</v>
      </c>
      <c r="E6620">
        <f>VLOOKUP(C6620,'All Districts'!$B$3:$C$874,2,FALSE)</f>
        <v>3630210</v>
      </c>
      <c r="F6620" s="91">
        <f>COUNTIF($E$2:$E$7106,E6620)</f>
        <v>9</v>
      </c>
    </row>
    <row r="6621" spans="1:6" x14ac:dyDescent="0.2">
      <c r="A6621">
        <v>2015</v>
      </c>
      <c r="B6621" s="13">
        <v>2626</v>
      </c>
      <c r="C6621" s="90" t="str">
        <f>VLOOKUP(B6621,'All Districts'!$A$3:$B$874,2,FALSE)</f>
        <v>Watkins Glen</v>
      </c>
      <c r="D6621" s="14">
        <v>1389163</v>
      </c>
      <c r="E6621">
        <f>VLOOKUP(C6621,'All Districts'!$B$3:$C$874,2,FALSE)</f>
        <v>3630240</v>
      </c>
      <c r="F6621" s="91">
        <f>COUNTIF($E$2:$E$7106,E6621)</f>
        <v>9</v>
      </c>
    </row>
    <row r="6622" spans="1:6" x14ac:dyDescent="0.2">
      <c r="A6622">
        <v>2016</v>
      </c>
      <c r="B6622" s="13">
        <v>2626</v>
      </c>
      <c r="C6622" s="90" t="str">
        <f>VLOOKUP(B6622,'All Districts'!$A$3:$B$874,2,FALSE)</f>
        <v>Watkins Glen</v>
      </c>
      <c r="D6622" s="16">
        <v>1067443</v>
      </c>
      <c r="E6622">
        <f>VLOOKUP(C6622,'All Districts'!$B$3:$C$874,2,FALSE)</f>
        <v>3630240</v>
      </c>
      <c r="F6622" s="91">
        <f>COUNTIF($E$2:$E$7106,E6622)</f>
        <v>9</v>
      </c>
    </row>
    <row r="6623" spans="1:6" x14ac:dyDescent="0.2">
      <c r="A6623">
        <v>2017</v>
      </c>
      <c r="B6623" s="13">
        <v>2626</v>
      </c>
      <c r="C6623" s="90" t="str">
        <f>VLOOKUP(B6623,'All Districts'!$A$3:$B$874,2,FALSE)</f>
        <v>Watkins Glen</v>
      </c>
      <c r="D6623" s="16">
        <v>924363</v>
      </c>
      <c r="E6623">
        <f>VLOOKUP(C6623,'All Districts'!$B$3:$C$874,2,FALSE)</f>
        <v>3630240</v>
      </c>
      <c r="F6623" s="91">
        <f>COUNTIF($E$2:$E$7106,E6623)</f>
        <v>9</v>
      </c>
    </row>
    <row r="6624" spans="1:6" x14ac:dyDescent="0.2">
      <c r="A6624" s="10">
        <v>2018</v>
      </c>
      <c r="B6624" s="13">
        <v>2626</v>
      </c>
      <c r="C6624" s="90" t="str">
        <f>VLOOKUP(B6624,'All Districts'!$A$3:$B$874,2,FALSE)</f>
        <v>Watkins Glen</v>
      </c>
      <c r="D6624" s="15">
        <v>780846</v>
      </c>
      <c r="E6624">
        <f>VLOOKUP(C6624,'All Districts'!$B$3:$C$874,2,FALSE)</f>
        <v>3630240</v>
      </c>
      <c r="F6624" s="91">
        <f>COUNTIF($E$2:$E$7106,E6624)</f>
        <v>9</v>
      </c>
    </row>
    <row r="6625" spans="1:6" x14ac:dyDescent="0.2">
      <c r="A6625">
        <v>2019</v>
      </c>
      <c r="B6625" s="36">
        <v>2626</v>
      </c>
      <c r="C6625" s="90" t="str">
        <f>VLOOKUP(B6625,'All Districts'!$A$3:$B$874,2,FALSE)</f>
        <v>Watkins Glen</v>
      </c>
      <c r="D6625" s="40">
        <v>822215</v>
      </c>
      <c r="E6625">
        <f>VLOOKUP(C6625,'All Districts'!$B$3:$C$874,2,FALSE)</f>
        <v>3630240</v>
      </c>
      <c r="F6625" s="91">
        <f>COUNTIF($E$2:$E$7106,E6625)</f>
        <v>9</v>
      </c>
    </row>
    <row r="6626" spans="1:6" x14ac:dyDescent="0.2">
      <c r="A6626">
        <v>2020</v>
      </c>
      <c r="B6626" s="36">
        <v>2626</v>
      </c>
      <c r="C6626" s="90" t="str">
        <f>VLOOKUP(B6626,'All Districts'!$A$3:$B$874,2,FALSE)</f>
        <v>Watkins Glen</v>
      </c>
      <c r="D6626" s="40">
        <v>695326</v>
      </c>
      <c r="E6626">
        <f>VLOOKUP(C6626,'All Districts'!$B$3:$C$874,2,FALSE)</f>
        <v>3630240</v>
      </c>
      <c r="F6626" s="91">
        <f>COUNTIF($E$2:$E$7106,E6626)</f>
        <v>9</v>
      </c>
    </row>
    <row r="6627" spans="1:6" x14ac:dyDescent="0.2">
      <c r="A6627" s="10">
        <v>2021</v>
      </c>
      <c r="B6627" s="52">
        <v>2626</v>
      </c>
      <c r="C6627" s="90" t="str">
        <f>VLOOKUP(B6627,'All Districts'!$A$3:$B$874,2,FALSE)</f>
        <v>Watkins Glen</v>
      </c>
      <c r="D6627" s="76">
        <v>666587</v>
      </c>
      <c r="E6627">
        <f>VLOOKUP(C6627,'All Districts'!$B$3:$C$874,2,FALSE)</f>
        <v>3630240</v>
      </c>
      <c r="F6627" s="91">
        <f>COUNTIF($E$2:$E$7106,E6627)</f>
        <v>9</v>
      </c>
    </row>
    <row r="6628" spans="1:6" x14ac:dyDescent="0.2">
      <c r="A6628">
        <v>2022</v>
      </c>
      <c r="B6628" s="36">
        <v>2626</v>
      </c>
      <c r="C6628" s="90" t="str">
        <f>VLOOKUP(B6628,'All Districts'!$A$3:$B$874,2,FALSE)</f>
        <v>Watkins Glen</v>
      </c>
      <c r="D6628" s="82">
        <v>816267</v>
      </c>
      <c r="E6628">
        <f>VLOOKUP(C6628,'All Districts'!$B$3:$C$874,2,FALSE)</f>
        <v>3630240</v>
      </c>
      <c r="F6628" s="91">
        <f>COUNTIF($E$2:$E$7106,E6628)</f>
        <v>9</v>
      </c>
    </row>
    <row r="6629" spans="1:6" x14ac:dyDescent="0.2">
      <c r="A6629">
        <v>2023</v>
      </c>
      <c r="B6629" s="36">
        <v>2626</v>
      </c>
      <c r="C6629" s="90" t="str">
        <f>VLOOKUP(B6629,'All Districts'!$A$3:$B$874,2,FALSE)</f>
        <v>Watkins Glen</v>
      </c>
      <c r="D6629" s="40">
        <v>888270</v>
      </c>
      <c r="E6629">
        <f>VLOOKUP(C6629,'All Districts'!$B$3:$C$874,2,FALSE)</f>
        <v>3630240</v>
      </c>
      <c r="F6629" s="91">
        <f>COUNTIF($E$2:$E$7106,E6629)</f>
        <v>9</v>
      </c>
    </row>
    <row r="6630" spans="1:6" x14ac:dyDescent="0.2">
      <c r="A6630">
        <v>2015</v>
      </c>
      <c r="B6630" s="13">
        <v>2630</v>
      </c>
      <c r="C6630" s="90" t="str">
        <f>VLOOKUP(B6630,'All Districts'!$A$3:$B$874,2,FALSE)</f>
        <v>Waverly</v>
      </c>
      <c r="D6630" s="14">
        <v>1598930</v>
      </c>
      <c r="E6630">
        <f>VLOOKUP(C6630,'All Districts'!$B$3:$C$874,2,FALSE)</f>
        <v>3630270</v>
      </c>
      <c r="F6630" s="91">
        <f>COUNTIF($E$2:$E$7106,E6630)</f>
        <v>9</v>
      </c>
    </row>
    <row r="6631" spans="1:6" x14ac:dyDescent="0.2">
      <c r="A6631">
        <v>2016</v>
      </c>
      <c r="B6631" s="13">
        <v>2630</v>
      </c>
      <c r="C6631" s="90" t="str">
        <f>VLOOKUP(B6631,'All Districts'!$A$3:$B$874,2,FALSE)</f>
        <v>Waverly</v>
      </c>
      <c r="D6631" s="16">
        <v>1179988</v>
      </c>
      <c r="E6631">
        <f>VLOOKUP(C6631,'All Districts'!$B$3:$C$874,2,FALSE)</f>
        <v>3630270</v>
      </c>
      <c r="F6631" s="91">
        <f>COUNTIF($E$2:$E$7106,E6631)</f>
        <v>9</v>
      </c>
    </row>
    <row r="6632" spans="1:6" x14ac:dyDescent="0.2">
      <c r="A6632">
        <v>2017</v>
      </c>
      <c r="B6632" s="13">
        <v>2630</v>
      </c>
      <c r="C6632" s="90" t="str">
        <f>VLOOKUP(B6632,'All Districts'!$A$3:$B$874,2,FALSE)</f>
        <v>Waverly</v>
      </c>
      <c r="D6632" s="16">
        <v>1041583</v>
      </c>
      <c r="E6632">
        <f>VLOOKUP(C6632,'All Districts'!$B$3:$C$874,2,FALSE)</f>
        <v>3630270</v>
      </c>
      <c r="F6632" s="91">
        <f>COUNTIF($E$2:$E$7106,E6632)</f>
        <v>9</v>
      </c>
    </row>
    <row r="6633" spans="1:6" x14ac:dyDescent="0.2">
      <c r="A6633" s="10">
        <v>2018</v>
      </c>
      <c r="B6633" s="13">
        <v>2630</v>
      </c>
      <c r="C6633" s="90" t="str">
        <f>VLOOKUP(B6633,'All Districts'!$A$3:$B$874,2,FALSE)</f>
        <v>Waverly</v>
      </c>
      <c r="D6633" s="15">
        <v>858147</v>
      </c>
      <c r="E6633">
        <f>VLOOKUP(C6633,'All Districts'!$B$3:$C$874,2,FALSE)</f>
        <v>3630270</v>
      </c>
      <c r="F6633" s="91">
        <f>COUNTIF($E$2:$E$7106,E6633)</f>
        <v>9</v>
      </c>
    </row>
    <row r="6634" spans="1:6" x14ac:dyDescent="0.2">
      <c r="A6634">
        <v>2019</v>
      </c>
      <c r="B6634" s="36">
        <v>2630</v>
      </c>
      <c r="C6634" s="90" t="str">
        <f>VLOOKUP(B6634,'All Districts'!$A$3:$B$874,2,FALSE)</f>
        <v>Waverly</v>
      </c>
      <c r="D6634" s="40">
        <v>996509</v>
      </c>
      <c r="E6634">
        <f>VLOOKUP(C6634,'All Districts'!$B$3:$C$874,2,FALSE)</f>
        <v>3630270</v>
      </c>
      <c r="F6634" s="91">
        <f>COUNTIF($E$2:$E$7106,E6634)</f>
        <v>9</v>
      </c>
    </row>
    <row r="6635" spans="1:6" x14ac:dyDescent="0.2">
      <c r="A6635">
        <v>2020</v>
      </c>
      <c r="B6635" s="36">
        <v>2630</v>
      </c>
      <c r="C6635" s="90" t="str">
        <f>VLOOKUP(B6635,'All Districts'!$A$3:$B$874,2,FALSE)</f>
        <v>Waverly</v>
      </c>
      <c r="D6635" s="40">
        <v>868438</v>
      </c>
      <c r="E6635">
        <f>VLOOKUP(C6635,'All Districts'!$B$3:$C$874,2,FALSE)</f>
        <v>3630270</v>
      </c>
      <c r="F6635" s="91">
        <f>COUNTIF($E$2:$E$7106,E6635)</f>
        <v>9</v>
      </c>
    </row>
    <row r="6636" spans="1:6" x14ac:dyDescent="0.2">
      <c r="A6636" s="10">
        <v>2021</v>
      </c>
      <c r="B6636" s="52">
        <v>2630</v>
      </c>
      <c r="C6636" s="90" t="str">
        <f>VLOOKUP(B6636,'All Districts'!$A$3:$B$874,2,FALSE)</f>
        <v>Waverly</v>
      </c>
      <c r="D6636" s="76">
        <v>912048</v>
      </c>
      <c r="E6636">
        <f>VLOOKUP(C6636,'All Districts'!$B$3:$C$874,2,FALSE)</f>
        <v>3630270</v>
      </c>
      <c r="F6636" s="91">
        <f>COUNTIF($E$2:$E$7106,E6636)</f>
        <v>9</v>
      </c>
    </row>
    <row r="6637" spans="1:6" x14ac:dyDescent="0.2">
      <c r="A6637">
        <v>2022</v>
      </c>
      <c r="B6637" s="36">
        <v>2630</v>
      </c>
      <c r="C6637" s="90" t="str">
        <f>VLOOKUP(B6637,'All Districts'!$A$3:$B$874,2,FALSE)</f>
        <v>Waverly</v>
      </c>
      <c r="D6637" s="82">
        <v>1025107</v>
      </c>
      <c r="E6637">
        <f>VLOOKUP(C6637,'All Districts'!$B$3:$C$874,2,FALSE)</f>
        <v>3630270</v>
      </c>
      <c r="F6637" s="91">
        <f>COUNTIF($E$2:$E$7106,E6637)</f>
        <v>9</v>
      </c>
    </row>
    <row r="6638" spans="1:6" x14ac:dyDescent="0.2">
      <c r="A6638">
        <v>2023</v>
      </c>
      <c r="B6638" s="36">
        <v>2630</v>
      </c>
      <c r="C6638" s="90" t="str">
        <f>VLOOKUP(B6638,'All Districts'!$A$3:$B$874,2,FALSE)</f>
        <v>Waverly</v>
      </c>
      <c r="D6638" s="40">
        <v>1123476</v>
      </c>
      <c r="E6638">
        <f>VLOOKUP(C6638,'All Districts'!$B$3:$C$874,2,FALSE)</f>
        <v>3630270</v>
      </c>
      <c r="F6638" s="91">
        <f>COUNTIF($E$2:$E$7106,E6638)</f>
        <v>9</v>
      </c>
    </row>
    <row r="6639" spans="1:6" x14ac:dyDescent="0.2">
      <c r="A6639">
        <v>2015</v>
      </c>
      <c r="B6639" s="13">
        <v>4180</v>
      </c>
      <c r="C6639" s="90" t="str">
        <f>VLOOKUP(B6639,'All Districts'!$A$3:$B$874,2,FALSE)</f>
        <v>Wayland-Cohocton</v>
      </c>
      <c r="D6639" s="14">
        <v>1747882</v>
      </c>
      <c r="E6639">
        <f>VLOOKUP(C6639,'All Districts'!$B$3:$C$874,2,FALSE)</f>
        <v>3600011</v>
      </c>
      <c r="F6639" s="91">
        <f>COUNTIF($E$2:$E$7106,E6639)</f>
        <v>9</v>
      </c>
    </row>
    <row r="6640" spans="1:6" x14ac:dyDescent="0.2">
      <c r="A6640">
        <v>2016</v>
      </c>
      <c r="B6640" s="13">
        <v>4180</v>
      </c>
      <c r="C6640" s="90" t="str">
        <f>VLOOKUP(B6640,'All Districts'!$A$3:$B$874,2,FALSE)</f>
        <v>Wayland-Cohocton</v>
      </c>
      <c r="D6640" s="16">
        <v>1349167</v>
      </c>
      <c r="E6640">
        <f>VLOOKUP(C6640,'All Districts'!$B$3:$C$874,2,FALSE)</f>
        <v>3600011</v>
      </c>
      <c r="F6640" s="91">
        <f>COUNTIF($E$2:$E$7106,E6640)</f>
        <v>9</v>
      </c>
    </row>
    <row r="6641" spans="1:6" x14ac:dyDescent="0.2">
      <c r="A6641">
        <v>2017</v>
      </c>
      <c r="B6641" s="13">
        <v>4180</v>
      </c>
      <c r="C6641" s="90" t="str">
        <f>VLOOKUP(B6641,'All Districts'!$A$3:$B$874,2,FALSE)</f>
        <v>Wayland-Cohocton</v>
      </c>
      <c r="D6641" s="16">
        <v>1202250</v>
      </c>
      <c r="E6641">
        <f>VLOOKUP(C6641,'All Districts'!$B$3:$C$874,2,FALSE)</f>
        <v>3600011</v>
      </c>
      <c r="F6641" s="91">
        <f>COUNTIF($E$2:$E$7106,E6641)</f>
        <v>9</v>
      </c>
    </row>
    <row r="6642" spans="1:6" x14ac:dyDescent="0.2">
      <c r="A6642" s="10">
        <v>2018</v>
      </c>
      <c r="B6642" s="13">
        <v>4180</v>
      </c>
      <c r="C6642" s="90" t="str">
        <f>VLOOKUP(B6642,'All Districts'!$A$3:$B$874,2,FALSE)</f>
        <v>Wayland-Cohocton</v>
      </c>
      <c r="D6642" s="15">
        <v>1037664</v>
      </c>
      <c r="E6642">
        <f>VLOOKUP(C6642,'All Districts'!$B$3:$C$874,2,FALSE)</f>
        <v>3600011</v>
      </c>
      <c r="F6642" s="91">
        <f>COUNTIF($E$2:$E$7106,E6642)</f>
        <v>9</v>
      </c>
    </row>
    <row r="6643" spans="1:6" x14ac:dyDescent="0.2">
      <c r="A6643">
        <v>2019</v>
      </c>
      <c r="B6643" s="36">
        <v>4180</v>
      </c>
      <c r="C6643" s="90" t="str">
        <f>VLOOKUP(B6643,'All Districts'!$A$3:$B$874,2,FALSE)</f>
        <v>Wayland-Cohocton</v>
      </c>
      <c r="D6643" s="40">
        <v>1143315</v>
      </c>
      <c r="E6643">
        <f>VLOOKUP(C6643,'All Districts'!$B$3:$C$874,2,FALSE)</f>
        <v>3600011</v>
      </c>
      <c r="F6643" s="91">
        <f>COUNTIF($E$2:$E$7106,E6643)</f>
        <v>9</v>
      </c>
    </row>
    <row r="6644" spans="1:6" x14ac:dyDescent="0.2">
      <c r="A6644">
        <v>2020</v>
      </c>
      <c r="B6644" s="36">
        <v>4180</v>
      </c>
      <c r="C6644" s="90" t="str">
        <f>VLOOKUP(B6644,'All Districts'!$A$3:$B$874,2,FALSE)</f>
        <v>Wayland-Cohocton</v>
      </c>
      <c r="D6644" s="40">
        <v>961545</v>
      </c>
      <c r="E6644">
        <f>VLOOKUP(C6644,'All Districts'!$B$3:$C$874,2,FALSE)</f>
        <v>3600011</v>
      </c>
      <c r="F6644" s="91">
        <f>COUNTIF($E$2:$E$7106,E6644)</f>
        <v>9</v>
      </c>
    </row>
    <row r="6645" spans="1:6" x14ac:dyDescent="0.2">
      <c r="A6645" s="10">
        <v>2021</v>
      </c>
      <c r="B6645" s="52">
        <v>4180</v>
      </c>
      <c r="C6645" s="90" t="str">
        <f>VLOOKUP(B6645,'All Districts'!$A$3:$B$874,2,FALSE)</f>
        <v>Wayland-Cohocton</v>
      </c>
      <c r="D6645" s="76">
        <v>1053192</v>
      </c>
      <c r="E6645">
        <f>VLOOKUP(C6645,'All Districts'!$B$3:$C$874,2,FALSE)</f>
        <v>3600011</v>
      </c>
      <c r="F6645" s="91">
        <f>COUNTIF($E$2:$E$7106,E6645)</f>
        <v>9</v>
      </c>
    </row>
    <row r="6646" spans="1:6" x14ac:dyDescent="0.2">
      <c r="A6646">
        <v>2022</v>
      </c>
      <c r="B6646" s="36">
        <v>4180</v>
      </c>
      <c r="C6646" s="90" t="str">
        <f>VLOOKUP(B6646,'All Districts'!$A$3:$B$874,2,FALSE)</f>
        <v>Wayland-Cohocton</v>
      </c>
      <c r="D6646" s="82">
        <v>1140689</v>
      </c>
      <c r="E6646">
        <f>VLOOKUP(C6646,'All Districts'!$B$3:$C$874,2,FALSE)</f>
        <v>3600011</v>
      </c>
      <c r="F6646" s="91">
        <f>COUNTIF($E$2:$E$7106,E6646)</f>
        <v>9</v>
      </c>
    </row>
    <row r="6647" spans="1:6" x14ac:dyDescent="0.2">
      <c r="A6647">
        <v>2023</v>
      </c>
      <c r="B6647" s="36">
        <v>4180</v>
      </c>
      <c r="C6647" s="90" t="str">
        <f>VLOOKUP(B6647,'All Districts'!$A$3:$B$874,2,FALSE)</f>
        <v>Wayland-Cohocton</v>
      </c>
      <c r="D6647" s="40">
        <v>1259334</v>
      </c>
      <c r="E6647">
        <f>VLOOKUP(C6647,'All Districts'!$B$3:$C$874,2,FALSE)</f>
        <v>3600011</v>
      </c>
      <c r="F6647" s="91">
        <f>COUNTIF($E$2:$E$7106,E6647)</f>
        <v>9</v>
      </c>
    </row>
    <row r="6648" spans="1:6" x14ac:dyDescent="0.2">
      <c r="A6648">
        <v>2015</v>
      </c>
      <c r="B6648" s="13">
        <v>2632</v>
      </c>
      <c r="C6648" s="90" t="str">
        <f>VLOOKUP(B6648,'All Districts'!$A$3:$B$874,2,FALSE)</f>
        <v>Wayne</v>
      </c>
      <c r="D6648" s="14">
        <v>2976116</v>
      </c>
      <c r="E6648">
        <f>VLOOKUP(C6648,'All Districts'!$B$3:$C$874,2,FALSE)</f>
        <v>3630330</v>
      </c>
      <c r="F6648" s="91">
        <f>COUNTIF($E$2:$E$7106,E6648)</f>
        <v>9</v>
      </c>
    </row>
    <row r="6649" spans="1:6" x14ac:dyDescent="0.2">
      <c r="A6649">
        <v>2016</v>
      </c>
      <c r="B6649" s="13">
        <v>2632</v>
      </c>
      <c r="C6649" s="90" t="str">
        <f>VLOOKUP(B6649,'All Districts'!$A$3:$B$874,2,FALSE)</f>
        <v>Wayne</v>
      </c>
      <c r="D6649" s="16">
        <v>2374485</v>
      </c>
      <c r="E6649">
        <f>VLOOKUP(C6649,'All Districts'!$B$3:$C$874,2,FALSE)</f>
        <v>3630330</v>
      </c>
      <c r="F6649" s="91">
        <f>COUNTIF($E$2:$E$7106,E6649)</f>
        <v>9</v>
      </c>
    </row>
    <row r="6650" spans="1:6" x14ac:dyDescent="0.2">
      <c r="A6650">
        <v>2017</v>
      </c>
      <c r="B6650" s="13">
        <v>2632</v>
      </c>
      <c r="C6650" s="90" t="str">
        <f>VLOOKUP(B6650,'All Districts'!$A$3:$B$874,2,FALSE)</f>
        <v>Wayne</v>
      </c>
      <c r="D6650" s="16">
        <v>2073435</v>
      </c>
      <c r="E6650">
        <f>VLOOKUP(C6650,'All Districts'!$B$3:$C$874,2,FALSE)</f>
        <v>3630330</v>
      </c>
      <c r="F6650" s="91">
        <f>COUNTIF($E$2:$E$7106,E6650)</f>
        <v>9</v>
      </c>
    </row>
    <row r="6651" spans="1:6" x14ac:dyDescent="0.2">
      <c r="A6651" s="10">
        <v>2018</v>
      </c>
      <c r="B6651" s="13">
        <v>2632</v>
      </c>
      <c r="C6651" s="90" t="str">
        <f>VLOOKUP(B6651,'All Districts'!$A$3:$B$874,2,FALSE)</f>
        <v>Wayne</v>
      </c>
      <c r="D6651" s="15">
        <v>1659577</v>
      </c>
      <c r="E6651">
        <f>VLOOKUP(C6651,'All Districts'!$B$3:$C$874,2,FALSE)</f>
        <v>3630330</v>
      </c>
      <c r="F6651" s="91">
        <f>COUNTIF($E$2:$E$7106,E6651)</f>
        <v>9</v>
      </c>
    </row>
    <row r="6652" spans="1:6" x14ac:dyDescent="0.2">
      <c r="A6652">
        <v>2019</v>
      </c>
      <c r="B6652" s="36">
        <v>2632</v>
      </c>
      <c r="C6652" s="90" t="str">
        <f>VLOOKUP(B6652,'All Districts'!$A$3:$B$874,2,FALSE)</f>
        <v>Wayne</v>
      </c>
      <c r="D6652" s="40">
        <v>1830366</v>
      </c>
      <c r="E6652">
        <f>VLOOKUP(C6652,'All Districts'!$B$3:$C$874,2,FALSE)</f>
        <v>3630330</v>
      </c>
      <c r="F6652" s="91">
        <f>COUNTIF($E$2:$E$7106,E6652)</f>
        <v>9</v>
      </c>
    </row>
    <row r="6653" spans="1:6" x14ac:dyDescent="0.2">
      <c r="A6653">
        <v>2020</v>
      </c>
      <c r="B6653" s="36">
        <v>2632</v>
      </c>
      <c r="C6653" s="90" t="str">
        <f>VLOOKUP(B6653,'All Districts'!$A$3:$B$874,2,FALSE)</f>
        <v>Wayne</v>
      </c>
      <c r="D6653" s="40">
        <v>1534831</v>
      </c>
      <c r="E6653">
        <f>VLOOKUP(C6653,'All Districts'!$B$3:$C$874,2,FALSE)</f>
        <v>3630330</v>
      </c>
      <c r="F6653" s="91">
        <f>COUNTIF($E$2:$E$7106,E6653)</f>
        <v>9</v>
      </c>
    </row>
    <row r="6654" spans="1:6" x14ac:dyDescent="0.2">
      <c r="A6654" s="10">
        <v>2021</v>
      </c>
      <c r="B6654" s="52">
        <v>2632</v>
      </c>
      <c r="C6654" s="90" t="str">
        <f>VLOOKUP(B6654,'All Districts'!$A$3:$B$874,2,FALSE)</f>
        <v>Wayne</v>
      </c>
      <c r="D6654" s="76">
        <v>1669251</v>
      </c>
      <c r="E6654">
        <f>VLOOKUP(C6654,'All Districts'!$B$3:$C$874,2,FALSE)</f>
        <v>3630330</v>
      </c>
      <c r="F6654" s="91">
        <f>COUNTIF($E$2:$E$7106,E6654)</f>
        <v>9</v>
      </c>
    </row>
    <row r="6655" spans="1:6" x14ac:dyDescent="0.2">
      <c r="A6655">
        <v>2022</v>
      </c>
      <c r="B6655" s="36">
        <v>2632</v>
      </c>
      <c r="C6655" s="90" t="str">
        <f>VLOOKUP(B6655,'All Districts'!$A$3:$B$874,2,FALSE)</f>
        <v>Wayne</v>
      </c>
      <c r="D6655" s="82">
        <v>1698299</v>
      </c>
      <c r="E6655">
        <f>VLOOKUP(C6655,'All Districts'!$B$3:$C$874,2,FALSE)</f>
        <v>3630330</v>
      </c>
      <c r="F6655" s="91">
        <f>COUNTIF($E$2:$E$7106,E6655)</f>
        <v>9</v>
      </c>
    </row>
    <row r="6656" spans="1:6" x14ac:dyDescent="0.2">
      <c r="A6656">
        <v>2023</v>
      </c>
      <c r="B6656" s="36">
        <v>2632</v>
      </c>
      <c r="C6656" s="90" t="str">
        <f>VLOOKUP(B6656,'All Districts'!$A$3:$B$874,2,FALSE)</f>
        <v>Wayne</v>
      </c>
      <c r="D6656" s="40">
        <v>1829492</v>
      </c>
      <c r="E6656">
        <f>VLOOKUP(C6656,'All Districts'!$B$3:$C$874,2,FALSE)</f>
        <v>3630330</v>
      </c>
      <c r="F6656" s="91">
        <f>COUNTIF($E$2:$E$7106,E6656)</f>
        <v>9</v>
      </c>
    </row>
    <row r="6657" spans="1:6" x14ac:dyDescent="0.2">
      <c r="A6657">
        <v>2015</v>
      </c>
      <c r="B6657" s="13">
        <v>2633</v>
      </c>
      <c r="C6657" s="90" t="str">
        <f>VLOOKUP(B6657,'All Districts'!$A$3:$B$874,2,FALSE)</f>
        <v>Webster</v>
      </c>
      <c r="D6657" s="14">
        <v>10366494</v>
      </c>
      <c r="E6657">
        <f>VLOOKUP(C6657,'All Districts'!$B$3:$C$874,2,FALSE)</f>
        <v>3630360</v>
      </c>
      <c r="F6657" s="91">
        <f>COUNTIF($E$2:$E$7106,E6657)</f>
        <v>9</v>
      </c>
    </row>
    <row r="6658" spans="1:6" x14ac:dyDescent="0.2">
      <c r="A6658">
        <v>2016</v>
      </c>
      <c r="B6658" s="13">
        <v>2633</v>
      </c>
      <c r="C6658" s="90" t="str">
        <f>VLOOKUP(B6658,'All Districts'!$A$3:$B$874,2,FALSE)</f>
        <v>Webster</v>
      </c>
      <c r="D6658" s="16">
        <v>8108200</v>
      </c>
      <c r="E6658">
        <f>VLOOKUP(C6658,'All Districts'!$B$3:$C$874,2,FALSE)</f>
        <v>3630360</v>
      </c>
      <c r="F6658" s="91">
        <f>COUNTIF($E$2:$E$7106,E6658)</f>
        <v>9</v>
      </c>
    </row>
    <row r="6659" spans="1:6" x14ac:dyDescent="0.2">
      <c r="A6659">
        <v>2017</v>
      </c>
      <c r="B6659" s="13">
        <v>2633</v>
      </c>
      <c r="C6659" s="90" t="str">
        <f>VLOOKUP(B6659,'All Districts'!$A$3:$B$874,2,FALSE)</f>
        <v>Webster</v>
      </c>
      <c r="D6659" s="16">
        <v>7267780</v>
      </c>
      <c r="E6659">
        <f>VLOOKUP(C6659,'All Districts'!$B$3:$C$874,2,FALSE)</f>
        <v>3630360</v>
      </c>
      <c r="F6659" s="91">
        <f>COUNTIF($E$2:$E$7106,E6659)</f>
        <v>9</v>
      </c>
    </row>
    <row r="6660" spans="1:6" x14ac:dyDescent="0.2">
      <c r="A6660" s="10">
        <v>2018</v>
      </c>
      <c r="B6660" s="13">
        <v>2633</v>
      </c>
      <c r="C6660" s="90" t="str">
        <f>VLOOKUP(B6660,'All Districts'!$A$3:$B$874,2,FALSE)</f>
        <v>Webster</v>
      </c>
      <c r="D6660" s="15">
        <v>6309423</v>
      </c>
      <c r="E6660">
        <f>VLOOKUP(C6660,'All Districts'!$B$3:$C$874,2,FALSE)</f>
        <v>3630360</v>
      </c>
      <c r="F6660" s="91">
        <f>COUNTIF($E$2:$E$7106,E6660)</f>
        <v>9</v>
      </c>
    </row>
    <row r="6661" spans="1:6" x14ac:dyDescent="0.2">
      <c r="A6661">
        <v>2019</v>
      </c>
      <c r="B6661" s="36">
        <v>2633</v>
      </c>
      <c r="C6661" s="90" t="str">
        <f>VLOOKUP(B6661,'All Districts'!$A$3:$B$874,2,FALSE)</f>
        <v>Webster</v>
      </c>
      <c r="D6661" s="40">
        <v>7055823</v>
      </c>
      <c r="E6661">
        <f>VLOOKUP(C6661,'All Districts'!$B$3:$C$874,2,FALSE)</f>
        <v>3630360</v>
      </c>
      <c r="F6661" s="91">
        <f>COUNTIF($E$2:$E$7106,E6661)</f>
        <v>9</v>
      </c>
    </row>
    <row r="6662" spans="1:6" x14ac:dyDescent="0.2">
      <c r="A6662">
        <v>2020</v>
      </c>
      <c r="B6662" s="36">
        <v>2633</v>
      </c>
      <c r="C6662" s="90" t="str">
        <f>VLOOKUP(B6662,'All Districts'!$A$3:$B$874,2,FALSE)</f>
        <v>Webster</v>
      </c>
      <c r="D6662" s="40">
        <v>5912660</v>
      </c>
      <c r="E6662">
        <f>VLOOKUP(C6662,'All Districts'!$B$3:$C$874,2,FALSE)</f>
        <v>3630360</v>
      </c>
      <c r="F6662" s="91">
        <f>COUNTIF($E$2:$E$7106,E6662)</f>
        <v>9</v>
      </c>
    </row>
    <row r="6663" spans="1:6" x14ac:dyDescent="0.2">
      <c r="A6663" s="10">
        <v>2021</v>
      </c>
      <c r="B6663" s="52">
        <v>2633</v>
      </c>
      <c r="C6663" s="90" t="str">
        <f>VLOOKUP(B6663,'All Districts'!$A$3:$B$874,2,FALSE)</f>
        <v>Webster</v>
      </c>
      <c r="D6663" s="76">
        <v>6678052</v>
      </c>
      <c r="E6663">
        <f>VLOOKUP(C6663,'All Districts'!$B$3:$C$874,2,FALSE)</f>
        <v>3630360</v>
      </c>
      <c r="F6663" s="91">
        <f>COUNTIF($E$2:$E$7106,E6663)</f>
        <v>9</v>
      </c>
    </row>
    <row r="6664" spans="1:6" x14ac:dyDescent="0.2">
      <c r="A6664">
        <v>2022</v>
      </c>
      <c r="B6664" s="36">
        <v>2633</v>
      </c>
      <c r="C6664" s="90" t="str">
        <f>VLOOKUP(B6664,'All Districts'!$A$3:$B$874,2,FALSE)</f>
        <v>Webster</v>
      </c>
      <c r="D6664" s="82">
        <v>7106222</v>
      </c>
      <c r="E6664">
        <f>VLOOKUP(C6664,'All Districts'!$B$3:$C$874,2,FALSE)</f>
        <v>3630360</v>
      </c>
      <c r="F6664" s="91">
        <f>COUNTIF($E$2:$E$7106,E6664)</f>
        <v>9</v>
      </c>
    </row>
    <row r="6665" spans="1:6" x14ac:dyDescent="0.2">
      <c r="A6665">
        <v>2023</v>
      </c>
      <c r="B6665" s="36">
        <v>2633</v>
      </c>
      <c r="C6665" s="90" t="str">
        <f>VLOOKUP(B6665,'All Districts'!$A$3:$B$874,2,FALSE)</f>
        <v>Webster</v>
      </c>
      <c r="D6665" s="40">
        <v>7863804</v>
      </c>
      <c r="E6665">
        <f>VLOOKUP(C6665,'All Districts'!$B$3:$C$874,2,FALSE)</f>
        <v>3630360</v>
      </c>
      <c r="F6665" s="91">
        <f>COUNTIF($E$2:$E$7106,E6665)</f>
        <v>9</v>
      </c>
    </row>
    <row r="6666" spans="1:6" x14ac:dyDescent="0.2">
      <c r="A6666">
        <v>2015</v>
      </c>
      <c r="B6666" s="13">
        <v>3276</v>
      </c>
      <c r="C6666" s="90" t="str">
        <f>VLOOKUP(B6666,'All Districts'!$A$3:$B$874,2,FALSE)</f>
        <v>Weedsport</v>
      </c>
      <c r="D6666" s="14">
        <v>1035889</v>
      </c>
      <c r="E6666">
        <f>VLOOKUP(C6666,'All Districts'!$B$3:$C$874,2,FALSE)</f>
        <v>3630420</v>
      </c>
      <c r="F6666" s="91">
        <f>COUNTIF($E$2:$E$7106,E6666)</f>
        <v>9</v>
      </c>
    </row>
    <row r="6667" spans="1:6" x14ac:dyDescent="0.2">
      <c r="A6667">
        <v>2016</v>
      </c>
      <c r="B6667" s="13">
        <v>3276</v>
      </c>
      <c r="C6667" s="90" t="str">
        <f>VLOOKUP(B6667,'All Districts'!$A$3:$B$874,2,FALSE)</f>
        <v>Weedsport</v>
      </c>
      <c r="D6667" s="16">
        <v>796012</v>
      </c>
      <c r="E6667">
        <f>VLOOKUP(C6667,'All Districts'!$B$3:$C$874,2,FALSE)</f>
        <v>3630420</v>
      </c>
      <c r="F6667" s="91">
        <f>COUNTIF($E$2:$E$7106,E6667)</f>
        <v>9</v>
      </c>
    </row>
    <row r="6668" spans="1:6" x14ac:dyDescent="0.2">
      <c r="A6668">
        <v>2017</v>
      </c>
      <c r="B6668" s="13">
        <v>3276</v>
      </c>
      <c r="C6668" s="90" t="str">
        <f>VLOOKUP(B6668,'All Districts'!$A$3:$B$874,2,FALSE)</f>
        <v>Weedsport</v>
      </c>
      <c r="D6668" s="16">
        <v>737941</v>
      </c>
      <c r="E6668">
        <f>VLOOKUP(C6668,'All Districts'!$B$3:$C$874,2,FALSE)</f>
        <v>3630420</v>
      </c>
      <c r="F6668" s="91">
        <f>COUNTIF($E$2:$E$7106,E6668)</f>
        <v>9</v>
      </c>
    </row>
    <row r="6669" spans="1:6" x14ac:dyDescent="0.2">
      <c r="A6669" s="10">
        <v>2018</v>
      </c>
      <c r="B6669" s="13">
        <v>3276</v>
      </c>
      <c r="C6669" s="90" t="str">
        <f>VLOOKUP(B6669,'All Districts'!$A$3:$B$874,2,FALSE)</f>
        <v>Weedsport</v>
      </c>
      <c r="D6669" s="15">
        <v>645787</v>
      </c>
      <c r="E6669">
        <f>VLOOKUP(C6669,'All Districts'!$B$3:$C$874,2,FALSE)</f>
        <v>3630420</v>
      </c>
      <c r="F6669" s="91">
        <f>COUNTIF($E$2:$E$7106,E6669)</f>
        <v>9</v>
      </c>
    </row>
    <row r="6670" spans="1:6" x14ac:dyDescent="0.2">
      <c r="A6670">
        <v>2019</v>
      </c>
      <c r="B6670" s="36">
        <v>3276</v>
      </c>
      <c r="C6670" s="90" t="str">
        <f>VLOOKUP(B6670,'All Districts'!$A$3:$B$874,2,FALSE)</f>
        <v>Weedsport</v>
      </c>
      <c r="D6670" s="40">
        <v>731641</v>
      </c>
      <c r="E6670">
        <f>VLOOKUP(C6670,'All Districts'!$B$3:$C$874,2,FALSE)</f>
        <v>3630420</v>
      </c>
      <c r="F6670" s="91">
        <f>COUNTIF($E$2:$E$7106,E6670)</f>
        <v>9</v>
      </c>
    </row>
    <row r="6671" spans="1:6" x14ac:dyDescent="0.2">
      <c r="A6671">
        <v>2020</v>
      </c>
      <c r="B6671" s="36">
        <v>3276</v>
      </c>
      <c r="C6671" s="90" t="str">
        <f>VLOOKUP(B6671,'All Districts'!$A$3:$B$874,2,FALSE)</f>
        <v>Weedsport</v>
      </c>
      <c r="D6671" s="40">
        <v>629122</v>
      </c>
      <c r="E6671">
        <f>VLOOKUP(C6671,'All Districts'!$B$3:$C$874,2,FALSE)</f>
        <v>3630420</v>
      </c>
      <c r="F6671" s="91">
        <f>COUNTIF($E$2:$E$7106,E6671)</f>
        <v>9</v>
      </c>
    </row>
    <row r="6672" spans="1:6" x14ac:dyDescent="0.2">
      <c r="A6672" s="10">
        <v>2021</v>
      </c>
      <c r="B6672" s="52">
        <v>3276</v>
      </c>
      <c r="C6672" s="90" t="str">
        <f>VLOOKUP(B6672,'All Districts'!$A$3:$B$874,2,FALSE)</f>
        <v>Weedsport</v>
      </c>
      <c r="D6672" s="76">
        <v>611963</v>
      </c>
      <c r="E6672">
        <f>VLOOKUP(C6672,'All Districts'!$B$3:$C$874,2,FALSE)</f>
        <v>3630420</v>
      </c>
      <c r="F6672" s="91">
        <f>COUNTIF($E$2:$E$7106,E6672)</f>
        <v>9</v>
      </c>
    </row>
    <row r="6673" spans="1:6" x14ac:dyDescent="0.2">
      <c r="A6673">
        <v>2022</v>
      </c>
      <c r="B6673" s="36">
        <v>3276</v>
      </c>
      <c r="C6673" s="90" t="str">
        <f>VLOOKUP(B6673,'All Districts'!$A$3:$B$874,2,FALSE)</f>
        <v>Weedsport</v>
      </c>
      <c r="D6673" s="82">
        <v>669707</v>
      </c>
      <c r="E6673">
        <f>VLOOKUP(C6673,'All Districts'!$B$3:$C$874,2,FALSE)</f>
        <v>3630420</v>
      </c>
      <c r="F6673" s="91">
        <f>COUNTIF($E$2:$E$7106,E6673)</f>
        <v>9</v>
      </c>
    </row>
    <row r="6674" spans="1:6" x14ac:dyDescent="0.2">
      <c r="A6674">
        <v>2023</v>
      </c>
      <c r="B6674" s="36">
        <v>3276</v>
      </c>
      <c r="C6674" s="90" t="str">
        <f>VLOOKUP(B6674,'All Districts'!$A$3:$B$874,2,FALSE)</f>
        <v>Weedsport</v>
      </c>
      <c r="D6674" s="40">
        <v>700118</v>
      </c>
      <c r="E6674">
        <f>VLOOKUP(C6674,'All Districts'!$B$3:$C$874,2,FALSE)</f>
        <v>3630420</v>
      </c>
      <c r="F6674" s="91">
        <f>COUNTIF($E$2:$E$7106,E6674)</f>
        <v>9</v>
      </c>
    </row>
    <row r="6675" spans="1:6" x14ac:dyDescent="0.2">
      <c r="A6675">
        <v>2015</v>
      </c>
      <c r="B6675" s="13">
        <v>4007</v>
      </c>
      <c r="C6675" s="90" t="str">
        <f>VLOOKUP(B6675,'All Districts'!$A$3:$B$874,2,FALSE)</f>
        <v>Wells</v>
      </c>
      <c r="D6675" s="14">
        <v>340542</v>
      </c>
      <c r="E6675">
        <f>VLOOKUP(C6675,'All Districts'!$B$3:$C$874,2,FALSE)</f>
        <v>3630450</v>
      </c>
      <c r="F6675" s="91">
        <f>COUNTIF($E$2:$E$7106,E6675)</f>
        <v>9</v>
      </c>
    </row>
    <row r="6676" spans="1:6" x14ac:dyDescent="0.2">
      <c r="A6676">
        <v>2016</v>
      </c>
      <c r="B6676" s="13">
        <v>4007</v>
      </c>
      <c r="C6676" s="90" t="str">
        <f>VLOOKUP(B6676,'All Districts'!$A$3:$B$874,2,FALSE)</f>
        <v>Wells</v>
      </c>
      <c r="D6676" s="16">
        <v>265884</v>
      </c>
      <c r="E6676">
        <f>VLOOKUP(C6676,'All Districts'!$B$3:$C$874,2,FALSE)</f>
        <v>3630450</v>
      </c>
      <c r="F6676" s="91">
        <f>COUNTIF($E$2:$E$7106,E6676)</f>
        <v>9</v>
      </c>
    </row>
    <row r="6677" spans="1:6" x14ac:dyDescent="0.2">
      <c r="A6677">
        <v>2017</v>
      </c>
      <c r="B6677" s="13">
        <v>4007</v>
      </c>
      <c r="C6677" s="90" t="str">
        <f>VLOOKUP(B6677,'All Districts'!$A$3:$B$874,2,FALSE)</f>
        <v>Wells</v>
      </c>
      <c r="D6677" s="16">
        <v>236680</v>
      </c>
      <c r="E6677">
        <f>VLOOKUP(C6677,'All Districts'!$B$3:$C$874,2,FALSE)</f>
        <v>3630450</v>
      </c>
      <c r="F6677" s="91">
        <f>COUNTIF($E$2:$E$7106,E6677)</f>
        <v>9</v>
      </c>
    </row>
    <row r="6678" spans="1:6" x14ac:dyDescent="0.2">
      <c r="A6678" s="10">
        <v>2018</v>
      </c>
      <c r="B6678" s="13">
        <v>4007</v>
      </c>
      <c r="C6678" s="90" t="str">
        <f>VLOOKUP(B6678,'All Districts'!$A$3:$B$874,2,FALSE)</f>
        <v>Wells</v>
      </c>
      <c r="D6678" s="15">
        <v>202569</v>
      </c>
      <c r="E6678">
        <f>VLOOKUP(C6678,'All Districts'!$B$3:$C$874,2,FALSE)</f>
        <v>3630450</v>
      </c>
      <c r="F6678" s="91">
        <f>COUNTIF($E$2:$E$7106,E6678)</f>
        <v>9</v>
      </c>
    </row>
    <row r="6679" spans="1:6" x14ac:dyDescent="0.2">
      <c r="A6679">
        <v>2019</v>
      </c>
      <c r="B6679" s="36">
        <v>4007</v>
      </c>
      <c r="C6679" s="90" t="str">
        <f>VLOOKUP(B6679,'All Districts'!$A$3:$B$874,2,FALSE)</f>
        <v>Wells</v>
      </c>
      <c r="D6679" s="40">
        <v>230678</v>
      </c>
      <c r="E6679">
        <f>VLOOKUP(C6679,'All Districts'!$B$3:$C$874,2,FALSE)</f>
        <v>3630450</v>
      </c>
      <c r="F6679" s="91">
        <f>COUNTIF($E$2:$E$7106,E6679)</f>
        <v>9</v>
      </c>
    </row>
    <row r="6680" spans="1:6" x14ac:dyDescent="0.2">
      <c r="A6680">
        <v>2020</v>
      </c>
      <c r="B6680" s="36">
        <v>4007</v>
      </c>
      <c r="C6680" s="90" t="str">
        <f>VLOOKUP(B6680,'All Districts'!$A$3:$B$874,2,FALSE)</f>
        <v>Wells</v>
      </c>
      <c r="D6680" s="40">
        <v>193490</v>
      </c>
      <c r="E6680">
        <f>VLOOKUP(C6680,'All Districts'!$B$3:$C$874,2,FALSE)</f>
        <v>3630450</v>
      </c>
      <c r="F6680" s="91">
        <f>COUNTIF($E$2:$E$7106,E6680)</f>
        <v>9</v>
      </c>
    </row>
    <row r="6681" spans="1:6" x14ac:dyDescent="0.2">
      <c r="A6681" s="10">
        <v>2021</v>
      </c>
      <c r="B6681" s="52">
        <v>4007</v>
      </c>
      <c r="C6681" s="90" t="str">
        <f>VLOOKUP(B6681,'All Districts'!$A$3:$B$874,2,FALSE)</f>
        <v>Wells</v>
      </c>
      <c r="D6681" s="76">
        <v>211481</v>
      </c>
      <c r="E6681">
        <f>VLOOKUP(C6681,'All Districts'!$B$3:$C$874,2,FALSE)</f>
        <v>3630450</v>
      </c>
      <c r="F6681" s="91">
        <f>COUNTIF($E$2:$E$7106,E6681)</f>
        <v>9</v>
      </c>
    </row>
    <row r="6682" spans="1:6" x14ac:dyDescent="0.2">
      <c r="A6682">
        <v>2022</v>
      </c>
      <c r="B6682" s="36">
        <v>4007</v>
      </c>
      <c r="C6682" s="90" t="str">
        <f>VLOOKUP(B6682,'All Districts'!$A$3:$B$874,2,FALSE)</f>
        <v>Wells</v>
      </c>
      <c r="D6682" s="82">
        <v>215405</v>
      </c>
      <c r="E6682">
        <f>VLOOKUP(C6682,'All Districts'!$B$3:$C$874,2,FALSE)</f>
        <v>3630450</v>
      </c>
      <c r="F6682" s="91">
        <f>COUNTIF($E$2:$E$7106,E6682)</f>
        <v>9</v>
      </c>
    </row>
    <row r="6683" spans="1:6" x14ac:dyDescent="0.2">
      <c r="A6683">
        <v>2023</v>
      </c>
      <c r="B6683" s="36">
        <v>4007</v>
      </c>
      <c r="C6683" s="90" t="str">
        <f>VLOOKUP(B6683,'All Districts'!$A$3:$B$874,2,FALSE)</f>
        <v>Wells</v>
      </c>
      <c r="D6683" s="40">
        <v>238239</v>
      </c>
      <c r="E6683">
        <f>VLOOKUP(C6683,'All Districts'!$B$3:$C$874,2,FALSE)</f>
        <v>3630450</v>
      </c>
      <c r="F6683" s="91">
        <f>COUNTIF($E$2:$E$7106,E6683)</f>
        <v>9</v>
      </c>
    </row>
    <row r="6684" spans="1:6" x14ac:dyDescent="0.2">
      <c r="A6684">
        <v>2015</v>
      </c>
      <c r="B6684" s="13">
        <v>2635</v>
      </c>
      <c r="C6684" s="90" t="str">
        <f>VLOOKUP(B6684,'All Districts'!$A$3:$B$874,2,FALSE)</f>
        <v>Wellsville</v>
      </c>
      <c r="D6684" s="14">
        <v>1372539</v>
      </c>
      <c r="E6684">
        <f>VLOOKUP(C6684,'All Districts'!$B$3:$C$874,2,FALSE)</f>
        <v>3630480</v>
      </c>
      <c r="F6684" s="91">
        <f>COUNTIF($E$2:$E$7106,E6684)</f>
        <v>9</v>
      </c>
    </row>
    <row r="6685" spans="1:6" x14ac:dyDescent="0.2">
      <c r="A6685">
        <v>2016</v>
      </c>
      <c r="B6685" s="13">
        <v>2635</v>
      </c>
      <c r="C6685" s="90" t="str">
        <f>VLOOKUP(B6685,'All Districts'!$A$3:$B$874,2,FALSE)</f>
        <v>Wellsville</v>
      </c>
      <c r="D6685" s="16">
        <v>1058225</v>
      </c>
      <c r="E6685">
        <f>VLOOKUP(C6685,'All Districts'!$B$3:$C$874,2,FALSE)</f>
        <v>3630480</v>
      </c>
      <c r="F6685" s="91">
        <f>COUNTIF($E$2:$E$7106,E6685)</f>
        <v>9</v>
      </c>
    </row>
    <row r="6686" spans="1:6" x14ac:dyDescent="0.2">
      <c r="A6686">
        <v>2017</v>
      </c>
      <c r="B6686" s="13">
        <v>2635</v>
      </c>
      <c r="C6686" s="90" t="str">
        <f>VLOOKUP(B6686,'All Districts'!$A$3:$B$874,2,FALSE)</f>
        <v>Wellsville</v>
      </c>
      <c r="D6686" s="16">
        <v>990432</v>
      </c>
      <c r="E6686">
        <f>VLOOKUP(C6686,'All Districts'!$B$3:$C$874,2,FALSE)</f>
        <v>3630480</v>
      </c>
      <c r="F6686" s="91">
        <f>COUNTIF($E$2:$E$7106,E6686)</f>
        <v>9</v>
      </c>
    </row>
    <row r="6687" spans="1:6" x14ac:dyDescent="0.2">
      <c r="A6687" s="10">
        <v>2018</v>
      </c>
      <c r="B6687" s="13">
        <v>2635</v>
      </c>
      <c r="C6687" s="90" t="str">
        <f>VLOOKUP(B6687,'All Districts'!$A$3:$B$874,2,FALSE)</f>
        <v>Wellsville</v>
      </c>
      <c r="D6687" s="15">
        <v>798406</v>
      </c>
      <c r="E6687">
        <f>VLOOKUP(C6687,'All Districts'!$B$3:$C$874,2,FALSE)</f>
        <v>3630480</v>
      </c>
      <c r="F6687" s="91">
        <f>COUNTIF($E$2:$E$7106,E6687)</f>
        <v>9</v>
      </c>
    </row>
    <row r="6688" spans="1:6" x14ac:dyDescent="0.2">
      <c r="A6688">
        <v>2019</v>
      </c>
      <c r="B6688" s="36">
        <v>2635</v>
      </c>
      <c r="C6688" s="90" t="str">
        <f>VLOOKUP(B6688,'All Districts'!$A$3:$B$874,2,FALSE)</f>
        <v>Wellsville</v>
      </c>
      <c r="D6688" s="40">
        <v>927048</v>
      </c>
      <c r="E6688">
        <f>VLOOKUP(C6688,'All Districts'!$B$3:$C$874,2,FALSE)</f>
        <v>3630480</v>
      </c>
      <c r="F6688" s="91">
        <f>COUNTIF($E$2:$E$7106,E6688)</f>
        <v>9</v>
      </c>
    </row>
    <row r="6689" spans="1:6" x14ac:dyDescent="0.2">
      <c r="A6689">
        <v>2020</v>
      </c>
      <c r="B6689" s="36">
        <v>2635</v>
      </c>
      <c r="C6689" s="90" t="str">
        <f>VLOOKUP(B6689,'All Districts'!$A$3:$B$874,2,FALSE)</f>
        <v>Wellsville</v>
      </c>
      <c r="D6689" s="40">
        <v>772661</v>
      </c>
      <c r="E6689">
        <f>VLOOKUP(C6689,'All Districts'!$B$3:$C$874,2,FALSE)</f>
        <v>3630480</v>
      </c>
      <c r="F6689" s="91">
        <f>COUNTIF($E$2:$E$7106,E6689)</f>
        <v>9</v>
      </c>
    </row>
    <row r="6690" spans="1:6" x14ac:dyDescent="0.2">
      <c r="A6690" s="10">
        <v>2021</v>
      </c>
      <c r="B6690" s="52">
        <v>2635</v>
      </c>
      <c r="C6690" s="90" t="str">
        <f>VLOOKUP(B6690,'All Districts'!$A$3:$B$874,2,FALSE)</f>
        <v>Wellsville</v>
      </c>
      <c r="D6690" s="76">
        <v>846552</v>
      </c>
      <c r="E6690">
        <f>VLOOKUP(C6690,'All Districts'!$B$3:$C$874,2,FALSE)</f>
        <v>3630480</v>
      </c>
      <c r="F6690" s="91">
        <f>COUNTIF($E$2:$E$7106,E6690)</f>
        <v>9</v>
      </c>
    </row>
    <row r="6691" spans="1:6" x14ac:dyDescent="0.2">
      <c r="A6691">
        <v>2022</v>
      </c>
      <c r="B6691" s="36">
        <v>2635</v>
      </c>
      <c r="C6691" s="90" t="str">
        <f>VLOOKUP(B6691,'All Districts'!$A$3:$B$874,2,FALSE)</f>
        <v>Wellsville</v>
      </c>
      <c r="D6691" s="82">
        <v>884897</v>
      </c>
      <c r="E6691">
        <f>VLOOKUP(C6691,'All Districts'!$B$3:$C$874,2,FALSE)</f>
        <v>3630480</v>
      </c>
      <c r="F6691" s="91">
        <f>COUNTIF($E$2:$E$7106,E6691)</f>
        <v>9</v>
      </c>
    </row>
    <row r="6692" spans="1:6" x14ac:dyDescent="0.2">
      <c r="A6692">
        <v>2023</v>
      </c>
      <c r="B6692" s="36">
        <v>2635</v>
      </c>
      <c r="C6692" s="90" t="str">
        <f>VLOOKUP(B6692,'All Districts'!$A$3:$B$874,2,FALSE)</f>
        <v>Wellsville</v>
      </c>
      <c r="D6692" s="40">
        <v>949982</v>
      </c>
      <c r="E6692">
        <f>VLOOKUP(C6692,'All Districts'!$B$3:$C$874,2,FALSE)</f>
        <v>3630480</v>
      </c>
      <c r="F6692" s="91">
        <f>COUNTIF($E$2:$E$7106,E6692)</f>
        <v>9</v>
      </c>
    </row>
    <row r="6693" spans="1:6" x14ac:dyDescent="0.2">
      <c r="A6693">
        <v>2015</v>
      </c>
      <c r="B6693" s="13">
        <v>2644</v>
      </c>
      <c r="C6693" s="90" t="str">
        <f>VLOOKUP(B6693,'All Districts'!$A$3:$B$874,2,FALSE)</f>
        <v>West Babylon</v>
      </c>
      <c r="D6693" s="14">
        <v>7174683</v>
      </c>
      <c r="E6693">
        <f>VLOOKUP(C6693,'All Districts'!$B$3:$C$874,2,FALSE)</f>
        <v>3630540</v>
      </c>
      <c r="F6693" s="91">
        <f>COUNTIF($E$2:$E$7106,E6693)</f>
        <v>9</v>
      </c>
    </row>
    <row r="6694" spans="1:6" x14ac:dyDescent="0.2">
      <c r="A6694">
        <v>2016</v>
      </c>
      <c r="B6694" s="13">
        <v>2644</v>
      </c>
      <c r="C6694" s="90" t="str">
        <f>VLOOKUP(B6694,'All Districts'!$A$3:$B$874,2,FALSE)</f>
        <v>West Babylon</v>
      </c>
      <c r="D6694" s="16">
        <v>5436905</v>
      </c>
      <c r="E6694">
        <f>VLOOKUP(C6694,'All Districts'!$B$3:$C$874,2,FALSE)</f>
        <v>3630540</v>
      </c>
      <c r="F6694" s="91">
        <f>COUNTIF($E$2:$E$7106,E6694)</f>
        <v>9</v>
      </c>
    </row>
    <row r="6695" spans="1:6" x14ac:dyDescent="0.2">
      <c r="A6695">
        <v>2017</v>
      </c>
      <c r="B6695" s="13">
        <v>2644</v>
      </c>
      <c r="C6695" s="90" t="str">
        <f>VLOOKUP(B6695,'All Districts'!$A$3:$B$874,2,FALSE)</f>
        <v>West Babylon</v>
      </c>
      <c r="D6695" s="16">
        <v>4971888</v>
      </c>
      <c r="E6695">
        <f>VLOOKUP(C6695,'All Districts'!$B$3:$C$874,2,FALSE)</f>
        <v>3630540</v>
      </c>
      <c r="F6695" s="91">
        <f>COUNTIF($E$2:$E$7106,E6695)</f>
        <v>9</v>
      </c>
    </row>
    <row r="6696" spans="1:6" x14ac:dyDescent="0.2">
      <c r="A6696" s="10">
        <v>2018</v>
      </c>
      <c r="B6696" s="13">
        <v>2644</v>
      </c>
      <c r="C6696" s="90" t="str">
        <f>VLOOKUP(B6696,'All Districts'!$A$3:$B$874,2,FALSE)</f>
        <v>West Babylon</v>
      </c>
      <c r="D6696" s="15">
        <v>4272602</v>
      </c>
      <c r="E6696">
        <f>VLOOKUP(C6696,'All Districts'!$B$3:$C$874,2,FALSE)</f>
        <v>3630540</v>
      </c>
      <c r="F6696" s="91">
        <f>COUNTIF($E$2:$E$7106,E6696)</f>
        <v>9</v>
      </c>
    </row>
    <row r="6697" spans="1:6" x14ac:dyDescent="0.2">
      <c r="A6697">
        <v>2019</v>
      </c>
      <c r="B6697" s="36">
        <v>2644</v>
      </c>
      <c r="C6697" s="90" t="str">
        <f>VLOOKUP(B6697,'All Districts'!$A$3:$B$874,2,FALSE)</f>
        <v>West Babylon</v>
      </c>
      <c r="D6697" s="40">
        <v>4703081</v>
      </c>
      <c r="E6697">
        <f>VLOOKUP(C6697,'All Districts'!$B$3:$C$874,2,FALSE)</f>
        <v>3630540</v>
      </c>
      <c r="F6697" s="91">
        <f>COUNTIF($E$2:$E$7106,E6697)</f>
        <v>9</v>
      </c>
    </row>
    <row r="6698" spans="1:6" x14ac:dyDescent="0.2">
      <c r="A6698">
        <v>2020</v>
      </c>
      <c r="B6698" s="36">
        <v>2644</v>
      </c>
      <c r="C6698" s="90" t="str">
        <f>VLOOKUP(B6698,'All Districts'!$A$3:$B$874,2,FALSE)</f>
        <v>West Babylon</v>
      </c>
      <c r="D6698" s="40">
        <v>3949019</v>
      </c>
      <c r="E6698">
        <f>VLOOKUP(C6698,'All Districts'!$B$3:$C$874,2,FALSE)</f>
        <v>3630540</v>
      </c>
      <c r="F6698" s="91">
        <f>COUNTIF($E$2:$E$7106,E6698)</f>
        <v>9</v>
      </c>
    </row>
    <row r="6699" spans="1:6" x14ac:dyDescent="0.2">
      <c r="A6699" s="10">
        <v>2021</v>
      </c>
      <c r="B6699" s="52">
        <v>2644</v>
      </c>
      <c r="C6699" s="90" t="str">
        <f>VLOOKUP(B6699,'All Districts'!$A$3:$B$874,2,FALSE)</f>
        <v>West Babylon</v>
      </c>
      <c r="D6699" s="76">
        <v>4231360</v>
      </c>
      <c r="E6699">
        <f>VLOOKUP(C6699,'All Districts'!$B$3:$C$874,2,FALSE)</f>
        <v>3630540</v>
      </c>
      <c r="F6699" s="91">
        <f>COUNTIF($E$2:$E$7106,E6699)</f>
        <v>9</v>
      </c>
    </row>
    <row r="6700" spans="1:6" x14ac:dyDescent="0.2">
      <c r="A6700">
        <v>2022</v>
      </c>
      <c r="B6700" s="36">
        <v>2644</v>
      </c>
      <c r="C6700" s="90" t="str">
        <f>VLOOKUP(B6700,'All Districts'!$A$3:$B$874,2,FALSE)</f>
        <v>West Babylon</v>
      </c>
      <c r="D6700" s="82">
        <v>4564820</v>
      </c>
      <c r="E6700">
        <f>VLOOKUP(C6700,'All Districts'!$B$3:$C$874,2,FALSE)</f>
        <v>3630540</v>
      </c>
      <c r="F6700" s="91">
        <f>COUNTIF($E$2:$E$7106,E6700)</f>
        <v>9</v>
      </c>
    </row>
    <row r="6701" spans="1:6" x14ac:dyDescent="0.2">
      <c r="A6701">
        <v>2023</v>
      </c>
      <c r="B6701" s="36">
        <v>2644</v>
      </c>
      <c r="C6701" s="90" t="str">
        <f>VLOOKUP(B6701,'All Districts'!$A$3:$B$874,2,FALSE)</f>
        <v>West Babylon</v>
      </c>
      <c r="D6701" s="40">
        <v>4956347</v>
      </c>
      <c r="E6701">
        <f>VLOOKUP(C6701,'All Districts'!$B$3:$C$874,2,FALSE)</f>
        <v>3630540</v>
      </c>
      <c r="F6701" s="91">
        <f>COUNTIF($E$2:$E$7106,E6701)</f>
        <v>9</v>
      </c>
    </row>
    <row r="6702" spans="1:6" x14ac:dyDescent="0.2">
      <c r="A6702">
        <v>2015</v>
      </c>
      <c r="B6702" s="13">
        <v>8430</v>
      </c>
      <c r="C6702" s="90" t="str">
        <f>VLOOKUP(B6702,'All Districts'!$A$3:$B$874,2,FALSE)</f>
        <v>West Buffalo</v>
      </c>
      <c r="D6702" s="16">
        <v>242786</v>
      </c>
      <c r="E6702">
        <f>VLOOKUP(C6702,'All Districts'!$B$3:$C$874,2,FALSE)</f>
        <v>3601055</v>
      </c>
      <c r="F6702" s="91">
        <f>COUNTIF($E$2:$E$7106,E6702)</f>
        <v>9</v>
      </c>
    </row>
    <row r="6703" spans="1:6" x14ac:dyDescent="0.2">
      <c r="A6703">
        <v>2016</v>
      </c>
      <c r="B6703" s="13">
        <v>8430</v>
      </c>
      <c r="C6703" s="90" t="str">
        <f>VLOOKUP(B6703,'All Districts'!$A$3:$B$874,2,FALSE)</f>
        <v>West Buffalo</v>
      </c>
      <c r="D6703" s="16">
        <v>210391</v>
      </c>
      <c r="E6703">
        <f>VLOOKUP(C6703,'All Districts'!$B$3:$C$874,2,FALSE)</f>
        <v>3601055</v>
      </c>
      <c r="F6703" s="91">
        <f>COUNTIF($E$2:$E$7106,E6703)</f>
        <v>9</v>
      </c>
    </row>
    <row r="6704" spans="1:6" x14ac:dyDescent="0.2">
      <c r="A6704">
        <v>2017</v>
      </c>
      <c r="B6704" s="13">
        <v>8430</v>
      </c>
      <c r="C6704" s="90" t="str">
        <f>VLOOKUP(B6704,'All Districts'!$A$3:$B$874,2,FALSE)</f>
        <v>West Buffalo</v>
      </c>
      <c r="D6704" s="16">
        <v>220716</v>
      </c>
      <c r="E6704">
        <f>VLOOKUP(C6704,'All Districts'!$B$3:$C$874,2,FALSE)</f>
        <v>3601055</v>
      </c>
      <c r="F6704" s="91">
        <f>COUNTIF($E$2:$E$7106,E6704)</f>
        <v>9</v>
      </c>
    </row>
    <row r="6705" spans="1:6" x14ac:dyDescent="0.2">
      <c r="A6705" s="10">
        <v>2018</v>
      </c>
      <c r="B6705" s="13">
        <v>8430</v>
      </c>
      <c r="C6705" s="90" t="str">
        <f>VLOOKUP(B6705,'All Districts'!$A$3:$B$874,2,FALSE)</f>
        <v>West Buffalo</v>
      </c>
      <c r="D6705" s="15">
        <v>208470</v>
      </c>
      <c r="E6705">
        <f>VLOOKUP(C6705,'All Districts'!$B$3:$C$874,2,FALSE)</f>
        <v>3601055</v>
      </c>
      <c r="F6705" s="91">
        <f>COUNTIF($E$2:$E$7106,E6705)</f>
        <v>9</v>
      </c>
    </row>
    <row r="6706" spans="1:6" x14ac:dyDescent="0.2">
      <c r="A6706">
        <v>2019</v>
      </c>
      <c r="B6706" s="36">
        <v>8430</v>
      </c>
      <c r="C6706" s="90" t="str">
        <f>VLOOKUP(B6706,'All Districts'!$A$3:$B$874,2,FALSE)</f>
        <v>West Buffalo</v>
      </c>
      <c r="D6706" s="40">
        <v>263291</v>
      </c>
      <c r="E6706">
        <f>VLOOKUP(C6706,'All Districts'!$B$3:$C$874,2,FALSE)</f>
        <v>3601055</v>
      </c>
      <c r="F6706" s="91">
        <f>COUNTIF($E$2:$E$7106,E6706)</f>
        <v>9</v>
      </c>
    </row>
    <row r="6707" spans="1:6" x14ac:dyDescent="0.2">
      <c r="A6707">
        <v>2020</v>
      </c>
      <c r="B6707" s="36">
        <v>8430</v>
      </c>
      <c r="C6707" s="90" t="str">
        <f>VLOOKUP(B6707,'All Districts'!$A$3:$B$874,2,FALSE)</f>
        <v>West Buffalo</v>
      </c>
      <c r="D6707" s="40">
        <v>236294</v>
      </c>
      <c r="E6707">
        <f>VLOOKUP(C6707,'All Districts'!$B$3:$C$874,2,FALSE)</f>
        <v>3601055</v>
      </c>
      <c r="F6707" s="91">
        <f>COUNTIF($E$2:$E$7106,E6707)</f>
        <v>9</v>
      </c>
    </row>
    <row r="6708" spans="1:6" x14ac:dyDescent="0.2">
      <c r="A6708" s="10">
        <v>2021</v>
      </c>
      <c r="B6708" s="74">
        <v>8430</v>
      </c>
      <c r="C6708" s="90" t="str">
        <f>VLOOKUP(B6708,'All Districts'!$A$3:$B$874,2,FALSE)</f>
        <v>West Buffalo</v>
      </c>
      <c r="D6708" s="81">
        <v>253950</v>
      </c>
      <c r="E6708">
        <f>VLOOKUP(C6708,'All Districts'!$B$3:$C$874,2,FALSE)</f>
        <v>3601055</v>
      </c>
      <c r="F6708" s="91">
        <f>COUNTIF($E$2:$E$7106,E6708)</f>
        <v>9</v>
      </c>
    </row>
    <row r="6709" spans="1:6" x14ac:dyDescent="0.2">
      <c r="A6709">
        <v>2022</v>
      </c>
      <c r="B6709" s="36">
        <v>8430</v>
      </c>
      <c r="C6709" s="90" t="str">
        <f>VLOOKUP(B6709,'All Districts'!$A$3:$B$874,2,FALSE)</f>
        <v>West Buffalo</v>
      </c>
      <c r="D6709" s="82">
        <v>303141</v>
      </c>
      <c r="E6709">
        <f>VLOOKUP(C6709,'All Districts'!$B$3:$C$874,2,FALSE)</f>
        <v>3601055</v>
      </c>
      <c r="F6709" s="91">
        <f>COUNTIF($E$2:$E$7106,E6709)</f>
        <v>9</v>
      </c>
    </row>
    <row r="6710" spans="1:6" x14ac:dyDescent="0.2">
      <c r="A6710">
        <v>2023</v>
      </c>
      <c r="B6710" s="36">
        <v>8430</v>
      </c>
      <c r="C6710" s="90" t="str">
        <f>VLOOKUP(B6710,'All Districts'!$A$3:$B$874,2,FALSE)</f>
        <v>West Buffalo</v>
      </c>
      <c r="D6710" s="40">
        <v>358056</v>
      </c>
      <c r="E6710">
        <f>VLOOKUP(C6710,'All Districts'!$B$3:$C$874,2,FALSE)</f>
        <v>3601055</v>
      </c>
      <c r="F6710" s="91">
        <f>COUNTIF($E$2:$E$7106,E6710)</f>
        <v>9</v>
      </c>
    </row>
    <row r="6711" spans="1:6" x14ac:dyDescent="0.2">
      <c r="A6711">
        <v>2015</v>
      </c>
      <c r="B6711" s="13">
        <v>4030</v>
      </c>
      <c r="C6711" s="90" t="str">
        <f>VLOOKUP(B6711,'All Districts'!$A$3:$B$874,2,FALSE)</f>
        <v>West Canada Valley</v>
      </c>
      <c r="D6711" s="14">
        <v>734237</v>
      </c>
      <c r="E6711">
        <f>VLOOKUP(C6711,'All Districts'!$B$3:$C$874,2,FALSE)</f>
        <v>3630600</v>
      </c>
      <c r="F6711" s="91">
        <f>COUNTIF($E$2:$E$7106,E6711)</f>
        <v>9</v>
      </c>
    </row>
    <row r="6712" spans="1:6" x14ac:dyDescent="0.2">
      <c r="A6712">
        <v>2016</v>
      </c>
      <c r="B6712" s="13">
        <v>4030</v>
      </c>
      <c r="C6712" s="90" t="str">
        <f>VLOOKUP(B6712,'All Districts'!$A$3:$B$874,2,FALSE)</f>
        <v>West Canada Valley</v>
      </c>
      <c r="D6712" s="16">
        <v>576552</v>
      </c>
      <c r="E6712">
        <f>VLOOKUP(C6712,'All Districts'!$B$3:$C$874,2,FALSE)</f>
        <v>3630600</v>
      </c>
      <c r="F6712" s="91">
        <f>COUNTIF($E$2:$E$7106,E6712)</f>
        <v>9</v>
      </c>
    </row>
    <row r="6713" spans="1:6" x14ac:dyDescent="0.2">
      <c r="A6713">
        <v>2017</v>
      </c>
      <c r="B6713" s="13">
        <v>4030</v>
      </c>
      <c r="C6713" s="90" t="str">
        <f>VLOOKUP(B6713,'All Districts'!$A$3:$B$874,2,FALSE)</f>
        <v>West Canada Valley</v>
      </c>
      <c r="D6713" s="16">
        <v>522220</v>
      </c>
      <c r="E6713">
        <f>VLOOKUP(C6713,'All Districts'!$B$3:$C$874,2,FALSE)</f>
        <v>3630600</v>
      </c>
      <c r="F6713" s="91">
        <f>COUNTIF($E$2:$E$7106,E6713)</f>
        <v>9</v>
      </c>
    </row>
    <row r="6714" spans="1:6" x14ac:dyDescent="0.2">
      <c r="A6714" s="10">
        <v>2018</v>
      </c>
      <c r="B6714" s="13">
        <v>4030</v>
      </c>
      <c r="C6714" s="90" t="str">
        <f>VLOOKUP(B6714,'All Districts'!$A$3:$B$874,2,FALSE)</f>
        <v>West Canada Valley</v>
      </c>
      <c r="D6714" s="15">
        <v>449436</v>
      </c>
      <c r="E6714">
        <f>VLOOKUP(C6714,'All Districts'!$B$3:$C$874,2,FALSE)</f>
        <v>3630600</v>
      </c>
      <c r="F6714" s="91">
        <f>COUNTIF($E$2:$E$7106,E6714)</f>
        <v>9</v>
      </c>
    </row>
    <row r="6715" spans="1:6" x14ac:dyDescent="0.2">
      <c r="A6715">
        <v>2019</v>
      </c>
      <c r="B6715" s="36">
        <v>4030</v>
      </c>
      <c r="C6715" s="90" t="str">
        <f>VLOOKUP(B6715,'All Districts'!$A$3:$B$874,2,FALSE)</f>
        <v>West Canada Valley</v>
      </c>
      <c r="D6715" s="40">
        <v>500763</v>
      </c>
      <c r="E6715">
        <f>VLOOKUP(C6715,'All Districts'!$B$3:$C$874,2,FALSE)</f>
        <v>3630600</v>
      </c>
      <c r="F6715" s="91">
        <f>COUNTIF($E$2:$E$7106,E6715)</f>
        <v>9</v>
      </c>
    </row>
    <row r="6716" spans="1:6" x14ac:dyDescent="0.2">
      <c r="A6716">
        <v>2020</v>
      </c>
      <c r="B6716" s="36">
        <v>4030</v>
      </c>
      <c r="C6716" s="90" t="str">
        <f>VLOOKUP(B6716,'All Districts'!$A$3:$B$874,2,FALSE)</f>
        <v>West Canada Valley</v>
      </c>
      <c r="D6716" s="40">
        <v>432594</v>
      </c>
      <c r="E6716">
        <f>VLOOKUP(C6716,'All Districts'!$B$3:$C$874,2,FALSE)</f>
        <v>3630600</v>
      </c>
      <c r="F6716" s="91">
        <f>COUNTIF($E$2:$E$7106,E6716)</f>
        <v>9</v>
      </c>
    </row>
    <row r="6717" spans="1:6" x14ac:dyDescent="0.2">
      <c r="A6717" s="10">
        <v>2021</v>
      </c>
      <c r="B6717" s="52">
        <v>4030</v>
      </c>
      <c r="C6717" s="90" t="str">
        <f>VLOOKUP(B6717,'All Districts'!$A$3:$B$874,2,FALSE)</f>
        <v>West Canada Valley</v>
      </c>
      <c r="D6717" s="76">
        <v>466986</v>
      </c>
      <c r="E6717">
        <f>VLOOKUP(C6717,'All Districts'!$B$3:$C$874,2,FALSE)</f>
        <v>3630600</v>
      </c>
      <c r="F6717" s="91">
        <f>COUNTIF($E$2:$E$7106,E6717)</f>
        <v>9</v>
      </c>
    </row>
    <row r="6718" spans="1:6" x14ac:dyDescent="0.2">
      <c r="A6718">
        <v>2022</v>
      </c>
      <c r="B6718" s="36">
        <v>4030</v>
      </c>
      <c r="C6718" s="90" t="str">
        <f>VLOOKUP(B6718,'All Districts'!$A$3:$B$874,2,FALSE)</f>
        <v>West Canada Valley</v>
      </c>
      <c r="D6718" s="82">
        <v>504757</v>
      </c>
      <c r="E6718">
        <f>VLOOKUP(C6718,'All Districts'!$B$3:$C$874,2,FALSE)</f>
        <v>3630600</v>
      </c>
      <c r="F6718" s="91">
        <f>COUNTIF($E$2:$E$7106,E6718)</f>
        <v>9</v>
      </c>
    </row>
    <row r="6719" spans="1:6" x14ac:dyDescent="0.2">
      <c r="A6719">
        <v>2023</v>
      </c>
      <c r="B6719" s="36">
        <v>4030</v>
      </c>
      <c r="C6719" s="90" t="str">
        <f>VLOOKUP(B6719,'All Districts'!$A$3:$B$874,2,FALSE)</f>
        <v>West Canada Valley</v>
      </c>
      <c r="D6719" s="40">
        <v>548064</v>
      </c>
      <c r="E6719">
        <f>VLOOKUP(C6719,'All Districts'!$B$3:$C$874,2,FALSE)</f>
        <v>3630600</v>
      </c>
      <c r="F6719" s="91">
        <f>COUNTIF($E$2:$E$7106,E6719)</f>
        <v>9</v>
      </c>
    </row>
    <row r="6720" spans="1:6" x14ac:dyDescent="0.2">
      <c r="A6720">
        <v>2015</v>
      </c>
      <c r="B6720" s="13">
        <v>2059</v>
      </c>
      <c r="C6720" s="90" t="str">
        <f>VLOOKUP(B6720,'All Districts'!$A$3:$B$874,2,FALSE)</f>
        <v>West Genesee</v>
      </c>
      <c r="D6720" s="14">
        <v>5523431</v>
      </c>
      <c r="E6720">
        <f>VLOOKUP(C6720,'All Districts'!$B$3:$C$874,2,FALSE)</f>
        <v>3630630</v>
      </c>
      <c r="F6720" s="91">
        <f>COUNTIF($E$2:$E$7106,E6720)</f>
        <v>9</v>
      </c>
    </row>
    <row r="6721" spans="1:6" x14ac:dyDescent="0.2">
      <c r="A6721">
        <v>2016</v>
      </c>
      <c r="B6721" s="13">
        <v>2059</v>
      </c>
      <c r="C6721" s="90" t="str">
        <f>VLOOKUP(B6721,'All Districts'!$A$3:$B$874,2,FALSE)</f>
        <v>West Genesee</v>
      </c>
      <c r="D6721" s="16">
        <v>4325613</v>
      </c>
      <c r="E6721">
        <f>VLOOKUP(C6721,'All Districts'!$B$3:$C$874,2,FALSE)</f>
        <v>3630630</v>
      </c>
      <c r="F6721" s="91">
        <f>COUNTIF($E$2:$E$7106,E6721)</f>
        <v>9</v>
      </c>
    </row>
    <row r="6722" spans="1:6" x14ac:dyDescent="0.2">
      <c r="A6722">
        <v>2017</v>
      </c>
      <c r="B6722" s="13">
        <v>2059</v>
      </c>
      <c r="C6722" s="90" t="str">
        <f>VLOOKUP(B6722,'All Districts'!$A$3:$B$874,2,FALSE)</f>
        <v>West Genesee</v>
      </c>
      <c r="D6722" s="16">
        <v>4012824</v>
      </c>
      <c r="E6722">
        <f>VLOOKUP(C6722,'All Districts'!$B$3:$C$874,2,FALSE)</f>
        <v>3630630</v>
      </c>
      <c r="F6722" s="91">
        <f>COUNTIF($E$2:$E$7106,E6722)</f>
        <v>9</v>
      </c>
    </row>
    <row r="6723" spans="1:6" x14ac:dyDescent="0.2">
      <c r="A6723" s="10">
        <v>2018</v>
      </c>
      <c r="B6723" s="13">
        <v>2059</v>
      </c>
      <c r="C6723" s="90" t="str">
        <f>VLOOKUP(B6723,'All Districts'!$A$3:$B$874,2,FALSE)</f>
        <v>West Genesee</v>
      </c>
      <c r="D6723" s="15">
        <v>3485983</v>
      </c>
      <c r="E6723">
        <f>VLOOKUP(C6723,'All Districts'!$B$3:$C$874,2,FALSE)</f>
        <v>3630630</v>
      </c>
      <c r="F6723" s="91">
        <f>COUNTIF($E$2:$E$7106,E6723)</f>
        <v>9</v>
      </c>
    </row>
    <row r="6724" spans="1:6" x14ac:dyDescent="0.2">
      <c r="A6724">
        <v>2019</v>
      </c>
      <c r="B6724" s="36">
        <v>2059</v>
      </c>
      <c r="C6724" s="90" t="str">
        <f>VLOOKUP(B6724,'All Districts'!$A$3:$B$874,2,FALSE)</f>
        <v>West Genesee</v>
      </c>
      <c r="D6724" s="40">
        <v>3955362</v>
      </c>
      <c r="E6724">
        <f>VLOOKUP(C6724,'All Districts'!$B$3:$C$874,2,FALSE)</f>
        <v>3630630</v>
      </c>
      <c r="F6724" s="91">
        <f>COUNTIF($E$2:$E$7106,E6724)</f>
        <v>9</v>
      </c>
    </row>
    <row r="6725" spans="1:6" x14ac:dyDescent="0.2">
      <c r="A6725">
        <v>2020</v>
      </c>
      <c r="B6725" s="36">
        <v>2059</v>
      </c>
      <c r="C6725" s="90" t="str">
        <f>VLOOKUP(B6725,'All Districts'!$A$3:$B$874,2,FALSE)</f>
        <v>West Genesee</v>
      </c>
      <c r="D6725" s="40">
        <v>3426397</v>
      </c>
      <c r="E6725">
        <f>VLOOKUP(C6725,'All Districts'!$B$3:$C$874,2,FALSE)</f>
        <v>3630630</v>
      </c>
      <c r="F6725" s="91">
        <f>COUNTIF($E$2:$E$7106,E6725)</f>
        <v>9</v>
      </c>
    </row>
    <row r="6726" spans="1:6" x14ac:dyDescent="0.2">
      <c r="A6726" s="10">
        <v>2021</v>
      </c>
      <c r="B6726" s="70">
        <v>2059</v>
      </c>
      <c r="C6726" s="90" t="str">
        <f>VLOOKUP(B6726,'All Districts'!$A$3:$B$874,2,FALSE)</f>
        <v>West Genesee</v>
      </c>
      <c r="D6726" s="77">
        <v>3696661</v>
      </c>
      <c r="E6726">
        <f>VLOOKUP(C6726,'All Districts'!$B$3:$C$874,2,FALSE)</f>
        <v>3630630</v>
      </c>
      <c r="F6726" s="91">
        <f>COUNTIF($E$2:$E$7106,E6726)</f>
        <v>9</v>
      </c>
    </row>
    <row r="6727" spans="1:6" x14ac:dyDescent="0.2">
      <c r="A6727">
        <v>2022</v>
      </c>
      <c r="B6727" s="36">
        <v>2059</v>
      </c>
      <c r="C6727" s="90" t="str">
        <f>VLOOKUP(B6727,'All Districts'!$A$3:$B$874,2,FALSE)</f>
        <v>West Genesee</v>
      </c>
      <c r="D6727" s="82">
        <v>3891885</v>
      </c>
      <c r="E6727">
        <f>VLOOKUP(C6727,'All Districts'!$B$3:$C$874,2,FALSE)</f>
        <v>3630630</v>
      </c>
      <c r="F6727" s="91">
        <f>COUNTIF($E$2:$E$7106,E6727)</f>
        <v>9</v>
      </c>
    </row>
    <row r="6728" spans="1:6" x14ac:dyDescent="0.2">
      <c r="A6728">
        <v>2023</v>
      </c>
      <c r="B6728" s="36">
        <v>2059</v>
      </c>
      <c r="C6728" s="90" t="str">
        <f>VLOOKUP(B6728,'All Districts'!$A$3:$B$874,2,FALSE)</f>
        <v>West Genesee</v>
      </c>
      <c r="D6728" s="40">
        <v>4291208</v>
      </c>
      <c r="E6728">
        <f>VLOOKUP(C6728,'All Districts'!$B$3:$C$874,2,FALSE)</f>
        <v>3630630</v>
      </c>
      <c r="F6728" s="91">
        <f>COUNTIF($E$2:$E$7106,E6728)</f>
        <v>9</v>
      </c>
    </row>
    <row r="6729" spans="1:6" x14ac:dyDescent="0.2">
      <c r="A6729">
        <v>2015</v>
      </c>
      <c r="B6729" s="13">
        <v>2640</v>
      </c>
      <c r="C6729" s="90" t="str">
        <f>VLOOKUP(B6729,'All Districts'!$A$3:$B$874,2,FALSE)</f>
        <v>West Hempstead</v>
      </c>
      <c r="D6729" s="14">
        <v>3789548</v>
      </c>
      <c r="E6729">
        <f>VLOOKUP(C6729,'All Districts'!$B$3:$C$874,2,FALSE)</f>
        <v>3630660</v>
      </c>
      <c r="F6729" s="91">
        <f>COUNTIF($E$2:$E$7106,E6729)</f>
        <v>9</v>
      </c>
    </row>
    <row r="6730" spans="1:6" x14ac:dyDescent="0.2">
      <c r="A6730">
        <v>2016</v>
      </c>
      <c r="B6730" s="13">
        <v>2640</v>
      </c>
      <c r="C6730" s="90" t="str">
        <f>VLOOKUP(B6730,'All Districts'!$A$3:$B$874,2,FALSE)</f>
        <v>West Hempstead</v>
      </c>
      <c r="D6730" s="16">
        <v>2829854</v>
      </c>
      <c r="E6730">
        <f>VLOOKUP(C6730,'All Districts'!$B$3:$C$874,2,FALSE)</f>
        <v>3630660</v>
      </c>
      <c r="F6730" s="91">
        <f>COUNTIF($E$2:$E$7106,E6730)</f>
        <v>9</v>
      </c>
    </row>
    <row r="6731" spans="1:6" x14ac:dyDescent="0.2">
      <c r="A6731">
        <v>2017</v>
      </c>
      <c r="B6731" s="13">
        <v>2640</v>
      </c>
      <c r="C6731" s="90" t="str">
        <f>VLOOKUP(B6731,'All Districts'!$A$3:$B$874,2,FALSE)</f>
        <v>West Hempstead</v>
      </c>
      <c r="D6731" s="16">
        <v>2359797</v>
      </c>
      <c r="E6731">
        <f>VLOOKUP(C6731,'All Districts'!$B$3:$C$874,2,FALSE)</f>
        <v>3630660</v>
      </c>
      <c r="F6731" s="91">
        <f>COUNTIF($E$2:$E$7106,E6731)</f>
        <v>9</v>
      </c>
    </row>
    <row r="6732" spans="1:6" x14ac:dyDescent="0.2">
      <c r="A6732" s="10">
        <v>2018</v>
      </c>
      <c r="B6732" s="13">
        <v>2640</v>
      </c>
      <c r="C6732" s="90" t="str">
        <f>VLOOKUP(B6732,'All Districts'!$A$3:$B$874,2,FALSE)</f>
        <v>West Hempstead</v>
      </c>
      <c r="D6732" s="15">
        <v>2042432</v>
      </c>
      <c r="E6732">
        <f>VLOOKUP(C6732,'All Districts'!$B$3:$C$874,2,FALSE)</f>
        <v>3630660</v>
      </c>
      <c r="F6732" s="91">
        <f>COUNTIF($E$2:$E$7106,E6732)</f>
        <v>9</v>
      </c>
    </row>
    <row r="6733" spans="1:6" x14ac:dyDescent="0.2">
      <c r="A6733">
        <v>2019</v>
      </c>
      <c r="B6733" s="36">
        <v>2640</v>
      </c>
      <c r="C6733" s="90" t="str">
        <f>VLOOKUP(B6733,'All Districts'!$A$3:$B$874,2,FALSE)</f>
        <v>West Hempstead</v>
      </c>
      <c r="D6733" s="40">
        <v>2281376</v>
      </c>
      <c r="E6733">
        <f>VLOOKUP(C6733,'All Districts'!$B$3:$C$874,2,FALSE)</f>
        <v>3630660</v>
      </c>
      <c r="F6733" s="91">
        <f>COUNTIF($E$2:$E$7106,E6733)</f>
        <v>9</v>
      </c>
    </row>
    <row r="6734" spans="1:6" x14ac:dyDescent="0.2">
      <c r="A6734">
        <v>2020</v>
      </c>
      <c r="B6734" s="36">
        <v>2640</v>
      </c>
      <c r="C6734" s="90" t="str">
        <f>VLOOKUP(B6734,'All Districts'!$A$3:$B$874,2,FALSE)</f>
        <v>West Hempstead</v>
      </c>
      <c r="D6734" s="40">
        <v>1974623</v>
      </c>
      <c r="E6734">
        <f>VLOOKUP(C6734,'All Districts'!$B$3:$C$874,2,FALSE)</f>
        <v>3630660</v>
      </c>
      <c r="F6734" s="91">
        <f>COUNTIF($E$2:$E$7106,E6734)</f>
        <v>9</v>
      </c>
    </row>
    <row r="6735" spans="1:6" x14ac:dyDescent="0.2">
      <c r="A6735" s="10">
        <v>2021</v>
      </c>
      <c r="B6735" s="52">
        <v>2640</v>
      </c>
      <c r="C6735" s="90" t="str">
        <f>VLOOKUP(B6735,'All Districts'!$A$3:$B$874,2,FALSE)</f>
        <v>West Hempstead</v>
      </c>
      <c r="D6735" s="75">
        <v>2172361</v>
      </c>
      <c r="E6735">
        <f>VLOOKUP(C6735,'All Districts'!$B$3:$C$874,2,FALSE)</f>
        <v>3630660</v>
      </c>
      <c r="F6735" s="91">
        <f>COUNTIF($E$2:$E$7106,E6735)</f>
        <v>9</v>
      </c>
    </row>
    <row r="6736" spans="1:6" x14ac:dyDescent="0.2">
      <c r="A6736">
        <v>2022</v>
      </c>
      <c r="B6736" s="36">
        <v>2640</v>
      </c>
      <c r="C6736" s="90" t="str">
        <f>VLOOKUP(B6736,'All Districts'!$A$3:$B$874,2,FALSE)</f>
        <v>West Hempstead</v>
      </c>
      <c r="D6736" s="82">
        <v>2310155</v>
      </c>
      <c r="E6736">
        <f>VLOOKUP(C6736,'All Districts'!$B$3:$C$874,2,FALSE)</f>
        <v>3630660</v>
      </c>
      <c r="F6736" s="91">
        <f>COUNTIF($E$2:$E$7106,E6736)</f>
        <v>9</v>
      </c>
    </row>
    <row r="6737" spans="1:6" x14ac:dyDescent="0.2">
      <c r="A6737">
        <v>2023</v>
      </c>
      <c r="B6737" s="36">
        <v>2640</v>
      </c>
      <c r="C6737" s="90" t="str">
        <f>VLOOKUP(B6737,'All Districts'!$A$3:$B$874,2,FALSE)</f>
        <v>West Hempstead</v>
      </c>
      <c r="D6737" s="40">
        <v>2433662</v>
      </c>
      <c r="E6737">
        <f>VLOOKUP(C6737,'All Districts'!$B$3:$C$874,2,FALSE)</f>
        <v>3630660</v>
      </c>
      <c r="F6737" s="91">
        <f>COUNTIF($E$2:$E$7106,E6737)</f>
        <v>9</v>
      </c>
    </row>
    <row r="6738" spans="1:6" x14ac:dyDescent="0.2">
      <c r="A6738">
        <v>2015</v>
      </c>
      <c r="B6738" s="13">
        <v>2270</v>
      </c>
      <c r="C6738" s="90" t="str">
        <f>VLOOKUP(B6738,'All Districts'!$A$3:$B$874,2,FALSE)</f>
        <v>West Irondequoit</v>
      </c>
      <c r="D6738" s="14">
        <v>4018264</v>
      </c>
      <c r="E6738">
        <f>VLOOKUP(C6738,'All Districts'!$B$3:$C$874,2,FALSE)</f>
        <v>3615390</v>
      </c>
      <c r="F6738" s="91">
        <f>COUNTIF($E$2:$E$7106,E6738)</f>
        <v>9</v>
      </c>
    </row>
    <row r="6739" spans="1:6" x14ac:dyDescent="0.2">
      <c r="A6739">
        <v>2016</v>
      </c>
      <c r="B6739" s="13">
        <v>2270</v>
      </c>
      <c r="C6739" s="90" t="str">
        <f>VLOOKUP(B6739,'All Districts'!$A$3:$B$874,2,FALSE)</f>
        <v>West Irondequoit</v>
      </c>
      <c r="D6739" s="16">
        <v>3179672</v>
      </c>
      <c r="E6739">
        <f>VLOOKUP(C6739,'All Districts'!$B$3:$C$874,2,FALSE)</f>
        <v>3615390</v>
      </c>
      <c r="F6739" s="91">
        <f>COUNTIF($E$2:$E$7106,E6739)</f>
        <v>9</v>
      </c>
    </row>
    <row r="6740" spans="1:6" x14ac:dyDescent="0.2">
      <c r="A6740">
        <v>2017</v>
      </c>
      <c r="B6740" s="13">
        <v>2270</v>
      </c>
      <c r="C6740" s="90" t="str">
        <f>VLOOKUP(B6740,'All Districts'!$A$3:$B$874,2,FALSE)</f>
        <v>West Irondequoit</v>
      </c>
      <c r="D6740" s="16">
        <v>2917787</v>
      </c>
      <c r="E6740">
        <f>VLOOKUP(C6740,'All Districts'!$B$3:$C$874,2,FALSE)</f>
        <v>3615390</v>
      </c>
      <c r="F6740" s="91">
        <f>COUNTIF($E$2:$E$7106,E6740)</f>
        <v>9</v>
      </c>
    </row>
    <row r="6741" spans="1:6" x14ac:dyDescent="0.2">
      <c r="A6741" s="10">
        <v>2018</v>
      </c>
      <c r="B6741" s="13">
        <v>2270</v>
      </c>
      <c r="C6741" s="90" t="str">
        <f>VLOOKUP(B6741,'All Districts'!$A$3:$B$874,2,FALSE)</f>
        <v>West Irondequoit</v>
      </c>
      <c r="D6741" s="15">
        <v>2512564</v>
      </c>
      <c r="E6741">
        <f>VLOOKUP(C6741,'All Districts'!$B$3:$C$874,2,FALSE)</f>
        <v>3615390</v>
      </c>
      <c r="F6741" s="91">
        <f>COUNTIF($E$2:$E$7106,E6741)</f>
        <v>9</v>
      </c>
    </row>
    <row r="6742" spans="1:6" x14ac:dyDescent="0.2">
      <c r="A6742">
        <v>2019</v>
      </c>
      <c r="B6742" s="36">
        <v>2270</v>
      </c>
      <c r="C6742" s="90" t="str">
        <f>VLOOKUP(B6742,'All Districts'!$A$3:$B$874,2,FALSE)</f>
        <v>West Irondequoit</v>
      </c>
      <c r="D6742" s="40">
        <v>2766506</v>
      </c>
      <c r="E6742">
        <f>VLOOKUP(C6742,'All Districts'!$B$3:$C$874,2,FALSE)</f>
        <v>3615390</v>
      </c>
      <c r="F6742" s="91">
        <f>COUNTIF($E$2:$E$7106,E6742)</f>
        <v>9</v>
      </c>
    </row>
    <row r="6743" spans="1:6" x14ac:dyDescent="0.2">
      <c r="A6743">
        <v>2020</v>
      </c>
      <c r="B6743" s="36">
        <v>2270</v>
      </c>
      <c r="C6743" s="90" t="str">
        <f>VLOOKUP(B6743,'All Districts'!$A$3:$B$874,2,FALSE)</f>
        <v>West Irondequoit</v>
      </c>
      <c r="D6743" s="40">
        <v>2389443</v>
      </c>
      <c r="E6743">
        <f>VLOOKUP(C6743,'All Districts'!$B$3:$C$874,2,FALSE)</f>
        <v>3615390</v>
      </c>
      <c r="F6743" s="91">
        <f>COUNTIF($E$2:$E$7106,E6743)</f>
        <v>9</v>
      </c>
    </row>
    <row r="6744" spans="1:6" x14ac:dyDescent="0.2">
      <c r="A6744" s="10">
        <v>2021</v>
      </c>
      <c r="B6744" s="55">
        <v>2270</v>
      </c>
      <c r="C6744" s="90" t="str">
        <f>VLOOKUP(B6744,'All Districts'!$A$3:$B$874,2,FALSE)</f>
        <v>West Irondequoit</v>
      </c>
      <c r="D6744" s="75">
        <v>2578514</v>
      </c>
      <c r="E6744">
        <f>VLOOKUP(C6744,'All Districts'!$B$3:$C$874,2,FALSE)</f>
        <v>3615390</v>
      </c>
      <c r="F6744" s="91">
        <f>COUNTIF($E$2:$E$7106,E6744)</f>
        <v>9</v>
      </c>
    </row>
    <row r="6745" spans="1:6" x14ac:dyDescent="0.2">
      <c r="A6745">
        <v>2022</v>
      </c>
      <c r="B6745" s="36">
        <v>2270</v>
      </c>
      <c r="C6745" s="90" t="str">
        <f>VLOOKUP(B6745,'All Districts'!$A$3:$B$874,2,FALSE)</f>
        <v>West Irondequoit</v>
      </c>
      <c r="D6745" s="82">
        <v>2801860</v>
      </c>
      <c r="E6745">
        <f>VLOOKUP(C6745,'All Districts'!$B$3:$C$874,2,FALSE)</f>
        <v>3615390</v>
      </c>
      <c r="F6745" s="91">
        <f>COUNTIF($E$2:$E$7106,E6745)</f>
        <v>9</v>
      </c>
    </row>
    <row r="6746" spans="1:6" x14ac:dyDescent="0.2">
      <c r="A6746">
        <v>2023</v>
      </c>
      <c r="B6746" s="36">
        <v>2270</v>
      </c>
      <c r="C6746" s="90" t="str">
        <f>VLOOKUP(B6746,'All Districts'!$A$3:$B$874,2,FALSE)</f>
        <v>West Irondequoit</v>
      </c>
      <c r="D6746" s="40">
        <v>3024454</v>
      </c>
      <c r="E6746">
        <f>VLOOKUP(C6746,'All Districts'!$B$3:$C$874,2,FALSE)</f>
        <v>3615390</v>
      </c>
      <c r="F6746" s="91">
        <f>COUNTIF($E$2:$E$7106,E6746)</f>
        <v>9</v>
      </c>
    </row>
    <row r="6747" spans="1:6" x14ac:dyDescent="0.2">
      <c r="A6747">
        <v>2015</v>
      </c>
      <c r="B6747" s="13">
        <v>2642</v>
      </c>
      <c r="C6747" s="90" t="str">
        <f>VLOOKUP(B6747,'All Districts'!$A$3:$B$874,2,FALSE)</f>
        <v>West Islip</v>
      </c>
      <c r="D6747" s="14">
        <v>8472150</v>
      </c>
      <c r="E6747">
        <f>VLOOKUP(C6747,'All Districts'!$B$3:$C$874,2,FALSE)</f>
        <v>3630690</v>
      </c>
      <c r="F6747" s="91">
        <f>COUNTIF($E$2:$E$7106,E6747)</f>
        <v>9</v>
      </c>
    </row>
    <row r="6748" spans="1:6" x14ac:dyDescent="0.2">
      <c r="A6748">
        <v>2016</v>
      </c>
      <c r="B6748" s="13">
        <v>2642</v>
      </c>
      <c r="C6748" s="90" t="str">
        <f>VLOOKUP(B6748,'All Districts'!$A$3:$B$874,2,FALSE)</f>
        <v>West Islip</v>
      </c>
      <c r="D6748" s="16">
        <v>6573205</v>
      </c>
      <c r="E6748">
        <f>VLOOKUP(C6748,'All Districts'!$B$3:$C$874,2,FALSE)</f>
        <v>3630690</v>
      </c>
      <c r="F6748" s="91">
        <f>COUNTIF($E$2:$E$7106,E6748)</f>
        <v>9</v>
      </c>
    </row>
    <row r="6749" spans="1:6" x14ac:dyDescent="0.2">
      <c r="A6749">
        <v>2017</v>
      </c>
      <c r="B6749" s="13">
        <v>2642</v>
      </c>
      <c r="C6749" s="90" t="str">
        <f>VLOOKUP(B6749,'All Districts'!$A$3:$B$874,2,FALSE)</f>
        <v>West Islip</v>
      </c>
      <c r="D6749" s="16">
        <v>5858766</v>
      </c>
      <c r="E6749">
        <f>VLOOKUP(C6749,'All Districts'!$B$3:$C$874,2,FALSE)</f>
        <v>3630690</v>
      </c>
      <c r="F6749" s="91">
        <f>COUNTIF($E$2:$E$7106,E6749)</f>
        <v>9</v>
      </c>
    </row>
    <row r="6750" spans="1:6" x14ac:dyDescent="0.2">
      <c r="A6750" s="10">
        <v>2018</v>
      </c>
      <c r="B6750" s="13">
        <v>2642</v>
      </c>
      <c r="C6750" s="90" t="str">
        <f>VLOOKUP(B6750,'All Districts'!$A$3:$B$874,2,FALSE)</f>
        <v>West Islip</v>
      </c>
      <c r="D6750" s="15">
        <v>4945993</v>
      </c>
      <c r="E6750">
        <f>VLOOKUP(C6750,'All Districts'!$B$3:$C$874,2,FALSE)</f>
        <v>3630690</v>
      </c>
      <c r="F6750" s="91">
        <f>COUNTIF($E$2:$E$7106,E6750)</f>
        <v>9</v>
      </c>
    </row>
    <row r="6751" spans="1:6" x14ac:dyDescent="0.2">
      <c r="A6751">
        <v>2019</v>
      </c>
      <c r="B6751" s="36">
        <v>2642</v>
      </c>
      <c r="C6751" s="90" t="str">
        <f>VLOOKUP(B6751,'All Districts'!$A$3:$B$874,2,FALSE)</f>
        <v>West Islip</v>
      </c>
      <c r="D6751" s="40">
        <v>5316674</v>
      </c>
      <c r="E6751">
        <f>VLOOKUP(C6751,'All Districts'!$B$3:$C$874,2,FALSE)</f>
        <v>3630690</v>
      </c>
      <c r="F6751" s="91">
        <f>COUNTIF($E$2:$E$7106,E6751)</f>
        <v>9</v>
      </c>
    </row>
    <row r="6752" spans="1:6" x14ac:dyDescent="0.2">
      <c r="A6752">
        <v>2020</v>
      </c>
      <c r="B6752" s="36">
        <v>2642</v>
      </c>
      <c r="C6752" s="90" t="str">
        <f>VLOOKUP(B6752,'All Districts'!$A$3:$B$874,2,FALSE)</f>
        <v>West Islip</v>
      </c>
      <c r="D6752" s="40">
        <v>4558627</v>
      </c>
      <c r="E6752">
        <f>VLOOKUP(C6752,'All Districts'!$B$3:$C$874,2,FALSE)</f>
        <v>3630690</v>
      </c>
      <c r="F6752" s="91">
        <f>COUNTIF($E$2:$E$7106,E6752)</f>
        <v>9</v>
      </c>
    </row>
    <row r="6753" spans="1:6" x14ac:dyDescent="0.2">
      <c r="A6753" s="10">
        <v>2021</v>
      </c>
      <c r="B6753" s="55">
        <v>2642</v>
      </c>
      <c r="C6753" s="90" t="str">
        <f>VLOOKUP(B6753,'All Districts'!$A$3:$B$874,2,FALSE)</f>
        <v>West Islip</v>
      </c>
      <c r="D6753" s="76">
        <v>4977036</v>
      </c>
      <c r="E6753">
        <f>VLOOKUP(C6753,'All Districts'!$B$3:$C$874,2,FALSE)</f>
        <v>3630690</v>
      </c>
      <c r="F6753" s="91">
        <f>COUNTIF($E$2:$E$7106,E6753)</f>
        <v>9</v>
      </c>
    </row>
    <row r="6754" spans="1:6" x14ac:dyDescent="0.2">
      <c r="A6754">
        <v>2022</v>
      </c>
      <c r="B6754" s="36">
        <v>2642</v>
      </c>
      <c r="C6754" s="90" t="str">
        <f>VLOOKUP(B6754,'All Districts'!$A$3:$B$874,2,FALSE)</f>
        <v>West Islip</v>
      </c>
      <c r="D6754" s="82">
        <v>5228943</v>
      </c>
      <c r="E6754">
        <f>VLOOKUP(C6754,'All Districts'!$B$3:$C$874,2,FALSE)</f>
        <v>3630690</v>
      </c>
      <c r="F6754" s="91">
        <f>COUNTIF($E$2:$E$7106,E6754)</f>
        <v>9</v>
      </c>
    </row>
    <row r="6755" spans="1:6" x14ac:dyDescent="0.2">
      <c r="A6755">
        <v>2023</v>
      </c>
      <c r="B6755" s="36">
        <v>2642</v>
      </c>
      <c r="C6755" s="90" t="str">
        <f>VLOOKUP(B6755,'All Districts'!$A$3:$B$874,2,FALSE)</f>
        <v>West Islip</v>
      </c>
      <c r="D6755" s="40">
        <v>5599747</v>
      </c>
      <c r="E6755">
        <f>VLOOKUP(C6755,'All Districts'!$B$3:$C$874,2,FALSE)</f>
        <v>3630690</v>
      </c>
      <c r="F6755" s="91">
        <f>COUNTIF($E$2:$E$7106,E6755)</f>
        <v>9</v>
      </c>
    </row>
    <row r="6756" spans="1:6" x14ac:dyDescent="0.2">
      <c r="A6756">
        <v>2015</v>
      </c>
      <c r="B6756" s="13">
        <v>2643</v>
      </c>
      <c r="C6756" s="90" t="str">
        <f>VLOOKUP(B6756,'All Districts'!$A$3:$B$874,2,FALSE)</f>
        <v>West Seneca</v>
      </c>
      <c r="D6756" s="14">
        <v>7968569</v>
      </c>
      <c r="E6756">
        <f>VLOOKUP(C6756,'All Districts'!$B$3:$C$874,2,FALSE)</f>
        <v>3630780</v>
      </c>
      <c r="F6756" s="91">
        <f>COUNTIF($E$2:$E$7106,E6756)</f>
        <v>9</v>
      </c>
    </row>
    <row r="6757" spans="1:6" x14ac:dyDescent="0.2">
      <c r="A6757">
        <v>2016</v>
      </c>
      <c r="B6757" s="13">
        <v>2643</v>
      </c>
      <c r="C6757" s="90" t="str">
        <f>VLOOKUP(B6757,'All Districts'!$A$3:$B$874,2,FALSE)</f>
        <v>West Seneca</v>
      </c>
      <c r="D6757" s="16">
        <v>5928240</v>
      </c>
      <c r="E6757">
        <f>VLOOKUP(C6757,'All Districts'!$B$3:$C$874,2,FALSE)</f>
        <v>3630780</v>
      </c>
      <c r="F6757" s="91">
        <f>COUNTIF($E$2:$E$7106,E6757)</f>
        <v>9</v>
      </c>
    </row>
    <row r="6758" spans="1:6" x14ac:dyDescent="0.2">
      <c r="A6758">
        <v>2017</v>
      </c>
      <c r="B6758" s="13">
        <v>2643</v>
      </c>
      <c r="C6758" s="90" t="str">
        <f>VLOOKUP(B6758,'All Districts'!$A$3:$B$874,2,FALSE)</f>
        <v>West Seneca</v>
      </c>
      <c r="D6758" s="16">
        <v>5342296</v>
      </c>
      <c r="E6758">
        <f>VLOOKUP(C6758,'All Districts'!$B$3:$C$874,2,FALSE)</f>
        <v>3630780</v>
      </c>
      <c r="F6758" s="91">
        <f>COUNTIF($E$2:$E$7106,E6758)</f>
        <v>9</v>
      </c>
    </row>
    <row r="6759" spans="1:6" x14ac:dyDescent="0.2">
      <c r="A6759" s="10">
        <v>2018</v>
      </c>
      <c r="B6759" s="13">
        <v>2643</v>
      </c>
      <c r="C6759" s="90" t="str">
        <f>VLOOKUP(B6759,'All Districts'!$A$3:$B$874,2,FALSE)</f>
        <v>West Seneca</v>
      </c>
      <c r="D6759" s="15">
        <v>4624710</v>
      </c>
      <c r="E6759">
        <f>VLOOKUP(C6759,'All Districts'!$B$3:$C$874,2,FALSE)</f>
        <v>3630780</v>
      </c>
      <c r="F6759" s="91">
        <f>COUNTIF($E$2:$E$7106,E6759)</f>
        <v>9</v>
      </c>
    </row>
    <row r="6760" spans="1:6" x14ac:dyDescent="0.2">
      <c r="A6760">
        <v>2019</v>
      </c>
      <c r="B6760" s="36">
        <v>2643</v>
      </c>
      <c r="C6760" s="90" t="str">
        <f>VLOOKUP(B6760,'All Districts'!$A$3:$B$874,2,FALSE)</f>
        <v>West Seneca</v>
      </c>
      <c r="D6760" s="40">
        <v>5125788</v>
      </c>
      <c r="E6760">
        <f>VLOOKUP(C6760,'All Districts'!$B$3:$C$874,2,FALSE)</f>
        <v>3630780</v>
      </c>
      <c r="F6760" s="91">
        <f>COUNTIF($E$2:$E$7106,E6760)</f>
        <v>9</v>
      </c>
    </row>
    <row r="6761" spans="1:6" x14ac:dyDescent="0.2">
      <c r="A6761">
        <v>2020</v>
      </c>
      <c r="B6761" s="36">
        <v>2643</v>
      </c>
      <c r="C6761" s="90" t="str">
        <f>VLOOKUP(B6761,'All Districts'!$A$3:$B$874,2,FALSE)</f>
        <v>West Seneca</v>
      </c>
      <c r="D6761" s="40">
        <v>4415616</v>
      </c>
      <c r="E6761">
        <f>VLOOKUP(C6761,'All Districts'!$B$3:$C$874,2,FALSE)</f>
        <v>3630780</v>
      </c>
      <c r="F6761" s="91">
        <f>COUNTIF($E$2:$E$7106,E6761)</f>
        <v>9</v>
      </c>
    </row>
    <row r="6762" spans="1:6" x14ac:dyDescent="0.2">
      <c r="A6762" s="10">
        <v>2021</v>
      </c>
      <c r="B6762" s="52">
        <v>2643</v>
      </c>
      <c r="C6762" s="90" t="str">
        <f>VLOOKUP(B6762,'All Districts'!$A$3:$B$874,2,FALSE)</f>
        <v>West Seneca</v>
      </c>
      <c r="D6762" s="76">
        <v>4859261</v>
      </c>
      <c r="E6762">
        <f>VLOOKUP(C6762,'All Districts'!$B$3:$C$874,2,FALSE)</f>
        <v>3630780</v>
      </c>
      <c r="F6762" s="91">
        <f>COUNTIF($E$2:$E$7106,E6762)</f>
        <v>9</v>
      </c>
    </row>
    <row r="6763" spans="1:6" x14ac:dyDescent="0.2">
      <c r="A6763">
        <v>2022</v>
      </c>
      <c r="B6763" s="36">
        <v>2643</v>
      </c>
      <c r="C6763" s="90" t="str">
        <f>VLOOKUP(B6763,'All Districts'!$A$3:$B$874,2,FALSE)</f>
        <v>West Seneca</v>
      </c>
      <c r="D6763" s="82">
        <v>5206347</v>
      </c>
      <c r="E6763">
        <f>VLOOKUP(C6763,'All Districts'!$B$3:$C$874,2,FALSE)</f>
        <v>3630780</v>
      </c>
      <c r="F6763" s="91">
        <f>COUNTIF($E$2:$E$7106,E6763)</f>
        <v>9</v>
      </c>
    </row>
    <row r="6764" spans="1:6" x14ac:dyDescent="0.2">
      <c r="A6764">
        <v>2023</v>
      </c>
      <c r="B6764" s="36">
        <v>2643</v>
      </c>
      <c r="C6764" s="90" t="str">
        <f>VLOOKUP(B6764,'All Districts'!$A$3:$B$874,2,FALSE)</f>
        <v>West Seneca</v>
      </c>
      <c r="D6764" s="40">
        <v>5822538</v>
      </c>
      <c r="E6764">
        <f>VLOOKUP(C6764,'All Districts'!$B$3:$C$874,2,FALSE)</f>
        <v>3630780</v>
      </c>
      <c r="F6764" s="91">
        <f>COUNTIF($E$2:$E$7106,E6764)</f>
        <v>9</v>
      </c>
    </row>
    <row r="6765" spans="1:6" x14ac:dyDescent="0.2">
      <c r="A6765">
        <v>2015</v>
      </c>
      <c r="B6765" s="13">
        <v>3208</v>
      </c>
      <c r="C6765" s="90" t="str">
        <f>VLOOKUP(B6765,'All Districts'!$A$3:$B$874,2,FALSE)</f>
        <v>West Valley</v>
      </c>
      <c r="D6765" s="14">
        <v>450290</v>
      </c>
      <c r="E6765">
        <f>VLOOKUP(C6765,'All Districts'!$B$3:$C$874,2,FALSE)</f>
        <v>3630900</v>
      </c>
      <c r="F6765" s="91">
        <f>COUNTIF($E$2:$E$7106,E6765)</f>
        <v>9</v>
      </c>
    </row>
    <row r="6766" spans="1:6" x14ac:dyDescent="0.2">
      <c r="A6766">
        <v>2016</v>
      </c>
      <c r="B6766" s="13">
        <v>3208</v>
      </c>
      <c r="C6766" s="90" t="str">
        <f>VLOOKUP(B6766,'All Districts'!$A$3:$B$874,2,FALSE)</f>
        <v>West Valley</v>
      </c>
      <c r="D6766" s="16">
        <v>334506</v>
      </c>
      <c r="E6766">
        <f>VLOOKUP(C6766,'All Districts'!$B$3:$C$874,2,FALSE)</f>
        <v>3630900</v>
      </c>
      <c r="F6766" s="91">
        <f>COUNTIF($E$2:$E$7106,E6766)</f>
        <v>9</v>
      </c>
    </row>
    <row r="6767" spans="1:6" x14ac:dyDescent="0.2">
      <c r="A6767">
        <v>2017</v>
      </c>
      <c r="B6767" s="13">
        <v>3208</v>
      </c>
      <c r="C6767" s="90" t="str">
        <f>VLOOKUP(B6767,'All Districts'!$A$3:$B$874,2,FALSE)</f>
        <v>West Valley</v>
      </c>
      <c r="D6767" s="16">
        <v>314504</v>
      </c>
      <c r="E6767">
        <f>VLOOKUP(C6767,'All Districts'!$B$3:$C$874,2,FALSE)</f>
        <v>3630900</v>
      </c>
      <c r="F6767" s="91">
        <f>COUNTIF($E$2:$E$7106,E6767)</f>
        <v>9</v>
      </c>
    </row>
    <row r="6768" spans="1:6" x14ac:dyDescent="0.2">
      <c r="A6768" s="10">
        <v>2018</v>
      </c>
      <c r="B6768" s="13">
        <v>3208</v>
      </c>
      <c r="C6768" s="90" t="str">
        <f>VLOOKUP(B6768,'All Districts'!$A$3:$B$874,2,FALSE)</f>
        <v>West Valley</v>
      </c>
      <c r="D6768" s="15">
        <v>266348</v>
      </c>
      <c r="E6768">
        <f>VLOOKUP(C6768,'All Districts'!$B$3:$C$874,2,FALSE)</f>
        <v>3630900</v>
      </c>
      <c r="F6768" s="91">
        <f>COUNTIF($E$2:$E$7106,E6768)</f>
        <v>9</v>
      </c>
    </row>
    <row r="6769" spans="1:6" x14ac:dyDescent="0.2">
      <c r="A6769">
        <v>2019</v>
      </c>
      <c r="B6769" s="36">
        <v>3208</v>
      </c>
      <c r="C6769" s="90" t="str">
        <f>VLOOKUP(B6769,'All Districts'!$A$3:$B$874,2,FALSE)</f>
        <v>West Valley</v>
      </c>
      <c r="D6769" s="40">
        <v>291836</v>
      </c>
      <c r="E6769">
        <f>VLOOKUP(C6769,'All Districts'!$B$3:$C$874,2,FALSE)</f>
        <v>3630900</v>
      </c>
      <c r="F6769" s="91">
        <f>COUNTIF($E$2:$E$7106,E6769)</f>
        <v>9</v>
      </c>
    </row>
    <row r="6770" spans="1:6" x14ac:dyDescent="0.2">
      <c r="A6770">
        <v>2020</v>
      </c>
      <c r="B6770" s="36">
        <v>3208</v>
      </c>
      <c r="C6770" s="90" t="str">
        <f>VLOOKUP(B6770,'All Districts'!$A$3:$B$874,2,FALSE)</f>
        <v>West Valley</v>
      </c>
      <c r="D6770" s="40">
        <v>243835</v>
      </c>
      <c r="E6770">
        <f>VLOOKUP(C6770,'All Districts'!$B$3:$C$874,2,FALSE)</f>
        <v>3630900</v>
      </c>
      <c r="F6770" s="91">
        <f>COUNTIF($E$2:$E$7106,E6770)</f>
        <v>9</v>
      </c>
    </row>
    <row r="6771" spans="1:6" x14ac:dyDescent="0.2">
      <c r="A6771" s="10">
        <v>2021</v>
      </c>
      <c r="B6771" s="71">
        <v>3208</v>
      </c>
      <c r="C6771" s="90" t="str">
        <f>VLOOKUP(B6771,'All Districts'!$A$3:$B$874,2,FALSE)</f>
        <v>West Valley</v>
      </c>
      <c r="D6771" s="80">
        <v>251865</v>
      </c>
      <c r="E6771">
        <f>VLOOKUP(C6771,'All Districts'!$B$3:$C$874,2,FALSE)</f>
        <v>3630900</v>
      </c>
      <c r="F6771" s="91">
        <f>COUNTIF($E$2:$E$7106,E6771)</f>
        <v>9</v>
      </c>
    </row>
    <row r="6772" spans="1:6" x14ac:dyDescent="0.2">
      <c r="A6772">
        <v>2022</v>
      </c>
      <c r="B6772" s="36">
        <v>3208</v>
      </c>
      <c r="C6772" s="90" t="str">
        <f>VLOOKUP(B6772,'All Districts'!$A$3:$B$874,2,FALSE)</f>
        <v>West Valley</v>
      </c>
      <c r="D6772" s="82">
        <v>268570</v>
      </c>
      <c r="E6772">
        <f>VLOOKUP(C6772,'All Districts'!$B$3:$C$874,2,FALSE)</f>
        <v>3630900</v>
      </c>
      <c r="F6772" s="91">
        <f>COUNTIF($E$2:$E$7106,E6772)</f>
        <v>9</v>
      </c>
    </row>
    <row r="6773" spans="1:6" x14ac:dyDescent="0.2">
      <c r="A6773">
        <v>2023</v>
      </c>
      <c r="B6773" s="36">
        <v>3208</v>
      </c>
      <c r="C6773" s="90" t="str">
        <f>VLOOKUP(B6773,'All Districts'!$A$3:$B$874,2,FALSE)</f>
        <v>West Valley</v>
      </c>
      <c r="D6773" s="40">
        <v>271345</v>
      </c>
      <c r="E6773">
        <f>VLOOKUP(C6773,'All Districts'!$B$3:$C$874,2,FALSE)</f>
        <v>3630900</v>
      </c>
      <c r="F6773" s="91">
        <f>COUNTIF($E$2:$E$7106,E6773)</f>
        <v>9</v>
      </c>
    </row>
    <row r="6774" spans="1:6" x14ac:dyDescent="0.2">
      <c r="A6774">
        <v>2015</v>
      </c>
      <c r="B6774" s="13">
        <v>6091</v>
      </c>
      <c r="C6774" s="90" t="str">
        <f>VLOOKUP(B6774,'All Districts'!$A$3:$B$874,2,FALSE)</f>
        <v>Eastern Suffolk 1</v>
      </c>
      <c r="D6774" s="15">
        <v>13606475</v>
      </c>
      <c r="E6774">
        <f>VLOOKUP(C6774,'All Districts'!$B$3:$C$874,2,FALSE)</f>
        <v>3680820</v>
      </c>
      <c r="F6774" s="91">
        <f>COUNTIF($E$2:$E$7106,E6774)</f>
        <v>9</v>
      </c>
    </row>
    <row r="6775" spans="1:6" x14ac:dyDescent="0.2">
      <c r="A6775">
        <v>2016</v>
      </c>
      <c r="B6775" s="13">
        <v>6091</v>
      </c>
      <c r="C6775" s="90" t="str">
        <f>VLOOKUP(B6775,'All Districts'!$A$3:$B$874,2,FALSE)</f>
        <v>Eastern Suffolk 1</v>
      </c>
      <c r="D6775" s="16">
        <v>10804518</v>
      </c>
      <c r="E6775">
        <f>VLOOKUP(C6775,'All Districts'!$B$3:$C$874,2,FALSE)</f>
        <v>3680820</v>
      </c>
      <c r="F6775" s="91">
        <f>COUNTIF($E$2:$E$7106,E6775)</f>
        <v>9</v>
      </c>
    </row>
    <row r="6776" spans="1:6" x14ac:dyDescent="0.2">
      <c r="A6776">
        <v>2017</v>
      </c>
      <c r="B6776" s="13">
        <v>6091</v>
      </c>
      <c r="C6776" s="90" t="str">
        <f>VLOOKUP(B6776,'All Districts'!$A$3:$B$874,2,FALSE)</f>
        <v>Eastern Suffolk 1</v>
      </c>
      <c r="D6776" s="16">
        <v>9776150</v>
      </c>
      <c r="E6776">
        <f>VLOOKUP(C6776,'All Districts'!$B$3:$C$874,2,FALSE)</f>
        <v>3680820</v>
      </c>
      <c r="F6776" s="91">
        <f>COUNTIF($E$2:$E$7106,E6776)</f>
        <v>9</v>
      </c>
    </row>
    <row r="6777" spans="1:6" x14ac:dyDescent="0.2">
      <c r="A6777" s="10">
        <v>2018</v>
      </c>
      <c r="B6777" s="13">
        <v>6091</v>
      </c>
      <c r="C6777" s="90" t="str">
        <f>VLOOKUP(B6777,'All Districts'!$A$3:$B$874,2,FALSE)</f>
        <v>Eastern Suffolk 1</v>
      </c>
      <c r="D6777" s="15">
        <v>8398103</v>
      </c>
      <c r="E6777">
        <f>VLOOKUP(C6777,'All Districts'!$B$3:$C$874,2,FALSE)</f>
        <v>3680820</v>
      </c>
      <c r="F6777" s="91">
        <f>COUNTIF($E$2:$E$7106,E6777)</f>
        <v>9</v>
      </c>
    </row>
    <row r="6778" spans="1:6" x14ac:dyDescent="0.2">
      <c r="A6778">
        <v>2019</v>
      </c>
      <c r="B6778" s="36">
        <v>6091</v>
      </c>
      <c r="C6778" s="90" t="str">
        <f>VLOOKUP(B6778,'All Districts'!$A$3:$B$874,2,FALSE)</f>
        <v>Eastern Suffolk 1</v>
      </c>
      <c r="D6778" s="40">
        <v>9460223</v>
      </c>
      <c r="E6778">
        <f>VLOOKUP(C6778,'All Districts'!$B$3:$C$874,2,FALSE)</f>
        <v>3680820</v>
      </c>
      <c r="F6778" s="91">
        <f>COUNTIF($E$2:$E$7106,E6778)</f>
        <v>9</v>
      </c>
    </row>
    <row r="6779" spans="1:6" x14ac:dyDescent="0.2">
      <c r="A6779">
        <v>2020</v>
      </c>
      <c r="B6779" s="36">
        <v>6091</v>
      </c>
      <c r="C6779" s="90" t="str">
        <f>VLOOKUP(B6779,'All Districts'!$A$3:$B$874,2,FALSE)</f>
        <v>Eastern Suffolk 1</v>
      </c>
      <c r="D6779" s="40">
        <v>7807597</v>
      </c>
      <c r="E6779">
        <f>VLOOKUP(C6779,'All Districts'!$B$3:$C$874,2,FALSE)</f>
        <v>3680820</v>
      </c>
      <c r="F6779" s="91">
        <f>COUNTIF($E$2:$E$7106,E6779)</f>
        <v>9</v>
      </c>
    </row>
    <row r="6780" spans="1:6" x14ac:dyDescent="0.2">
      <c r="A6780" s="10">
        <v>2021</v>
      </c>
      <c r="B6780" s="55">
        <v>6091</v>
      </c>
      <c r="C6780" s="90" t="str">
        <f>VLOOKUP(B6780,'All Districts'!$A$3:$B$874,2,FALSE)</f>
        <v>Eastern Suffolk 1</v>
      </c>
      <c r="D6780" s="75">
        <v>8260783</v>
      </c>
      <c r="E6780">
        <f>VLOOKUP(C6780,'All Districts'!$B$3:$C$874,2,FALSE)</f>
        <v>3680820</v>
      </c>
      <c r="F6780" s="91">
        <f>COUNTIF($E$2:$E$7106,E6780)</f>
        <v>9</v>
      </c>
    </row>
    <row r="6781" spans="1:6" x14ac:dyDescent="0.2">
      <c r="A6781">
        <v>2022</v>
      </c>
      <c r="B6781" s="36">
        <v>6091</v>
      </c>
      <c r="C6781" s="90" t="str">
        <f>VLOOKUP(B6781,'All Districts'!$A$3:$B$874,2,FALSE)</f>
        <v>Eastern Suffolk 1</v>
      </c>
      <c r="D6781" s="82">
        <v>8714345</v>
      </c>
      <c r="E6781">
        <f>VLOOKUP(C6781,'All Districts'!$B$3:$C$874,2,FALSE)</f>
        <v>3680820</v>
      </c>
      <c r="F6781" s="91">
        <f>COUNTIF($E$2:$E$7106,E6781)</f>
        <v>9</v>
      </c>
    </row>
    <row r="6782" spans="1:6" x14ac:dyDescent="0.2">
      <c r="A6782">
        <v>2023</v>
      </c>
      <c r="B6782" s="36">
        <v>6091</v>
      </c>
      <c r="C6782" s="90" t="str">
        <f>VLOOKUP(B6782,'All Districts'!$A$3:$B$874,2,FALSE)</f>
        <v>Eastern Suffolk 1</v>
      </c>
      <c r="D6782" s="40">
        <v>9838402</v>
      </c>
      <c r="E6782">
        <f>VLOOKUP(C6782,'All Districts'!$B$3:$C$874,2,FALSE)</f>
        <v>3680820</v>
      </c>
      <c r="F6782" s="91">
        <f>COUNTIF($E$2:$E$7106,E6782)</f>
        <v>9</v>
      </c>
    </row>
    <row r="6783" spans="1:6" x14ac:dyDescent="0.2">
      <c r="A6783">
        <v>2015</v>
      </c>
      <c r="B6783" s="13">
        <v>8170</v>
      </c>
      <c r="C6783" s="90" t="str">
        <f>VLOOKUP(B6783,'All Districts'!$A$3:$B$874,2,FALSE)</f>
        <v>Westchester</v>
      </c>
      <c r="D6783" s="15">
        <v>1574690</v>
      </c>
      <c r="E6783">
        <f>VLOOKUP(C6783,'All Districts'!$B$3:$C$874,2,FALSE)</f>
        <v>3680960</v>
      </c>
      <c r="F6783" s="91">
        <f>COUNTIF($E$2:$E$7106,E6783)</f>
        <v>9</v>
      </c>
    </row>
    <row r="6784" spans="1:6" x14ac:dyDescent="0.2">
      <c r="A6784">
        <v>2016</v>
      </c>
      <c r="B6784" s="13">
        <v>8170</v>
      </c>
      <c r="C6784" s="90" t="str">
        <f>VLOOKUP(B6784,'All Districts'!$A$3:$B$874,2,FALSE)</f>
        <v>Westchester</v>
      </c>
      <c r="D6784" s="16">
        <v>1304015</v>
      </c>
      <c r="E6784">
        <f>VLOOKUP(C6784,'All Districts'!$B$3:$C$874,2,FALSE)</f>
        <v>3680960</v>
      </c>
      <c r="F6784" s="91">
        <f>COUNTIF($E$2:$E$7106,E6784)</f>
        <v>9</v>
      </c>
    </row>
    <row r="6785" spans="1:6" x14ac:dyDescent="0.2">
      <c r="A6785">
        <v>2017</v>
      </c>
      <c r="B6785" s="13">
        <v>8170</v>
      </c>
      <c r="C6785" s="90" t="str">
        <f>VLOOKUP(B6785,'All Districts'!$A$3:$B$874,2,FALSE)</f>
        <v>Westchester</v>
      </c>
      <c r="D6785" s="16">
        <v>1177482</v>
      </c>
      <c r="E6785">
        <f>VLOOKUP(C6785,'All Districts'!$B$3:$C$874,2,FALSE)</f>
        <v>3680960</v>
      </c>
      <c r="F6785" s="91">
        <f>COUNTIF($E$2:$E$7106,E6785)</f>
        <v>9</v>
      </c>
    </row>
    <row r="6786" spans="1:6" x14ac:dyDescent="0.2">
      <c r="A6786" s="10">
        <v>2018</v>
      </c>
      <c r="B6786" s="13">
        <v>8170</v>
      </c>
      <c r="C6786" s="90" t="str">
        <f>VLOOKUP(B6786,'All Districts'!$A$3:$B$874,2,FALSE)</f>
        <v>Westchester</v>
      </c>
      <c r="D6786" s="15">
        <v>1283958</v>
      </c>
      <c r="E6786">
        <f>VLOOKUP(C6786,'All Districts'!$B$3:$C$874,2,FALSE)</f>
        <v>3680960</v>
      </c>
      <c r="F6786" s="91">
        <f>COUNTIF($E$2:$E$7106,E6786)</f>
        <v>9</v>
      </c>
    </row>
    <row r="6787" spans="1:6" x14ac:dyDescent="0.2">
      <c r="A6787">
        <v>2019</v>
      </c>
      <c r="B6787" s="36">
        <v>8170</v>
      </c>
      <c r="C6787" s="90" t="str">
        <f>VLOOKUP(B6787,'All Districts'!$A$3:$B$874,2,FALSE)</f>
        <v>Westchester</v>
      </c>
      <c r="D6787" s="40">
        <v>1349114</v>
      </c>
      <c r="E6787">
        <f>VLOOKUP(C6787,'All Districts'!$B$3:$C$874,2,FALSE)</f>
        <v>3680960</v>
      </c>
      <c r="F6787" s="91">
        <f>COUNTIF($E$2:$E$7106,E6787)</f>
        <v>9</v>
      </c>
    </row>
    <row r="6788" spans="1:6" x14ac:dyDescent="0.2">
      <c r="A6788">
        <v>2020</v>
      </c>
      <c r="B6788" s="36">
        <v>8170</v>
      </c>
      <c r="C6788" s="90" t="str">
        <f>VLOOKUP(B6788,'All Districts'!$A$3:$B$874,2,FALSE)</f>
        <v>Westchester</v>
      </c>
      <c r="D6788" s="40">
        <v>1240231</v>
      </c>
      <c r="E6788">
        <f>VLOOKUP(C6788,'All Districts'!$B$3:$C$874,2,FALSE)</f>
        <v>3680960</v>
      </c>
      <c r="F6788" s="91">
        <f>COUNTIF($E$2:$E$7106,E6788)</f>
        <v>9</v>
      </c>
    </row>
    <row r="6789" spans="1:6" x14ac:dyDescent="0.2">
      <c r="A6789" s="10">
        <v>2021</v>
      </c>
      <c r="B6789" s="55">
        <v>8170</v>
      </c>
      <c r="C6789" s="90" t="str">
        <f>VLOOKUP(B6789,'All Districts'!$A$3:$B$874,2,FALSE)</f>
        <v>Westchester</v>
      </c>
      <c r="D6789" s="76">
        <v>1335482</v>
      </c>
      <c r="E6789">
        <f>VLOOKUP(C6789,'All Districts'!$B$3:$C$874,2,FALSE)</f>
        <v>3680960</v>
      </c>
      <c r="F6789" s="91">
        <f>COUNTIF($E$2:$E$7106,E6789)</f>
        <v>9</v>
      </c>
    </row>
    <row r="6790" spans="1:6" x14ac:dyDescent="0.2">
      <c r="A6790">
        <v>2022</v>
      </c>
      <c r="B6790" s="36">
        <v>8170</v>
      </c>
      <c r="C6790" s="90" t="str">
        <f>VLOOKUP(B6790,'All Districts'!$A$3:$B$874,2,FALSE)</f>
        <v>Westchester</v>
      </c>
      <c r="D6790" s="82">
        <v>1368447</v>
      </c>
      <c r="E6790">
        <f>VLOOKUP(C6790,'All Districts'!$B$3:$C$874,2,FALSE)</f>
        <v>3680960</v>
      </c>
      <c r="F6790" s="91">
        <f>COUNTIF($E$2:$E$7106,E6790)</f>
        <v>9</v>
      </c>
    </row>
    <row r="6791" spans="1:6" x14ac:dyDescent="0.2">
      <c r="A6791">
        <v>2023</v>
      </c>
      <c r="B6791" s="36">
        <v>8170</v>
      </c>
      <c r="C6791" s="90" t="str">
        <f>VLOOKUP(B6791,'All Districts'!$A$3:$B$874,2,FALSE)</f>
        <v>Westchester</v>
      </c>
      <c r="D6791" s="40">
        <v>1486528</v>
      </c>
      <c r="E6791">
        <f>VLOOKUP(C6791,'All Districts'!$B$3:$C$874,2,FALSE)</f>
        <v>3680960</v>
      </c>
      <c r="F6791" s="91">
        <f>COUNTIF($E$2:$E$7106,E6791)</f>
        <v>9</v>
      </c>
    </row>
    <row r="6792" spans="1:6" x14ac:dyDescent="0.2">
      <c r="A6792">
        <v>2015</v>
      </c>
      <c r="B6792" s="13">
        <v>6093</v>
      </c>
      <c r="C6792" s="90" t="str">
        <f>VLOOKUP(B6792,'All Districts'!$A$3:$B$874,2,FALSE)</f>
        <v>Suffolk 2 (Western Suffolk)</v>
      </c>
      <c r="D6792" s="15">
        <v>7477359</v>
      </c>
      <c r="E6792">
        <f>VLOOKUP(C6792,'All Districts'!$B$3:$C$874,2,FALSE)</f>
        <v>3680860</v>
      </c>
      <c r="F6792" s="91">
        <f>COUNTIF($E$2:$E$7106,E6792)</f>
        <v>9</v>
      </c>
    </row>
    <row r="6793" spans="1:6" x14ac:dyDescent="0.2">
      <c r="A6793">
        <v>2016</v>
      </c>
      <c r="B6793" s="13">
        <v>6093</v>
      </c>
      <c r="C6793" s="90" t="str">
        <f>VLOOKUP(B6793,'All Districts'!$A$3:$B$874,2,FALSE)</f>
        <v>Suffolk 2 (Western Suffolk)</v>
      </c>
      <c r="D6793" s="16">
        <v>5707503</v>
      </c>
      <c r="E6793">
        <f>VLOOKUP(C6793,'All Districts'!$B$3:$C$874,2,FALSE)</f>
        <v>3680860</v>
      </c>
      <c r="F6793" s="91">
        <f>COUNTIF($E$2:$E$7106,E6793)</f>
        <v>9</v>
      </c>
    </row>
    <row r="6794" spans="1:6" x14ac:dyDescent="0.2">
      <c r="A6794">
        <v>2017</v>
      </c>
      <c r="B6794" s="13">
        <v>6093</v>
      </c>
      <c r="C6794" s="90" t="str">
        <f>VLOOKUP(B6794,'All Districts'!$A$3:$B$874,2,FALSE)</f>
        <v>Suffolk 2 (Western Suffolk)</v>
      </c>
      <c r="D6794" s="16">
        <v>5006136</v>
      </c>
      <c r="E6794">
        <f>VLOOKUP(C6794,'All Districts'!$B$3:$C$874,2,FALSE)</f>
        <v>3680860</v>
      </c>
      <c r="F6794" s="91">
        <f>COUNTIF($E$2:$E$7106,E6794)</f>
        <v>9</v>
      </c>
    </row>
    <row r="6795" spans="1:6" x14ac:dyDescent="0.2">
      <c r="A6795" s="10">
        <v>2018</v>
      </c>
      <c r="B6795" s="13">
        <v>6093</v>
      </c>
      <c r="C6795" s="90" t="str">
        <f>VLOOKUP(B6795,'All Districts'!$A$3:$B$874,2,FALSE)</f>
        <v>Suffolk 2 (Western Suffolk)</v>
      </c>
      <c r="D6795" s="15">
        <v>4136587</v>
      </c>
      <c r="E6795">
        <f>VLOOKUP(C6795,'All Districts'!$B$3:$C$874,2,FALSE)</f>
        <v>3680860</v>
      </c>
      <c r="F6795" s="91">
        <f>COUNTIF($E$2:$E$7106,E6795)</f>
        <v>9</v>
      </c>
    </row>
    <row r="6796" spans="1:6" x14ac:dyDescent="0.2">
      <c r="A6796">
        <v>2019</v>
      </c>
      <c r="B6796" s="36">
        <v>6093</v>
      </c>
      <c r="C6796" s="90" t="str">
        <f>VLOOKUP(B6796,'All Districts'!$A$3:$B$874,2,FALSE)</f>
        <v>Suffolk 2 (Western Suffolk)</v>
      </c>
      <c r="D6796" s="40">
        <v>4619334</v>
      </c>
      <c r="E6796">
        <f>VLOOKUP(C6796,'All Districts'!$B$3:$C$874,2,FALSE)</f>
        <v>3680860</v>
      </c>
      <c r="F6796" s="91">
        <f>COUNTIF($E$2:$E$7106,E6796)</f>
        <v>9</v>
      </c>
    </row>
    <row r="6797" spans="1:6" x14ac:dyDescent="0.2">
      <c r="A6797">
        <v>2020</v>
      </c>
      <c r="B6797" s="36">
        <v>6093</v>
      </c>
      <c r="C6797" s="90" t="str">
        <f>VLOOKUP(B6797,'All Districts'!$A$3:$B$874,2,FALSE)</f>
        <v>Suffolk 2 (Western Suffolk)</v>
      </c>
      <c r="D6797" s="40">
        <v>3957610</v>
      </c>
      <c r="E6797">
        <f>VLOOKUP(C6797,'All Districts'!$B$3:$C$874,2,FALSE)</f>
        <v>3680860</v>
      </c>
      <c r="F6797" s="91">
        <f>COUNTIF($E$2:$E$7106,E6797)</f>
        <v>9</v>
      </c>
    </row>
    <row r="6798" spans="1:6" x14ac:dyDescent="0.2">
      <c r="A6798" s="10">
        <v>2021</v>
      </c>
      <c r="B6798" s="52">
        <v>6093</v>
      </c>
      <c r="C6798" s="90" t="str">
        <f>VLOOKUP(B6798,'All Districts'!$A$3:$B$874,2,FALSE)</f>
        <v>Suffolk 2 (Western Suffolk)</v>
      </c>
      <c r="D6798" s="75">
        <v>4317474</v>
      </c>
      <c r="E6798">
        <f>VLOOKUP(C6798,'All Districts'!$B$3:$C$874,2,FALSE)</f>
        <v>3680860</v>
      </c>
      <c r="F6798" s="91">
        <f>COUNTIF($E$2:$E$7106,E6798)</f>
        <v>9</v>
      </c>
    </row>
    <row r="6799" spans="1:6" x14ac:dyDescent="0.2">
      <c r="A6799">
        <v>2022</v>
      </c>
      <c r="B6799" s="36">
        <v>6093</v>
      </c>
      <c r="C6799" s="90" t="str">
        <f>VLOOKUP(B6799,'All Districts'!$A$3:$B$874,2,FALSE)</f>
        <v>Suffolk 2 (Western Suffolk)</v>
      </c>
      <c r="D6799" s="82">
        <v>4484441</v>
      </c>
      <c r="E6799">
        <f>VLOOKUP(C6799,'All Districts'!$B$3:$C$874,2,FALSE)</f>
        <v>3680860</v>
      </c>
      <c r="F6799" s="91">
        <f>COUNTIF($E$2:$E$7106,E6799)</f>
        <v>9</v>
      </c>
    </row>
    <row r="6800" spans="1:6" x14ac:dyDescent="0.2">
      <c r="A6800">
        <v>2023</v>
      </c>
      <c r="B6800" s="36">
        <v>6093</v>
      </c>
      <c r="C6800" s="90" t="str">
        <f>VLOOKUP(B6800,'All Districts'!$A$3:$B$874,2,FALSE)</f>
        <v>Suffolk 2 (Western Suffolk)</v>
      </c>
      <c r="D6800" s="40">
        <v>4804435</v>
      </c>
      <c r="E6800">
        <f>VLOOKUP(C6800,'All Districts'!$B$3:$C$874,2,FALSE)</f>
        <v>3680860</v>
      </c>
      <c r="F6800" s="91">
        <f>COUNTIF($E$2:$E$7106,E6800)</f>
        <v>9</v>
      </c>
    </row>
    <row r="6801" spans="1:6" x14ac:dyDescent="0.2">
      <c r="A6801">
        <v>2015</v>
      </c>
      <c r="B6801" s="13">
        <v>8421</v>
      </c>
      <c r="C6801" s="90" t="str">
        <f>VLOOKUP(B6801,'All Districts'!$A$3:$B$874,2,FALSE)</f>
        <v>Western New York Maritime</v>
      </c>
      <c r="D6801" s="16">
        <v>359205</v>
      </c>
      <c r="E6801">
        <f>VLOOKUP(C6801,'All Districts'!$B$3:$C$874,2,FALSE)</f>
        <v>3600106</v>
      </c>
      <c r="F6801" s="91">
        <f>COUNTIF($E$2:$E$7106,E6801)</f>
        <v>9</v>
      </c>
    </row>
    <row r="6802" spans="1:6" x14ac:dyDescent="0.2">
      <c r="A6802">
        <v>2016</v>
      </c>
      <c r="B6802" s="13">
        <v>8421</v>
      </c>
      <c r="C6802" s="90" t="str">
        <f>VLOOKUP(B6802,'All Districts'!$A$3:$B$874,2,FALSE)</f>
        <v>Western New York Maritime</v>
      </c>
      <c r="D6802" s="16">
        <v>262551</v>
      </c>
      <c r="E6802">
        <f>VLOOKUP(C6802,'All Districts'!$B$3:$C$874,2,FALSE)</f>
        <v>3600106</v>
      </c>
      <c r="F6802" s="91">
        <f>COUNTIF($E$2:$E$7106,E6802)</f>
        <v>9</v>
      </c>
    </row>
    <row r="6803" spans="1:6" x14ac:dyDescent="0.2">
      <c r="A6803">
        <v>2017</v>
      </c>
      <c r="B6803" s="13">
        <v>8421</v>
      </c>
      <c r="C6803" s="90" t="str">
        <f>VLOOKUP(B6803,'All Districts'!$A$3:$B$874,2,FALSE)</f>
        <v>Western New York Maritime</v>
      </c>
      <c r="D6803" s="16">
        <v>265559</v>
      </c>
      <c r="E6803">
        <f>VLOOKUP(C6803,'All Districts'!$B$3:$C$874,2,FALSE)</f>
        <v>3600106</v>
      </c>
      <c r="F6803" s="91">
        <f>COUNTIF($E$2:$E$7106,E6803)</f>
        <v>9</v>
      </c>
    </row>
    <row r="6804" spans="1:6" x14ac:dyDescent="0.2">
      <c r="A6804" s="10">
        <v>2018</v>
      </c>
      <c r="B6804" s="13">
        <v>8421</v>
      </c>
      <c r="C6804" s="90" t="str">
        <f>VLOOKUP(B6804,'All Districts'!$A$3:$B$874,2,FALSE)</f>
        <v>Western New York Maritime</v>
      </c>
      <c r="D6804" s="15">
        <v>264097</v>
      </c>
      <c r="E6804">
        <f>VLOOKUP(C6804,'All Districts'!$B$3:$C$874,2,FALSE)</f>
        <v>3600106</v>
      </c>
      <c r="F6804" s="91">
        <f>COUNTIF($E$2:$E$7106,E6804)</f>
        <v>9</v>
      </c>
    </row>
    <row r="6805" spans="1:6" x14ac:dyDescent="0.2">
      <c r="A6805">
        <v>2019</v>
      </c>
      <c r="B6805" s="36">
        <v>8421</v>
      </c>
      <c r="C6805" s="90" t="str">
        <f>VLOOKUP(B6805,'All Districts'!$A$3:$B$874,2,FALSE)</f>
        <v>Western New York Maritime</v>
      </c>
      <c r="D6805" s="40">
        <v>298794</v>
      </c>
      <c r="E6805">
        <f>VLOOKUP(C6805,'All Districts'!$B$3:$C$874,2,FALSE)</f>
        <v>3600106</v>
      </c>
      <c r="F6805" s="91">
        <f>COUNTIF($E$2:$E$7106,E6805)</f>
        <v>9</v>
      </c>
    </row>
    <row r="6806" spans="1:6" x14ac:dyDescent="0.2">
      <c r="A6806">
        <v>2020</v>
      </c>
      <c r="B6806" s="36">
        <v>8421</v>
      </c>
      <c r="C6806" s="90" t="str">
        <f>VLOOKUP(B6806,'All Districts'!$A$3:$B$874,2,FALSE)</f>
        <v>Western New York Maritime</v>
      </c>
      <c r="D6806" s="40">
        <v>270545</v>
      </c>
      <c r="E6806">
        <f>VLOOKUP(C6806,'All Districts'!$B$3:$C$874,2,FALSE)</f>
        <v>3600106</v>
      </c>
      <c r="F6806" s="91">
        <f>COUNTIF($E$2:$E$7106,E6806)</f>
        <v>9</v>
      </c>
    </row>
    <row r="6807" spans="1:6" x14ac:dyDescent="0.2">
      <c r="A6807" s="10">
        <v>2021</v>
      </c>
      <c r="B6807" s="55">
        <v>8421</v>
      </c>
      <c r="C6807" s="90" t="str">
        <f>VLOOKUP(B6807,'All Districts'!$A$3:$B$874,2,FALSE)</f>
        <v>Western New York Maritime</v>
      </c>
      <c r="D6807" s="76">
        <v>312437</v>
      </c>
      <c r="E6807">
        <f>VLOOKUP(C6807,'All Districts'!$B$3:$C$874,2,FALSE)</f>
        <v>3600106</v>
      </c>
      <c r="F6807" s="91">
        <f>COUNTIF($E$2:$E$7106,E6807)</f>
        <v>9</v>
      </c>
    </row>
    <row r="6808" spans="1:6" x14ac:dyDescent="0.2">
      <c r="A6808">
        <v>2022</v>
      </c>
      <c r="B6808" s="36">
        <v>8421</v>
      </c>
      <c r="C6808" s="90" t="str">
        <f>VLOOKUP(B6808,'All Districts'!$A$3:$B$874,2,FALSE)</f>
        <v>Western New York Maritime</v>
      </c>
      <c r="D6808" s="82">
        <v>330883</v>
      </c>
      <c r="E6808">
        <f>VLOOKUP(C6808,'All Districts'!$B$3:$C$874,2,FALSE)</f>
        <v>3600106</v>
      </c>
      <c r="F6808" s="91">
        <f>COUNTIF($E$2:$E$7106,E6808)</f>
        <v>9</v>
      </c>
    </row>
    <row r="6809" spans="1:6" x14ac:dyDescent="0.2">
      <c r="A6809">
        <v>2023</v>
      </c>
      <c r="B6809" s="36">
        <v>8421</v>
      </c>
      <c r="C6809" s="90" t="str">
        <f>VLOOKUP(B6809,'All Districts'!$A$3:$B$874,2,FALSE)</f>
        <v>Western New York Maritime</v>
      </c>
      <c r="D6809" s="40">
        <v>357254</v>
      </c>
      <c r="E6809">
        <f>VLOOKUP(C6809,'All Districts'!$B$3:$C$874,2,FALSE)</f>
        <v>3600106</v>
      </c>
      <c r="F6809" s="91">
        <f>COUNTIF($E$2:$E$7106,E6809)</f>
        <v>9</v>
      </c>
    </row>
    <row r="6810" spans="1:6" x14ac:dyDescent="0.2">
      <c r="A6810">
        <v>2015</v>
      </c>
      <c r="B6810" s="13">
        <v>3309</v>
      </c>
      <c r="C6810" s="90" t="str">
        <f>VLOOKUP(B6810,'All Districts'!$A$3:$B$874,2,FALSE)</f>
        <v>Westfield</v>
      </c>
      <c r="D6810" s="14">
        <v>1011395</v>
      </c>
      <c r="E6810">
        <f>VLOOKUP(C6810,'All Districts'!$B$3:$C$874,2,FALSE)</f>
        <v>3630990</v>
      </c>
      <c r="F6810" s="91">
        <f>COUNTIF($E$2:$E$7106,E6810)</f>
        <v>9</v>
      </c>
    </row>
    <row r="6811" spans="1:6" x14ac:dyDescent="0.2">
      <c r="A6811">
        <v>2016</v>
      </c>
      <c r="B6811" s="13">
        <v>3309</v>
      </c>
      <c r="C6811" s="90" t="str">
        <f>VLOOKUP(B6811,'All Districts'!$A$3:$B$874,2,FALSE)</f>
        <v>Westfield</v>
      </c>
      <c r="D6811" s="16">
        <v>797428</v>
      </c>
      <c r="E6811">
        <f>VLOOKUP(C6811,'All Districts'!$B$3:$C$874,2,FALSE)</f>
        <v>3630990</v>
      </c>
      <c r="F6811" s="91">
        <f>COUNTIF($E$2:$E$7106,E6811)</f>
        <v>9</v>
      </c>
    </row>
    <row r="6812" spans="1:6" x14ac:dyDescent="0.2">
      <c r="A6812">
        <v>2017</v>
      </c>
      <c r="B6812" s="13">
        <v>3309</v>
      </c>
      <c r="C6812" s="90" t="str">
        <f>VLOOKUP(B6812,'All Districts'!$A$3:$B$874,2,FALSE)</f>
        <v>Westfield</v>
      </c>
      <c r="D6812" s="16">
        <v>726898</v>
      </c>
      <c r="E6812">
        <f>VLOOKUP(C6812,'All Districts'!$B$3:$C$874,2,FALSE)</f>
        <v>3630990</v>
      </c>
      <c r="F6812" s="91">
        <f>COUNTIF($E$2:$E$7106,E6812)</f>
        <v>9</v>
      </c>
    </row>
    <row r="6813" spans="1:6" x14ac:dyDescent="0.2">
      <c r="A6813" s="10">
        <v>2018</v>
      </c>
      <c r="B6813" s="13">
        <v>3309</v>
      </c>
      <c r="C6813" s="90" t="str">
        <f>VLOOKUP(B6813,'All Districts'!$A$3:$B$874,2,FALSE)</f>
        <v>Westfield</v>
      </c>
      <c r="D6813" s="15">
        <v>638190</v>
      </c>
      <c r="E6813">
        <f>VLOOKUP(C6813,'All Districts'!$B$3:$C$874,2,FALSE)</f>
        <v>3630990</v>
      </c>
      <c r="F6813" s="91">
        <f>COUNTIF($E$2:$E$7106,E6813)</f>
        <v>9</v>
      </c>
    </row>
    <row r="6814" spans="1:6" x14ac:dyDescent="0.2">
      <c r="A6814">
        <v>2019</v>
      </c>
      <c r="B6814" s="36">
        <v>3309</v>
      </c>
      <c r="C6814" s="90" t="str">
        <f>VLOOKUP(B6814,'All Districts'!$A$3:$B$874,2,FALSE)</f>
        <v>Westfield</v>
      </c>
      <c r="D6814" s="40">
        <v>715142</v>
      </c>
      <c r="E6814">
        <f>VLOOKUP(C6814,'All Districts'!$B$3:$C$874,2,FALSE)</f>
        <v>3630990</v>
      </c>
      <c r="F6814" s="91">
        <f>COUNTIF($E$2:$E$7106,E6814)</f>
        <v>9</v>
      </c>
    </row>
    <row r="6815" spans="1:6" x14ac:dyDescent="0.2">
      <c r="A6815">
        <v>2020</v>
      </c>
      <c r="B6815" s="36">
        <v>3309</v>
      </c>
      <c r="C6815" s="90" t="str">
        <f>VLOOKUP(B6815,'All Districts'!$A$3:$B$874,2,FALSE)</f>
        <v>Westfield</v>
      </c>
      <c r="D6815" s="40">
        <v>589454</v>
      </c>
      <c r="E6815">
        <f>VLOOKUP(C6815,'All Districts'!$B$3:$C$874,2,FALSE)</f>
        <v>3630990</v>
      </c>
      <c r="F6815" s="91">
        <f>COUNTIF($E$2:$E$7106,E6815)</f>
        <v>9</v>
      </c>
    </row>
    <row r="6816" spans="1:6" x14ac:dyDescent="0.2">
      <c r="A6816" s="10">
        <v>2021</v>
      </c>
      <c r="B6816" s="52">
        <v>3309</v>
      </c>
      <c r="C6816" s="90" t="str">
        <f>VLOOKUP(B6816,'All Districts'!$A$3:$B$874,2,FALSE)</f>
        <v>Westfield</v>
      </c>
      <c r="D6816" s="76">
        <v>633738</v>
      </c>
      <c r="E6816">
        <f>VLOOKUP(C6816,'All Districts'!$B$3:$C$874,2,FALSE)</f>
        <v>3630990</v>
      </c>
      <c r="F6816" s="91">
        <f>COUNTIF($E$2:$E$7106,E6816)</f>
        <v>9</v>
      </c>
    </row>
    <row r="6817" spans="1:6" x14ac:dyDescent="0.2">
      <c r="A6817">
        <v>2022</v>
      </c>
      <c r="B6817" s="36">
        <v>3309</v>
      </c>
      <c r="C6817" s="90" t="str">
        <f>VLOOKUP(B6817,'All Districts'!$A$3:$B$874,2,FALSE)</f>
        <v>Westfield</v>
      </c>
      <c r="D6817" s="82">
        <v>628780</v>
      </c>
      <c r="E6817">
        <f>VLOOKUP(C6817,'All Districts'!$B$3:$C$874,2,FALSE)</f>
        <v>3630990</v>
      </c>
      <c r="F6817" s="91">
        <f>COUNTIF($E$2:$E$7106,E6817)</f>
        <v>9</v>
      </c>
    </row>
    <row r="6818" spans="1:6" x14ac:dyDescent="0.2">
      <c r="A6818">
        <v>2023</v>
      </c>
      <c r="B6818" s="36">
        <v>3309</v>
      </c>
      <c r="C6818" s="90" t="str">
        <f>VLOOKUP(B6818,'All Districts'!$A$3:$B$874,2,FALSE)</f>
        <v>Westfield</v>
      </c>
      <c r="D6818" s="40">
        <v>691662</v>
      </c>
      <c r="E6818">
        <f>VLOOKUP(C6818,'All Districts'!$B$3:$C$874,2,FALSE)</f>
        <v>3630990</v>
      </c>
      <c r="F6818" s="91">
        <f>COUNTIF($E$2:$E$7106,E6818)</f>
        <v>9</v>
      </c>
    </row>
    <row r="6819" spans="1:6" x14ac:dyDescent="0.2">
      <c r="A6819">
        <v>2015</v>
      </c>
      <c r="B6819" s="13">
        <v>5361</v>
      </c>
      <c r="C6819" s="90" t="str">
        <f>VLOOKUP(B6819,'All Districts'!$A$3:$B$874,2,FALSE)</f>
        <v>Westhampton Beach</v>
      </c>
      <c r="D6819" s="14">
        <v>3923291</v>
      </c>
      <c r="E6819">
        <f>VLOOKUP(C6819,'All Districts'!$B$3:$C$874,2,FALSE)</f>
        <v>3631020</v>
      </c>
      <c r="F6819" s="91">
        <f>COUNTIF($E$2:$E$7106,E6819)</f>
        <v>9</v>
      </c>
    </row>
    <row r="6820" spans="1:6" x14ac:dyDescent="0.2">
      <c r="A6820">
        <v>2016</v>
      </c>
      <c r="B6820" s="13">
        <v>5361</v>
      </c>
      <c r="C6820" s="90" t="str">
        <f>VLOOKUP(B6820,'All Districts'!$A$3:$B$874,2,FALSE)</f>
        <v>Westhampton Beach</v>
      </c>
      <c r="D6820" s="16">
        <v>3033364</v>
      </c>
      <c r="E6820">
        <f>VLOOKUP(C6820,'All Districts'!$B$3:$C$874,2,FALSE)</f>
        <v>3631020</v>
      </c>
      <c r="F6820" s="91">
        <f>COUNTIF($E$2:$E$7106,E6820)</f>
        <v>9</v>
      </c>
    </row>
    <row r="6821" spans="1:6" x14ac:dyDescent="0.2">
      <c r="A6821">
        <v>2017</v>
      </c>
      <c r="B6821" s="13">
        <v>5361</v>
      </c>
      <c r="C6821" s="90" t="str">
        <f>VLOOKUP(B6821,'All Districts'!$A$3:$B$874,2,FALSE)</f>
        <v>Westhampton Beach</v>
      </c>
      <c r="D6821" s="16">
        <v>2729231</v>
      </c>
      <c r="E6821">
        <f>VLOOKUP(C6821,'All Districts'!$B$3:$C$874,2,FALSE)</f>
        <v>3631020</v>
      </c>
      <c r="F6821" s="91">
        <f>COUNTIF($E$2:$E$7106,E6821)</f>
        <v>9</v>
      </c>
    </row>
    <row r="6822" spans="1:6" x14ac:dyDescent="0.2">
      <c r="A6822" s="10">
        <v>2018</v>
      </c>
      <c r="B6822" s="13">
        <v>5361</v>
      </c>
      <c r="C6822" s="90" t="str">
        <f>VLOOKUP(B6822,'All Districts'!$A$3:$B$874,2,FALSE)</f>
        <v>Westhampton Beach</v>
      </c>
      <c r="D6822" s="15">
        <v>2333265</v>
      </c>
      <c r="E6822">
        <f>VLOOKUP(C6822,'All Districts'!$B$3:$C$874,2,FALSE)</f>
        <v>3631020</v>
      </c>
      <c r="F6822" s="91">
        <f>COUNTIF($E$2:$E$7106,E6822)</f>
        <v>9</v>
      </c>
    </row>
    <row r="6823" spans="1:6" x14ac:dyDescent="0.2">
      <c r="A6823">
        <v>2019</v>
      </c>
      <c r="B6823" s="36">
        <v>5361</v>
      </c>
      <c r="C6823" s="90" t="str">
        <f>VLOOKUP(B6823,'All Districts'!$A$3:$B$874,2,FALSE)</f>
        <v>Westhampton Beach</v>
      </c>
      <c r="D6823" s="40">
        <v>2560299</v>
      </c>
      <c r="E6823">
        <f>VLOOKUP(C6823,'All Districts'!$B$3:$C$874,2,FALSE)</f>
        <v>3631020</v>
      </c>
      <c r="F6823" s="91">
        <f>COUNTIF($E$2:$E$7106,E6823)</f>
        <v>9</v>
      </c>
    </row>
    <row r="6824" spans="1:6" x14ac:dyDescent="0.2">
      <c r="A6824">
        <v>2020</v>
      </c>
      <c r="B6824" s="36">
        <v>5361</v>
      </c>
      <c r="C6824" s="90" t="str">
        <f>VLOOKUP(B6824,'All Districts'!$A$3:$B$874,2,FALSE)</f>
        <v>Westhampton Beach</v>
      </c>
      <c r="D6824" s="40">
        <v>2138367</v>
      </c>
      <c r="E6824">
        <f>VLOOKUP(C6824,'All Districts'!$B$3:$C$874,2,FALSE)</f>
        <v>3631020</v>
      </c>
      <c r="F6824" s="91">
        <f>COUNTIF($E$2:$E$7106,E6824)</f>
        <v>9</v>
      </c>
    </row>
    <row r="6825" spans="1:6" x14ac:dyDescent="0.2">
      <c r="A6825" s="10">
        <v>2021</v>
      </c>
      <c r="B6825" s="52">
        <v>5361</v>
      </c>
      <c r="C6825" s="90" t="str">
        <f>VLOOKUP(B6825,'All Districts'!$A$3:$B$874,2,FALSE)</f>
        <v>Westhampton Beach</v>
      </c>
      <c r="D6825" s="76">
        <v>2354475</v>
      </c>
      <c r="E6825">
        <f>VLOOKUP(C6825,'All Districts'!$B$3:$C$874,2,FALSE)</f>
        <v>3631020</v>
      </c>
      <c r="F6825" s="91">
        <f>COUNTIF($E$2:$E$7106,E6825)</f>
        <v>9</v>
      </c>
    </row>
    <row r="6826" spans="1:6" x14ac:dyDescent="0.2">
      <c r="A6826">
        <v>2022</v>
      </c>
      <c r="B6826" s="36">
        <v>5361</v>
      </c>
      <c r="C6826" s="90" t="str">
        <f>VLOOKUP(B6826,'All Districts'!$A$3:$B$874,2,FALSE)</f>
        <v>Westhampton Beach</v>
      </c>
      <c r="D6826" s="82">
        <v>2495584</v>
      </c>
      <c r="E6826">
        <f>VLOOKUP(C6826,'All Districts'!$B$3:$C$874,2,FALSE)</f>
        <v>3631020</v>
      </c>
      <c r="F6826" s="91">
        <f>COUNTIF($E$2:$E$7106,E6826)</f>
        <v>9</v>
      </c>
    </row>
    <row r="6827" spans="1:6" x14ac:dyDescent="0.2">
      <c r="A6827">
        <v>2023</v>
      </c>
      <c r="B6827" s="36">
        <v>5361</v>
      </c>
      <c r="C6827" s="90" t="str">
        <f>VLOOKUP(B6827,'All Districts'!$A$3:$B$874,2,FALSE)</f>
        <v>Westhampton Beach</v>
      </c>
      <c r="D6827" s="40">
        <v>2705128</v>
      </c>
      <c r="E6827">
        <f>VLOOKUP(C6827,'All Districts'!$B$3:$C$874,2,FALSE)</f>
        <v>3631020</v>
      </c>
      <c r="F6827" s="91">
        <f>COUNTIF($E$2:$E$7106,E6827)</f>
        <v>9</v>
      </c>
    </row>
    <row r="6828" spans="1:6" x14ac:dyDescent="0.2">
      <c r="A6828">
        <v>2015</v>
      </c>
      <c r="B6828" s="13">
        <v>2641</v>
      </c>
      <c r="C6828" s="90" t="str">
        <f>VLOOKUP(B6828,'All Districts'!$A$3:$B$874,2,FALSE)</f>
        <v>Westhill</v>
      </c>
      <c r="D6828" s="14">
        <v>2061811</v>
      </c>
      <c r="E6828">
        <f>VLOOKUP(C6828,'All Districts'!$B$3:$C$874,2,FALSE)</f>
        <v>3607320</v>
      </c>
      <c r="F6828" s="91">
        <f>COUNTIF($E$2:$E$7106,E6828)</f>
        <v>9</v>
      </c>
    </row>
    <row r="6829" spans="1:6" x14ac:dyDescent="0.2">
      <c r="A6829">
        <v>2016</v>
      </c>
      <c r="B6829" s="13">
        <v>2641</v>
      </c>
      <c r="C6829" s="90" t="str">
        <f>VLOOKUP(B6829,'All Districts'!$A$3:$B$874,2,FALSE)</f>
        <v>Westhill</v>
      </c>
      <c r="D6829" s="16">
        <v>1564412</v>
      </c>
      <c r="E6829">
        <f>VLOOKUP(C6829,'All Districts'!$B$3:$C$874,2,FALSE)</f>
        <v>3607320</v>
      </c>
      <c r="F6829" s="91">
        <f>COUNTIF($E$2:$E$7106,E6829)</f>
        <v>9</v>
      </c>
    </row>
    <row r="6830" spans="1:6" x14ac:dyDescent="0.2">
      <c r="A6830">
        <v>2017</v>
      </c>
      <c r="B6830" s="13">
        <v>2641</v>
      </c>
      <c r="C6830" s="90" t="str">
        <f>VLOOKUP(B6830,'All Districts'!$A$3:$B$874,2,FALSE)</f>
        <v>Westhill</v>
      </c>
      <c r="D6830" s="16">
        <v>1403760</v>
      </c>
      <c r="E6830">
        <f>VLOOKUP(C6830,'All Districts'!$B$3:$C$874,2,FALSE)</f>
        <v>3607320</v>
      </c>
      <c r="F6830" s="91">
        <f>COUNTIF($E$2:$E$7106,E6830)</f>
        <v>9</v>
      </c>
    </row>
    <row r="6831" spans="1:6" x14ac:dyDescent="0.2">
      <c r="A6831" s="10">
        <v>2018</v>
      </c>
      <c r="B6831" s="13">
        <v>2641</v>
      </c>
      <c r="C6831" s="90" t="str">
        <f>VLOOKUP(B6831,'All Districts'!$A$3:$B$874,2,FALSE)</f>
        <v>Westhill</v>
      </c>
      <c r="D6831" s="15">
        <v>1200998</v>
      </c>
      <c r="E6831">
        <f>VLOOKUP(C6831,'All Districts'!$B$3:$C$874,2,FALSE)</f>
        <v>3607320</v>
      </c>
      <c r="F6831" s="91">
        <f>COUNTIF($E$2:$E$7106,E6831)</f>
        <v>9</v>
      </c>
    </row>
    <row r="6832" spans="1:6" x14ac:dyDescent="0.2">
      <c r="A6832">
        <v>2019</v>
      </c>
      <c r="B6832" s="36">
        <v>2641</v>
      </c>
      <c r="C6832" s="90" t="str">
        <f>VLOOKUP(B6832,'All Districts'!$A$3:$B$874,2,FALSE)</f>
        <v>Westhill</v>
      </c>
      <c r="D6832" s="40">
        <v>1346551</v>
      </c>
      <c r="E6832">
        <f>VLOOKUP(C6832,'All Districts'!$B$3:$C$874,2,FALSE)</f>
        <v>3607320</v>
      </c>
      <c r="F6832" s="91">
        <f>COUNTIF($E$2:$E$7106,E6832)</f>
        <v>9</v>
      </c>
    </row>
    <row r="6833" spans="1:6" x14ac:dyDescent="0.2">
      <c r="A6833">
        <v>2020</v>
      </c>
      <c r="B6833" s="36">
        <v>2641</v>
      </c>
      <c r="C6833" s="90" t="str">
        <f>VLOOKUP(B6833,'All Districts'!$A$3:$B$874,2,FALSE)</f>
        <v>Westhill</v>
      </c>
      <c r="D6833" s="40">
        <v>1189042</v>
      </c>
      <c r="E6833">
        <f>VLOOKUP(C6833,'All Districts'!$B$3:$C$874,2,FALSE)</f>
        <v>3607320</v>
      </c>
      <c r="F6833" s="91">
        <f>COUNTIF($E$2:$E$7106,E6833)</f>
        <v>9</v>
      </c>
    </row>
    <row r="6834" spans="1:6" x14ac:dyDescent="0.2">
      <c r="A6834" s="10">
        <v>2021</v>
      </c>
      <c r="B6834" s="52">
        <v>2641</v>
      </c>
      <c r="C6834" s="90" t="str">
        <f>VLOOKUP(B6834,'All Districts'!$A$3:$B$874,2,FALSE)</f>
        <v>Westhill</v>
      </c>
      <c r="D6834" s="76">
        <v>1307535</v>
      </c>
      <c r="E6834">
        <f>VLOOKUP(C6834,'All Districts'!$B$3:$C$874,2,FALSE)</f>
        <v>3607320</v>
      </c>
      <c r="F6834" s="91">
        <f>COUNTIF($E$2:$E$7106,E6834)</f>
        <v>9</v>
      </c>
    </row>
    <row r="6835" spans="1:6" x14ac:dyDescent="0.2">
      <c r="A6835">
        <v>2022</v>
      </c>
      <c r="B6835" s="36">
        <v>2641</v>
      </c>
      <c r="C6835" s="90" t="str">
        <f>VLOOKUP(B6835,'All Districts'!$A$3:$B$874,2,FALSE)</f>
        <v>Westhill</v>
      </c>
      <c r="D6835" s="82">
        <v>1439100</v>
      </c>
      <c r="E6835">
        <f>VLOOKUP(C6835,'All Districts'!$B$3:$C$874,2,FALSE)</f>
        <v>3607320</v>
      </c>
      <c r="F6835" s="91">
        <f>COUNTIF($E$2:$E$7106,E6835)</f>
        <v>9</v>
      </c>
    </row>
    <row r="6836" spans="1:6" x14ac:dyDescent="0.2">
      <c r="A6836">
        <v>2023</v>
      </c>
      <c r="B6836" s="36">
        <v>2641</v>
      </c>
      <c r="C6836" s="90" t="str">
        <f>VLOOKUP(B6836,'All Districts'!$A$3:$B$874,2,FALSE)</f>
        <v>Westhill</v>
      </c>
      <c r="D6836" s="40">
        <v>1595973</v>
      </c>
      <c r="E6836">
        <f>VLOOKUP(C6836,'All Districts'!$B$3:$C$874,2,FALSE)</f>
        <v>3607320</v>
      </c>
      <c r="F6836" s="91">
        <f>COUNTIF($E$2:$E$7106,E6836)</f>
        <v>9</v>
      </c>
    </row>
    <row r="6837" spans="1:6" x14ac:dyDescent="0.2">
      <c r="A6837">
        <v>2015</v>
      </c>
      <c r="B6837" s="13">
        <v>8420</v>
      </c>
      <c r="C6837" s="90" t="str">
        <f>VLOOKUP(B6837,'All Districts'!$A$3:$B$874,2,FALSE)</f>
        <v>Westminster Community</v>
      </c>
      <c r="D6837" s="16">
        <v>582196</v>
      </c>
      <c r="E6837">
        <f>VLOOKUP(C6837,'All Districts'!$B$3:$C$874,2,FALSE)</f>
        <v>3600107</v>
      </c>
      <c r="F6837" s="91">
        <f>COUNTIF($E$2:$E$7106,E6837)</f>
        <v>9</v>
      </c>
    </row>
    <row r="6838" spans="1:6" x14ac:dyDescent="0.2">
      <c r="A6838">
        <v>2016</v>
      </c>
      <c r="B6838" s="13">
        <v>8420</v>
      </c>
      <c r="C6838" s="90" t="str">
        <f>VLOOKUP(B6838,'All Districts'!$A$3:$B$874,2,FALSE)</f>
        <v>Westminster Community</v>
      </c>
      <c r="D6838" s="16">
        <v>427694</v>
      </c>
      <c r="E6838">
        <f>VLOOKUP(C6838,'All Districts'!$B$3:$C$874,2,FALSE)</f>
        <v>3600107</v>
      </c>
      <c r="F6838" s="91">
        <f>COUNTIF($E$2:$E$7106,E6838)</f>
        <v>9</v>
      </c>
    </row>
    <row r="6839" spans="1:6" x14ac:dyDescent="0.2">
      <c r="A6839">
        <v>2017</v>
      </c>
      <c r="B6839" s="13">
        <v>8420</v>
      </c>
      <c r="C6839" s="90" t="str">
        <f>VLOOKUP(B6839,'All Districts'!$A$3:$B$874,2,FALSE)</f>
        <v>Westminster Community</v>
      </c>
      <c r="D6839" s="16">
        <v>447213</v>
      </c>
      <c r="E6839">
        <f>VLOOKUP(C6839,'All Districts'!$B$3:$C$874,2,FALSE)</f>
        <v>3600107</v>
      </c>
      <c r="F6839" s="91">
        <f>COUNTIF($E$2:$E$7106,E6839)</f>
        <v>9</v>
      </c>
    </row>
    <row r="6840" spans="1:6" x14ac:dyDescent="0.2">
      <c r="A6840" s="10">
        <v>2018</v>
      </c>
      <c r="B6840" s="13">
        <v>8420</v>
      </c>
      <c r="C6840" s="90" t="str">
        <f>VLOOKUP(B6840,'All Districts'!$A$3:$B$874,2,FALSE)</f>
        <v>Westminster Community</v>
      </c>
      <c r="D6840" s="15">
        <v>321220</v>
      </c>
      <c r="E6840">
        <f>VLOOKUP(C6840,'All Districts'!$B$3:$C$874,2,FALSE)</f>
        <v>3600107</v>
      </c>
      <c r="F6840" s="91">
        <f>COUNTIF($E$2:$E$7106,E6840)</f>
        <v>9</v>
      </c>
    </row>
    <row r="6841" spans="1:6" x14ac:dyDescent="0.2">
      <c r="A6841">
        <v>2019</v>
      </c>
      <c r="B6841" s="36">
        <v>8420</v>
      </c>
      <c r="C6841" s="90" t="str">
        <f>VLOOKUP(B6841,'All Districts'!$A$3:$B$874,2,FALSE)</f>
        <v>Westminster Community</v>
      </c>
      <c r="D6841" s="40">
        <v>375004</v>
      </c>
      <c r="E6841">
        <f>VLOOKUP(C6841,'All Districts'!$B$3:$C$874,2,FALSE)</f>
        <v>3600107</v>
      </c>
      <c r="F6841" s="91">
        <f>COUNTIF($E$2:$E$7106,E6841)</f>
        <v>9</v>
      </c>
    </row>
    <row r="6842" spans="1:6" x14ac:dyDescent="0.2">
      <c r="A6842">
        <v>2020</v>
      </c>
      <c r="B6842" s="36">
        <v>8420</v>
      </c>
      <c r="C6842" s="90" t="str">
        <f>VLOOKUP(B6842,'All Districts'!$A$3:$B$874,2,FALSE)</f>
        <v>Westminster Community</v>
      </c>
      <c r="D6842" s="40">
        <v>333257</v>
      </c>
      <c r="E6842">
        <f>VLOOKUP(C6842,'All Districts'!$B$3:$C$874,2,FALSE)</f>
        <v>3600107</v>
      </c>
      <c r="F6842" s="91">
        <f>COUNTIF($E$2:$E$7106,E6842)</f>
        <v>9</v>
      </c>
    </row>
    <row r="6843" spans="1:6" x14ac:dyDescent="0.2">
      <c r="A6843" s="10">
        <v>2021</v>
      </c>
      <c r="B6843" s="55">
        <v>8420</v>
      </c>
      <c r="C6843" s="90" t="str">
        <f>VLOOKUP(B6843,'All Districts'!$A$3:$B$874,2,FALSE)</f>
        <v>Westminster Community</v>
      </c>
      <c r="D6843" s="76">
        <v>161037</v>
      </c>
      <c r="E6843">
        <f>VLOOKUP(C6843,'All Districts'!$B$3:$C$874,2,FALSE)</f>
        <v>3600107</v>
      </c>
      <c r="F6843" s="91">
        <f>COUNTIF($E$2:$E$7106,E6843)</f>
        <v>9</v>
      </c>
    </row>
    <row r="6844" spans="1:6" x14ac:dyDescent="0.2">
      <c r="A6844">
        <v>2022</v>
      </c>
      <c r="B6844" s="36">
        <v>8420</v>
      </c>
      <c r="C6844" s="90" t="str">
        <f>VLOOKUP(B6844,'All Districts'!$A$3:$B$874,2,FALSE)</f>
        <v>Westminster Community</v>
      </c>
      <c r="D6844" s="82">
        <v>377174</v>
      </c>
      <c r="E6844">
        <f>VLOOKUP(C6844,'All Districts'!$B$3:$C$874,2,FALSE)</f>
        <v>3600107</v>
      </c>
      <c r="F6844" s="91">
        <f>COUNTIF($E$2:$E$7106,E6844)</f>
        <v>9</v>
      </c>
    </row>
    <row r="6845" spans="1:6" x14ac:dyDescent="0.2">
      <c r="A6845">
        <v>2023</v>
      </c>
      <c r="B6845" s="36">
        <v>8420</v>
      </c>
      <c r="C6845" s="90" t="str">
        <f>VLOOKUP(B6845,'All Districts'!$A$3:$B$874,2,FALSE)</f>
        <v>Westminster Community</v>
      </c>
      <c r="D6845" s="40">
        <v>450533</v>
      </c>
      <c r="E6845">
        <f>VLOOKUP(C6845,'All Districts'!$B$3:$C$874,2,FALSE)</f>
        <v>3600107</v>
      </c>
      <c r="F6845" s="91">
        <f>COUNTIF($E$2:$E$7106,E6845)</f>
        <v>9</v>
      </c>
    </row>
    <row r="6846" spans="1:6" x14ac:dyDescent="0.2">
      <c r="A6846">
        <v>2015</v>
      </c>
      <c r="B6846" s="13">
        <v>4439</v>
      </c>
      <c r="C6846" s="90" t="str">
        <f>VLOOKUP(B6846,'All Districts'!$A$3:$B$874,2,FALSE)</f>
        <v>Westmoreland</v>
      </c>
      <c r="D6846" s="14">
        <v>1024844</v>
      </c>
      <c r="E6846">
        <f>VLOOKUP(C6846,'All Districts'!$B$3:$C$874,2,FALSE)</f>
        <v>3631050</v>
      </c>
      <c r="F6846" s="91">
        <f>COUNTIF($E$2:$E$7106,E6846)</f>
        <v>9</v>
      </c>
    </row>
    <row r="6847" spans="1:6" x14ac:dyDescent="0.2">
      <c r="A6847">
        <v>2016</v>
      </c>
      <c r="B6847" s="13">
        <v>4439</v>
      </c>
      <c r="C6847" s="90" t="str">
        <f>VLOOKUP(B6847,'All Districts'!$A$3:$B$874,2,FALSE)</f>
        <v>Westmoreland</v>
      </c>
      <c r="D6847" s="16">
        <v>823869</v>
      </c>
      <c r="E6847">
        <f>VLOOKUP(C6847,'All Districts'!$B$3:$C$874,2,FALSE)</f>
        <v>3631050</v>
      </c>
      <c r="F6847" s="91">
        <f>COUNTIF($E$2:$E$7106,E6847)</f>
        <v>9</v>
      </c>
    </row>
    <row r="6848" spans="1:6" x14ac:dyDescent="0.2">
      <c r="A6848">
        <v>2017</v>
      </c>
      <c r="B6848" s="13">
        <v>4439</v>
      </c>
      <c r="C6848" s="90" t="str">
        <f>VLOOKUP(B6848,'All Districts'!$A$3:$B$874,2,FALSE)</f>
        <v>Westmoreland</v>
      </c>
      <c r="D6848" s="16">
        <v>721664</v>
      </c>
      <c r="E6848">
        <f>VLOOKUP(C6848,'All Districts'!$B$3:$C$874,2,FALSE)</f>
        <v>3631050</v>
      </c>
      <c r="F6848" s="91">
        <f>COUNTIF($E$2:$E$7106,E6848)</f>
        <v>9</v>
      </c>
    </row>
    <row r="6849" spans="1:6" x14ac:dyDescent="0.2">
      <c r="A6849" s="10">
        <v>2018</v>
      </c>
      <c r="B6849" s="13">
        <v>4439</v>
      </c>
      <c r="C6849" s="90" t="str">
        <f>VLOOKUP(B6849,'All Districts'!$A$3:$B$874,2,FALSE)</f>
        <v>Westmoreland</v>
      </c>
      <c r="D6849" s="15">
        <v>603532</v>
      </c>
      <c r="E6849">
        <f>VLOOKUP(C6849,'All Districts'!$B$3:$C$874,2,FALSE)</f>
        <v>3631050</v>
      </c>
      <c r="F6849" s="91">
        <f>COUNTIF($E$2:$E$7106,E6849)</f>
        <v>9</v>
      </c>
    </row>
    <row r="6850" spans="1:6" x14ac:dyDescent="0.2">
      <c r="A6850">
        <v>2019</v>
      </c>
      <c r="B6850" s="36">
        <v>4439</v>
      </c>
      <c r="C6850" s="90" t="str">
        <f>VLOOKUP(B6850,'All Districts'!$A$3:$B$874,2,FALSE)</f>
        <v>Westmoreland</v>
      </c>
      <c r="D6850" s="40">
        <v>684474</v>
      </c>
      <c r="E6850">
        <f>VLOOKUP(C6850,'All Districts'!$B$3:$C$874,2,FALSE)</f>
        <v>3631050</v>
      </c>
      <c r="F6850" s="91">
        <f>COUNTIF($E$2:$E$7106,E6850)</f>
        <v>9</v>
      </c>
    </row>
    <row r="6851" spans="1:6" x14ac:dyDescent="0.2">
      <c r="A6851">
        <v>2020</v>
      </c>
      <c r="B6851" s="36">
        <v>4439</v>
      </c>
      <c r="C6851" s="90" t="str">
        <f>VLOOKUP(B6851,'All Districts'!$A$3:$B$874,2,FALSE)</f>
        <v>Westmoreland</v>
      </c>
      <c r="D6851" s="40">
        <v>568964</v>
      </c>
      <c r="E6851">
        <f>VLOOKUP(C6851,'All Districts'!$B$3:$C$874,2,FALSE)</f>
        <v>3631050</v>
      </c>
      <c r="F6851" s="91">
        <f>COUNTIF($E$2:$E$7106,E6851)</f>
        <v>9</v>
      </c>
    </row>
    <row r="6852" spans="1:6" x14ac:dyDescent="0.2">
      <c r="A6852" s="10">
        <v>2021</v>
      </c>
      <c r="B6852" s="52">
        <v>4439</v>
      </c>
      <c r="C6852" s="90" t="str">
        <f>VLOOKUP(B6852,'All Districts'!$A$3:$B$874,2,FALSE)</f>
        <v>Westmoreland</v>
      </c>
      <c r="D6852" s="76">
        <v>613068</v>
      </c>
      <c r="E6852">
        <f>VLOOKUP(C6852,'All Districts'!$B$3:$C$874,2,FALSE)</f>
        <v>3631050</v>
      </c>
      <c r="F6852" s="91">
        <f>COUNTIF($E$2:$E$7106,E6852)</f>
        <v>9</v>
      </c>
    </row>
    <row r="6853" spans="1:6" x14ac:dyDescent="0.2">
      <c r="A6853">
        <v>2022</v>
      </c>
      <c r="B6853" s="36">
        <v>4439</v>
      </c>
      <c r="C6853" s="90" t="str">
        <f>VLOOKUP(B6853,'All Districts'!$A$3:$B$874,2,FALSE)</f>
        <v>Westmoreland</v>
      </c>
      <c r="D6853" s="82">
        <v>691192</v>
      </c>
      <c r="E6853">
        <f>VLOOKUP(C6853,'All Districts'!$B$3:$C$874,2,FALSE)</f>
        <v>3631050</v>
      </c>
      <c r="F6853" s="91">
        <f>COUNTIF($E$2:$E$7106,E6853)</f>
        <v>9</v>
      </c>
    </row>
    <row r="6854" spans="1:6" x14ac:dyDescent="0.2">
      <c r="A6854">
        <v>2023</v>
      </c>
      <c r="B6854" s="36">
        <v>4439</v>
      </c>
      <c r="C6854" s="90" t="str">
        <f>VLOOKUP(B6854,'All Districts'!$A$3:$B$874,2,FALSE)</f>
        <v>Westmoreland</v>
      </c>
      <c r="D6854" s="40">
        <v>769624</v>
      </c>
      <c r="E6854">
        <f>VLOOKUP(C6854,'All Districts'!$B$3:$C$874,2,FALSE)</f>
        <v>3631050</v>
      </c>
      <c r="F6854" s="91">
        <f>COUNTIF($E$2:$E$7106,E6854)</f>
        <v>9</v>
      </c>
    </row>
    <row r="6855" spans="1:6" x14ac:dyDescent="0.2">
      <c r="A6855">
        <v>2015</v>
      </c>
      <c r="B6855" s="13">
        <v>4258</v>
      </c>
      <c r="C6855" s="90" t="str">
        <f>VLOOKUP(B6855,'All Districts'!$A$3:$B$874,2,FALSE)</f>
        <v>Wheatland-Chili</v>
      </c>
      <c r="D6855" s="14">
        <v>869512</v>
      </c>
      <c r="E6855">
        <f>VLOOKUP(C6855,'All Districts'!$B$3:$C$874,2,FALSE)</f>
        <v>3631170</v>
      </c>
      <c r="F6855" s="91">
        <f>COUNTIF($E$2:$E$7106,E6855)</f>
        <v>9</v>
      </c>
    </row>
    <row r="6856" spans="1:6" x14ac:dyDescent="0.2">
      <c r="A6856">
        <v>2016</v>
      </c>
      <c r="B6856" s="13">
        <v>4258</v>
      </c>
      <c r="C6856" s="90" t="str">
        <f>VLOOKUP(B6856,'All Districts'!$A$3:$B$874,2,FALSE)</f>
        <v>Wheatland-Chili</v>
      </c>
      <c r="D6856" s="16">
        <v>656458</v>
      </c>
      <c r="E6856">
        <f>VLOOKUP(C6856,'All Districts'!$B$3:$C$874,2,FALSE)</f>
        <v>3631170</v>
      </c>
      <c r="F6856" s="91">
        <f>COUNTIF($E$2:$E$7106,E6856)</f>
        <v>9</v>
      </c>
    </row>
    <row r="6857" spans="1:6" x14ac:dyDescent="0.2">
      <c r="A6857">
        <v>2017</v>
      </c>
      <c r="B6857" s="13">
        <v>4258</v>
      </c>
      <c r="C6857" s="90" t="str">
        <f>VLOOKUP(B6857,'All Districts'!$A$3:$B$874,2,FALSE)</f>
        <v>Wheatland-Chili</v>
      </c>
      <c r="D6857" s="16">
        <v>596767</v>
      </c>
      <c r="E6857">
        <f>VLOOKUP(C6857,'All Districts'!$B$3:$C$874,2,FALSE)</f>
        <v>3631170</v>
      </c>
      <c r="F6857" s="91">
        <f>COUNTIF($E$2:$E$7106,E6857)</f>
        <v>9</v>
      </c>
    </row>
    <row r="6858" spans="1:6" x14ac:dyDescent="0.2">
      <c r="A6858" s="10">
        <v>2018</v>
      </c>
      <c r="B6858" s="13">
        <v>4258</v>
      </c>
      <c r="C6858" s="90" t="str">
        <f>VLOOKUP(B6858,'All Districts'!$A$3:$B$874,2,FALSE)</f>
        <v>Wheatland-Chili</v>
      </c>
      <c r="D6858" s="15">
        <v>530797</v>
      </c>
      <c r="E6858">
        <f>VLOOKUP(C6858,'All Districts'!$B$3:$C$874,2,FALSE)</f>
        <v>3631170</v>
      </c>
      <c r="F6858" s="91">
        <f>COUNTIF($E$2:$E$7106,E6858)</f>
        <v>9</v>
      </c>
    </row>
    <row r="6859" spans="1:6" x14ac:dyDescent="0.2">
      <c r="A6859">
        <v>2019</v>
      </c>
      <c r="B6859" s="36">
        <v>4258</v>
      </c>
      <c r="C6859" s="90" t="str">
        <f>VLOOKUP(B6859,'All Districts'!$A$3:$B$874,2,FALSE)</f>
        <v>Wheatland-Chili</v>
      </c>
      <c r="D6859" s="40">
        <v>628409</v>
      </c>
      <c r="E6859">
        <f>VLOOKUP(C6859,'All Districts'!$B$3:$C$874,2,FALSE)</f>
        <v>3631170</v>
      </c>
      <c r="F6859" s="91">
        <f>COUNTIF($E$2:$E$7106,E6859)</f>
        <v>9</v>
      </c>
    </row>
    <row r="6860" spans="1:6" x14ac:dyDescent="0.2">
      <c r="A6860">
        <v>2020</v>
      </c>
      <c r="B6860" s="36">
        <v>4258</v>
      </c>
      <c r="C6860" s="90" t="str">
        <f>VLOOKUP(B6860,'All Districts'!$A$3:$B$874,2,FALSE)</f>
        <v>Wheatland-Chili</v>
      </c>
      <c r="D6860" s="40">
        <v>554903</v>
      </c>
      <c r="E6860">
        <f>VLOOKUP(C6860,'All Districts'!$B$3:$C$874,2,FALSE)</f>
        <v>3631170</v>
      </c>
      <c r="F6860" s="91">
        <f>COUNTIF($E$2:$E$7106,E6860)</f>
        <v>9</v>
      </c>
    </row>
    <row r="6861" spans="1:6" x14ac:dyDescent="0.2">
      <c r="A6861" s="10">
        <v>2021</v>
      </c>
      <c r="B6861" s="52">
        <v>4258</v>
      </c>
      <c r="C6861" s="90" t="str">
        <f>VLOOKUP(B6861,'All Districts'!$A$3:$B$874,2,FALSE)</f>
        <v>Wheatland-Chili</v>
      </c>
      <c r="D6861" s="76">
        <v>595029</v>
      </c>
      <c r="E6861">
        <f>VLOOKUP(C6861,'All Districts'!$B$3:$C$874,2,FALSE)</f>
        <v>3631170</v>
      </c>
      <c r="F6861" s="91">
        <f>COUNTIF($E$2:$E$7106,E6861)</f>
        <v>9</v>
      </c>
    </row>
    <row r="6862" spans="1:6" x14ac:dyDescent="0.2">
      <c r="A6862">
        <v>2022</v>
      </c>
      <c r="B6862" s="36">
        <v>4258</v>
      </c>
      <c r="C6862" s="90" t="str">
        <f>VLOOKUP(B6862,'All Districts'!$A$3:$B$874,2,FALSE)</f>
        <v>Wheatland-Chili</v>
      </c>
      <c r="D6862" s="82">
        <v>628027</v>
      </c>
      <c r="E6862">
        <f>VLOOKUP(C6862,'All Districts'!$B$3:$C$874,2,FALSE)</f>
        <v>3631170</v>
      </c>
      <c r="F6862" s="91">
        <f>COUNTIF($E$2:$E$7106,E6862)</f>
        <v>9</v>
      </c>
    </row>
    <row r="6863" spans="1:6" x14ac:dyDescent="0.2">
      <c r="A6863">
        <v>2023</v>
      </c>
      <c r="B6863" s="36">
        <v>4258</v>
      </c>
      <c r="C6863" s="90" t="str">
        <f>VLOOKUP(B6863,'All Districts'!$A$3:$B$874,2,FALSE)</f>
        <v>Wheatland-Chili</v>
      </c>
      <c r="D6863" s="40">
        <v>657978</v>
      </c>
      <c r="E6863">
        <f>VLOOKUP(C6863,'All Districts'!$B$3:$C$874,2,FALSE)</f>
        <v>3631170</v>
      </c>
      <c r="F6863" s="91">
        <f>COUNTIF($E$2:$E$7106,E6863)</f>
        <v>9</v>
      </c>
    </row>
    <row r="6864" spans="1:6" x14ac:dyDescent="0.2">
      <c r="A6864">
        <v>2015</v>
      </c>
      <c r="B6864" s="13">
        <v>4010</v>
      </c>
      <c r="C6864" s="90" t="str">
        <f>VLOOKUP(B6864,'All Districts'!$A$3:$B$874,2,FALSE)</f>
        <v>Wheelerville</v>
      </c>
      <c r="D6864" s="14">
        <v>192819</v>
      </c>
      <c r="E6864">
        <f>VLOOKUP(C6864,'All Districts'!$B$3:$C$874,2,FALSE)</f>
        <v>3631200</v>
      </c>
      <c r="F6864" s="91">
        <f>COUNTIF($E$2:$E$7106,E6864)</f>
        <v>9</v>
      </c>
    </row>
    <row r="6865" spans="1:6" x14ac:dyDescent="0.2">
      <c r="A6865">
        <v>2016</v>
      </c>
      <c r="B6865" s="13">
        <v>4010</v>
      </c>
      <c r="C6865" s="90" t="str">
        <f>VLOOKUP(B6865,'All Districts'!$A$3:$B$874,2,FALSE)</f>
        <v>Wheelerville</v>
      </c>
      <c r="D6865" s="16">
        <v>151545</v>
      </c>
      <c r="E6865">
        <f>VLOOKUP(C6865,'All Districts'!$B$3:$C$874,2,FALSE)</f>
        <v>3631200</v>
      </c>
      <c r="F6865" s="91">
        <f>COUNTIF($E$2:$E$7106,E6865)</f>
        <v>9</v>
      </c>
    </row>
    <row r="6866" spans="1:6" x14ac:dyDescent="0.2">
      <c r="A6866">
        <v>2017</v>
      </c>
      <c r="B6866" s="13">
        <v>4010</v>
      </c>
      <c r="C6866" s="90" t="str">
        <f>VLOOKUP(B6866,'All Districts'!$A$3:$B$874,2,FALSE)</f>
        <v>Wheelerville</v>
      </c>
      <c r="D6866" s="16">
        <v>134723</v>
      </c>
      <c r="E6866">
        <f>VLOOKUP(C6866,'All Districts'!$B$3:$C$874,2,FALSE)</f>
        <v>3631200</v>
      </c>
      <c r="F6866" s="91">
        <f>COUNTIF($E$2:$E$7106,E6866)</f>
        <v>9</v>
      </c>
    </row>
    <row r="6867" spans="1:6" x14ac:dyDescent="0.2">
      <c r="A6867" s="10">
        <v>2018</v>
      </c>
      <c r="B6867" s="13">
        <v>4010</v>
      </c>
      <c r="C6867" s="90" t="str">
        <f>VLOOKUP(B6867,'All Districts'!$A$3:$B$874,2,FALSE)</f>
        <v>Wheelerville</v>
      </c>
      <c r="D6867" s="15">
        <v>112106</v>
      </c>
      <c r="E6867">
        <f>VLOOKUP(C6867,'All Districts'!$B$3:$C$874,2,FALSE)</f>
        <v>3631200</v>
      </c>
      <c r="F6867" s="91">
        <f>COUNTIF($E$2:$E$7106,E6867)</f>
        <v>9</v>
      </c>
    </row>
    <row r="6868" spans="1:6" x14ac:dyDescent="0.2">
      <c r="A6868">
        <v>2019</v>
      </c>
      <c r="B6868" s="36">
        <v>4010</v>
      </c>
      <c r="C6868" s="90" t="str">
        <f>VLOOKUP(B6868,'All Districts'!$A$3:$B$874,2,FALSE)</f>
        <v>Wheelerville</v>
      </c>
      <c r="D6868" s="40">
        <v>125755</v>
      </c>
      <c r="E6868">
        <f>VLOOKUP(C6868,'All Districts'!$B$3:$C$874,2,FALSE)</f>
        <v>3631200</v>
      </c>
      <c r="F6868" s="91">
        <f>COUNTIF($E$2:$E$7106,E6868)</f>
        <v>9</v>
      </c>
    </row>
    <row r="6869" spans="1:6" x14ac:dyDescent="0.2">
      <c r="A6869">
        <v>2020</v>
      </c>
      <c r="B6869" s="36">
        <v>4010</v>
      </c>
      <c r="C6869" s="90" t="str">
        <f>VLOOKUP(B6869,'All Districts'!$A$3:$B$874,2,FALSE)</f>
        <v>Wheelerville</v>
      </c>
      <c r="D6869" s="40">
        <v>109622</v>
      </c>
      <c r="E6869">
        <f>VLOOKUP(C6869,'All Districts'!$B$3:$C$874,2,FALSE)</f>
        <v>3631200</v>
      </c>
      <c r="F6869" s="91">
        <f>COUNTIF($E$2:$E$7106,E6869)</f>
        <v>9</v>
      </c>
    </row>
    <row r="6870" spans="1:6" x14ac:dyDescent="0.2">
      <c r="A6870" s="10">
        <v>2021</v>
      </c>
      <c r="B6870" s="52">
        <v>4010</v>
      </c>
      <c r="C6870" s="90" t="str">
        <f>VLOOKUP(B6870,'All Districts'!$A$3:$B$874,2,FALSE)</f>
        <v>Wheelerville</v>
      </c>
      <c r="D6870" s="76">
        <v>107177</v>
      </c>
      <c r="E6870">
        <f>VLOOKUP(C6870,'All Districts'!$B$3:$C$874,2,FALSE)</f>
        <v>3631200</v>
      </c>
      <c r="F6870" s="91">
        <f>COUNTIF($E$2:$E$7106,E6870)</f>
        <v>9</v>
      </c>
    </row>
    <row r="6871" spans="1:6" x14ac:dyDescent="0.2">
      <c r="A6871">
        <v>2022</v>
      </c>
      <c r="B6871" s="36">
        <v>4010</v>
      </c>
      <c r="C6871" s="90" t="str">
        <f>VLOOKUP(B6871,'All Districts'!$A$3:$B$874,2,FALSE)</f>
        <v>Wheelerville</v>
      </c>
      <c r="D6871" s="82">
        <v>111995</v>
      </c>
      <c r="E6871">
        <f>VLOOKUP(C6871,'All Districts'!$B$3:$C$874,2,FALSE)</f>
        <v>3631200</v>
      </c>
      <c r="F6871" s="91">
        <f>COUNTIF($E$2:$E$7106,E6871)</f>
        <v>9</v>
      </c>
    </row>
    <row r="6872" spans="1:6" x14ac:dyDescent="0.2">
      <c r="A6872">
        <v>2023</v>
      </c>
      <c r="B6872" s="36">
        <v>4010</v>
      </c>
      <c r="C6872" s="90" t="str">
        <f>VLOOKUP(B6872,'All Districts'!$A$3:$B$874,2,FALSE)</f>
        <v>Wheelerville</v>
      </c>
      <c r="D6872" s="40">
        <v>123360</v>
      </c>
      <c r="E6872">
        <f>VLOOKUP(C6872,'All Districts'!$B$3:$C$874,2,FALSE)</f>
        <v>3631200</v>
      </c>
      <c r="F6872" s="91">
        <f>COUNTIF($E$2:$E$7106,E6872)</f>
        <v>9</v>
      </c>
    </row>
    <row r="6873" spans="1:6" x14ac:dyDescent="0.2">
      <c r="A6873">
        <v>2015</v>
      </c>
      <c r="B6873" s="13">
        <v>1300</v>
      </c>
      <c r="C6873" s="90" t="str">
        <f>VLOOKUP(B6873,'All Districts'!$A$3:$B$874,2,FALSE)</f>
        <v>White Plains</v>
      </c>
      <c r="D6873" s="14">
        <v>14262097</v>
      </c>
      <c r="E6873">
        <f>VLOOKUP(C6873,'All Districts'!$B$3:$C$874,2,FALSE)</f>
        <v>3631260</v>
      </c>
      <c r="F6873" s="91">
        <f>COUNTIF($E$2:$E$7106,E6873)</f>
        <v>9</v>
      </c>
    </row>
    <row r="6874" spans="1:6" x14ac:dyDescent="0.2">
      <c r="A6874">
        <v>2016</v>
      </c>
      <c r="B6874" s="13">
        <v>1300</v>
      </c>
      <c r="C6874" s="90" t="str">
        <f>VLOOKUP(B6874,'All Districts'!$A$3:$B$874,2,FALSE)</f>
        <v>White Plains</v>
      </c>
      <c r="D6874" s="16">
        <v>11284086</v>
      </c>
      <c r="E6874">
        <f>VLOOKUP(C6874,'All Districts'!$B$3:$C$874,2,FALSE)</f>
        <v>3631260</v>
      </c>
      <c r="F6874" s="91">
        <f>COUNTIF($E$2:$E$7106,E6874)</f>
        <v>9</v>
      </c>
    </row>
    <row r="6875" spans="1:6" x14ac:dyDescent="0.2">
      <c r="A6875">
        <v>2017</v>
      </c>
      <c r="B6875" s="13">
        <v>1300</v>
      </c>
      <c r="C6875" s="90" t="str">
        <f>VLOOKUP(B6875,'All Districts'!$A$3:$B$874,2,FALSE)</f>
        <v>White Plains</v>
      </c>
      <c r="D6875" s="16">
        <v>10170029</v>
      </c>
      <c r="E6875">
        <f>VLOOKUP(C6875,'All Districts'!$B$3:$C$874,2,FALSE)</f>
        <v>3631260</v>
      </c>
      <c r="F6875" s="91">
        <f>COUNTIF($E$2:$E$7106,E6875)</f>
        <v>9</v>
      </c>
    </row>
    <row r="6876" spans="1:6" x14ac:dyDescent="0.2">
      <c r="A6876" s="10">
        <v>2018</v>
      </c>
      <c r="B6876" s="13">
        <v>1300</v>
      </c>
      <c r="C6876" s="90" t="str">
        <f>VLOOKUP(B6876,'All Districts'!$A$3:$B$874,2,FALSE)</f>
        <v>White Plains</v>
      </c>
      <c r="D6876" s="15">
        <v>8902790</v>
      </c>
      <c r="E6876">
        <f>VLOOKUP(C6876,'All Districts'!$B$3:$C$874,2,FALSE)</f>
        <v>3631260</v>
      </c>
      <c r="F6876" s="91">
        <f>COUNTIF($E$2:$E$7106,E6876)</f>
        <v>9</v>
      </c>
    </row>
    <row r="6877" spans="1:6" x14ac:dyDescent="0.2">
      <c r="A6877">
        <v>2019</v>
      </c>
      <c r="B6877" s="36">
        <v>1300</v>
      </c>
      <c r="C6877" s="90" t="str">
        <f>VLOOKUP(B6877,'All Districts'!$A$3:$B$874,2,FALSE)</f>
        <v>White Plains</v>
      </c>
      <c r="D6877" s="40">
        <v>9865063</v>
      </c>
      <c r="E6877">
        <f>VLOOKUP(C6877,'All Districts'!$B$3:$C$874,2,FALSE)</f>
        <v>3631260</v>
      </c>
      <c r="F6877" s="91">
        <f>COUNTIF($E$2:$E$7106,E6877)</f>
        <v>9</v>
      </c>
    </row>
    <row r="6878" spans="1:6" x14ac:dyDescent="0.2">
      <c r="A6878">
        <v>2020</v>
      </c>
      <c r="B6878" s="36">
        <v>1300</v>
      </c>
      <c r="C6878" s="90" t="str">
        <f>VLOOKUP(B6878,'All Districts'!$A$3:$B$874,2,FALSE)</f>
        <v>White Plains</v>
      </c>
      <c r="D6878" s="40">
        <v>8486725</v>
      </c>
      <c r="E6878">
        <f>VLOOKUP(C6878,'All Districts'!$B$3:$C$874,2,FALSE)</f>
        <v>3631260</v>
      </c>
      <c r="F6878" s="91">
        <f>COUNTIF($E$2:$E$7106,E6878)</f>
        <v>9</v>
      </c>
    </row>
    <row r="6879" spans="1:6" x14ac:dyDescent="0.2">
      <c r="A6879" s="10">
        <v>2021</v>
      </c>
      <c r="B6879" s="52">
        <v>1300</v>
      </c>
      <c r="C6879" s="90" t="str">
        <f>VLOOKUP(B6879,'All Districts'!$A$3:$B$874,2,FALSE)</f>
        <v>White Plains</v>
      </c>
      <c r="D6879" s="75">
        <v>9154440</v>
      </c>
      <c r="E6879">
        <f>VLOOKUP(C6879,'All Districts'!$B$3:$C$874,2,FALSE)</f>
        <v>3631260</v>
      </c>
      <c r="F6879" s="91">
        <f>COUNTIF($E$2:$E$7106,E6879)</f>
        <v>9</v>
      </c>
    </row>
    <row r="6880" spans="1:6" x14ac:dyDescent="0.2">
      <c r="A6880">
        <v>2022</v>
      </c>
      <c r="B6880" s="36">
        <v>1300</v>
      </c>
      <c r="C6880" s="90" t="str">
        <f>VLOOKUP(B6880,'All Districts'!$A$3:$B$874,2,FALSE)</f>
        <v>White Plains</v>
      </c>
      <c r="D6880" s="82">
        <v>9752251</v>
      </c>
      <c r="E6880">
        <f>VLOOKUP(C6880,'All Districts'!$B$3:$C$874,2,FALSE)</f>
        <v>3631260</v>
      </c>
      <c r="F6880" s="91">
        <f>COUNTIF($E$2:$E$7106,E6880)</f>
        <v>9</v>
      </c>
    </row>
    <row r="6881" spans="1:6" x14ac:dyDescent="0.2">
      <c r="A6881">
        <v>2023</v>
      </c>
      <c r="B6881" s="36">
        <v>1300</v>
      </c>
      <c r="C6881" s="90" t="str">
        <f>VLOOKUP(B6881,'All Districts'!$A$3:$B$874,2,FALSE)</f>
        <v>White Plains</v>
      </c>
      <c r="D6881" s="40">
        <v>10639634</v>
      </c>
      <c r="E6881">
        <f>VLOOKUP(C6881,'All Districts'!$B$3:$C$874,2,FALSE)</f>
        <v>3631260</v>
      </c>
      <c r="F6881" s="91">
        <f>COUNTIF($E$2:$E$7106,E6881)</f>
        <v>9</v>
      </c>
    </row>
    <row r="6882" spans="1:6" x14ac:dyDescent="0.2">
      <c r="A6882">
        <v>2015</v>
      </c>
      <c r="B6882" s="13">
        <v>2650</v>
      </c>
      <c r="C6882" s="90" t="str">
        <f>VLOOKUP(B6882,'All Districts'!$A$3:$B$874,2,FALSE)</f>
        <v>Whitehall</v>
      </c>
      <c r="D6882" s="14">
        <v>823049</v>
      </c>
      <c r="E6882">
        <f>VLOOKUP(C6882,'All Districts'!$B$3:$C$874,2,FALSE)</f>
        <v>3631290</v>
      </c>
      <c r="F6882" s="91">
        <f>COUNTIF($E$2:$E$7106,E6882)</f>
        <v>9</v>
      </c>
    </row>
    <row r="6883" spans="1:6" x14ac:dyDescent="0.2">
      <c r="A6883">
        <v>2016</v>
      </c>
      <c r="B6883" s="13">
        <v>2650</v>
      </c>
      <c r="C6883" s="90" t="str">
        <f>VLOOKUP(B6883,'All Districts'!$A$3:$B$874,2,FALSE)</f>
        <v>Whitehall</v>
      </c>
      <c r="D6883" s="16">
        <v>569951</v>
      </c>
      <c r="E6883">
        <f>VLOOKUP(C6883,'All Districts'!$B$3:$C$874,2,FALSE)</f>
        <v>3631290</v>
      </c>
      <c r="F6883" s="91">
        <f>COUNTIF($E$2:$E$7106,E6883)</f>
        <v>9</v>
      </c>
    </row>
    <row r="6884" spans="1:6" x14ac:dyDescent="0.2">
      <c r="A6884">
        <v>2017</v>
      </c>
      <c r="B6884" s="13">
        <v>2650</v>
      </c>
      <c r="C6884" s="90" t="str">
        <f>VLOOKUP(B6884,'All Districts'!$A$3:$B$874,2,FALSE)</f>
        <v>Whitehall</v>
      </c>
      <c r="D6884" s="16">
        <v>565069</v>
      </c>
      <c r="E6884">
        <f>VLOOKUP(C6884,'All Districts'!$B$3:$C$874,2,FALSE)</f>
        <v>3631290</v>
      </c>
      <c r="F6884" s="91">
        <f>COUNTIF($E$2:$E$7106,E6884)</f>
        <v>9</v>
      </c>
    </row>
    <row r="6885" spans="1:6" x14ac:dyDescent="0.2">
      <c r="A6885" s="10">
        <v>2018</v>
      </c>
      <c r="B6885" s="13">
        <v>2650</v>
      </c>
      <c r="C6885" s="90" t="str">
        <f>VLOOKUP(B6885,'All Districts'!$A$3:$B$874,2,FALSE)</f>
        <v>Whitehall</v>
      </c>
      <c r="D6885" s="15">
        <v>503684</v>
      </c>
      <c r="E6885">
        <f>VLOOKUP(C6885,'All Districts'!$B$3:$C$874,2,FALSE)</f>
        <v>3631290</v>
      </c>
      <c r="F6885" s="91">
        <f>COUNTIF($E$2:$E$7106,E6885)</f>
        <v>9</v>
      </c>
    </row>
    <row r="6886" spans="1:6" x14ac:dyDescent="0.2">
      <c r="A6886">
        <v>2019</v>
      </c>
      <c r="B6886" s="36">
        <v>2650</v>
      </c>
      <c r="C6886" s="90" t="str">
        <f>VLOOKUP(B6886,'All Districts'!$A$3:$B$874,2,FALSE)</f>
        <v>Whitehall</v>
      </c>
      <c r="D6886" s="40">
        <v>545403</v>
      </c>
      <c r="E6886">
        <f>VLOOKUP(C6886,'All Districts'!$B$3:$C$874,2,FALSE)</f>
        <v>3631290</v>
      </c>
      <c r="F6886" s="91">
        <f>COUNTIF($E$2:$E$7106,E6886)</f>
        <v>9</v>
      </c>
    </row>
    <row r="6887" spans="1:6" x14ac:dyDescent="0.2">
      <c r="A6887">
        <v>2020</v>
      </c>
      <c r="B6887" s="36">
        <v>2650</v>
      </c>
      <c r="C6887" s="90" t="str">
        <f>VLOOKUP(B6887,'All Districts'!$A$3:$B$874,2,FALSE)</f>
        <v>Whitehall</v>
      </c>
      <c r="D6887" s="40">
        <v>476353</v>
      </c>
      <c r="E6887">
        <f>VLOOKUP(C6887,'All Districts'!$B$3:$C$874,2,FALSE)</f>
        <v>3631290</v>
      </c>
      <c r="F6887" s="91">
        <f>COUNTIF($E$2:$E$7106,E6887)</f>
        <v>9</v>
      </c>
    </row>
    <row r="6888" spans="1:6" x14ac:dyDescent="0.2">
      <c r="A6888" s="10">
        <v>2021</v>
      </c>
      <c r="B6888" s="52">
        <v>2650</v>
      </c>
      <c r="C6888" s="90" t="str">
        <f>VLOOKUP(B6888,'All Districts'!$A$3:$B$874,2,FALSE)</f>
        <v>Whitehall</v>
      </c>
      <c r="D6888" s="76">
        <v>516986</v>
      </c>
      <c r="E6888">
        <f>VLOOKUP(C6888,'All Districts'!$B$3:$C$874,2,FALSE)</f>
        <v>3631290</v>
      </c>
      <c r="F6888" s="91">
        <f>COUNTIF($E$2:$E$7106,E6888)</f>
        <v>9</v>
      </c>
    </row>
    <row r="6889" spans="1:6" x14ac:dyDescent="0.2">
      <c r="A6889">
        <v>2022</v>
      </c>
      <c r="B6889" s="36">
        <v>2650</v>
      </c>
      <c r="C6889" s="90" t="str">
        <f>VLOOKUP(B6889,'All Districts'!$A$3:$B$874,2,FALSE)</f>
        <v>Whitehall</v>
      </c>
      <c r="D6889" s="82">
        <v>560846</v>
      </c>
      <c r="E6889">
        <f>VLOOKUP(C6889,'All Districts'!$B$3:$C$874,2,FALSE)</f>
        <v>3631290</v>
      </c>
      <c r="F6889" s="91">
        <f>COUNTIF($E$2:$E$7106,E6889)</f>
        <v>9</v>
      </c>
    </row>
    <row r="6890" spans="1:6" x14ac:dyDescent="0.2">
      <c r="A6890">
        <v>2023</v>
      </c>
      <c r="B6890" s="36">
        <v>2650</v>
      </c>
      <c r="C6890" s="90" t="str">
        <f>VLOOKUP(B6890,'All Districts'!$A$3:$B$874,2,FALSE)</f>
        <v>Whitehall</v>
      </c>
      <c r="D6890" s="40">
        <v>638543</v>
      </c>
      <c r="E6890">
        <f>VLOOKUP(C6890,'All Districts'!$B$3:$C$874,2,FALSE)</f>
        <v>3631290</v>
      </c>
      <c r="F6890" s="91">
        <f>COUNTIF($E$2:$E$7106,E6890)</f>
        <v>9</v>
      </c>
    </row>
    <row r="6891" spans="1:6" x14ac:dyDescent="0.2">
      <c r="A6891">
        <v>2015</v>
      </c>
      <c r="B6891" s="13">
        <v>2649</v>
      </c>
      <c r="C6891" s="90" t="str">
        <f>VLOOKUP(B6891,'All Districts'!$A$3:$B$874,2,FALSE)</f>
        <v>Whitesboro</v>
      </c>
      <c r="D6891" s="14">
        <v>3647122</v>
      </c>
      <c r="E6891">
        <f>VLOOKUP(C6891,'All Districts'!$B$3:$C$874,2,FALSE)</f>
        <v>3631320</v>
      </c>
      <c r="F6891" s="91">
        <f>COUNTIF($E$2:$E$7106,E6891)</f>
        <v>9</v>
      </c>
    </row>
    <row r="6892" spans="1:6" x14ac:dyDescent="0.2">
      <c r="A6892">
        <v>2016</v>
      </c>
      <c r="B6892" s="13">
        <v>2649</v>
      </c>
      <c r="C6892" s="90" t="str">
        <f>VLOOKUP(B6892,'All Districts'!$A$3:$B$874,2,FALSE)</f>
        <v>Whitesboro</v>
      </c>
      <c r="D6892" s="16">
        <v>2820261</v>
      </c>
      <c r="E6892">
        <f>VLOOKUP(C6892,'All Districts'!$B$3:$C$874,2,FALSE)</f>
        <v>3631320</v>
      </c>
      <c r="F6892" s="91">
        <f>COUNTIF($E$2:$E$7106,E6892)</f>
        <v>9</v>
      </c>
    </row>
    <row r="6893" spans="1:6" x14ac:dyDescent="0.2">
      <c r="A6893">
        <v>2017</v>
      </c>
      <c r="B6893" s="13">
        <v>2649</v>
      </c>
      <c r="C6893" s="90" t="str">
        <f>VLOOKUP(B6893,'All Districts'!$A$3:$B$874,2,FALSE)</f>
        <v>Whitesboro</v>
      </c>
      <c r="D6893" s="16">
        <v>2552862</v>
      </c>
      <c r="E6893">
        <f>VLOOKUP(C6893,'All Districts'!$B$3:$C$874,2,FALSE)</f>
        <v>3631320</v>
      </c>
      <c r="F6893" s="91">
        <f>COUNTIF($E$2:$E$7106,E6893)</f>
        <v>9</v>
      </c>
    </row>
    <row r="6894" spans="1:6" x14ac:dyDescent="0.2">
      <c r="A6894" s="10">
        <v>2018</v>
      </c>
      <c r="B6894" s="13">
        <v>2649</v>
      </c>
      <c r="C6894" s="90" t="str">
        <f>VLOOKUP(B6894,'All Districts'!$A$3:$B$874,2,FALSE)</f>
        <v>Whitesboro</v>
      </c>
      <c r="D6894" s="15">
        <v>2168981</v>
      </c>
      <c r="E6894">
        <f>VLOOKUP(C6894,'All Districts'!$B$3:$C$874,2,FALSE)</f>
        <v>3631320</v>
      </c>
      <c r="F6894" s="91">
        <f>COUNTIF($E$2:$E$7106,E6894)</f>
        <v>9</v>
      </c>
    </row>
    <row r="6895" spans="1:6" x14ac:dyDescent="0.2">
      <c r="A6895">
        <v>2019</v>
      </c>
      <c r="B6895" s="36">
        <v>2649</v>
      </c>
      <c r="C6895" s="90" t="str">
        <f>VLOOKUP(B6895,'All Districts'!$A$3:$B$874,2,FALSE)</f>
        <v>Whitesboro</v>
      </c>
      <c r="D6895" s="40">
        <v>2423939</v>
      </c>
      <c r="E6895">
        <f>VLOOKUP(C6895,'All Districts'!$B$3:$C$874,2,FALSE)</f>
        <v>3631320</v>
      </c>
      <c r="F6895" s="91">
        <f>COUNTIF($E$2:$E$7106,E6895)</f>
        <v>9</v>
      </c>
    </row>
    <row r="6896" spans="1:6" x14ac:dyDescent="0.2">
      <c r="A6896">
        <v>2020</v>
      </c>
      <c r="B6896" s="36">
        <v>2649</v>
      </c>
      <c r="C6896" s="90" t="str">
        <f>VLOOKUP(B6896,'All Districts'!$A$3:$B$874,2,FALSE)</f>
        <v>Whitesboro</v>
      </c>
      <c r="D6896" s="40">
        <v>2089059</v>
      </c>
      <c r="E6896">
        <f>VLOOKUP(C6896,'All Districts'!$B$3:$C$874,2,FALSE)</f>
        <v>3631320</v>
      </c>
      <c r="F6896" s="91">
        <f>COUNTIF($E$2:$E$7106,E6896)</f>
        <v>9</v>
      </c>
    </row>
    <row r="6897" spans="1:6" x14ac:dyDescent="0.2">
      <c r="A6897" s="10">
        <v>2021</v>
      </c>
      <c r="B6897" s="55">
        <v>2649</v>
      </c>
      <c r="C6897" s="90" t="str">
        <f>VLOOKUP(B6897,'All Districts'!$A$3:$B$874,2,FALSE)</f>
        <v>Whitesboro</v>
      </c>
      <c r="D6897" s="76">
        <v>2246472</v>
      </c>
      <c r="E6897">
        <f>VLOOKUP(C6897,'All Districts'!$B$3:$C$874,2,FALSE)</f>
        <v>3631320</v>
      </c>
      <c r="F6897" s="91">
        <f>COUNTIF($E$2:$E$7106,E6897)</f>
        <v>9</v>
      </c>
    </row>
    <row r="6898" spans="1:6" x14ac:dyDescent="0.2">
      <c r="A6898">
        <v>2022</v>
      </c>
      <c r="B6898" s="36">
        <v>2649</v>
      </c>
      <c r="C6898" s="90" t="str">
        <f>VLOOKUP(B6898,'All Districts'!$A$3:$B$874,2,FALSE)</f>
        <v>Whitesboro</v>
      </c>
      <c r="D6898" s="82">
        <v>2416166</v>
      </c>
      <c r="E6898">
        <f>VLOOKUP(C6898,'All Districts'!$B$3:$C$874,2,FALSE)</f>
        <v>3631320</v>
      </c>
      <c r="F6898" s="91">
        <f>COUNTIF($E$2:$E$7106,E6898)</f>
        <v>9</v>
      </c>
    </row>
    <row r="6899" spans="1:6" x14ac:dyDescent="0.2">
      <c r="A6899">
        <v>2023</v>
      </c>
      <c r="B6899" s="36">
        <v>2649</v>
      </c>
      <c r="C6899" s="90" t="str">
        <f>VLOOKUP(B6899,'All Districts'!$A$3:$B$874,2,FALSE)</f>
        <v>Whitesboro</v>
      </c>
      <c r="D6899" s="40">
        <v>2656776</v>
      </c>
      <c r="E6899">
        <f>VLOOKUP(C6899,'All Districts'!$B$3:$C$874,2,FALSE)</f>
        <v>3631320</v>
      </c>
      <c r="F6899" s="91">
        <f>COUNTIF($E$2:$E$7106,E6899)</f>
        <v>9</v>
      </c>
    </row>
    <row r="6900" spans="1:6" x14ac:dyDescent="0.2">
      <c r="A6900">
        <v>2015</v>
      </c>
      <c r="B6900" s="13">
        <v>3079</v>
      </c>
      <c r="C6900" s="90" t="str">
        <f>VLOOKUP(B6900,'All Districts'!$A$3:$B$874,2,FALSE)</f>
        <v>Whitesville</v>
      </c>
      <c r="D6900" s="14">
        <v>285307</v>
      </c>
      <c r="E6900">
        <f>VLOOKUP(C6900,'All Districts'!$B$3:$C$874,2,FALSE)</f>
        <v>3631350</v>
      </c>
      <c r="F6900" s="91">
        <f>COUNTIF($E$2:$E$7106,E6900)</f>
        <v>9</v>
      </c>
    </row>
    <row r="6901" spans="1:6" x14ac:dyDescent="0.2">
      <c r="A6901">
        <v>2016</v>
      </c>
      <c r="B6901" s="13">
        <v>3079</v>
      </c>
      <c r="C6901" s="90" t="str">
        <f>VLOOKUP(B6901,'All Districts'!$A$3:$B$874,2,FALSE)</f>
        <v>Whitesville</v>
      </c>
      <c r="D6901" s="16">
        <v>223556</v>
      </c>
      <c r="E6901">
        <f>VLOOKUP(C6901,'All Districts'!$B$3:$C$874,2,FALSE)</f>
        <v>3631350</v>
      </c>
      <c r="F6901" s="91">
        <f>COUNTIF($E$2:$E$7106,E6901)</f>
        <v>9</v>
      </c>
    </row>
    <row r="6902" spans="1:6" x14ac:dyDescent="0.2">
      <c r="A6902">
        <v>2017</v>
      </c>
      <c r="B6902" s="13">
        <v>3079</v>
      </c>
      <c r="C6902" s="90" t="str">
        <f>VLOOKUP(B6902,'All Districts'!$A$3:$B$874,2,FALSE)</f>
        <v>Whitesville</v>
      </c>
      <c r="D6902" s="16">
        <v>198583</v>
      </c>
      <c r="E6902">
        <f>VLOOKUP(C6902,'All Districts'!$B$3:$C$874,2,FALSE)</f>
        <v>3631350</v>
      </c>
      <c r="F6902" s="91">
        <f>COUNTIF($E$2:$E$7106,E6902)</f>
        <v>9</v>
      </c>
    </row>
    <row r="6903" spans="1:6" x14ac:dyDescent="0.2">
      <c r="A6903" s="10">
        <v>2018</v>
      </c>
      <c r="B6903" s="13">
        <v>3079</v>
      </c>
      <c r="C6903" s="90" t="str">
        <f>VLOOKUP(B6903,'All Districts'!$A$3:$B$874,2,FALSE)</f>
        <v>Whitesville</v>
      </c>
      <c r="D6903" s="15">
        <v>158237</v>
      </c>
      <c r="E6903">
        <f>VLOOKUP(C6903,'All Districts'!$B$3:$C$874,2,FALSE)</f>
        <v>3631350</v>
      </c>
      <c r="F6903" s="91">
        <f>COUNTIF($E$2:$E$7106,E6903)</f>
        <v>9</v>
      </c>
    </row>
    <row r="6904" spans="1:6" x14ac:dyDescent="0.2">
      <c r="A6904">
        <v>2019</v>
      </c>
      <c r="B6904" s="36">
        <v>3079</v>
      </c>
      <c r="C6904" s="90" t="str">
        <f>VLOOKUP(B6904,'All Districts'!$A$3:$B$874,2,FALSE)</f>
        <v>Whitesville</v>
      </c>
      <c r="D6904" s="40">
        <v>180328</v>
      </c>
      <c r="E6904">
        <f>VLOOKUP(C6904,'All Districts'!$B$3:$C$874,2,FALSE)</f>
        <v>3631350</v>
      </c>
      <c r="F6904" s="91">
        <f>COUNTIF($E$2:$E$7106,E6904)</f>
        <v>9</v>
      </c>
    </row>
    <row r="6905" spans="1:6" x14ac:dyDescent="0.2">
      <c r="A6905">
        <v>2020</v>
      </c>
      <c r="B6905" s="36">
        <v>3079</v>
      </c>
      <c r="C6905" s="90" t="str">
        <f>VLOOKUP(B6905,'All Districts'!$A$3:$B$874,2,FALSE)</f>
        <v>Whitesville</v>
      </c>
      <c r="D6905" s="40">
        <v>148583</v>
      </c>
      <c r="E6905">
        <f>VLOOKUP(C6905,'All Districts'!$B$3:$C$874,2,FALSE)</f>
        <v>3631350</v>
      </c>
      <c r="F6905" s="91">
        <f>COUNTIF($E$2:$E$7106,E6905)</f>
        <v>9</v>
      </c>
    </row>
    <row r="6906" spans="1:6" x14ac:dyDescent="0.2">
      <c r="A6906" s="10">
        <v>2021</v>
      </c>
      <c r="B6906" s="52">
        <v>3079</v>
      </c>
      <c r="C6906" s="90" t="str">
        <f>VLOOKUP(B6906,'All Districts'!$A$3:$B$874,2,FALSE)</f>
        <v>Whitesville</v>
      </c>
      <c r="D6906" s="80">
        <v>130437</v>
      </c>
      <c r="E6906">
        <f>VLOOKUP(C6906,'All Districts'!$B$3:$C$874,2,FALSE)</f>
        <v>3631350</v>
      </c>
      <c r="F6906" s="91">
        <f>COUNTIF($E$2:$E$7106,E6906)</f>
        <v>9</v>
      </c>
    </row>
    <row r="6907" spans="1:6" x14ac:dyDescent="0.2">
      <c r="A6907">
        <v>2022</v>
      </c>
      <c r="B6907" s="36">
        <v>3079</v>
      </c>
      <c r="C6907" s="90" t="str">
        <f>VLOOKUP(B6907,'All Districts'!$A$3:$B$874,2,FALSE)</f>
        <v>Whitesville</v>
      </c>
      <c r="D6907" s="82">
        <v>154066</v>
      </c>
      <c r="E6907">
        <f>VLOOKUP(C6907,'All Districts'!$B$3:$C$874,2,FALSE)</f>
        <v>3631350</v>
      </c>
      <c r="F6907" s="91">
        <f>COUNTIF($E$2:$E$7106,E6907)</f>
        <v>9</v>
      </c>
    </row>
    <row r="6908" spans="1:6" x14ac:dyDescent="0.2">
      <c r="A6908">
        <v>2023</v>
      </c>
      <c r="B6908" s="36">
        <v>3079</v>
      </c>
      <c r="C6908" s="90" t="str">
        <f>VLOOKUP(B6908,'All Districts'!$A$3:$B$874,2,FALSE)</f>
        <v>Whitesville</v>
      </c>
      <c r="D6908" s="40">
        <v>157165</v>
      </c>
      <c r="E6908">
        <f>VLOOKUP(C6908,'All Districts'!$B$3:$C$874,2,FALSE)</f>
        <v>3631350</v>
      </c>
      <c r="F6908" s="91">
        <f>COUNTIF($E$2:$E$7106,E6908)</f>
        <v>9</v>
      </c>
    </row>
    <row r="6909" spans="1:6" x14ac:dyDescent="0.2">
      <c r="A6909">
        <v>2015</v>
      </c>
      <c r="B6909" s="13">
        <v>2648</v>
      </c>
      <c r="C6909" s="90" t="str">
        <f>VLOOKUP(B6909,'All Districts'!$A$3:$B$874,2,FALSE)</f>
        <v>Whitney Point</v>
      </c>
      <c r="D6909" s="14">
        <v>1776761</v>
      </c>
      <c r="E6909">
        <f>VLOOKUP(C6909,'All Districts'!$B$3:$C$874,2,FALSE)</f>
        <v>3631380</v>
      </c>
      <c r="F6909" s="91">
        <f>COUNTIF($E$2:$E$7106,E6909)</f>
        <v>9</v>
      </c>
    </row>
    <row r="6910" spans="1:6" x14ac:dyDescent="0.2">
      <c r="A6910">
        <v>2016</v>
      </c>
      <c r="B6910" s="13">
        <v>2648</v>
      </c>
      <c r="C6910" s="90" t="str">
        <f>VLOOKUP(B6910,'All Districts'!$A$3:$B$874,2,FALSE)</f>
        <v>Whitney Point</v>
      </c>
      <c r="D6910" s="16">
        <v>1360424</v>
      </c>
      <c r="E6910">
        <f>VLOOKUP(C6910,'All Districts'!$B$3:$C$874,2,FALSE)</f>
        <v>3631380</v>
      </c>
      <c r="F6910" s="91">
        <f>COUNTIF($E$2:$E$7106,E6910)</f>
        <v>9</v>
      </c>
    </row>
    <row r="6911" spans="1:6" x14ac:dyDescent="0.2">
      <c r="A6911">
        <v>2017</v>
      </c>
      <c r="B6911" s="13">
        <v>2648</v>
      </c>
      <c r="C6911" s="90" t="str">
        <f>VLOOKUP(B6911,'All Districts'!$A$3:$B$874,2,FALSE)</f>
        <v>Whitney Point</v>
      </c>
      <c r="D6911" s="16">
        <v>1228668</v>
      </c>
      <c r="E6911">
        <f>VLOOKUP(C6911,'All Districts'!$B$3:$C$874,2,FALSE)</f>
        <v>3631380</v>
      </c>
      <c r="F6911" s="91">
        <f>COUNTIF($E$2:$E$7106,E6911)</f>
        <v>9</v>
      </c>
    </row>
    <row r="6912" spans="1:6" x14ac:dyDescent="0.2">
      <c r="A6912" s="10">
        <v>2018</v>
      </c>
      <c r="B6912" s="13">
        <v>2648</v>
      </c>
      <c r="C6912" s="90" t="str">
        <f>VLOOKUP(B6912,'All Districts'!$A$3:$B$874,2,FALSE)</f>
        <v>Whitney Point</v>
      </c>
      <c r="D6912" s="15">
        <v>1025231</v>
      </c>
      <c r="E6912">
        <f>VLOOKUP(C6912,'All Districts'!$B$3:$C$874,2,FALSE)</f>
        <v>3631380</v>
      </c>
      <c r="F6912" s="91">
        <f>COUNTIF($E$2:$E$7106,E6912)</f>
        <v>9</v>
      </c>
    </row>
    <row r="6913" spans="1:6" x14ac:dyDescent="0.2">
      <c r="A6913">
        <v>2019</v>
      </c>
      <c r="B6913" s="36">
        <v>2648</v>
      </c>
      <c r="C6913" s="90" t="str">
        <f>VLOOKUP(B6913,'All Districts'!$A$3:$B$874,2,FALSE)</f>
        <v>Whitney Point</v>
      </c>
      <c r="D6913" s="40">
        <v>1098325</v>
      </c>
      <c r="E6913">
        <f>VLOOKUP(C6913,'All Districts'!$B$3:$C$874,2,FALSE)</f>
        <v>3631380</v>
      </c>
      <c r="F6913" s="91">
        <f>COUNTIF($E$2:$E$7106,E6913)</f>
        <v>9</v>
      </c>
    </row>
    <row r="6914" spans="1:6" x14ac:dyDescent="0.2">
      <c r="A6914">
        <v>2020</v>
      </c>
      <c r="B6914" s="36">
        <v>2648</v>
      </c>
      <c r="C6914" s="90" t="str">
        <f>VLOOKUP(B6914,'All Districts'!$A$3:$B$874,2,FALSE)</f>
        <v>Whitney Point</v>
      </c>
      <c r="D6914" s="40">
        <v>930495</v>
      </c>
      <c r="E6914">
        <f>VLOOKUP(C6914,'All Districts'!$B$3:$C$874,2,FALSE)</f>
        <v>3631380</v>
      </c>
      <c r="F6914" s="91">
        <f>COUNTIF($E$2:$E$7106,E6914)</f>
        <v>9</v>
      </c>
    </row>
    <row r="6915" spans="1:6" x14ac:dyDescent="0.2">
      <c r="A6915" s="10">
        <v>2021</v>
      </c>
      <c r="B6915" s="52">
        <v>2648</v>
      </c>
      <c r="C6915" s="90" t="str">
        <f>VLOOKUP(B6915,'All Districts'!$A$3:$B$874,2,FALSE)</f>
        <v>Whitney Point</v>
      </c>
      <c r="D6915" s="76">
        <v>973859</v>
      </c>
      <c r="E6915">
        <f>VLOOKUP(C6915,'All Districts'!$B$3:$C$874,2,FALSE)</f>
        <v>3631380</v>
      </c>
      <c r="F6915" s="91">
        <f>COUNTIF($E$2:$E$7106,E6915)</f>
        <v>9</v>
      </c>
    </row>
    <row r="6916" spans="1:6" x14ac:dyDescent="0.2">
      <c r="A6916">
        <v>2022</v>
      </c>
      <c r="B6916" s="36">
        <v>2648</v>
      </c>
      <c r="C6916" s="90" t="str">
        <f>VLOOKUP(B6916,'All Districts'!$A$3:$B$874,2,FALSE)</f>
        <v>Whitney Point</v>
      </c>
      <c r="D6916" s="82">
        <v>1063150</v>
      </c>
      <c r="E6916">
        <f>VLOOKUP(C6916,'All Districts'!$B$3:$C$874,2,FALSE)</f>
        <v>3631380</v>
      </c>
      <c r="F6916" s="91">
        <f>COUNTIF($E$2:$E$7106,E6916)</f>
        <v>9</v>
      </c>
    </row>
    <row r="6917" spans="1:6" x14ac:dyDescent="0.2">
      <c r="A6917">
        <v>2023</v>
      </c>
      <c r="B6917" s="36">
        <v>2648</v>
      </c>
      <c r="C6917" s="90" t="str">
        <f>VLOOKUP(B6917,'All Districts'!$A$3:$B$874,2,FALSE)</f>
        <v>Whitney Point</v>
      </c>
      <c r="D6917" s="40">
        <v>1173853</v>
      </c>
      <c r="E6917">
        <f>VLOOKUP(C6917,'All Districts'!$B$3:$C$874,2,FALSE)</f>
        <v>3631380</v>
      </c>
      <c r="F6917" s="91">
        <f>COUNTIF($E$2:$E$7106,E6917)</f>
        <v>9</v>
      </c>
    </row>
    <row r="6918" spans="1:6" x14ac:dyDescent="0.2">
      <c r="A6918">
        <v>2015</v>
      </c>
      <c r="B6918" s="13">
        <v>2654</v>
      </c>
      <c r="C6918" s="90" t="str">
        <f>VLOOKUP(B6918,'All Districts'!$A$3:$B$874,2,FALSE)</f>
        <v>William Floyd</v>
      </c>
      <c r="D6918" s="14">
        <v>13464835</v>
      </c>
      <c r="E6918">
        <f>VLOOKUP(C6918,'All Districts'!$B$3:$C$874,2,FALSE)</f>
        <v>3618690</v>
      </c>
      <c r="F6918" s="91">
        <f>COUNTIF($E$2:$E$7106,E6918)</f>
        <v>9</v>
      </c>
    </row>
    <row r="6919" spans="1:6" x14ac:dyDescent="0.2">
      <c r="A6919">
        <v>2016</v>
      </c>
      <c r="B6919" s="13">
        <v>2654</v>
      </c>
      <c r="C6919" s="90" t="str">
        <f>VLOOKUP(B6919,'All Districts'!$A$3:$B$874,2,FALSE)</f>
        <v>William Floyd</v>
      </c>
      <c r="D6919" s="16">
        <v>10529403</v>
      </c>
      <c r="E6919">
        <f>VLOOKUP(C6919,'All Districts'!$B$3:$C$874,2,FALSE)</f>
        <v>3618690</v>
      </c>
      <c r="F6919" s="91">
        <f>COUNTIF($E$2:$E$7106,E6919)</f>
        <v>9</v>
      </c>
    </row>
    <row r="6920" spans="1:6" x14ac:dyDescent="0.2">
      <c r="A6920">
        <v>2017</v>
      </c>
      <c r="B6920" s="13">
        <v>2654</v>
      </c>
      <c r="C6920" s="90" t="str">
        <f>VLOOKUP(B6920,'All Districts'!$A$3:$B$874,2,FALSE)</f>
        <v>William Floyd</v>
      </c>
      <c r="D6920" s="16">
        <v>9434671</v>
      </c>
      <c r="E6920">
        <f>VLOOKUP(C6920,'All Districts'!$B$3:$C$874,2,FALSE)</f>
        <v>3618690</v>
      </c>
      <c r="F6920" s="91">
        <f>COUNTIF($E$2:$E$7106,E6920)</f>
        <v>9</v>
      </c>
    </row>
    <row r="6921" spans="1:6" x14ac:dyDescent="0.2">
      <c r="A6921" s="10">
        <v>2018</v>
      </c>
      <c r="B6921" s="13">
        <v>2654</v>
      </c>
      <c r="C6921" s="90" t="str">
        <f>VLOOKUP(B6921,'All Districts'!$A$3:$B$874,2,FALSE)</f>
        <v>William Floyd</v>
      </c>
      <c r="D6921" s="15">
        <v>8194570</v>
      </c>
      <c r="E6921">
        <f>VLOOKUP(C6921,'All Districts'!$B$3:$C$874,2,FALSE)</f>
        <v>3618690</v>
      </c>
      <c r="F6921" s="91">
        <f>COUNTIF($E$2:$E$7106,E6921)</f>
        <v>9</v>
      </c>
    </row>
    <row r="6922" spans="1:6" x14ac:dyDescent="0.2">
      <c r="A6922">
        <v>2019</v>
      </c>
      <c r="B6922" s="36">
        <v>2654</v>
      </c>
      <c r="C6922" s="90" t="str">
        <f>VLOOKUP(B6922,'All Districts'!$A$3:$B$874,2,FALSE)</f>
        <v>William Floyd</v>
      </c>
      <c r="D6922" s="40">
        <v>9244756</v>
      </c>
      <c r="E6922">
        <f>VLOOKUP(C6922,'All Districts'!$B$3:$C$874,2,FALSE)</f>
        <v>3618690</v>
      </c>
      <c r="F6922" s="91">
        <f>COUNTIF($E$2:$E$7106,E6922)</f>
        <v>9</v>
      </c>
    </row>
    <row r="6923" spans="1:6" x14ac:dyDescent="0.2">
      <c r="A6923">
        <v>2020</v>
      </c>
      <c r="B6923" s="36">
        <v>2654</v>
      </c>
      <c r="C6923" s="90" t="str">
        <f>VLOOKUP(B6923,'All Districts'!$A$3:$B$874,2,FALSE)</f>
        <v>William Floyd</v>
      </c>
      <c r="D6923" s="40">
        <v>8022493</v>
      </c>
      <c r="E6923">
        <f>VLOOKUP(C6923,'All Districts'!$B$3:$C$874,2,FALSE)</f>
        <v>3618690</v>
      </c>
      <c r="F6923" s="91">
        <f>COUNTIF($E$2:$E$7106,E6923)</f>
        <v>9</v>
      </c>
    </row>
    <row r="6924" spans="1:6" x14ac:dyDescent="0.2">
      <c r="A6924" s="10">
        <v>2021</v>
      </c>
      <c r="B6924" s="52">
        <v>2654</v>
      </c>
      <c r="C6924" s="90" t="str">
        <f>VLOOKUP(B6924,'All Districts'!$A$3:$B$874,2,FALSE)</f>
        <v>William Floyd</v>
      </c>
      <c r="D6924" s="76">
        <v>8540174</v>
      </c>
      <c r="E6924">
        <f>VLOOKUP(C6924,'All Districts'!$B$3:$C$874,2,FALSE)</f>
        <v>3618690</v>
      </c>
      <c r="F6924" s="91">
        <f>COUNTIF($E$2:$E$7106,E6924)</f>
        <v>9</v>
      </c>
    </row>
    <row r="6925" spans="1:6" x14ac:dyDescent="0.2">
      <c r="A6925">
        <v>2022</v>
      </c>
      <c r="B6925" s="36">
        <v>2654</v>
      </c>
      <c r="C6925" s="90" t="str">
        <f>VLOOKUP(B6925,'All Districts'!$A$3:$B$874,2,FALSE)</f>
        <v>William Floyd</v>
      </c>
      <c r="D6925" s="82">
        <v>9526909</v>
      </c>
      <c r="E6925">
        <f>VLOOKUP(C6925,'All Districts'!$B$3:$C$874,2,FALSE)</f>
        <v>3618690</v>
      </c>
      <c r="F6925" s="91">
        <f>COUNTIF($E$2:$E$7106,E6925)</f>
        <v>9</v>
      </c>
    </row>
    <row r="6926" spans="1:6" x14ac:dyDescent="0.2">
      <c r="A6926">
        <v>2023</v>
      </c>
      <c r="B6926" s="36">
        <v>2654</v>
      </c>
      <c r="C6926" s="90" t="str">
        <f>VLOOKUP(B6926,'All Districts'!$A$3:$B$874,2,FALSE)</f>
        <v>William Floyd</v>
      </c>
      <c r="D6926" s="40">
        <v>11106931</v>
      </c>
      <c r="E6926">
        <f>VLOOKUP(C6926,'All Districts'!$B$3:$C$874,2,FALSE)</f>
        <v>3618690</v>
      </c>
      <c r="F6926" s="91">
        <f>COUNTIF($E$2:$E$7106,E6926)</f>
        <v>9</v>
      </c>
    </row>
    <row r="6927" spans="1:6" x14ac:dyDescent="0.2">
      <c r="A6927">
        <v>2015</v>
      </c>
      <c r="B6927" s="13">
        <v>4597</v>
      </c>
      <c r="C6927" s="90" t="str">
        <f>VLOOKUP(B6927,'All Districts'!$A$3:$B$874,2,FALSE)</f>
        <v>Williamson</v>
      </c>
      <c r="D6927" s="14">
        <v>1319753</v>
      </c>
      <c r="E6927">
        <f>VLOOKUP(C6927,'All Districts'!$B$3:$C$874,2,FALSE)</f>
        <v>3631440</v>
      </c>
      <c r="F6927" s="91">
        <f>COUNTIF($E$2:$E$7106,E6927)</f>
        <v>9</v>
      </c>
    </row>
    <row r="6928" spans="1:6" x14ac:dyDescent="0.2">
      <c r="A6928">
        <v>2016</v>
      </c>
      <c r="B6928" s="13">
        <v>4597</v>
      </c>
      <c r="C6928" s="90" t="str">
        <f>VLOOKUP(B6928,'All Districts'!$A$3:$B$874,2,FALSE)</f>
        <v>Williamson</v>
      </c>
      <c r="D6928" s="16">
        <v>1041723</v>
      </c>
      <c r="E6928">
        <f>VLOOKUP(C6928,'All Districts'!$B$3:$C$874,2,FALSE)</f>
        <v>3631440</v>
      </c>
      <c r="F6928" s="91">
        <f>COUNTIF($E$2:$E$7106,E6928)</f>
        <v>9</v>
      </c>
    </row>
    <row r="6929" spans="1:6" x14ac:dyDescent="0.2">
      <c r="A6929">
        <v>2017</v>
      </c>
      <c r="B6929" s="13">
        <v>4597</v>
      </c>
      <c r="C6929" s="90" t="str">
        <f>VLOOKUP(B6929,'All Districts'!$A$3:$B$874,2,FALSE)</f>
        <v>Williamson</v>
      </c>
      <c r="D6929" s="16">
        <v>962646</v>
      </c>
      <c r="E6929">
        <f>VLOOKUP(C6929,'All Districts'!$B$3:$C$874,2,FALSE)</f>
        <v>3631440</v>
      </c>
      <c r="F6929" s="91">
        <f>COUNTIF($E$2:$E$7106,E6929)</f>
        <v>9</v>
      </c>
    </row>
    <row r="6930" spans="1:6" x14ac:dyDescent="0.2">
      <c r="A6930" s="10">
        <v>2018</v>
      </c>
      <c r="B6930" s="13">
        <v>4597</v>
      </c>
      <c r="C6930" s="90" t="str">
        <f>VLOOKUP(B6930,'All Districts'!$A$3:$B$874,2,FALSE)</f>
        <v>Williamson</v>
      </c>
      <c r="D6930" s="15">
        <v>823447</v>
      </c>
      <c r="E6930">
        <f>VLOOKUP(C6930,'All Districts'!$B$3:$C$874,2,FALSE)</f>
        <v>3631440</v>
      </c>
      <c r="F6930" s="91">
        <f>COUNTIF($E$2:$E$7106,E6930)</f>
        <v>9</v>
      </c>
    </row>
    <row r="6931" spans="1:6" x14ac:dyDescent="0.2">
      <c r="A6931">
        <v>2019</v>
      </c>
      <c r="B6931" s="36">
        <v>4597</v>
      </c>
      <c r="C6931" s="90" t="str">
        <f>VLOOKUP(B6931,'All Districts'!$A$3:$B$874,2,FALSE)</f>
        <v>Williamson</v>
      </c>
      <c r="D6931" s="40">
        <v>905947</v>
      </c>
      <c r="E6931">
        <f>VLOOKUP(C6931,'All Districts'!$B$3:$C$874,2,FALSE)</f>
        <v>3631440</v>
      </c>
      <c r="F6931" s="91">
        <f>COUNTIF($E$2:$E$7106,E6931)</f>
        <v>9</v>
      </c>
    </row>
    <row r="6932" spans="1:6" x14ac:dyDescent="0.2">
      <c r="A6932">
        <v>2020</v>
      </c>
      <c r="B6932" s="36">
        <v>4597</v>
      </c>
      <c r="C6932" s="90" t="str">
        <f>VLOOKUP(B6932,'All Districts'!$A$3:$B$874,2,FALSE)</f>
        <v>Williamson</v>
      </c>
      <c r="D6932" s="40">
        <v>765126</v>
      </c>
      <c r="E6932">
        <f>VLOOKUP(C6932,'All Districts'!$B$3:$C$874,2,FALSE)</f>
        <v>3631440</v>
      </c>
      <c r="F6932" s="91">
        <f>COUNTIF($E$2:$E$7106,E6932)</f>
        <v>9</v>
      </c>
    </row>
    <row r="6933" spans="1:6" x14ac:dyDescent="0.2">
      <c r="A6933" s="10">
        <v>2021</v>
      </c>
      <c r="B6933" s="52">
        <v>4597</v>
      </c>
      <c r="C6933" s="90" t="str">
        <f>VLOOKUP(B6933,'All Districts'!$A$3:$B$874,2,FALSE)</f>
        <v>Williamson</v>
      </c>
      <c r="D6933" s="75">
        <v>813151</v>
      </c>
      <c r="E6933">
        <f>VLOOKUP(C6933,'All Districts'!$B$3:$C$874,2,FALSE)</f>
        <v>3631440</v>
      </c>
      <c r="F6933" s="91">
        <f>COUNTIF($E$2:$E$7106,E6933)</f>
        <v>9</v>
      </c>
    </row>
    <row r="6934" spans="1:6" x14ac:dyDescent="0.2">
      <c r="A6934">
        <v>2022</v>
      </c>
      <c r="B6934" s="36">
        <v>4597</v>
      </c>
      <c r="C6934" s="90" t="str">
        <f>VLOOKUP(B6934,'All Districts'!$A$3:$B$874,2,FALSE)</f>
        <v>Williamson</v>
      </c>
      <c r="D6934" s="82">
        <v>868374</v>
      </c>
      <c r="E6934">
        <f>VLOOKUP(C6934,'All Districts'!$B$3:$C$874,2,FALSE)</f>
        <v>3631440</v>
      </c>
      <c r="F6934" s="91">
        <f>COUNTIF($E$2:$E$7106,E6934)</f>
        <v>9</v>
      </c>
    </row>
    <row r="6935" spans="1:6" x14ac:dyDescent="0.2">
      <c r="A6935">
        <v>2023</v>
      </c>
      <c r="B6935" s="36">
        <v>4597</v>
      </c>
      <c r="C6935" s="90" t="str">
        <f>VLOOKUP(B6935,'All Districts'!$A$3:$B$874,2,FALSE)</f>
        <v>Williamson</v>
      </c>
      <c r="D6935" s="40">
        <v>956364</v>
      </c>
      <c r="E6935">
        <f>VLOOKUP(C6935,'All Districts'!$B$3:$C$874,2,FALSE)</f>
        <v>3631440</v>
      </c>
      <c r="F6935" s="91">
        <f>COUNTIF($E$2:$E$7106,E6935)</f>
        <v>9</v>
      </c>
    </row>
    <row r="6936" spans="1:6" x14ac:dyDescent="0.2">
      <c r="A6936">
        <v>2015</v>
      </c>
      <c r="B6936" s="13">
        <v>2651</v>
      </c>
      <c r="C6936" s="90" t="str">
        <f>VLOOKUP(B6936,'All Districts'!$A$3:$B$874,2,FALSE)</f>
        <v>Williamsville</v>
      </c>
      <c r="D6936" s="14">
        <v>12253957</v>
      </c>
      <c r="E6936">
        <f>VLOOKUP(C6936,'All Districts'!$B$3:$C$874,2,FALSE)</f>
        <v>3631470</v>
      </c>
      <c r="F6936" s="91">
        <f>COUNTIF($E$2:$E$7106,E6936)</f>
        <v>9</v>
      </c>
    </row>
    <row r="6937" spans="1:6" x14ac:dyDescent="0.2">
      <c r="A6937">
        <v>2016</v>
      </c>
      <c r="B6937" s="13">
        <v>2651</v>
      </c>
      <c r="C6937" s="90" t="str">
        <f>VLOOKUP(B6937,'All Districts'!$A$3:$B$874,2,FALSE)</f>
        <v>Williamsville</v>
      </c>
      <c r="D6937" s="16">
        <v>10063251</v>
      </c>
      <c r="E6937">
        <f>VLOOKUP(C6937,'All Districts'!$B$3:$C$874,2,FALSE)</f>
        <v>3631470</v>
      </c>
      <c r="F6937" s="91">
        <f>COUNTIF($E$2:$E$7106,E6937)</f>
        <v>9</v>
      </c>
    </row>
    <row r="6938" spans="1:6" x14ac:dyDescent="0.2">
      <c r="A6938">
        <v>2017</v>
      </c>
      <c r="B6938" s="13">
        <v>2651</v>
      </c>
      <c r="C6938" s="90" t="str">
        <f>VLOOKUP(B6938,'All Districts'!$A$3:$B$874,2,FALSE)</f>
        <v>Williamsville</v>
      </c>
      <c r="D6938" s="16">
        <v>9217679</v>
      </c>
      <c r="E6938">
        <f>VLOOKUP(C6938,'All Districts'!$B$3:$C$874,2,FALSE)</f>
        <v>3631470</v>
      </c>
      <c r="F6938" s="91">
        <f>COUNTIF($E$2:$E$7106,E6938)</f>
        <v>9</v>
      </c>
    </row>
    <row r="6939" spans="1:6" x14ac:dyDescent="0.2">
      <c r="A6939" s="10">
        <v>2018</v>
      </c>
      <c r="B6939" s="13">
        <v>2651</v>
      </c>
      <c r="C6939" s="90" t="str">
        <f>VLOOKUP(B6939,'All Districts'!$A$3:$B$874,2,FALSE)</f>
        <v>Williamsville</v>
      </c>
      <c r="D6939" s="15">
        <v>7817323</v>
      </c>
      <c r="E6939">
        <f>VLOOKUP(C6939,'All Districts'!$B$3:$C$874,2,FALSE)</f>
        <v>3631470</v>
      </c>
      <c r="F6939" s="91">
        <f>COUNTIF($E$2:$E$7106,E6939)</f>
        <v>9</v>
      </c>
    </row>
    <row r="6940" spans="1:6" x14ac:dyDescent="0.2">
      <c r="A6940">
        <v>2019</v>
      </c>
      <c r="B6940" s="36">
        <v>2651</v>
      </c>
      <c r="C6940" s="90" t="str">
        <f>VLOOKUP(B6940,'All Districts'!$A$3:$B$874,2,FALSE)</f>
        <v>Williamsville</v>
      </c>
      <c r="D6940" s="40">
        <v>8844837</v>
      </c>
      <c r="E6940">
        <f>VLOOKUP(C6940,'All Districts'!$B$3:$C$874,2,FALSE)</f>
        <v>3631470</v>
      </c>
      <c r="F6940" s="91">
        <f>COUNTIF($E$2:$E$7106,E6940)</f>
        <v>9</v>
      </c>
    </row>
    <row r="6941" spans="1:6" x14ac:dyDescent="0.2">
      <c r="A6941">
        <v>2020</v>
      </c>
      <c r="B6941" s="36">
        <v>2651</v>
      </c>
      <c r="C6941" s="90" t="str">
        <f>VLOOKUP(B6941,'All Districts'!$A$3:$B$874,2,FALSE)</f>
        <v>Williamsville</v>
      </c>
      <c r="D6941" s="40">
        <v>7526043</v>
      </c>
      <c r="E6941">
        <f>VLOOKUP(C6941,'All Districts'!$B$3:$C$874,2,FALSE)</f>
        <v>3631470</v>
      </c>
      <c r="F6941" s="91">
        <f>COUNTIF($E$2:$E$7106,E6941)</f>
        <v>9</v>
      </c>
    </row>
    <row r="6942" spans="1:6" x14ac:dyDescent="0.2">
      <c r="A6942" s="10">
        <v>2021</v>
      </c>
      <c r="B6942" s="52">
        <v>2651</v>
      </c>
      <c r="C6942" s="90" t="str">
        <f>VLOOKUP(B6942,'All Districts'!$A$3:$B$874,2,FALSE)</f>
        <v>Williamsville</v>
      </c>
      <c r="D6942" s="75">
        <v>8353612</v>
      </c>
      <c r="E6942">
        <f>VLOOKUP(C6942,'All Districts'!$B$3:$C$874,2,FALSE)</f>
        <v>3631470</v>
      </c>
      <c r="F6942" s="91">
        <f>COUNTIF($E$2:$E$7106,E6942)</f>
        <v>9</v>
      </c>
    </row>
    <row r="6943" spans="1:6" x14ac:dyDescent="0.2">
      <c r="A6943">
        <v>2022</v>
      </c>
      <c r="B6943" s="36">
        <v>2651</v>
      </c>
      <c r="C6943" s="90" t="str">
        <f>VLOOKUP(B6943,'All Districts'!$A$3:$B$874,2,FALSE)</f>
        <v>Williamsville</v>
      </c>
      <c r="D6943" s="82">
        <v>8799750</v>
      </c>
      <c r="E6943">
        <f>VLOOKUP(C6943,'All Districts'!$B$3:$C$874,2,FALSE)</f>
        <v>3631470</v>
      </c>
      <c r="F6943" s="91">
        <f>COUNTIF($E$2:$E$7106,E6943)</f>
        <v>9</v>
      </c>
    </row>
    <row r="6944" spans="1:6" x14ac:dyDescent="0.2">
      <c r="A6944">
        <v>2023</v>
      </c>
      <c r="B6944" s="36">
        <v>2651</v>
      </c>
      <c r="C6944" s="90" t="str">
        <f>VLOOKUP(B6944,'All Districts'!$A$3:$B$874,2,FALSE)</f>
        <v>Williamsville</v>
      </c>
      <c r="D6944" s="40">
        <v>9438541</v>
      </c>
      <c r="E6944">
        <f>VLOOKUP(C6944,'All Districts'!$B$3:$C$874,2,FALSE)</f>
        <v>3631470</v>
      </c>
      <c r="F6944" s="91">
        <f>COUNTIF($E$2:$E$7106,E6944)</f>
        <v>9</v>
      </c>
    </row>
    <row r="6945" spans="1:6" x14ac:dyDescent="0.2">
      <c r="A6945">
        <v>2015</v>
      </c>
      <c r="B6945" s="13">
        <v>3464</v>
      </c>
      <c r="C6945" s="90" t="str">
        <f>VLOOKUP(B6945,'All Districts'!$A$3:$B$874,2,FALSE)</f>
        <v>Willsboro</v>
      </c>
      <c r="D6945" s="14">
        <v>444488</v>
      </c>
      <c r="E6945">
        <f>VLOOKUP(C6945,'All Districts'!$B$3:$C$874,2,FALSE)</f>
        <v>3631500</v>
      </c>
      <c r="F6945" s="91">
        <f>COUNTIF($E$2:$E$7106,E6945)</f>
        <v>9</v>
      </c>
    </row>
    <row r="6946" spans="1:6" x14ac:dyDescent="0.2">
      <c r="A6946">
        <v>2016</v>
      </c>
      <c r="B6946" s="13">
        <v>3464</v>
      </c>
      <c r="C6946" s="90" t="str">
        <f>VLOOKUP(B6946,'All Districts'!$A$3:$B$874,2,FALSE)</f>
        <v>Willsboro</v>
      </c>
      <c r="D6946" s="16">
        <v>341356</v>
      </c>
      <c r="E6946">
        <f>VLOOKUP(C6946,'All Districts'!$B$3:$C$874,2,FALSE)</f>
        <v>3631500</v>
      </c>
      <c r="F6946" s="91">
        <f>COUNTIF($E$2:$E$7106,E6946)</f>
        <v>9</v>
      </c>
    </row>
    <row r="6947" spans="1:6" x14ac:dyDescent="0.2">
      <c r="A6947">
        <v>2017</v>
      </c>
      <c r="B6947" s="13">
        <v>3464</v>
      </c>
      <c r="C6947" s="90" t="str">
        <f>VLOOKUP(B6947,'All Districts'!$A$3:$B$874,2,FALSE)</f>
        <v>Willsboro</v>
      </c>
      <c r="D6947" s="16">
        <v>313126</v>
      </c>
      <c r="E6947">
        <f>VLOOKUP(C6947,'All Districts'!$B$3:$C$874,2,FALSE)</f>
        <v>3631500</v>
      </c>
      <c r="F6947" s="91">
        <f>COUNTIF($E$2:$E$7106,E6947)</f>
        <v>9</v>
      </c>
    </row>
    <row r="6948" spans="1:6" x14ac:dyDescent="0.2">
      <c r="A6948" s="10">
        <v>2018</v>
      </c>
      <c r="B6948" s="13">
        <v>3464</v>
      </c>
      <c r="C6948" s="90" t="str">
        <f>VLOOKUP(B6948,'All Districts'!$A$3:$B$874,2,FALSE)</f>
        <v>Willsboro</v>
      </c>
      <c r="D6948" s="15">
        <v>269073</v>
      </c>
      <c r="E6948">
        <f>VLOOKUP(C6948,'All Districts'!$B$3:$C$874,2,FALSE)</f>
        <v>3631500</v>
      </c>
      <c r="F6948" s="91">
        <f>COUNTIF($E$2:$E$7106,E6948)</f>
        <v>9</v>
      </c>
    </row>
    <row r="6949" spans="1:6" x14ac:dyDescent="0.2">
      <c r="A6949">
        <v>2019</v>
      </c>
      <c r="B6949" s="36">
        <v>3464</v>
      </c>
      <c r="C6949" s="90" t="str">
        <f>VLOOKUP(B6949,'All Districts'!$A$3:$B$874,2,FALSE)</f>
        <v>Willsboro</v>
      </c>
      <c r="D6949" s="40">
        <v>286552</v>
      </c>
      <c r="E6949">
        <f>VLOOKUP(C6949,'All Districts'!$B$3:$C$874,2,FALSE)</f>
        <v>3631500</v>
      </c>
      <c r="F6949" s="91">
        <f>COUNTIF($E$2:$E$7106,E6949)</f>
        <v>9</v>
      </c>
    </row>
    <row r="6950" spans="1:6" x14ac:dyDescent="0.2">
      <c r="A6950">
        <v>2020</v>
      </c>
      <c r="B6950" s="36">
        <v>3464</v>
      </c>
      <c r="C6950" s="90" t="str">
        <f>VLOOKUP(B6950,'All Districts'!$A$3:$B$874,2,FALSE)</f>
        <v>Willsboro</v>
      </c>
      <c r="D6950" s="40">
        <v>239422</v>
      </c>
      <c r="E6950">
        <f>VLOOKUP(C6950,'All Districts'!$B$3:$C$874,2,FALSE)</f>
        <v>3631500</v>
      </c>
      <c r="F6950" s="91">
        <f>COUNTIF($E$2:$E$7106,E6950)</f>
        <v>9</v>
      </c>
    </row>
    <row r="6951" spans="1:6" x14ac:dyDescent="0.2">
      <c r="A6951" s="10">
        <v>2021</v>
      </c>
      <c r="B6951" s="52">
        <v>3464</v>
      </c>
      <c r="C6951" s="90" t="str">
        <f>VLOOKUP(B6951,'All Districts'!$A$3:$B$874,2,FALSE)</f>
        <v>Willsboro</v>
      </c>
      <c r="D6951" s="76">
        <v>239570</v>
      </c>
      <c r="E6951">
        <f>VLOOKUP(C6951,'All Districts'!$B$3:$C$874,2,FALSE)</f>
        <v>3631500</v>
      </c>
      <c r="F6951" s="91">
        <f>COUNTIF($E$2:$E$7106,E6951)</f>
        <v>9</v>
      </c>
    </row>
    <row r="6952" spans="1:6" x14ac:dyDescent="0.2">
      <c r="A6952">
        <v>2022</v>
      </c>
      <c r="B6952" s="36">
        <v>3464</v>
      </c>
      <c r="C6952" s="90" t="str">
        <f>VLOOKUP(B6952,'All Districts'!$A$3:$B$874,2,FALSE)</f>
        <v>Willsboro</v>
      </c>
      <c r="D6952" s="82">
        <v>234339</v>
      </c>
      <c r="E6952">
        <f>VLOOKUP(C6952,'All Districts'!$B$3:$C$874,2,FALSE)</f>
        <v>3631500</v>
      </c>
      <c r="F6952" s="91">
        <f>COUNTIF($E$2:$E$7106,E6952)</f>
        <v>9</v>
      </c>
    </row>
    <row r="6953" spans="1:6" x14ac:dyDescent="0.2">
      <c r="A6953">
        <v>2023</v>
      </c>
      <c r="B6953" s="36">
        <v>3464</v>
      </c>
      <c r="C6953" s="90" t="str">
        <f>VLOOKUP(B6953,'All Districts'!$A$3:$B$874,2,FALSE)</f>
        <v>Willsboro</v>
      </c>
      <c r="D6953" s="40">
        <v>249371</v>
      </c>
      <c r="E6953">
        <f>VLOOKUP(C6953,'All Districts'!$B$3:$C$874,2,FALSE)</f>
        <v>3631500</v>
      </c>
      <c r="F6953" s="91">
        <f>COUNTIF($E$2:$E$7106,E6953)</f>
        <v>9</v>
      </c>
    </row>
    <row r="6954" spans="1:6" x14ac:dyDescent="0.2">
      <c r="A6954">
        <v>2015</v>
      </c>
      <c r="B6954" s="13">
        <v>2652</v>
      </c>
      <c r="C6954" s="90" t="str">
        <f>VLOOKUP(B6954,'All Districts'!$A$3:$B$874,2,FALSE)</f>
        <v>Wilson</v>
      </c>
      <c r="D6954" s="14">
        <v>1496227</v>
      </c>
      <c r="E6954">
        <f>VLOOKUP(C6954,'All Districts'!$B$3:$C$874,2,FALSE)</f>
        <v>3631560</v>
      </c>
      <c r="F6954" s="91">
        <f>COUNTIF($E$2:$E$7106,E6954)</f>
        <v>9</v>
      </c>
    </row>
    <row r="6955" spans="1:6" x14ac:dyDescent="0.2">
      <c r="A6955">
        <v>2016</v>
      </c>
      <c r="B6955" s="13">
        <v>2652</v>
      </c>
      <c r="C6955" s="90" t="str">
        <f>VLOOKUP(B6955,'All Districts'!$A$3:$B$874,2,FALSE)</f>
        <v>Wilson</v>
      </c>
      <c r="D6955" s="16">
        <v>1145600</v>
      </c>
      <c r="E6955">
        <f>VLOOKUP(C6955,'All Districts'!$B$3:$C$874,2,FALSE)</f>
        <v>3631560</v>
      </c>
      <c r="F6955" s="91">
        <f>COUNTIF($E$2:$E$7106,E6955)</f>
        <v>9</v>
      </c>
    </row>
    <row r="6956" spans="1:6" x14ac:dyDescent="0.2">
      <c r="A6956">
        <v>2017</v>
      </c>
      <c r="B6956" s="13">
        <v>2652</v>
      </c>
      <c r="C6956" s="90" t="str">
        <f>VLOOKUP(B6956,'All Districts'!$A$3:$B$874,2,FALSE)</f>
        <v>Wilson</v>
      </c>
      <c r="D6956" s="16">
        <v>1026402</v>
      </c>
      <c r="E6956">
        <f>VLOOKUP(C6956,'All Districts'!$B$3:$C$874,2,FALSE)</f>
        <v>3631560</v>
      </c>
      <c r="F6956" s="91">
        <f>COUNTIF($E$2:$E$7106,E6956)</f>
        <v>9</v>
      </c>
    </row>
    <row r="6957" spans="1:6" x14ac:dyDescent="0.2">
      <c r="A6957" s="10">
        <v>2018</v>
      </c>
      <c r="B6957" s="13">
        <v>2652</v>
      </c>
      <c r="C6957" s="90" t="str">
        <f>VLOOKUP(B6957,'All Districts'!$A$3:$B$874,2,FALSE)</f>
        <v>Wilson</v>
      </c>
      <c r="D6957" s="15">
        <v>881342</v>
      </c>
      <c r="E6957">
        <f>VLOOKUP(C6957,'All Districts'!$B$3:$C$874,2,FALSE)</f>
        <v>3631560</v>
      </c>
      <c r="F6957" s="91">
        <f>COUNTIF($E$2:$E$7106,E6957)</f>
        <v>9</v>
      </c>
    </row>
    <row r="6958" spans="1:6" x14ac:dyDescent="0.2">
      <c r="A6958">
        <v>2019</v>
      </c>
      <c r="B6958" s="36">
        <v>2652</v>
      </c>
      <c r="C6958" s="90" t="str">
        <f>VLOOKUP(B6958,'All Districts'!$A$3:$B$874,2,FALSE)</f>
        <v>Wilson</v>
      </c>
      <c r="D6958" s="40">
        <v>960601</v>
      </c>
      <c r="E6958">
        <f>VLOOKUP(C6958,'All Districts'!$B$3:$C$874,2,FALSE)</f>
        <v>3631560</v>
      </c>
      <c r="F6958" s="91">
        <f>COUNTIF($E$2:$E$7106,E6958)</f>
        <v>9</v>
      </c>
    </row>
    <row r="6959" spans="1:6" x14ac:dyDescent="0.2">
      <c r="A6959">
        <v>2020</v>
      </c>
      <c r="B6959" s="36">
        <v>2652</v>
      </c>
      <c r="C6959" s="90" t="str">
        <f>VLOOKUP(B6959,'All Districts'!$A$3:$B$874,2,FALSE)</f>
        <v>Wilson</v>
      </c>
      <c r="D6959" s="40">
        <v>821454</v>
      </c>
      <c r="E6959">
        <f>VLOOKUP(C6959,'All Districts'!$B$3:$C$874,2,FALSE)</f>
        <v>3631560</v>
      </c>
      <c r="F6959" s="91">
        <f>COUNTIF($E$2:$E$7106,E6959)</f>
        <v>9</v>
      </c>
    </row>
    <row r="6960" spans="1:6" x14ac:dyDescent="0.2">
      <c r="A6960" s="10">
        <v>2021</v>
      </c>
      <c r="B6960" s="52">
        <v>2652</v>
      </c>
      <c r="C6960" s="90" t="str">
        <f>VLOOKUP(B6960,'All Districts'!$A$3:$B$874,2,FALSE)</f>
        <v>Wilson</v>
      </c>
      <c r="D6960" s="75">
        <v>892877</v>
      </c>
      <c r="E6960">
        <f>VLOOKUP(C6960,'All Districts'!$B$3:$C$874,2,FALSE)</f>
        <v>3631560</v>
      </c>
      <c r="F6960" s="91">
        <f>COUNTIF($E$2:$E$7106,E6960)</f>
        <v>9</v>
      </c>
    </row>
    <row r="6961" spans="1:6" x14ac:dyDescent="0.2">
      <c r="A6961">
        <v>2022</v>
      </c>
      <c r="B6961" s="36">
        <v>2652</v>
      </c>
      <c r="C6961" s="90" t="str">
        <f>VLOOKUP(B6961,'All Districts'!$A$3:$B$874,2,FALSE)</f>
        <v>Wilson</v>
      </c>
      <c r="D6961" s="82">
        <v>961387</v>
      </c>
      <c r="E6961">
        <f>VLOOKUP(C6961,'All Districts'!$B$3:$C$874,2,FALSE)</f>
        <v>3631560</v>
      </c>
      <c r="F6961" s="91">
        <f>COUNTIF($E$2:$E$7106,E6961)</f>
        <v>9</v>
      </c>
    </row>
    <row r="6962" spans="1:6" x14ac:dyDescent="0.2">
      <c r="A6962">
        <v>2023</v>
      </c>
      <c r="B6962" s="36">
        <v>2652</v>
      </c>
      <c r="C6962" s="90" t="str">
        <f>VLOOKUP(B6962,'All Districts'!$A$3:$B$874,2,FALSE)</f>
        <v>Wilson</v>
      </c>
      <c r="D6962" s="40">
        <v>1042425</v>
      </c>
      <c r="E6962">
        <f>VLOOKUP(C6962,'All Districts'!$B$3:$C$874,2,FALSE)</f>
        <v>3631560</v>
      </c>
      <c r="F6962" s="91">
        <f>COUNTIF($E$2:$E$7106,E6962)</f>
        <v>9</v>
      </c>
    </row>
    <row r="6963" spans="1:6" x14ac:dyDescent="0.2">
      <c r="A6963">
        <v>2015</v>
      </c>
      <c r="B6963" s="13">
        <v>3980</v>
      </c>
      <c r="C6963" s="90" t="str">
        <f>VLOOKUP(B6963,'All Districts'!$A$3:$B$874,2,FALSE)</f>
        <v>Windham-Ashland-Jewett</v>
      </c>
      <c r="D6963" s="14">
        <v>643276</v>
      </c>
      <c r="E6963">
        <f>VLOOKUP(C6963,'All Districts'!$B$3:$C$874,2,FALSE)</f>
        <v>3631590</v>
      </c>
      <c r="F6963" s="91">
        <f>COUNTIF($E$2:$E$7106,E6963)</f>
        <v>9</v>
      </c>
    </row>
    <row r="6964" spans="1:6" x14ac:dyDescent="0.2">
      <c r="A6964">
        <v>2016</v>
      </c>
      <c r="B6964" s="13">
        <v>3980</v>
      </c>
      <c r="C6964" s="90" t="str">
        <f>VLOOKUP(B6964,'All Districts'!$A$3:$B$874,2,FALSE)</f>
        <v>Windham-Ashland-Jewett</v>
      </c>
      <c r="D6964" s="16">
        <v>487845</v>
      </c>
      <c r="E6964">
        <f>VLOOKUP(C6964,'All Districts'!$B$3:$C$874,2,FALSE)</f>
        <v>3631590</v>
      </c>
      <c r="F6964" s="91">
        <f>COUNTIF($E$2:$E$7106,E6964)</f>
        <v>9</v>
      </c>
    </row>
    <row r="6965" spans="1:6" x14ac:dyDescent="0.2">
      <c r="A6965">
        <v>2017</v>
      </c>
      <c r="B6965" s="13">
        <v>3980</v>
      </c>
      <c r="C6965" s="90" t="str">
        <f>VLOOKUP(B6965,'All Districts'!$A$3:$B$874,2,FALSE)</f>
        <v>Windham-Ashland-Jewett</v>
      </c>
      <c r="D6965" s="16">
        <v>443401</v>
      </c>
      <c r="E6965">
        <f>VLOOKUP(C6965,'All Districts'!$B$3:$C$874,2,FALSE)</f>
        <v>3631590</v>
      </c>
      <c r="F6965" s="91">
        <f>COUNTIF($E$2:$E$7106,E6965)</f>
        <v>9</v>
      </c>
    </row>
    <row r="6966" spans="1:6" x14ac:dyDescent="0.2">
      <c r="A6966" s="10">
        <v>2018</v>
      </c>
      <c r="B6966" s="13">
        <v>3980</v>
      </c>
      <c r="C6966" s="90" t="str">
        <f>VLOOKUP(B6966,'All Districts'!$A$3:$B$874,2,FALSE)</f>
        <v>Windham-Ashland-Jewett</v>
      </c>
      <c r="D6966" s="15">
        <v>361826</v>
      </c>
      <c r="E6966">
        <f>VLOOKUP(C6966,'All Districts'!$B$3:$C$874,2,FALSE)</f>
        <v>3631590</v>
      </c>
      <c r="F6966" s="91">
        <f>COUNTIF($E$2:$E$7106,E6966)</f>
        <v>9</v>
      </c>
    </row>
    <row r="6967" spans="1:6" x14ac:dyDescent="0.2">
      <c r="A6967">
        <v>2019</v>
      </c>
      <c r="B6967" s="36">
        <v>3980</v>
      </c>
      <c r="C6967" s="90" t="str">
        <f>VLOOKUP(B6967,'All Districts'!$A$3:$B$874,2,FALSE)</f>
        <v>Windham-Ashland-Jewett</v>
      </c>
      <c r="D6967" s="40">
        <v>366395</v>
      </c>
      <c r="E6967">
        <f>VLOOKUP(C6967,'All Districts'!$B$3:$C$874,2,FALSE)</f>
        <v>3631590</v>
      </c>
      <c r="F6967" s="91">
        <f>COUNTIF($E$2:$E$7106,E6967)</f>
        <v>9</v>
      </c>
    </row>
    <row r="6968" spans="1:6" x14ac:dyDescent="0.2">
      <c r="A6968">
        <v>2020</v>
      </c>
      <c r="B6968" s="36">
        <v>3980</v>
      </c>
      <c r="C6968" s="90" t="str">
        <f>VLOOKUP(B6968,'All Districts'!$A$3:$B$874,2,FALSE)</f>
        <v>Windham-Ashland-Jewett</v>
      </c>
      <c r="D6968" s="40">
        <v>322480</v>
      </c>
      <c r="E6968">
        <f>VLOOKUP(C6968,'All Districts'!$B$3:$C$874,2,FALSE)</f>
        <v>3631590</v>
      </c>
      <c r="F6968" s="91">
        <f>COUNTIF($E$2:$E$7106,E6968)</f>
        <v>9</v>
      </c>
    </row>
    <row r="6969" spans="1:6" x14ac:dyDescent="0.2">
      <c r="A6969" s="10">
        <v>2021</v>
      </c>
      <c r="B6969" s="52">
        <v>3980</v>
      </c>
      <c r="C6969" s="90" t="str">
        <f>VLOOKUP(B6969,'All Districts'!$A$3:$B$874,2,FALSE)</f>
        <v>Windham-Ashland-Jewett</v>
      </c>
      <c r="D6969" s="76">
        <v>327073</v>
      </c>
      <c r="E6969">
        <f>VLOOKUP(C6969,'All Districts'!$B$3:$C$874,2,FALSE)</f>
        <v>3631590</v>
      </c>
      <c r="F6969" s="91">
        <f>COUNTIF($E$2:$E$7106,E6969)</f>
        <v>9</v>
      </c>
    </row>
    <row r="6970" spans="1:6" x14ac:dyDescent="0.2">
      <c r="A6970">
        <v>2022</v>
      </c>
      <c r="B6970" s="36">
        <v>3980</v>
      </c>
      <c r="C6970" s="90" t="str">
        <f>VLOOKUP(B6970,'All Districts'!$A$3:$B$874,2,FALSE)</f>
        <v>Windham-Ashland-Jewett</v>
      </c>
      <c r="D6970" s="82">
        <v>343988</v>
      </c>
      <c r="E6970">
        <f>VLOOKUP(C6970,'All Districts'!$B$3:$C$874,2,FALSE)</f>
        <v>3631590</v>
      </c>
      <c r="F6970" s="91">
        <f>COUNTIF($E$2:$E$7106,E6970)</f>
        <v>9</v>
      </c>
    </row>
    <row r="6971" spans="1:6" x14ac:dyDescent="0.2">
      <c r="A6971">
        <v>2023</v>
      </c>
      <c r="B6971" s="36">
        <v>3980</v>
      </c>
      <c r="C6971" s="90" t="str">
        <f>VLOOKUP(B6971,'All Districts'!$A$3:$B$874,2,FALSE)</f>
        <v>Windham-Ashland-Jewett</v>
      </c>
      <c r="D6971" s="40">
        <v>391797</v>
      </c>
      <c r="E6971">
        <f>VLOOKUP(C6971,'All Districts'!$B$3:$C$874,2,FALSE)</f>
        <v>3631590</v>
      </c>
      <c r="F6971" s="91">
        <f>COUNTIF($E$2:$E$7106,E6971)</f>
        <v>9</v>
      </c>
    </row>
    <row r="6972" spans="1:6" x14ac:dyDescent="0.2">
      <c r="A6972">
        <v>2015</v>
      </c>
      <c r="B6972" s="13">
        <v>2653</v>
      </c>
      <c r="C6972" s="90" t="str">
        <f>VLOOKUP(B6972,'All Districts'!$A$3:$B$874,2,FALSE)</f>
        <v>Windsor</v>
      </c>
      <c r="D6972" s="14">
        <v>2074312</v>
      </c>
      <c r="E6972">
        <f>VLOOKUP(C6972,'All Districts'!$B$3:$C$874,2,FALSE)</f>
        <v>3602730</v>
      </c>
      <c r="F6972" s="91">
        <f>COUNTIF($E$2:$E$7106,E6972)</f>
        <v>9</v>
      </c>
    </row>
    <row r="6973" spans="1:6" x14ac:dyDescent="0.2">
      <c r="A6973">
        <v>2016</v>
      </c>
      <c r="B6973" s="13">
        <v>2653</v>
      </c>
      <c r="C6973" s="90" t="str">
        <f>VLOOKUP(B6973,'All Districts'!$A$3:$B$874,2,FALSE)</f>
        <v>Windsor</v>
      </c>
      <c r="D6973" s="16">
        <v>1650337</v>
      </c>
      <c r="E6973">
        <f>VLOOKUP(C6973,'All Districts'!$B$3:$C$874,2,FALSE)</f>
        <v>3602730</v>
      </c>
      <c r="F6973" s="91">
        <f>COUNTIF($E$2:$E$7106,E6973)</f>
        <v>9</v>
      </c>
    </row>
    <row r="6974" spans="1:6" x14ac:dyDescent="0.2">
      <c r="A6974">
        <v>2017</v>
      </c>
      <c r="B6974" s="13">
        <v>2653</v>
      </c>
      <c r="C6974" s="90" t="str">
        <f>VLOOKUP(B6974,'All Districts'!$A$3:$B$874,2,FALSE)</f>
        <v>Windsor</v>
      </c>
      <c r="D6974" s="16">
        <v>1496378</v>
      </c>
      <c r="E6974">
        <f>VLOOKUP(C6974,'All Districts'!$B$3:$C$874,2,FALSE)</f>
        <v>3602730</v>
      </c>
      <c r="F6974" s="91">
        <f>COUNTIF($E$2:$E$7106,E6974)</f>
        <v>9</v>
      </c>
    </row>
    <row r="6975" spans="1:6" x14ac:dyDescent="0.2">
      <c r="A6975" s="10">
        <v>2018</v>
      </c>
      <c r="B6975" s="13">
        <v>2653</v>
      </c>
      <c r="C6975" s="90" t="str">
        <f>VLOOKUP(B6975,'All Districts'!$A$3:$B$874,2,FALSE)</f>
        <v>Windsor</v>
      </c>
      <c r="D6975" s="15">
        <v>1306393</v>
      </c>
      <c r="E6975">
        <f>VLOOKUP(C6975,'All Districts'!$B$3:$C$874,2,FALSE)</f>
        <v>3602730</v>
      </c>
      <c r="F6975" s="91">
        <f>COUNTIF($E$2:$E$7106,E6975)</f>
        <v>9</v>
      </c>
    </row>
    <row r="6976" spans="1:6" x14ac:dyDescent="0.2">
      <c r="A6976">
        <v>2019</v>
      </c>
      <c r="B6976" s="36">
        <v>2653</v>
      </c>
      <c r="C6976" s="90" t="str">
        <f>VLOOKUP(B6976,'All Districts'!$A$3:$B$874,2,FALSE)</f>
        <v>Windsor</v>
      </c>
      <c r="D6976" s="40">
        <v>1423007</v>
      </c>
      <c r="E6976">
        <f>VLOOKUP(C6976,'All Districts'!$B$3:$C$874,2,FALSE)</f>
        <v>3602730</v>
      </c>
      <c r="F6976" s="91">
        <f>COUNTIF($E$2:$E$7106,E6976)</f>
        <v>9</v>
      </c>
    </row>
    <row r="6977" spans="1:6" x14ac:dyDescent="0.2">
      <c r="A6977">
        <v>2020</v>
      </c>
      <c r="B6977" s="36">
        <v>2653</v>
      </c>
      <c r="C6977" s="90" t="str">
        <f>VLOOKUP(B6977,'All Districts'!$A$3:$B$874,2,FALSE)</f>
        <v>Windsor</v>
      </c>
      <c r="D6977" s="40">
        <v>1207753</v>
      </c>
      <c r="E6977">
        <f>VLOOKUP(C6977,'All Districts'!$B$3:$C$874,2,FALSE)</f>
        <v>3602730</v>
      </c>
      <c r="F6977" s="91">
        <f>COUNTIF($E$2:$E$7106,E6977)</f>
        <v>9</v>
      </c>
    </row>
    <row r="6978" spans="1:6" x14ac:dyDescent="0.2">
      <c r="A6978" s="10">
        <v>2021</v>
      </c>
      <c r="B6978" s="52">
        <v>2653</v>
      </c>
      <c r="C6978" s="90" t="str">
        <f>VLOOKUP(B6978,'All Districts'!$A$3:$B$874,2,FALSE)</f>
        <v>Windsor</v>
      </c>
      <c r="D6978" s="76">
        <v>1274798</v>
      </c>
      <c r="E6978">
        <f>VLOOKUP(C6978,'All Districts'!$B$3:$C$874,2,FALSE)</f>
        <v>3602730</v>
      </c>
      <c r="F6978" s="91">
        <f>COUNTIF($E$2:$E$7106,E6978)</f>
        <v>9</v>
      </c>
    </row>
    <row r="6979" spans="1:6" x14ac:dyDescent="0.2">
      <c r="A6979">
        <v>2022</v>
      </c>
      <c r="B6979" s="36">
        <v>2653</v>
      </c>
      <c r="C6979" s="90" t="str">
        <f>VLOOKUP(B6979,'All Districts'!$A$3:$B$874,2,FALSE)</f>
        <v>Windsor</v>
      </c>
      <c r="D6979" s="82">
        <v>1364329</v>
      </c>
      <c r="E6979">
        <f>VLOOKUP(C6979,'All Districts'!$B$3:$C$874,2,FALSE)</f>
        <v>3602730</v>
      </c>
      <c r="F6979" s="91">
        <f>COUNTIF($E$2:$E$7106,E6979)</f>
        <v>9</v>
      </c>
    </row>
    <row r="6980" spans="1:6" x14ac:dyDescent="0.2">
      <c r="A6980">
        <v>2023</v>
      </c>
      <c r="B6980" s="36">
        <v>2653</v>
      </c>
      <c r="C6980" s="90" t="str">
        <f>VLOOKUP(B6980,'All Districts'!$A$3:$B$874,2,FALSE)</f>
        <v>Windsor</v>
      </c>
      <c r="D6980" s="40">
        <v>1538198</v>
      </c>
      <c r="E6980">
        <f>VLOOKUP(C6980,'All Districts'!$B$3:$C$874,2,FALSE)</f>
        <v>3602730</v>
      </c>
      <c r="F6980" s="91">
        <f>COUNTIF($E$2:$E$7106,E6980)</f>
        <v>9</v>
      </c>
    </row>
    <row r="6981" spans="1:6" x14ac:dyDescent="0.2">
      <c r="A6981">
        <v>2015</v>
      </c>
      <c r="B6981" s="13">
        <v>3998</v>
      </c>
      <c r="C6981" s="90" t="str">
        <f>VLOOKUP(B6981,'All Districts'!$A$3:$B$874,2,FALSE)</f>
        <v>Worcester</v>
      </c>
      <c r="D6981" s="14">
        <v>402821</v>
      </c>
      <c r="E6981">
        <f>VLOOKUP(C6981,'All Districts'!$B$3:$C$874,2,FALSE)</f>
        <v>3631740</v>
      </c>
      <c r="F6981" s="91">
        <f>COUNTIF($E$2:$E$7106,E6981)</f>
        <v>9</v>
      </c>
    </row>
    <row r="6982" spans="1:6" x14ac:dyDescent="0.2">
      <c r="A6982">
        <v>2016</v>
      </c>
      <c r="B6982" s="13">
        <v>3998</v>
      </c>
      <c r="C6982" s="90" t="str">
        <f>VLOOKUP(B6982,'All Districts'!$A$3:$B$874,2,FALSE)</f>
        <v>Worcester</v>
      </c>
      <c r="D6982" s="16">
        <v>309830</v>
      </c>
      <c r="E6982">
        <f>VLOOKUP(C6982,'All Districts'!$B$3:$C$874,2,FALSE)</f>
        <v>3631740</v>
      </c>
      <c r="F6982" s="91">
        <f>COUNTIF($E$2:$E$7106,E6982)</f>
        <v>9</v>
      </c>
    </row>
    <row r="6983" spans="1:6" x14ac:dyDescent="0.2">
      <c r="A6983">
        <v>2017</v>
      </c>
      <c r="B6983" s="13">
        <v>3998</v>
      </c>
      <c r="C6983" s="90" t="str">
        <f>VLOOKUP(B6983,'All Districts'!$A$3:$B$874,2,FALSE)</f>
        <v>Worcester</v>
      </c>
      <c r="D6983" s="16">
        <v>297047</v>
      </c>
      <c r="E6983">
        <f>VLOOKUP(C6983,'All Districts'!$B$3:$C$874,2,FALSE)</f>
        <v>3631740</v>
      </c>
      <c r="F6983" s="91">
        <f>COUNTIF($E$2:$E$7106,E6983)</f>
        <v>9</v>
      </c>
    </row>
    <row r="6984" spans="1:6" x14ac:dyDescent="0.2">
      <c r="A6984" s="10">
        <v>2018</v>
      </c>
      <c r="B6984" s="13">
        <v>3998</v>
      </c>
      <c r="C6984" s="90" t="str">
        <f>VLOOKUP(B6984,'All Districts'!$A$3:$B$874,2,FALSE)</f>
        <v>Worcester</v>
      </c>
      <c r="D6984" s="15">
        <v>254551</v>
      </c>
      <c r="E6984">
        <f>VLOOKUP(C6984,'All Districts'!$B$3:$C$874,2,FALSE)</f>
        <v>3631740</v>
      </c>
      <c r="F6984" s="91">
        <f>COUNTIF($E$2:$E$7106,E6984)</f>
        <v>9</v>
      </c>
    </row>
    <row r="6985" spans="1:6" x14ac:dyDescent="0.2">
      <c r="A6985">
        <v>2019</v>
      </c>
      <c r="B6985" s="36">
        <v>3998</v>
      </c>
      <c r="C6985" s="90" t="str">
        <f>VLOOKUP(B6985,'All Districts'!$A$3:$B$874,2,FALSE)</f>
        <v>Worcester</v>
      </c>
      <c r="D6985" s="40">
        <v>278324</v>
      </c>
      <c r="E6985">
        <f>VLOOKUP(C6985,'All Districts'!$B$3:$C$874,2,FALSE)</f>
        <v>3631740</v>
      </c>
      <c r="F6985" s="91">
        <f>COUNTIF($E$2:$E$7106,E6985)</f>
        <v>9</v>
      </c>
    </row>
    <row r="6986" spans="1:6" x14ac:dyDescent="0.2">
      <c r="A6986">
        <v>2020</v>
      </c>
      <c r="B6986" s="36">
        <v>3998</v>
      </c>
      <c r="C6986" s="90" t="str">
        <f>VLOOKUP(B6986,'All Districts'!$A$3:$B$874,2,FALSE)</f>
        <v>Worcester</v>
      </c>
      <c r="D6986" s="40">
        <v>234056</v>
      </c>
      <c r="E6986">
        <f>VLOOKUP(C6986,'All Districts'!$B$3:$C$874,2,FALSE)</f>
        <v>3631740</v>
      </c>
      <c r="F6986" s="91">
        <f>COUNTIF($E$2:$E$7106,E6986)</f>
        <v>9</v>
      </c>
    </row>
    <row r="6987" spans="1:6" x14ac:dyDescent="0.2">
      <c r="A6987" s="10">
        <v>2021</v>
      </c>
      <c r="B6987" s="71">
        <v>3998</v>
      </c>
      <c r="C6987" s="90" t="str">
        <f>VLOOKUP(B6987,'All Districts'!$A$3:$B$874,2,FALSE)</f>
        <v>Worcester</v>
      </c>
      <c r="D6987" s="75">
        <v>241617</v>
      </c>
      <c r="E6987">
        <f>VLOOKUP(C6987,'All Districts'!$B$3:$C$874,2,FALSE)</f>
        <v>3631740</v>
      </c>
      <c r="F6987" s="91">
        <f>COUNTIF($E$2:$E$7106,E6987)</f>
        <v>9</v>
      </c>
    </row>
    <row r="6988" spans="1:6" x14ac:dyDescent="0.2">
      <c r="A6988">
        <v>2022</v>
      </c>
      <c r="B6988" s="36">
        <v>3998</v>
      </c>
      <c r="C6988" s="90" t="str">
        <f>VLOOKUP(B6988,'All Districts'!$A$3:$B$874,2,FALSE)</f>
        <v>Worcester</v>
      </c>
      <c r="D6988" s="82">
        <v>259992</v>
      </c>
      <c r="E6988">
        <f>VLOOKUP(C6988,'All Districts'!$B$3:$C$874,2,FALSE)</f>
        <v>3631740</v>
      </c>
      <c r="F6988" s="91">
        <f>COUNTIF($E$2:$E$7106,E6988)</f>
        <v>9</v>
      </c>
    </row>
    <row r="6989" spans="1:6" x14ac:dyDescent="0.2">
      <c r="A6989">
        <v>2023</v>
      </c>
      <c r="B6989" s="36">
        <v>3998</v>
      </c>
      <c r="C6989" s="90" t="str">
        <f>VLOOKUP(B6989,'All Districts'!$A$3:$B$874,2,FALSE)</f>
        <v>Worcester</v>
      </c>
      <c r="D6989" s="40">
        <v>282720</v>
      </c>
      <c r="E6989">
        <f>VLOOKUP(C6989,'All Districts'!$B$3:$C$874,2,FALSE)</f>
        <v>3631740</v>
      </c>
      <c r="F6989" s="91">
        <f>COUNTIF($E$2:$E$7106,E6989)</f>
        <v>9</v>
      </c>
    </row>
    <row r="6990" spans="1:6" x14ac:dyDescent="0.2">
      <c r="A6990">
        <v>2015</v>
      </c>
      <c r="B6990" s="13">
        <v>5457</v>
      </c>
      <c r="C6990" s="90" t="str">
        <f>VLOOKUP(B6990,'All Districts'!$A$3:$B$874,2,FALSE)</f>
        <v>Wyandanch</v>
      </c>
      <c r="D6990" s="14">
        <v>3585460</v>
      </c>
      <c r="E6990">
        <f>VLOOKUP(C6990,'All Districts'!$B$3:$C$874,2,FALSE)</f>
        <v>3631800</v>
      </c>
      <c r="F6990" s="91">
        <f>COUNTIF($E$2:$E$7106,E6990)</f>
        <v>9</v>
      </c>
    </row>
    <row r="6991" spans="1:6" x14ac:dyDescent="0.2">
      <c r="A6991">
        <v>2016</v>
      </c>
      <c r="B6991" s="13">
        <v>5457</v>
      </c>
      <c r="C6991" s="90" t="str">
        <f>VLOOKUP(B6991,'All Districts'!$A$3:$B$874,2,FALSE)</f>
        <v>Wyandanch</v>
      </c>
      <c r="D6991" s="16">
        <v>2931635</v>
      </c>
      <c r="E6991">
        <f>VLOOKUP(C6991,'All Districts'!$B$3:$C$874,2,FALSE)</f>
        <v>3631800</v>
      </c>
      <c r="F6991" s="91">
        <f>COUNTIF($E$2:$E$7106,E6991)</f>
        <v>9</v>
      </c>
    </row>
    <row r="6992" spans="1:6" x14ac:dyDescent="0.2">
      <c r="A6992">
        <v>2017</v>
      </c>
      <c r="B6992" s="13">
        <v>5457</v>
      </c>
      <c r="C6992" s="90" t="str">
        <f>VLOOKUP(B6992,'All Districts'!$A$3:$B$874,2,FALSE)</f>
        <v>Wyandanch</v>
      </c>
      <c r="D6992" s="16">
        <v>2721736</v>
      </c>
      <c r="E6992">
        <f>VLOOKUP(C6992,'All Districts'!$B$3:$C$874,2,FALSE)</f>
        <v>3631800</v>
      </c>
      <c r="F6992" s="91">
        <f>COUNTIF($E$2:$E$7106,E6992)</f>
        <v>9</v>
      </c>
    </row>
    <row r="6993" spans="1:6" x14ac:dyDescent="0.2">
      <c r="A6993" s="10">
        <v>2018</v>
      </c>
      <c r="B6993" s="13">
        <v>5457</v>
      </c>
      <c r="C6993" s="90" t="str">
        <f>VLOOKUP(B6993,'All Districts'!$A$3:$B$874,2,FALSE)</f>
        <v>Wyandanch</v>
      </c>
      <c r="D6993" s="15">
        <v>2463553</v>
      </c>
      <c r="E6993">
        <f>VLOOKUP(C6993,'All Districts'!$B$3:$C$874,2,FALSE)</f>
        <v>3631800</v>
      </c>
      <c r="F6993" s="91">
        <f>COUNTIF($E$2:$E$7106,E6993)</f>
        <v>9</v>
      </c>
    </row>
    <row r="6994" spans="1:6" x14ac:dyDescent="0.2">
      <c r="A6994">
        <v>2019</v>
      </c>
      <c r="B6994" s="36">
        <v>5457</v>
      </c>
      <c r="C6994" s="90" t="str">
        <f>VLOOKUP(B6994,'All Districts'!$A$3:$B$874,2,FALSE)</f>
        <v>Wyandanch</v>
      </c>
      <c r="D6994" s="40">
        <v>2953474</v>
      </c>
      <c r="E6994">
        <f>VLOOKUP(C6994,'All Districts'!$B$3:$C$874,2,FALSE)</f>
        <v>3631800</v>
      </c>
      <c r="F6994" s="91">
        <f>COUNTIF($E$2:$E$7106,E6994)</f>
        <v>9</v>
      </c>
    </row>
    <row r="6995" spans="1:6" x14ac:dyDescent="0.2">
      <c r="A6995">
        <v>2020</v>
      </c>
      <c r="B6995" s="36">
        <v>5457</v>
      </c>
      <c r="C6995" s="90" t="str">
        <f>VLOOKUP(B6995,'All Districts'!$A$3:$B$874,2,FALSE)</f>
        <v>Wyandanch</v>
      </c>
      <c r="D6995" s="40">
        <v>2036036</v>
      </c>
      <c r="E6995">
        <f>VLOOKUP(C6995,'All Districts'!$B$3:$C$874,2,FALSE)</f>
        <v>3631800</v>
      </c>
      <c r="F6995" s="91">
        <f>COUNTIF($E$2:$E$7106,E6995)</f>
        <v>9</v>
      </c>
    </row>
    <row r="6996" spans="1:6" x14ac:dyDescent="0.2">
      <c r="A6996" s="10">
        <v>2021</v>
      </c>
      <c r="B6996" s="52">
        <v>5457</v>
      </c>
      <c r="C6996" s="90" t="str">
        <f>VLOOKUP(B6996,'All Districts'!$A$3:$B$874,2,FALSE)</f>
        <v>Wyandanch</v>
      </c>
      <c r="D6996" s="76">
        <v>2113701</v>
      </c>
      <c r="E6996">
        <f>VLOOKUP(C6996,'All Districts'!$B$3:$C$874,2,FALSE)</f>
        <v>3631800</v>
      </c>
      <c r="F6996" s="91">
        <f>COUNTIF($E$2:$E$7106,E6996)</f>
        <v>9</v>
      </c>
    </row>
    <row r="6997" spans="1:6" x14ac:dyDescent="0.2">
      <c r="A6997">
        <v>2022</v>
      </c>
      <c r="B6997" s="36">
        <v>5457</v>
      </c>
      <c r="C6997" s="90" t="str">
        <f>VLOOKUP(B6997,'All Districts'!$A$3:$B$874,2,FALSE)</f>
        <v>Wyandanch</v>
      </c>
      <c r="D6997" s="82">
        <v>2451999</v>
      </c>
      <c r="E6997">
        <f>VLOOKUP(C6997,'All Districts'!$B$3:$C$874,2,FALSE)</f>
        <v>3631800</v>
      </c>
      <c r="F6997" s="91">
        <f>COUNTIF($E$2:$E$7106,E6997)</f>
        <v>9</v>
      </c>
    </row>
    <row r="6998" spans="1:6" x14ac:dyDescent="0.2">
      <c r="A6998">
        <v>2023</v>
      </c>
      <c r="B6998" s="36">
        <v>5457</v>
      </c>
      <c r="C6998" s="90" t="str">
        <f>VLOOKUP(B6998,'All Districts'!$A$3:$B$874,2,FALSE)</f>
        <v>Wyandanch</v>
      </c>
      <c r="D6998" s="40">
        <v>2776949</v>
      </c>
      <c r="E6998">
        <f>VLOOKUP(C6998,'All Districts'!$B$3:$C$874,2,FALSE)</f>
        <v>3631800</v>
      </c>
      <c r="F6998" s="91">
        <f>COUNTIF($E$2:$E$7106,E6998)</f>
        <v>9</v>
      </c>
    </row>
    <row r="6999" spans="1:6" x14ac:dyDescent="0.2">
      <c r="A6999">
        <v>2015</v>
      </c>
      <c r="B6999" s="13">
        <v>4884</v>
      </c>
      <c r="C6999" s="90" t="str">
        <f>VLOOKUP(B6999,'All Districts'!$A$3:$B$874,2,FALSE)</f>
        <v>Wynantskill</v>
      </c>
      <c r="D6999" s="14">
        <v>439988</v>
      </c>
      <c r="E6999">
        <f>VLOOKUP(C6999,'All Districts'!$B$3:$C$874,2,FALSE)</f>
        <v>3631830</v>
      </c>
      <c r="F6999" s="91">
        <f>COUNTIF($E$2:$E$7106,E6999)</f>
        <v>9</v>
      </c>
    </row>
    <row r="7000" spans="1:6" x14ac:dyDescent="0.2">
      <c r="A7000">
        <v>2016</v>
      </c>
      <c r="B7000" s="13">
        <v>4884</v>
      </c>
      <c r="C7000" s="90" t="str">
        <f>VLOOKUP(B7000,'All Districts'!$A$3:$B$874,2,FALSE)</f>
        <v>Wynantskill</v>
      </c>
      <c r="D7000" s="16">
        <v>353679</v>
      </c>
      <c r="E7000">
        <f>VLOOKUP(C7000,'All Districts'!$B$3:$C$874,2,FALSE)</f>
        <v>3631830</v>
      </c>
      <c r="F7000" s="91">
        <f>COUNTIF($E$2:$E$7106,E7000)</f>
        <v>9</v>
      </c>
    </row>
    <row r="7001" spans="1:6" x14ac:dyDescent="0.2">
      <c r="A7001">
        <v>2017</v>
      </c>
      <c r="B7001" s="13">
        <v>4884</v>
      </c>
      <c r="C7001" s="90" t="str">
        <f>VLOOKUP(B7001,'All Districts'!$A$3:$B$874,2,FALSE)</f>
        <v>Wynantskill</v>
      </c>
      <c r="D7001" s="16">
        <v>320876</v>
      </c>
      <c r="E7001">
        <f>VLOOKUP(C7001,'All Districts'!$B$3:$C$874,2,FALSE)</f>
        <v>3631830</v>
      </c>
      <c r="F7001" s="91">
        <f>COUNTIF($E$2:$E$7106,E7001)</f>
        <v>9</v>
      </c>
    </row>
    <row r="7002" spans="1:6" x14ac:dyDescent="0.2">
      <c r="A7002" s="10">
        <v>2018</v>
      </c>
      <c r="B7002" s="13">
        <v>4884</v>
      </c>
      <c r="C7002" s="90" t="str">
        <f>VLOOKUP(B7002,'All Districts'!$A$3:$B$874,2,FALSE)</f>
        <v>Wynantskill</v>
      </c>
      <c r="D7002" s="15">
        <v>274214</v>
      </c>
      <c r="E7002">
        <f>VLOOKUP(C7002,'All Districts'!$B$3:$C$874,2,FALSE)</f>
        <v>3631830</v>
      </c>
      <c r="F7002" s="91">
        <f>COUNTIF($E$2:$E$7106,E7002)</f>
        <v>9</v>
      </c>
    </row>
    <row r="7003" spans="1:6" x14ac:dyDescent="0.2">
      <c r="A7003">
        <v>2019</v>
      </c>
      <c r="B7003" s="36">
        <v>4884</v>
      </c>
      <c r="C7003" s="90" t="str">
        <f>VLOOKUP(B7003,'All Districts'!$A$3:$B$874,2,FALSE)</f>
        <v>Wynantskill</v>
      </c>
      <c r="D7003" s="40">
        <v>310722</v>
      </c>
      <c r="E7003">
        <f>VLOOKUP(C7003,'All Districts'!$B$3:$C$874,2,FALSE)</f>
        <v>3631830</v>
      </c>
      <c r="F7003" s="91">
        <f>COUNTIF($E$2:$E$7106,E7003)</f>
        <v>9</v>
      </c>
    </row>
    <row r="7004" spans="1:6" x14ac:dyDescent="0.2">
      <c r="A7004">
        <v>2020</v>
      </c>
      <c r="B7004" s="36">
        <v>4884</v>
      </c>
      <c r="C7004" s="90" t="str">
        <f>VLOOKUP(B7004,'All Districts'!$A$3:$B$874,2,FALSE)</f>
        <v>Wynantskill</v>
      </c>
      <c r="D7004" s="40">
        <v>268197</v>
      </c>
      <c r="E7004">
        <f>VLOOKUP(C7004,'All Districts'!$B$3:$C$874,2,FALSE)</f>
        <v>3631830</v>
      </c>
      <c r="F7004" s="91">
        <f>COUNTIF($E$2:$E$7106,E7004)</f>
        <v>9</v>
      </c>
    </row>
    <row r="7005" spans="1:6" x14ac:dyDescent="0.2">
      <c r="A7005" s="10">
        <v>2021</v>
      </c>
      <c r="B7005" s="52">
        <v>4884</v>
      </c>
      <c r="C7005" s="90" t="str">
        <f>VLOOKUP(B7005,'All Districts'!$A$3:$B$874,2,FALSE)</f>
        <v>Wynantskill</v>
      </c>
      <c r="D7005" s="76">
        <v>287522</v>
      </c>
      <c r="E7005">
        <f>VLOOKUP(C7005,'All Districts'!$B$3:$C$874,2,FALSE)</f>
        <v>3631830</v>
      </c>
      <c r="F7005" s="91">
        <f>COUNTIF($E$2:$E$7106,E7005)</f>
        <v>9</v>
      </c>
    </row>
    <row r="7006" spans="1:6" x14ac:dyDescent="0.2">
      <c r="A7006">
        <v>2022</v>
      </c>
      <c r="B7006" s="36">
        <v>4884</v>
      </c>
      <c r="C7006" s="90" t="str">
        <f>VLOOKUP(B7006,'All Districts'!$A$3:$B$874,2,FALSE)</f>
        <v>Wynantskill</v>
      </c>
      <c r="D7006" s="82">
        <v>315397</v>
      </c>
      <c r="E7006">
        <f>VLOOKUP(C7006,'All Districts'!$B$3:$C$874,2,FALSE)</f>
        <v>3631830</v>
      </c>
      <c r="F7006" s="91">
        <f>COUNTIF($E$2:$E$7106,E7006)</f>
        <v>9</v>
      </c>
    </row>
    <row r="7007" spans="1:6" x14ac:dyDescent="0.2">
      <c r="A7007">
        <v>2023</v>
      </c>
      <c r="B7007" s="36">
        <v>4884</v>
      </c>
      <c r="C7007" s="90" t="str">
        <f>VLOOKUP(B7007,'All Districts'!$A$3:$B$874,2,FALSE)</f>
        <v>Wynantskill</v>
      </c>
      <c r="D7007" s="40">
        <v>321043</v>
      </c>
      <c r="E7007">
        <f>VLOOKUP(C7007,'All Districts'!$B$3:$C$874,2,FALSE)</f>
        <v>3631830</v>
      </c>
      <c r="F7007" s="91">
        <f>COUNTIF($E$2:$E$7106,E7007)</f>
        <v>9</v>
      </c>
    </row>
    <row r="7008" spans="1:6" x14ac:dyDescent="0.2">
      <c r="A7008">
        <v>2015</v>
      </c>
      <c r="B7008" s="13">
        <v>3934</v>
      </c>
      <c r="C7008" s="90" t="str">
        <f>VLOOKUP(B7008,'All Districts'!$A$3:$B$874,2,FALSE)</f>
        <v>Wyoming</v>
      </c>
      <c r="D7008" s="14">
        <v>210029</v>
      </c>
      <c r="E7008">
        <f>VLOOKUP(C7008,'All Districts'!$B$3:$C$874,2,FALSE)</f>
        <v>3631860</v>
      </c>
      <c r="F7008" s="91">
        <f>COUNTIF($E$2:$E$7106,E7008)</f>
        <v>9</v>
      </c>
    </row>
    <row r="7009" spans="1:6" x14ac:dyDescent="0.2">
      <c r="A7009">
        <v>2016</v>
      </c>
      <c r="B7009" s="13">
        <v>3934</v>
      </c>
      <c r="C7009" s="90" t="str">
        <f>VLOOKUP(B7009,'All Districts'!$A$3:$B$874,2,FALSE)</f>
        <v>Wyoming</v>
      </c>
      <c r="D7009" s="16">
        <v>153118</v>
      </c>
      <c r="E7009">
        <f>VLOOKUP(C7009,'All Districts'!$B$3:$C$874,2,FALSE)</f>
        <v>3631860</v>
      </c>
      <c r="F7009" s="91">
        <f>COUNTIF($E$2:$E$7106,E7009)</f>
        <v>9</v>
      </c>
    </row>
    <row r="7010" spans="1:6" x14ac:dyDescent="0.2">
      <c r="A7010">
        <v>2017</v>
      </c>
      <c r="B7010" s="13">
        <v>3934</v>
      </c>
      <c r="C7010" s="90" t="str">
        <f>VLOOKUP(B7010,'All Districts'!$A$3:$B$874,2,FALSE)</f>
        <v>Wyoming</v>
      </c>
      <c r="D7010" s="16">
        <v>130809</v>
      </c>
      <c r="E7010">
        <f>VLOOKUP(C7010,'All Districts'!$B$3:$C$874,2,FALSE)</f>
        <v>3631860</v>
      </c>
      <c r="F7010" s="91">
        <f>COUNTIF($E$2:$E$7106,E7010)</f>
        <v>9</v>
      </c>
    </row>
    <row r="7011" spans="1:6" x14ac:dyDescent="0.2">
      <c r="A7011" s="10">
        <v>2018</v>
      </c>
      <c r="B7011" s="13">
        <v>3934</v>
      </c>
      <c r="C7011" s="90" t="str">
        <f>VLOOKUP(B7011,'All Districts'!$A$3:$B$874,2,FALSE)</f>
        <v>Wyoming</v>
      </c>
      <c r="D7011" s="15">
        <v>112550</v>
      </c>
      <c r="E7011">
        <f>VLOOKUP(C7011,'All Districts'!$B$3:$C$874,2,FALSE)</f>
        <v>3631860</v>
      </c>
      <c r="F7011" s="91">
        <f>COUNTIF($E$2:$E$7106,E7011)</f>
        <v>9</v>
      </c>
    </row>
    <row r="7012" spans="1:6" x14ac:dyDescent="0.2">
      <c r="A7012">
        <v>2019</v>
      </c>
      <c r="B7012" s="36">
        <v>3934</v>
      </c>
      <c r="C7012" s="90" t="str">
        <f>VLOOKUP(B7012,'All Districts'!$A$3:$B$874,2,FALSE)</f>
        <v>Wyoming</v>
      </c>
      <c r="D7012" s="40">
        <v>126690</v>
      </c>
      <c r="E7012">
        <f>VLOOKUP(C7012,'All Districts'!$B$3:$C$874,2,FALSE)</f>
        <v>3631860</v>
      </c>
      <c r="F7012" s="91">
        <f>COUNTIF($E$2:$E$7106,E7012)</f>
        <v>9</v>
      </c>
    </row>
    <row r="7013" spans="1:6" x14ac:dyDescent="0.2">
      <c r="A7013">
        <v>2020</v>
      </c>
      <c r="B7013" s="36">
        <v>3934</v>
      </c>
      <c r="C7013" s="90" t="str">
        <f>VLOOKUP(B7013,'All Districts'!$A$3:$B$874,2,FALSE)</f>
        <v>Wyoming</v>
      </c>
      <c r="D7013" s="40">
        <v>107643</v>
      </c>
      <c r="E7013">
        <f>VLOOKUP(C7013,'All Districts'!$B$3:$C$874,2,FALSE)</f>
        <v>3631860</v>
      </c>
      <c r="F7013" s="91">
        <f>COUNTIF($E$2:$E$7106,E7013)</f>
        <v>9</v>
      </c>
    </row>
    <row r="7014" spans="1:6" x14ac:dyDescent="0.2">
      <c r="A7014" s="10">
        <v>2021</v>
      </c>
      <c r="B7014" s="52">
        <v>3934</v>
      </c>
      <c r="C7014" s="90" t="str">
        <f>VLOOKUP(B7014,'All Districts'!$A$3:$B$874,2,FALSE)</f>
        <v>Wyoming</v>
      </c>
      <c r="D7014" s="80">
        <v>112539</v>
      </c>
      <c r="E7014">
        <f>VLOOKUP(C7014,'All Districts'!$B$3:$C$874,2,FALSE)</f>
        <v>3631860</v>
      </c>
      <c r="F7014" s="91">
        <f>COUNTIF($E$2:$E$7106,E7014)</f>
        <v>9</v>
      </c>
    </row>
    <row r="7015" spans="1:6" x14ac:dyDescent="0.2">
      <c r="A7015">
        <v>2022</v>
      </c>
      <c r="B7015" s="36">
        <v>3934</v>
      </c>
      <c r="C7015" s="90" t="str">
        <f>VLOOKUP(B7015,'All Districts'!$A$3:$B$874,2,FALSE)</f>
        <v>Wyoming</v>
      </c>
      <c r="D7015" s="82">
        <v>128274</v>
      </c>
      <c r="E7015">
        <f>VLOOKUP(C7015,'All Districts'!$B$3:$C$874,2,FALSE)</f>
        <v>3631860</v>
      </c>
      <c r="F7015" s="91">
        <f>COUNTIF($E$2:$E$7106,E7015)</f>
        <v>9</v>
      </c>
    </row>
    <row r="7016" spans="1:6" x14ac:dyDescent="0.2">
      <c r="A7016">
        <v>2023</v>
      </c>
      <c r="B7016" s="36">
        <v>3934</v>
      </c>
      <c r="C7016" s="90" t="str">
        <f>VLOOKUP(B7016,'All Districts'!$A$3:$B$874,2,FALSE)</f>
        <v>Wyoming</v>
      </c>
      <c r="D7016" s="40">
        <v>139890</v>
      </c>
      <c r="E7016">
        <f>VLOOKUP(C7016,'All Districts'!$B$3:$C$874,2,FALSE)</f>
        <v>3631860</v>
      </c>
      <c r="F7016" s="91">
        <f>COUNTIF($E$2:$E$7106,E7016)</f>
        <v>9</v>
      </c>
    </row>
    <row r="7017" spans="1:6" x14ac:dyDescent="0.2">
      <c r="A7017">
        <v>2015</v>
      </c>
      <c r="B7017" s="13">
        <v>1305</v>
      </c>
      <c r="C7017" s="90" t="str">
        <f>VLOOKUP(B7017,'All Districts'!$A$3:$B$874,2,FALSE)</f>
        <v>Yonkers</v>
      </c>
      <c r="D7017" s="14">
        <v>38853314</v>
      </c>
      <c r="E7017">
        <f>VLOOKUP(C7017,'All Districts'!$B$3:$C$874,2,FALSE)</f>
        <v>3631920</v>
      </c>
      <c r="F7017" s="91">
        <f>COUNTIF($E$2:$E$7106,E7017)</f>
        <v>9</v>
      </c>
    </row>
    <row r="7018" spans="1:6" x14ac:dyDescent="0.2">
      <c r="A7018">
        <v>2016</v>
      </c>
      <c r="B7018" s="13">
        <v>1305</v>
      </c>
      <c r="C7018" s="90" t="str">
        <f>VLOOKUP(B7018,'All Districts'!$A$3:$B$874,2,FALSE)</f>
        <v>Yonkers</v>
      </c>
      <c r="D7018" s="16">
        <v>30304325</v>
      </c>
      <c r="E7018">
        <f>VLOOKUP(C7018,'All Districts'!$B$3:$C$874,2,FALSE)</f>
        <v>3631920</v>
      </c>
      <c r="F7018" s="91">
        <f>COUNTIF($E$2:$E$7106,E7018)</f>
        <v>9</v>
      </c>
    </row>
    <row r="7019" spans="1:6" x14ac:dyDescent="0.2">
      <c r="A7019">
        <v>2017</v>
      </c>
      <c r="B7019" s="13">
        <v>1305</v>
      </c>
      <c r="C7019" s="90" t="str">
        <f>VLOOKUP(B7019,'All Districts'!$A$3:$B$874,2,FALSE)</f>
        <v>Yonkers</v>
      </c>
      <c r="D7019" s="16">
        <v>28169565</v>
      </c>
      <c r="E7019">
        <f>VLOOKUP(C7019,'All Districts'!$B$3:$C$874,2,FALSE)</f>
        <v>3631920</v>
      </c>
      <c r="F7019" s="91">
        <f>COUNTIF($E$2:$E$7106,E7019)</f>
        <v>9</v>
      </c>
    </row>
    <row r="7020" spans="1:6" x14ac:dyDescent="0.2">
      <c r="A7020" s="10">
        <v>2018</v>
      </c>
      <c r="B7020" s="13">
        <v>1305</v>
      </c>
      <c r="C7020" s="90" t="str">
        <f>VLOOKUP(B7020,'All Districts'!$A$3:$B$874,2,FALSE)</f>
        <v>Yonkers</v>
      </c>
      <c r="D7020" s="15">
        <v>24283232</v>
      </c>
      <c r="E7020">
        <f>VLOOKUP(C7020,'All Districts'!$B$3:$C$874,2,FALSE)</f>
        <v>3631920</v>
      </c>
      <c r="F7020" s="91">
        <f>COUNTIF($E$2:$E$7106,E7020)</f>
        <v>9</v>
      </c>
    </row>
    <row r="7021" spans="1:6" x14ac:dyDescent="0.2">
      <c r="A7021">
        <v>2019</v>
      </c>
      <c r="B7021" s="36">
        <v>1305</v>
      </c>
      <c r="C7021" s="90" t="str">
        <f>VLOOKUP(B7021,'All Districts'!$A$3:$B$874,2,FALSE)</f>
        <v>Yonkers</v>
      </c>
      <c r="D7021" s="40">
        <v>26947692</v>
      </c>
      <c r="E7021">
        <f>VLOOKUP(C7021,'All Districts'!$B$3:$C$874,2,FALSE)</f>
        <v>3631920</v>
      </c>
      <c r="F7021" s="91">
        <f>COUNTIF($E$2:$E$7106,E7021)</f>
        <v>9</v>
      </c>
    </row>
    <row r="7022" spans="1:6" x14ac:dyDescent="0.2">
      <c r="A7022">
        <v>2020</v>
      </c>
      <c r="B7022" s="36">
        <v>1305</v>
      </c>
      <c r="C7022" s="90" t="str">
        <f>VLOOKUP(B7022,'All Districts'!$A$3:$B$874,2,FALSE)</f>
        <v>Yonkers</v>
      </c>
      <c r="D7022" s="40">
        <v>23094249</v>
      </c>
      <c r="E7022">
        <f>VLOOKUP(C7022,'All Districts'!$B$3:$C$874,2,FALSE)</f>
        <v>3631920</v>
      </c>
      <c r="F7022" s="91">
        <f>COUNTIF($E$2:$E$7106,E7022)</f>
        <v>9</v>
      </c>
    </row>
    <row r="7023" spans="1:6" x14ac:dyDescent="0.2">
      <c r="A7023" s="10">
        <v>2021</v>
      </c>
      <c r="B7023" s="55">
        <v>1305</v>
      </c>
      <c r="C7023" s="90" t="str">
        <f>VLOOKUP(B7023,'All Districts'!$A$3:$B$874,2,FALSE)</f>
        <v>Yonkers</v>
      </c>
      <c r="D7023" s="75">
        <v>24721849</v>
      </c>
      <c r="E7023">
        <f>VLOOKUP(C7023,'All Districts'!$B$3:$C$874,2,FALSE)</f>
        <v>3631920</v>
      </c>
      <c r="F7023" s="91">
        <f>COUNTIF($E$2:$E$7106,E7023)</f>
        <v>9</v>
      </c>
    </row>
    <row r="7024" spans="1:6" x14ac:dyDescent="0.2">
      <c r="A7024">
        <v>2022</v>
      </c>
      <c r="B7024" s="36">
        <v>1305</v>
      </c>
      <c r="C7024" s="90" t="str">
        <f>VLOOKUP(B7024,'All Districts'!$A$3:$B$874,2,FALSE)</f>
        <v>Yonkers</v>
      </c>
      <c r="D7024" s="82">
        <v>26509513</v>
      </c>
      <c r="E7024">
        <f>VLOOKUP(C7024,'All Districts'!$B$3:$C$874,2,FALSE)</f>
        <v>3631920</v>
      </c>
      <c r="F7024" s="91">
        <f>COUNTIF($E$2:$E$7106,E7024)</f>
        <v>9</v>
      </c>
    </row>
    <row r="7025" spans="1:6" x14ac:dyDescent="0.2">
      <c r="A7025">
        <v>2023</v>
      </c>
      <c r="B7025" s="36">
        <v>1305</v>
      </c>
      <c r="C7025" s="90" t="str">
        <f>VLOOKUP(B7025,'All Districts'!$A$3:$B$874,2,FALSE)</f>
        <v>Yonkers</v>
      </c>
      <c r="D7025" s="40">
        <v>28282240</v>
      </c>
      <c r="E7025">
        <f>VLOOKUP(C7025,'All Districts'!$B$3:$C$874,2,FALSE)</f>
        <v>3631920</v>
      </c>
      <c r="F7025" s="91">
        <f>COUNTIF($E$2:$E$7106,E7025)</f>
        <v>9</v>
      </c>
    </row>
    <row r="7026" spans="1:6" x14ac:dyDescent="0.2">
      <c r="A7026">
        <v>2015</v>
      </c>
      <c r="B7026" s="13">
        <v>4155</v>
      </c>
      <c r="C7026" s="90" t="str">
        <f>VLOOKUP(B7026,'All Districts'!$A$3:$B$874,2,FALSE)</f>
        <v>York</v>
      </c>
      <c r="D7026" s="14">
        <v>860716</v>
      </c>
      <c r="E7026">
        <f>VLOOKUP(C7026,'All Districts'!$B$3:$C$874,2,FALSE)</f>
        <v>3631950</v>
      </c>
      <c r="F7026" s="91">
        <f>COUNTIF($E$2:$E$7106,E7026)</f>
        <v>9</v>
      </c>
    </row>
    <row r="7027" spans="1:6" x14ac:dyDescent="0.2">
      <c r="A7027">
        <v>2016</v>
      </c>
      <c r="B7027" s="13">
        <v>4155</v>
      </c>
      <c r="C7027" s="90" t="str">
        <f>VLOOKUP(B7027,'All Districts'!$A$3:$B$874,2,FALSE)</f>
        <v>York</v>
      </c>
      <c r="D7027" s="16">
        <v>686137</v>
      </c>
      <c r="E7027">
        <f>VLOOKUP(C7027,'All Districts'!$B$3:$C$874,2,FALSE)</f>
        <v>3631950</v>
      </c>
      <c r="F7027" s="91">
        <f>COUNTIF($E$2:$E$7106,E7027)</f>
        <v>9</v>
      </c>
    </row>
    <row r="7028" spans="1:6" x14ac:dyDescent="0.2">
      <c r="A7028">
        <v>2017</v>
      </c>
      <c r="B7028" s="13">
        <v>4155</v>
      </c>
      <c r="C7028" s="90" t="str">
        <f>VLOOKUP(B7028,'All Districts'!$A$3:$B$874,2,FALSE)</f>
        <v>York</v>
      </c>
      <c r="D7028" s="16">
        <v>628516</v>
      </c>
      <c r="E7028">
        <f>VLOOKUP(C7028,'All Districts'!$B$3:$C$874,2,FALSE)</f>
        <v>3631950</v>
      </c>
      <c r="F7028" s="91">
        <f>COUNTIF($E$2:$E$7106,E7028)</f>
        <v>9</v>
      </c>
    </row>
    <row r="7029" spans="1:6" x14ac:dyDescent="0.2">
      <c r="A7029" s="10">
        <v>2018</v>
      </c>
      <c r="B7029" s="13">
        <v>4155</v>
      </c>
      <c r="C7029" s="90" t="str">
        <f>VLOOKUP(B7029,'All Districts'!$A$3:$B$874,2,FALSE)</f>
        <v>York</v>
      </c>
      <c r="D7029" s="15">
        <v>537876</v>
      </c>
      <c r="E7029">
        <f>VLOOKUP(C7029,'All Districts'!$B$3:$C$874,2,FALSE)</f>
        <v>3631950</v>
      </c>
      <c r="F7029" s="91">
        <f>COUNTIF($E$2:$E$7106,E7029)</f>
        <v>9</v>
      </c>
    </row>
    <row r="7030" spans="1:6" x14ac:dyDescent="0.2">
      <c r="A7030">
        <v>2019</v>
      </c>
      <c r="B7030" s="36">
        <v>4155</v>
      </c>
      <c r="C7030" s="90" t="str">
        <f>VLOOKUP(B7030,'All Districts'!$A$3:$B$874,2,FALSE)</f>
        <v>York</v>
      </c>
      <c r="D7030" s="40">
        <v>594321</v>
      </c>
      <c r="E7030">
        <f>VLOOKUP(C7030,'All Districts'!$B$3:$C$874,2,FALSE)</f>
        <v>3631950</v>
      </c>
      <c r="F7030" s="91">
        <f>COUNTIF($E$2:$E$7106,E7030)</f>
        <v>9</v>
      </c>
    </row>
    <row r="7031" spans="1:6" x14ac:dyDescent="0.2">
      <c r="A7031">
        <v>2020</v>
      </c>
      <c r="B7031" s="36">
        <v>4155</v>
      </c>
      <c r="C7031" s="90" t="str">
        <f>VLOOKUP(B7031,'All Districts'!$A$3:$B$874,2,FALSE)</f>
        <v>York</v>
      </c>
      <c r="D7031" s="40">
        <v>508356</v>
      </c>
      <c r="E7031">
        <f>VLOOKUP(C7031,'All Districts'!$B$3:$C$874,2,FALSE)</f>
        <v>3631950</v>
      </c>
      <c r="F7031" s="91">
        <f>COUNTIF($E$2:$E$7106,E7031)</f>
        <v>9</v>
      </c>
    </row>
    <row r="7032" spans="1:6" x14ac:dyDescent="0.2">
      <c r="A7032" s="10">
        <v>2021</v>
      </c>
      <c r="B7032" s="52">
        <v>4155</v>
      </c>
      <c r="C7032" s="90" t="str">
        <f>VLOOKUP(B7032,'All Districts'!$A$3:$B$874,2,FALSE)</f>
        <v>York</v>
      </c>
      <c r="D7032" s="75">
        <v>545844</v>
      </c>
      <c r="E7032">
        <f>VLOOKUP(C7032,'All Districts'!$B$3:$C$874,2,FALSE)</f>
        <v>3631950</v>
      </c>
      <c r="F7032" s="91">
        <f>COUNTIF($E$2:$E$7106,E7032)</f>
        <v>9</v>
      </c>
    </row>
    <row r="7033" spans="1:6" x14ac:dyDescent="0.2">
      <c r="A7033">
        <v>2022</v>
      </c>
      <c r="B7033" s="36">
        <v>4155</v>
      </c>
      <c r="C7033" s="90" t="str">
        <f>VLOOKUP(B7033,'All Districts'!$A$3:$B$874,2,FALSE)</f>
        <v>York</v>
      </c>
      <c r="D7033" s="82">
        <v>591344</v>
      </c>
      <c r="E7033">
        <f>VLOOKUP(C7033,'All Districts'!$B$3:$C$874,2,FALSE)</f>
        <v>3631950</v>
      </c>
      <c r="F7033" s="91">
        <f>COUNTIF($E$2:$E$7106,E7033)</f>
        <v>9</v>
      </c>
    </row>
    <row r="7034" spans="1:6" x14ac:dyDescent="0.2">
      <c r="A7034">
        <v>2023</v>
      </c>
      <c r="B7034" s="36">
        <v>4155</v>
      </c>
      <c r="C7034" s="90" t="str">
        <f>VLOOKUP(B7034,'All Districts'!$A$3:$B$874,2,FALSE)</f>
        <v>York</v>
      </c>
      <c r="D7034" s="40">
        <v>650184</v>
      </c>
      <c r="E7034">
        <f>VLOOKUP(C7034,'All Districts'!$B$3:$C$874,2,FALSE)</f>
        <v>3631950</v>
      </c>
      <c r="F7034" s="91">
        <f>COUNTIF($E$2:$E$7106,E7034)</f>
        <v>9</v>
      </c>
    </row>
    <row r="7035" spans="1:6" x14ac:dyDescent="0.2">
      <c r="A7035">
        <v>2015</v>
      </c>
      <c r="B7035" s="13">
        <v>2656</v>
      </c>
      <c r="C7035" s="90" t="str">
        <f>VLOOKUP(B7035,'All Districts'!$A$3:$B$874,2,FALSE)</f>
        <v>Yorktown</v>
      </c>
      <c r="D7035" s="14">
        <v>7179066</v>
      </c>
      <c r="E7035">
        <f>VLOOKUP(C7035,'All Districts'!$B$3:$C$874,2,FALSE)</f>
        <v>3631980</v>
      </c>
      <c r="F7035" s="91">
        <f>COUNTIF($E$2:$E$7106,E7035)</f>
        <v>9</v>
      </c>
    </row>
    <row r="7036" spans="1:6" x14ac:dyDescent="0.2">
      <c r="A7036">
        <v>2016</v>
      </c>
      <c r="B7036" s="13">
        <v>2656</v>
      </c>
      <c r="C7036" s="90" t="str">
        <f>VLOOKUP(B7036,'All Districts'!$A$3:$B$874,2,FALSE)</f>
        <v>Yorktown</v>
      </c>
      <c r="D7036" s="16">
        <v>5548718</v>
      </c>
      <c r="E7036">
        <f>VLOOKUP(C7036,'All Districts'!$B$3:$C$874,2,FALSE)</f>
        <v>3631980</v>
      </c>
      <c r="F7036" s="91">
        <f>COUNTIF($E$2:$E$7106,E7036)</f>
        <v>9</v>
      </c>
    </row>
    <row r="7037" spans="1:6" x14ac:dyDescent="0.2">
      <c r="A7037">
        <v>2017</v>
      </c>
      <c r="B7037" s="13">
        <v>2656</v>
      </c>
      <c r="C7037" s="90" t="str">
        <f>VLOOKUP(B7037,'All Districts'!$A$3:$B$874,2,FALSE)</f>
        <v>Yorktown</v>
      </c>
      <c r="D7037" s="16">
        <v>5003884</v>
      </c>
      <c r="E7037">
        <f>VLOOKUP(C7037,'All Districts'!$B$3:$C$874,2,FALSE)</f>
        <v>3631980</v>
      </c>
      <c r="F7037" s="91">
        <f>COUNTIF($E$2:$E$7106,E7037)</f>
        <v>9</v>
      </c>
    </row>
    <row r="7038" spans="1:6" x14ac:dyDescent="0.2">
      <c r="A7038" s="10">
        <v>2018</v>
      </c>
      <c r="B7038" s="13">
        <v>2656</v>
      </c>
      <c r="C7038" s="90" t="str">
        <f>VLOOKUP(B7038,'All Districts'!$A$3:$B$874,2,FALSE)</f>
        <v>Yorktown</v>
      </c>
      <c r="D7038" s="15">
        <v>4275722</v>
      </c>
      <c r="E7038">
        <f>VLOOKUP(C7038,'All Districts'!$B$3:$C$874,2,FALSE)</f>
        <v>3631980</v>
      </c>
      <c r="F7038" s="91">
        <f>COUNTIF($E$2:$E$7106,E7038)</f>
        <v>9</v>
      </c>
    </row>
    <row r="7039" spans="1:6" x14ac:dyDescent="0.2">
      <c r="A7039">
        <v>2019</v>
      </c>
      <c r="B7039" s="36">
        <v>2656</v>
      </c>
      <c r="C7039" s="90" t="str">
        <f>VLOOKUP(B7039,'All Districts'!$A$3:$B$874,2,FALSE)</f>
        <v>Yorktown</v>
      </c>
      <c r="D7039" s="40">
        <v>4694140</v>
      </c>
      <c r="E7039">
        <f>VLOOKUP(C7039,'All Districts'!$B$3:$C$874,2,FALSE)</f>
        <v>3631980</v>
      </c>
      <c r="F7039" s="91">
        <f>COUNTIF($E$2:$E$7106,E7039)</f>
        <v>9</v>
      </c>
    </row>
    <row r="7040" spans="1:6" x14ac:dyDescent="0.2">
      <c r="A7040">
        <v>2020</v>
      </c>
      <c r="B7040" s="36">
        <v>2656</v>
      </c>
      <c r="C7040" s="90" t="str">
        <f>VLOOKUP(B7040,'All Districts'!$A$3:$B$874,2,FALSE)</f>
        <v>Yorktown</v>
      </c>
      <c r="D7040" s="40">
        <v>4049962</v>
      </c>
      <c r="E7040">
        <f>VLOOKUP(C7040,'All Districts'!$B$3:$C$874,2,FALSE)</f>
        <v>3631980</v>
      </c>
      <c r="F7040" s="91">
        <f>COUNTIF($E$2:$E$7106,E7040)</f>
        <v>9</v>
      </c>
    </row>
    <row r="7041" spans="1:6" x14ac:dyDescent="0.2">
      <c r="A7041" s="10">
        <v>2021</v>
      </c>
      <c r="B7041" s="52">
        <v>2656</v>
      </c>
      <c r="C7041" s="90" t="str">
        <f>VLOOKUP(B7041,'All Districts'!$A$3:$B$874,2,FALSE)</f>
        <v>Yorktown</v>
      </c>
      <c r="D7041" s="76">
        <v>4424405</v>
      </c>
      <c r="E7041">
        <f>VLOOKUP(C7041,'All Districts'!$B$3:$C$874,2,FALSE)</f>
        <v>3631980</v>
      </c>
      <c r="F7041" s="91">
        <f>COUNTIF($E$2:$E$7106,E7041)</f>
        <v>9</v>
      </c>
    </row>
    <row r="7042" spans="1:6" x14ac:dyDescent="0.2">
      <c r="A7042">
        <v>2022</v>
      </c>
      <c r="B7042" s="36">
        <v>2656</v>
      </c>
      <c r="C7042" s="90" t="str">
        <f>VLOOKUP(B7042,'All Districts'!$A$3:$B$874,2,FALSE)</f>
        <v>Yorktown</v>
      </c>
      <c r="D7042" s="82">
        <v>4627339</v>
      </c>
      <c r="E7042">
        <f>VLOOKUP(C7042,'All Districts'!$B$3:$C$874,2,FALSE)</f>
        <v>3631980</v>
      </c>
      <c r="F7042" s="91">
        <f>COUNTIF($E$2:$E$7106,E7042)</f>
        <v>9</v>
      </c>
    </row>
    <row r="7043" spans="1:6" x14ac:dyDescent="0.2">
      <c r="A7043">
        <v>2023</v>
      </c>
      <c r="B7043" s="36">
        <v>2656</v>
      </c>
      <c r="C7043" s="90" t="str">
        <f>VLOOKUP(B7043,'All Districts'!$A$3:$B$874,2,FALSE)</f>
        <v>Yorktown</v>
      </c>
      <c r="D7043" s="40">
        <v>5053842</v>
      </c>
      <c r="E7043">
        <f>VLOOKUP(C7043,'All Districts'!$B$3:$C$874,2,FALSE)</f>
        <v>3631980</v>
      </c>
      <c r="F7043" s="91">
        <f>COUNTIF($E$2:$E$7106,E7043)</f>
        <v>9</v>
      </c>
    </row>
    <row r="7044" spans="1:6" x14ac:dyDescent="0.2">
      <c r="A7044">
        <v>2016</v>
      </c>
      <c r="B7044" s="13">
        <v>8432</v>
      </c>
      <c r="C7044" s="90" t="str">
        <f>VLOOKUP(B7044,'All Districts'!$A$3:$B$874,2,FALSE)</f>
        <v>Young Women's College Prep</v>
      </c>
      <c r="D7044" s="16">
        <v>161104</v>
      </c>
      <c r="E7044">
        <f>VLOOKUP(C7044,'All Districts'!$B$3:$C$874,2,FALSE)</f>
        <v>3601080</v>
      </c>
      <c r="F7044" s="91">
        <f>COUNTIF($E$2:$E$7106,E7044)</f>
        <v>8</v>
      </c>
    </row>
    <row r="7045" spans="1:6" x14ac:dyDescent="0.2">
      <c r="A7045">
        <v>2017</v>
      </c>
      <c r="B7045" s="13">
        <v>8432</v>
      </c>
      <c r="C7045" s="90" t="str">
        <f>VLOOKUP(B7045,'All Districts'!$A$3:$B$874,2,FALSE)</f>
        <v>Young Women's College Prep</v>
      </c>
      <c r="D7045" s="16">
        <v>222116</v>
      </c>
      <c r="E7045">
        <f>VLOOKUP(C7045,'All Districts'!$B$3:$C$874,2,FALSE)</f>
        <v>3601080</v>
      </c>
      <c r="F7045" s="91">
        <f>COUNTIF($E$2:$E$7106,E7045)</f>
        <v>8</v>
      </c>
    </row>
    <row r="7046" spans="1:6" x14ac:dyDescent="0.2">
      <c r="A7046" s="10">
        <v>2018</v>
      </c>
      <c r="B7046" s="13">
        <v>8432</v>
      </c>
      <c r="C7046" s="90" t="str">
        <f>VLOOKUP(B7046,'All Districts'!$A$3:$B$874,2,FALSE)</f>
        <v>Young Women's College Prep</v>
      </c>
      <c r="D7046" s="15">
        <v>216642</v>
      </c>
      <c r="E7046">
        <f>VLOOKUP(C7046,'All Districts'!$B$3:$C$874,2,FALSE)</f>
        <v>3601080</v>
      </c>
      <c r="F7046" s="91">
        <f>COUNTIF($E$2:$E$7106,E7046)</f>
        <v>8</v>
      </c>
    </row>
    <row r="7047" spans="1:6" x14ac:dyDescent="0.2">
      <c r="A7047">
        <v>2019</v>
      </c>
      <c r="B7047" s="36">
        <v>8432</v>
      </c>
      <c r="C7047" s="90" t="str">
        <f>VLOOKUP(B7047,'All Districts'!$A$3:$B$874,2,FALSE)</f>
        <v>Young Women's College Prep</v>
      </c>
      <c r="D7047" s="40">
        <v>280812</v>
      </c>
      <c r="E7047">
        <f>VLOOKUP(C7047,'All Districts'!$B$3:$C$874,2,FALSE)</f>
        <v>3601080</v>
      </c>
      <c r="F7047" s="91">
        <f>COUNTIF($E$2:$E$7106,E7047)</f>
        <v>8</v>
      </c>
    </row>
    <row r="7048" spans="1:6" x14ac:dyDescent="0.2">
      <c r="A7048">
        <v>2020</v>
      </c>
      <c r="B7048" s="36">
        <v>8432</v>
      </c>
      <c r="C7048" s="90" t="str">
        <f>VLOOKUP(B7048,'All Districts'!$A$3:$B$874,2,FALSE)</f>
        <v>Young Women's College Prep</v>
      </c>
      <c r="D7048" s="40">
        <v>234975</v>
      </c>
      <c r="E7048">
        <f>VLOOKUP(C7048,'All Districts'!$B$3:$C$874,2,FALSE)</f>
        <v>3601080</v>
      </c>
      <c r="F7048" s="91">
        <f>COUNTIF($E$2:$E$7106,E7048)</f>
        <v>8</v>
      </c>
    </row>
    <row r="7049" spans="1:6" x14ac:dyDescent="0.2">
      <c r="A7049" s="10">
        <v>2021</v>
      </c>
      <c r="B7049" s="74">
        <v>8432</v>
      </c>
      <c r="C7049" s="90" t="str">
        <f>VLOOKUP(B7049,'All Districts'!$A$3:$B$874,2,FALSE)</f>
        <v>Young Women's College Prep</v>
      </c>
      <c r="D7049" s="81">
        <v>252085</v>
      </c>
      <c r="E7049">
        <f>VLOOKUP(C7049,'All Districts'!$B$3:$C$874,2,FALSE)</f>
        <v>3601080</v>
      </c>
      <c r="F7049" s="91">
        <f>COUNTIF($E$2:$E$7106,E7049)</f>
        <v>8</v>
      </c>
    </row>
    <row r="7050" spans="1:6" x14ac:dyDescent="0.2">
      <c r="A7050">
        <v>2022</v>
      </c>
      <c r="B7050" s="36">
        <v>8432</v>
      </c>
      <c r="C7050" s="90" t="str">
        <f>VLOOKUP(B7050,'All Districts'!$A$3:$B$874,2,FALSE)</f>
        <v>Young Women's College Prep</v>
      </c>
      <c r="D7050" s="82">
        <v>281471</v>
      </c>
      <c r="E7050">
        <f>VLOOKUP(C7050,'All Districts'!$B$3:$C$874,2,FALSE)</f>
        <v>3601080</v>
      </c>
      <c r="F7050" s="91">
        <f>COUNTIF($E$2:$E$7106,E7050)</f>
        <v>8</v>
      </c>
    </row>
    <row r="7051" spans="1:6" x14ac:dyDescent="0.2">
      <c r="A7051">
        <v>2023</v>
      </c>
      <c r="B7051" s="36">
        <v>8432</v>
      </c>
      <c r="C7051" s="90" t="str">
        <f>VLOOKUP(B7051,'All Districts'!$A$3:$B$874,2,FALSE)</f>
        <v>Young Women's College Prep</v>
      </c>
      <c r="D7051" s="40">
        <v>254141</v>
      </c>
      <c r="E7051">
        <f>VLOOKUP(C7051,'All Districts'!$B$3:$C$874,2,FALSE)</f>
        <v>3601080</v>
      </c>
      <c r="F7051" s="91">
        <f>COUNTIF($E$2:$E$7106,E7051)</f>
        <v>8</v>
      </c>
    </row>
    <row r="7052" spans="1:6" x14ac:dyDescent="0.2">
      <c r="A7052">
        <v>2015</v>
      </c>
      <c r="B7052" s="13">
        <v>4905</v>
      </c>
      <c r="C7052" s="90" t="str">
        <f>VLOOKUP(B7052,'All Districts'!$A$3:$B$874,2,FALSE)</f>
        <v>Berkshire</v>
      </c>
      <c r="D7052" s="14">
        <v>525785</v>
      </c>
      <c r="E7052">
        <f>VLOOKUP(C7052,'All Districts'!$B$3:$C$874,2,FALSE)</f>
        <v>3604590</v>
      </c>
      <c r="F7052" s="91">
        <f>COUNTIF($E$2:$E$7106,E7052)</f>
        <v>7</v>
      </c>
    </row>
    <row r="7053" spans="1:6" x14ac:dyDescent="0.2">
      <c r="A7053">
        <v>2016</v>
      </c>
      <c r="B7053" s="13">
        <v>4905</v>
      </c>
      <c r="C7053" s="90" t="str">
        <f>VLOOKUP(B7053,'All Districts'!$A$3:$B$874,2,FALSE)</f>
        <v>Berkshire</v>
      </c>
      <c r="D7053" s="16">
        <v>437600</v>
      </c>
      <c r="E7053">
        <f>VLOOKUP(C7053,'All Districts'!$B$3:$C$874,2,FALSE)</f>
        <v>3604590</v>
      </c>
      <c r="F7053" s="91">
        <f>COUNTIF($E$2:$E$7106,E7053)</f>
        <v>7</v>
      </c>
    </row>
    <row r="7054" spans="1:6" x14ac:dyDescent="0.2">
      <c r="A7054">
        <v>2017</v>
      </c>
      <c r="B7054" s="13">
        <v>4905</v>
      </c>
      <c r="C7054" s="90" t="str">
        <f>VLOOKUP(B7054,'All Districts'!$A$3:$B$874,2,FALSE)</f>
        <v>Berkshire</v>
      </c>
      <c r="D7054" s="16">
        <v>334021</v>
      </c>
      <c r="E7054">
        <f>VLOOKUP(C7054,'All Districts'!$B$3:$C$874,2,FALSE)</f>
        <v>3604590</v>
      </c>
      <c r="F7054" s="91">
        <f>COUNTIF($E$2:$E$7106,E7054)</f>
        <v>7</v>
      </c>
    </row>
    <row r="7055" spans="1:6" x14ac:dyDescent="0.2">
      <c r="A7055" s="10">
        <v>2018</v>
      </c>
      <c r="B7055" s="13">
        <v>4905</v>
      </c>
      <c r="C7055" s="90" t="str">
        <f>VLOOKUP(B7055,'All Districts'!$A$3:$B$874,2,FALSE)</f>
        <v>Berkshire</v>
      </c>
      <c r="D7055" s="15">
        <v>285765</v>
      </c>
      <c r="E7055">
        <f>VLOOKUP(C7055,'All Districts'!$B$3:$C$874,2,FALSE)</f>
        <v>3604590</v>
      </c>
      <c r="F7055" s="91">
        <f>COUNTIF($E$2:$E$7106,E7055)</f>
        <v>7</v>
      </c>
    </row>
    <row r="7056" spans="1:6" x14ac:dyDescent="0.2">
      <c r="A7056">
        <v>2019</v>
      </c>
      <c r="B7056" s="36">
        <v>4905</v>
      </c>
      <c r="C7056" s="90" t="str">
        <f>VLOOKUP(B7056,'All Districts'!$A$3:$B$874,2,FALSE)</f>
        <v>Berkshire</v>
      </c>
      <c r="D7056" s="40">
        <v>326445</v>
      </c>
      <c r="E7056">
        <f>VLOOKUP(C7056,'All Districts'!$B$3:$C$874,2,FALSE)</f>
        <v>3604590</v>
      </c>
      <c r="F7056" s="91">
        <f>COUNTIF($E$2:$E$7106,E7056)</f>
        <v>7</v>
      </c>
    </row>
    <row r="7057" spans="1:6" x14ac:dyDescent="0.2">
      <c r="A7057">
        <v>2020</v>
      </c>
      <c r="B7057" s="36">
        <v>4905</v>
      </c>
      <c r="C7057" s="90" t="str">
        <f>VLOOKUP(B7057,'All Districts'!$A$3:$B$874,2,FALSE)</f>
        <v>Berkshire</v>
      </c>
      <c r="D7057" s="40">
        <v>172413</v>
      </c>
      <c r="E7057">
        <f>VLOOKUP(C7057,'All Districts'!$B$3:$C$874,2,FALSE)</f>
        <v>3604590</v>
      </c>
      <c r="F7057" s="91">
        <f>COUNTIF($E$2:$E$7106,E7057)</f>
        <v>7</v>
      </c>
    </row>
    <row r="7058" spans="1:6" x14ac:dyDescent="0.2">
      <c r="A7058" s="10">
        <v>2021</v>
      </c>
      <c r="B7058" s="52">
        <v>4905</v>
      </c>
      <c r="C7058" s="90" t="str">
        <f>VLOOKUP(B7058,'All Districts'!$A$3:$B$874,2,FALSE)</f>
        <v>Berkshire</v>
      </c>
      <c r="D7058" s="76">
        <v>6111</v>
      </c>
      <c r="E7058">
        <f>VLOOKUP(C7058,'All Districts'!$B$3:$C$874,2,FALSE)</f>
        <v>3604590</v>
      </c>
      <c r="F7058" s="91">
        <f>COUNTIF($E$2:$E$7106,E7058)</f>
        <v>7</v>
      </c>
    </row>
    <row r="7059" spans="1:6" x14ac:dyDescent="0.2">
      <c r="A7059">
        <v>2017</v>
      </c>
      <c r="B7059" s="13">
        <v>8433</v>
      </c>
      <c r="C7059" s="90" t="str">
        <f>VLOOKUP(B7059,'All Districts'!$A$3:$B$874,2,FALSE)</f>
        <v>Exploration Elementary for Science and Technology</v>
      </c>
      <c r="D7059" s="16">
        <v>11890</v>
      </c>
      <c r="E7059">
        <f>VLOOKUP(C7059,'All Districts'!$B$3:$C$874,2,FALSE)</f>
        <v>3601168</v>
      </c>
      <c r="F7059" s="91">
        <f>COUNTIF($E$2:$E$7106,E7059)</f>
        <v>7</v>
      </c>
    </row>
    <row r="7060" spans="1:6" x14ac:dyDescent="0.2">
      <c r="A7060" s="10">
        <v>2018</v>
      </c>
      <c r="B7060" s="13">
        <v>8433</v>
      </c>
      <c r="C7060" s="90" t="str">
        <f>VLOOKUP(B7060,'All Districts'!$A$3:$B$874,2,FALSE)</f>
        <v>Exploration Elementary for Science and Technology</v>
      </c>
      <c r="D7060" s="15">
        <v>75239</v>
      </c>
      <c r="E7060">
        <f>VLOOKUP(C7060,'All Districts'!$B$3:$C$874,2,FALSE)</f>
        <v>3601168</v>
      </c>
      <c r="F7060" s="91">
        <f>COUNTIF($E$2:$E$7106,E7060)</f>
        <v>7</v>
      </c>
    </row>
    <row r="7061" spans="1:6" x14ac:dyDescent="0.2">
      <c r="A7061">
        <v>2019</v>
      </c>
      <c r="B7061" s="36">
        <v>8433</v>
      </c>
      <c r="C7061" s="90" t="str">
        <f>VLOOKUP(B7061,'All Districts'!$A$3:$B$874,2,FALSE)</f>
        <v>Exploration Elementary for Science and Technology</v>
      </c>
      <c r="D7061" s="40">
        <v>78931</v>
      </c>
      <c r="E7061">
        <f>VLOOKUP(C7061,'All Districts'!$B$3:$C$874,2,FALSE)</f>
        <v>3601168</v>
      </c>
      <c r="F7061" s="91">
        <f>COUNTIF($E$2:$E$7106,E7061)</f>
        <v>7</v>
      </c>
    </row>
    <row r="7062" spans="1:6" x14ac:dyDescent="0.2">
      <c r="A7062">
        <v>2020</v>
      </c>
      <c r="B7062" s="36">
        <v>8433</v>
      </c>
      <c r="C7062" s="90" t="str">
        <f>VLOOKUP(B7062,'All Districts'!$A$3:$B$874,2,FALSE)</f>
        <v>Exploration Elementary for Science and Technology</v>
      </c>
      <c r="D7062" s="40">
        <v>114596</v>
      </c>
      <c r="E7062">
        <f>VLOOKUP(C7062,'All Districts'!$B$3:$C$874,2,FALSE)</f>
        <v>3601168</v>
      </c>
      <c r="F7062" s="91">
        <f>COUNTIF($E$2:$E$7106,E7062)</f>
        <v>7</v>
      </c>
    </row>
    <row r="7063" spans="1:6" x14ac:dyDescent="0.2">
      <c r="A7063" s="10">
        <v>2021</v>
      </c>
      <c r="B7063" s="74">
        <v>8433</v>
      </c>
      <c r="C7063" s="90" t="str">
        <f>VLOOKUP(B7063,'All Districts'!$A$3:$B$874,2,FALSE)</f>
        <v>Exploration Elementary for Science and Technology</v>
      </c>
      <c r="D7063" s="81">
        <v>138838</v>
      </c>
      <c r="E7063">
        <f>VLOOKUP(C7063,'All Districts'!$B$3:$C$874,2,FALSE)</f>
        <v>3601168</v>
      </c>
      <c r="F7063" s="91">
        <f>COUNTIF($E$2:$E$7106,E7063)</f>
        <v>7</v>
      </c>
    </row>
    <row r="7064" spans="1:6" x14ac:dyDescent="0.2">
      <c r="A7064">
        <v>2022</v>
      </c>
      <c r="B7064" s="36">
        <v>8433</v>
      </c>
      <c r="C7064" s="90" t="str">
        <f>VLOOKUP(B7064,'All Districts'!$A$3:$B$874,2,FALSE)</f>
        <v>Exploration Elementary for Science and Technology</v>
      </c>
      <c r="D7064" s="82">
        <v>224508</v>
      </c>
      <c r="E7064">
        <f>VLOOKUP(C7064,'All Districts'!$B$3:$C$874,2,FALSE)</f>
        <v>3601168</v>
      </c>
      <c r="F7064" s="91">
        <f>COUNTIF($E$2:$E$7106,E7064)</f>
        <v>7</v>
      </c>
    </row>
    <row r="7065" spans="1:6" x14ac:dyDescent="0.2">
      <c r="A7065">
        <v>2023</v>
      </c>
      <c r="B7065" s="36">
        <v>8433</v>
      </c>
      <c r="C7065" s="90" t="str">
        <f>VLOOKUP(B7065,'All Districts'!$A$3:$B$874,2,FALSE)</f>
        <v>Exploration Elementary for Science and Technology</v>
      </c>
      <c r="D7065" s="40">
        <v>227055</v>
      </c>
      <c r="E7065">
        <f>VLOOKUP(C7065,'All Districts'!$B$3:$C$874,2,FALSE)</f>
        <v>3601168</v>
      </c>
      <c r="F7065" s="91">
        <f>COUNTIF($E$2:$E$7106,E7065)</f>
        <v>7</v>
      </c>
    </row>
    <row r="7066" spans="1:6" x14ac:dyDescent="0.2">
      <c r="A7066">
        <v>2017</v>
      </c>
      <c r="B7066" s="13">
        <v>8434</v>
      </c>
      <c r="C7066" s="90" t="str">
        <f>VLOOKUP(B7066,'All Districts'!$A$3:$B$874,2,FALSE)</f>
        <v>Reach Academy</v>
      </c>
      <c r="D7066" s="16">
        <v>9510</v>
      </c>
      <c r="E7066">
        <f>VLOOKUP(C7066,'All Districts'!$B$3:$C$874,2,FALSE)</f>
        <v>3601173</v>
      </c>
      <c r="F7066" s="91">
        <f>COUNTIF($E$2:$E$7106,E7066)</f>
        <v>7</v>
      </c>
    </row>
    <row r="7067" spans="1:6" x14ac:dyDescent="0.2">
      <c r="A7067" s="10">
        <v>2018</v>
      </c>
      <c r="B7067" s="13">
        <v>8434</v>
      </c>
      <c r="C7067" s="90" t="str">
        <f>VLOOKUP(B7067,'All Districts'!$A$3:$B$874,2,FALSE)</f>
        <v>Reach Academy</v>
      </c>
      <c r="D7067" s="15">
        <v>88103</v>
      </c>
      <c r="E7067">
        <f>VLOOKUP(C7067,'All Districts'!$B$3:$C$874,2,FALSE)</f>
        <v>3601173</v>
      </c>
      <c r="F7067" s="91">
        <f>COUNTIF($E$2:$E$7106,E7067)</f>
        <v>7</v>
      </c>
    </row>
    <row r="7068" spans="1:6" x14ac:dyDescent="0.2">
      <c r="A7068">
        <v>2019</v>
      </c>
      <c r="B7068" s="36">
        <v>8434</v>
      </c>
      <c r="C7068" s="90" t="str">
        <f>VLOOKUP(B7068,'All Districts'!$A$3:$B$874,2,FALSE)</f>
        <v>Reach Academy</v>
      </c>
      <c r="D7068" s="40">
        <v>165048</v>
      </c>
      <c r="E7068">
        <f>VLOOKUP(C7068,'All Districts'!$B$3:$C$874,2,FALSE)</f>
        <v>3601173</v>
      </c>
      <c r="F7068" s="91">
        <f>COUNTIF($E$2:$E$7106,E7068)</f>
        <v>7</v>
      </c>
    </row>
    <row r="7069" spans="1:6" x14ac:dyDescent="0.2">
      <c r="A7069">
        <v>2020</v>
      </c>
      <c r="B7069" s="36">
        <v>8434</v>
      </c>
      <c r="C7069" s="90" t="str">
        <f>VLOOKUP(B7069,'All Districts'!$A$3:$B$874,2,FALSE)</f>
        <v>Reach Academy</v>
      </c>
      <c r="D7069" s="40">
        <v>226404</v>
      </c>
      <c r="E7069">
        <f>VLOOKUP(C7069,'All Districts'!$B$3:$C$874,2,FALSE)</f>
        <v>3601173</v>
      </c>
      <c r="F7069" s="91">
        <f>COUNTIF($E$2:$E$7106,E7069)</f>
        <v>7</v>
      </c>
    </row>
    <row r="7070" spans="1:6" x14ac:dyDescent="0.2">
      <c r="A7070" s="10">
        <v>2021</v>
      </c>
      <c r="B7070" s="74">
        <v>8434</v>
      </c>
      <c r="C7070" s="90" t="str">
        <f>VLOOKUP(B7070,'All Districts'!$A$3:$B$874,2,FALSE)</f>
        <v>Reach Academy</v>
      </c>
      <c r="D7070" s="81">
        <v>314454</v>
      </c>
      <c r="E7070">
        <f>VLOOKUP(C7070,'All Districts'!$B$3:$C$874,2,FALSE)</f>
        <v>3601173</v>
      </c>
      <c r="F7070" s="91">
        <f>COUNTIF($E$2:$E$7106,E7070)</f>
        <v>7</v>
      </c>
    </row>
    <row r="7071" spans="1:6" x14ac:dyDescent="0.2">
      <c r="A7071">
        <v>2022</v>
      </c>
      <c r="B7071" s="36">
        <v>8434</v>
      </c>
      <c r="C7071" s="90" t="str">
        <f>VLOOKUP(B7071,'All Districts'!$A$3:$B$874,2,FALSE)</f>
        <v>Reach Academy</v>
      </c>
      <c r="D7071" s="82">
        <v>345811</v>
      </c>
      <c r="E7071">
        <f>VLOOKUP(C7071,'All Districts'!$B$3:$C$874,2,FALSE)</f>
        <v>3601173</v>
      </c>
      <c r="F7071" s="91">
        <f>COUNTIF($E$2:$E$7106,E7071)</f>
        <v>7</v>
      </c>
    </row>
    <row r="7072" spans="1:6" x14ac:dyDescent="0.2">
      <c r="A7072">
        <v>2023</v>
      </c>
      <c r="B7072" s="36">
        <v>8434</v>
      </c>
      <c r="C7072" s="90" t="str">
        <f>VLOOKUP(B7072,'All Districts'!$A$3:$B$874,2,FALSE)</f>
        <v>Reach Academy</v>
      </c>
      <c r="D7072" s="40">
        <v>508006</v>
      </c>
      <c r="E7072">
        <f>VLOOKUP(C7072,'All Districts'!$B$3:$C$874,2,FALSE)</f>
        <v>3601173</v>
      </c>
      <c r="F7072" s="91">
        <f>COUNTIF($E$2:$E$7106,E7072)</f>
        <v>7</v>
      </c>
    </row>
    <row r="7073" spans="1:6" x14ac:dyDescent="0.2">
      <c r="A7073" s="10">
        <v>2018</v>
      </c>
      <c r="B7073" s="13">
        <v>8436</v>
      </c>
      <c r="C7073" s="90" t="str">
        <f>VLOOKUP(B7073,'All Districts'!$A$3:$B$874,2,FALSE)</f>
        <v>Elmwood Village Charter-Hertel</v>
      </c>
      <c r="D7073" s="15">
        <v>313019</v>
      </c>
      <c r="E7073">
        <f>VLOOKUP(C7073,'All Districts'!$B$3:$C$874,2,FALSE)</f>
        <v>3600160</v>
      </c>
      <c r="F7073" s="91">
        <f>COUNTIF($E$2:$E$7106,E7073)</f>
        <v>6</v>
      </c>
    </row>
    <row r="7074" spans="1:6" x14ac:dyDescent="0.2">
      <c r="A7074">
        <v>2019</v>
      </c>
      <c r="B7074" s="36">
        <v>8436</v>
      </c>
      <c r="C7074" s="90" t="str">
        <f>VLOOKUP(B7074,'All Districts'!$A$3:$B$874,2,FALSE)</f>
        <v>Elmwood Village Charter-Hertel</v>
      </c>
      <c r="D7074" s="40">
        <v>454672</v>
      </c>
      <c r="E7074">
        <f>VLOOKUP(C7074,'All Districts'!$B$3:$C$874,2,FALSE)</f>
        <v>3600160</v>
      </c>
      <c r="F7074" s="91">
        <f>COUNTIF($E$2:$E$7106,E7074)</f>
        <v>6</v>
      </c>
    </row>
    <row r="7075" spans="1:6" x14ac:dyDescent="0.2">
      <c r="A7075">
        <v>2020</v>
      </c>
      <c r="B7075" s="36">
        <v>8436</v>
      </c>
      <c r="C7075" s="90" t="str">
        <f>VLOOKUP(B7075,'All Districts'!$A$3:$B$874,2,FALSE)</f>
        <v>Elmwood Village Charter-Hertel</v>
      </c>
      <c r="D7075" s="40">
        <v>428176</v>
      </c>
      <c r="E7075">
        <f>VLOOKUP(C7075,'All Districts'!$B$3:$C$874,2,FALSE)</f>
        <v>3600160</v>
      </c>
      <c r="F7075" s="91">
        <f>COUNTIF($E$2:$E$7106,E7075)</f>
        <v>6</v>
      </c>
    </row>
    <row r="7076" spans="1:6" x14ac:dyDescent="0.2">
      <c r="A7076" s="10">
        <v>2021</v>
      </c>
      <c r="B7076" s="74">
        <v>8436</v>
      </c>
      <c r="C7076" s="90" t="str">
        <f>VLOOKUP(B7076,'All Districts'!$A$3:$B$874,2,FALSE)</f>
        <v>Elmwood Village Charter-Hertel</v>
      </c>
      <c r="D7076" s="81">
        <v>511738</v>
      </c>
      <c r="E7076">
        <f>VLOOKUP(C7076,'All Districts'!$B$3:$C$874,2,FALSE)</f>
        <v>3600160</v>
      </c>
      <c r="F7076" s="91">
        <f>COUNTIF($E$2:$E$7106,E7076)</f>
        <v>6</v>
      </c>
    </row>
    <row r="7077" spans="1:6" x14ac:dyDescent="0.2">
      <c r="A7077">
        <v>2022</v>
      </c>
      <c r="B7077" s="36">
        <v>8436</v>
      </c>
      <c r="C7077" s="90" t="str">
        <f>VLOOKUP(B7077,'All Districts'!$A$3:$B$874,2,FALSE)</f>
        <v>Elmwood Village Charter-Hertel</v>
      </c>
      <c r="D7077" s="82">
        <v>586811</v>
      </c>
      <c r="E7077">
        <f>VLOOKUP(C7077,'All Districts'!$B$3:$C$874,2,FALSE)</f>
        <v>3600160</v>
      </c>
      <c r="F7077" s="91">
        <f>COUNTIF($E$2:$E$7106,E7077)</f>
        <v>6</v>
      </c>
    </row>
    <row r="7078" spans="1:6" x14ac:dyDescent="0.2">
      <c r="A7078">
        <v>2023</v>
      </c>
      <c r="B7078" s="36">
        <v>8436</v>
      </c>
      <c r="C7078" s="90" t="str">
        <f>VLOOKUP(B7078,'All Districts'!$A$3:$B$874,2,FALSE)</f>
        <v>Elmwood Village Charter-Hertel</v>
      </c>
      <c r="D7078" s="40">
        <v>626638</v>
      </c>
      <c r="E7078">
        <f>VLOOKUP(C7078,'All Districts'!$B$3:$C$874,2,FALSE)</f>
        <v>3600160</v>
      </c>
      <c r="F7078" s="91">
        <f>COUNTIF($E$2:$E$7106,E7078)</f>
        <v>6</v>
      </c>
    </row>
    <row r="7079" spans="1:6" x14ac:dyDescent="0.2">
      <c r="A7079" s="10">
        <v>2018</v>
      </c>
      <c r="B7079" s="13">
        <v>8435</v>
      </c>
      <c r="C7079" s="90" t="str">
        <f>VLOOKUP(B7079,'All Districts'!$A$3:$B$874,2,FALSE)</f>
        <v>Syracuse Academy of Science and Citizenship</v>
      </c>
      <c r="D7079" s="15">
        <v>86728</v>
      </c>
      <c r="E7079">
        <f>VLOOKUP(C7079,'All Districts'!$B$3:$C$874,2,FALSE)</f>
        <v>3601181</v>
      </c>
      <c r="F7079" s="91">
        <f>COUNTIF($E$2:$E$7106,E7079)</f>
        <v>6</v>
      </c>
    </row>
    <row r="7080" spans="1:6" x14ac:dyDescent="0.2">
      <c r="A7080">
        <v>2019</v>
      </c>
      <c r="B7080" s="36">
        <v>8435</v>
      </c>
      <c r="C7080" s="90" t="str">
        <f>VLOOKUP(B7080,'All Districts'!$A$3:$B$874,2,FALSE)</f>
        <v>Syracuse Academy of Science and Citizenship</v>
      </c>
      <c r="D7080" s="40">
        <v>125786</v>
      </c>
      <c r="E7080">
        <f>VLOOKUP(C7080,'All Districts'!$B$3:$C$874,2,FALSE)</f>
        <v>3601181</v>
      </c>
      <c r="F7080" s="91">
        <f>COUNTIF($E$2:$E$7106,E7080)</f>
        <v>6</v>
      </c>
    </row>
    <row r="7081" spans="1:6" x14ac:dyDescent="0.2">
      <c r="A7081">
        <v>2020</v>
      </c>
      <c r="B7081" s="36">
        <v>8435</v>
      </c>
      <c r="C7081" s="90" t="str">
        <f>VLOOKUP(B7081,'All Districts'!$A$3:$B$874,2,FALSE)</f>
        <v>Syracuse Academy of Science and Citizenship</v>
      </c>
      <c r="D7081" s="40">
        <v>155018</v>
      </c>
      <c r="E7081">
        <f>VLOOKUP(C7081,'All Districts'!$B$3:$C$874,2,FALSE)</f>
        <v>3601181</v>
      </c>
      <c r="F7081" s="91">
        <f>COUNTIF($E$2:$E$7106,E7081)</f>
        <v>6</v>
      </c>
    </row>
    <row r="7082" spans="1:6" x14ac:dyDescent="0.2">
      <c r="A7082" s="10">
        <v>2021</v>
      </c>
      <c r="B7082" s="74">
        <v>8435</v>
      </c>
      <c r="C7082" s="90" t="str">
        <f>VLOOKUP(B7082,'All Districts'!$A$3:$B$874,2,FALSE)</f>
        <v>Syracuse Academy of Science and Citizenship</v>
      </c>
      <c r="D7082" s="81">
        <v>165145</v>
      </c>
      <c r="E7082">
        <f>VLOOKUP(C7082,'All Districts'!$B$3:$C$874,2,FALSE)</f>
        <v>3601181</v>
      </c>
      <c r="F7082" s="91">
        <f>COUNTIF($E$2:$E$7106,E7082)</f>
        <v>6</v>
      </c>
    </row>
    <row r="7083" spans="1:6" x14ac:dyDescent="0.2">
      <c r="A7083">
        <v>2022</v>
      </c>
      <c r="B7083" s="36">
        <v>8435</v>
      </c>
      <c r="C7083" s="90" t="str">
        <f>VLOOKUP(B7083,'All Districts'!$A$3:$B$874,2,FALSE)</f>
        <v>Syracuse Academy of Science and Citizenship</v>
      </c>
      <c r="D7083" s="82">
        <v>292396</v>
      </c>
      <c r="E7083">
        <f>VLOOKUP(C7083,'All Districts'!$B$3:$C$874,2,FALSE)</f>
        <v>3601181</v>
      </c>
      <c r="F7083" s="91">
        <f>COUNTIF($E$2:$E$7106,E7083)</f>
        <v>6</v>
      </c>
    </row>
    <row r="7084" spans="1:6" x14ac:dyDescent="0.2">
      <c r="A7084">
        <v>2023</v>
      </c>
      <c r="B7084" s="36">
        <v>8435</v>
      </c>
      <c r="C7084" s="90" t="str">
        <f>VLOOKUP(B7084,'All Districts'!$A$3:$B$874,2,FALSE)</f>
        <v>Syracuse Academy of Science and Citizenship</v>
      </c>
      <c r="D7084" s="40">
        <v>403402</v>
      </c>
      <c r="E7084">
        <f>VLOOKUP(C7084,'All Districts'!$B$3:$C$874,2,FALSE)</f>
        <v>3601181</v>
      </c>
      <c r="F7084" s="91">
        <f>COUNTIF($E$2:$E$7106,E7084)</f>
        <v>6</v>
      </c>
    </row>
    <row r="7085" spans="1:6" x14ac:dyDescent="0.2">
      <c r="A7085">
        <v>2015</v>
      </c>
      <c r="B7085" s="13">
        <v>8426</v>
      </c>
      <c r="C7085" s="90" t="str">
        <f>VLOOKUP(B7085,'All Districts'!$A$3:$B$874,2,FALSE)</f>
        <v>Aloma D. Johnson Fruit Belt Community</v>
      </c>
      <c r="D7085" s="16">
        <v>225494</v>
      </c>
      <c r="E7085">
        <f>VLOOKUP(C7085,'All Districts'!$B$3:$C$874,2,FALSE)</f>
        <v>3600970</v>
      </c>
      <c r="F7085" s="91">
        <f>COUNTIF($E$2:$E$7106,E7085)</f>
        <v>5</v>
      </c>
    </row>
    <row r="7086" spans="1:6" x14ac:dyDescent="0.2">
      <c r="A7086">
        <v>2016</v>
      </c>
      <c r="B7086" s="13">
        <v>8426</v>
      </c>
      <c r="C7086" s="90" t="str">
        <f>VLOOKUP(B7086,'All Districts'!$A$3:$B$874,2,FALSE)</f>
        <v>Aloma D. Johnson Fruit Belt Community</v>
      </c>
      <c r="D7086" s="16">
        <v>191810</v>
      </c>
      <c r="E7086">
        <f>VLOOKUP(C7086,'All Districts'!$B$3:$C$874,2,FALSE)</f>
        <v>3600970</v>
      </c>
      <c r="F7086" s="91">
        <f>COUNTIF($E$2:$E$7106,E7086)</f>
        <v>5</v>
      </c>
    </row>
    <row r="7087" spans="1:6" x14ac:dyDescent="0.2">
      <c r="A7087">
        <v>2017</v>
      </c>
      <c r="B7087" s="13">
        <v>8426</v>
      </c>
      <c r="C7087" s="90" t="str">
        <f>VLOOKUP(B7087,'All Districts'!$A$3:$B$874,2,FALSE)</f>
        <v>Aloma D. Johnson Fruit Belt Community</v>
      </c>
      <c r="D7087" s="16">
        <v>166348</v>
      </c>
      <c r="E7087">
        <f>VLOOKUP(C7087,'All Districts'!$B$3:$C$874,2,FALSE)</f>
        <v>3600970</v>
      </c>
      <c r="F7087" s="91">
        <f>COUNTIF($E$2:$E$7106,E7087)</f>
        <v>5</v>
      </c>
    </row>
    <row r="7088" spans="1:6" x14ac:dyDescent="0.2">
      <c r="A7088" s="10">
        <v>2018</v>
      </c>
      <c r="B7088" s="13">
        <v>8426</v>
      </c>
      <c r="C7088" s="90" t="str">
        <f>VLOOKUP(B7088,'All Districts'!$A$3:$B$874,2,FALSE)</f>
        <v>Aloma D. Johnson Fruit Belt Community</v>
      </c>
      <c r="D7088" s="15">
        <v>158231</v>
      </c>
      <c r="E7088">
        <f>VLOOKUP(C7088,'All Districts'!$B$3:$C$874,2,FALSE)</f>
        <v>3600970</v>
      </c>
      <c r="F7088" s="91">
        <f>COUNTIF($E$2:$E$7106,E7088)</f>
        <v>5</v>
      </c>
    </row>
    <row r="7089" spans="1:6" x14ac:dyDescent="0.2">
      <c r="A7089">
        <v>2019</v>
      </c>
      <c r="B7089" s="36">
        <v>8426</v>
      </c>
      <c r="C7089" s="90" t="str">
        <f>VLOOKUP(B7089,'All Districts'!$A$3:$B$874,2,FALSE)</f>
        <v>Aloma D. Johnson Fruit Belt Community</v>
      </c>
      <c r="D7089" s="40">
        <v>124702</v>
      </c>
      <c r="E7089">
        <f>VLOOKUP(C7089,'All Districts'!$B$3:$C$874,2,FALSE)</f>
        <v>3600970</v>
      </c>
      <c r="F7089" s="91">
        <f>COUNTIF($E$2:$E$7106,E7089)</f>
        <v>5</v>
      </c>
    </row>
    <row r="7090" spans="1:6" x14ac:dyDescent="0.2">
      <c r="A7090">
        <v>2020</v>
      </c>
      <c r="B7090" s="36">
        <v>3473</v>
      </c>
      <c r="C7090" s="90" t="str">
        <f>VLOOKUP(B7090,'All Districts'!$A$3:$B$874,2,FALSE)</f>
        <v>Boquet Valley</v>
      </c>
      <c r="D7090" s="40">
        <v>391360</v>
      </c>
      <c r="E7090">
        <f>VLOOKUP(C7090,'All Districts'!$B$3:$C$874,2,FALSE)</f>
        <v>3601189</v>
      </c>
      <c r="F7090" s="91">
        <f>COUNTIF($E$2:$E$7106,E7090)</f>
        <v>4</v>
      </c>
    </row>
    <row r="7091" spans="1:6" x14ac:dyDescent="0.2">
      <c r="A7091" s="10">
        <v>2021</v>
      </c>
      <c r="B7091" s="55">
        <v>3473</v>
      </c>
      <c r="C7091" s="90" t="str">
        <f>VLOOKUP(B7091,'All Districts'!$A$3:$B$874,2,FALSE)</f>
        <v>Boquet Valley</v>
      </c>
      <c r="D7091" s="76">
        <v>439338</v>
      </c>
      <c r="E7091">
        <f>VLOOKUP(C7091,'All Districts'!$B$3:$C$874,2,FALSE)</f>
        <v>3601189</v>
      </c>
      <c r="F7091" s="91">
        <f>COUNTIF($E$2:$E$7106,E7091)</f>
        <v>4</v>
      </c>
    </row>
    <row r="7092" spans="1:6" x14ac:dyDescent="0.2">
      <c r="A7092">
        <v>2022</v>
      </c>
      <c r="B7092" s="36">
        <v>3473</v>
      </c>
      <c r="C7092" s="90" t="str">
        <f>VLOOKUP(B7092,'All Districts'!$A$3:$B$874,2,FALSE)</f>
        <v>Boquet Valley</v>
      </c>
      <c r="D7092" s="82">
        <v>469727</v>
      </c>
      <c r="E7092">
        <f>VLOOKUP(C7092,'All Districts'!$B$3:$C$874,2,FALSE)</f>
        <v>3601189</v>
      </c>
      <c r="F7092" s="91">
        <f>COUNTIF($E$2:$E$7106,E7092)</f>
        <v>4</v>
      </c>
    </row>
    <row r="7093" spans="1:6" x14ac:dyDescent="0.2">
      <c r="A7093">
        <v>2023</v>
      </c>
      <c r="B7093" s="36">
        <v>3473</v>
      </c>
      <c r="C7093" s="90" t="str">
        <f>VLOOKUP(B7093,'All Districts'!$A$3:$B$874,2,FALSE)</f>
        <v>Boquet Valley</v>
      </c>
      <c r="D7093" s="40">
        <v>499575</v>
      </c>
      <c r="E7093">
        <f>VLOOKUP(C7093,'All Districts'!$B$3:$C$874,2,FALSE)</f>
        <v>3601189</v>
      </c>
      <c r="F7093" s="91">
        <f>COUNTIF($E$2:$E$7106,E7093)</f>
        <v>4</v>
      </c>
    </row>
    <row r="7094" spans="1:6" x14ac:dyDescent="0.2">
      <c r="A7094">
        <v>2020</v>
      </c>
      <c r="B7094" s="36">
        <v>8437</v>
      </c>
      <c r="C7094" s="90" t="str">
        <f>VLOOKUP(B7094,'All Districts'!$A$3:$B$874,2,FALSE)</f>
        <v>Finn Academy</v>
      </c>
      <c r="D7094" s="40">
        <v>181360</v>
      </c>
      <c r="E7094">
        <f>VLOOKUP(C7094,'All Districts'!$B$3:$C$874,2,FALSE)</f>
        <v>3601128</v>
      </c>
      <c r="F7094" s="91">
        <f>COUNTIF($E$2:$E$7106,E7094)</f>
        <v>4</v>
      </c>
    </row>
    <row r="7095" spans="1:6" x14ac:dyDescent="0.2">
      <c r="A7095" s="10">
        <v>2021</v>
      </c>
      <c r="B7095" s="74">
        <v>8437</v>
      </c>
      <c r="C7095" s="90" t="str">
        <f>VLOOKUP(B7095,'All Districts'!$A$3:$B$874,2,FALSE)</f>
        <v>Finn Academy</v>
      </c>
      <c r="D7095" s="81">
        <v>212239</v>
      </c>
      <c r="E7095">
        <f>VLOOKUP(C7095,'All Districts'!$B$3:$C$874,2,FALSE)</f>
        <v>3601128</v>
      </c>
      <c r="F7095" s="91">
        <f>COUNTIF($E$2:$E$7106,E7095)</f>
        <v>4</v>
      </c>
    </row>
    <row r="7096" spans="1:6" x14ac:dyDescent="0.2">
      <c r="A7096">
        <v>2022</v>
      </c>
      <c r="B7096" s="36">
        <v>8437</v>
      </c>
      <c r="C7096" s="90" t="str">
        <f>VLOOKUP(B7096,'All Districts'!$A$3:$B$874,2,FALSE)</f>
        <v>Finn Academy</v>
      </c>
      <c r="D7096" s="82">
        <v>218441</v>
      </c>
      <c r="E7096">
        <f>VLOOKUP(C7096,'All Districts'!$B$3:$C$874,2,FALSE)</f>
        <v>3601128</v>
      </c>
      <c r="F7096" s="91">
        <f>COUNTIF($E$2:$E$7106,E7096)</f>
        <v>4</v>
      </c>
    </row>
    <row r="7097" spans="1:6" x14ac:dyDescent="0.2">
      <c r="A7097">
        <v>2023</v>
      </c>
      <c r="B7097" s="36">
        <v>8437</v>
      </c>
      <c r="C7097" s="90" t="str">
        <f>VLOOKUP(B7097,'All Districts'!$A$3:$B$874,2,FALSE)</f>
        <v>Finn Academy</v>
      </c>
      <c r="D7097" s="40">
        <v>241644</v>
      </c>
      <c r="E7097">
        <f>VLOOKUP(C7097,'All Districts'!$B$3:$C$874,2,FALSE)</f>
        <v>3601128</v>
      </c>
      <c r="F7097" s="91">
        <f>COUNTIF($E$2:$E$7106,E7097)</f>
        <v>4</v>
      </c>
    </row>
    <row r="7098" spans="1:6" x14ac:dyDescent="0.2">
      <c r="A7098">
        <v>2022</v>
      </c>
      <c r="B7098" s="36">
        <v>8438</v>
      </c>
      <c r="C7098" s="90" t="str">
        <f>VLOOKUP(B7098,'All Districts'!$A$3:$B$874,2,FALSE)</f>
        <v>Buffalo Creek Academy</v>
      </c>
      <c r="D7098" s="82">
        <v>29338</v>
      </c>
      <c r="E7098">
        <f>VLOOKUP(C7098,'All Districts'!$B$3:$C$874,2,FALSE)</f>
        <v>3601215</v>
      </c>
      <c r="F7098" s="91">
        <f>COUNTIF($E$2:$E$7106,E7098)</f>
        <v>2</v>
      </c>
    </row>
    <row r="7099" spans="1:6" x14ac:dyDescent="0.2">
      <c r="A7099">
        <v>2023</v>
      </c>
      <c r="B7099" s="36">
        <v>8438</v>
      </c>
      <c r="C7099" s="90" t="str">
        <f>VLOOKUP(B7099,'All Districts'!$A$3:$B$874,2,FALSE)</f>
        <v>Buffalo Creek Academy</v>
      </c>
      <c r="D7099" s="40">
        <v>26660</v>
      </c>
      <c r="E7099">
        <f>VLOOKUP(C7099,'All Districts'!$B$3:$C$874,2,FALSE)</f>
        <v>3601215</v>
      </c>
      <c r="F7099" s="91">
        <f>COUNTIF($E$2:$E$7106,E7099)</f>
        <v>2</v>
      </c>
    </row>
    <row r="7100" spans="1:6" x14ac:dyDescent="0.2">
      <c r="A7100">
        <v>2015</v>
      </c>
      <c r="B7100" s="13">
        <v>4001</v>
      </c>
      <c r="C7100" s="90" t="str">
        <f>VLOOKUP(B7100,'All Districts'!$A$3:$B$874,2,FALSE)</f>
        <v>Piseco</v>
      </c>
      <c r="D7100" s="14">
        <v>3111</v>
      </c>
      <c r="E7100">
        <f>VLOOKUP(C7100,'All Districts'!$B$3:$C$874,2,FALSE)</f>
        <v>3623130</v>
      </c>
      <c r="F7100" s="91">
        <f>COUNTIF($E$2:$E$7106,E7100)</f>
        <v>2</v>
      </c>
    </row>
    <row r="7101" spans="1:6" x14ac:dyDescent="0.2">
      <c r="A7101">
        <v>2016</v>
      </c>
      <c r="B7101" s="13">
        <v>4001</v>
      </c>
      <c r="C7101" s="90" t="str">
        <f>VLOOKUP(B7101,'All Districts'!$A$3:$B$874,2,FALSE)</f>
        <v>Piseco</v>
      </c>
      <c r="D7101" s="16">
        <v>553</v>
      </c>
      <c r="E7101">
        <f>VLOOKUP(C7101,'All Districts'!$B$3:$C$874,2,FALSE)</f>
        <v>3623130</v>
      </c>
      <c r="F7101" s="91">
        <f>COUNTIF($E$2:$E$7106,E7101)</f>
        <v>2</v>
      </c>
    </row>
    <row r="7102" spans="1:6" x14ac:dyDescent="0.2">
      <c r="A7102">
        <v>2023</v>
      </c>
      <c r="B7102" s="36">
        <v>8441</v>
      </c>
      <c r="C7102" s="90" t="str">
        <f>VLOOKUP(B7102,'All Districts'!$A$3:$B$874,2,FALSE)</f>
        <v>Charter School of Inquiry</v>
      </c>
      <c r="D7102" s="40">
        <v>209652</v>
      </c>
      <c r="E7102">
        <f>VLOOKUP(C7102,'All Districts'!$B$3:$C$874,2,FALSE)</f>
        <v>3601135</v>
      </c>
      <c r="F7102" s="91">
        <f>COUNTIF($E$2:$E$7106,E7102)</f>
        <v>1</v>
      </c>
    </row>
    <row r="7103" spans="1:6" x14ac:dyDescent="0.2">
      <c r="A7103">
        <v>2023</v>
      </c>
      <c r="B7103" s="36">
        <v>8443</v>
      </c>
      <c r="C7103" s="90" t="str">
        <f>VLOOKUP(B7103,'All Districts'!$A$3:$B$874,2,FALSE)</f>
        <v xml:space="preserve">Genesee Community Charter School – Flour City </v>
      </c>
      <c r="D7103" s="40">
        <v>75255</v>
      </c>
      <c r="E7103">
        <f>VLOOKUP(C7103,'All Districts'!$B$3:$C$874,2,FALSE)</f>
        <v>3600029</v>
      </c>
      <c r="F7103" s="91">
        <f>COUNTIF($E$2:$E$7106,E7103)</f>
        <v>1</v>
      </c>
    </row>
    <row r="7104" spans="1:6" x14ac:dyDescent="0.2">
      <c r="A7104">
        <v>2023</v>
      </c>
      <c r="B7104" s="36">
        <v>8440</v>
      </c>
      <c r="C7104" s="90" t="str">
        <f>VLOOKUP(B7104,'All Districts'!$A$3:$B$874,2,FALSE)</f>
        <v>Persistence Preparatory Academy</v>
      </c>
      <c r="D7104" s="40">
        <v>186262</v>
      </c>
      <c r="E7104">
        <f>VLOOKUP(C7104,'All Districts'!$B$3:$C$874,2,FALSE)</f>
        <v>3601172</v>
      </c>
      <c r="F7104" s="91">
        <f>COUNTIF($E$2:$E$7106,E7104)</f>
        <v>1</v>
      </c>
    </row>
    <row r="7105" spans="1:6" x14ac:dyDescent="0.2">
      <c r="A7105">
        <v>2016</v>
      </c>
      <c r="B7105" s="13">
        <v>3857</v>
      </c>
      <c r="C7105" s="90" t="str">
        <f>VLOOKUP(B7105,'All Districts'!$A$3:$B$874,2,FALSE)</f>
        <v>Raquette Lake</v>
      </c>
      <c r="D7105" s="16">
        <v>1591</v>
      </c>
      <c r="E7105">
        <f>VLOOKUP(C7105,'All Districts'!$B$3:$C$874,2,FALSE)</f>
        <v>3624120</v>
      </c>
      <c r="F7105" s="91">
        <f>COUNTIF($E$2:$E$7106,E7105)</f>
        <v>1</v>
      </c>
    </row>
    <row r="7106" spans="1:6" x14ac:dyDescent="0.2">
      <c r="A7106">
        <v>2023</v>
      </c>
      <c r="B7106" s="36">
        <v>8439</v>
      </c>
      <c r="C7106" s="90" t="str">
        <f>VLOOKUP(B7106,'All Districts'!$A$3:$B$874,2,FALSE)</f>
        <v>University Preparatory Charter School for Young Men (Uprep)</v>
      </c>
      <c r="D7106" s="40">
        <v>378331</v>
      </c>
      <c r="E7106">
        <f>VLOOKUP(C7106,'All Districts'!$B$3:$C$874,2,FALSE)</f>
        <v>3600963</v>
      </c>
      <c r="F7106" s="91">
        <f>COUNTIF($E$2:$E$7106,E7106)</f>
        <v>1</v>
      </c>
    </row>
  </sheetData>
  <autoFilter ref="A1:F7106" xr:uid="{A9F682BB-533A-9141-890A-FF3BF87914CE}">
    <sortState xmlns:xlrd2="http://schemas.microsoft.com/office/spreadsheetml/2017/richdata2" ref="A2:F7106">
      <sortCondition descending="1" ref="F1:F71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34FB-DB8D-4543-9366-9F40DF640626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70D2-0693-C149-B315-673A658F9B5D}">
  <sheetPr>
    <tabColor rgb="FFFFFF00"/>
  </sheetPr>
  <dimension ref="A1:D796"/>
  <sheetViews>
    <sheetView workbookViewId="0">
      <selection sqref="A1:C1048576"/>
    </sheetView>
  </sheetViews>
  <sheetFormatPr baseColWidth="10" defaultRowHeight="16" x14ac:dyDescent="0.2"/>
  <cols>
    <col min="2" max="2" width="16" style="10" bestFit="1" customWidth="1"/>
    <col min="3" max="3" width="18.83203125" style="11" bestFit="1" customWidth="1"/>
    <col min="4" max="4" width="11.33203125" bestFit="1" customWidth="1"/>
  </cols>
  <sheetData>
    <row r="1" spans="1:4" x14ac:dyDescent="0.2">
      <c r="A1" t="s">
        <v>5</v>
      </c>
      <c r="B1" s="10" t="s">
        <v>0</v>
      </c>
      <c r="C1" s="11" t="s">
        <v>1</v>
      </c>
    </row>
    <row r="2" spans="1:4" x14ac:dyDescent="0.2">
      <c r="A2">
        <v>2015</v>
      </c>
      <c r="B2" s="13">
        <v>1005</v>
      </c>
      <c r="C2" s="14">
        <v>12755224</v>
      </c>
      <c r="D2" s="1"/>
    </row>
    <row r="3" spans="1:4" x14ac:dyDescent="0.2">
      <c r="A3">
        <v>2015</v>
      </c>
      <c r="B3" s="13">
        <v>1010</v>
      </c>
      <c r="C3" s="14">
        <v>4107536</v>
      </c>
      <c r="D3" s="1"/>
    </row>
    <row r="4" spans="1:4" x14ac:dyDescent="0.2">
      <c r="A4">
        <v>2015</v>
      </c>
      <c r="B4" s="13">
        <v>1015</v>
      </c>
      <c r="C4" s="14">
        <v>4612784</v>
      </c>
      <c r="D4" s="1"/>
    </row>
    <row r="5" spans="1:4" x14ac:dyDescent="0.2">
      <c r="A5">
        <v>2015</v>
      </c>
      <c r="B5" s="13">
        <v>1020</v>
      </c>
      <c r="C5" s="14">
        <v>2741539</v>
      </c>
      <c r="D5" s="1"/>
    </row>
    <row r="6" spans="1:4" x14ac:dyDescent="0.2">
      <c r="A6">
        <v>2015</v>
      </c>
      <c r="B6" s="13">
        <v>1025</v>
      </c>
      <c r="C6" s="14">
        <v>4178070</v>
      </c>
      <c r="D6" s="1"/>
    </row>
    <row r="7" spans="1:4" x14ac:dyDescent="0.2">
      <c r="A7">
        <v>2015</v>
      </c>
      <c r="B7" s="13">
        <v>1030</v>
      </c>
      <c r="C7" s="14">
        <v>6523188</v>
      </c>
      <c r="D7" s="1"/>
    </row>
    <row r="8" spans="1:4" x14ac:dyDescent="0.2">
      <c r="A8">
        <v>2015</v>
      </c>
      <c r="B8" s="13">
        <v>1035</v>
      </c>
      <c r="C8" s="14">
        <v>43929028</v>
      </c>
      <c r="D8" s="1"/>
    </row>
    <row r="9" spans="1:4" x14ac:dyDescent="0.2">
      <c r="A9">
        <v>2015</v>
      </c>
      <c r="B9" s="13">
        <v>1040</v>
      </c>
      <c r="C9" s="14">
        <v>4221331</v>
      </c>
      <c r="D9" s="1"/>
    </row>
    <row r="10" spans="1:4" x14ac:dyDescent="0.2">
      <c r="A10">
        <v>2015</v>
      </c>
      <c r="B10" s="13">
        <v>1045</v>
      </c>
      <c r="C10" s="14">
        <v>2379542</v>
      </c>
      <c r="D10" s="1"/>
    </row>
    <row r="11" spans="1:4" x14ac:dyDescent="0.2">
      <c r="A11">
        <v>2015</v>
      </c>
      <c r="B11" s="13">
        <v>1050</v>
      </c>
      <c r="C11" s="14">
        <v>6193738</v>
      </c>
      <c r="D11" s="1"/>
    </row>
    <row r="12" spans="1:4" x14ac:dyDescent="0.2">
      <c r="A12">
        <v>2015</v>
      </c>
      <c r="B12" s="13">
        <v>1055</v>
      </c>
      <c r="C12" s="14">
        <v>2913063</v>
      </c>
      <c r="D12" s="1"/>
    </row>
    <row r="13" spans="1:4" x14ac:dyDescent="0.2">
      <c r="A13">
        <v>2015</v>
      </c>
      <c r="B13" s="13">
        <v>1060</v>
      </c>
      <c r="C13" s="14">
        <v>2826746</v>
      </c>
      <c r="D13" s="1"/>
    </row>
    <row r="14" spans="1:4" x14ac:dyDescent="0.2">
      <c r="A14">
        <v>2015</v>
      </c>
      <c r="B14" s="13">
        <v>1065</v>
      </c>
      <c r="C14" s="14">
        <v>5974257</v>
      </c>
      <c r="D14" s="1"/>
    </row>
    <row r="15" spans="1:4" x14ac:dyDescent="0.2">
      <c r="A15">
        <v>2015</v>
      </c>
      <c r="B15" s="13">
        <v>1070</v>
      </c>
      <c r="C15" s="14">
        <v>4360419</v>
      </c>
      <c r="D15" s="1"/>
    </row>
    <row r="16" spans="1:4" x14ac:dyDescent="0.2">
      <c r="A16">
        <v>2015</v>
      </c>
      <c r="B16" s="13">
        <v>1075</v>
      </c>
      <c r="C16" s="14">
        <v>2799221</v>
      </c>
      <c r="D16" s="1"/>
    </row>
    <row r="17" spans="1:4" x14ac:dyDescent="0.2">
      <c r="A17">
        <v>2015</v>
      </c>
      <c r="B17" s="13">
        <v>1080</v>
      </c>
      <c r="C17" s="14">
        <v>5755971</v>
      </c>
      <c r="D17" s="1"/>
    </row>
    <row r="18" spans="1:4" x14ac:dyDescent="0.2">
      <c r="A18">
        <v>2015</v>
      </c>
      <c r="B18" s="13">
        <v>1085</v>
      </c>
      <c r="C18" s="14">
        <v>2383482</v>
      </c>
      <c r="D18" s="1"/>
    </row>
    <row r="19" spans="1:4" x14ac:dyDescent="0.2">
      <c r="A19">
        <v>2015</v>
      </c>
      <c r="B19" s="13">
        <v>1090</v>
      </c>
      <c r="C19" s="14">
        <v>3395428</v>
      </c>
      <c r="D19" s="1"/>
    </row>
    <row r="20" spans="1:4" x14ac:dyDescent="0.2">
      <c r="A20">
        <v>2015</v>
      </c>
      <c r="B20" s="13">
        <v>1095</v>
      </c>
      <c r="C20" s="14">
        <v>1704643</v>
      </c>
      <c r="D20" s="1"/>
    </row>
    <row r="21" spans="1:4" x14ac:dyDescent="0.2">
      <c r="A21">
        <v>2015</v>
      </c>
      <c r="B21" s="13">
        <v>1100</v>
      </c>
      <c r="C21" s="14">
        <v>2492146</v>
      </c>
      <c r="D21" s="1"/>
    </row>
    <row r="22" spans="1:4" x14ac:dyDescent="0.2">
      <c r="A22">
        <v>2015</v>
      </c>
      <c r="B22" s="13">
        <v>1105</v>
      </c>
      <c r="C22" s="14">
        <v>6361502</v>
      </c>
      <c r="D22" s="1"/>
    </row>
    <row r="23" spans="1:4" x14ac:dyDescent="0.2">
      <c r="A23">
        <v>2015</v>
      </c>
      <c r="B23" s="13">
        <v>1110</v>
      </c>
      <c r="C23" s="14">
        <v>5570229</v>
      </c>
      <c r="D23" s="1"/>
    </row>
    <row r="24" spans="1:4" x14ac:dyDescent="0.2">
      <c r="A24">
        <v>2015</v>
      </c>
      <c r="B24" s="13">
        <v>1115</v>
      </c>
      <c r="C24" s="14">
        <v>1687464</v>
      </c>
      <c r="D24" s="1"/>
    </row>
    <row r="25" spans="1:4" x14ac:dyDescent="0.2">
      <c r="A25">
        <v>2015</v>
      </c>
      <c r="B25" s="13">
        <v>1120</v>
      </c>
      <c r="C25" s="14">
        <v>10205646</v>
      </c>
      <c r="D25" s="1"/>
    </row>
    <row r="26" spans="1:4" x14ac:dyDescent="0.2">
      <c r="A26">
        <v>2015</v>
      </c>
      <c r="B26" s="13">
        <v>1125</v>
      </c>
      <c r="C26" s="14">
        <v>2448452</v>
      </c>
      <c r="D26" s="1"/>
    </row>
    <row r="27" spans="1:4" x14ac:dyDescent="0.2">
      <c r="A27">
        <v>2015</v>
      </c>
      <c r="B27" s="13">
        <v>1130</v>
      </c>
      <c r="C27" s="14">
        <v>1107491</v>
      </c>
      <c r="D27" s="1"/>
    </row>
    <row r="28" spans="1:4" x14ac:dyDescent="0.2">
      <c r="A28">
        <v>2015</v>
      </c>
      <c r="B28" s="13">
        <v>1135</v>
      </c>
      <c r="C28" s="14">
        <v>5874736</v>
      </c>
      <c r="D28" s="1"/>
    </row>
    <row r="29" spans="1:4" x14ac:dyDescent="0.2">
      <c r="A29">
        <v>2015</v>
      </c>
      <c r="B29" s="13">
        <v>1140</v>
      </c>
      <c r="C29" s="14">
        <v>9459801</v>
      </c>
      <c r="D29" s="1"/>
    </row>
    <row r="30" spans="1:4" x14ac:dyDescent="0.2">
      <c r="A30">
        <v>2015</v>
      </c>
      <c r="B30" s="13">
        <v>1145</v>
      </c>
      <c r="C30" s="14">
        <v>1295959</v>
      </c>
      <c r="D30" s="1"/>
    </row>
    <row r="31" spans="1:4" x14ac:dyDescent="0.2">
      <c r="A31">
        <v>2015</v>
      </c>
      <c r="B31" s="13">
        <v>1150</v>
      </c>
      <c r="C31" s="14">
        <v>10032097</v>
      </c>
      <c r="D31" s="1"/>
    </row>
    <row r="32" spans="1:4" x14ac:dyDescent="0.2">
      <c r="A32">
        <v>2015</v>
      </c>
      <c r="B32" s="13">
        <v>1155</v>
      </c>
      <c r="C32" s="14">
        <v>15965649</v>
      </c>
      <c r="D32" s="1"/>
    </row>
    <row r="33" spans="1:4" x14ac:dyDescent="0.2">
      <c r="A33">
        <v>2015</v>
      </c>
      <c r="B33" s="13">
        <v>1160</v>
      </c>
      <c r="C33" s="14">
        <v>18625278</v>
      </c>
      <c r="D33" s="1"/>
    </row>
    <row r="34" spans="1:4" x14ac:dyDescent="0.2">
      <c r="A34">
        <v>2015</v>
      </c>
      <c r="B34" s="13">
        <v>1165</v>
      </c>
      <c r="C34" s="14">
        <v>17998149</v>
      </c>
      <c r="D34" s="1"/>
    </row>
    <row r="35" spans="1:4" x14ac:dyDescent="0.2">
      <c r="A35">
        <v>2015</v>
      </c>
      <c r="B35" s="13">
        <v>1170</v>
      </c>
      <c r="C35" s="14">
        <v>8379027</v>
      </c>
      <c r="D35" s="1"/>
    </row>
    <row r="36" spans="1:4" x14ac:dyDescent="0.2">
      <c r="A36">
        <v>2015</v>
      </c>
      <c r="B36" s="13">
        <v>1175</v>
      </c>
      <c r="C36" s="14">
        <v>4401987</v>
      </c>
      <c r="D36" s="1"/>
    </row>
    <row r="37" spans="1:4" x14ac:dyDescent="0.2">
      <c r="A37">
        <v>2015</v>
      </c>
      <c r="B37" s="13">
        <v>1180</v>
      </c>
      <c r="C37" s="14">
        <v>2160023</v>
      </c>
      <c r="D37" s="1"/>
    </row>
    <row r="38" spans="1:4" x14ac:dyDescent="0.2">
      <c r="A38">
        <v>2015</v>
      </c>
      <c r="B38" s="13">
        <v>1185</v>
      </c>
      <c r="C38" s="14">
        <v>2104991</v>
      </c>
      <c r="D38" s="1"/>
    </row>
    <row r="39" spans="1:4" x14ac:dyDescent="0.2">
      <c r="A39">
        <v>2015</v>
      </c>
      <c r="B39" s="13">
        <v>1190</v>
      </c>
      <c r="C39" s="14">
        <v>2348315</v>
      </c>
      <c r="D39" s="1"/>
    </row>
    <row r="40" spans="1:4" x14ac:dyDescent="0.2">
      <c r="A40">
        <v>2015</v>
      </c>
      <c r="B40" s="13">
        <v>1195</v>
      </c>
      <c r="C40" s="14">
        <v>2352237</v>
      </c>
      <c r="D40" s="1"/>
    </row>
    <row r="41" spans="1:4" x14ac:dyDescent="0.2">
      <c r="A41">
        <v>2015</v>
      </c>
      <c r="B41" s="13">
        <v>1200</v>
      </c>
      <c r="C41" s="14">
        <v>2319960</v>
      </c>
      <c r="D41" s="1"/>
    </row>
    <row r="42" spans="1:4" x14ac:dyDescent="0.2">
      <c r="A42">
        <v>2015</v>
      </c>
      <c r="B42" s="13">
        <v>1205</v>
      </c>
      <c r="C42" s="14">
        <v>5211761</v>
      </c>
      <c r="D42" s="1"/>
    </row>
    <row r="43" spans="1:4" x14ac:dyDescent="0.2">
      <c r="A43">
        <v>2015</v>
      </c>
      <c r="B43" s="13">
        <v>1210</v>
      </c>
      <c r="C43" s="14">
        <v>5327760</v>
      </c>
      <c r="D43" s="1"/>
    </row>
    <row r="44" spans="1:4" x14ac:dyDescent="0.2">
      <c r="A44">
        <v>2015</v>
      </c>
      <c r="B44" s="13">
        <v>1215</v>
      </c>
      <c r="C44" s="14">
        <v>2923467</v>
      </c>
      <c r="D44" s="1"/>
    </row>
    <row r="45" spans="1:4" x14ac:dyDescent="0.2">
      <c r="A45">
        <v>2015</v>
      </c>
      <c r="B45" s="13">
        <v>1220</v>
      </c>
      <c r="C45" s="14">
        <v>4003233</v>
      </c>
      <c r="D45" s="1"/>
    </row>
    <row r="46" spans="1:4" x14ac:dyDescent="0.2">
      <c r="A46">
        <v>2015</v>
      </c>
      <c r="B46" s="13">
        <v>1225</v>
      </c>
      <c r="C46" s="14">
        <v>6462157</v>
      </c>
      <c r="D46" s="2"/>
    </row>
    <row r="47" spans="1:4" x14ac:dyDescent="0.2">
      <c r="A47">
        <v>2015</v>
      </c>
      <c r="B47" s="13">
        <v>1230</v>
      </c>
      <c r="C47" s="14">
        <v>1316486</v>
      </c>
      <c r="D47" s="3"/>
    </row>
    <row r="48" spans="1:4" x14ac:dyDescent="0.2">
      <c r="A48">
        <v>2015</v>
      </c>
      <c r="B48" s="13">
        <v>1235</v>
      </c>
      <c r="C48" s="14">
        <v>43807308</v>
      </c>
      <c r="D48" s="3"/>
    </row>
    <row r="49" spans="1:4" x14ac:dyDescent="0.2">
      <c r="A49">
        <v>2015</v>
      </c>
      <c r="B49" s="13">
        <v>1240</v>
      </c>
      <c r="C49" s="14">
        <v>6177740</v>
      </c>
      <c r="D49" s="3"/>
    </row>
    <row r="50" spans="1:4" x14ac:dyDescent="0.2">
      <c r="A50">
        <v>2015</v>
      </c>
      <c r="B50" s="13">
        <v>1245</v>
      </c>
      <c r="C50" s="14">
        <v>5596743</v>
      </c>
      <c r="D50" s="3"/>
    </row>
    <row r="51" spans="1:4" x14ac:dyDescent="0.2">
      <c r="A51">
        <v>2015</v>
      </c>
      <c r="B51" s="13">
        <v>1250</v>
      </c>
      <c r="C51" s="14">
        <v>1701484</v>
      </c>
      <c r="D51" s="3"/>
    </row>
    <row r="52" spans="1:4" x14ac:dyDescent="0.2">
      <c r="A52">
        <v>2015</v>
      </c>
      <c r="B52" s="13">
        <v>1255</v>
      </c>
      <c r="C52" s="14">
        <v>6800757</v>
      </c>
      <c r="D52" s="3"/>
    </row>
    <row r="53" spans="1:4" x14ac:dyDescent="0.2">
      <c r="A53">
        <v>2015</v>
      </c>
      <c r="B53" s="13">
        <v>1260</v>
      </c>
      <c r="C53" s="14">
        <v>11618088</v>
      </c>
      <c r="D53" s="3"/>
    </row>
    <row r="54" spans="1:4" x14ac:dyDescent="0.2">
      <c r="A54">
        <v>2015</v>
      </c>
      <c r="B54" s="13">
        <v>1265</v>
      </c>
      <c r="C54" s="14">
        <v>2160071</v>
      </c>
      <c r="D54" s="3"/>
    </row>
    <row r="55" spans="1:4" x14ac:dyDescent="0.2">
      <c r="A55">
        <v>2015</v>
      </c>
      <c r="B55" s="13">
        <v>1270</v>
      </c>
      <c r="C55" s="14">
        <v>27692017</v>
      </c>
      <c r="D55" s="3"/>
    </row>
    <row r="56" spans="1:4" x14ac:dyDescent="0.2">
      <c r="A56">
        <v>2015</v>
      </c>
      <c r="B56" s="13">
        <v>1275</v>
      </c>
      <c r="C56" s="14">
        <v>1994470</v>
      </c>
      <c r="D56" s="3"/>
    </row>
    <row r="57" spans="1:4" x14ac:dyDescent="0.2">
      <c r="A57">
        <v>2015</v>
      </c>
      <c r="B57" s="13">
        <v>1280</v>
      </c>
      <c r="C57" s="14">
        <v>5495697</v>
      </c>
      <c r="D57" s="3"/>
    </row>
    <row r="58" spans="1:4" x14ac:dyDescent="0.2">
      <c r="A58">
        <v>2015</v>
      </c>
      <c r="B58" s="13">
        <v>1285</v>
      </c>
      <c r="C58" s="14">
        <v>9404475</v>
      </c>
      <c r="D58" s="3"/>
    </row>
    <row r="59" spans="1:4" x14ac:dyDescent="0.2">
      <c r="A59">
        <v>2015</v>
      </c>
      <c r="B59" s="13">
        <v>1290</v>
      </c>
      <c r="C59" s="14">
        <v>3873186</v>
      </c>
      <c r="D59" s="3"/>
    </row>
    <row r="60" spans="1:4" x14ac:dyDescent="0.2">
      <c r="A60">
        <v>2015</v>
      </c>
      <c r="B60" s="13">
        <v>1295</v>
      </c>
      <c r="C60" s="14">
        <v>1495015</v>
      </c>
      <c r="D60" s="3"/>
    </row>
    <row r="61" spans="1:4" x14ac:dyDescent="0.2">
      <c r="A61">
        <v>2015</v>
      </c>
      <c r="B61" s="13">
        <v>1300</v>
      </c>
      <c r="C61" s="14">
        <v>14262097</v>
      </c>
      <c r="D61" s="3"/>
    </row>
    <row r="62" spans="1:4" x14ac:dyDescent="0.2">
      <c r="A62">
        <v>2015</v>
      </c>
      <c r="B62" s="13">
        <v>1305</v>
      </c>
      <c r="C62" s="14">
        <v>38853314</v>
      </c>
      <c r="D62" s="3"/>
    </row>
    <row r="63" spans="1:4" x14ac:dyDescent="0.2">
      <c r="A63">
        <v>2015</v>
      </c>
      <c r="B63" s="13">
        <v>2005</v>
      </c>
      <c r="C63" s="14">
        <v>2218059</v>
      </c>
      <c r="D63" s="3"/>
    </row>
    <row r="64" spans="1:4" x14ac:dyDescent="0.2">
      <c r="A64">
        <v>2015</v>
      </c>
      <c r="B64" s="13">
        <v>2006</v>
      </c>
      <c r="C64" s="14">
        <v>1962540</v>
      </c>
      <c r="D64" s="3"/>
    </row>
    <row r="65" spans="1:4" x14ac:dyDescent="0.2">
      <c r="A65">
        <v>2015</v>
      </c>
      <c r="B65" s="13">
        <v>2007</v>
      </c>
      <c r="C65" s="14">
        <v>5173670</v>
      </c>
      <c r="D65" s="3"/>
    </row>
    <row r="66" spans="1:4" x14ac:dyDescent="0.2">
      <c r="A66">
        <v>2015</v>
      </c>
      <c r="B66" s="13">
        <v>2008</v>
      </c>
      <c r="C66" s="14">
        <v>4792969</v>
      </c>
      <c r="D66" s="3"/>
    </row>
    <row r="67" spans="1:4" x14ac:dyDescent="0.2">
      <c r="A67">
        <v>2015</v>
      </c>
      <c r="B67" s="13">
        <v>2009</v>
      </c>
      <c r="C67" s="14">
        <v>3772377</v>
      </c>
      <c r="D67" s="3"/>
    </row>
    <row r="68" spans="1:4" x14ac:dyDescent="0.2">
      <c r="A68">
        <v>2015</v>
      </c>
      <c r="B68" s="13">
        <v>2010</v>
      </c>
      <c r="C68" s="14">
        <v>12317992</v>
      </c>
      <c r="D68" s="3"/>
    </row>
    <row r="69" spans="1:4" x14ac:dyDescent="0.2">
      <c r="A69">
        <v>2015</v>
      </c>
      <c r="B69" s="13">
        <v>2014</v>
      </c>
      <c r="C69" s="14">
        <v>1679649</v>
      </c>
      <c r="D69" s="3"/>
    </row>
    <row r="70" spans="1:4" x14ac:dyDescent="0.2">
      <c r="A70">
        <v>2015</v>
      </c>
      <c r="B70" s="13">
        <v>2015</v>
      </c>
      <c r="C70" s="14">
        <v>3458291</v>
      </c>
      <c r="D70" s="3"/>
    </row>
    <row r="71" spans="1:4" x14ac:dyDescent="0.2">
      <c r="A71">
        <v>2015</v>
      </c>
      <c r="B71" s="13">
        <v>2016</v>
      </c>
      <c r="C71" s="14">
        <v>1515358</v>
      </c>
      <c r="D71" s="3"/>
    </row>
    <row r="72" spans="1:4" x14ac:dyDescent="0.2">
      <c r="A72">
        <v>2015</v>
      </c>
      <c r="B72" s="13">
        <v>2018</v>
      </c>
      <c r="C72" s="14">
        <v>3251472</v>
      </c>
      <c r="D72" s="3"/>
    </row>
    <row r="73" spans="1:4" x14ac:dyDescent="0.2">
      <c r="A73">
        <v>2015</v>
      </c>
      <c r="B73" s="13">
        <v>2020</v>
      </c>
      <c r="C73" s="14">
        <v>8877248</v>
      </c>
      <c r="D73" s="3"/>
    </row>
    <row r="74" spans="1:4" x14ac:dyDescent="0.2">
      <c r="A74">
        <v>2015</v>
      </c>
      <c r="B74" s="13">
        <v>2025</v>
      </c>
      <c r="C74" s="14">
        <v>6473060</v>
      </c>
      <c r="D74" s="3"/>
    </row>
    <row r="75" spans="1:4" x14ac:dyDescent="0.2">
      <c r="A75">
        <v>2015</v>
      </c>
      <c r="B75" s="13">
        <v>2030</v>
      </c>
      <c r="C75" s="14">
        <v>5848700</v>
      </c>
      <c r="D75" s="3"/>
    </row>
    <row r="76" spans="1:4" x14ac:dyDescent="0.2">
      <c r="A76">
        <v>2015</v>
      </c>
      <c r="B76" s="13">
        <v>2035</v>
      </c>
      <c r="C76" s="14">
        <v>1874018</v>
      </c>
      <c r="D76" s="3"/>
    </row>
    <row r="77" spans="1:4" x14ac:dyDescent="0.2">
      <c r="A77">
        <v>2015</v>
      </c>
      <c r="B77" s="13">
        <v>2040</v>
      </c>
      <c r="C77" s="14">
        <v>10333131</v>
      </c>
      <c r="D77" s="3"/>
    </row>
    <row r="78" spans="1:4" x14ac:dyDescent="0.2">
      <c r="A78">
        <v>2015</v>
      </c>
      <c r="B78" s="13">
        <v>2044</v>
      </c>
      <c r="C78" s="14">
        <v>2287062</v>
      </c>
      <c r="D78" s="3"/>
    </row>
    <row r="79" spans="1:4" x14ac:dyDescent="0.2">
      <c r="A79">
        <v>2015</v>
      </c>
      <c r="B79" s="13">
        <v>2045</v>
      </c>
      <c r="C79" s="14">
        <v>6298746</v>
      </c>
      <c r="D79" s="3"/>
    </row>
    <row r="80" spans="1:4" x14ac:dyDescent="0.2">
      <c r="A80">
        <v>2015</v>
      </c>
      <c r="B80" s="13">
        <v>2046</v>
      </c>
      <c r="C80" s="14">
        <v>5289292</v>
      </c>
      <c r="D80" s="3"/>
    </row>
    <row r="81" spans="1:4" x14ac:dyDescent="0.2">
      <c r="A81">
        <v>2015</v>
      </c>
      <c r="B81" s="13">
        <v>2047</v>
      </c>
      <c r="C81" s="14">
        <v>25626856</v>
      </c>
      <c r="D81" s="3"/>
    </row>
    <row r="82" spans="1:4" x14ac:dyDescent="0.2">
      <c r="A82">
        <v>2015</v>
      </c>
      <c r="B82" s="13">
        <v>2048</v>
      </c>
      <c r="C82" s="14">
        <v>6175200</v>
      </c>
      <c r="D82" s="3"/>
    </row>
    <row r="83" spans="1:4" x14ac:dyDescent="0.2">
      <c r="A83">
        <v>2015</v>
      </c>
      <c r="B83" s="13">
        <v>2050</v>
      </c>
      <c r="C83" s="14">
        <v>4632916</v>
      </c>
      <c r="D83" s="3"/>
    </row>
    <row r="84" spans="1:4" x14ac:dyDescent="0.2">
      <c r="A84">
        <v>2015</v>
      </c>
      <c r="B84" s="13">
        <v>2052</v>
      </c>
      <c r="C84" s="14">
        <v>4008691</v>
      </c>
      <c r="D84" s="3"/>
    </row>
    <row r="85" spans="1:4" x14ac:dyDescent="0.2">
      <c r="A85">
        <v>2015</v>
      </c>
      <c r="B85" s="13">
        <v>2055</v>
      </c>
      <c r="C85" s="14">
        <v>3638192</v>
      </c>
      <c r="D85" s="3"/>
    </row>
    <row r="86" spans="1:4" x14ac:dyDescent="0.2">
      <c r="A86">
        <v>2015</v>
      </c>
      <c r="B86" s="13">
        <v>2056</v>
      </c>
      <c r="C86" s="14">
        <v>4345407</v>
      </c>
      <c r="D86" s="3"/>
    </row>
    <row r="87" spans="1:4" x14ac:dyDescent="0.2">
      <c r="A87">
        <v>2015</v>
      </c>
      <c r="B87" s="13">
        <v>2057</v>
      </c>
      <c r="C87" s="14">
        <v>5644231</v>
      </c>
      <c r="D87" s="3"/>
    </row>
    <row r="88" spans="1:4" x14ac:dyDescent="0.2">
      <c r="A88">
        <v>2015</v>
      </c>
      <c r="B88" s="13">
        <v>2058</v>
      </c>
      <c r="C88" s="14">
        <v>3507999</v>
      </c>
      <c r="D88" s="3"/>
    </row>
    <row r="89" spans="1:4" x14ac:dyDescent="0.2">
      <c r="A89">
        <v>2015</v>
      </c>
      <c r="B89" s="13">
        <v>2059</v>
      </c>
      <c r="C89" s="14">
        <v>5523431</v>
      </c>
      <c r="D89" s="3"/>
    </row>
    <row r="90" spans="1:4" x14ac:dyDescent="0.2">
      <c r="A90">
        <v>2015</v>
      </c>
      <c r="B90" s="13">
        <v>2060</v>
      </c>
      <c r="C90" s="14">
        <v>1490064</v>
      </c>
      <c r="D90" s="3"/>
    </row>
    <row r="91" spans="1:4" x14ac:dyDescent="0.2">
      <c r="A91">
        <v>2015</v>
      </c>
      <c r="B91" s="13">
        <v>2061</v>
      </c>
      <c r="C91" s="14">
        <v>1700223</v>
      </c>
      <c r="D91" s="4"/>
    </row>
    <row r="92" spans="1:4" x14ac:dyDescent="0.2">
      <c r="A92">
        <v>2015</v>
      </c>
      <c r="B92" s="13">
        <v>2062</v>
      </c>
      <c r="C92" s="14">
        <v>2630801</v>
      </c>
      <c r="D92" s="5"/>
    </row>
    <row r="93" spans="1:4" x14ac:dyDescent="0.2">
      <c r="A93">
        <v>2015</v>
      </c>
      <c r="B93" s="13">
        <v>2063</v>
      </c>
      <c r="C93" s="14">
        <v>1258792</v>
      </c>
      <c r="D93" s="5"/>
    </row>
    <row r="94" spans="1:4" x14ac:dyDescent="0.2">
      <c r="A94">
        <v>2015</v>
      </c>
      <c r="B94" s="13">
        <v>2064</v>
      </c>
      <c r="C94" s="14">
        <v>4279104</v>
      </c>
      <c r="D94" s="5"/>
    </row>
    <row r="95" spans="1:4" x14ac:dyDescent="0.2">
      <c r="A95">
        <v>2015</v>
      </c>
      <c r="B95" s="13">
        <v>2065</v>
      </c>
      <c r="C95" s="14">
        <v>3610176</v>
      </c>
      <c r="D95" s="5"/>
    </row>
    <row r="96" spans="1:4" x14ac:dyDescent="0.2">
      <c r="A96">
        <v>2015</v>
      </c>
      <c r="B96" s="13">
        <v>2066</v>
      </c>
      <c r="C96" s="14">
        <v>8671098</v>
      </c>
      <c r="D96" s="5"/>
    </row>
    <row r="97" spans="1:4" x14ac:dyDescent="0.2">
      <c r="A97">
        <v>2015</v>
      </c>
      <c r="B97" s="13">
        <v>2067</v>
      </c>
      <c r="C97" s="14">
        <v>13185891</v>
      </c>
      <c r="D97" s="5"/>
    </row>
    <row r="98" spans="1:4" x14ac:dyDescent="0.2">
      <c r="A98">
        <v>2015</v>
      </c>
      <c r="B98" s="13">
        <v>2068</v>
      </c>
      <c r="C98" s="14">
        <v>11572420</v>
      </c>
      <c r="D98" s="5"/>
    </row>
    <row r="99" spans="1:4" x14ac:dyDescent="0.2">
      <c r="A99">
        <v>2015</v>
      </c>
      <c r="B99" s="13">
        <v>2069</v>
      </c>
      <c r="C99" s="14">
        <v>1449867</v>
      </c>
      <c r="D99" s="5"/>
    </row>
    <row r="100" spans="1:4" x14ac:dyDescent="0.2">
      <c r="A100">
        <v>2015</v>
      </c>
      <c r="B100" s="13">
        <v>2070</v>
      </c>
      <c r="C100" s="14">
        <v>2204565</v>
      </c>
      <c r="D100" s="5"/>
    </row>
    <row r="101" spans="1:4" x14ac:dyDescent="0.2">
      <c r="A101">
        <v>2015</v>
      </c>
      <c r="B101" s="13">
        <v>2071</v>
      </c>
      <c r="C101" s="14">
        <v>1802557</v>
      </c>
      <c r="D101" s="5"/>
    </row>
    <row r="102" spans="1:4" x14ac:dyDescent="0.2">
      <c r="A102">
        <v>2015</v>
      </c>
      <c r="B102" s="13">
        <v>2072</v>
      </c>
      <c r="C102" s="14">
        <v>2093198</v>
      </c>
      <c r="D102" s="5"/>
    </row>
    <row r="103" spans="1:4" x14ac:dyDescent="0.2">
      <c r="A103">
        <v>2015</v>
      </c>
      <c r="B103" s="13">
        <v>2073</v>
      </c>
      <c r="C103" s="14">
        <v>4415580</v>
      </c>
      <c r="D103" s="5"/>
    </row>
    <row r="104" spans="1:4" x14ac:dyDescent="0.2">
      <c r="A104">
        <v>2015</v>
      </c>
      <c r="B104" s="13">
        <v>2074</v>
      </c>
      <c r="C104" s="14">
        <v>4542025</v>
      </c>
      <c r="D104" s="5"/>
    </row>
    <row r="105" spans="1:4" x14ac:dyDescent="0.2">
      <c r="A105">
        <v>2015</v>
      </c>
      <c r="B105" s="13">
        <v>2075</v>
      </c>
      <c r="C105" s="14">
        <v>8719927</v>
      </c>
      <c r="D105" s="5"/>
    </row>
    <row r="106" spans="1:4" x14ac:dyDescent="0.2">
      <c r="A106">
        <v>2015</v>
      </c>
      <c r="B106" s="13">
        <v>2076</v>
      </c>
      <c r="C106" s="14">
        <v>4932718</v>
      </c>
      <c r="D106" s="5"/>
    </row>
    <row r="107" spans="1:4" x14ac:dyDescent="0.2">
      <c r="A107">
        <v>2015</v>
      </c>
      <c r="B107" s="13">
        <v>2077</v>
      </c>
      <c r="C107" s="14">
        <v>1393730</v>
      </c>
      <c r="D107" s="5"/>
    </row>
    <row r="108" spans="1:4" x14ac:dyDescent="0.2">
      <c r="A108">
        <v>2015</v>
      </c>
      <c r="B108" s="13">
        <v>2078</v>
      </c>
      <c r="C108" s="14">
        <v>13681619</v>
      </c>
      <c r="D108" s="5"/>
    </row>
    <row r="109" spans="1:4" x14ac:dyDescent="0.2">
      <c r="A109">
        <v>2015</v>
      </c>
      <c r="B109" s="13">
        <v>2079</v>
      </c>
      <c r="C109" s="14">
        <v>7321142</v>
      </c>
      <c r="D109" s="5"/>
    </row>
    <row r="110" spans="1:4" x14ac:dyDescent="0.2">
      <c r="A110">
        <v>2015</v>
      </c>
      <c r="B110" s="13">
        <v>2080</v>
      </c>
      <c r="C110" s="14">
        <v>1779490</v>
      </c>
      <c r="D110" s="5"/>
    </row>
    <row r="111" spans="1:4" x14ac:dyDescent="0.2">
      <c r="A111">
        <v>2015</v>
      </c>
      <c r="B111" s="13">
        <v>2081</v>
      </c>
      <c r="C111" s="14">
        <v>2127780</v>
      </c>
      <c r="D111" s="5"/>
    </row>
    <row r="112" spans="1:4" x14ac:dyDescent="0.2">
      <c r="A112">
        <v>2015</v>
      </c>
      <c r="B112" s="13">
        <v>2082</v>
      </c>
      <c r="C112" s="14">
        <v>1215280</v>
      </c>
      <c r="D112" s="5"/>
    </row>
    <row r="113" spans="1:4" x14ac:dyDescent="0.2">
      <c r="A113">
        <v>2015</v>
      </c>
      <c r="B113" s="13">
        <v>2083</v>
      </c>
      <c r="C113" s="14">
        <v>2811218</v>
      </c>
      <c r="D113" s="5"/>
    </row>
    <row r="114" spans="1:4" x14ac:dyDescent="0.2">
      <c r="A114">
        <v>2015</v>
      </c>
      <c r="B114" s="13">
        <v>2084</v>
      </c>
      <c r="C114" s="14">
        <v>4646816</v>
      </c>
      <c r="D114" s="5"/>
    </row>
    <row r="115" spans="1:4" x14ac:dyDescent="0.2">
      <c r="A115">
        <v>2015</v>
      </c>
      <c r="B115" s="13">
        <v>2085</v>
      </c>
      <c r="C115" s="14">
        <v>2306072</v>
      </c>
      <c r="D115" s="5"/>
    </row>
    <row r="116" spans="1:4" x14ac:dyDescent="0.2">
      <c r="A116">
        <v>2015</v>
      </c>
      <c r="B116" s="13">
        <v>2086</v>
      </c>
      <c r="C116" s="14">
        <v>7966456</v>
      </c>
      <c r="D116" s="5"/>
    </row>
    <row r="117" spans="1:4" x14ac:dyDescent="0.2">
      <c r="A117">
        <v>2015</v>
      </c>
      <c r="B117" s="13">
        <v>2090</v>
      </c>
      <c r="C117" s="14">
        <v>3566596</v>
      </c>
      <c r="D117" s="5"/>
    </row>
    <row r="118" spans="1:4" x14ac:dyDescent="0.2">
      <c r="A118">
        <v>2015</v>
      </c>
      <c r="B118" s="13">
        <v>2095</v>
      </c>
      <c r="C118" s="14">
        <v>3330899</v>
      </c>
      <c r="D118" s="5"/>
    </row>
    <row r="119" spans="1:4" x14ac:dyDescent="0.2">
      <c r="A119">
        <v>2015</v>
      </c>
      <c r="B119" s="13">
        <v>2104</v>
      </c>
      <c r="C119" s="14">
        <v>2026480</v>
      </c>
      <c r="D119" s="5"/>
    </row>
    <row r="120" spans="1:4" x14ac:dyDescent="0.2">
      <c r="A120">
        <v>2015</v>
      </c>
      <c r="B120" s="13">
        <v>2105</v>
      </c>
      <c r="C120" s="14">
        <v>1797632</v>
      </c>
      <c r="D120" s="5"/>
    </row>
    <row r="121" spans="1:4" x14ac:dyDescent="0.2">
      <c r="A121">
        <v>2015</v>
      </c>
      <c r="B121" s="13">
        <v>2110</v>
      </c>
      <c r="C121" s="14">
        <v>5351604</v>
      </c>
      <c r="D121" s="5"/>
    </row>
    <row r="122" spans="1:4" x14ac:dyDescent="0.2">
      <c r="A122">
        <v>2015</v>
      </c>
      <c r="B122" s="13">
        <v>2112</v>
      </c>
      <c r="C122" s="14">
        <v>3771804</v>
      </c>
      <c r="D122" s="5"/>
    </row>
    <row r="123" spans="1:4" x14ac:dyDescent="0.2">
      <c r="A123">
        <v>2015</v>
      </c>
      <c r="B123" s="13">
        <v>2115</v>
      </c>
      <c r="C123" s="14">
        <v>8115100</v>
      </c>
      <c r="D123" s="5"/>
    </row>
    <row r="124" spans="1:4" x14ac:dyDescent="0.2">
      <c r="A124">
        <v>2015</v>
      </c>
      <c r="B124" s="13">
        <v>2120</v>
      </c>
      <c r="C124" s="14">
        <v>13680878</v>
      </c>
      <c r="D124" s="5"/>
    </row>
    <row r="125" spans="1:4" x14ac:dyDescent="0.2">
      <c r="A125">
        <v>2015</v>
      </c>
      <c r="B125" s="13">
        <v>2125</v>
      </c>
      <c r="C125" s="14">
        <v>1384186</v>
      </c>
      <c r="D125" s="5"/>
    </row>
    <row r="126" spans="1:4" x14ac:dyDescent="0.2">
      <c r="A126">
        <v>2015</v>
      </c>
      <c r="B126" s="13">
        <v>2130</v>
      </c>
      <c r="C126" s="14">
        <v>2659146</v>
      </c>
      <c r="D126" s="5"/>
    </row>
    <row r="127" spans="1:4" x14ac:dyDescent="0.2">
      <c r="A127">
        <v>2015</v>
      </c>
      <c r="B127" s="13">
        <v>2135</v>
      </c>
      <c r="C127" s="14">
        <v>4885480</v>
      </c>
      <c r="D127" s="5"/>
    </row>
    <row r="128" spans="1:4" x14ac:dyDescent="0.2">
      <c r="A128">
        <v>2015</v>
      </c>
      <c r="B128" s="13">
        <v>2140</v>
      </c>
      <c r="C128" s="14">
        <v>4174764</v>
      </c>
      <c r="D128" s="5"/>
    </row>
    <row r="129" spans="1:4" x14ac:dyDescent="0.2">
      <c r="A129">
        <v>2015</v>
      </c>
      <c r="B129" s="13">
        <v>2145</v>
      </c>
      <c r="C129" s="14">
        <v>6198776</v>
      </c>
      <c r="D129" s="5"/>
    </row>
    <row r="130" spans="1:4" x14ac:dyDescent="0.2">
      <c r="A130">
        <v>2015</v>
      </c>
      <c r="B130" s="13">
        <v>2146</v>
      </c>
      <c r="C130" s="14">
        <v>6820635</v>
      </c>
      <c r="D130" s="5"/>
    </row>
    <row r="131" spans="1:4" x14ac:dyDescent="0.2">
      <c r="A131">
        <v>2015</v>
      </c>
      <c r="B131" s="13">
        <v>2147</v>
      </c>
      <c r="C131" s="14">
        <v>1673930</v>
      </c>
      <c r="D131" s="5"/>
    </row>
    <row r="132" spans="1:4" x14ac:dyDescent="0.2">
      <c r="A132">
        <v>2015</v>
      </c>
      <c r="B132" s="13">
        <v>2148</v>
      </c>
      <c r="C132" s="14">
        <v>3825468</v>
      </c>
      <c r="D132" s="5"/>
    </row>
    <row r="133" spans="1:4" x14ac:dyDescent="0.2">
      <c r="A133">
        <v>2015</v>
      </c>
      <c r="B133" s="13">
        <v>2149</v>
      </c>
      <c r="C133" s="14">
        <v>2695870</v>
      </c>
      <c r="D133" s="5"/>
    </row>
    <row r="134" spans="1:4" x14ac:dyDescent="0.2">
      <c r="A134">
        <v>2015</v>
      </c>
      <c r="B134" s="13">
        <v>2150</v>
      </c>
      <c r="C134" s="14">
        <v>1048977</v>
      </c>
      <c r="D134" s="5"/>
    </row>
    <row r="135" spans="1:4" x14ac:dyDescent="0.2">
      <c r="A135">
        <v>2015</v>
      </c>
      <c r="B135" s="13">
        <v>2155</v>
      </c>
      <c r="C135" s="14">
        <v>4000230</v>
      </c>
      <c r="D135" s="5"/>
    </row>
    <row r="136" spans="1:4" x14ac:dyDescent="0.2">
      <c r="A136">
        <v>2015</v>
      </c>
      <c r="B136" s="13">
        <v>2160</v>
      </c>
      <c r="C136" s="14">
        <v>7470758</v>
      </c>
      <c r="D136" s="4"/>
    </row>
    <row r="137" spans="1:4" x14ac:dyDescent="0.2">
      <c r="A137">
        <v>2015</v>
      </c>
      <c r="B137" s="13">
        <v>2165</v>
      </c>
      <c r="C137" s="14">
        <v>2406941</v>
      </c>
      <c r="D137" s="5"/>
    </row>
    <row r="138" spans="1:4" x14ac:dyDescent="0.2">
      <c r="A138">
        <v>2015</v>
      </c>
      <c r="B138" s="13">
        <v>2170</v>
      </c>
      <c r="C138" s="14">
        <v>10768245</v>
      </c>
      <c r="D138" s="5"/>
    </row>
    <row r="139" spans="1:4" x14ac:dyDescent="0.2">
      <c r="A139">
        <v>2015</v>
      </c>
      <c r="B139" s="13">
        <v>2175</v>
      </c>
      <c r="C139" s="14">
        <v>983829</v>
      </c>
      <c r="D139" s="5"/>
    </row>
    <row r="140" spans="1:4" x14ac:dyDescent="0.2">
      <c r="A140">
        <v>2015</v>
      </c>
      <c r="B140" s="13">
        <v>2180</v>
      </c>
      <c r="C140" s="14">
        <v>2072842</v>
      </c>
      <c r="D140" s="5"/>
    </row>
    <row r="141" spans="1:4" x14ac:dyDescent="0.2">
      <c r="A141">
        <v>2015</v>
      </c>
      <c r="B141" s="13">
        <v>2185</v>
      </c>
      <c r="C141" s="14">
        <v>11584441</v>
      </c>
      <c r="D141" s="5"/>
    </row>
    <row r="142" spans="1:4" x14ac:dyDescent="0.2">
      <c r="A142">
        <v>2015</v>
      </c>
      <c r="B142" s="13">
        <v>2187</v>
      </c>
      <c r="C142" s="14">
        <v>5298597</v>
      </c>
      <c r="D142" s="5"/>
    </row>
    <row r="143" spans="1:4" x14ac:dyDescent="0.2">
      <c r="A143">
        <v>2015</v>
      </c>
      <c r="B143" s="13">
        <v>2190</v>
      </c>
      <c r="C143" s="14">
        <v>7520117</v>
      </c>
      <c r="D143" s="5"/>
    </row>
    <row r="144" spans="1:4" x14ac:dyDescent="0.2">
      <c r="A144">
        <v>2015</v>
      </c>
      <c r="B144" s="13">
        <v>2191</v>
      </c>
      <c r="C144" s="14">
        <v>5137278</v>
      </c>
      <c r="D144" s="5"/>
    </row>
    <row r="145" spans="1:4" x14ac:dyDescent="0.2">
      <c r="A145">
        <v>2015</v>
      </c>
      <c r="B145" s="13">
        <v>2195</v>
      </c>
      <c r="C145" s="14">
        <v>1560978</v>
      </c>
      <c r="D145" s="5"/>
    </row>
    <row r="146" spans="1:4" x14ac:dyDescent="0.2">
      <c r="A146">
        <v>2015</v>
      </c>
      <c r="B146" s="13">
        <v>2196</v>
      </c>
      <c r="C146" s="14">
        <v>1748786</v>
      </c>
      <c r="D146" s="5"/>
    </row>
    <row r="147" spans="1:4" x14ac:dyDescent="0.2">
      <c r="A147">
        <v>2015</v>
      </c>
      <c r="B147" s="13">
        <v>2198</v>
      </c>
      <c r="C147" s="14">
        <v>3608007</v>
      </c>
      <c r="D147" s="5"/>
    </row>
    <row r="148" spans="1:4" x14ac:dyDescent="0.2">
      <c r="A148">
        <v>2015</v>
      </c>
      <c r="B148" s="13">
        <v>2200</v>
      </c>
      <c r="C148" s="14">
        <v>16266550</v>
      </c>
      <c r="D148" s="5"/>
    </row>
    <row r="149" spans="1:4" x14ac:dyDescent="0.2">
      <c r="A149">
        <v>2015</v>
      </c>
      <c r="B149" s="13">
        <v>2204</v>
      </c>
      <c r="C149" s="14">
        <v>14702558</v>
      </c>
      <c r="D149" s="5"/>
    </row>
    <row r="150" spans="1:4" x14ac:dyDescent="0.2">
      <c r="A150">
        <v>2015</v>
      </c>
      <c r="B150" s="13">
        <v>2205</v>
      </c>
      <c r="C150" s="14">
        <v>429393</v>
      </c>
      <c r="D150" s="5"/>
    </row>
    <row r="151" spans="1:4" x14ac:dyDescent="0.2">
      <c r="A151">
        <v>2015</v>
      </c>
      <c r="B151" s="13">
        <v>2206</v>
      </c>
      <c r="C151" s="14">
        <v>2151782</v>
      </c>
      <c r="D151" s="5"/>
    </row>
    <row r="152" spans="1:4" x14ac:dyDescent="0.2">
      <c r="A152">
        <v>2015</v>
      </c>
      <c r="B152" s="13">
        <v>2207</v>
      </c>
      <c r="C152" s="14">
        <v>4007334</v>
      </c>
      <c r="D152" s="5"/>
    </row>
    <row r="153" spans="1:4" x14ac:dyDescent="0.2">
      <c r="A153">
        <v>2015</v>
      </c>
      <c r="B153" s="13">
        <v>2208</v>
      </c>
      <c r="C153" s="14">
        <v>6263772</v>
      </c>
      <c r="D153" s="5"/>
    </row>
    <row r="154" spans="1:4" x14ac:dyDescent="0.2">
      <c r="A154">
        <v>2015</v>
      </c>
      <c r="B154" s="13">
        <v>2209</v>
      </c>
      <c r="C154" s="14">
        <v>15798088</v>
      </c>
      <c r="D154" s="5"/>
    </row>
    <row r="155" spans="1:4" x14ac:dyDescent="0.2">
      <c r="A155">
        <v>2015</v>
      </c>
      <c r="B155" s="13">
        <v>2210</v>
      </c>
      <c r="C155" s="14">
        <v>4074130</v>
      </c>
      <c r="D155" s="5"/>
    </row>
    <row r="156" spans="1:4" x14ac:dyDescent="0.2">
      <c r="A156">
        <v>2015</v>
      </c>
      <c r="B156" s="13">
        <v>2212</v>
      </c>
      <c r="C156" s="14">
        <v>5441910</v>
      </c>
      <c r="D156" s="5"/>
    </row>
    <row r="157" spans="1:4" x14ac:dyDescent="0.2">
      <c r="A157">
        <v>2015</v>
      </c>
      <c r="B157" s="13">
        <v>2215</v>
      </c>
      <c r="C157" s="14">
        <v>8260451</v>
      </c>
      <c r="D157" s="5"/>
    </row>
    <row r="158" spans="1:4" x14ac:dyDescent="0.2">
      <c r="A158">
        <v>2015</v>
      </c>
      <c r="B158" s="13">
        <v>2220</v>
      </c>
      <c r="C158" s="14">
        <v>3314945</v>
      </c>
      <c r="D158" s="5"/>
    </row>
    <row r="159" spans="1:4" x14ac:dyDescent="0.2">
      <c r="A159">
        <v>2015</v>
      </c>
      <c r="B159" s="13">
        <v>2224</v>
      </c>
      <c r="C159" s="14">
        <v>7230272</v>
      </c>
      <c r="D159" s="5"/>
    </row>
    <row r="160" spans="1:4" x14ac:dyDescent="0.2">
      <c r="A160">
        <v>2015</v>
      </c>
      <c r="B160" s="13">
        <v>2225</v>
      </c>
      <c r="C160" s="14">
        <v>13885041</v>
      </c>
      <c r="D160" s="5"/>
    </row>
    <row r="161" spans="1:4" x14ac:dyDescent="0.2">
      <c r="A161">
        <v>2015</v>
      </c>
      <c r="B161" s="13">
        <v>2230</v>
      </c>
      <c r="C161" s="14">
        <v>11426886</v>
      </c>
      <c r="D161" s="5"/>
    </row>
    <row r="162" spans="1:4" x14ac:dyDescent="0.2">
      <c r="A162">
        <v>2015</v>
      </c>
      <c r="B162" s="13">
        <v>2231</v>
      </c>
      <c r="C162" s="14">
        <v>5274894</v>
      </c>
      <c r="D162" s="5"/>
    </row>
    <row r="163" spans="1:4" x14ac:dyDescent="0.2">
      <c r="A163">
        <v>2015</v>
      </c>
      <c r="B163" s="13">
        <v>2235</v>
      </c>
      <c r="C163" s="14">
        <v>1047745</v>
      </c>
      <c r="D163" s="5"/>
    </row>
    <row r="164" spans="1:4" x14ac:dyDescent="0.2">
      <c r="A164">
        <v>2015</v>
      </c>
      <c r="B164" s="13">
        <v>2239</v>
      </c>
      <c r="C164" s="14">
        <v>4960906</v>
      </c>
      <c r="D164" s="5"/>
    </row>
    <row r="165" spans="1:4" x14ac:dyDescent="0.2">
      <c r="A165">
        <v>2015</v>
      </c>
      <c r="B165" s="13">
        <v>2240</v>
      </c>
      <c r="C165" s="14">
        <v>9199946</v>
      </c>
      <c r="D165" s="5"/>
    </row>
    <row r="166" spans="1:4" x14ac:dyDescent="0.2">
      <c r="A166">
        <v>2015</v>
      </c>
      <c r="B166" s="13">
        <v>2241</v>
      </c>
      <c r="C166" s="14">
        <v>1495081</v>
      </c>
      <c r="D166" s="5"/>
    </row>
    <row r="167" spans="1:4" x14ac:dyDescent="0.2">
      <c r="A167">
        <v>2015</v>
      </c>
      <c r="B167" s="13">
        <v>2242</v>
      </c>
      <c r="C167" s="14">
        <v>2654266</v>
      </c>
      <c r="D167" s="5"/>
    </row>
    <row r="168" spans="1:4" x14ac:dyDescent="0.2">
      <c r="A168">
        <v>2015</v>
      </c>
      <c r="B168" s="13">
        <v>2243</v>
      </c>
      <c r="C168" s="14">
        <v>2642458</v>
      </c>
      <c r="D168" s="5"/>
    </row>
    <row r="169" spans="1:4" x14ac:dyDescent="0.2">
      <c r="A169">
        <v>2015</v>
      </c>
      <c r="B169" s="13">
        <v>2244</v>
      </c>
      <c r="C169" s="14">
        <v>1520029</v>
      </c>
      <c r="D169" s="5"/>
    </row>
    <row r="170" spans="1:4" x14ac:dyDescent="0.2">
      <c r="A170">
        <v>2015</v>
      </c>
      <c r="B170" s="13">
        <v>2245</v>
      </c>
      <c r="C170" s="14">
        <v>3851014</v>
      </c>
      <c r="D170" s="5"/>
    </row>
    <row r="171" spans="1:4" x14ac:dyDescent="0.2">
      <c r="A171">
        <v>2015</v>
      </c>
      <c r="B171" s="13">
        <v>2250</v>
      </c>
      <c r="C171" s="14">
        <v>2289634</v>
      </c>
      <c r="D171" s="5"/>
    </row>
    <row r="172" spans="1:4" x14ac:dyDescent="0.2">
      <c r="A172">
        <v>2015</v>
      </c>
      <c r="B172" s="13">
        <v>2255</v>
      </c>
      <c r="C172" s="14">
        <v>7339718</v>
      </c>
      <c r="D172" s="5"/>
    </row>
    <row r="173" spans="1:4" x14ac:dyDescent="0.2">
      <c r="A173">
        <v>2015</v>
      </c>
      <c r="B173" s="13">
        <v>2260</v>
      </c>
      <c r="C173" s="14">
        <v>5420365</v>
      </c>
      <c r="D173" s="5"/>
    </row>
    <row r="174" spans="1:4" x14ac:dyDescent="0.2">
      <c r="A174">
        <v>2015</v>
      </c>
      <c r="B174" s="13">
        <v>2266</v>
      </c>
      <c r="C174" s="14">
        <v>4361645</v>
      </c>
      <c r="D174" s="5"/>
    </row>
    <row r="175" spans="1:4" x14ac:dyDescent="0.2">
      <c r="A175">
        <v>2015</v>
      </c>
      <c r="B175" s="13">
        <v>2268</v>
      </c>
      <c r="C175" s="14">
        <v>2562186</v>
      </c>
      <c r="D175" s="5"/>
    </row>
    <row r="176" spans="1:4" x14ac:dyDescent="0.2">
      <c r="A176">
        <v>2015</v>
      </c>
      <c r="B176" s="13">
        <v>2270</v>
      </c>
      <c r="C176" s="14">
        <v>4018264</v>
      </c>
      <c r="D176" s="5"/>
    </row>
    <row r="177" spans="1:4" x14ac:dyDescent="0.2">
      <c r="A177">
        <v>2015</v>
      </c>
      <c r="B177" s="13">
        <v>2271</v>
      </c>
      <c r="C177" s="14">
        <v>2818538</v>
      </c>
      <c r="D177" s="5"/>
    </row>
    <row r="178" spans="1:4" x14ac:dyDescent="0.2">
      <c r="A178">
        <v>2015</v>
      </c>
      <c r="B178" s="13">
        <v>2272</v>
      </c>
      <c r="C178" s="14">
        <v>4423247</v>
      </c>
      <c r="D178" s="5"/>
    </row>
    <row r="179" spans="1:4" x14ac:dyDescent="0.2">
      <c r="A179">
        <v>2015</v>
      </c>
      <c r="B179" s="13">
        <v>2275</v>
      </c>
      <c r="C179" s="14">
        <v>8383830</v>
      </c>
      <c r="D179" s="5"/>
    </row>
    <row r="180" spans="1:4" x14ac:dyDescent="0.2">
      <c r="A180">
        <v>2015</v>
      </c>
      <c r="B180" s="13">
        <v>2280</v>
      </c>
      <c r="C180" s="14">
        <v>2565796</v>
      </c>
      <c r="D180" s="5"/>
    </row>
    <row r="181" spans="1:4" x14ac:dyDescent="0.2">
      <c r="A181">
        <v>2015</v>
      </c>
      <c r="B181" s="13">
        <v>2281</v>
      </c>
      <c r="C181" s="14">
        <v>1617978</v>
      </c>
      <c r="D181" s="4"/>
    </row>
    <row r="182" spans="1:4" x14ac:dyDescent="0.2">
      <c r="A182">
        <v>2015</v>
      </c>
      <c r="B182" s="13">
        <v>2282</v>
      </c>
      <c r="C182" s="14">
        <v>7563264</v>
      </c>
      <c r="D182" s="5"/>
    </row>
    <row r="183" spans="1:4" x14ac:dyDescent="0.2">
      <c r="A183">
        <v>2015</v>
      </c>
      <c r="B183" s="13">
        <v>2285</v>
      </c>
      <c r="C183" s="14">
        <v>10272304</v>
      </c>
      <c r="D183" s="5"/>
    </row>
    <row r="184" spans="1:4" x14ac:dyDescent="0.2">
      <c r="A184">
        <v>2015</v>
      </c>
      <c r="B184" s="13">
        <v>2286</v>
      </c>
      <c r="C184" s="14">
        <v>5737217</v>
      </c>
      <c r="D184" s="5"/>
    </row>
    <row r="185" spans="1:4" x14ac:dyDescent="0.2">
      <c r="A185">
        <v>2015</v>
      </c>
      <c r="B185" s="13">
        <v>2288</v>
      </c>
      <c r="C185" s="14">
        <v>3394975</v>
      </c>
      <c r="D185" s="5"/>
    </row>
    <row r="186" spans="1:4" x14ac:dyDescent="0.2">
      <c r="A186">
        <v>2015</v>
      </c>
      <c r="B186" s="13">
        <v>2289</v>
      </c>
      <c r="C186" s="14">
        <v>10721199</v>
      </c>
      <c r="D186" s="5"/>
    </row>
    <row r="187" spans="1:4" x14ac:dyDescent="0.2">
      <c r="A187">
        <v>2015</v>
      </c>
      <c r="B187" s="13">
        <v>2290</v>
      </c>
      <c r="C187" s="14">
        <v>5641396</v>
      </c>
      <c r="D187" s="5"/>
    </row>
    <row r="188" spans="1:4" x14ac:dyDescent="0.2">
      <c r="A188">
        <v>2015</v>
      </c>
      <c r="B188" s="13">
        <v>2295</v>
      </c>
      <c r="C188" s="14">
        <v>2587288</v>
      </c>
      <c r="D188" s="5"/>
    </row>
    <row r="189" spans="1:4" x14ac:dyDescent="0.2">
      <c r="A189">
        <v>2015</v>
      </c>
      <c r="B189" s="13">
        <v>2300</v>
      </c>
      <c r="C189" s="14">
        <v>6487620</v>
      </c>
      <c r="D189" s="5"/>
    </row>
    <row r="190" spans="1:4" x14ac:dyDescent="0.2">
      <c r="A190">
        <v>2015</v>
      </c>
      <c r="B190" s="13">
        <v>2305</v>
      </c>
      <c r="C190" s="14">
        <v>1364678</v>
      </c>
      <c r="D190" s="5"/>
    </row>
    <row r="191" spans="1:4" x14ac:dyDescent="0.2">
      <c r="A191">
        <v>2015</v>
      </c>
      <c r="B191" s="13">
        <v>2310</v>
      </c>
      <c r="C191" s="14">
        <v>15939033</v>
      </c>
      <c r="D191" s="5"/>
    </row>
    <row r="192" spans="1:4" x14ac:dyDescent="0.2">
      <c r="A192">
        <v>2015</v>
      </c>
      <c r="B192" s="13">
        <v>2315</v>
      </c>
      <c r="C192" s="14">
        <v>2567141</v>
      </c>
      <c r="D192" s="5"/>
    </row>
    <row r="193" spans="1:4" x14ac:dyDescent="0.2">
      <c r="A193">
        <v>2015</v>
      </c>
      <c r="B193" s="13">
        <v>2317</v>
      </c>
      <c r="C193" s="14">
        <v>2457612</v>
      </c>
      <c r="D193" s="5"/>
    </row>
    <row r="194" spans="1:4" x14ac:dyDescent="0.2">
      <c r="A194">
        <v>2015</v>
      </c>
      <c r="B194" s="13">
        <v>2320</v>
      </c>
      <c r="C194" s="14">
        <v>10454074</v>
      </c>
      <c r="D194" s="5"/>
    </row>
    <row r="195" spans="1:4" x14ac:dyDescent="0.2">
      <c r="A195">
        <v>2015</v>
      </c>
      <c r="B195" s="13">
        <v>2325</v>
      </c>
      <c r="C195" s="14">
        <v>9202706</v>
      </c>
      <c r="D195" s="5"/>
    </row>
    <row r="196" spans="1:4" x14ac:dyDescent="0.2">
      <c r="A196">
        <v>2015</v>
      </c>
      <c r="B196" s="13">
        <v>2328</v>
      </c>
      <c r="C196" s="14">
        <v>2120380</v>
      </c>
      <c r="D196" s="5"/>
    </row>
    <row r="197" spans="1:4" x14ac:dyDescent="0.2">
      <c r="A197">
        <v>2015</v>
      </c>
      <c r="B197" s="13">
        <v>2330</v>
      </c>
      <c r="C197" s="14">
        <v>5300948</v>
      </c>
      <c r="D197" s="5"/>
    </row>
    <row r="198" spans="1:4" x14ac:dyDescent="0.2">
      <c r="A198">
        <v>2015</v>
      </c>
      <c r="B198" s="13">
        <v>2335</v>
      </c>
      <c r="C198" s="14">
        <v>5983799</v>
      </c>
      <c r="D198" s="5"/>
    </row>
    <row r="199" spans="1:4" x14ac:dyDescent="0.2">
      <c r="A199">
        <v>2015</v>
      </c>
      <c r="B199" s="13">
        <v>2338</v>
      </c>
      <c r="C199" s="14">
        <v>8351519</v>
      </c>
      <c r="D199" s="5"/>
    </row>
    <row r="200" spans="1:4" x14ac:dyDescent="0.2">
      <c r="A200">
        <v>2015</v>
      </c>
      <c r="B200" s="13">
        <v>2339</v>
      </c>
      <c r="C200" s="14">
        <v>2396196</v>
      </c>
      <c r="D200" s="5"/>
    </row>
    <row r="201" spans="1:4" x14ac:dyDescent="0.2">
      <c r="A201">
        <v>2015</v>
      </c>
      <c r="B201" s="13">
        <v>2340</v>
      </c>
      <c r="C201" s="14">
        <v>2694882</v>
      </c>
      <c r="D201" s="5"/>
    </row>
    <row r="202" spans="1:4" x14ac:dyDescent="0.2">
      <c r="A202">
        <v>2015</v>
      </c>
      <c r="B202" s="13">
        <v>2345</v>
      </c>
      <c r="C202" s="14">
        <v>3497379</v>
      </c>
      <c r="D202" s="5"/>
    </row>
    <row r="203" spans="1:4" x14ac:dyDescent="0.2">
      <c r="A203">
        <v>2015</v>
      </c>
      <c r="B203" s="13">
        <v>2350</v>
      </c>
      <c r="C203" s="14">
        <v>9559143</v>
      </c>
      <c r="D203" s="5"/>
    </row>
    <row r="204" spans="1:4" x14ac:dyDescent="0.2">
      <c r="A204">
        <v>2015</v>
      </c>
      <c r="B204" s="13">
        <v>2355</v>
      </c>
      <c r="C204" s="14">
        <v>6857442</v>
      </c>
      <c r="D204" s="5"/>
    </row>
    <row r="205" spans="1:4" x14ac:dyDescent="0.2">
      <c r="A205">
        <v>2015</v>
      </c>
      <c r="B205" s="13">
        <v>2360</v>
      </c>
      <c r="C205" s="14">
        <v>4929208</v>
      </c>
      <c r="D205" s="5"/>
    </row>
    <row r="206" spans="1:4" x14ac:dyDescent="0.2">
      <c r="A206">
        <v>2015</v>
      </c>
      <c r="B206" s="13">
        <v>2361</v>
      </c>
      <c r="C206" s="14">
        <v>2151547</v>
      </c>
      <c r="D206" s="5"/>
    </row>
    <row r="207" spans="1:4" x14ac:dyDescent="0.2">
      <c r="A207">
        <v>2015</v>
      </c>
      <c r="B207" s="13">
        <v>2362</v>
      </c>
      <c r="C207" s="14">
        <v>2454423</v>
      </c>
      <c r="D207" s="5"/>
    </row>
    <row r="208" spans="1:4" x14ac:dyDescent="0.2">
      <c r="A208">
        <v>2015</v>
      </c>
      <c r="B208" s="13">
        <v>2363</v>
      </c>
      <c r="C208" s="14">
        <v>1592869</v>
      </c>
      <c r="D208" s="5"/>
    </row>
    <row r="209" spans="1:4" x14ac:dyDescent="0.2">
      <c r="A209">
        <v>2015</v>
      </c>
      <c r="B209" s="13">
        <v>2364</v>
      </c>
      <c r="C209" s="14">
        <v>3004618</v>
      </c>
      <c r="D209" s="5"/>
    </row>
    <row r="210" spans="1:4" x14ac:dyDescent="0.2">
      <c r="A210">
        <v>2015</v>
      </c>
      <c r="B210" s="13">
        <v>2365</v>
      </c>
      <c r="C210" s="14">
        <v>14707385</v>
      </c>
      <c r="D210" s="5"/>
    </row>
    <row r="211" spans="1:4" x14ac:dyDescent="0.2">
      <c r="A211">
        <v>2015</v>
      </c>
      <c r="B211" s="13">
        <v>2370</v>
      </c>
      <c r="C211" s="14">
        <v>2451367</v>
      </c>
      <c r="D211" s="5"/>
    </row>
    <row r="212" spans="1:4" x14ac:dyDescent="0.2">
      <c r="A212">
        <v>2015</v>
      </c>
      <c r="B212" s="13">
        <v>2375</v>
      </c>
      <c r="C212" s="14">
        <v>2046928</v>
      </c>
      <c r="D212" s="5"/>
    </row>
    <row r="213" spans="1:4" x14ac:dyDescent="0.2">
      <c r="A213">
        <v>2015</v>
      </c>
      <c r="B213" s="13">
        <v>2377</v>
      </c>
      <c r="C213" s="14">
        <v>3073607</v>
      </c>
      <c r="D213" s="5"/>
    </row>
    <row r="214" spans="1:4" x14ac:dyDescent="0.2">
      <c r="A214">
        <v>2015</v>
      </c>
      <c r="B214" s="13">
        <v>2378</v>
      </c>
      <c r="C214" s="14">
        <v>15076947</v>
      </c>
      <c r="D214" s="5"/>
    </row>
    <row r="215" spans="1:4" x14ac:dyDescent="0.2">
      <c r="A215">
        <v>2015</v>
      </c>
      <c r="B215" s="13">
        <v>2379</v>
      </c>
      <c r="C215" s="14">
        <v>15498537</v>
      </c>
      <c r="D215" s="5"/>
    </row>
    <row r="216" spans="1:4" x14ac:dyDescent="0.2">
      <c r="A216">
        <v>2015</v>
      </c>
      <c r="B216" s="13">
        <v>2380</v>
      </c>
      <c r="C216" s="14">
        <v>6290543</v>
      </c>
      <c r="D216" s="5"/>
    </row>
    <row r="217" spans="1:4" x14ac:dyDescent="0.2">
      <c r="A217">
        <v>2015</v>
      </c>
      <c r="B217" s="13">
        <v>2381</v>
      </c>
      <c r="C217" s="14">
        <v>3089287</v>
      </c>
      <c r="D217" s="5"/>
    </row>
    <row r="218" spans="1:4" x14ac:dyDescent="0.2">
      <c r="A218">
        <v>2015</v>
      </c>
      <c r="B218" s="13">
        <v>2383</v>
      </c>
      <c r="C218" s="14">
        <v>11197190</v>
      </c>
      <c r="D218" s="5"/>
    </row>
    <row r="219" spans="1:4" x14ac:dyDescent="0.2">
      <c r="A219">
        <v>2015</v>
      </c>
      <c r="B219" s="13">
        <v>2384</v>
      </c>
      <c r="C219" s="14">
        <v>6529659</v>
      </c>
      <c r="D219" s="5"/>
    </row>
    <row r="220" spans="1:4" x14ac:dyDescent="0.2">
      <c r="A220">
        <v>2015</v>
      </c>
      <c r="B220" s="13">
        <v>2385</v>
      </c>
      <c r="C220" s="14">
        <v>4722386</v>
      </c>
      <c r="D220" s="5"/>
    </row>
    <row r="221" spans="1:4" x14ac:dyDescent="0.2">
      <c r="A221">
        <v>2015</v>
      </c>
      <c r="B221" s="13">
        <v>2389</v>
      </c>
      <c r="C221" s="14">
        <v>4285666</v>
      </c>
      <c r="D221" s="5"/>
    </row>
    <row r="222" spans="1:4" x14ac:dyDescent="0.2">
      <c r="A222">
        <v>2015</v>
      </c>
      <c r="B222" s="13">
        <v>2390</v>
      </c>
      <c r="C222" s="14">
        <v>8807921</v>
      </c>
      <c r="D222" s="5"/>
    </row>
    <row r="223" spans="1:4" x14ac:dyDescent="0.2">
      <c r="A223">
        <v>2015</v>
      </c>
      <c r="B223" s="13">
        <v>2391</v>
      </c>
      <c r="C223" s="14">
        <v>4375938</v>
      </c>
      <c r="D223" s="5"/>
    </row>
    <row r="224" spans="1:4" x14ac:dyDescent="0.2">
      <c r="A224">
        <v>2015</v>
      </c>
      <c r="B224" s="13">
        <v>2394</v>
      </c>
      <c r="C224" s="14">
        <v>2995770</v>
      </c>
      <c r="D224" s="5"/>
    </row>
    <row r="225" spans="1:4" x14ac:dyDescent="0.2">
      <c r="A225">
        <v>2015</v>
      </c>
      <c r="B225" s="13">
        <v>2395</v>
      </c>
      <c r="C225" s="14">
        <v>2453374</v>
      </c>
      <c r="D225" s="5"/>
    </row>
    <row r="226" spans="1:4" x14ac:dyDescent="0.2">
      <c r="A226">
        <v>2015</v>
      </c>
      <c r="B226" s="13">
        <v>2396</v>
      </c>
      <c r="C226" s="14">
        <v>1765519</v>
      </c>
      <c r="D226" s="4"/>
    </row>
    <row r="227" spans="1:4" x14ac:dyDescent="0.2">
      <c r="A227">
        <v>2015</v>
      </c>
      <c r="B227" s="13">
        <v>2400</v>
      </c>
      <c r="C227" s="14">
        <v>14623151</v>
      </c>
      <c r="D227" s="5"/>
    </row>
    <row r="228" spans="1:4" x14ac:dyDescent="0.2">
      <c r="A228">
        <v>2015</v>
      </c>
      <c r="B228" s="13">
        <v>2401</v>
      </c>
      <c r="C228" s="14">
        <v>3601126</v>
      </c>
      <c r="D228" s="5"/>
    </row>
    <row r="229" spans="1:4" x14ac:dyDescent="0.2">
      <c r="A229">
        <v>2015</v>
      </c>
      <c r="B229" s="13">
        <v>2402</v>
      </c>
      <c r="C229" s="14">
        <v>8389776</v>
      </c>
      <c r="D229" s="5"/>
    </row>
    <row r="230" spans="1:4" x14ac:dyDescent="0.2">
      <c r="A230">
        <v>2015</v>
      </c>
      <c r="B230" s="13">
        <v>2403</v>
      </c>
      <c r="C230" s="14">
        <v>3887673</v>
      </c>
      <c r="D230" s="5"/>
    </row>
    <row r="231" spans="1:4" x14ac:dyDescent="0.2">
      <c r="A231">
        <v>2015</v>
      </c>
      <c r="B231" s="13">
        <v>2405</v>
      </c>
      <c r="C231" s="14">
        <v>5091418</v>
      </c>
      <c r="D231" s="5"/>
    </row>
    <row r="232" spans="1:4" x14ac:dyDescent="0.2">
      <c r="A232">
        <v>2015</v>
      </c>
      <c r="B232" s="13">
        <v>2406</v>
      </c>
      <c r="C232" s="14">
        <v>6939054</v>
      </c>
      <c r="D232" s="5"/>
    </row>
    <row r="233" spans="1:4" x14ac:dyDescent="0.2">
      <c r="A233">
        <v>2015</v>
      </c>
      <c r="B233" s="13">
        <v>2408</v>
      </c>
      <c r="C233" s="14">
        <v>7456225</v>
      </c>
      <c r="D233" s="5"/>
    </row>
    <row r="234" spans="1:4" x14ac:dyDescent="0.2">
      <c r="A234">
        <v>2015</v>
      </c>
      <c r="B234" s="13">
        <v>2409</v>
      </c>
      <c r="C234" s="14">
        <v>1587402</v>
      </c>
      <c r="D234" s="5"/>
    </row>
    <row r="235" spans="1:4" x14ac:dyDescent="0.2">
      <c r="A235">
        <v>2015</v>
      </c>
      <c r="B235" s="13">
        <v>2410</v>
      </c>
      <c r="C235" s="14">
        <v>9677206</v>
      </c>
      <c r="D235" s="5"/>
    </row>
    <row r="236" spans="1:4" x14ac:dyDescent="0.2">
      <c r="A236">
        <v>2015</v>
      </c>
      <c r="B236" s="13">
        <v>2415</v>
      </c>
      <c r="C236" s="14">
        <v>11118099</v>
      </c>
      <c r="D236" s="5"/>
    </row>
    <row r="237" spans="1:4" x14ac:dyDescent="0.2">
      <c r="A237">
        <v>2015</v>
      </c>
      <c r="B237" s="13">
        <v>2420</v>
      </c>
      <c r="C237" s="14">
        <v>5535730</v>
      </c>
      <c r="D237" s="5"/>
    </row>
    <row r="238" spans="1:4" x14ac:dyDescent="0.2">
      <c r="A238">
        <v>2015</v>
      </c>
      <c r="B238" s="13">
        <v>2425</v>
      </c>
      <c r="C238" s="14">
        <v>11364165</v>
      </c>
      <c r="D238" s="5"/>
    </row>
    <row r="239" spans="1:4" x14ac:dyDescent="0.2">
      <c r="A239">
        <v>2015</v>
      </c>
      <c r="B239" s="13">
        <v>2426</v>
      </c>
      <c r="C239" s="14">
        <v>3187978</v>
      </c>
      <c r="D239" s="5"/>
    </row>
    <row r="240" spans="1:4" x14ac:dyDescent="0.2">
      <c r="A240">
        <v>2015</v>
      </c>
      <c r="B240" s="13">
        <v>2428</v>
      </c>
      <c r="C240" s="14">
        <v>5925299</v>
      </c>
      <c r="D240" s="5"/>
    </row>
    <row r="241" spans="1:4" x14ac:dyDescent="0.2">
      <c r="A241">
        <v>2015</v>
      </c>
      <c r="B241" s="13">
        <v>2430</v>
      </c>
      <c r="C241" s="14">
        <v>8838156</v>
      </c>
      <c r="D241" s="5"/>
    </row>
    <row r="242" spans="1:4" x14ac:dyDescent="0.2">
      <c r="A242">
        <v>2015</v>
      </c>
      <c r="B242" s="13">
        <v>2435</v>
      </c>
      <c r="C242" s="14">
        <v>2329991</v>
      </c>
      <c r="D242" s="5"/>
    </row>
    <row r="243" spans="1:4" x14ac:dyDescent="0.2">
      <c r="A243">
        <v>2015</v>
      </c>
      <c r="B243" s="13">
        <v>2440</v>
      </c>
      <c r="C243" s="14">
        <v>4068722</v>
      </c>
      <c r="D243" s="5"/>
    </row>
    <row r="244" spans="1:4" x14ac:dyDescent="0.2">
      <c r="A244">
        <v>2015</v>
      </c>
      <c r="B244" s="13">
        <v>2441</v>
      </c>
      <c r="C244" s="14">
        <v>2259563</v>
      </c>
      <c r="D244" s="5"/>
    </row>
    <row r="245" spans="1:4" x14ac:dyDescent="0.2">
      <c r="A245">
        <v>2015</v>
      </c>
      <c r="B245" s="13">
        <v>2445</v>
      </c>
      <c r="C245" s="14">
        <v>11303793</v>
      </c>
      <c r="D245" s="5"/>
    </row>
    <row r="246" spans="1:4" x14ac:dyDescent="0.2">
      <c r="A246">
        <v>2015</v>
      </c>
      <c r="B246" s="13">
        <v>2450</v>
      </c>
      <c r="C246" s="14">
        <v>4362706</v>
      </c>
      <c r="D246" s="5"/>
    </row>
    <row r="247" spans="1:4" x14ac:dyDescent="0.2">
      <c r="A247">
        <v>2015</v>
      </c>
      <c r="B247" s="13">
        <v>2455</v>
      </c>
      <c r="C247" s="14">
        <v>5544713</v>
      </c>
      <c r="D247" s="5"/>
    </row>
    <row r="248" spans="1:4" x14ac:dyDescent="0.2">
      <c r="A248">
        <v>2015</v>
      </c>
      <c r="B248" s="13">
        <v>2458</v>
      </c>
      <c r="C248" s="14">
        <v>5672302</v>
      </c>
      <c r="D248" s="5"/>
    </row>
    <row r="249" spans="1:4" x14ac:dyDescent="0.2">
      <c r="A249">
        <v>2015</v>
      </c>
      <c r="B249" s="13">
        <v>2460</v>
      </c>
      <c r="C249" s="14">
        <v>2006348</v>
      </c>
      <c r="D249" s="5"/>
    </row>
    <row r="250" spans="1:4" x14ac:dyDescent="0.2">
      <c r="A250">
        <v>2015</v>
      </c>
      <c r="B250" s="13">
        <v>2464</v>
      </c>
      <c r="C250" s="14">
        <v>1824557</v>
      </c>
      <c r="D250" s="5"/>
    </row>
    <row r="251" spans="1:4" x14ac:dyDescent="0.2">
      <c r="A251">
        <v>2015</v>
      </c>
      <c r="B251" s="13">
        <v>2465</v>
      </c>
      <c r="C251" s="14">
        <v>964390</v>
      </c>
      <c r="D251" s="5"/>
    </row>
    <row r="252" spans="1:4" x14ac:dyDescent="0.2">
      <c r="A252">
        <v>2015</v>
      </c>
      <c r="B252" s="13">
        <v>2466</v>
      </c>
      <c r="C252" s="14">
        <v>2124714</v>
      </c>
      <c r="D252" s="5"/>
    </row>
    <row r="253" spans="1:4" x14ac:dyDescent="0.2">
      <c r="A253">
        <v>2015</v>
      </c>
      <c r="B253" s="13">
        <v>2467</v>
      </c>
      <c r="C253" s="14">
        <v>3182178</v>
      </c>
      <c r="D253" s="5"/>
    </row>
    <row r="254" spans="1:4" x14ac:dyDescent="0.2">
      <c r="A254">
        <v>2015</v>
      </c>
      <c r="B254" s="13">
        <v>2468</v>
      </c>
      <c r="C254" s="14">
        <v>2638533</v>
      </c>
      <c r="D254" s="5"/>
    </row>
    <row r="255" spans="1:4" x14ac:dyDescent="0.2">
      <c r="A255">
        <v>2015</v>
      </c>
      <c r="B255" s="13">
        <v>2469</v>
      </c>
      <c r="C255" s="14">
        <v>7187788</v>
      </c>
      <c r="D255" s="5"/>
    </row>
    <row r="256" spans="1:4" x14ac:dyDescent="0.2">
      <c r="A256">
        <v>2015</v>
      </c>
      <c r="B256" s="13">
        <v>2470</v>
      </c>
      <c r="C256" s="14">
        <v>6442486</v>
      </c>
      <c r="D256" s="5"/>
    </row>
    <row r="257" spans="1:4" x14ac:dyDescent="0.2">
      <c r="A257">
        <v>2015</v>
      </c>
      <c r="B257" s="13">
        <v>2471</v>
      </c>
      <c r="C257" s="14">
        <v>7001073</v>
      </c>
      <c r="D257" s="5"/>
    </row>
    <row r="258" spans="1:4" x14ac:dyDescent="0.2">
      <c r="A258">
        <v>2015</v>
      </c>
      <c r="B258" s="13">
        <v>2475</v>
      </c>
      <c r="C258" s="14">
        <v>10523926</v>
      </c>
      <c r="D258" s="5"/>
    </row>
    <row r="259" spans="1:4" x14ac:dyDescent="0.2">
      <c r="A259">
        <v>2015</v>
      </c>
      <c r="B259" s="13">
        <v>2480</v>
      </c>
      <c r="C259" s="14">
        <v>3470844</v>
      </c>
      <c r="D259" s="5"/>
    </row>
    <row r="260" spans="1:4" x14ac:dyDescent="0.2">
      <c r="A260">
        <v>2015</v>
      </c>
      <c r="B260" s="13">
        <v>2485</v>
      </c>
      <c r="C260" s="14">
        <v>6663127</v>
      </c>
      <c r="D260" s="5"/>
    </row>
    <row r="261" spans="1:4" x14ac:dyDescent="0.2">
      <c r="A261">
        <v>2015</v>
      </c>
      <c r="B261" s="13">
        <v>2490</v>
      </c>
      <c r="C261" s="14">
        <v>10539634</v>
      </c>
      <c r="D261" s="5"/>
    </row>
    <row r="262" spans="1:4" x14ac:dyDescent="0.2">
      <c r="A262">
        <v>2015</v>
      </c>
      <c r="B262" s="13">
        <v>2495</v>
      </c>
      <c r="C262" s="14">
        <v>1300086</v>
      </c>
      <c r="D262" s="5"/>
    </row>
    <row r="263" spans="1:4" x14ac:dyDescent="0.2">
      <c r="A263">
        <v>2015</v>
      </c>
      <c r="B263" s="13">
        <v>2497</v>
      </c>
      <c r="C263" s="14">
        <v>3530086</v>
      </c>
      <c r="D263" s="5"/>
    </row>
    <row r="264" spans="1:4" x14ac:dyDescent="0.2">
      <c r="A264">
        <v>2015</v>
      </c>
      <c r="B264" s="13">
        <v>2498</v>
      </c>
      <c r="C264" s="14">
        <v>3042633</v>
      </c>
      <c r="D264" s="5"/>
    </row>
    <row r="265" spans="1:4" x14ac:dyDescent="0.2">
      <c r="A265">
        <v>2015</v>
      </c>
      <c r="B265" s="13">
        <v>2500</v>
      </c>
      <c r="C265" s="14">
        <v>8411137</v>
      </c>
      <c r="D265" s="5"/>
    </row>
    <row r="266" spans="1:4" x14ac:dyDescent="0.2">
      <c r="A266">
        <v>2015</v>
      </c>
      <c r="B266" s="13">
        <v>2504</v>
      </c>
      <c r="C266" s="14">
        <v>4859263</v>
      </c>
      <c r="D266" s="5"/>
    </row>
    <row r="267" spans="1:4" x14ac:dyDescent="0.2">
      <c r="A267">
        <v>2015</v>
      </c>
      <c r="B267" s="13">
        <v>2505</v>
      </c>
      <c r="C267" s="14">
        <v>7255007</v>
      </c>
      <c r="D267" s="5"/>
    </row>
    <row r="268" spans="1:4" x14ac:dyDescent="0.2">
      <c r="A268">
        <v>2015</v>
      </c>
      <c r="B268" s="13">
        <v>2507</v>
      </c>
      <c r="C268" s="14">
        <v>1357203</v>
      </c>
      <c r="D268" s="5"/>
    </row>
    <row r="269" spans="1:4" x14ac:dyDescent="0.2">
      <c r="A269">
        <v>2015</v>
      </c>
      <c r="B269" s="13">
        <v>2508</v>
      </c>
      <c r="C269" s="14">
        <v>3930014</v>
      </c>
      <c r="D269" s="5"/>
    </row>
    <row r="270" spans="1:4" x14ac:dyDescent="0.2">
      <c r="A270">
        <v>2015</v>
      </c>
      <c r="B270" s="13">
        <v>2509</v>
      </c>
      <c r="C270" s="14">
        <v>6996948</v>
      </c>
      <c r="D270" s="5"/>
    </row>
    <row r="271" spans="1:4" x14ac:dyDescent="0.2">
      <c r="A271">
        <v>2015</v>
      </c>
      <c r="B271" s="13">
        <v>2510</v>
      </c>
      <c r="C271" s="14">
        <v>2936876</v>
      </c>
      <c r="D271" s="4"/>
    </row>
    <row r="272" spans="1:4" x14ac:dyDescent="0.2">
      <c r="A272">
        <v>2015</v>
      </c>
      <c r="B272" s="13">
        <v>2512</v>
      </c>
      <c r="C272" s="14">
        <v>21447996</v>
      </c>
      <c r="D272" s="5"/>
    </row>
    <row r="273" spans="1:4" x14ac:dyDescent="0.2">
      <c r="A273">
        <v>2015</v>
      </c>
      <c r="B273" s="13">
        <v>2514</v>
      </c>
      <c r="C273" s="14">
        <v>1946261</v>
      </c>
      <c r="D273" s="5"/>
    </row>
    <row r="274" spans="1:4" x14ac:dyDescent="0.2">
      <c r="A274">
        <v>2015</v>
      </c>
      <c r="B274" s="13">
        <v>2515</v>
      </c>
      <c r="C274" s="14">
        <v>1691507</v>
      </c>
      <c r="D274" s="5"/>
    </row>
    <row r="275" spans="1:4" x14ac:dyDescent="0.2">
      <c r="A275">
        <v>2015</v>
      </c>
      <c r="B275" s="13">
        <v>2520</v>
      </c>
      <c r="C275" s="14">
        <v>3876961</v>
      </c>
      <c r="D275" s="5"/>
    </row>
    <row r="276" spans="1:4" x14ac:dyDescent="0.2">
      <c r="A276">
        <v>2015</v>
      </c>
      <c r="B276" s="13">
        <v>2525</v>
      </c>
      <c r="C276" s="14">
        <v>5542546</v>
      </c>
      <c r="D276" s="5"/>
    </row>
    <row r="277" spans="1:4" x14ac:dyDescent="0.2">
      <c r="A277">
        <v>2015</v>
      </c>
      <c r="B277" s="13">
        <v>2530</v>
      </c>
      <c r="C277" s="14">
        <v>10762729</v>
      </c>
      <c r="D277" s="5"/>
    </row>
    <row r="278" spans="1:4" x14ac:dyDescent="0.2">
      <c r="A278">
        <v>2015</v>
      </c>
      <c r="B278" s="13">
        <v>2533</v>
      </c>
      <c r="C278" s="14">
        <v>2583771</v>
      </c>
      <c r="D278" s="5"/>
    </row>
    <row r="279" spans="1:4" x14ac:dyDescent="0.2">
      <c r="A279">
        <v>2015</v>
      </c>
      <c r="B279" s="13">
        <v>2535</v>
      </c>
      <c r="C279" s="14">
        <v>3170816</v>
      </c>
      <c r="D279" s="5"/>
    </row>
    <row r="280" spans="1:4" x14ac:dyDescent="0.2">
      <c r="A280">
        <v>2015</v>
      </c>
      <c r="B280" s="13">
        <v>2540</v>
      </c>
      <c r="C280" s="14">
        <v>7096070</v>
      </c>
      <c r="D280" s="5"/>
    </row>
    <row r="281" spans="1:4" x14ac:dyDescent="0.2">
      <c r="A281">
        <v>2015</v>
      </c>
      <c r="B281" s="13">
        <v>2541</v>
      </c>
      <c r="C281" s="14">
        <v>4526707</v>
      </c>
      <c r="D281" s="5"/>
    </row>
    <row r="282" spans="1:4" x14ac:dyDescent="0.2">
      <c r="A282">
        <v>2015</v>
      </c>
      <c r="B282" s="13">
        <v>2542</v>
      </c>
      <c r="C282" s="14">
        <v>2809010</v>
      </c>
      <c r="D282" s="5"/>
    </row>
    <row r="283" spans="1:4" x14ac:dyDescent="0.2">
      <c r="A283">
        <v>2015</v>
      </c>
      <c r="B283" s="13">
        <v>2545</v>
      </c>
      <c r="C283" s="14">
        <v>1401578</v>
      </c>
      <c r="D283" s="5"/>
    </row>
    <row r="284" spans="1:4" x14ac:dyDescent="0.2">
      <c r="A284">
        <v>2015</v>
      </c>
      <c r="B284" s="13">
        <v>2547</v>
      </c>
      <c r="C284" s="14">
        <v>9777615</v>
      </c>
      <c r="D284" s="5"/>
    </row>
    <row r="285" spans="1:4" x14ac:dyDescent="0.2">
      <c r="A285">
        <v>2015</v>
      </c>
      <c r="B285" s="13">
        <v>2550</v>
      </c>
      <c r="C285" s="14">
        <v>1248376</v>
      </c>
      <c r="D285" s="5"/>
    </row>
    <row r="286" spans="1:4" x14ac:dyDescent="0.2">
      <c r="A286">
        <v>2015</v>
      </c>
      <c r="B286" s="13">
        <v>2551</v>
      </c>
      <c r="C286" s="14">
        <v>1800206</v>
      </c>
      <c r="D286" s="5"/>
    </row>
    <row r="287" spans="1:4" x14ac:dyDescent="0.2">
      <c r="A287">
        <v>2015</v>
      </c>
      <c r="B287" s="13">
        <v>2555</v>
      </c>
      <c r="C287" s="14">
        <v>1904513</v>
      </c>
      <c r="D287" s="5"/>
    </row>
    <row r="288" spans="1:4" x14ac:dyDescent="0.2">
      <c r="A288">
        <v>2015</v>
      </c>
      <c r="B288" s="13">
        <v>2557</v>
      </c>
      <c r="C288" s="14">
        <v>15496316</v>
      </c>
      <c r="D288" s="5"/>
    </row>
    <row r="289" spans="1:4" x14ac:dyDescent="0.2">
      <c r="A289">
        <v>2015</v>
      </c>
      <c r="B289" s="13">
        <v>2559</v>
      </c>
      <c r="C289" s="14">
        <v>1586362</v>
      </c>
      <c r="D289" s="5"/>
    </row>
    <row r="290" spans="1:4" x14ac:dyDescent="0.2">
      <c r="A290">
        <v>2015</v>
      </c>
      <c r="B290" s="13">
        <v>2560</v>
      </c>
      <c r="C290" s="14">
        <v>1923019</v>
      </c>
      <c r="D290" s="5"/>
    </row>
    <row r="291" spans="1:4" x14ac:dyDescent="0.2">
      <c r="A291">
        <v>2015</v>
      </c>
      <c r="B291" s="13">
        <v>2561</v>
      </c>
      <c r="C291" s="14">
        <v>6220543</v>
      </c>
      <c r="D291" s="5"/>
    </row>
    <row r="292" spans="1:4" x14ac:dyDescent="0.2">
      <c r="A292">
        <v>2015</v>
      </c>
      <c r="B292" s="13">
        <v>2562</v>
      </c>
      <c r="C292" s="14">
        <v>7190636</v>
      </c>
      <c r="D292" s="5"/>
    </row>
    <row r="293" spans="1:4" x14ac:dyDescent="0.2">
      <c r="A293">
        <v>2015</v>
      </c>
      <c r="B293" s="13">
        <v>2563</v>
      </c>
      <c r="C293" s="14">
        <v>7669898</v>
      </c>
      <c r="D293" s="5"/>
    </row>
    <row r="294" spans="1:4" x14ac:dyDescent="0.2">
      <c r="A294">
        <v>2015</v>
      </c>
      <c r="B294" s="13">
        <v>2564</v>
      </c>
      <c r="C294" s="14">
        <v>10004554</v>
      </c>
      <c r="D294" s="5"/>
    </row>
    <row r="295" spans="1:4" x14ac:dyDescent="0.2">
      <c r="A295">
        <v>2015</v>
      </c>
      <c r="B295" s="13">
        <v>2565</v>
      </c>
      <c r="C295" s="14">
        <v>6486699</v>
      </c>
      <c r="D295" s="5"/>
    </row>
    <row r="296" spans="1:4" x14ac:dyDescent="0.2">
      <c r="A296">
        <v>2015</v>
      </c>
      <c r="B296" s="13">
        <v>2570</v>
      </c>
      <c r="C296" s="14">
        <v>4190716</v>
      </c>
      <c r="D296" s="5"/>
    </row>
    <row r="297" spans="1:4" x14ac:dyDescent="0.2">
      <c r="A297">
        <v>2015</v>
      </c>
      <c r="B297" s="13">
        <v>2573</v>
      </c>
      <c r="C297" s="14">
        <v>4382453</v>
      </c>
      <c r="D297" s="5"/>
    </row>
    <row r="298" spans="1:4" x14ac:dyDescent="0.2">
      <c r="A298">
        <v>2015</v>
      </c>
      <c r="B298" s="13">
        <v>2574</v>
      </c>
      <c r="C298" s="14">
        <v>1514787</v>
      </c>
      <c r="D298" s="5"/>
    </row>
    <row r="299" spans="1:4" x14ac:dyDescent="0.2">
      <c r="A299">
        <v>2015</v>
      </c>
      <c r="B299" s="13">
        <v>2575</v>
      </c>
      <c r="C299" s="14">
        <v>14483831</v>
      </c>
      <c r="D299" s="5"/>
    </row>
    <row r="300" spans="1:4" x14ac:dyDescent="0.2">
      <c r="A300">
        <v>2015</v>
      </c>
      <c r="B300" s="13">
        <v>2576</v>
      </c>
      <c r="C300" s="14">
        <v>3009195</v>
      </c>
      <c r="D300" s="5"/>
    </row>
    <row r="301" spans="1:4" x14ac:dyDescent="0.2">
      <c r="A301">
        <v>2015</v>
      </c>
      <c r="B301" s="13">
        <v>2580</v>
      </c>
      <c r="C301" s="14">
        <v>8262884</v>
      </c>
      <c r="D301" s="5"/>
    </row>
    <row r="302" spans="1:4" x14ac:dyDescent="0.2">
      <c r="A302">
        <v>2015</v>
      </c>
      <c r="B302" s="13">
        <v>2582</v>
      </c>
      <c r="C302" s="14">
        <v>2013701</v>
      </c>
      <c r="D302" s="5"/>
    </row>
    <row r="303" spans="1:4" x14ac:dyDescent="0.2">
      <c r="A303">
        <v>2015</v>
      </c>
      <c r="B303" s="13">
        <v>2584</v>
      </c>
      <c r="C303" s="14">
        <v>4817632</v>
      </c>
      <c r="D303" s="5"/>
    </row>
    <row r="304" spans="1:4" x14ac:dyDescent="0.2">
      <c r="A304">
        <v>2015</v>
      </c>
      <c r="B304" s="13">
        <v>2585</v>
      </c>
      <c r="C304" s="14">
        <v>17277839</v>
      </c>
      <c r="D304" s="5"/>
    </row>
    <row r="305" spans="1:4" x14ac:dyDescent="0.2">
      <c r="A305">
        <v>2015</v>
      </c>
      <c r="B305" s="13">
        <v>2590</v>
      </c>
      <c r="C305" s="14">
        <v>5348692</v>
      </c>
      <c r="D305" s="5"/>
    </row>
    <row r="306" spans="1:4" x14ac:dyDescent="0.2">
      <c r="A306">
        <v>2015</v>
      </c>
      <c r="B306" s="13">
        <v>2593</v>
      </c>
      <c r="C306" s="14">
        <v>12689211</v>
      </c>
      <c r="D306" s="5"/>
    </row>
    <row r="307" spans="1:4" x14ac:dyDescent="0.2">
      <c r="A307">
        <v>2015</v>
      </c>
      <c r="B307" s="13">
        <v>2595</v>
      </c>
      <c r="C307" s="14">
        <v>1123223</v>
      </c>
      <c r="D307" s="5"/>
    </row>
    <row r="308" spans="1:4" x14ac:dyDescent="0.2">
      <c r="A308">
        <v>2015</v>
      </c>
      <c r="B308" s="13">
        <v>2600</v>
      </c>
      <c r="C308" s="14">
        <v>1926512</v>
      </c>
      <c r="D308" s="5"/>
    </row>
    <row r="309" spans="1:4" x14ac:dyDescent="0.2">
      <c r="A309">
        <v>2015</v>
      </c>
      <c r="B309" s="13">
        <v>2605</v>
      </c>
      <c r="C309" s="14">
        <v>984244</v>
      </c>
      <c r="D309" s="5"/>
    </row>
    <row r="310" spans="1:4" x14ac:dyDescent="0.2">
      <c r="A310">
        <v>2015</v>
      </c>
      <c r="B310" s="13">
        <v>2610</v>
      </c>
      <c r="C310" s="14">
        <v>13697771</v>
      </c>
      <c r="D310" s="5"/>
    </row>
    <row r="311" spans="1:4" x14ac:dyDescent="0.2">
      <c r="A311">
        <v>2015</v>
      </c>
      <c r="B311" s="13">
        <v>2611</v>
      </c>
      <c r="C311" s="14">
        <v>3981048</v>
      </c>
      <c r="D311" s="5"/>
    </row>
    <row r="312" spans="1:4" x14ac:dyDescent="0.2">
      <c r="A312">
        <v>2015</v>
      </c>
      <c r="B312" s="13">
        <v>2612</v>
      </c>
      <c r="C312" s="14">
        <v>4420835</v>
      </c>
      <c r="D312" s="5"/>
    </row>
    <row r="313" spans="1:4" x14ac:dyDescent="0.2">
      <c r="A313">
        <v>2015</v>
      </c>
      <c r="B313" s="13">
        <v>2613</v>
      </c>
      <c r="C313" s="14">
        <v>4178090</v>
      </c>
      <c r="D313" s="5"/>
    </row>
    <row r="314" spans="1:4" x14ac:dyDescent="0.2">
      <c r="A314">
        <v>2015</v>
      </c>
      <c r="B314" s="13">
        <v>2614</v>
      </c>
      <c r="C314" s="14">
        <v>5665654</v>
      </c>
      <c r="D314" s="5"/>
    </row>
    <row r="315" spans="1:4" x14ac:dyDescent="0.2">
      <c r="A315">
        <v>2015</v>
      </c>
      <c r="B315" s="13">
        <v>2615</v>
      </c>
      <c r="C315" s="14">
        <v>14937467</v>
      </c>
      <c r="D315" s="5"/>
    </row>
    <row r="316" spans="1:4" x14ac:dyDescent="0.2">
      <c r="A316">
        <v>2015</v>
      </c>
      <c r="B316" s="13">
        <v>2616</v>
      </c>
      <c r="C316" s="14">
        <v>5447319</v>
      </c>
      <c r="D316" s="4"/>
    </row>
    <row r="317" spans="1:4" x14ac:dyDescent="0.2">
      <c r="A317">
        <v>2015</v>
      </c>
      <c r="B317" s="13">
        <v>2617</v>
      </c>
      <c r="C317" s="14">
        <v>5877957</v>
      </c>
      <c r="D317" s="5"/>
    </row>
    <row r="318" spans="1:4" x14ac:dyDescent="0.2">
      <c r="A318">
        <v>2015</v>
      </c>
      <c r="B318" s="13">
        <v>2618</v>
      </c>
      <c r="C318" s="14">
        <v>1408570</v>
      </c>
      <c r="D318" s="5"/>
    </row>
    <row r="319" spans="1:4" x14ac:dyDescent="0.2">
      <c r="A319">
        <v>2015</v>
      </c>
      <c r="B319" s="13">
        <v>2619</v>
      </c>
      <c r="C319" s="14">
        <v>3171575</v>
      </c>
      <c r="D319" s="5"/>
    </row>
    <row r="320" spans="1:4" x14ac:dyDescent="0.2">
      <c r="A320">
        <v>2015</v>
      </c>
      <c r="B320" s="13">
        <v>2620</v>
      </c>
      <c r="C320" s="14">
        <v>1089101</v>
      </c>
      <c r="D320" s="5"/>
    </row>
    <row r="321" spans="1:4" x14ac:dyDescent="0.2">
      <c r="A321">
        <v>2015</v>
      </c>
      <c r="B321" s="13">
        <v>2625</v>
      </c>
      <c r="C321" s="14">
        <v>1879780</v>
      </c>
      <c r="D321" s="5"/>
    </row>
    <row r="322" spans="1:4" x14ac:dyDescent="0.2">
      <c r="A322">
        <v>2015</v>
      </c>
      <c r="B322" s="13">
        <v>2626</v>
      </c>
      <c r="C322" s="14">
        <v>1389163</v>
      </c>
      <c r="D322" s="5"/>
    </row>
    <row r="323" spans="1:4" x14ac:dyDescent="0.2">
      <c r="A323">
        <v>2015</v>
      </c>
      <c r="B323" s="13">
        <v>2630</v>
      </c>
      <c r="C323" s="14">
        <v>1598930</v>
      </c>
      <c r="D323" s="5"/>
    </row>
    <row r="324" spans="1:4" x14ac:dyDescent="0.2">
      <c r="A324">
        <v>2015</v>
      </c>
      <c r="B324" s="13">
        <v>2632</v>
      </c>
      <c r="C324" s="14">
        <v>2976116</v>
      </c>
      <c r="D324" s="5"/>
    </row>
    <row r="325" spans="1:4" x14ac:dyDescent="0.2">
      <c r="A325">
        <v>2015</v>
      </c>
      <c r="B325" s="13">
        <v>2633</v>
      </c>
      <c r="C325" s="14">
        <v>10366494</v>
      </c>
      <c r="D325" s="5"/>
    </row>
    <row r="326" spans="1:4" x14ac:dyDescent="0.2">
      <c r="A326">
        <v>2015</v>
      </c>
      <c r="B326" s="13">
        <v>2635</v>
      </c>
      <c r="C326" s="14">
        <v>1372539</v>
      </c>
      <c r="D326" s="5"/>
    </row>
    <row r="327" spans="1:4" x14ac:dyDescent="0.2">
      <c r="A327">
        <v>2015</v>
      </c>
      <c r="B327" s="13">
        <v>2640</v>
      </c>
      <c r="C327" s="14">
        <v>3789548</v>
      </c>
      <c r="D327" s="5"/>
    </row>
    <row r="328" spans="1:4" x14ac:dyDescent="0.2">
      <c r="A328">
        <v>2015</v>
      </c>
      <c r="B328" s="13">
        <v>2641</v>
      </c>
      <c r="C328" s="14">
        <v>2061811</v>
      </c>
      <c r="D328" s="5"/>
    </row>
    <row r="329" spans="1:4" x14ac:dyDescent="0.2">
      <c r="A329">
        <v>2015</v>
      </c>
      <c r="B329" s="13">
        <v>2642</v>
      </c>
      <c r="C329" s="14">
        <v>8472150</v>
      </c>
      <c r="D329" s="5"/>
    </row>
    <row r="330" spans="1:4" x14ac:dyDescent="0.2">
      <c r="A330">
        <v>2015</v>
      </c>
      <c r="B330" s="13">
        <v>2643</v>
      </c>
      <c r="C330" s="14">
        <v>7968569</v>
      </c>
      <c r="D330" s="5"/>
    </row>
    <row r="331" spans="1:4" x14ac:dyDescent="0.2">
      <c r="A331">
        <v>2015</v>
      </c>
      <c r="B331" s="13">
        <v>2644</v>
      </c>
      <c r="C331" s="14">
        <v>7174683</v>
      </c>
      <c r="D331" s="5"/>
    </row>
    <row r="332" spans="1:4" x14ac:dyDescent="0.2">
      <c r="A332">
        <v>2015</v>
      </c>
      <c r="B332" s="13">
        <v>2645</v>
      </c>
      <c r="C332" s="14">
        <v>8670974</v>
      </c>
      <c r="D332" s="5"/>
    </row>
    <row r="333" spans="1:4" x14ac:dyDescent="0.2">
      <c r="A333">
        <v>2015</v>
      </c>
      <c r="B333" s="13">
        <v>2648</v>
      </c>
      <c r="C333" s="14">
        <v>1776761</v>
      </c>
      <c r="D333" s="5"/>
    </row>
    <row r="334" spans="1:4" x14ac:dyDescent="0.2">
      <c r="A334">
        <v>2015</v>
      </c>
      <c r="B334" s="13">
        <v>2649</v>
      </c>
      <c r="C334" s="14">
        <v>3647122</v>
      </c>
      <c r="D334" s="5"/>
    </row>
    <row r="335" spans="1:4" x14ac:dyDescent="0.2">
      <c r="A335">
        <v>2015</v>
      </c>
      <c r="B335" s="13">
        <v>2650</v>
      </c>
      <c r="C335" s="14">
        <v>823049</v>
      </c>
      <c r="D335" s="5"/>
    </row>
    <row r="336" spans="1:4" x14ac:dyDescent="0.2">
      <c r="A336">
        <v>2015</v>
      </c>
      <c r="B336" s="13">
        <v>2651</v>
      </c>
      <c r="C336" s="14">
        <v>12253957</v>
      </c>
      <c r="D336" s="5"/>
    </row>
    <row r="337" spans="1:4" x14ac:dyDescent="0.2">
      <c r="A337">
        <v>2015</v>
      </c>
      <c r="B337" s="13">
        <v>2652</v>
      </c>
      <c r="C337" s="14">
        <v>1496227</v>
      </c>
      <c r="D337" s="5"/>
    </row>
    <row r="338" spans="1:4" x14ac:dyDescent="0.2">
      <c r="A338">
        <v>2015</v>
      </c>
      <c r="B338" s="13">
        <v>2653</v>
      </c>
      <c r="C338" s="14">
        <v>2074312</v>
      </c>
      <c r="D338" s="5"/>
    </row>
    <row r="339" spans="1:4" x14ac:dyDescent="0.2">
      <c r="A339">
        <v>2015</v>
      </c>
      <c r="B339" s="13">
        <v>2654</v>
      </c>
      <c r="C339" s="14">
        <v>13464835</v>
      </c>
      <c r="D339" s="5"/>
    </row>
    <row r="340" spans="1:4" x14ac:dyDescent="0.2">
      <c r="A340">
        <v>2015</v>
      </c>
      <c r="B340" s="13">
        <v>2655</v>
      </c>
      <c r="C340" s="14">
        <v>7328591</v>
      </c>
      <c r="D340" s="5"/>
    </row>
    <row r="341" spans="1:4" x14ac:dyDescent="0.2">
      <c r="A341">
        <v>2015</v>
      </c>
      <c r="B341" s="13">
        <v>2656</v>
      </c>
      <c r="C341" s="14">
        <v>7179066</v>
      </c>
      <c r="D341" s="5"/>
    </row>
    <row r="342" spans="1:4" x14ac:dyDescent="0.2">
      <c r="A342">
        <v>2015</v>
      </c>
      <c r="B342" s="13">
        <v>3032</v>
      </c>
      <c r="C342" s="14">
        <v>994622</v>
      </c>
      <c r="D342" s="5"/>
    </row>
    <row r="343" spans="1:4" x14ac:dyDescent="0.2">
      <c r="A343">
        <v>2015</v>
      </c>
      <c r="B343" s="13">
        <v>3041</v>
      </c>
      <c r="C343" s="14">
        <v>414286</v>
      </c>
      <c r="D343" s="5"/>
    </row>
    <row r="344" spans="1:4" x14ac:dyDescent="0.2">
      <c r="A344">
        <v>2015</v>
      </c>
      <c r="B344" s="13">
        <v>3042</v>
      </c>
      <c r="C344" s="14">
        <v>1204297</v>
      </c>
      <c r="D344" s="5"/>
    </row>
    <row r="345" spans="1:4" x14ac:dyDescent="0.2">
      <c r="A345">
        <v>2015</v>
      </c>
      <c r="B345" s="13">
        <v>3043</v>
      </c>
      <c r="C345" s="14">
        <v>1227001</v>
      </c>
      <c r="D345" s="5"/>
    </row>
    <row r="346" spans="1:4" x14ac:dyDescent="0.2">
      <c r="A346">
        <v>2015</v>
      </c>
      <c r="B346" s="13">
        <v>3044</v>
      </c>
      <c r="C346" s="14">
        <v>866348</v>
      </c>
      <c r="D346" s="5"/>
    </row>
    <row r="347" spans="1:4" x14ac:dyDescent="0.2">
      <c r="A347">
        <v>2015</v>
      </c>
      <c r="B347" s="13">
        <v>3048</v>
      </c>
      <c r="C347" s="14">
        <v>380950</v>
      </c>
      <c r="D347" s="5"/>
    </row>
    <row r="348" spans="1:4" x14ac:dyDescent="0.2">
      <c r="A348">
        <v>2015</v>
      </c>
      <c r="B348" s="13">
        <v>3077</v>
      </c>
      <c r="C348" s="14">
        <v>1030148</v>
      </c>
      <c r="D348" s="5"/>
    </row>
    <row r="349" spans="1:4" x14ac:dyDescent="0.2">
      <c r="A349">
        <v>2015</v>
      </c>
      <c r="B349" s="13">
        <v>3078</v>
      </c>
      <c r="C349" s="14">
        <v>439825</v>
      </c>
      <c r="D349" s="5"/>
    </row>
    <row r="350" spans="1:4" x14ac:dyDescent="0.2">
      <c r="A350">
        <v>2015</v>
      </c>
      <c r="B350" s="13">
        <v>3079</v>
      </c>
      <c r="C350" s="14">
        <v>285307</v>
      </c>
      <c r="D350" s="5"/>
    </row>
    <row r="351" spans="1:4" x14ac:dyDescent="0.2">
      <c r="A351">
        <v>2015</v>
      </c>
      <c r="B351" s="13">
        <v>3081</v>
      </c>
      <c r="C351" s="14">
        <v>521834</v>
      </c>
      <c r="D351" s="5"/>
    </row>
    <row r="352" spans="1:4" x14ac:dyDescent="0.2">
      <c r="A352">
        <v>2015</v>
      </c>
      <c r="B352" s="13">
        <v>3082</v>
      </c>
      <c r="C352" s="14">
        <v>919367</v>
      </c>
      <c r="D352" s="5"/>
    </row>
    <row r="353" spans="1:4" x14ac:dyDescent="0.2">
      <c r="A353">
        <v>2015</v>
      </c>
      <c r="B353" s="13">
        <v>3101</v>
      </c>
      <c r="C353" s="14">
        <v>406046</v>
      </c>
      <c r="D353" s="5"/>
    </row>
    <row r="354" spans="1:4" x14ac:dyDescent="0.2">
      <c r="A354">
        <v>2015</v>
      </c>
      <c r="B354" s="13">
        <v>3105</v>
      </c>
      <c r="C354" s="14">
        <v>446015</v>
      </c>
      <c r="D354" s="5"/>
    </row>
    <row r="355" spans="1:4" x14ac:dyDescent="0.2">
      <c r="A355">
        <v>2015</v>
      </c>
      <c r="B355" s="13">
        <v>3106</v>
      </c>
      <c r="C355" s="14">
        <v>714555</v>
      </c>
      <c r="D355" s="5"/>
    </row>
    <row r="356" spans="1:4" x14ac:dyDescent="0.2">
      <c r="A356">
        <v>2015</v>
      </c>
      <c r="B356" s="13">
        <v>3107</v>
      </c>
      <c r="C356" s="14">
        <v>717577</v>
      </c>
      <c r="D356" s="5"/>
    </row>
    <row r="357" spans="1:4" x14ac:dyDescent="0.2">
      <c r="A357">
        <v>2015</v>
      </c>
      <c r="B357" s="13">
        <v>3126</v>
      </c>
      <c r="C357" s="14">
        <v>1112189</v>
      </c>
      <c r="D357" s="5"/>
    </row>
    <row r="358" spans="1:4" x14ac:dyDescent="0.2">
      <c r="A358">
        <v>2015</v>
      </c>
      <c r="B358" s="13">
        <v>3128</v>
      </c>
      <c r="C358" s="14">
        <v>742227</v>
      </c>
      <c r="D358" s="5"/>
    </row>
    <row r="359" spans="1:4" x14ac:dyDescent="0.2">
      <c r="A359">
        <v>2015</v>
      </c>
      <c r="B359" s="13">
        <v>3178</v>
      </c>
      <c r="C359" s="14">
        <v>1313790</v>
      </c>
      <c r="D359" s="5"/>
    </row>
    <row r="360" spans="1:4" x14ac:dyDescent="0.2">
      <c r="A360">
        <v>2015</v>
      </c>
      <c r="B360" s="13">
        <v>3179</v>
      </c>
      <c r="C360" s="14">
        <v>860426</v>
      </c>
      <c r="D360" s="5"/>
    </row>
    <row r="361" spans="1:4" x14ac:dyDescent="0.2">
      <c r="A361">
        <v>2015</v>
      </c>
      <c r="B361" s="13">
        <v>3201</v>
      </c>
      <c r="C361" s="14">
        <v>526535</v>
      </c>
      <c r="D361" s="4"/>
    </row>
    <row r="362" spans="1:4" x14ac:dyDescent="0.2">
      <c r="A362">
        <v>2015</v>
      </c>
      <c r="B362" s="13">
        <v>3202</v>
      </c>
      <c r="C362" s="14">
        <v>870335</v>
      </c>
      <c r="D362" s="5"/>
    </row>
    <row r="363" spans="1:4" x14ac:dyDescent="0.2">
      <c r="A363">
        <v>2015</v>
      </c>
      <c r="B363" s="13">
        <v>3204</v>
      </c>
      <c r="C363" s="14">
        <v>912914</v>
      </c>
      <c r="D363" s="5"/>
    </row>
    <row r="364" spans="1:4" x14ac:dyDescent="0.2">
      <c r="A364">
        <v>2015</v>
      </c>
      <c r="B364" s="13">
        <v>3206</v>
      </c>
      <c r="C364" s="14">
        <v>984773</v>
      </c>
      <c r="D364" s="5"/>
    </row>
    <row r="365" spans="1:4" x14ac:dyDescent="0.2">
      <c r="A365">
        <v>2015</v>
      </c>
      <c r="B365" s="13">
        <v>3208</v>
      </c>
      <c r="C365" s="14">
        <v>450290</v>
      </c>
      <c r="D365" s="5"/>
    </row>
    <row r="366" spans="1:4" x14ac:dyDescent="0.2">
      <c r="A366">
        <v>2015</v>
      </c>
      <c r="B366" s="13">
        <v>3226</v>
      </c>
      <c r="C366" s="14">
        <v>1263980</v>
      </c>
      <c r="D366" s="5"/>
    </row>
    <row r="367" spans="1:4" x14ac:dyDescent="0.2">
      <c r="A367">
        <v>2015</v>
      </c>
      <c r="B367" s="13">
        <v>3229</v>
      </c>
      <c r="C367" s="14">
        <v>703164</v>
      </c>
      <c r="D367" s="5"/>
    </row>
    <row r="368" spans="1:4" x14ac:dyDescent="0.2">
      <c r="A368">
        <v>2015</v>
      </c>
      <c r="B368" s="13">
        <v>3231</v>
      </c>
      <c r="C368" s="14">
        <v>1108157</v>
      </c>
      <c r="D368" s="5"/>
    </row>
    <row r="369" spans="1:4" x14ac:dyDescent="0.2">
      <c r="A369">
        <v>2015</v>
      </c>
      <c r="B369" s="13">
        <v>3232</v>
      </c>
      <c r="C369" s="14">
        <v>525570</v>
      </c>
      <c r="D369" s="5"/>
    </row>
    <row r="370" spans="1:4" x14ac:dyDescent="0.2">
      <c r="A370">
        <v>2015</v>
      </c>
      <c r="B370" s="13">
        <v>3276</v>
      </c>
      <c r="C370" s="14">
        <v>1035889</v>
      </c>
      <c r="D370" s="5"/>
    </row>
    <row r="371" spans="1:4" x14ac:dyDescent="0.2">
      <c r="A371">
        <v>2015</v>
      </c>
      <c r="B371" s="13">
        <v>3277</v>
      </c>
      <c r="C371" s="14">
        <v>1180479</v>
      </c>
      <c r="D371" s="5"/>
    </row>
    <row r="372" spans="1:4" x14ac:dyDescent="0.2">
      <c r="A372">
        <v>2015</v>
      </c>
      <c r="B372" s="13">
        <v>3278</v>
      </c>
      <c r="C372" s="14">
        <v>836676</v>
      </c>
      <c r="D372" s="5"/>
    </row>
    <row r="373" spans="1:4" x14ac:dyDescent="0.2">
      <c r="A373">
        <v>2015</v>
      </c>
      <c r="B373" s="13">
        <v>3280</v>
      </c>
      <c r="C373" s="14">
        <v>1033104</v>
      </c>
      <c r="D373" s="5"/>
    </row>
    <row r="374" spans="1:4" x14ac:dyDescent="0.2">
      <c r="A374">
        <v>2015</v>
      </c>
      <c r="B374" s="13">
        <v>3281</v>
      </c>
      <c r="C374" s="14">
        <v>1014150</v>
      </c>
      <c r="D374" s="5"/>
    </row>
    <row r="375" spans="1:4" x14ac:dyDescent="0.2">
      <c r="A375">
        <v>2015</v>
      </c>
      <c r="B375" s="13">
        <v>3284</v>
      </c>
      <c r="C375" s="14">
        <v>1044546</v>
      </c>
      <c r="D375" s="5"/>
    </row>
    <row r="376" spans="1:4" x14ac:dyDescent="0.2">
      <c r="A376">
        <v>2015</v>
      </c>
      <c r="B376" s="13">
        <v>3303</v>
      </c>
      <c r="C376" s="14">
        <v>1194436</v>
      </c>
      <c r="D376" s="5"/>
    </row>
    <row r="377" spans="1:4" x14ac:dyDescent="0.2">
      <c r="A377">
        <v>2015</v>
      </c>
      <c r="B377" s="13">
        <v>3304</v>
      </c>
      <c r="C377" s="14">
        <v>588944</v>
      </c>
      <c r="D377" s="5"/>
    </row>
    <row r="378" spans="1:4" x14ac:dyDescent="0.2">
      <c r="A378">
        <v>2015</v>
      </c>
      <c r="B378" s="13">
        <v>3305</v>
      </c>
      <c r="C378" s="14">
        <v>759899</v>
      </c>
      <c r="D378" s="5"/>
    </row>
    <row r="379" spans="1:4" x14ac:dyDescent="0.2">
      <c r="A379">
        <v>2015</v>
      </c>
      <c r="B379" s="13">
        <v>3306</v>
      </c>
      <c r="C379" s="14">
        <v>723074</v>
      </c>
      <c r="D379" s="5"/>
    </row>
    <row r="380" spans="1:4" x14ac:dyDescent="0.2">
      <c r="A380">
        <v>2015</v>
      </c>
      <c r="B380" s="13">
        <v>3307</v>
      </c>
      <c r="C380" s="14">
        <v>312164</v>
      </c>
      <c r="D380" s="5"/>
    </row>
    <row r="381" spans="1:4" x14ac:dyDescent="0.2">
      <c r="A381">
        <v>2015</v>
      </c>
      <c r="B381" s="13">
        <v>3308</v>
      </c>
      <c r="C381" s="14">
        <v>570670</v>
      </c>
      <c r="D381" s="5"/>
    </row>
    <row r="382" spans="1:4" x14ac:dyDescent="0.2">
      <c r="A382">
        <v>2015</v>
      </c>
      <c r="B382" s="13">
        <v>3309</v>
      </c>
      <c r="C382" s="14">
        <v>1011395</v>
      </c>
      <c r="D382" s="5"/>
    </row>
    <row r="383" spans="1:4" x14ac:dyDescent="0.2">
      <c r="A383">
        <v>2015</v>
      </c>
      <c r="B383" s="13">
        <v>3326</v>
      </c>
      <c r="C383" s="14">
        <v>942360</v>
      </c>
      <c r="D383" s="5"/>
    </row>
    <row r="384" spans="1:4" x14ac:dyDescent="0.2">
      <c r="A384">
        <v>2015</v>
      </c>
      <c r="B384" s="13">
        <v>3327</v>
      </c>
      <c r="C384" s="14">
        <v>1263363</v>
      </c>
      <c r="D384" s="5"/>
    </row>
    <row r="385" spans="1:4" x14ac:dyDescent="0.2">
      <c r="A385">
        <v>2015</v>
      </c>
      <c r="B385" s="13">
        <v>3328</v>
      </c>
      <c r="C385" s="14">
        <v>743232</v>
      </c>
      <c r="D385" s="5"/>
    </row>
    <row r="386" spans="1:4" x14ac:dyDescent="0.2">
      <c r="A386">
        <v>2015</v>
      </c>
      <c r="B386" s="13">
        <v>3329</v>
      </c>
      <c r="C386" s="14">
        <v>820362</v>
      </c>
      <c r="D386" s="5"/>
    </row>
    <row r="387" spans="1:4" x14ac:dyDescent="0.2">
      <c r="A387">
        <v>2015</v>
      </c>
      <c r="B387" s="13">
        <v>3330</v>
      </c>
      <c r="C387" s="14">
        <v>1255147</v>
      </c>
      <c r="D387" s="5"/>
    </row>
    <row r="388" spans="1:4" x14ac:dyDescent="0.2">
      <c r="A388">
        <v>2015</v>
      </c>
      <c r="B388" s="13">
        <v>3331</v>
      </c>
      <c r="C388" s="14">
        <v>1368687</v>
      </c>
      <c r="D388" s="5"/>
    </row>
    <row r="389" spans="1:4" x14ac:dyDescent="0.2">
      <c r="A389">
        <v>2015</v>
      </c>
      <c r="B389" s="13">
        <v>3332</v>
      </c>
      <c r="C389" s="14">
        <v>622559</v>
      </c>
      <c r="D389" s="5"/>
    </row>
    <row r="390" spans="1:4" x14ac:dyDescent="0.2">
      <c r="A390">
        <v>2015</v>
      </c>
      <c r="B390" s="13">
        <v>3452</v>
      </c>
      <c r="C390" s="14">
        <v>1501664</v>
      </c>
      <c r="D390" s="5"/>
    </row>
    <row r="391" spans="1:4" x14ac:dyDescent="0.2">
      <c r="A391">
        <v>2015</v>
      </c>
      <c r="B391" s="13">
        <v>3453</v>
      </c>
      <c r="C391" s="14">
        <v>513522</v>
      </c>
      <c r="D391" s="5"/>
    </row>
    <row r="392" spans="1:4" x14ac:dyDescent="0.2">
      <c r="A392">
        <v>2015</v>
      </c>
      <c r="B392" s="13">
        <v>3458</v>
      </c>
      <c r="C392" s="14">
        <v>1135281</v>
      </c>
      <c r="D392" s="5"/>
    </row>
    <row r="393" spans="1:4" x14ac:dyDescent="0.2">
      <c r="A393">
        <v>2015</v>
      </c>
      <c r="B393" s="13">
        <v>3460</v>
      </c>
      <c r="C393" s="14">
        <v>1701265</v>
      </c>
      <c r="D393" s="5"/>
    </row>
    <row r="394" spans="1:4" x14ac:dyDescent="0.2">
      <c r="A394">
        <v>2015</v>
      </c>
      <c r="B394" s="13">
        <v>3464</v>
      </c>
      <c r="C394" s="14">
        <v>444488</v>
      </c>
      <c r="D394" s="5"/>
    </row>
    <row r="395" spans="1:4" x14ac:dyDescent="0.2">
      <c r="A395">
        <v>2015</v>
      </c>
      <c r="B395" s="13">
        <v>3465</v>
      </c>
      <c r="C395" s="14">
        <v>293660</v>
      </c>
      <c r="D395" s="5"/>
    </row>
    <row r="396" spans="1:4" x14ac:dyDescent="0.2">
      <c r="A396">
        <v>2015</v>
      </c>
      <c r="B396" s="13">
        <v>3466</v>
      </c>
      <c r="C396" s="14">
        <v>834187</v>
      </c>
      <c r="D396" s="5"/>
    </row>
    <row r="397" spans="1:4" x14ac:dyDescent="0.2">
      <c r="A397">
        <v>2015</v>
      </c>
      <c r="B397" s="13">
        <v>3467</v>
      </c>
      <c r="C397" s="14">
        <v>407696</v>
      </c>
      <c r="D397" s="5"/>
    </row>
    <row r="398" spans="1:4" x14ac:dyDescent="0.2">
      <c r="A398">
        <v>2015</v>
      </c>
      <c r="B398" s="13">
        <v>3468</v>
      </c>
      <c r="C398" s="14">
        <v>95963</v>
      </c>
      <c r="D398" s="5"/>
    </row>
    <row r="399" spans="1:4" x14ac:dyDescent="0.2">
      <c r="A399">
        <v>2015</v>
      </c>
      <c r="B399" s="13">
        <v>3470</v>
      </c>
      <c r="C399" s="14">
        <v>369982</v>
      </c>
      <c r="D399" s="5"/>
    </row>
    <row r="400" spans="1:4" x14ac:dyDescent="0.2">
      <c r="A400">
        <v>2015</v>
      </c>
      <c r="B400" s="13">
        <v>3471</v>
      </c>
      <c r="C400" s="14">
        <v>361395</v>
      </c>
      <c r="D400" s="5"/>
    </row>
    <row r="401" spans="1:4" x14ac:dyDescent="0.2">
      <c r="A401">
        <v>2015</v>
      </c>
      <c r="B401" s="13">
        <v>3472</v>
      </c>
      <c r="C401" s="14">
        <v>329327</v>
      </c>
      <c r="D401" s="5"/>
    </row>
    <row r="402" spans="1:4" x14ac:dyDescent="0.2">
      <c r="A402">
        <v>2015</v>
      </c>
      <c r="B402" s="13">
        <v>3526</v>
      </c>
      <c r="C402" s="14">
        <v>805560</v>
      </c>
      <c r="D402" s="5"/>
    </row>
    <row r="403" spans="1:4" x14ac:dyDescent="0.2">
      <c r="A403">
        <v>2015</v>
      </c>
      <c r="B403" s="13">
        <v>3527</v>
      </c>
      <c r="C403" s="14">
        <v>710973</v>
      </c>
      <c r="D403" s="5"/>
    </row>
    <row r="404" spans="1:4" x14ac:dyDescent="0.2">
      <c r="A404">
        <v>2015</v>
      </c>
      <c r="B404" s="13">
        <v>3528</v>
      </c>
      <c r="C404" s="14">
        <v>648885</v>
      </c>
      <c r="D404" s="5"/>
    </row>
    <row r="405" spans="1:4" x14ac:dyDescent="0.2">
      <c r="A405">
        <v>2015</v>
      </c>
      <c r="B405" s="13">
        <v>3531</v>
      </c>
      <c r="C405" s="14">
        <v>852012</v>
      </c>
      <c r="D405" s="5"/>
    </row>
    <row r="406" spans="1:4" x14ac:dyDescent="0.2">
      <c r="A406">
        <v>2015</v>
      </c>
      <c r="B406" s="13">
        <v>3552</v>
      </c>
      <c r="C406" s="14">
        <v>337106</v>
      </c>
      <c r="D406" s="4"/>
    </row>
    <row r="407" spans="1:4" x14ac:dyDescent="0.2">
      <c r="A407">
        <v>2015</v>
      </c>
      <c r="B407" s="13">
        <v>3559</v>
      </c>
      <c r="C407" s="14">
        <v>792316</v>
      </c>
      <c r="D407" s="5"/>
    </row>
    <row r="408" spans="1:4" x14ac:dyDescent="0.2">
      <c r="A408">
        <v>2015</v>
      </c>
      <c r="B408" s="13">
        <v>3560</v>
      </c>
      <c r="C408" s="14">
        <v>942841</v>
      </c>
      <c r="D408" s="5"/>
    </row>
    <row r="409" spans="1:4" x14ac:dyDescent="0.2">
      <c r="A409">
        <v>2015</v>
      </c>
      <c r="B409" s="13">
        <v>3561</v>
      </c>
      <c r="C409" s="14">
        <v>1081266</v>
      </c>
      <c r="D409" s="5"/>
    </row>
    <row r="410" spans="1:4" x14ac:dyDescent="0.2">
      <c r="A410">
        <v>2015</v>
      </c>
      <c r="B410" s="13">
        <v>3576</v>
      </c>
      <c r="C410" s="14">
        <v>418481</v>
      </c>
      <c r="D410" s="5"/>
    </row>
    <row r="411" spans="1:4" x14ac:dyDescent="0.2">
      <c r="A411">
        <v>2015</v>
      </c>
      <c r="B411" s="13">
        <v>3577</v>
      </c>
      <c r="C411" s="14">
        <v>873812</v>
      </c>
      <c r="D411" s="5"/>
    </row>
    <row r="412" spans="1:4" x14ac:dyDescent="0.2">
      <c r="A412">
        <v>2015</v>
      </c>
      <c r="B412" s="13">
        <v>3579</v>
      </c>
      <c r="C412" s="14">
        <v>494539</v>
      </c>
      <c r="D412" s="5"/>
    </row>
    <row r="413" spans="1:4" x14ac:dyDescent="0.2">
      <c r="A413">
        <v>2015</v>
      </c>
      <c r="B413" s="13">
        <v>3585</v>
      </c>
      <c r="C413" s="14">
        <v>1011069</v>
      </c>
      <c r="D413" s="5"/>
    </row>
    <row r="414" spans="1:4" x14ac:dyDescent="0.2">
      <c r="A414">
        <v>2015</v>
      </c>
      <c r="B414" s="13">
        <v>3586</v>
      </c>
      <c r="C414" s="14">
        <v>1166748</v>
      </c>
      <c r="D414" s="5"/>
    </row>
    <row r="415" spans="1:4" x14ac:dyDescent="0.2">
      <c r="A415">
        <v>2015</v>
      </c>
      <c r="B415" s="13">
        <v>3589</v>
      </c>
      <c r="C415" s="14">
        <v>912825</v>
      </c>
      <c r="D415" s="5"/>
    </row>
    <row r="416" spans="1:4" x14ac:dyDescent="0.2">
      <c r="A416">
        <v>2015</v>
      </c>
      <c r="B416" s="13">
        <v>3591</v>
      </c>
      <c r="C416" s="14">
        <v>452630</v>
      </c>
      <c r="D416" s="5"/>
    </row>
    <row r="417" spans="1:4" x14ac:dyDescent="0.2">
      <c r="A417">
        <v>2015</v>
      </c>
      <c r="B417" s="13">
        <v>3592</v>
      </c>
      <c r="C417" s="14">
        <v>962645</v>
      </c>
      <c r="D417" s="5"/>
    </row>
    <row r="418" spans="1:4" x14ac:dyDescent="0.2">
      <c r="A418">
        <v>2015</v>
      </c>
      <c r="B418" s="13">
        <v>3593</v>
      </c>
      <c r="C418" s="14">
        <v>1795692</v>
      </c>
      <c r="D418" s="5"/>
    </row>
    <row r="419" spans="1:4" x14ac:dyDescent="0.2">
      <c r="A419">
        <v>2015</v>
      </c>
      <c r="B419" s="13">
        <v>3594</v>
      </c>
      <c r="C419" s="14">
        <v>429882</v>
      </c>
      <c r="D419" s="5"/>
    </row>
    <row r="420" spans="1:4" x14ac:dyDescent="0.2">
      <c r="A420">
        <v>2015</v>
      </c>
      <c r="B420" s="13">
        <v>3626</v>
      </c>
      <c r="C420" s="14">
        <v>1975675</v>
      </c>
      <c r="D420" s="5"/>
    </row>
    <row r="421" spans="1:4" x14ac:dyDescent="0.2">
      <c r="A421">
        <v>2015</v>
      </c>
      <c r="B421" s="13">
        <v>3629</v>
      </c>
      <c r="C421" s="14">
        <v>1209619</v>
      </c>
      <c r="D421" s="5"/>
    </row>
    <row r="422" spans="1:4" x14ac:dyDescent="0.2">
      <c r="A422">
        <v>2015</v>
      </c>
      <c r="B422" s="13">
        <v>3630</v>
      </c>
      <c r="C422" s="14">
        <v>2051011</v>
      </c>
      <c r="D422" s="5"/>
    </row>
    <row r="423" spans="1:4" x14ac:dyDescent="0.2">
      <c r="A423">
        <v>2015</v>
      </c>
      <c r="B423" s="13">
        <v>3631</v>
      </c>
      <c r="C423" s="14">
        <v>1638504</v>
      </c>
      <c r="D423" s="5"/>
    </row>
    <row r="424" spans="1:4" x14ac:dyDescent="0.2">
      <c r="A424">
        <v>2015</v>
      </c>
      <c r="B424" s="13">
        <v>3632</v>
      </c>
      <c r="C424" s="14">
        <v>2939355</v>
      </c>
      <c r="D424" s="5"/>
    </row>
    <row r="425" spans="1:4" x14ac:dyDescent="0.2">
      <c r="A425">
        <v>2015</v>
      </c>
      <c r="B425" s="13">
        <v>3635</v>
      </c>
      <c r="C425" s="14">
        <v>2080750</v>
      </c>
      <c r="D425" s="5"/>
    </row>
    <row r="426" spans="1:4" x14ac:dyDescent="0.2">
      <c r="A426">
        <v>2015</v>
      </c>
      <c r="B426" s="13">
        <v>3636</v>
      </c>
      <c r="C426" s="14">
        <v>1711248</v>
      </c>
      <c r="D426" s="5"/>
    </row>
    <row r="427" spans="1:4" x14ac:dyDescent="0.2">
      <c r="A427">
        <v>2015</v>
      </c>
      <c r="B427" s="13">
        <v>3658</v>
      </c>
      <c r="C427" s="14">
        <v>1600761</v>
      </c>
      <c r="D427" s="5"/>
    </row>
    <row r="428" spans="1:4" x14ac:dyDescent="0.2">
      <c r="A428">
        <v>2015</v>
      </c>
      <c r="B428" s="13">
        <v>3679</v>
      </c>
      <c r="C428" s="14">
        <v>1754237</v>
      </c>
      <c r="D428" s="5"/>
    </row>
    <row r="429" spans="1:4" x14ac:dyDescent="0.2">
      <c r="A429">
        <v>2015</v>
      </c>
      <c r="B429" s="13">
        <v>3702</v>
      </c>
      <c r="C429" s="14">
        <v>949598</v>
      </c>
      <c r="D429" s="5"/>
    </row>
    <row r="430" spans="1:4" x14ac:dyDescent="0.2">
      <c r="A430">
        <v>2015</v>
      </c>
      <c r="B430" s="13">
        <v>3709</v>
      </c>
      <c r="C430" s="14">
        <v>745387</v>
      </c>
      <c r="D430" s="5"/>
    </row>
    <row r="431" spans="1:4" x14ac:dyDescent="0.2">
      <c r="A431">
        <v>2015</v>
      </c>
      <c r="B431" s="13">
        <v>3805</v>
      </c>
      <c r="C431" s="14">
        <v>624757</v>
      </c>
      <c r="D431" s="5"/>
    </row>
    <row r="432" spans="1:4" x14ac:dyDescent="0.2">
      <c r="A432">
        <v>2015</v>
      </c>
      <c r="B432" s="13">
        <v>3821</v>
      </c>
      <c r="C432" s="14">
        <v>835957</v>
      </c>
      <c r="D432" s="5"/>
    </row>
    <row r="433" spans="1:4" x14ac:dyDescent="0.2">
      <c r="A433">
        <v>2015</v>
      </c>
      <c r="B433" s="13">
        <v>3822</v>
      </c>
      <c r="C433" s="14">
        <v>296427</v>
      </c>
      <c r="D433" s="5"/>
    </row>
    <row r="434" spans="1:4" x14ac:dyDescent="0.2">
      <c r="A434">
        <v>2015</v>
      </c>
      <c r="B434" s="13">
        <v>3854</v>
      </c>
      <c r="C434" s="14">
        <v>1913736</v>
      </c>
      <c r="D434" s="5"/>
    </row>
    <row r="435" spans="1:4" x14ac:dyDescent="0.2">
      <c r="A435">
        <v>2015</v>
      </c>
      <c r="B435" s="13">
        <v>3855</v>
      </c>
      <c r="C435" s="14">
        <v>1054208</v>
      </c>
      <c r="D435" s="5"/>
    </row>
    <row r="436" spans="1:4" x14ac:dyDescent="0.2">
      <c r="A436">
        <v>2015</v>
      </c>
      <c r="B436" s="13">
        <v>3856</v>
      </c>
      <c r="C436" s="14">
        <v>211758</v>
      </c>
      <c r="D436" s="5"/>
    </row>
    <row r="437" spans="1:4" x14ac:dyDescent="0.2">
      <c r="A437">
        <v>2015</v>
      </c>
      <c r="B437" s="13">
        <v>3927</v>
      </c>
      <c r="C437" s="14">
        <v>1168923</v>
      </c>
      <c r="D437" s="5"/>
    </row>
    <row r="438" spans="1:4" x14ac:dyDescent="0.2">
      <c r="A438">
        <v>2015</v>
      </c>
      <c r="B438" s="13">
        <v>3928</v>
      </c>
      <c r="C438" s="14">
        <v>598901</v>
      </c>
      <c r="D438" s="5"/>
    </row>
    <row r="439" spans="1:4" x14ac:dyDescent="0.2">
      <c r="A439">
        <v>2015</v>
      </c>
      <c r="B439" s="13">
        <v>3929</v>
      </c>
      <c r="C439" s="14">
        <v>1073274</v>
      </c>
      <c r="D439" s="5"/>
    </row>
    <row r="440" spans="1:4" x14ac:dyDescent="0.2">
      <c r="A440">
        <v>2015</v>
      </c>
      <c r="B440" s="13">
        <v>3930</v>
      </c>
      <c r="C440" s="14">
        <v>1007821</v>
      </c>
      <c r="D440" s="5"/>
    </row>
    <row r="441" spans="1:4" x14ac:dyDescent="0.2">
      <c r="A441">
        <v>2015</v>
      </c>
      <c r="B441" s="13">
        <v>3931</v>
      </c>
      <c r="C441" s="14">
        <v>1288532</v>
      </c>
      <c r="D441" s="5"/>
    </row>
    <row r="442" spans="1:4" x14ac:dyDescent="0.2">
      <c r="A442">
        <v>2015</v>
      </c>
      <c r="B442" s="13">
        <v>3932</v>
      </c>
      <c r="C442" s="14">
        <v>980485</v>
      </c>
      <c r="D442" s="5"/>
    </row>
    <row r="443" spans="1:4" x14ac:dyDescent="0.2">
      <c r="A443">
        <v>2015</v>
      </c>
      <c r="B443" s="13">
        <v>3934</v>
      </c>
      <c r="C443" s="14">
        <v>210029</v>
      </c>
      <c r="D443" s="5"/>
    </row>
    <row r="444" spans="1:4" x14ac:dyDescent="0.2">
      <c r="A444">
        <v>2015</v>
      </c>
      <c r="B444" s="13">
        <v>3979</v>
      </c>
      <c r="C444" s="14">
        <v>688333</v>
      </c>
      <c r="D444" s="5"/>
    </row>
    <row r="445" spans="1:4" x14ac:dyDescent="0.2">
      <c r="A445">
        <v>2015</v>
      </c>
      <c r="B445" s="13">
        <v>3980</v>
      </c>
      <c r="C445" s="14">
        <v>643276</v>
      </c>
      <c r="D445" s="5"/>
    </row>
    <row r="446" spans="1:4" x14ac:dyDescent="0.2">
      <c r="A446">
        <v>2015</v>
      </c>
      <c r="B446" s="13">
        <v>3981</v>
      </c>
      <c r="C446" s="14">
        <v>414217</v>
      </c>
      <c r="D446" s="5"/>
    </row>
    <row r="447" spans="1:4" x14ac:dyDescent="0.2">
      <c r="A447">
        <v>2015</v>
      </c>
      <c r="B447" s="13">
        <v>3982</v>
      </c>
      <c r="C447" s="14">
        <v>234539</v>
      </c>
      <c r="D447" s="5"/>
    </row>
    <row r="448" spans="1:4" x14ac:dyDescent="0.2">
      <c r="A448">
        <v>2015</v>
      </c>
      <c r="B448" s="13">
        <v>3983</v>
      </c>
      <c r="C448" s="14">
        <v>541904</v>
      </c>
      <c r="D448" s="5"/>
    </row>
    <row r="449" spans="1:4" x14ac:dyDescent="0.2">
      <c r="A449">
        <v>2015</v>
      </c>
      <c r="B449" s="13">
        <v>3986</v>
      </c>
      <c r="C449" s="14">
        <v>529079</v>
      </c>
      <c r="D449" s="5"/>
    </row>
    <row r="450" spans="1:4" x14ac:dyDescent="0.2">
      <c r="A450">
        <v>2015</v>
      </c>
      <c r="B450" s="13">
        <v>3987</v>
      </c>
      <c r="C450" s="14">
        <v>360289</v>
      </c>
      <c r="D450" s="5"/>
    </row>
    <row r="451" spans="1:4" x14ac:dyDescent="0.2">
      <c r="A451">
        <v>2015</v>
      </c>
      <c r="B451" s="13">
        <v>3988</v>
      </c>
      <c r="C451" s="14">
        <v>521151</v>
      </c>
      <c r="D451" s="4"/>
    </row>
    <row r="452" spans="1:4" x14ac:dyDescent="0.2">
      <c r="A452">
        <v>2015</v>
      </c>
      <c r="B452" s="13">
        <v>3989</v>
      </c>
      <c r="C452" s="14">
        <v>356879</v>
      </c>
      <c r="D452" s="5"/>
    </row>
    <row r="453" spans="1:4" x14ac:dyDescent="0.2">
      <c r="A453">
        <v>2015</v>
      </c>
      <c r="B453" s="13">
        <v>3990</v>
      </c>
      <c r="C453" s="14">
        <v>528510</v>
      </c>
      <c r="D453" s="5"/>
    </row>
    <row r="454" spans="1:4" x14ac:dyDescent="0.2">
      <c r="A454">
        <v>2015</v>
      </c>
      <c r="B454" s="13">
        <v>3991</v>
      </c>
      <c r="C454" s="14">
        <v>580172</v>
      </c>
      <c r="D454" s="5"/>
    </row>
    <row r="455" spans="1:4" x14ac:dyDescent="0.2">
      <c r="A455">
        <v>2015</v>
      </c>
      <c r="B455" s="13">
        <v>3992</v>
      </c>
      <c r="C455" s="14">
        <v>507537</v>
      </c>
      <c r="D455" s="5"/>
    </row>
    <row r="456" spans="1:4" x14ac:dyDescent="0.2">
      <c r="A456">
        <v>2015</v>
      </c>
      <c r="B456" s="13">
        <v>3994</v>
      </c>
      <c r="C456" s="14">
        <v>951683</v>
      </c>
      <c r="D456" s="5"/>
    </row>
    <row r="457" spans="1:4" x14ac:dyDescent="0.2">
      <c r="A457">
        <v>2015</v>
      </c>
      <c r="B457" s="13">
        <v>3995</v>
      </c>
      <c r="C457" s="14">
        <v>479865</v>
      </c>
      <c r="D457" s="5"/>
    </row>
    <row r="458" spans="1:4" x14ac:dyDescent="0.2">
      <c r="A458">
        <v>2015</v>
      </c>
      <c r="B458" s="13">
        <v>3996</v>
      </c>
      <c r="C458" s="14">
        <v>394059</v>
      </c>
      <c r="D458" s="5"/>
    </row>
    <row r="459" spans="1:4" x14ac:dyDescent="0.2">
      <c r="A459">
        <v>2015</v>
      </c>
      <c r="B459" s="13">
        <v>3997</v>
      </c>
      <c r="C459" s="14">
        <v>444592</v>
      </c>
      <c r="D459" s="5"/>
    </row>
    <row r="460" spans="1:4" x14ac:dyDescent="0.2">
      <c r="A460">
        <v>2015</v>
      </c>
      <c r="B460" s="13">
        <v>3998</v>
      </c>
      <c r="C460" s="14">
        <v>402821</v>
      </c>
      <c r="D460" s="5"/>
    </row>
    <row r="461" spans="1:4" x14ac:dyDescent="0.2">
      <c r="A461">
        <v>2015</v>
      </c>
      <c r="B461" s="13">
        <v>3999</v>
      </c>
      <c r="C461" s="14">
        <v>415096</v>
      </c>
      <c r="D461" s="5"/>
    </row>
    <row r="462" spans="1:4" x14ac:dyDescent="0.2">
      <c r="A462">
        <v>2015</v>
      </c>
      <c r="B462" s="13">
        <v>4001</v>
      </c>
      <c r="C462" s="14">
        <v>3111</v>
      </c>
      <c r="D462" s="5"/>
    </row>
    <row r="463" spans="1:4" x14ac:dyDescent="0.2">
      <c r="A463">
        <v>2015</v>
      </c>
      <c r="B463" s="13">
        <v>4004</v>
      </c>
      <c r="C463" s="14">
        <v>245331</v>
      </c>
      <c r="D463" s="5"/>
    </row>
    <row r="464" spans="1:4" x14ac:dyDescent="0.2">
      <c r="A464">
        <v>2015</v>
      </c>
      <c r="B464" s="13">
        <v>4007</v>
      </c>
      <c r="C464" s="14">
        <v>340542</v>
      </c>
      <c r="D464" s="5"/>
    </row>
    <row r="465" spans="1:4" x14ac:dyDescent="0.2">
      <c r="A465">
        <v>2015</v>
      </c>
      <c r="B465" s="13">
        <v>4008</v>
      </c>
      <c r="C465" s="14">
        <v>128332</v>
      </c>
      <c r="D465" s="5"/>
    </row>
    <row r="466" spans="1:4" x14ac:dyDescent="0.2">
      <c r="A466">
        <v>2015</v>
      </c>
      <c r="B466" s="13">
        <v>4009</v>
      </c>
      <c r="C466" s="14">
        <v>2017986</v>
      </c>
      <c r="D466" s="5"/>
    </row>
    <row r="467" spans="1:4" x14ac:dyDescent="0.2">
      <c r="A467">
        <v>2015</v>
      </c>
      <c r="B467" s="13">
        <v>4010</v>
      </c>
      <c r="C467" s="14">
        <v>192819</v>
      </c>
      <c r="D467" s="5"/>
    </row>
    <row r="468" spans="1:4" x14ac:dyDescent="0.2">
      <c r="A468">
        <v>2015</v>
      </c>
      <c r="B468" s="13">
        <v>4014</v>
      </c>
      <c r="C468" s="14">
        <v>892605</v>
      </c>
      <c r="D468" s="5"/>
    </row>
    <row r="469" spans="1:4" x14ac:dyDescent="0.2">
      <c r="A469">
        <v>2015</v>
      </c>
      <c r="B469" s="13">
        <v>4015</v>
      </c>
      <c r="C469" s="14">
        <v>578319</v>
      </c>
      <c r="D469" s="5"/>
    </row>
    <row r="470" spans="1:4" x14ac:dyDescent="0.2">
      <c r="A470">
        <v>2015</v>
      </c>
      <c r="B470" s="13">
        <v>4020</v>
      </c>
      <c r="C470" s="14">
        <v>1124157</v>
      </c>
      <c r="D470" s="5"/>
    </row>
    <row r="471" spans="1:4" x14ac:dyDescent="0.2">
      <c r="A471">
        <v>2015</v>
      </c>
      <c r="B471" s="13">
        <v>4021</v>
      </c>
      <c r="C471" s="14">
        <v>1490841</v>
      </c>
      <c r="D471" s="5"/>
    </row>
    <row r="472" spans="1:4" x14ac:dyDescent="0.2">
      <c r="A472">
        <v>2015</v>
      </c>
      <c r="B472" s="13">
        <v>4022</v>
      </c>
      <c r="C472" s="14">
        <v>1122425</v>
      </c>
      <c r="D472" s="5"/>
    </row>
    <row r="473" spans="1:4" x14ac:dyDescent="0.2">
      <c r="A473">
        <v>2015</v>
      </c>
      <c r="B473" s="13">
        <v>4027</v>
      </c>
      <c r="C473" s="14">
        <v>1142095</v>
      </c>
      <c r="D473" s="5"/>
    </row>
    <row r="474" spans="1:4" x14ac:dyDescent="0.2">
      <c r="A474">
        <v>2015</v>
      </c>
      <c r="B474" s="13">
        <v>4028</v>
      </c>
      <c r="C474" s="14">
        <v>209471</v>
      </c>
      <c r="D474" s="5"/>
    </row>
    <row r="475" spans="1:4" x14ac:dyDescent="0.2">
      <c r="A475">
        <v>2015</v>
      </c>
      <c r="B475" s="13">
        <v>4029</v>
      </c>
      <c r="C475" s="14">
        <v>1239851</v>
      </c>
      <c r="D475" s="5"/>
    </row>
    <row r="476" spans="1:4" x14ac:dyDescent="0.2">
      <c r="A476">
        <v>2015</v>
      </c>
      <c r="B476" s="13">
        <v>4030</v>
      </c>
      <c r="C476" s="14">
        <v>734237</v>
      </c>
      <c r="D476" s="5"/>
    </row>
    <row r="477" spans="1:4" x14ac:dyDescent="0.2">
      <c r="A477">
        <v>2015</v>
      </c>
      <c r="B477" s="13">
        <v>4031</v>
      </c>
      <c r="C477" s="14">
        <v>680096</v>
      </c>
      <c r="D477" s="5"/>
    </row>
    <row r="478" spans="1:4" x14ac:dyDescent="0.2">
      <c r="A478">
        <v>2015</v>
      </c>
      <c r="B478" s="13">
        <v>4034</v>
      </c>
      <c r="C478" s="14">
        <v>573350</v>
      </c>
      <c r="D478" s="5"/>
    </row>
    <row r="479" spans="1:4" x14ac:dyDescent="0.2">
      <c r="A479">
        <v>2015</v>
      </c>
      <c r="B479" s="13">
        <v>4036</v>
      </c>
      <c r="C479" s="14">
        <v>1055101</v>
      </c>
      <c r="D479" s="5"/>
    </row>
    <row r="480" spans="1:4" x14ac:dyDescent="0.2">
      <c r="A480">
        <v>2015</v>
      </c>
      <c r="B480" s="13">
        <v>4101</v>
      </c>
      <c r="C480" s="14">
        <v>614769</v>
      </c>
      <c r="D480" s="5"/>
    </row>
    <row r="481" spans="1:4" x14ac:dyDescent="0.2">
      <c r="A481">
        <v>2015</v>
      </c>
      <c r="B481" s="13">
        <v>4104</v>
      </c>
      <c r="C481" s="14">
        <v>524103</v>
      </c>
      <c r="D481" s="5"/>
    </row>
    <row r="482" spans="1:4" x14ac:dyDescent="0.2">
      <c r="A482">
        <v>2015</v>
      </c>
      <c r="B482" s="13">
        <v>4124</v>
      </c>
      <c r="C482" s="14">
        <v>54247</v>
      </c>
      <c r="D482" s="5"/>
    </row>
    <row r="483" spans="1:4" x14ac:dyDescent="0.2">
      <c r="A483">
        <v>2015</v>
      </c>
      <c r="B483" s="13">
        <v>4126</v>
      </c>
      <c r="C483" s="14">
        <v>1871452</v>
      </c>
      <c r="D483" s="5"/>
    </row>
    <row r="484" spans="1:4" x14ac:dyDescent="0.2">
      <c r="A484">
        <v>2015</v>
      </c>
      <c r="B484" s="13">
        <v>4128</v>
      </c>
      <c r="C484" s="14">
        <v>1094569</v>
      </c>
      <c r="D484" s="5"/>
    </row>
    <row r="485" spans="1:4" x14ac:dyDescent="0.2">
      <c r="A485">
        <v>2015</v>
      </c>
      <c r="B485" s="13">
        <v>4130</v>
      </c>
      <c r="C485" s="14">
        <v>1043282</v>
      </c>
      <c r="D485" s="5"/>
    </row>
    <row r="486" spans="1:4" x14ac:dyDescent="0.2">
      <c r="A486">
        <v>2015</v>
      </c>
      <c r="B486" s="13">
        <v>4132</v>
      </c>
      <c r="C486" s="14">
        <v>463871</v>
      </c>
      <c r="D486" s="5"/>
    </row>
    <row r="487" spans="1:4" x14ac:dyDescent="0.2">
      <c r="A487">
        <v>2015</v>
      </c>
      <c r="B487" s="13">
        <v>4134</v>
      </c>
      <c r="C487" s="14">
        <v>450752</v>
      </c>
      <c r="D487" s="5"/>
    </row>
    <row r="488" spans="1:4" x14ac:dyDescent="0.2">
      <c r="A488">
        <v>2015</v>
      </c>
      <c r="B488" s="13">
        <v>4135</v>
      </c>
      <c r="C488" s="14">
        <v>401646</v>
      </c>
      <c r="D488" s="5"/>
    </row>
    <row r="489" spans="1:4" x14ac:dyDescent="0.2">
      <c r="A489">
        <v>2015</v>
      </c>
      <c r="B489" s="13">
        <v>4137</v>
      </c>
      <c r="C489" s="14">
        <v>509361</v>
      </c>
      <c r="D489" s="5"/>
    </row>
    <row r="490" spans="1:4" x14ac:dyDescent="0.2">
      <c r="A490">
        <v>2015</v>
      </c>
      <c r="B490" s="13">
        <v>4142</v>
      </c>
      <c r="C490" s="14">
        <v>1628831</v>
      </c>
      <c r="D490" s="5"/>
    </row>
    <row r="491" spans="1:4" x14ac:dyDescent="0.2">
      <c r="A491">
        <v>2015</v>
      </c>
      <c r="B491" s="13">
        <v>4143</v>
      </c>
      <c r="C491" s="14">
        <v>1294627</v>
      </c>
      <c r="D491" s="5"/>
    </row>
    <row r="492" spans="1:4" x14ac:dyDescent="0.2">
      <c r="A492">
        <v>2015</v>
      </c>
      <c r="B492" s="13">
        <v>4144</v>
      </c>
      <c r="C492" s="14">
        <v>788230</v>
      </c>
      <c r="D492" s="5"/>
    </row>
    <row r="493" spans="1:4" x14ac:dyDescent="0.2">
      <c r="A493">
        <v>2015</v>
      </c>
      <c r="B493" s="13">
        <v>4149</v>
      </c>
      <c r="C493" s="14">
        <v>449851</v>
      </c>
      <c r="D493" s="5"/>
    </row>
    <row r="494" spans="1:4" x14ac:dyDescent="0.2">
      <c r="A494">
        <v>2015</v>
      </c>
      <c r="B494" s="13">
        <v>4151</v>
      </c>
      <c r="C494" s="14">
        <v>1188781</v>
      </c>
      <c r="D494" s="5"/>
    </row>
    <row r="495" spans="1:4" x14ac:dyDescent="0.2">
      <c r="A495">
        <v>2015</v>
      </c>
      <c r="B495" s="13">
        <v>4152</v>
      </c>
      <c r="C495" s="14">
        <v>1040457</v>
      </c>
      <c r="D495" s="5"/>
    </row>
    <row r="496" spans="1:4" x14ac:dyDescent="0.2">
      <c r="A496">
        <v>2015</v>
      </c>
      <c r="B496" s="13">
        <v>4153</v>
      </c>
      <c r="C496" s="14">
        <v>1179075</v>
      </c>
      <c r="D496" s="4"/>
    </row>
    <row r="497" spans="1:4" x14ac:dyDescent="0.2">
      <c r="A497">
        <v>2015</v>
      </c>
      <c r="B497" s="13">
        <v>4154</v>
      </c>
      <c r="C497" s="14">
        <v>600485</v>
      </c>
      <c r="D497" s="5"/>
    </row>
    <row r="498" spans="1:4" x14ac:dyDescent="0.2">
      <c r="A498">
        <v>2015</v>
      </c>
      <c r="B498" s="13">
        <v>4155</v>
      </c>
      <c r="C498" s="14">
        <v>860716</v>
      </c>
      <c r="D498" s="5"/>
    </row>
    <row r="499" spans="1:4" x14ac:dyDescent="0.2">
      <c r="A499">
        <v>2015</v>
      </c>
      <c r="B499" s="13">
        <v>4178</v>
      </c>
      <c r="C499" s="14">
        <v>869672</v>
      </c>
      <c r="D499" s="5"/>
    </row>
    <row r="500" spans="1:4" x14ac:dyDescent="0.2">
      <c r="A500">
        <v>2015</v>
      </c>
      <c r="B500" s="13">
        <v>4180</v>
      </c>
      <c r="C500" s="14">
        <v>1747882</v>
      </c>
      <c r="D500" s="5"/>
    </row>
    <row r="501" spans="1:4" x14ac:dyDescent="0.2">
      <c r="A501">
        <v>2015</v>
      </c>
      <c r="B501" s="13">
        <v>4183</v>
      </c>
      <c r="C501" s="14">
        <v>1111042</v>
      </c>
      <c r="D501" s="5"/>
    </row>
    <row r="502" spans="1:4" x14ac:dyDescent="0.2">
      <c r="A502">
        <v>2015</v>
      </c>
      <c r="B502" s="13">
        <v>4184</v>
      </c>
      <c r="C502" s="14">
        <v>1049651</v>
      </c>
      <c r="D502" s="5"/>
    </row>
    <row r="503" spans="1:4" x14ac:dyDescent="0.2">
      <c r="A503">
        <v>2015</v>
      </c>
      <c r="B503" s="13">
        <v>4202</v>
      </c>
      <c r="C503" s="14">
        <v>752324</v>
      </c>
      <c r="D503" s="5"/>
    </row>
    <row r="504" spans="1:4" x14ac:dyDescent="0.2">
      <c r="A504">
        <v>2015</v>
      </c>
      <c r="B504" s="13">
        <v>4203</v>
      </c>
      <c r="C504" s="14">
        <v>727585</v>
      </c>
      <c r="D504" s="5"/>
    </row>
    <row r="505" spans="1:4" x14ac:dyDescent="0.2">
      <c r="A505">
        <v>2015</v>
      </c>
      <c r="B505" s="13">
        <v>4205</v>
      </c>
      <c r="C505" s="14">
        <v>505670</v>
      </c>
      <c r="D505" s="5"/>
    </row>
    <row r="506" spans="1:4" x14ac:dyDescent="0.2">
      <c r="A506">
        <v>2015</v>
      </c>
      <c r="B506" s="13">
        <v>4206</v>
      </c>
      <c r="C506" s="14">
        <v>516791</v>
      </c>
      <c r="D506" s="5"/>
    </row>
    <row r="507" spans="1:4" x14ac:dyDescent="0.2">
      <c r="A507">
        <v>2015</v>
      </c>
      <c r="B507" s="13">
        <v>4208</v>
      </c>
      <c r="C507" s="14">
        <v>2663253</v>
      </c>
      <c r="D507" s="5"/>
    </row>
    <row r="508" spans="1:4" x14ac:dyDescent="0.2">
      <c r="A508">
        <v>2015</v>
      </c>
      <c r="B508" s="13">
        <v>4258</v>
      </c>
      <c r="C508" s="14">
        <v>869512</v>
      </c>
      <c r="D508" s="5"/>
    </row>
    <row r="509" spans="1:4" x14ac:dyDescent="0.2">
      <c r="A509">
        <v>2015</v>
      </c>
      <c r="B509" s="13">
        <v>4259</v>
      </c>
      <c r="C509" s="14">
        <v>878888</v>
      </c>
      <c r="D509" s="5"/>
    </row>
    <row r="510" spans="1:4" x14ac:dyDescent="0.2">
      <c r="A510">
        <v>2015</v>
      </c>
      <c r="B510" s="13">
        <v>4260</v>
      </c>
      <c r="C510" s="14">
        <v>1382969</v>
      </c>
      <c r="D510" s="5"/>
    </row>
    <row r="511" spans="1:4" x14ac:dyDescent="0.2">
      <c r="A511">
        <v>2015</v>
      </c>
      <c r="B511" s="13">
        <v>4301</v>
      </c>
      <c r="C511" s="14">
        <v>2608261</v>
      </c>
      <c r="D511" s="5"/>
    </row>
    <row r="512" spans="1:4" x14ac:dyDescent="0.2">
      <c r="A512">
        <v>2015</v>
      </c>
      <c r="B512" s="13">
        <v>4351</v>
      </c>
      <c r="C512" s="14">
        <v>3797711</v>
      </c>
      <c r="D512" s="5"/>
    </row>
    <row r="513" spans="1:4" x14ac:dyDescent="0.2">
      <c r="A513">
        <v>2015</v>
      </c>
      <c r="B513" s="13">
        <v>4353</v>
      </c>
      <c r="C513" s="14">
        <v>2304365</v>
      </c>
      <c r="D513" s="5"/>
    </row>
    <row r="514" spans="1:4" x14ac:dyDescent="0.2">
      <c r="A514">
        <v>2015</v>
      </c>
      <c r="B514" s="13">
        <v>4355</v>
      </c>
      <c r="C514" s="14">
        <v>3683920</v>
      </c>
      <c r="D514" s="5"/>
    </row>
    <row r="515" spans="1:4" x14ac:dyDescent="0.2">
      <c r="A515">
        <v>2015</v>
      </c>
      <c r="B515" s="13">
        <v>4356</v>
      </c>
      <c r="C515" s="14">
        <v>6066787</v>
      </c>
      <c r="D515" s="5"/>
    </row>
    <row r="516" spans="1:4" x14ac:dyDescent="0.2">
      <c r="A516">
        <v>2015</v>
      </c>
      <c r="B516" s="13">
        <v>4357</v>
      </c>
      <c r="C516" s="14">
        <v>2857229</v>
      </c>
      <c r="D516" s="5"/>
    </row>
    <row r="517" spans="1:4" x14ac:dyDescent="0.2">
      <c r="A517">
        <v>2015</v>
      </c>
      <c r="B517" s="13">
        <v>4358</v>
      </c>
      <c r="C517" s="14">
        <v>2097356</v>
      </c>
      <c r="D517" s="5"/>
    </row>
    <row r="518" spans="1:4" x14ac:dyDescent="0.2">
      <c r="A518">
        <v>2015</v>
      </c>
      <c r="B518" s="13">
        <v>4360</v>
      </c>
      <c r="C518" s="14">
        <v>2450335</v>
      </c>
      <c r="D518" s="5"/>
    </row>
    <row r="519" spans="1:4" x14ac:dyDescent="0.2">
      <c r="A519">
        <v>2015</v>
      </c>
      <c r="B519" s="13">
        <v>4361</v>
      </c>
      <c r="C519" s="14">
        <v>3820111</v>
      </c>
      <c r="D519" s="5"/>
    </row>
    <row r="520" spans="1:4" x14ac:dyDescent="0.2">
      <c r="A520">
        <v>2015</v>
      </c>
      <c r="B520" s="13">
        <v>4363</v>
      </c>
      <c r="C520" s="14">
        <v>2305932</v>
      </c>
      <c r="D520" s="5"/>
    </row>
    <row r="521" spans="1:4" x14ac:dyDescent="0.2">
      <c r="A521">
        <v>2015</v>
      </c>
      <c r="B521" s="13">
        <v>4364</v>
      </c>
      <c r="C521" s="14">
        <v>2546670</v>
      </c>
      <c r="D521" s="5"/>
    </row>
    <row r="522" spans="1:4" x14ac:dyDescent="0.2">
      <c r="A522">
        <v>2015</v>
      </c>
      <c r="B522" s="13">
        <v>4365</v>
      </c>
      <c r="C522" s="14">
        <v>1836705</v>
      </c>
      <c r="D522" s="5"/>
    </row>
    <row r="523" spans="1:4" x14ac:dyDescent="0.2">
      <c r="A523">
        <v>2015</v>
      </c>
      <c r="B523" s="13">
        <v>4366</v>
      </c>
      <c r="C523" s="14">
        <v>8427501</v>
      </c>
      <c r="D523" s="5"/>
    </row>
    <row r="524" spans="1:4" x14ac:dyDescent="0.2">
      <c r="A524">
        <v>2015</v>
      </c>
      <c r="B524" s="13">
        <v>4367</v>
      </c>
      <c r="C524" s="14">
        <v>13933997</v>
      </c>
      <c r="D524" s="5"/>
    </row>
    <row r="525" spans="1:4" x14ac:dyDescent="0.2">
      <c r="A525">
        <v>2015</v>
      </c>
      <c r="B525" s="13">
        <v>4368</v>
      </c>
      <c r="C525" s="14">
        <v>10745270</v>
      </c>
      <c r="D525" s="5"/>
    </row>
    <row r="526" spans="1:4" x14ac:dyDescent="0.2">
      <c r="A526">
        <v>2015</v>
      </c>
      <c r="B526" s="13">
        <v>4428</v>
      </c>
      <c r="C526" s="14">
        <v>644449</v>
      </c>
      <c r="D526" s="5"/>
    </row>
    <row r="527" spans="1:4" x14ac:dyDescent="0.2">
      <c r="A527">
        <v>2015</v>
      </c>
      <c r="B527" s="13">
        <v>4430</v>
      </c>
      <c r="C527" s="14">
        <v>759907</v>
      </c>
      <c r="D527" s="5"/>
    </row>
    <row r="528" spans="1:4" x14ac:dyDescent="0.2">
      <c r="A528">
        <v>2015</v>
      </c>
      <c r="B528" s="13">
        <v>4434</v>
      </c>
      <c r="C528" s="14">
        <v>278411</v>
      </c>
      <c r="D528" s="5"/>
    </row>
    <row r="529" spans="1:4" x14ac:dyDescent="0.2">
      <c r="A529">
        <v>2015</v>
      </c>
      <c r="B529" s="13">
        <v>4437</v>
      </c>
      <c r="C529" s="14">
        <v>1062945</v>
      </c>
      <c r="D529" s="5"/>
    </row>
    <row r="530" spans="1:4" x14ac:dyDescent="0.2">
      <c r="A530">
        <v>2015</v>
      </c>
      <c r="B530" s="13">
        <v>4438</v>
      </c>
      <c r="C530" s="14">
        <v>839507</v>
      </c>
      <c r="D530" s="5"/>
    </row>
    <row r="531" spans="1:4" x14ac:dyDescent="0.2">
      <c r="A531">
        <v>2015</v>
      </c>
      <c r="B531" s="13">
        <v>4439</v>
      </c>
      <c r="C531" s="14">
        <v>1024844</v>
      </c>
      <c r="D531" s="5"/>
    </row>
    <row r="532" spans="1:4" x14ac:dyDescent="0.2">
      <c r="A532">
        <v>2015</v>
      </c>
      <c r="B532" s="13">
        <v>4504</v>
      </c>
      <c r="C532" s="14">
        <v>694960</v>
      </c>
      <c r="D532" s="5"/>
    </row>
    <row r="533" spans="1:4" x14ac:dyDescent="0.2">
      <c r="A533">
        <v>2015</v>
      </c>
      <c r="B533" s="13">
        <v>4531</v>
      </c>
      <c r="C533" s="14">
        <v>1010700</v>
      </c>
      <c r="D533" s="5"/>
    </row>
    <row r="534" spans="1:4" x14ac:dyDescent="0.2">
      <c r="A534">
        <v>2015</v>
      </c>
      <c r="B534" s="13">
        <v>4532</v>
      </c>
      <c r="C534" s="14">
        <v>1409358</v>
      </c>
      <c r="D534" s="5"/>
    </row>
    <row r="535" spans="1:4" x14ac:dyDescent="0.2">
      <c r="A535">
        <v>2015</v>
      </c>
      <c r="B535" s="13">
        <v>4533</v>
      </c>
      <c r="C535" s="14">
        <v>1128053</v>
      </c>
      <c r="D535" s="5"/>
    </row>
    <row r="536" spans="1:4" x14ac:dyDescent="0.2">
      <c r="A536">
        <v>2015</v>
      </c>
      <c r="B536" s="13">
        <v>4534</v>
      </c>
      <c r="C536" s="14">
        <v>1078564</v>
      </c>
      <c r="D536" s="5"/>
    </row>
    <row r="537" spans="1:4" x14ac:dyDescent="0.2">
      <c r="A537">
        <v>2015</v>
      </c>
      <c r="B537" s="13">
        <v>4557</v>
      </c>
      <c r="C537" s="14">
        <v>526766</v>
      </c>
      <c r="D537" s="5"/>
    </row>
    <row r="538" spans="1:4" x14ac:dyDescent="0.2">
      <c r="A538">
        <v>2015</v>
      </c>
      <c r="B538" s="13">
        <v>4582</v>
      </c>
      <c r="C538" s="14">
        <v>1222731</v>
      </c>
      <c r="D538" s="5"/>
    </row>
    <row r="539" spans="1:4" x14ac:dyDescent="0.2">
      <c r="A539">
        <v>2015</v>
      </c>
      <c r="B539" s="13">
        <v>4583</v>
      </c>
      <c r="C539" s="14">
        <v>880822</v>
      </c>
      <c r="D539" s="5"/>
    </row>
    <row r="540" spans="1:4" x14ac:dyDescent="0.2">
      <c r="A540">
        <v>2015</v>
      </c>
      <c r="B540" s="13">
        <v>4586</v>
      </c>
      <c r="C540" s="14">
        <v>1026503</v>
      </c>
      <c r="D540" s="5"/>
    </row>
    <row r="541" spans="1:4" x14ac:dyDescent="0.2">
      <c r="A541">
        <v>2015</v>
      </c>
      <c r="B541" s="13">
        <v>4588</v>
      </c>
      <c r="C541" s="14">
        <v>913901</v>
      </c>
      <c r="D541" s="4"/>
    </row>
    <row r="542" spans="1:4" x14ac:dyDescent="0.2">
      <c r="A542">
        <v>2015</v>
      </c>
      <c r="B542" s="13">
        <v>4590</v>
      </c>
      <c r="C542" s="14">
        <v>963514</v>
      </c>
      <c r="D542" s="5"/>
    </row>
    <row r="543" spans="1:4" x14ac:dyDescent="0.2">
      <c r="A543">
        <v>2015</v>
      </c>
      <c r="B543" s="13">
        <v>4592</v>
      </c>
      <c r="C543" s="14">
        <v>492535</v>
      </c>
      <c r="D543" s="5"/>
    </row>
    <row r="544" spans="1:4" x14ac:dyDescent="0.2">
      <c r="A544">
        <v>2015</v>
      </c>
      <c r="B544" s="13">
        <v>4593</v>
      </c>
      <c r="C544" s="14">
        <v>1075000</v>
      </c>
      <c r="D544" s="5"/>
    </row>
    <row r="545" spans="1:4" x14ac:dyDescent="0.2">
      <c r="A545">
        <v>2015</v>
      </c>
      <c r="B545" s="13">
        <v>4594</v>
      </c>
      <c r="C545" s="14">
        <v>1037418</v>
      </c>
      <c r="D545" s="5"/>
    </row>
    <row r="546" spans="1:4" x14ac:dyDescent="0.2">
      <c r="A546">
        <v>2015</v>
      </c>
      <c r="B546" s="13">
        <v>4595</v>
      </c>
      <c r="C546" s="14">
        <v>1130802</v>
      </c>
      <c r="D546" s="5"/>
    </row>
    <row r="547" spans="1:4" x14ac:dyDescent="0.2">
      <c r="A547">
        <v>2015</v>
      </c>
      <c r="B547" s="13">
        <v>4596</v>
      </c>
      <c r="C547" s="14">
        <v>906824</v>
      </c>
      <c r="D547" s="5"/>
    </row>
    <row r="548" spans="1:4" x14ac:dyDescent="0.2">
      <c r="A548">
        <v>2015</v>
      </c>
      <c r="B548" s="13">
        <v>4597</v>
      </c>
      <c r="C548" s="14">
        <v>1319753</v>
      </c>
      <c r="D548" s="5"/>
    </row>
    <row r="549" spans="1:4" x14ac:dyDescent="0.2">
      <c r="A549">
        <v>2015</v>
      </c>
      <c r="B549" s="13">
        <v>4598</v>
      </c>
      <c r="C549" s="14">
        <v>1166102</v>
      </c>
      <c r="D549" s="5"/>
    </row>
    <row r="550" spans="1:4" x14ac:dyDescent="0.2">
      <c r="A550">
        <v>2015</v>
      </c>
      <c r="B550" s="13">
        <v>4604</v>
      </c>
      <c r="C550" s="14">
        <v>1482969</v>
      </c>
      <c r="D550" s="5"/>
    </row>
    <row r="551" spans="1:4" x14ac:dyDescent="0.2">
      <c r="A551">
        <v>2015</v>
      </c>
      <c r="B551" s="13">
        <v>4617</v>
      </c>
      <c r="C551" s="14">
        <v>937296</v>
      </c>
      <c r="D551" s="5"/>
    </row>
    <row r="552" spans="1:4" x14ac:dyDescent="0.2">
      <c r="A552">
        <v>2015</v>
      </c>
      <c r="B552" s="13">
        <v>4620</v>
      </c>
      <c r="C552" s="14">
        <v>1093872</v>
      </c>
      <c r="D552" s="5"/>
    </row>
    <row r="553" spans="1:4" x14ac:dyDescent="0.2">
      <c r="A553">
        <v>2015</v>
      </c>
      <c r="B553" s="13">
        <v>4651</v>
      </c>
      <c r="C553" s="14">
        <v>1278154</v>
      </c>
      <c r="D553" s="5"/>
    </row>
    <row r="554" spans="1:4" x14ac:dyDescent="0.2">
      <c r="A554">
        <v>2015</v>
      </c>
      <c r="B554" s="13">
        <v>4653</v>
      </c>
      <c r="C554" s="14">
        <v>4164011</v>
      </c>
      <c r="D554" s="5"/>
    </row>
    <row r="555" spans="1:4" x14ac:dyDescent="0.2">
      <c r="A555">
        <v>2015</v>
      </c>
      <c r="B555" s="13">
        <v>4654</v>
      </c>
      <c r="C555" s="14">
        <v>4802225</v>
      </c>
      <c r="D555" s="5"/>
    </row>
    <row r="556" spans="1:4" x14ac:dyDescent="0.2">
      <c r="A556">
        <v>2015</v>
      </c>
      <c r="B556" s="13">
        <v>4662</v>
      </c>
      <c r="C556" s="14">
        <v>963824</v>
      </c>
      <c r="D556" s="5"/>
    </row>
    <row r="557" spans="1:4" x14ac:dyDescent="0.2">
      <c r="A557">
        <v>2015</v>
      </c>
      <c r="B557" s="13">
        <v>4663</v>
      </c>
      <c r="C557" s="14">
        <v>1303313</v>
      </c>
      <c r="D557" s="5"/>
    </row>
    <row r="558" spans="1:4" x14ac:dyDescent="0.2">
      <c r="A558">
        <v>2015</v>
      </c>
      <c r="B558" s="13">
        <v>4679</v>
      </c>
      <c r="C558" s="14">
        <v>1200108</v>
      </c>
      <c r="D558" s="5"/>
    </row>
    <row r="559" spans="1:4" x14ac:dyDescent="0.2">
      <c r="A559">
        <v>2015</v>
      </c>
      <c r="B559" s="13">
        <v>4680</v>
      </c>
      <c r="C559" s="14">
        <v>796714</v>
      </c>
      <c r="D559" s="5"/>
    </row>
    <row r="560" spans="1:4" x14ac:dyDescent="0.2">
      <c r="A560">
        <v>2015</v>
      </c>
      <c r="B560" s="13">
        <v>4701</v>
      </c>
      <c r="C560" s="14">
        <v>1609865</v>
      </c>
      <c r="D560" s="5"/>
    </row>
    <row r="561" spans="1:4" x14ac:dyDescent="0.2">
      <c r="A561">
        <v>2015</v>
      </c>
      <c r="B561" s="13">
        <v>4703</v>
      </c>
      <c r="C561" s="14">
        <v>1366747</v>
      </c>
      <c r="D561" s="5"/>
    </row>
    <row r="562" spans="1:4" x14ac:dyDescent="0.2">
      <c r="A562">
        <v>2015</v>
      </c>
      <c r="B562" s="13">
        <v>4704</v>
      </c>
      <c r="C562" s="14">
        <v>1196791</v>
      </c>
      <c r="D562" s="5"/>
    </row>
    <row r="563" spans="1:4" x14ac:dyDescent="0.2">
      <c r="A563">
        <v>2015</v>
      </c>
      <c r="B563" s="13">
        <v>4705</v>
      </c>
      <c r="C563" s="14">
        <v>1673992</v>
      </c>
      <c r="D563" s="5"/>
    </row>
    <row r="564" spans="1:4" x14ac:dyDescent="0.2">
      <c r="A564">
        <v>2015</v>
      </c>
      <c r="B564" s="13">
        <v>4854</v>
      </c>
      <c r="C564" s="14">
        <v>1470322</v>
      </c>
      <c r="D564" s="5"/>
    </row>
    <row r="565" spans="1:4" x14ac:dyDescent="0.2">
      <c r="A565">
        <v>2015</v>
      </c>
      <c r="B565" s="13">
        <v>4855</v>
      </c>
      <c r="C565" s="14">
        <v>530850</v>
      </c>
      <c r="D565" s="5"/>
    </row>
    <row r="566" spans="1:4" x14ac:dyDescent="0.2">
      <c r="A566">
        <v>2015</v>
      </c>
      <c r="B566" s="13">
        <v>4857</v>
      </c>
      <c r="C566" s="14">
        <v>2900821</v>
      </c>
      <c r="D566" s="5"/>
    </row>
    <row r="567" spans="1:4" x14ac:dyDescent="0.2">
      <c r="A567">
        <v>2015</v>
      </c>
      <c r="B567" s="13">
        <v>4862</v>
      </c>
      <c r="C567" s="14">
        <v>2886686</v>
      </c>
      <c r="D567" s="5"/>
    </row>
    <row r="568" spans="1:4" x14ac:dyDescent="0.2">
      <c r="A568">
        <v>2015</v>
      </c>
      <c r="B568" s="13">
        <v>4863</v>
      </c>
      <c r="C568" s="14">
        <v>3530925</v>
      </c>
      <c r="D568" s="5"/>
    </row>
    <row r="569" spans="1:4" x14ac:dyDescent="0.2">
      <c r="A569">
        <v>2015</v>
      </c>
      <c r="B569" s="13">
        <v>4877</v>
      </c>
      <c r="C569" s="14">
        <v>1386794</v>
      </c>
      <c r="D569" s="5"/>
    </row>
    <row r="570" spans="1:4" x14ac:dyDescent="0.2">
      <c r="A570">
        <v>2015</v>
      </c>
      <c r="B570" s="13">
        <v>4879</v>
      </c>
      <c r="C570" s="14">
        <v>1088333</v>
      </c>
      <c r="D570" s="5"/>
    </row>
    <row r="571" spans="1:4" x14ac:dyDescent="0.2">
      <c r="A571">
        <v>2015</v>
      </c>
      <c r="B571" s="13">
        <v>4883</v>
      </c>
      <c r="C571" s="14">
        <v>45574</v>
      </c>
      <c r="D571" s="5"/>
    </row>
    <row r="572" spans="1:4" x14ac:dyDescent="0.2">
      <c r="A572">
        <v>2015</v>
      </c>
      <c r="B572" s="13">
        <v>4884</v>
      </c>
      <c r="C572" s="14">
        <v>439988</v>
      </c>
      <c r="D572" s="5"/>
    </row>
    <row r="573" spans="1:4" x14ac:dyDescent="0.2">
      <c r="A573">
        <v>2015</v>
      </c>
      <c r="B573" s="13">
        <v>4885</v>
      </c>
      <c r="C573" s="14">
        <v>1236353</v>
      </c>
      <c r="D573" s="5"/>
    </row>
    <row r="574" spans="1:4" x14ac:dyDescent="0.2">
      <c r="A574">
        <v>2015</v>
      </c>
      <c r="B574" s="13">
        <v>4890</v>
      </c>
      <c r="C574" s="14">
        <v>1956845</v>
      </c>
      <c r="D574" s="5"/>
    </row>
    <row r="575" spans="1:4" x14ac:dyDescent="0.2">
      <c r="A575">
        <v>2015</v>
      </c>
      <c r="B575" s="13">
        <v>4892</v>
      </c>
      <c r="C575" s="14">
        <v>1719547</v>
      </c>
      <c r="D575" s="5"/>
    </row>
    <row r="576" spans="1:4" x14ac:dyDescent="0.2">
      <c r="A576">
        <v>2015</v>
      </c>
      <c r="B576" s="13">
        <v>4894</v>
      </c>
      <c r="C576" s="14">
        <v>1845688</v>
      </c>
      <c r="D576" s="5"/>
    </row>
    <row r="577" spans="1:4" x14ac:dyDescent="0.2">
      <c r="A577">
        <v>2015</v>
      </c>
      <c r="B577" s="13">
        <v>4901</v>
      </c>
      <c r="C577" s="14">
        <v>1198863</v>
      </c>
      <c r="D577" s="5"/>
    </row>
    <row r="578" spans="1:4" x14ac:dyDescent="0.2">
      <c r="A578">
        <v>2015</v>
      </c>
      <c r="B578" s="13">
        <v>4905</v>
      </c>
      <c r="C578" s="14">
        <v>525785</v>
      </c>
      <c r="D578" s="5"/>
    </row>
    <row r="579" spans="1:4" x14ac:dyDescent="0.2">
      <c r="A579">
        <v>2015</v>
      </c>
      <c r="B579" s="13">
        <v>4906</v>
      </c>
      <c r="C579" s="14">
        <v>1584101</v>
      </c>
      <c r="D579" s="5"/>
    </row>
    <row r="580" spans="1:4" x14ac:dyDescent="0.2">
      <c r="A580">
        <v>2015</v>
      </c>
      <c r="B580" s="13">
        <v>4907</v>
      </c>
      <c r="C580" s="14">
        <v>2423906</v>
      </c>
      <c r="D580" s="5"/>
    </row>
    <row r="581" spans="1:4" x14ac:dyDescent="0.2">
      <c r="A581">
        <v>2015</v>
      </c>
      <c r="B581" s="13">
        <v>4908</v>
      </c>
      <c r="C581" s="14">
        <v>683271</v>
      </c>
      <c r="D581" s="5"/>
    </row>
    <row r="582" spans="1:4" x14ac:dyDescent="0.2">
      <c r="A582">
        <v>2015</v>
      </c>
      <c r="B582" s="13">
        <v>4909</v>
      </c>
      <c r="C582" s="14">
        <v>1814118</v>
      </c>
      <c r="D582" s="5"/>
    </row>
    <row r="583" spans="1:4" x14ac:dyDescent="0.2">
      <c r="A583">
        <v>2015</v>
      </c>
      <c r="B583" s="13">
        <v>4910</v>
      </c>
      <c r="C583" s="14">
        <v>861950</v>
      </c>
      <c r="D583" s="5"/>
    </row>
    <row r="584" spans="1:4" x14ac:dyDescent="0.2">
      <c r="A584">
        <v>2015</v>
      </c>
      <c r="B584" s="13">
        <v>4976</v>
      </c>
      <c r="C584" s="14">
        <v>405476</v>
      </c>
      <c r="D584" s="5"/>
    </row>
    <row r="585" spans="1:4" x14ac:dyDescent="0.2">
      <c r="A585">
        <v>2015</v>
      </c>
      <c r="B585" s="13">
        <v>4978</v>
      </c>
      <c r="C585" s="14">
        <v>429632</v>
      </c>
      <c r="D585" s="5"/>
    </row>
    <row r="586" spans="1:4" x14ac:dyDescent="0.2">
      <c r="A586">
        <v>2015</v>
      </c>
      <c r="B586" s="13">
        <v>4979</v>
      </c>
      <c r="C586" s="14">
        <v>651273</v>
      </c>
      <c r="D586" s="4"/>
    </row>
    <row r="587" spans="1:4" x14ac:dyDescent="0.2">
      <c r="A587">
        <v>2015</v>
      </c>
      <c r="B587" s="13">
        <v>4980</v>
      </c>
      <c r="C587" s="14">
        <v>355885</v>
      </c>
      <c r="D587" s="5"/>
    </row>
    <row r="588" spans="1:4" x14ac:dyDescent="0.2">
      <c r="A588">
        <v>2015</v>
      </c>
      <c r="B588" s="13">
        <v>4981</v>
      </c>
      <c r="C588" s="14">
        <v>379757</v>
      </c>
      <c r="D588" s="5"/>
    </row>
    <row r="589" spans="1:4" x14ac:dyDescent="0.2">
      <c r="A589">
        <v>2015</v>
      </c>
      <c r="B589" s="13">
        <v>4982</v>
      </c>
      <c r="C589" s="14">
        <v>582865</v>
      </c>
      <c r="D589" s="5"/>
    </row>
    <row r="590" spans="1:4" x14ac:dyDescent="0.2">
      <c r="A590">
        <v>2015</v>
      </c>
      <c r="B590" s="13">
        <v>4983</v>
      </c>
      <c r="C590" s="14">
        <v>448953</v>
      </c>
      <c r="D590" s="5"/>
    </row>
    <row r="591" spans="1:4" x14ac:dyDescent="0.2">
      <c r="A591">
        <v>2015</v>
      </c>
      <c r="B591" s="13">
        <v>5001</v>
      </c>
      <c r="C591" s="14">
        <v>815448</v>
      </c>
      <c r="D591" s="5"/>
    </row>
    <row r="592" spans="1:4" x14ac:dyDescent="0.2">
      <c r="A592">
        <v>2015</v>
      </c>
      <c r="B592" s="13">
        <v>5002</v>
      </c>
      <c r="C592" s="14">
        <v>593695</v>
      </c>
      <c r="D592" s="5"/>
    </row>
    <row r="593" spans="1:4" x14ac:dyDescent="0.2">
      <c r="A593">
        <v>2015</v>
      </c>
      <c r="B593" s="13">
        <v>5003</v>
      </c>
      <c r="C593" s="14">
        <v>696246</v>
      </c>
      <c r="D593" s="5"/>
    </row>
    <row r="594" spans="1:4" x14ac:dyDescent="0.2">
      <c r="A594">
        <v>2015</v>
      </c>
      <c r="B594" s="13">
        <v>5026</v>
      </c>
      <c r="C594" s="14">
        <v>532333</v>
      </c>
      <c r="D594" s="5"/>
    </row>
    <row r="595" spans="1:4" x14ac:dyDescent="0.2">
      <c r="A595">
        <v>2015</v>
      </c>
      <c r="B595" s="13">
        <v>5027</v>
      </c>
      <c r="C595" s="14">
        <v>1015979</v>
      </c>
      <c r="D595" s="5"/>
    </row>
    <row r="596" spans="1:4" x14ac:dyDescent="0.2">
      <c r="A596">
        <v>2015</v>
      </c>
      <c r="B596" s="13">
        <v>5028</v>
      </c>
      <c r="C596" s="14">
        <v>532685</v>
      </c>
      <c r="D596" s="5"/>
    </row>
    <row r="597" spans="1:4" x14ac:dyDescent="0.2">
      <c r="A597">
        <v>2015</v>
      </c>
      <c r="B597" s="13">
        <v>5076</v>
      </c>
      <c r="C597" s="14">
        <v>1429107</v>
      </c>
      <c r="D597" s="5"/>
    </row>
    <row r="598" spans="1:4" x14ac:dyDescent="0.2">
      <c r="A598">
        <v>2015</v>
      </c>
      <c r="B598" s="13">
        <v>5078</v>
      </c>
      <c r="C598" s="14">
        <v>1091960</v>
      </c>
      <c r="D598" s="5"/>
    </row>
    <row r="599" spans="1:4" x14ac:dyDescent="0.2">
      <c r="A599">
        <v>2015</v>
      </c>
      <c r="B599" s="13">
        <v>5102</v>
      </c>
      <c r="C599" s="14">
        <v>3480497</v>
      </c>
      <c r="D599" s="5"/>
    </row>
    <row r="600" spans="1:4" x14ac:dyDescent="0.2">
      <c r="A600">
        <v>2015</v>
      </c>
      <c r="B600" s="13">
        <v>5103</v>
      </c>
      <c r="C600" s="14">
        <v>1855302</v>
      </c>
      <c r="D600" s="5"/>
    </row>
    <row r="601" spans="1:4" x14ac:dyDescent="0.2">
      <c r="A601">
        <v>2015</v>
      </c>
      <c r="B601" s="13">
        <v>5107</v>
      </c>
      <c r="C601" s="14">
        <v>1212113</v>
      </c>
      <c r="D601" s="5"/>
    </row>
    <row r="602" spans="1:4" x14ac:dyDescent="0.2">
      <c r="A602">
        <v>2015</v>
      </c>
      <c r="B602" s="13">
        <v>5108</v>
      </c>
      <c r="C602" s="14">
        <v>1115960</v>
      </c>
      <c r="D602" s="5"/>
    </row>
    <row r="603" spans="1:4" x14ac:dyDescent="0.2">
      <c r="A603">
        <v>2015</v>
      </c>
      <c r="B603" s="13">
        <v>5251</v>
      </c>
      <c r="C603" s="14">
        <v>767083</v>
      </c>
      <c r="D603" s="5"/>
    </row>
    <row r="604" spans="1:4" x14ac:dyDescent="0.2">
      <c r="A604">
        <v>2015</v>
      </c>
      <c r="B604" s="13">
        <v>5253</v>
      </c>
      <c r="C604" s="14">
        <v>1112581</v>
      </c>
      <c r="D604" s="5"/>
    </row>
    <row r="605" spans="1:4" x14ac:dyDescent="0.2">
      <c r="A605">
        <v>2015</v>
      </c>
      <c r="B605" s="13">
        <v>5276</v>
      </c>
      <c r="C605" s="14">
        <v>1413004</v>
      </c>
      <c r="D605" s="5"/>
    </row>
    <row r="606" spans="1:4" x14ac:dyDescent="0.2">
      <c r="A606">
        <v>2015</v>
      </c>
      <c r="B606" s="13">
        <v>5281</v>
      </c>
      <c r="C606" s="14">
        <v>560945</v>
      </c>
      <c r="D606" s="5"/>
    </row>
    <row r="607" spans="1:4" x14ac:dyDescent="0.2">
      <c r="A607">
        <v>2015</v>
      </c>
      <c r="B607" s="13">
        <v>5282</v>
      </c>
      <c r="C607" s="14">
        <v>648552</v>
      </c>
      <c r="D607" s="5"/>
    </row>
    <row r="608" spans="1:4" x14ac:dyDescent="0.2">
      <c r="A608">
        <v>2015</v>
      </c>
      <c r="B608" s="13">
        <v>5301</v>
      </c>
      <c r="C608" s="14">
        <v>629454</v>
      </c>
      <c r="D608" s="5"/>
    </row>
    <row r="609" spans="1:4" x14ac:dyDescent="0.2">
      <c r="A609">
        <v>2015</v>
      </c>
      <c r="B609" s="13">
        <v>5303</v>
      </c>
      <c r="C609" s="14">
        <v>370551</v>
      </c>
      <c r="D609" s="5"/>
    </row>
    <row r="610" spans="1:4" x14ac:dyDescent="0.2">
      <c r="A610">
        <v>2015</v>
      </c>
      <c r="B610" s="13">
        <v>5305</v>
      </c>
      <c r="C610" s="14">
        <v>466951</v>
      </c>
      <c r="D610" s="5"/>
    </row>
    <row r="611" spans="1:4" x14ac:dyDescent="0.2">
      <c r="A611">
        <v>2015</v>
      </c>
      <c r="B611" s="13">
        <v>5306</v>
      </c>
      <c r="C611" s="14">
        <v>773290</v>
      </c>
      <c r="D611" s="5"/>
    </row>
    <row r="612" spans="1:4" x14ac:dyDescent="0.2">
      <c r="A612">
        <v>2015</v>
      </c>
      <c r="B612" s="13">
        <v>5307</v>
      </c>
      <c r="C612" s="14">
        <v>1030565</v>
      </c>
      <c r="D612" s="5"/>
    </row>
    <row r="613" spans="1:4" x14ac:dyDescent="0.2">
      <c r="A613">
        <v>2015</v>
      </c>
      <c r="B613" s="13">
        <v>5308</v>
      </c>
      <c r="C613" s="14">
        <v>750705</v>
      </c>
      <c r="D613" s="5"/>
    </row>
    <row r="614" spans="1:4" x14ac:dyDescent="0.2">
      <c r="A614">
        <v>2015</v>
      </c>
      <c r="B614" s="13">
        <v>5309</v>
      </c>
      <c r="C614" s="14">
        <v>319560</v>
      </c>
      <c r="D614" s="5"/>
    </row>
    <row r="615" spans="1:4" x14ac:dyDescent="0.2">
      <c r="A615">
        <v>2015</v>
      </c>
      <c r="B615" s="13">
        <v>5351</v>
      </c>
      <c r="C615" s="14">
        <v>4423033</v>
      </c>
      <c r="D615" s="5"/>
    </row>
    <row r="616" spans="1:4" x14ac:dyDescent="0.2">
      <c r="A616">
        <v>2015</v>
      </c>
      <c r="B616" s="13">
        <v>5352</v>
      </c>
      <c r="C616" s="14">
        <v>47711</v>
      </c>
      <c r="D616" s="5"/>
    </row>
    <row r="617" spans="1:4" x14ac:dyDescent="0.2">
      <c r="A617">
        <v>2015</v>
      </c>
      <c r="B617" s="13">
        <v>5353</v>
      </c>
      <c r="C617" s="14">
        <v>484700</v>
      </c>
      <c r="D617" s="5"/>
    </row>
    <row r="618" spans="1:4" x14ac:dyDescent="0.2">
      <c r="A618">
        <v>2015</v>
      </c>
      <c r="B618" s="13">
        <v>5354</v>
      </c>
      <c r="C618" s="14">
        <v>1334546</v>
      </c>
      <c r="D618" s="5"/>
    </row>
    <row r="619" spans="1:4" x14ac:dyDescent="0.2">
      <c r="A619">
        <v>2015</v>
      </c>
      <c r="B619" s="13">
        <v>5355</v>
      </c>
      <c r="C619" s="14">
        <v>2731973</v>
      </c>
      <c r="D619" s="5"/>
    </row>
    <row r="620" spans="1:4" x14ac:dyDescent="0.2">
      <c r="A620">
        <v>2015</v>
      </c>
      <c r="B620" s="13">
        <v>5356</v>
      </c>
      <c r="C620" s="14">
        <v>932997</v>
      </c>
      <c r="D620" s="5"/>
    </row>
    <row r="621" spans="1:4" x14ac:dyDescent="0.2">
      <c r="A621">
        <v>2015</v>
      </c>
      <c r="B621" s="13">
        <v>5357</v>
      </c>
      <c r="C621" s="14">
        <v>4000021</v>
      </c>
      <c r="D621" s="5"/>
    </row>
    <row r="622" spans="1:4" x14ac:dyDescent="0.2">
      <c r="A622">
        <v>2015</v>
      </c>
      <c r="B622" s="13">
        <v>5358</v>
      </c>
      <c r="C622" s="14">
        <v>8047860</v>
      </c>
      <c r="D622" s="5"/>
    </row>
    <row r="623" spans="1:4" x14ac:dyDescent="0.2">
      <c r="A623">
        <v>2015</v>
      </c>
      <c r="B623" s="13">
        <v>5359</v>
      </c>
      <c r="C623" s="14">
        <v>743935</v>
      </c>
      <c r="D623" s="5"/>
    </row>
    <row r="624" spans="1:4" x14ac:dyDescent="0.2">
      <c r="A624">
        <v>2015</v>
      </c>
      <c r="B624" s="13">
        <v>5360</v>
      </c>
      <c r="C624" s="14">
        <v>550571</v>
      </c>
      <c r="D624" s="5"/>
    </row>
    <row r="625" spans="1:4" x14ac:dyDescent="0.2">
      <c r="A625">
        <v>2015</v>
      </c>
      <c r="B625" s="13">
        <v>5361</v>
      </c>
      <c r="C625" s="14">
        <v>3923291</v>
      </c>
      <c r="D625" s="5"/>
    </row>
    <row r="626" spans="1:4" x14ac:dyDescent="0.2">
      <c r="A626">
        <v>2015</v>
      </c>
      <c r="B626" s="13">
        <v>5362</v>
      </c>
      <c r="C626" s="14">
        <v>426440</v>
      </c>
      <c r="D626" s="5"/>
    </row>
    <row r="627" spans="1:4" x14ac:dyDescent="0.2">
      <c r="A627">
        <v>2015</v>
      </c>
      <c r="B627" s="13">
        <v>5363</v>
      </c>
      <c r="C627" s="14">
        <v>3439017</v>
      </c>
      <c r="D627" s="5"/>
    </row>
    <row r="628" spans="1:4" x14ac:dyDescent="0.2">
      <c r="A628">
        <v>2015</v>
      </c>
      <c r="B628" s="13">
        <v>5364</v>
      </c>
      <c r="C628" s="14">
        <v>818613</v>
      </c>
      <c r="D628" s="5"/>
    </row>
    <row r="629" spans="1:4" x14ac:dyDescent="0.2">
      <c r="A629">
        <v>2015</v>
      </c>
      <c r="B629" s="13">
        <v>5365</v>
      </c>
      <c r="C629" s="14">
        <v>42987</v>
      </c>
      <c r="D629" s="5"/>
    </row>
    <row r="630" spans="1:4" x14ac:dyDescent="0.2">
      <c r="A630">
        <v>2015</v>
      </c>
      <c r="B630" s="13">
        <v>5367</v>
      </c>
      <c r="C630" s="14">
        <v>971207</v>
      </c>
      <c r="D630" s="5"/>
    </row>
    <row r="631" spans="1:4" x14ac:dyDescent="0.2">
      <c r="A631">
        <v>2015</v>
      </c>
      <c r="B631" s="13">
        <v>5368</v>
      </c>
      <c r="C631" s="14">
        <v>750694</v>
      </c>
      <c r="D631" s="4"/>
    </row>
    <row r="632" spans="1:4" x14ac:dyDescent="0.2">
      <c r="A632">
        <v>2015</v>
      </c>
      <c r="B632" s="13">
        <v>5369</v>
      </c>
      <c r="C632" s="14">
        <v>193806</v>
      </c>
      <c r="D632" s="5"/>
    </row>
    <row r="633" spans="1:4" x14ac:dyDescent="0.2">
      <c r="A633">
        <v>2015</v>
      </c>
      <c r="B633" s="13">
        <v>5371</v>
      </c>
      <c r="C633" s="14">
        <v>262407</v>
      </c>
      <c r="D633" s="5"/>
    </row>
    <row r="634" spans="1:4" x14ac:dyDescent="0.2">
      <c r="A634">
        <v>2015</v>
      </c>
      <c r="B634" s="13">
        <v>5372</v>
      </c>
      <c r="C634" s="14">
        <v>2024090</v>
      </c>
      <c r="D634" s="5"/>
    </row>
    <row r="635" spans="1:4" x14ac:dyDescent="0.2">
      <c r="A635">
        <v>2015</v>
      </c>
      <c r="B635" s="13">
        <v>5375</v>
      </c>
      <c r="C635" s="14">
        <v>2829911</v>
      </c>
      <c r="D635" s="5"/>
    </row>
    <row r="636" spans="1:4" x14ac:dyDescent="0.2">
      <c r="A636">
        <v>2015</v>
      </c>
      <c r="B636" s="13">
        <v>5376</v>
      </c>
      <c r="C636" s="14">
        <v>996495</v>
      </c>
      <c r="D636" s="5"/>
    </row>
    <row r="637" spans="1:4" x14ac:dyDescent="0.2">
      <c r="A637">
        <v>2015</v>
      </c>
      <c r="B637" s="13">
        <v>5379</v>
      </c>
      <c r="C637" s="14">
        <v>65925</v>
      </c>
      <c r="D637" s="5"/>
    </row>
    <row r="638" spans="1:4" x14ac:dyDescent="0.2">
      <c r="A638">
        <v>2015</v>
      </c>
      <c r="B638" s="13">
        <v>5380</v>
      </c>
      <c r="C638" s="14">
        <v>537784</v>
      </c>
      <c r="D638" s="5"/>
    </row>
    <row r="639" spans="1:4" x14ac:dyDescent="0.2">
      <c r="A639">
        <v>2015</v>
      </c>
      <c r="B639" s="13">
        <v>5403</v>
      </c>
      <c r="C639" s="14">
        <v>6203082</v>
      </c>
      <c r="D639" s="5"/>
    </row>
    <row r="640" spans="1:4" x14ac:dyDescent="0.2">
      <c r="A640">
        <v>2015</v>
      </c>
      <c r="B640" s="13">
        <v>5406</v>
      </c>
      <c r="C640" s="14">
        <v>2603402</v>
      </c>
      <c r="D640" s="5"/>
    </row>
    <row r="641" spans="1:4" x14ac:dyDescent="0.2">
      <c r="A641">
        <v>2015</v>
      </c>
      <c r="B641" s="13">
        <v>5407</v>
      </c>
      <c r="C641" s="14">
        <v>4192152</v>
      </c>
      <c r="D641" s="5"/>
    </row>
    <row r="642" spans="1:4" x14ac:dyDescent="0.2">
      <c r="A642">
        <v>2015</v>
      </c>
      <c r="B642" s="13">
        <v>5408</v>
      </c>
      <c r="C642" s="14">
        <v>4419649</v>
      </c>
      <c r="D642" s="5"/>
    </row>
    <row r="643" spans="1:4" x14ac:dyDescent="0.2">
      <c r="A643">
        <v>2015</v>
      </c>
      <c r="B643" s="13">
        <v>5409</v>
      </c>
      <c r="C643" s="14">
        <v>5058112</v>
      </c>
      <c r="D643" s="5"/>
    </row>
    <row r="644" spans="1:4" x14ac:dyDescent="0.2">
      <c r="A644">
        <v>2015</v>
      </c>
      <c r="B644" s="13">
        <v>5415</v>
      </c>
      <c r="C644" s="14">
        <v>2861762</v>
      </c>
      <c r="D644" s="5"/>
    </row>
    <row r="645" spans="1:4" x14ac:dyDescent="0.2">
      <c r="A645">
        <v>2015</v>
      </c>
      <c r="B645" s="13">
        <v>5416</v>
      </c>
      <c r="C645" s="14">
        <v>1091915</v>
      </c>
      <c r="D645" s="5"/>
    </row>
    <row r="646" spans="1:4" x14ac:dyDescent="0.2">
      <c r="A646">
        <v>2015</v>
      </c>
      <c r="B646" s="13">
        <v>5418</v>
      </c>
      <c r="C646" s="14">
        <v>5266079</v>
      </c>
      <c r="D646" s="5"/>
    </row>
    <row r="647" spans="1:4" x14ac:dyDescent="0.2">
      <c r="A647">
        <v>2015</v>
      </c>
      <c r="B647" s="13">
        <v>5420</v>
      </c>
      <c r="C647" s="14">
        <v>5082443</v>
      </c>
      <c r="D647" s="5"/>
    </row>
    <row r="648" spans="1:4" x14ac:dyDescent="0.2">
      <c r="A648">
        <v>2015</v>
      </c>
      <c r="B648" s="13">
        <v>5427</v>
      </c>
      <c r="C648" s="14">
        <v>246359</v>
      </c>
      <c r="D648" s="5"/>
    </row>
    <row r="649" spans="1:4" x14ac:dyDescent="0.2">
      <c r="A649">
        <v>2015</v>
      </c>
      <c r="B649" s="13">
        <v>5457</v>
      </c>
      <c r="C649" s="14">
        <v>3585460</v>
      </c>
      <c r="D649" s="5"/>
    </row>
    <row r="650" spans="1:4" x14ac:dyDescent="0.2">
      <c r="A650">
        <v>2015</v>
      </c>
      <c r="B650" s="13">
        <v>5458</v>
      </c>
      <c r="C650" s="14">
        <v>4284761</v>
      </c>
      <c r="D650" s="5"/>
    </row>
    <row r="651" spans="1:4" x14ac:dyDescent="0.2">
      <c r="A651">
        <v>2015</v>
      </c>
      <c r="B651" s="13">
        <v>5501</v>
      </c>
      <c r="C651" s="14">
        <v>1695217</v>
      </c>
      <c r="D651" s="5"/>
    </row>
    <row r="652" spans="1:4" x14ac:dyDescent="0.2">
      <c r="A652">
        <v>2015</v>
      </c>
      <c r="B652" s="13">
        <v>5504</v>
      </c>
      <c r="C652" s="14">
        <v>1636074</v>
      </c>
      <c r="D652" s="5"/>
    </row>
    <row r="653" spans="1:4" x14ac:dyDescent="0.2">
      <c r="A653">
        <v>2015</v>
      </c>
      <c r="B653" s="13">
        <v>5505</v>
      </c>
      <c r="C653" s="14">
        <v>483926</v>
      </c>
      <c r="D653" s="5"/>
    </row>
    <row r="654" spans="1:4" x14ac:dyDescent="0.2">
      <c r="A654">
        <v>2015</v>
      </c>
      <c r="B654" s="13">
        <v>5506</v>
      </c>
      <c r="C654" s="14">
        <v>747910</v>
      </c>
      <c r="D654" s="5"/>
    </row>
    <row r="655" spans="1:4" x14ac:dyDescent="0.2">
      <c r="A655">
        <v>2015</v>
      </c>
      <c r="B655" s="13">
        <v>5507</v>
      </c>
      <c r="C655" s="14">
        <v>860649</v>
      </c>
      <c r="D655" s="5"/>
    </row>
    <row r="656" spans="1:4" x14ac:dyDescent="0.2">
      <c r="A656">
        <v>2015</v>
      </c>
      <c r="B656" s="13">
        <v>5527</v>
      </c>
      <c r="C656" s="14">
        <v>966531</v>
      </c>
      <c r="D656" s="5"/>
    </row>
    <row r="657" spans="1:4" x14ac:dyDescent="0.2">
      <c r="A657">
        <v>2015</v>
      </c>
      <c r="B657" s="13">
        <v>5528</v>
      </c>
      <c r="C657" s="14">
        <v>1009283</v>
      </c>
      <c r="D657" s="5"/>
    </row>
    <row r="658" spans="1:4" x14ac:dyDescent="0.2">
      <c r="A658">
        <v>2015</v>
      </c>
      <c r="B658" s="13">
        <v>5530</v>
      </c>
      <c r="C658" s="14">
        <v>1264967</v>
      </c>
      <c r="D658" s="5"/>
    </row>
    <row r="659" spans="1:4" x14ac:dyDescent="0.2">
      <c r="A659">
        <v>2015</v>
      </c>
      <c r="B659" s="13">
        <v>5533</v>
      </c>
      <c r="C659" s="14">
        <v>591252</v>
      </c>
      <c r="D659" s="5"/>
    </row>
    <row r="660" spans="1:4" x14ac:dyDescent="0.2">
      <c r="A660">
        <v>2015</v>
      </c>
      <c r="B660" s="13">
        <v>5534</v>
      </c>
      <c r="C660" s="14">
        <v>909810</v>
      </c>
      <c r="D660" s="5"/>
    </row>
    <row r="661" spans="1:4" x14ac:dyDescent="0.2">
      <c r="A661">
        <v>2015</v>
      </c>
      <c r="B661" s="13">
        <v>5535</v>
      </c>
      <c r="C661" s="14">
        <v>1570774</v>
      </c>
      <c r="D661" s="5"/>
    </row>
    <row r="662" spans="1:4" x14ac:dyDescent="0.2">
      <c r="A662">
        <v>2015</v>
      </c>
      <c r="B662" s="13">
        <v>5541</v>
      </c>
      <c r="C662" s="14">
        <v>843701</v>
      </c>
      <c r="D662" s="5"/>
    </row>
    <row r="663" spans="1:4" x14ac:dyDescent="0.2">
      <c r="A663">
        <v>2015</v>
      </c>
      <c r="B663" s="13">
        <v>5601</v>
      </c>
      <c r="C663" s="14">
        <v>2382782</v>
      </c>
      <c r="D663" s="5"/>
    </row>
    <row r="664" spans="1:4" x14ac:dyDescent="0.2">
      <c r="A664">
        <v>2015</v>
      </c>
      <c r="B664" s="13">
        <v>5676</v>
      </c>
      <c r="C664" s="14">
        <v>646792</v>
      </c>
      <c r="D664" s="5"/>
    </row>
    <row r="665" spans="1:4" x14ac:dyDescent="0.2">
      <c r="A665">
        <v>2015</v>
      </c>
      <c r="B665" s="13">
        <v>5677</v>
      </c>
      <c r="C665" s="14">
        <v>526406</v>
      </c>
      <c r="D665" s="5"/>
    </row>
    <row r="666" spans="1:4" x14ac:dyDescent="0.2">
      <c r="A666">
        <v>2015</v>
      </c>
      <c r="B666" s="13">
        <v>5678</v>
      </c>
      <c r="C666" s="14">
        <v>677409</v>
      </c>
      <c r="D666" s="5"/>
    </row>
    <row r="667" spans="1:4" x14ac:dyDescent="0.2">
      <c r="A667">
        <v>2015</v>
      </c>
      <c r="B667" s="13">
        <v>5679</v>
      </c>
      <c r="C667" s="14">
        <v>1356517</v>
      </c>
      <c r="D667" s="5"/>
    </row>
    <row r="668" spans="1:4" x14ac:dyDescent="0.2">
      <c r="A668">
        <v>2015</v>
      </c>
      <c r="B668" s="13">
        <v>5680</v>
      </c>
      <c r="C668" s="14">
        <v>1311441</v>
      </c>
      <c r="D668" s="5"/>
    </row>
    <row r="669" spans="1:4" x14ac:dyDescent="0.2">
      <c r="A669">
        <v>2015</v>
      </c>
      <c r="B669" s="13">
        <v>5681</v>
      </c>
      <c r="C669" s="14">
        <v>599366</v>
      </c>
      <c r="D669" s="5"/>
    </row>
    <row r="670" spans="1:4" x14ac:dyDescent="0.2">
      <c r="A670">
        <v>2015</v>
      </c>
      <c r="B670" s="13">
        <v>5682</v>
      </c>
      <c r="C670" s="14">
        <v>693308</v>
      </c>
      <c r="D670" s="5"/>
    </row>
    <row r="671" spans="1:4" x14ac:dyDescent="0.2">
      <c r="A671">
        <v>2015</v>
      </c>
      <c r="B671" s="13">
        <v>5683</v>
      </c>
      <c r="C671" s="14">
        <v>1111613</v>
      </c>
      <c r="D671" s="5"/>
    </row>
    <row r="672" spans="1:4" x14ac:dyDescent="0.2">
      <c r="A672">
        <v>2015</v>
      </c>
      <c r="B672" s="13">
        <v>5684</v>
      </c>
      <c r="C672" s="14">
        <v>473801</v>
      </c>
      <c r="D672" s="5"/>
    </row>
    <row r="673" spans="1:4" x14ac:dyDescent="0.2">
      <c r="A673">
        <v>2015</v>
      </c>
      <c r="B673" s="13">
        <v>5685</v>
      </c>
      <c r="C673" s="14">
        <v>785517</v>
      </c>
      <c r="D673" s="5"/>
    </row>
    <row r="674" spans="1:4" x14ac:dyDescent="0.2">
      <c r="A674">
        <v>2015</v>
      </c>
      <c r="B674" s="13">
        <v>5687</v>
      </c>
      <c r="C674" s="14">
        <v>1355187</v>
      </c>
      <c r="D674" s="5"/>
    </row>
    <row r="675" spans="1:4" x14ac:dyDescent="0.2">
      <c r="A675">
        <v>2015</v>
      </c>
      <c r="B675" s="13">
        <v>5688</v>
      </c>
      <c r="C675" s="14">
        <v>518823</v>
      </c>
      <c r="D675" s="5"/>
    </row>
    <row r="676" spans="1:4" x14ac:dyDescent="0.2">
      <c r="A676">
        <v>2015</v>
      </c>
      <c r="B676" s="13">
        <v>5691</v>
      </c>
      <c r="C676" s="15">
        <v>190395</v>
      </c>
      <c r="D676" s="4"/>
    </row>
    <row r="677" spans="1:4" x14ac:dyDescent="0.2">
      <c r="A677">
        <v>2015</v>
      </c>
      <c r="B677" s="13">
        <v>5692</v>
      </c>
      <c r="C677" s="15">
        <v>1115457</v>
      </c>
      <c r="D677" s="5"/>
    </row>
    <row r="678" spans="1:4" x14ac:dyDescent="0.2">
      <c r="A678">
        <v>2015</v>
      </c>
      <c r="B678" s="13">
        <v>5693</v>
      </c>
      <c r="C678" s="15">
        <v>372262</v>
      </c>
      <c r="D678" s="5"/>
    </row>
    <row r="679" spans="1:4" x14ac:dyDescent="0.2">
      <c r="A679">
        <v>2015</v>
      </c>
      <c r="B679" s="13">
        <v>5694</v>
      </c>
      <c r="C679" s="15">
        <v>287886</v>
      </c>
      <c r="D679" s="5"/>
    </row>
    <row r="680" spans="1:4" x14ac:dyDescent="0.2">
      <c r="A680">
        <v>2015</v>
      </c>
      <c r="B680" s="13">
        <v>5695</v>
      </c>
      <c r="C680" s="15">
        <v>298256</v>
      </c>
      <c r="D680" s="5"/>
    </row>
    <row r="681" spans="1:4" x14ac:dyDescent="0.2">
      <c r="A681">
        <v>2015</v>
      </c>
      <c r="B681" s="13">
        <v>5801</v>
      </c>
      <c r="C681" s="15">
        <v>3726288</v>
      </c>
      <c r="D681" s="5"/>
    </row>
    <row r="682" spans="1:4" x14ac:dyDescent="0.2">
      <c r="A682">
        <v>2015</v>
      </c>
      <c r="B682" s="13">
        <v>5806</v>
      </c>
      <c r="C682" s="15">
        <v>2210557</v>
      </c>
      <c r="D682" s="5"/>
    </row>
    <row r="683" spans="1:4" x14ac:dyDescent="0.2">
      <c r="A683">
        <v>2015</v>
      </c>
      <c r="B683" s="13">
        <v>5807</v>
      </c>
      <c r="C683" s="15">
        <v>1015595</v>
      </c>
      <c r="D683" s="5"/>
    </row>
    <row r="684" spans="1:4" x14ac:dyDescent="0.2">
      <c r="A684">
        <v>2015</v>
      </c>
      <c r="B684" s="13">
        <v>5812</v>
      </c>
      <c r="C684" s="15">
        <v>877467</v>
      </c>
      <c r="D684" s="5"/>
    </row>
    <row r="685" spans="1:4" x14ac:dyDescent="0.2">
      <c r="A685">
        <v>2015</v>
      </c>
      <c r="B685" s="13">
        <v>5813</v>
      </c>
      <c r="C685" s="15">
        <v>1167712</v>
      </c>
      <c r="D685" s="5"/>
    </row>
    <row r="686" spans="1:4" x14ac:dyDescent="0.2">
      <c r="A686">
        <v>2015</v>
      </c>
      <c r="B686" s="13">
        <v>5817</v>
      </c>
      <c r="C686" s="15">
        <v>3220022</v>
      </c>
      <c r="D686" s="5"/>
    </row>
    <row r="687" spans="1:4" x14ac:dyDescent="0.2">
      <c r="A687">
        <v>2015</v>
      </c>
      <c r="B687" s="13">
        <v>5820</v>
      </c>
      <c r="C687" s="15">
        <v>1223028</v>
      </c>
      <c r="D687" s="5"/>
    </row>
    <row r="688" spans="1:4" x14ac:dyDescent="0.2">
      <c r="A688">
        <v>2015</v>
      </c>
      <c r="B688" s="13">
        <v>5821</v>
      </c>
      <c r="C688" s="15">
        <v>1492267</v>
      </c>
      <c r="D688" s="5"/>
    </row>
    <row r="689" spans="1:4" x14ac:dyDescent="0.2">
      <c r="A689">
        <v>2015</v>
      </c>
      <c r="B689" s="13">
        <v>5822</v>
      </c>
      <c r="C689" s="15">
        <v>2153697</v>
      </c>
      <c r="D689" s="5"/>
    </row>
    <row r="690" spans="1:4" x14ac:dyDescent="0.2">
      <c r="A690">
        <v>2015</v>
      </c>
      <c r="B690" s="13">
        <v>5823</v>
      </c>
      <c r="C690" s="15">
        <v>459164</v>
      </c>
      <c r="D690" s="5"/>
    </row>
    <row r="691" spans="1:4" x14ac:dyDescent="0.2">
      <c r="A691">
        <v>2015</v>
      </c>
      <c r="B691" s="13">
        <v>6001</v>
      </c>
      <c r="C691" s="15">
        <v>4547037</v>
      </c>
      <c r="D691" s="5"/>
    </row>
    <row r="692" spans="1:4" x14ac:dyDescent="0.2">
      <c r="A692">
        <v>2015</v>
      </c>
      <c r="B692" s="13">
        <v>6005</v>
      </c>
      <c r="C692" s="15">
        <v>3030576</v>
      </c>
      <c r="D692" s="5"/>
    </row>
    <row r="693" spans="1:4" x14ac:dyDescent="0.2">
      <c r="A693">
        <v>2015</v>
      </c>
      <c r="B693" s="13">
        <v>6008</v>
      </c>
      <c r="C693" s="15">
        <v>3001160</v>
      </c>
      <c r="D693" s="5"/>
    </row>
    <row r="694" spans="1:4" x14ac:dyDescent="0.2">
      <c r="A694">
        <v>2015</v>
      </c>
      <c r="B694" s="13">
        <v>6011</v>
      </c>
      <c r="C694" s="15">
        <v>1448969</v>
      </c>
      <c r="D694" s="5"/>
    </row>
    <row r="695" spans="1:4" x14ac:dyDescent="0.2">
      <c r="A695">
        <v>2015</v>
      </c>
      <c r="B695" s="13">
        <v>6018</v>
      </c>
      <c r="C695" s="15">
        <v>1599002</v>
      </c>
      <c r="D695" s="5"/>
    </row>
    <row r="696" spans="1:4" x14ac:dyDescent="0.2">
      <c r="A696">
        <v>2015</v>
      </c>
      <c r="B696" s="13">
        <v>6022</v>
      </c>
      <c r="C696" s="15">
        <v>1680494</v>
      </c>
      <c r="D696" s="5"/>
    </row>
    <row r="697" spans="1:4" x14ac:dyDescent="0.2">
      <c r="A697">
        <v>2015</v>
      </c>
      <c r="B697" s="13">
        <v>6026</v>
      </c>
      <c r="C697" s="15">
        <v>3039021</v>
      </c>
      <c r="D697" s="5"/>
    </row>
    <row r="698" spans="1:4" x14ac:dyDescent="0.2">
      <c r="A698">
        <v>2015</v>
      </c>
      <c r="B698" s="13">
        <v>6027</v>
      </c>
      <c r="C698" s="15">
        <v>4508459</v>
      </c>
      <c r="D698" s="5"/>
    </row>
    <row r="699" spans="1:4" x14ac:dyDescent="0.2">
      <c r="A699">
        <v>2015</v>
      </c>
      <c r="B699" s="13">
        <v>6028</v>
      </c>
      <c r="C699" s="15">
        <v>3614498</v>
      </c>
      <c r="D699" s="5"/>
    </row>
    <row r="700" spans="1:4" x14ac:dyDescent="0.2">
      <c r="A700">
        <v>2015</v>
      </c>
      <c r="B700" s="13">
        <v>6036</v>
      </c>
      <c r="C700" s="15">
        <v>892111</v>
      </c>
      <c r="D700" s="5"/>
    </row>
    <row r="701" spans="1:4" x14ac:dyDescent="0.2">
      <c r="A701">
        <v>2015</v>
      </c>
      <c r="B701" s="13">
        <v>6040</v>
      </c>
      <c r="C701" s="15">
        <v>1111633</v>
      </c>
      <c r="D701" s="5"/>
    </row>
    <row r="702" spans="1:4" x14ac:dyDescent="0.2">
      <c r="A702">
        <v>2015</v>
      </c>
      <c r="B702" s="13">
        <v>6041</v>
      </c>
      <c r="C702" s="15">
        <v>1521627</v>
      </c>
      <c r="D702" s="5"/>
    </row>
    <row r="703" spans="1:4" x14ac:dyDescent="0.2">
      <c r="A703">
        <v>2015</v>
      </c>
      <c r="B703" s="13">
        <v>6042</v>
      </c>
      <c r="C703" s="15">
        <v>1423412</v>
      </c>
      <c r="D703" s="5"/>
    </row>
    <row r="704" spans="1:4" x14ac:dyDescent="0.2">
      <c r="A704">
        <v>2015</v>
      </c>
      <c r="B704" s="13">
        <v>6044</v>
      </c>
      <c r="C704" s="15">
        <v>2593195</v>
      </c>
      <c r="D704" s="5"/>
    </row>
    <row r="705" spans="1:4" x14ac:dyDescent="0.2">
      <c r="A705">
        <v>2015</v>
      </c>
      <c r="B705" s="13">
        <v>6048</v>
      </c>
      <c r="C705" s="15">
        <v>1892281</v>
      </c>
      <c r="D705" s="5"/>
    </row>
    <row r="706" spans="1:4" x14ac:dyDescent="0.2">
      <c r="A706">
        <v>2015</v>
      </c>
      <c r="B706" s="13">
        <v>6050</v>
      </c>
      <c r="C706" s="15">
        <v>2246626</v>
      </c>
      <c r="D706" s="5"/>
    </row>
    <row r="707" spans="1:4" x14ac:dyDescent="0.2">
      <c r="A707">
        <v>2015</v>
      </c>
      <c r="B707" s="13">
        <v>6051</v>
      </c>
      <c r="C707" s="15">
        <v>4745127</v>
      </c>
      <c r="D707" s="5"/>
    </row>
    <row r="708" spans="1:4" x14ac:dyDescent="0.2">
      <c r="A708">
        <v>2015</v>
      </c>
      <c r="B708" s="13">
        <v>6052</v>
      </c>
      <c r="C708" s="15">
        <v>3493457</v>
      </c>
      <c r="D708" s="5"/>
    </row>
    <row r="709" spans="1:4" x14ac:dyDescent="0.2">
      <c r="A709">
        <v>2015</v>
      </c>
      <c r="B709" s="13">
        <v>6056</v>
      </c>
      <c r="C709" s="15">
        <v>14754792</v>
      </c>
      <c r="D709" s="5"/>
    </row>
    <row r="710" spans="1:4" x14ac:dyDescent="0.2">
      <c r="A710">
        <v>2015</v>
      </c>
      <c r="B710" s="13">
        <v>6057</v>
      </c>
      <c r="C710" s="15">
        <v>2750090</v>
      </c>
      <c r="D710" s="5"/>
    </row>
    <row r="711" spans="1:4" x14ac:dyDescent="0.2">
      <c r="A711">
        <v>2015</v>
      </c>
      <c r="B711" s="13">
        <v>6061</v>
      </c>
      <c r="C711" s="15">
        <v>5313177</v>
      </c>
      <c r="D711" s="5"/>
    </row>
    <row r="712" spans="1:4" x14ac:dyDescent="0.2">
      <c r="A712">
        <v>2015</v>
      </c>
      <c r="B712" s="13">
        <v>6065</v>
      </c>
      <c r="C712" s="15">
        <v>6155647</v>
      </c>
      <c r="D712" s="5"/>
    </row>
    <row r="713" spans="1:4" x14ac:dyDescent="0.2">
      <c r="A713">
        <v>2015</v>
      </c>
      <c r="B713" s="13">
        <v>6067</v>
      </c>
      <c r="C713" s="15">
        <v>3174744</v>
      </c>
      <c r="D713" s="5"/>
    </row>
    <row r="714" spans="1:4" x14ac:dyDescent="0.2">
      <c r="A714">
        <v>2015</v>
      </c>
      <c r="B714" s="13">
        <v>6068</v>
      </c>
      <c r="C714" s="15">
        <v>2114525</v>
      </c>
      <c r="D714" s="5"/>
    </row>
    <row r="715" spans="1:4" x14ac:dyDescent="0.2">
      <c r="A715">
        <v>2015</v>
      </c>
      <c r="B715" s="13">
        <v>6074</v>
      </c>
      <c r="C715" s="15">
        <v>3701442</v>
      </c>
      <c r="D715" s="5"/>
    </row>
    <row r="716" spans="1:4" x14ac:dyDescent="0.2">
      <c r="A716">
        <v>2015</v>
      </c>
      <c r="B716" s="13">
        <v>6075</v>
      </c>
      <c r="C716" s="15">
        <v>2873792</v>
      </c>
      <c r="D716" s="5"/>
    </row>
    <row r="717" spans="1:4" x14ac:dyDescent="0.2">
      <c r="A717">
        <v>2015</v>
      </c>
      <c r="B717" s="13">
        <v>6078</v>
      </c>
      <c r="C717" s="15">
        <v>6714948</v>
      </c>
      <c r="D717" s="5"/>
    </row>
    <row r="718" spans="1:4" x14ac:dyDescent="0.2">
      <c r="A718">
        <v>2015</v>
      </c>
      <c r="B718" s="13">
        <v>6079</v>
      </c>
      <c r="C718" s="15">
        <v>3177819</v>
      </c>
      <c r="D718" s="5"/>
    </row>
    <row r="719" spans="1:4" x14ac:dyDescent="0.2">
      <c r="A719">
        <v>2015</v>
      </c>
      <c r="B719" s="13">
        <v>6091</v>
      </c>
      <c r="C719" s="15">
        <v>13606475</v>
      </c>
      <c r="D719" s="5"/>
    </row>
    <row r="720" spans="1:4" x14ac:dyDescent="0.2">
      <c r="A720">
        <v>2015</v>
      </c>
      <c r="B720" s="13">
        <v>6093</v>
      </c>
      <c r="C720" s="15">
        <v>7477359</v>
      </c>
      <c r="D720" s="5"/>
    </row>
    <row r="721" spans="1:4" x14ac:dyDescent="0.2">
      <c r="A721">
        <v>2015</v>
      </c>
      <c r="B721" s="13">
        <v>6094</v>
      </c>
      <c r="C721" s="15">
        <v>4267378</v>
      </c>
      <c r="D721" s="4"/>
    </row>
    <row r="722" spans="1:4" x14ac:dyDescent="0.2">
      <c r="A722">
        <v>2015</v>
      </c>
      <c r="B722" s="13">
        <v>6095</v>
      </c>
      <c r="C722" s="15">
        <v>1847855</v>
      </c>
      <c r="D722" s="5"/>
    </row>
    <row r="723" spans="1:4" x14ac:dyDescent="0.2">
      <c r="A723">
        <v>2015</v>
      </c>
      <c r="B723" s="13">
        <v>6097</v>
      </c>
      <c r="C723" s="15">
        <v>1372222</v>
      </c>
      <c r="D723" s="5"/>
    </row>
    <row r="724" spans="1:4" x14ac:dyDescent="0.2">
      <c r="A724">
        <v>2015</v>
      </c>
      <c r="B724" s="13">
        <v>6099</v>
      </c>
      <c r="C724" s="15">
        <v>2090998</v>
      </c>
      <c r="D724" s="5"/>
    </row>
    <row r="725" spans="1:4" x14ac:dyDescent="0.2">
      <c r="A725">
        <v>2015</v>
      </c>
      <c r="B725" s="13">
        <v>6104</v>
      </c>
      <c r="C725" s="15">
        <v>2872492</v>
      </c>
      <c r="D725" s="5"/>
    </row>
    <row r="726" spans="1:4" x14ac:dyDescent="0.2">
      <c r="A726">
        <v>2015</v>
      </c>
      <c r="B726" s="13">
        <v>6105</v>
      </c>
      <c r="C726" s="15">
        <v>4474699</v>
      </c>
      <c r="D726" s="5"/>
    </row>
    <row r="727" spans="1:4" x14ac:dyDescent="0.2">
      <c r="A727">
        <v>2015</v>
      </c>
      <c r="B727" s="13">
        <v>6109</v>
      </c>
      <c r="C727" s="15">
        <v>5045829</v>
      </c>
      <c r="D727" s="5"/>
    </row>
    <row r="728" spans="1:4" x14ac:dyDescent="0.2">
      <c r="A728">
        <v>2015</v>
      </c>
      <c r="B728" s="13">
        <v>6507</v>
      </c>
      <c r="C728" s="15">
        <v>154429</v>
      </c>
      <c r="D728" s="5"/>
    </row>
    <row r="729" spans="1:4" x14ac:dyDescent="0.2">
      <c r="A729">
        <v>2015</v>
      </c>
      <c r="B729" s="13">
        <v>6511</v>
      </c>
      <c r="C729" s="15">
        <v>90368</v>
      </c>
      <c r="D729" s="5"/>
    </row>
    <row r="730" spans="1:4" x14ac:dyDescent="0.2">
      <c r="A730">
        <v>2015</v>
      </c>
      <c r="B730" s="13">
        <v>7000</v>
      </c>
      <c r="C730" s="15">
        <v>19568001</v>
      </c>
      <c r="D730" s="5"/>
    </row>
    <row r="731" spans="1:4" x14ac:dyDescent="0.2">
      <c r="A731">
        <v>2015</v>
      </c>
      <c r="B731" s="13">
        <v>7500</v>
      </c>
      <c r="C731" s="15">
        <v>215062</v>
      </c>
      <c r="D731" s="5"/>
    </row>
    <row r="732" spans="1:4" x14ac:dyDescent="0.2">
      <c r="A732">
        <v>2015</v>
      </c>
      <c r="B732" s="13">
        <v>7501</v>
      </c>
      <c r="C732" s="15">
        <v>452486</v>
      </c>
      <c r="D732" s="5"/>
    </row>
    <row r="733" spans="1:4" x14ac:dyDescent="0.2">
      <c r="A733">
        <v>2015</v>
      </c>
      <c r="B733" s="13">
        <v>7502</v>
      </c>
      <c r="C733" s="15">
        <v>35904</v>
      </c>
      <c r="D733" s="5"/>
    </row>
    <row r="734" spans="1:4" x14ac:dyDescent="0.2">
      <c r="A734">
        <v>2015</v>
      </c>
      <c r="B734" s="13">
        <v>8000</v>
      </c>
      <c r="C734" s="15">
        <v>2795300</v>
      </c>
      <c r="D734" s="5"/>
    </row>
    <row r="735" spans="1:4" x14ac:dyDescent="0.2">
      <c r="A735">
        <v>2015</v>
      </c>
      <c r="B735" s="13">
        <v>8102</v>
      </c>
      <c r="C735" s="15">
        <v>541599</v>
      </c>
      <c r="D735" s="5"/>
    </row>
    <row r="736" spans="1:4" x14ac:dyDescent="0.2">
      <c r="A736">
        <v>2015</v>
      </c>
      <c r="B736" s="13">
        <v>8105</v>
      </c>
      <c r="C736" s="15">
        <v>733987</v>
      </c>
      <c r="D736" s="5"/>
    </row>
    <row r="737" spans="1:4" x14ac:dyDescent="0.2">
      <c r="A737">
        <v>2015</v>
      </c>
      <c r="B737" s="13">
        <v>8110</v>
      </c>
      <c r="C737" s="15">
        <v>1092399</v>
      </c>
      <c r="D737" s="5"/>
    </row>
    <row r="738" spans="1:4" x14ac:dyDescent="0.2">
      <c r="A738">
        <v>2015</v>
      </c>
      <c r="B738" s="13">
        <v>8112</v>
      </c>
      <c r="C738" s="15">
        <v>282552</v>
      </c>
      <c r="D738" s="5"/>
    </row>
    <row r="739" spans="1:4" x14ac:dyDescent="0.2">
      <c r="A739">
        <v>2015</v>
      </c>
      <c r="B739" s="13">
        <v>8113</v>
      </c>
      <c r="C739" s="15">
        <v>271897</v>
      </c>
      <c r="D739" s="5"/>
    </row>
    <row r="740" spans="1:4" x14ac:dyDescent="0.2">
      <c r="A740">
        <v>2015</v>
      </c>
      <c r="B740" s="13">
        <v>8115</v>
      </c>
      <c r="C740" s="15">
        <v>353314</v>
      </c>
      <c r="D740" s="5"/>
    </row>
    <row r="741" spans="1:4" x14ac:dyDescent="0.2">
      <c r="A741">
        <v>2015</v>
      </c>
      <c r="B741" s="13">
        <v>8120</v>
      </c>
      <c r="C741" s="15">
        <v>843293</v>
      </c>
      <c r="D741" s="5"/>
    </row>
    <row r="742" spans="1:4" x14ac:dyDescent="0.2">
      <c r="A742">
        <v>2015</v>
      </c>
      <c r="B742" s="13">
        <v>8124</v>
      </c>
      <c r="C742" s="15">
        <v>2503096</v>
      </c>
      <c r="D742" s="5"/>
    </row>
    <row r="743" spans="1:4" x14ac:dyDescent="0.2">
      <c r="A743">
        <v>2015</v>
      </c>
      <c r="B743" s="13">
        <v>8129</v>
      </c>
      <c r="C743" s="15">
        <v>853288</v>
      </c>
      <c r="D743" s="5"/>
    </row>
    <row r="744" spans="1:4" x14ac:dyDescent="0.2">
      <c r="A744">
        <v>2015</v>
      </c>
      <c r="B744" s="13">
        <v>8130</v>
      </c>
      <c r="C744" s="15">
        <v>3657959</v>
      </c>
      <c r="D744" s="5"/>
    </row>
    <row r="745" spans="1:4" x14ac:dyDescent="0.2">
      <c r="A745">
        <v>2015</v>
      </c>
      <c r="B745" s="13">
        <v>8131</v>
      </c>
      <c r="C745" s="15">
        <v>482161</v>
      </c>
      <c r="D745" s="5"/>
    </row>
    <row r="746" spans="1:4" x14ac:dyDescent="0.2">
      <c r="A746">
        <v>2015</v>
      </c>
      <c r="B746" s="13">
        <v>8133</v>
      </c>
      <c r="C746" s="15">
        <v>730847</v>
      </c>
      <c r="D746" s="5"/>
    </row>
    <row r="747" spans="1:4" x14ac:dyDescent="0.2">
      <c r="A747">
        <v>2015</v>
      </c>
      <c r="B747" s="13">
        <v>8134</v>
      </c>
      <c r="C747" s="15">
        <v>343641</v>
      </c>
      <c r="D747" s="5"/>
    </row>
    <row r="748" spans="1:4" x14ac:dyDescent="0.2">
      <c r="A748">
        <v>2015</v>
      </c>
      <c r="B748" s="13">
        <v>8135</v>
      </c>
      <c r="C748" s="15">
        <v>1801587</v>
      </c>
      <c r="D748" s="5"/>
    </row>
    <row r="749" spans="1:4" x14ac:dyDescent="0.2">
      <c r="A749">
        <v>2015</v>
      </c>
      <c r="B749" s="13">
        <v>8140</v>
      </c>
      <c r="C749" s="15">
        <v>416563</v>
      </c>
      <c r="D749" s="5"/>
    </row>
    <row r="750" spans="1:4" x14ac:dyDescent="0.2">
      <c r="A750">
        <v>2015</v>
      </c>
      <c r="B750" s="13">
        <v>8142</v>
      </c>
      <c r="C750" s="15">
        <v>809595</v>
      </c>
      <c r="D750" s="5"/>
    </row>
    <row r="751" spans="1:4" x14ac:dyDescent="0.2">
      <c r="A751">
        <v>2015</v>
      </c>
      <c r="B751" s="13">
        <v>8145</v>
      </c>
      <c r="C751" s="15">
        <v>725191</v>
      </c>
      <c r="D751" s="5"/>
    </row>
    <row r="752" spans="1:4" x14ac:dyDescent="0.2">
      <c r="A752">
        <v>2015</v>
      </c>
      <c r="B752" s="13">
        <v>8146</v>
      </c>
      <c r="C752" s="15">
        <v>1864463</v>
      </c>
      <c r="D752" s="5"/>
    </row>
    <row r="753" spans="1:4" x14ac:dyDescent="0.2">
      <c r="A753">
        <v>2015</v>
      </c>
      <c r="B753" s="13">
        <v>8149</v>
      </c>
      <c r="C753" s="15">
        <v>278052</v>
      </c>
      <c r="D753" s="5"/>
    </row>
    <row r="754" spans="1:4" x14ac:dyDescent="0.2">
      <c r="A754">
        <v>2015</v>
      </c>
      <c r="B754" s="13">
        <v>8150</v>
      </c>
      <c r="C754" s="15">
        <v>3800003</v>
      </c>
      <c r="D754" s="5"/>
    </row>
    <row r="755" spans="1:4" x14ac:dyDescent="0.2">
      <c r="A755">
        <v>2015</v>
      </c>
      <c r="B755" s="13">
        <v>8151</v>
      </c>
      <c r="C755" s="15">
        <v>1720950</v>
      </c>
      <c r="D755" s="5"/>
    </row>
    <row r="756" spans="1:4" x14ac:dyDescent="0.2">
      <c r="A756">
        <v>2015</v>
      </c>
      <c r="B756" s="13">
        <v>8153</v>
      </c>
      <c r="C756" s="15">
        <v>811647</v>
      </c>
      <c r="D756" s="5"/>
    </row>
    <row r="757" spans="1:4" x14ac:dyDescent="0.2">
      <c r="A757">
        <v>2015</v>
      </c>
      <c r="B757" s="13">
        <v>8155</v>
      </c>
      <c r="C757" s="15">
        <v>936359</v>
      </c>
      <c r="D757" s="5"/>
    </row>
    <row r="758" spans="1:4" x14ac:dyDescent="0.2">
      <c r="A758">
        <v>2015</v>
      </c>
      <c r="B758" s="13">
        <v>8160</v>
      </c>
      <c r="C758" s="15">
        <v>975048</v>
      </c>
      <c r="D758" s="5"/>
    </row>
    <row r="759" spans="1:4" x14ac:dyDescent="0.2">
      <c r="A759">
        <v>2015</v>
      </c>
      <c r="B759" s="13">
        <v>8162</v>
      </c>
      <c r="C759" s="15">
        <v>345707</v>
      </c>
      <c r="D759" s="5"/>
    </row>
    <row r="760" spans="1:4" x14ac:dyDescent="0.2">
      <c r="A760">
        <v>2015</v>
      </c>
      <c r="B760" s="13">
        <v>8166</v>
      </c>
      <c r="C760" s="15">
        <v>4629253</v>
      </c>
      <c r="D760" s="5"/>
    </row>
    <row r="761" spans="1:4" x14ac:dyDescent="0.2">
      <c r="A761">
        <v>2015</v>
      </c>
      <c r="B761" s="13">
        <v>8167</v>
      </c>
      <c r="C761" s="15">
        <v>212658</v>
      </c>
      <c r="D761" s="5"/>
    </row>
    <row r="762" spans="1:4" x14ac:dyDescent="0.2">
      <c r="A762">
        <v>2015</v>
      </c>
      <c r="B762" s="13">
        <v>8168</v>
      </c>
      <c r="C762" s="15">
        <v>319118</v>
      </c>
      <c r="D762" s="5"/>
    </row>
    <row r="763" spans="1:4" x14ac:dyDescent="0.2">
      <c r="A763">
        <v>2015</v>
      </c>
      <c r="B763" s="13">
        <v>8169</v>
      </c>
      <c r="C763" s="15">
        <v>357966</v>
      </c>
      <c r="D763" s="5"/>
    </row>
    <row r="764" spans="1:4" x14ac:dyDescent="0.2">
      <c r="A764">
        <v>2015</v>
      </c>
      <c r="B764" s="13">
        <v>8170</v>
      </c>
      <c r="C764" s="15">
        <v>1574690</v>
      </c>
      <c r="D764" s="5"/>
    </row>
    <row r="765" spans="1:4" x14ac:dyDescent="0.2">
      <c r="A765">
        <v>2015</v>
      </c>
      <c r="B765" s="13">
        <v>8400</v>
      </c>
      <c r="C765" s="15">
        <v>643200</v>
      </c>
      <c r="D765" s="5"/>
    </row>
    <row r="766" spans="1:4" x14ac:dyDescent="0.2">
      <c r="A766">
        <v>2015</v>
      </c>
      <c r="B766" s="13">
        <v>8402</v>
      </c>
      <c r="C766" s="15">
        <v>335039</v>
      </c>
      <c r="D766" s="5"/>
    </row>
    <row r="767" spans="1:4" x14ac:dyDescent="0.2">
      <c r="A767">
        <v>2015</v>
      </c>
      <c r="B767" s="13">
        <v>8403</v>
      </c>
      <c r="C767" s="15">
        <v>360502</v>
      </c>
      <c r="D767" s="5"/>
    </row>
    <row r="768" spans="1:4" x14ac:dyDescent="0.2">
      <c r="A768">
        <v>2015</v>
      </c>
      <c r="B768" s="13">
        <v>8405</v>
      </c>
      <c r="C768" s="15">
        <v>2790</v>
      </c>
      <c r="D768" s="5"/>
    </row>
    <row r="769" spans="1:4" x14ac:dyDescent="0.2">
      <c r="A769">
        <v>2015</v>
      </c>
      <c r="B769" s="13">
        <v>8406</v>
      </c>
      <c r="C769" s="15">
        <v>237965</v>
      </c>
      <c r="D769" s="5"/>
    </row>
    <row r="770" spans="1:4" x14ac:dyDescent="0.2">
      <c r="A770">
        <v>2015</v>
      </c>
      <c r="B770" s="13">
        <v>8407</v>
      </c>
      <c r="C770" s="16">
        <v>1477783</v>
      </c>
      <c r="D770" s="7"/>
    </row>
    <row r="771" spans="1:4" x14ac:dyDescent="0.2">
      <c r="A771">
        <v>2015</v>
      </c>
      <c r="B771" s="13">
        <v>8409</v>
      </c>
      <c r="C771" s="16">
        <v>820163</v>
      </c>
      <c r="D771" s="8"/>
    </row>
    <row r="772" spans="1:4" x14ac:dyDescent="0.2">
      <c r="A772">
        <v>2015</v>
      </c>
      <c r="B772" s="13">
        <v>8410</v>
      </c>
      <c r="C772" s="16">
        <v>343641</v>
      </c>
      <c r="D772" s="8"/>
    </row>
    <row r="773" spans="1:4" x14ac:dyDescent="0.2">
      <c r="A773">
        <v>2015</v>
      </c>
      <c r="B773" s="13">
        <v>8412</v>
      </c>
      <c r="C773" s="16">
        <v>765084</v>
      </c>
      <c r="D773" s="8"/>
    </row>
    <row r="774" spans="1:4" x14ac:dyDescent="0.2">
      <c r="A774">
        <v>2015</v>
      </c>
      <c r="B774" s="13">
        <v>8413</v>
      </c>
      <c r="C774" s="16">
        <v>166938</v>
      </c>
      <c r="D774" s="8"/>
    </row>
    <row r="775" spans="1:4" x14ac:dyDescent="0.2">
      <c r="A775">
        <v>2015</v>
      </c>
      <c r="B775" s="13">
        <v>8414</v>
      </c>
      <c r="C775" s="16">
        <v>35498</v>
      </c>
      <c r="D775" s="8"/>
    </row>
    <row r="776" spans="1:4" x14ac:dyDescent="0.2">
      <c r="A776">
        <v>2015</v>
      </c>
      <c r="B776" s="13">
        <v>8415</v>
      </c>
      <c r="C776" s="16">
        <v>653966</v>
      </c>
      <c r="D776" s="8"/>
    </row>
    <row r="777" spans="1:4" x14ac:dyDescent="0.2">
      <c r="A777">
        <v>2015</v>
      </c>
      <c r="B777" s="13">
        <v>8416</v>
      </c>
      <c r="C777" s="16">
        <v>352834</v>
      </c>
      <c r="D777" s="8"/>
    </row>
    <row r="778" spans="1:4" x14ac:dyDescent="0.2">
      <c r="A778">
        <v>2015</v>
      </c>
      <c r="B778" s="13">
        <v>8419</v>
      </c>
      <c r="C778" s="16">
        <v>353973</v>
      </c>
      <c r="D778" s="8"/>
    </row>
    <row r="779" spans="1:4" x14ac:dyDescent="0.2">
      <c r="A779">
        <v>2015</v>
      </c>
      <c r="B779" s="13">
        <v>8420</v>
      </c>
      <c r="C779" s="16">
        <v>582196</v>
      </c>
      <c r="D779" s="8"/>
    </row>
    <row r="780" spans="1:4" x14ac:dyDescent="0.2">
      <c r="A780">
        <v>2015</v>
      </c>
      <c r="B780" s="13">
        <v>8421</v>
      </c>
      <c r="C780" s="16">
        <v>359205</v>
      </c>
      <c r="D780" s="8"/>
    </row>
    <row r="781" spans="1:4" x14ac:dyDescent="0.2">
      <c r="A781">
        <v>2015</v>
      </c>
      <c r="B781" s="13">
        <v>8422</v>
      </c>
      <c r="C781" s="16">
        <v>323274</v>
      </c>
      <c r="D781" s="8"/>
    </row>
    <row r="782" spans="1:4" x14ac:dyDescent="0.2">
      <c r="A782">
        <v>2015</v>
      </c>
      <c r="B782" s="13">
        <v>8423</v>
      </c>
      <c r="C782" s="16">
        <v>246709</v>
      </c>
      <c r="D782" s="8"/>
    </row>
    <row r="783" spans="1:4" x14ac:dyDescent="0.2">
      <c r="A783">
        <v>2015</v>
      </c>
      <c r="B783" s="13">
        <v>8424</v>
      </c>
      <c r="C783" s="16">
        <v>164054</v>
      </c>
      <c r="D783" s="8"/>
    </row>
    <row r="784" spans="1:4" x14ac:dyDescent="0.2">
      <c r="A784">
        <v>2015</v>
      </c>
      <c r="B784" s="13">
        <v>8425</v>
      </c>
      <c r="C784" s="16">
        <v>308176</v>
      </c>
      <c r="D784" s="8"/>
    </row>
    <row r="785" spans="1:4" x14ac:dyDescent="0.2">
      <c r="A785">
        <v>2015</v>
      </c>
      <c r="B785" s="13">
        <v>8426</v>
      </c>
      <c r="C785" s="16">
        <v>225494</v>
      </c>
      <c r="D785" s="8"/>
    </row>
    <row r="786" spans="1:4" x14ac:dyDescent="0.2">
      <c r="A786">
        <v>2015</v>
      </c>
      <c r="B786" s="13">
        <v>8427</v>
      </c>
      <c r="C786" s="16">
        <v>118911</v>
      </c>
      <c r="D786" s="8"/>
    </row>
    <row r="787" spans="1:4" x14ac:dyDescent="0.2">
      <c r="A787">
        <v>2015</v>
      </c>
      <c r="B787" s="13">
        <v>8428</v>
      </c>
      <c r="C787" s="16">
        <v>544877</v>
      </c>
      <c r="D787" s="8"/>
    </row>
    <row r="788" spans="1:4" x14ac:dyDescent="0.2">
      <c r="A788">
        <v>2015</v>
      </c>
      <c r="B788" s="13">
        <v>8429</v>
      </c>
      <c r="C788" s="16">
        <v>276971</v>
      </c>
      <c r="D788" s="8"/>
    </row>
    <row r="789" spans="1:4" x14ac:dyDescent="0.2">
      <c r="A789">
        <v>2015</v>
      </c>
      <c r="B789" s="13">
        <v>8430</v>
      </c>
      <c r="C789" s="16">
        <v>242786</v>
      </c>
      <c r="D789" s="8"/>
    </row>
    <row r="790" spans="1:4" x14ac:dyDescent="0.2">
      <c r="A790">
        <v>2015</v>
      </c>
      <c r="B790" s="13">
        <v>8431</v>
      </c>
      <c r="C790" s="16">
        <v>170825</v>
      </c>
      <c r="D790" s="8"/>
    </row>
    <row r="792" spans="1:4" x14ac:dyDescent="0.2">
      <c r="B792" s="10" t="s">
        <v>3</v>
      </c>
      <c r="C792" s="12">
        <f>SUM(C2:C790)</f>
        <v>2633243848</v>
      </c>
    </row>
    <row r="794" spans="1:4" x14ac:dyDescent="0.2">
      <c r="B794" s="10" t="s">
        <v>2</v>
      </c>
      <c r="C794" s="12">
        <v>2633243839</v>
      </c>
    </row>
    <row r="796" spans="1:4" x14ac:dyDescent="0.2">
      <c r="B796" s="19" t="s">
        <v>4</v>
      </c>
      <c r="C796" s="18">
        <f>C792-C794</f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86B4-DEAC-7A41-88A0-5EDA92540FB3}">
  <sheetPr>
    <tabColor rgb="FFFFFF00"/>
  </sheetPr>
  <dimension ref="A1:C800"/>
  <sheetViews>
    <sheetView workbookViewId="0">
      <selection activeCell="A2" sqref="A2:C793"/>
    </sheetView>
  </sheetViews>
  <sheetFormatPr baseColWidth="10" defaultRowHeight="16" x14ac:dyDescent="0.2"/>
  <cols>
    <col min="2" max="2" width="16" style="10" bestFit="1" customWidth="1"/>
    <col min="3" max="3" width="18.83203125" style="10" bestFit="1" customWidth="1"/>
  </cols>
  <sheetData>
    <row r="1" spans="1:3" x14ac:dyDescent="0.2">
      <c r="A1" t="s">
        <v>5</v>
      </c>
      <c r="B1" s="22" t="s">
        <v>0</v>
      </c>
      <c r="C1" s="11" t="s">
        <v>1</v>
      </c>
    </row>
    <row r="2" spans="1:3" x14ac:dyDescent="0.2">
      <c r="A2">
        <v>2016</v>
      </c>
      <c r="B2" s="13">
        <v>1005</v>
      </c>
      <c r="C2" s="16">
        <v>10546992</v>
      </c>
    </row>
    <row r="3" spans="1:3" x14ac:dyDescent="0.2">
      <c r="A3">
        <v>2016</v>
      </c>
      <c r="B3" s="13">
        <v>1010</v>
      </c>
      <c r="C3" s="16">
        <v>3159934</v>
      </c>
    </row>
    <row r="4" spans="1:3" x14ac:dyDescent="0.2">
      <c r="A4">
        <v>2016</v>
      </c>
      <c r="B4" s="13">
        <v>1015</v>
      </c>
      <c r="C4" s="16">
        <v>3530378</v>
      </c>
    </row>
    <row r="5" spans="1:3" x14ac:dyDescent="0.2">
      <c r="A5">
        <v>2016</v>
      </c>
      <c r="B5" s="13">
        <v>1020</v>
      </c>
      <c r="C5" s="16">
        <v>2067857</v>
      </c>
    </row>
    <row r="6" spans="1:3" x14ac:dyDescent="0.2">
      <c r="A6">
        <v>2016</v>
      </c>
      <c r="B6" s="13">
        <v>1025</v>
      </c>
      <c r="C6" s="16">
        <v>3276105</v>
      </c>
    </row>
    <row r="7" spans="1:3" x14ac:dyDescent="0.2">
      <c r="A7">
        <v>2016</v>
      </c>
      <c r="B7" s="13">
        <v>1030</v>
      </c>
      <c r="C7" s="16">
        <v>5132702</v>
      </c>
    </row>
    <row r="8" spans="1:3" x14ac:dyDescent="0.2">
      <c r="A8">
        <v>2016</v>
      </c>
      <c r="B8" s="13">
        <v>1035</v>
      </c>
      <c r="C8" s="16">
        <v>33792153</v>
      </c>
    </row>
    <row r="9" spans="1:3" x14ac:dyDescent="0.2">
      <c r="A9">
        <v>2016</v>
      </c>
      <c r="B9" s="13">
        <v>1040</v>
      </c>
      <c r="C9" s="16">
        <v>3209657</v>
      </c>
    </row>
    <row r="10" spans="1:3" x14ac:dyDescent="0.2">
      <c r="A10">
        <v>2016</v>
      </c>
      <c r="B10" s="13">
        <v>1045</v>
      </c>
      <c r="C10" s="16">
        <v>1860173</v>
      </c>
    </row>
    <row r="11" spans="1:3" x14ac:dyDescent="0.2">
      <c r="A11">
        <v>2016</v>
      </c>
      <c r="B11" s="13">
        <v>1050</v>
      </c>
      <c r="C11" s="16">
        <v>4816761</v>
      </c>
    </row>
    <row r="12" spans="1:3" x14ac:dyDescent="0.2">
      <c r="A12">
        <v>2016</v>
      </c>
      <c r="B12" s="13">
        <v>1055</v>
      </c>
      <c r="C12" s="16">
        <v>2309646</v>
      </c>
    </row>
    <row r="13" spans="1:3" x14ac:dyDescent="0.2">
      <c r="A13">
        <v>2016</v>
      </c>
      <c r="B13" s="13">
        <v>1060</v>
      </c>
      <c r="C13" s="16">
        <v>2232164</v>
      </c>
    </row>
    <row r="14" spans="1:3" x14ac:dyDescent="0.2">
      <c r="A14">
        <v>2016</v>
      </c>
      <c r="B14" s="13">
        <v>1065</v>
      </c>
      <c r="C14" s="16">
        <v>4545078</v>
      </c>
    </row>
    <row r="15" spans="1:3" x14ac:dyDescent="0.2">
      <c r="A15">
        <v>2016</v>
      </c>
      <c r="B15" s="13">
        <v>1070</v>
      </c>
      <c r="C15" s="16">
        <v>3281781</v>
      </c>
    </row>
    <row r="16" spans="1:3" x14ac:dyDescent="0.2">
      <c r="A16">
        <v>2016</v>
      </c>
      <c r="B16" s="13">
        <v>1075</v>
      </c>
      <c r="C16" s="16">
        <v>2224153</v>
      </c>
    </row>
    <row r="17" spans="1:3" x14ac:dyDescent="0.2">
      <c r="A17">
        <v>2016</v>
      </c>
      <c r="B17" s="13">
        <v>1080</v>
      </c>
      <c r="C17" s="16">
        <v>4443984</v>
      </c>
    </row>
    <row r="18" spans="1:3" x14ac:dyDescent="0.2">
      <c r="A18">
        <v>2016</v>
      </c>
      <c r="B18" s="13">
        <v>1085</v>
      </c>
      <c r="C18" s="16">
        <v>1903010</v>
      </c>
    </row>
    <row r="19" spans="1:3" x14ac:dyDescent="0.2">
      <c r="A19">
        <v>2016</v>
      </c>
      <c r="B19" s="13">
        <v>1090</v>
      </c>
      <c r="C19" s="16">
        <v>2621402</v>
      </c>
    </row>
    <row r="20" spans="1:3" x14ac:dyDescent="0.2">
      <c r="A20">
        <v>2016</v>
      </c>
      <c r="B20" s="13">
        <v>1095</v>
      </c>
      <c r="C20" s="16">
        <v>1357583</v>
      </c>
    </row>
    <row r="21" spans="1:3" x14ac:dyDescent="0.2">
      <c r="A21">
        <v>2016</v>
      </c>
      <c r="B21" s="13">
        <v>1100</v>
      </c>
      <c r="C21" s="16">
        <v>1905007</v>
      </c>
    </row>
    <row r="22" spans="1:3" x14ac:dyDescent="0.2">
      <c r="A22">
        <v>2016</v>
      </c>
      <c r="B22" s="13">
        <v>1105</v>
      </c>
      <c r="C22" s="16">
        <v>4906864</v>
      </c>
    </row>
    <row r="23" spans="1:3" x14ac:dyDescent="0.2">
      <c r="A23">
        <v>2016</v>
      </c>
      <c r="B23" s="13">
        <v>1110</v>
      </c>
      <c r="C23" s="16">
        <v>4073739</v>
      </c>
    </row>
    <row r="24" spans="1:3" x14ac:dyDescent="0.2">
      <c r="A24">
        <v>2016</v>
      </c>
      <c r="B24" s="13">
        <v>1115</v>
      </c>
      <c r="C24" s="16">
        <v>1352443</v>
      </c>
    </row>
    <row r="25" spans="1:3" x14ac:dyDescent="0.2">
      <c r="A25">
        <v>2016</v>
      </c>
      <c r="B25" s="13">
        <v>1120</v>
      </c>
      <c r="C25" s="16">
        <v>8165206</v>
      </c>
    </row>
    <row r="26" spans="1:3" x14ac:dyDescent="0.2">
      <c r="A26">
        <v>2016</v>
      </c>
      <c r="B26" s="13">
        <v>1125</v>
      </c>
      <c r="C26" s="16">
        <v>1898626</v>
      </c>
    </row>
    <row r="27" spans="1:3" x14ac:dyDescent="0.2">
      <c r="A27">
        <v>2016</v>
      </c>
      <c r="B27" s="13">
        <v>1130</v>
      </c>
      <c r="C27" s="16">
        <v>844360</v>
      </c>
    </row>
    <row r="28" spans="1:3" x14ac:dyDescent="0.2">
      <c r="A28">
        <v>2016</v>
      </c>
      <c r="B28" s="13">
        <v>1135</v>
      </c>
      <c r="C28" s="16">
        <v>4472927</v>
      </c>
    </row>
    <row r="29" spans="1:3" x14ac:dyDescent="0.2">
      <c r="A29">
        <v>2016</v>
      </c>
      <c r="B29" s="13">
        <v>1140</v>
      </c>
      <c r="C29" s="16">
        <v>7258449</v>
      </c>
    </row>
    <row r="30" spans="1:3" x14ac:dyDescent="0.2">
      <c r="A30">
        <v>2016</v>
      </c>
      <c r="B30" s="13">
        <v>1145</v>
      </c>
      <c r="C30" s="16">
        <v>1025353</v>
      </c>
    </row>
    <row r="31" spans="1:3" x14ac:dyDescent="0.2">
      <c r="A31">
        <v>2016</v>
      </c>
      <c r="B31" s="13">
        <v>1150</v>
      </c>
      <c r="C31" s="16">
        <v>7590331</v>
      </c>
    </row>
    <row r="32" spans="1:3" x14ac:dyDescent="0.2">
      <c r="A32">
        <v>2016</v>
      </c>
      <c r="B32" s="13">
        <v>1155</v>
      </c>
      <c r="C32" s="16">
        <v>12430217</v>
      </c>
    </row>
    <row r="33" spans="1:3" x14ac:dyDescent="0.2">
      <c r="A33">
        <v>2016</v>
      </c>
      <c r="B33" s="13">
        <v>1160</v>
      </c>
      <c r="C33" s="16">
        <v>14386565</v>
      </c>
    </row>
    <row r="34" spans="1:3" x14ac:dyDescent="0.2">
      <c r="A34">
        <v>2016</v>
      </c>
      <c r="B34" s="13">
        <v>1165</v>
      </c>
      <c r="C34" s="16">
        <v>13741368</v>
      </c>
    </row>
    <row r="35" spans="1:3" x14ac:dyDescent="0.2">
      <c r="A35">
        <v>2016</v>
      </c>
      <c r="B35" s="13">
        <v>1170</v>
      </c>
      <c r="C35" s="16">
        <v>6315539</v>
      </c>
    </row>
    <row r="36" spans="1:3" x14ac:dyDescent="0.2">
      <c r="A36">
        <v>2016</v>
      </c>
      <c r="B36" s="13">
        <v>1175</v>
      </c>
      <c r="C36" s="16">
        <v>3511869</v>
      </c>
    </row>
    <row r="37" spans="1:3" x14ac:dyDescent="0.2">
      <c r="A37">
        <v>2016</v>
      </c>
      <c r="B37" s="13">
        <v>1180</v>
      </c>
      <c r="C37" s="16">
        <v>1706956</v>
      </c>
    </row>
    <row r="38" spans="1:3" x14ac:dyDescent="0.2">
      <c r="A38">
        <v>2016</v>
      </c>
      <c r="B38" s="13">
        <v>1185</v>
      </c>
      <c r="C38" s="16">
        <v>1624860</v>
      </c>
    </row>
    <row r="39" spans="1:3" x14ac:dyDescent="0.2">
      <c r="A39">
        <v>2016</v>
      </c>
      <c r="B39" s="13">
        <v>1190</v>
      </c>
      <c r="C39" s="16">
        <v>1807272</v>
      </c>
    </row>
    <row r="40" spans="1:3" x14ac:dyDescent="0.2">
      <c r="A40">
        <v>2016</v>
      </c>
      <c r="B40" s="13">
        <v>1195</v>
      </c>
      <c r="C40" s="16">
        <v>1901628</v>
      </c>
    </row>
    <row r="41" spans="1:3" x14ac:dyDescent="0.2">
      <c r="A41">
        <v>2016</v>
      </c>
      <c r="B41" s="13">
        <v>1200</v>
      </c>
      <c r="C41" s="16">
        <v>1806079</v>
      </c>
    </row>
    <row r="42" spans="1:3" x14ac:dyDescent="0.2">
      <c r="A42">
        <v>2016</v>
      </c>
      <c r="B42" s="13">
        <v>1205</v>
      </c>
      <c r="C42" s="16">
        <v>3840374</v>
      </c>
    </row>
    <row r="43" spans="1:3" x14ac:dyDescent="0.2">
      <c r="A43">
        <v>2016</v>
      </c>
      <c r="B43" s="13">
        <v>1210</v>
      </c>
      <c r="C43" s="16">
        <v>4195373</v>
      </c>
    </row>
    <row r="44" spans="1:3" x14ac:dyDescent="0.2">
      <c r="A44">
        <v>2016</v>
      </c>
      <c r="B44" s="13">
        <v>1215</v>
      </c>
      <c r="C44" s="16">
        <v>2269874</v>
      </c>
    </row>
    <row r="45" spans="1:3" x14ac:dyDescent="0.2">
      <c r="A45">
        <v>2016</v>
      </c>
      <c r="B45" s="13">
        <v>1220</v>
      </c>
      <c r="C45" s="16">
        <v>3074197</v>
      </c>
    </row>
    <row r="46" spans="1:3" x14ac:dyDescent="0.2">
      <c r="A46">
        <v>2016</v>
      </c>
      <c r="B46" s="13">
        <v>1225</v>
      </c>
      <c r="C46" s="16">
        <v>4592026</v>
      </c>
    </row>
    <row r="47" spans="1:3" x14ac:dyDescent="0.2">
      <c r="A47">
        <v>2016</v>
      </c>
      <c r="B47" s="13">
        <v>1230</v>
      </c>
      <c r="C47" s="16">
        <v>1009943</v>
      </c>
    </row>
    <row r="48" spans="1:3" x14ac:dyDescent="0.2">
      <c r="A48">
        <v>2016</v>
      </c>
      <c r="B48" s="13">
        <v>1235</v>
      </c>
      <c r="C48" s="16">
        <v>33799021</v>
      </c>
    </row>
    <row r="49" spans="1:3" x14ac:dyDescent="0.2">
      <c r="A49">
        <v>2016</v>
      </c>
      <c r="B49" s="13">
        <v>1240</v>
      </c>
      <c r="C49" s="16">
        <v>4887420</v>
      </c>
    </row>
    <row r="50" spans="1:3" x14ac:dyDescent="0.2">
      <c r="A50">
        <v>2016</v>
      </c>
      <c r="B50" s="13">
        <v>1245</v>
      </c>
      <c r="C50" s="16">
        <v>4600118</v>
      </c>
    </row>
    <row r="51" spans="1:3" x14ac:dyDescent="0.2">
      <c r="A51">
        <v>2016</v>
      </c>
      <c r="B51" s="13">
        <v>1250</v>
      </c>
      <c r="C51" s="16">
        <v>1322439</v>
      </c>
    </row>
    <row r="52" spans="1:3" x14ac:dyDescent="0.2">
      <c r="A52">
        <v>2016</v>
      </c>
      <c r="B52" s="13">
        <v>1255</v>
      </c>
      <c r="C52" s="16">
        <v>5375034</v>
      </c>
    </row>
    <row r="53" spans="1:3" x14ac:dyDescent="0.2">
      <c r="A53">
        <v>2016</v>
      </c>
      <c r="B53" s="13">
        <v>1260</v>
      </c>
      <c r="C53" s="16">
        <v>8985399</v>
      </c>
    </row>
    <row r="54" spans="1:3" x14ac:dyDescent="0.2">
      <c r="A54">
        <v>2016</v>
      </c>
      <c r="B54" s="13">
        <v>1265</v>
      </c>
      <c r="C54" s="16">
        <v>1676504</v>
      </c>
    </row>
    <row r="55" spans="1:3" x14ac:dyDescent="0.2">
      <c r="A55">
        <v>2016</v>
      </c>
      <c r="B55" s="13">
        <v>1270</v>
      </c>
      <c r="C55" s="16">
        <v>23282509</v>
      </c>
    </row>
    <row r="56" spans="1:3" x14ac:dyDescent="0.2">
      <c r="A56">
        <v>2016</v>
      </c>
      <c r="B56" s="13">
        <v>1275</v>
      </c>
      <c r="C56" s="16">
        <v>1575981</v>
      </c>
    </row>
    <row r="57" spans="1:3" x14ac:dyDescent="0.2">
      <c r="A57">
        <v>2016</v>
      </c>
      <c r="B57" s="13">
        <v>1280</v>
      </c>
      <c r="C57" s="16">
        <v>4258077</v>
      </c>
    </row>
    <row r="58" spans="1:3" x14ac:dyDescent="0.2">
      <c r="A58">
        <v>2016</v>
      </c>
      <c r="B58" s="13">
        <v>1285</v>
      </c>
      <c r="C58" s="16">
        <v>7542581</v>
      </c>
    </row>
    <row r="59" spans="1:3" x14ac:dyDescent="0.2">
      <c r="A59">
        <v>2016</v>
      </c>
      <c r="B59" s="13">
        <v>1290</v>
      </c>
      <c r="C59" s="16">
        <v>2906016</v>
      </c>
    </row>
    <row r="60" spans="1:3" x14ac:dyDescent="0.2">
      <c r="A60">
        <v>2016</v>
      </c>
      <c r="B60" s="13">
        <v>1295</v>
      </c>
      <c r="C60" s="16">
        <v>1159674</v>
      </c>
    </row>
    <row r="61" spans="1:3" x14ac:dyDescent="0.2">
      <c r="A61">
        <v>2016</v>
      </c>
      <c r="B61" s="13">
        <v>1300</v>
      </c>
      <c r="C61" s="16">
        <v>11284086</v>
      </c>
    </row>
    <row r="62" spans="1:3" x14ac:dyDescent="0.2">
      <c r="A62">
        <v>2016</v>
      </c>
      <c r="B62" s="13">
        <v>1305</v>
      </c>
      <c r="C62" s="16">
        <v>30304325</v>
      </c>
    </row>
    <row r="63" spans="1:3" x14ac:dyDescent="0.2">
      <c r="A63">
        <v>2016</v>
      </c>
      <c r="B63" s="13">
        <v>2005</v>
      </c>
      <c r="C63" s="16">
        <v>1729412</v>
      </c>
    </row>
    <row r="64" spans="1:3" x14ac:dyDescent="0.2">
      <c r="A64">
        <v>2016</v>
      </c>
      <c r="B64" s="13">
        <v>2006</v>
      </c>
      <c r="C64" s="16">
        <v>1503711</v>
      </c>
    </row>
    <row r="65" spans="1:3" x14ac:dyDescent="0.2">
      <c r="A65">
        <v>2016</v>
      </c>
      <c r="B65" s="13">
        <v>2007</v>
      </c>
      <c r="C65" s="16">
        <v>4305079</v>
      </c>
    </row>
    <row r="66" spans="1:3" x14ac:dyDescent="0.2">
      <c r="A66">
        <v>2016</v>
      </c>
      <c r="B66" s="13">
        <v>2008</v>
      </c>
      <c r="C66" s="16">
        <v>3703628</v>
      </c>
    </row>
    <row r="67" spans="1:3" x14ac:dyDescent="0.2">
      <c r="A67">
        <v>2016</v>
      </c>
      <c r="B67" s="13">
        <v>2009</v>
      </c>
      <c r="C67" s="16">
        <v>2984186</v>
      </c>
    </row>
    <row r="68" spans="1:3" x14ac:dyDescent="0.2">
      <c r="A68">
        <v>2016</v>
      </c>
      <c r="B68" s="13">
        <v>2010</v>
      </c>
      <c r="C68" s="16">
        <v>9506198</v>
      </c>
    </row>
    <row r="69" spans="1:3" x14ac:dyDescent="0.2">
      <c r="A69">
        <v>2016</v>
      </c>
      <c r="B69" s="13">
        <v>2014</v>
      </c>
      <c r="C69" s="16">
        <v>1278208</v>
      </c>
    </row>
    <row r="70" spans="1:3" x14ac:dyDescent="0.2">
      <c r="A70">
        <v>2016</v>
      </c>
      <c r="B70" s="13">
        <v>2015</v>
      </c>
      <c r="C70" s="16">
        <v>2724521</v>
      </c>
    </row>
    <row r="71" spans="1:3" x14ac:dyDescent="0.2">
      <c r="A71">
        <v>2016</v>
      </c>
      <c r="B71" s="13">
        <v>2016</v>
      </c>
      <c r="C71" s="16">
        <v>1161662</v>
      </c>
    </row>
    <row r="72" spans="1:3" x14ac:dyDescent="0.2">
      <c r="A72">
        <v>2016</v>
      </c>
      <c r="B72" s="13">
        <v>2018</v>
      </c>
      <c r="C72" s="16">
        <v>2591482</v>
      </c>
    </row>
    <row r="73" spans="1:3" x14ac:dyDescent="0.2">
      <c r="A73">
        <v>2016</v>
      </c>
      <c r="B73" s="13">
        <v>2020</v>
      </c>
      <c r="C73" s="16">
        <v>6885585</v>
      </c>
    </row>
    <row r="74" spans="1:3" x14ac:dyDescent="0.2">
      <c r="A74">
        <v>2016</v>
      </c>
      <c r="B74" s="13">
        <v>2025</v>
      </c>
      <c r="C74" s="16">
        <v>5070238</v>
      </c>
    </row>
    <row r="75" spans="1:3" x14ac:dyDescent="0.2">
      <c r="A75">
        <v>2016</v>
      </c>
      <c r="B75" s="13">
        <v>2030</v>
      </c>
      <c r="C75" s="16">
        <v>4409020</v>
      </c>
    </row>
    <row r="76" spans="1:3" x14ac:dyDescent="0.2">
      <c r="A76">
        <v>2016</v>
      </c>
      <c r="B76" s="13">
        <v>2035</v>
      </c>
      <c r="C76" s="16">
        <v>1454335</v>
      </c>
    </row>
    <row r="77" spans="1:3" x14ac:dyDescent="0.2">
      <c r="A77">
        <v>2016</v>
      </c>
      <c r="B77" s="13">
        <v>2040</v>
      </c>
      <c r="C77" s="16">
        <v>8118290</v>
      </c>
    </row>
    <row r="78" spans="1:3" x14ac:dyDescent="0.2">
      <c r="A78">
        <v>2016</v>
      </c>
      <c r="B78" s="13">
        <v>2044</v>
      </c>
      <c r="C78" s="16">
        <v>1951014</v>
      </c>
    </row>
    <row r="79" spans="1:3" x14ac:dyDescent="0.2">
      <c r="A79">
        <v>2016</v>
      </c>
      <c r="B79" s="13">
        <v>2045</v>
      </c>
      <c r="C79" s="16">
        <v>4900012</v>
      </c>
    </row>
    <row r="80" spans="1:3" x14ac:dyDescent="0.2">
      <c r="A80">
        <v>2016</v>
      </c>
      <c r="B80" s="13">
        <v>2046</v>
      </c>
      <c r="C80" s="16">
        <v>4119476</v>
      </c>
    </row>
    <row r="81" spans="1:3" x14ac:dyDescent="0.2">
      <c r="A81">
        <v>2016</v>
      </c>
      <c r="B81" s="13">
        <v>2047</v>
      </c>
      <c r="C81" s="16">
        <v>20070024</v>
      </c>
    </row>
    <row r="82" spans="1:3" x14ac:dyDescent="0.2">
      <c r="A82">
        <v>2016</v>
      </c>
      <c r="B82" s="13">
        <v>2048</v>
      </c>
      <c r="C82" s="16">
        <v>4759389</v>
      </c>
    </row>
    <row r="83" spans="1:3" x14ac:dyDescent="0.2">
      <c r="A83">
        <v>2016</v>
      </c>
      <c r="B83" s="13">
        <v>2050</v>
      </c>
      <c r="C83" s="16">
        <v>3596123</v>
      </c>
    </row>
    <row r="84" spans="1:3" x14ac:dyDescent="0.2">
      <c r="A84">
        <v>2016</v>
      </c>
      <c r="B84" s="13">
        <v>2052</v>
      </c>
      <c r="C84" s="16">
        <v>3135322</v>
      </c>
    </row>
    <row r="85" spans="1:3" x14ac:dyDescent="0.2">
      <c r="A85">
        <v>2016</v>
      </c>
      <c r="B85" s="13">
        <v>2055</v>
      </c>
      <c r="C85" s="16">
        <v>2820758</v>
      </c>
    </row>
    <row r="86" spans="1:3" x14ac:dyDescent="0.2">
      <c r="A86">
        <v>2016</v>
      </c>
      <c r="B86" s="13">
        <v>2056</v>
      </c>
      <c r="C86" s="16">
        <v>3367144</v>
      </c>
    </row>
    <row r="87" spans="1:3" x14ac:dyDescent="0.2">
      <c r="A87">
        <v>2016</v>
      </c>
      <c r="B87" s="13">
        <v>2057</v>
      </c>
      <c r="C87" s="16">
        <v>4361657</v>
      </c>
    </row>
    <row r="88" spans="1:3" x14ac:dyDescent="0.2">
      <c r="A88">
        <v>2016</v>
      </c>
      <c r="B88" s="13">
        <v>2058</v>
      </c>
      <c r="C88" s="16">
        <v>2692958</v>
      </c>
    </row>
    <row r="89" spans="1:3" x14ac:dyDescent="0.2">
      <c r="A89">
        <v>2016</v>
      </c>
      <c r="B89" s="13">
        <v>2059</v>
      </c>
      <c r="C89" s="16">
        <v>4325613</v>
      </c>
    </row>
    <row r="90" spans="1:3" x14ac:dyDescent="0.2">
      <c r="A90">
        <v>2016</v>
      </c>
      <c r="B90" s="13">
        <v>2060</v>
      </c>
      <c r="C90" s="16">
        <v>1180084</v>
      </c>
    </row>
    <row r="91" spans="1:3" x14ac:dyDescent="0.2">
      <c r="A91">
        <v>2016</v>
      </c>
      <c r="B91" s="13">
        <v>2061</v>
      </c>
      <c r="C91" s="16">
        <v>1287296</v>
      </c>
    </row>
    <row r="92" spans="1:3" x14ac:dyDescent="0.2">
      <c r="A92">
        <v>2016</v>
      </c>
      <c r="B92" s="13">
        <v>2062</v>
      </c>
      <c r="C92" s="16">
        <v>2032186</v>
      </c>
    </row>
    <row r="93" spans="1:3" x14ac:dyDescent="0.2">
      <c r="A93">
        <v>2016</v>
      </c>
      <c r="B93" s="13">
        <v>2063</v>
      </c>
      <c r="C93" s="16">
        <v>990715</v>
      </c>
    </row>
    <row r="94" spans="1:3" x14ac:dyDescent="0.2">
      <c r="A94">
        <v>2016</v>
      </c>
      <c r="B94" s="13">
        <v>2064</v>
      </c>
      <c r="C94" s="16">
        <v>3262138</v>
      </c>
    </row>
    <row r="95" spans="1:3" x14ac:dyDescent="0.2">
      <c r="A95">
        <v>2016</v>
      </c>
      <c r="B95" s="13">
        <v>2065</v>
      </c>
      <c r="C95" s="16">
        <v>2755007</v>
      </c>
    </row>
    <row r="96" spans="1:3" x14ac:dyDescent="0.2">
      <c r="A96">
        <v>2016</v>
      </c>
      <c r="B96" s="13">
        <v>2066</v>
      </c>
      <c r="C96" s="16">
        <v>6775864</v>
      </c>
    </row>
    <row r="97" spans="1:3" x14ac:dyDescent="0.2">
      <c r="A97">
        <v>2016</v>
      </c>
      <c r="B97" s="13">
        <v>2067</v>
      </c>
      <c r="C97" s="16">
        <v>10084657</v>
      </c>
    </row>
    <row r="98" spans="1:3" x14ac:dyDescent="0.2">
      <c r="A98">
        <v>2016</v>
      </c>
      <c r="B98" s="13">
        <v>2068</v>
      </c>
      <c r="C98" s="16">
        <v>9133581</v>
      </c>
    </row>
    <row r="99" spans="1:3" x14ac:dyDescent="0.2">
      <c r="A99">
        <v>2016</v>
      </c>
      <c r="B99" s="13">
        <v>2069</v>
      </c>
      <c r="C99" s="16">
        <v>1190158</v>
      </c>
    </row>
    <row r="100" spans="1:3" x14ac:dyDescent="0.2">
      <c r="A100">
        <v>2016</v>
      </c>
      <c r="B100" s="13">
        <v>2070</v>
      </c>
      <c r="C100" s="16">
        <v>1710328</v>
      </c>
    </row>
    <row r="101" spans="1:3" x14ac:dyDescent="0.2">
      <c r="A101">
        <v>2016</v>
      </c>
      <c r="B101" s="13">
        <v>2071</v>
      </c>
      <c r="C101" s="16">
        <v>1443261</v>
      </c>
    </row>
    <row r="102" spans="1:3" x14ac:dyDescent="0.2">
      <c r="A102">
        <v>2016</v>
      </c>
      <c r="B102" s="13">
        <v>2072</v>
      </c>
      <c r="C102" s="16">
        <v>1594437</v>
      </c>
    </row>
    <row r="103" spans="1:3" x14ac:dyDescent="0.2">
      <c r="A103">
        <v>2016</v>
      </c>
      <c r="B103" s="13">
        <v>2073</v>
      </c>
      <c r="C103" s="16">
        <v>3318615</v>
      </c>
    </row>
    <row r="104" spans="1:3" x14ac:dyDescent="0.2">
      <c r="A104">
        <v>2016</v>
      </c>
      <c r="B104" s="13">
        <v>2074</v>
      </c>
      <c r="C104" s="16">
        <v>3535967</v>
      </c>
    </row>
    <row r="105" spans="1:3" x14ac:dyDescent="0.2">
      <c r="A105">
        <v>2016</v>
      </c>
      <c r="B105" s="13">
        <v>2075</v>
      </c>
      <c r="C105" s="16">
        <v>6617817</v>
      </c>
    </row>
    <row r="106" spans="1:3" x14ac:dyDescent="0.2">
      <c r="A106">
        <v>2016</v>
      </c>
      <c r="B106" s="13">
        <v>2076</v>
      </c>
      <c r="C106" s="16">
        <v>3881421</v>
      </c>
    </row>
    <row r="107" spans="1:3" x14ac:dyDescent="0.2">
      <c r="A107">
        <v>2016</v>
      </c>
      <c r="B107" s="13">
        <v>2077</v>
      </c>
      <c r="C107" s="16">
        <v>1082555</v>
      </c>
    </row>
    <row r="108" spans="1:3" x14ac:dyDescent="0.2">
      <c r="A108">
        <v>2016</v>
      </c>
      <c r="B108" s="13">
        <v>2078</v>
      </c>
      <c r="C108" s="16">
        <v>10753816</v>
      </c>
    </row>
    <row r="109" spans="1:3" x14ac:dyDescent="0.2">
      <c r="A109">
        <v>2016</v>
      </c>
      <c r="B109" s="13">
        <v>2079</v>
      </c>
      <c r="C109" s="16">
        <v>5772852</v>
      </c>
    </row>
    <row r="110" spans="1:3" x14ac:dyDescent="0.2">
      <c r="A110">
        <v>2016</v>
      </c>
      <c r="B110" s="13">
        <v>2080</v>
      </c>
      <c r="C110" s="16">
        <v>1326878</v>
      </c>
    </row>
    <row r="111" spans="1:3" x14ac:dyDescent="0.2">
      <c r="A111">
        <v>2016</v>
      </c>
      <c r="B111" s="13">
        <v>2081</v>
      </c>
      <c r="C111" s="16">
        <v>1628622</v>
      </c>
    </row>
    <row r="112" spans="1:3" x14ac:dyDescent="0.2">
      <c r="A112">
        <v>2016</v>
      </c>
      <c r="B112" s="13">
        <v>2082</v>
      </c>
      <c r="C112" s="16">
        <v>951124</v>
      </c>
    </row>
    <row r="113" spans="1:3" x14ac:dyDescent="0.2">
      <c r="A113">
        <v>2016</v>
      </c>
      <c r="B113" s="13">
        <v>2083</v>
      </c>
      <c r="C113" s="16">
        <v>2218570</v>
      </c>
    </row>
    <row r="114" spans="1:3" x14ac:dyDescent="0.2">
      <c r="A114">
        <v>2016</v>
      </c>
      <c r="B114" s="13">
        <v>2084</v>
      </c>
      <c r="C114" s="16">
        <v>3619369</v>
      </c>
    </row>
    <row r="115" spans="1:3" x14ac:dyDescent="0.2">
      <c r="A115">
        <v>2016</v>
      </c>
      <c r="B115" s="13">
        <v>2085</v>
      </c>
      <c r="C115" s="16">
        <v>1790307</v>
      </c>
    </row>
    <row r="116" spans="1:3" x14ac:dyDescent="0.2">
      <c r="A116">
        <v>2016</v>
      </c>
      <c r="B116" s="13">
        <v>2086</v>
      </c>
      <c r="C116" s="16">
        <v>6273981</v>
      </c>
    </row>
    <row r="117" spans="1:3" x14ac:dyDescent="0.2">
      <c r="A117">
        <v>2016</v>
      </c>
      <c r="B117" s="13">
        <v>2090</v>
      </c>
      <c r="C117" s="16">
        <v>2781070</v>
      </c>
    </row>
    <row r="118" spans="1:3" x14ac:dyDescent="0.2">
      <c r="A118">
        <v>2016</v>
      </c>
      <c r="B118" s="13">
        <v>2095</v>
      </c>
      <c r="C118" s="16">
        <v>2591924</v>
      </c>
    </row>
    <row r="119" spans="1:3" x14ac:dyDescent="0.2">
      <c r="A119">
        <v>2016</v>
      </c>
      <c r="B119" s="13">
        <v>2104</v>
      </c>
      <c r="C119" s="16">
        <v>1558937</v>
      </c>
    </row>
    <row r="120" spans="1:3" x14ac:dyDescent="0.2">
      <c r="A120">
        <v>2016</v>
      </c>
      <c r="B120" s="13">
        <v>2105</v>
      </c>
      <c r="C120" s="16">
        <v>1370369</v>
      </c>
    </row>
    <row r="121" spans="1:3" x14ac:dyDescent="0.2">
      <c r="A121">
        <v>2016</v>
      </c>
      <c r="B121" s="13">
        <v>2110</v>
      </c>
      <c r="C121" s="16">
        <v>4082442</v>
      </c>
    </row>
    <row r="122" spans="1:3" x14ac:dyDescent="0.2">
      <c r="A122">
        <v>2016</v>
      </c>
      <c r="B122" s="13">
        <v>2112</v>
      </c>
      <c r="C122" s="16">
        <v>2874477</v>
      </c>
    </row>
    <row r="123" spans="1:3" x14ac:dyDescent="0.2">
      <c r="A123">
        <v>2016</v>
      </c>
      <c r="B123" s="13">
        <v>2115</v>
      </c>
      <c r="C123" s="16">
        <v>6219105</v>
      </c>
    </row>
    <row r="124" spans="1:3" x14ac:dyDescent="0.2">
      <c r="A124">
        <v>2016</v>
      </c>
      <c r="B124" s="13">
        <v>2120</v>
      </c>
      <c r="C124" s="16">
        <v>10656844</v>
      </c>
    </row>
    <row r="125" spans="1:3" x14ac:dyDescent="0.2">
      <c r="A125">
        <v>2016</v>
      </c>
      <c r="B125" s="13">
        <v>2125</v>
      </c>
      <c r="C125" s="16">
        <v>1129313</v>
      </c>
    </row>
    <row r="126" spans="1:3" x14ac:dyDescent="0.2">
      <c r="A126">
        <v>2016</v>
      </c>
      <c r="B126" s="13">
        <v>2130</v>
      </c>
      <c r="C126" s="16">
        <v>2053321</v>
      </c>
    </row>
    <row r="127" spans="1:3" x14ac:dyDescent="0.2">
      <c r="A127">
        <v>2016</v>
      </c>
      <c r="B127" s="13">
        <v>2135</v>
      </c>
      <c r="C127" s="16">
        <v>3712962</v>
      </c>
    </row>
    <row r="128" spans="1:3" x14ac:dyDescent="0.2">
      <c r="A128">
        <v>2016</v>
      </c>
      <c r="B128" s="13">
        <v>2140</v>
      </c>
      <c r="C128" s="16">
        <v>3270594</v>
      </c>
    </row>
    <row r="129" spans="1:3" x14ac:dyDescent="0.2">
      <c r="A129">
        <v>2016</v>
      </c>
      <c r="B129" s="13">
        <v>2145</v>
      </c>
      <c r="C129" s="16">
        <v>4797936</v>
      </c>
    </row>
    <row r="130" spans="1:3" x14ac:dyDescent="0.2">
      <c r="A130">
        <v>2016</v>
      </c>
      <c r="B130" s="13">
        <v>2146</v>
      </c>
      <c r="C130" s="16">
        <v>5181340</v>
      </c>
    </row>
    <row r="131" spans="1:3" x14ac:dyDescent="0.2">
      <c r="A131">
        <v>2016</v>
      </c>
      <c r="B131" s="13">
        <v>2147</v>
      </c>
      <c r="C131" s="16">
        <v>1284332</v>
      </c>
    </row>
    <row r="132" spans="1:3" x14ac:dyDescent="0.2">
      <c r="A132">
        <v>2016</v>
      </c>
      <c r="B132" s="13">
        <v>2148</v>
      </c>
      <c r="C132" s="16">
        <v>3007451</v>
      </c>
    </row>
    <row r="133" spans="1:3" x14ac:dyDescent="0.2">
      <c r="A133">
        <v>2016</v>
      </c>
      <c r="B133" s="13">
        <v>2149</v>
      </c>
      <c r="C133" s="16">
        <v>2015421</v>
      </c>
    </row>
    <row r="134" spans="1:3" x14ac:dyDescent="0.2">
      <c r="A134">
        <v>2016</v>
      </c>
      <c r="B134" s="13">
        <v>2150</v>
      </c>
      <c r="C134" s="16">
        <v>805935</v>
      </c>
    </row>
    <row r="135" spans="1:3" x14ac:dyDescent="0.2">
      <c r="A135">
        <v>2016</v>
      </c>
      <c r="B135" s="13">
        <v>2155</v>
      </c>
      <c r="C135" s="16">
        <v>3064399</v>
      </c>
    </row>
    <row r="136" spans="1:3" x14ac:dyDescent="0.2">
      <c r="A136">
        <v>2016</v>
      </c>
      <c r="B136" s="13">
        <v>2160</v>
      </c>
      <c r="C136" s="16">
        <v>5831639</v>
      </c>
    </row>
    <row r="137" spans="1:3" x14ac:dyDescent="0.2">
      <c r="A137">
        <v>2016</v>
      </c>
      <c r="B137" s="13">
        <v>2165</v>
      </c>
      <c r="C137" s="16">
        <v>1922596</v>
      </c>
    </row>
    <row r="138" spans="1:3" x14ac:dyDescent="0.2">
      <c r="A138">
        <v>2016</v>
      </c>
      <c r="B138" s="13">
        <v>2170</v>
      </c>
      <c r="C138" s="16">
        <v>8357988</v>
      </c>
    </row>
    <row r="139" spans="1:3" x14ac:dyDescent="0.2">
      <c r="A139">
        <v>2016</v>
      </c>
      <c r="B139" s="13">
        <v>2175</v>
      </c>
      <c r="C139" s="16">
        <v>760023</v>
      </c>
    </row>
    <row r="140" spans="1:3" x14ac:dyDescent="0.2">
      <c r="A140">
        <v>2016</v>
      </c>
      <c r="B140" s="13">
        <v>2180</v>
      </c>
      <c r="C140" s="16">
        <v>1580441</v>
      </c>
    </row>
    <row r="141" spans="1:3" x14ac:dyDescent="0.2">
      <c r="A141">
        <v>2016</v>
      </c>
      <c r="B141" s="13">
        <v>2185</v>
      </c>
      <c r="C141" s="16">
        <v>8824699</v>
      </c>
    </row>
    <row r="142" spans="1:3" x14ac:dyDescent="0.2">
      <c r="A142">
        <v>2016</v>
      </c>
      <c r="B142" s="13">
        <v>2187</v>
      </c>
      <c r="C142" s="16">
        <v>4109477</v>
      </c>
    </row>
    <row r="143" spans="1:3" x14ac:dyDescent="0.2">
      <c r="A143">
        <v>2016</v>
      </c>
      <c r="B143" s="13">
        <v>2190</v>
      </c>
      <c r="C143" s="16">
        <v>5789737</v>
      </c>
    </row>
    <row r="144" spans="1:3" x14ac:dyDescent="0.2">
      <c r="A144">
        <v>2016</v>
      </c>
      <c r="B144" s="13">
        <v>2191</v>
      </c>
      <c r="C144" s="16">
        <v>4020396</v>
      </c>
    </row>
    <row r="145" spans="1:3" x14ac:dyDescent="0.2">
      <c r="A145">
        <v>2016</v>
      </c>
      <c r="B145" s="13">
        <v>2195</v>
      </c>
      <c r="C145" s="16">
        <v>1217262</v>
      </c>
    </row>
    <row r="146" spans="1:3" x14ac:dyDescent="0.2">
      <c r="A146">
        <v>2016</v>
      </c>
      <c r="B146" s="13">
        <v>2196</v>
      </c>
      <c r="C146" s="16">
        <v>1358004</v>
      </c>
    </row>
    <row r="147" spans="1:3" x14ac:dyDescent="0.2">
      <c r="A147">
        <v>2016</v>
      </c>
      <c r="B147" s="13">
        <v>2198</v>
      </c>
      <c r="C147" s="16">
        <v>2871559</v>
      </c>
    </row>
    <row r="148" spans="1:3" x14ac:dyDescent="0.2">
      <c r="A148">
        <v>2016</v>
      </c>
      <c r="B148" s="13">
        <v>2200</v>
      </c>
      <c r="C148" s="16">
        <v>12699584</v>
      </c>
    </row>
    <row r="149" spans="1:3" x14ac:dyDescent="0.2">
      <c r="A149">
        <v>2016</v>
      </c>
      <c r="B149" s="13">
        <v>2204</v>
      </c>
      <c r="C149" s="16">
        <v>11172685</v>
      </c>
    </row>
    <row r="150" spans="1:3" x14ac:dyDescent="0.2">
      <c r="A150">
        <v>2016</v>
      </c>
      <c r="B150" s="13">
        <v>2205</v>
      </c>
      <c r="C150" s="16">
        <v>312094</v>
      </c>
    </row>
    <row r="151" spans="1:3" x14ac:dyDescent="0.2">
      <c r="A151">
        <v>2016</v>
      </c>
      <c r="B151" s="13">
        <v>2206</v>
      </c>
      <c r="C151" s="16">
        <v>1630095</v>
      </c>
    </row>
    <row r="152" spans="1:3" x14ac:dyDescent="0.2">
      <c r="A152">
        <v>2016</v>
      </c>
      <c r="B152" s="13">
        <v>2207</v>
      </c>
      <c r="C152" s="16">
        <v>3061073</v>
      </c>
    </row>
    <row r="153" spans="1:3" x14ac:dyDescent="0.2">
      <c r="A153">
        <v>2016</v>
      </c>
      <c r="B153" s="13">
        <v>2208</v>
      </c>
      <c r="C153" s="16">
        <v>5078666</v>
      </c>
    </row>
    <row r="154" spans="1:3" x14ac:dyDescent="0.2">
      <c r="A154">
        <v>2016</v>
      </c>
      <c r="B154" s="13">
        <v>2209</v>
      </c>
      <c r="C154" s="16">
        <v>12316138</v>
      </c>
    </row>
    <row r="155" spans="1:3" x14ac:dyDescent="0.2">
      <c r="A155">
        <v>2016</v>
      </c>
      <c r="B155" s="13">
        <v>2210</v>
      </c>
      <c r="C155" s="16">
        <v>3193006</v>
      </c>
    </row>
    <row r="156" spans="1:3" x14ac:dyDescent="0.2">
      <c r="A156">
        <v>2016</v>
      </c>
      <c r="B156" s="13">
        <v>2212</v>
      </c>
      <c r="C156" s="16">
        <v>4325761</v>
      </c>
    </row>
    <row r="157" spans="1:3" x14ac:dyDescent="0.2">
      <c r="A157">
        <v>2016</v>
      </c>
      <c r="B157" s="13">
        <v>2215</v>
      </c>
      <c r="C157" s="16">
        <v>6339422</v>
      </c>
    </row>
    <row r="158" spans="1:3" x14ac:dyDescent="0.2">
      <c r="A158">
        <v>2016</v>
      </c>
      <c r="B158" s="13">
        <v>2220</v>
      </c>
      <c r="C158" s="16">
        <v>2563885</v>
      </c>
    </row>
    <row r="159" spans="1:3" x14ac:dyDescent="0.2">
      <c r="A159">
        <v>2016</v>
      </c>
      <c r="B159" s="13">
        <v>2224</v>
      </c>
      <c r="C159" s="16">
        <v>5601455</v>
      </c>
    </row>
    <row r="160" spans="1:3" x14ac:dyDescent="0.2">
      <c r="A160">
        <v>2016</v>
      </c>
      <c r="B160" s="13">
        <v>2225</v>
      </c>
      <c r="C160" s="16">
        <v>10483813</v>
      </c>
    </row>
    <row r="161" spans="1:3" x14ac:dyDescent="0.2">
      <c r="A161">
        <v>2016</v>
      </c>
      <c r="B161" s="13">
        <v>2230</v>
      </c>
      <c r="C161" s="16">
        <v>8282801</v>
      </c>
    </row>
    <row r="162" spans="1:3" x14ac:dyDescent="0.2">
      <c r="A162">
        <v>2016</v>
      </c>
      <c r="B162" s="13">
        <v>2231</v>
      </c>
      <c r="C162" s="16">
        <v>3995018</v>
      </c>
    </row>
    <row r="163" spans="1:3" x14ac:dyDescent="0.2">
      <c r="A163">
        <v>2016</v>
      </c>
      <c r="B163" s="13">
        <v>2235</v>
      </c>
      <c r="C163" s="16">
        <v>814102</v>
      </c>
    </row>
    <row r="164" spans="1:3" x14ac:dyDescent="0.2">
      <c r="A164">
        <v>2016</v>
      </c>
      <c r="B164" s="13">
        <v>2239</v>
      </c>
      <c r="C164" s="16">
        <v>3833142</v>
      </c>
    </row>
    <row r="165" spans="1:3" x14ac:dyDescent="0.2">
      <c r="A165">
        <v>2016</v>
      </c>
      <c r="B165" s="13">
        <v>2240</v>
      </c>
      <c r="C165" s="16">
        <v>6990941</v>
      </c>
    </row>
    <row r="166" spans="1:3" x14ac:dyDescent="0.2">
      <c r="A166">
        <v>2016</v>
      </c>
      <c r="B166" s="13">
        <v>2241</v>
      </c>
      <c r="C166" s="16">
        <v>1135720</v>
      </c>
    </row>
    <row r="167" spans="1:3" x14ac:dyDescent="0.2">
      <c r="A167">
        <v>2016</v>
      </c>
      <c r="B167" s="13">
        <v>2242</v>
      </c>
      <c r="C167" s="16">
        <v>2010694</v>
      </c>
    </row>
    <row r="168" spans="1:3" x14ac:dyDescent="0.2">
      <c r="A168">
        <v>2016</v>
      </c>
      <c r="B168" s="13">
        <v>2243</v>
      </c>
      <c r="C168" s="16">
        <v>2028486</v>
      </c>
    </row>
    <row r="169" spans="1:3" x14ac:dyDescent="0.2">
      <c r="A169">
        <v>2016</v>
      </c>
      <c r="B169" s="13">
        <v>2244</v>
      </c>
      <c r="C169" s="16">
        <v>1144315</v>
      </c>
    </row>
    <row r="170" spans="1:3" x14ac:dyDescent="0.2">
      <c r="A170">
        <v>2016</v>
      </c>
      <c r="B170" s="13">
        <v>2245</v>
      </c>
      <c r="C170" s="16">
        <v>3148241</v>
      </c>
    </row>
    <row r="171" spans="1:3" x14ac:dyDescent="0.2">
      <c r="A171">
        <v>2016</v>
      </c>
      <c r="B171" s="13">
        <v>2250</v>
      </c>
      <c r="C171" s="16">
        <v>1830096</v>
      </c>
    </row>
    <row r="172" spans="1:3" x14ac:dyDescent="0.2">
      <c r="A172">
        <v>2016</v>
      </c>
      <c r="B172" s="13">
        <v>2255</v>
      </c>
      <c r="C172" s="16">
        <v>5707152</v>
      </c>
    </row>
    <row r="173" spans="1:3" x14ac:dyDescent="0.2">
      <c r="A173">
        <v>2016</v>
      </c>
      <c r="B173" s="13">
        <v>2260</v>
      </c>
      <c r="C173" s="16">
        <v>4162004</v>
      </c>
    </row>
    <row r="174" spans="1:3" x14ac:dyDescent="0.2">
      <c r="A174">
        <v>2016</v>
      </c>
      <c r="B174" s="13">
        <v>2266</v>
      </c>
      <c r="C174" s="16">
        <v>3385864</v>
      </c>
    </row>
    <row r="175" spans="1:3" x14ac:dyDescent="0.2">
      <c r="A175">
        <v>2016</v>
      </c>
      <c r="B175" s="13">
        <v>2268</v>
      </c>
      <c r="C175" s="16">
        <v>1925345</v>
      </c>
    </row>
    <row r="176" spans="1:3" x14ac:dyDescent="0.2">
      <c r="A176">
        <v>2016</v>
      </c>
      <c r="B176" s="13">
        <v>2270</v>
      </c>
      <c r="C176" s="16">
        <v>3179672</v>
      </c>
    </row>
    <row r="177" spans="1:3" x14ac:dyDescent="0.2">
      <c r="A177">
        <v>2016</v>
      </c>
      <c r="B177" s="13">
        <v>2271</v>
      </c>
      <c r="C177" s="16">
        <v>2200036</v>
      </c>
    </row>
    <row r="178" spans="1:3" x14ac:dyDescent="0.2">
      <c r="A178">
        <v>2016</v>
      </c>
      <c r="B178" s="13">
        <v>2272</v>
      </c>
      <c r="C178" s="16">
        <v>3459172</v>
      </c>
    </row>
    <row r="179" spans="1:3" x14ac:dyDescent="0.2">
      <c r="A179">
        <v>2016</v>
      </c>
      <c r="B179" s="13">
        <v>2275</v>
      </c>
      <c r="C179" s="16">
        <v>6354997</v>
      </c>
    </row>
    <row r="180" spans="1:3" x14ac:dyDescent="0.2">
      <c r="A180">
        <v>2016</v>
      </c>
      <c r="B180" s="13">
        <v>2280</v>
      </c>
      <c r="C180" s="16">
        <v>2055000</v>
      </c>
    </row>
    <row r="181" spans="1:3" x14ac:dyDescent="0.2">
      <c r="A181">
        <v>2016</v>
      </c>
      <c r="B181" s="13">
        <v>2281</v>
      </c>
      <c r="C181" s="16">
        <v>1252446</v>
      </c>
    </row>
    <row r="182" spans="1:3" x14ac:dyDescent="0.2">
      <c r="A182">
        <v>2016</v>
      </c>
      <c r="B182" s="13">
        <v>2282</v>
      </c>
      <c r="C182" s="16">
        <v>5766857</v>
      </c>
    </row>
    <row r="183" spans="1:3" x14ac:dyDescent="0.2">
      <c r="A183">
        <v>2016</v>
      </c>
      <c r="B183" s="13">
        <v>2285</v>
      </c>
      <c r="C183" s="16">
        <v>7911857</v>
      </c>
    </row>
    <row r="184" spans="1:3" x14ac:dyDescent="0.2">
      <c r="A184">
        <v>2016</v>
      </c>
      <c r="B184" s="13">
        <v>2286</v>
      </c>
      <c r="C184" s="16">
        <v>4391445</v>
      </c>
    </row>
    <row r="185" spans="1:3" x14ac:dyDescent="0.2">
      <c r="A185">
        <v>2016</v>
      </c>
      <c r="B185" s="13">
        <v>2288</v>
      </c>
      <c r="C185" s="16">
        <v>2574928</v>
      </c>
    </row>
    <row r="186" spans="1:3" x14ac:dyDescent="0.2">
      <c r="A186">
        <v>2016</v>
      </c>
      <c r="B186" s="13">
        <v>2289</v>
      </c>
      <c r="C186" s="16">
        <v>8058201</v>
      </c>
    </row>
    <row r="187" spans="1:3" x14ac:dyDescent="0.2">
      <c r="A187">
        <v>2016</v>
      </c>
      <c r="B187" s="13">
        <v>2290</v>
      </c>
      <c r="C187" s="16">
        <v>4442301</v>
      </c>
    </row>
    <row r="188" spans="1:3" x14ac:dyDescent="0.2">
      <c r="A188">
        <v>2016</v>
      </c>
      <c r="B188" s="13">
        <v>2295</v>
      </c>
      <c r="C188" s="16">
        <v>1998474</v>
      </c>
    </row>
    <row r="189" spans="1:3" x14ac:dyDescent="0.2">
      <c r="A189">
        <v>2016</v>
      </c>
      <c r="B189" s="13">
        <v>2300</v>
      </c>
      <c r="C189" s="16">
        <v>4819499</v>
      </c>
    </row>
    <row r="190" spans="1:3" x14ac:dyDescent="0.2">
      <c r="A190">
        <v>2016</v>
      </c>
      <c r="B190" s="13">
        <v>2305</v>
      </c>
      <c r="C190" s="16">
        <v>1090822</v>
      </c>
    </row>
    <row r="191" spans="1:3" x14ac:dyDescent="0.2">
      <c r="A191">
        <v>2016</v>
      </c>
      <c r="B191" s="13">
        <v>2310</v>
      </c>
      <c r="C191" s="16">
        <v>12275702</v>
      </c>
    </row>
    <row r="192" spans="1:3" x14ac:dyDescent="0.2">
      <c r="A192">
        <v>2016</v>
      </c>
      <c r="B192" s="13">
        <v>2315</v>
      </c>
      <c r="C192" s="16">
        <v>1942902</v>
      </c>
    </row>
    <row r="193" spans="1:3" x14ac:dyDescent="0.2">
      <c r="A193">
        <v>2016</v>
      </c>
      <c r="B193" s="13">
        <v>2317</v>
      </c>
      <c r="C193" s="16">
        <v>1913813</v>
      </c>
    </row>
    <row r="194" spans="1:3" x14ac:dyDescent="0.2">
      <c r="A194">
        <v>2016</v>
      </c>
      <c r="B194" s="13">
        <v>2320</v>
      </c>
      <c r="C194" s="16">
        <v>8206333</v>
      </c>
    </row>
    <row r="195" spans="1:3" x14ac:dyDescent="0.2">
      <c r="A195">
        <v>2016</v>
      </c>
      <c r="B195" s="13">
        <v>2325</v>
      </c>
      <c r="C195" s="16">
        <v>7239961</v>
      </c>
    </row>
    <row r="196" spans="1:3" x14ac:dyDescent="0.2">
      <c r="A196">
        <v>2016</v>
      </c>
      <c r="B196" s="13">
        <v>2328</v>
      </c>
      <c r="C196" s="16">
        <v>1626280</v>
      </c>
    </row>
    <row r="197" spans="1:3" x14ac:dyDescent="0.2">
      <c r="A197">
        <v>2016</v>
      </c>
      <c r="B197" s="13">
        <v>2330</v>
      </c>
      <c r="C197" s="16">
        <v>4137514</v>
      </c>
    </row>
    <row r="198" spans="1:3" x14ac:dyDescent="0.2">
      <c r="A198">
        <v>2016</v>
      </c>
      <c r="B198" s="13">
        <v>2335</v>
      </c>
      <c r="C198" s="16">
        <v>4783343</v>
      </c>
    </row>
    <row r="199" spans="1:3" x14ac:dyDescent="0.2">
      <c r="A199">
        <v>2016</v>
      </c>
      <c r="B199" s="13">
        <v>2338</v>
      </c>
      <c r="C199" s="16">
        <v>6538741</v>
      </c>
    </row>
    <row r="200" spans="1:3" x14ac:dyDescent="0.2">
      <c r="A200">
        <v>2016</v>
      </c>
      <c r="B200" s="13">
        <v>2339</v>
      </c>
      <c r="C200" s="16">
        <v>1909894</v>
      </c>
    </row>
    <row r="201" spans="1:3" x14ac:dyDescent="0.2">
      <c r="A201">
        <v>2016</v>
      </c>
      <c r="B201" s="13">
        <v>2340</v>
      </c>
      <c r="C201" s="16">
        <v>2155908</v>
      </c>
    </row>
    <row r="202" spans="1:3" x14ac:dyDescent="0.2">
      <c r="A202">
        <v>2016</v>
      </c>
      <c r="B202" s="13">
        <v>2345</v>
      </c>
      <c r="C202" s="16">
        <v>2701160</v>
      </c>
    </row>
    <row r="203" spans="1:3" x14ac:dyDescent="0.2">
      <c r="A203">
        <v>2016</v>
      </c>
      <c r="B203" s="13">
        <v>2350</v>
      </c>
      <c r="C203" s="16">
        <v>7682283</v>
      </c>
    </row>
    <row r="204" spans="1:3" x14ac:dyDescent="0.2">
      <c r="A204">
        <v>2016</v>
      </c>
      <c r="B204" s="13">
        <v>2355</v>
      </c>
      <c r="C204" s="16">
        <v>5433344</v>
      </c>
    </row>
    <row r="205" spans="1:3" x14ac:dyDescent="0.2">
      <c r="A205">
        <v>2016</v>
      </c>
      <c r="B205" s="13">
        <v>2360</v>
      </c>
      <c r="C205" s="16">
        <v>3829785</v>
      </c>
    </row>
    <row r="206" spans="1:3" x14ac:dyDescent="0.2">
      <c r="A206">
        <v>2016</v>
      </c>
      <c r="B206" s="13">
        <v>2361</v>
      </c>
      <c r="C206" s="16">
        <v>1637927</v>
      </c>
    </row>
    <row r="207" spans="1:3" x14ac:dyDescent="0.2">
      <c r="A207">
        <v>2016</v>
      </c>
      <c r="B207" s="13">
        <v>2362</v>
      </c>
      <c r="C207" s="16">
        <v>1887647</v>
      </c>
    </row>
    <row r="208" spans="1:3" x14ac:dyDescent="0.2">
      <c r="A208">
        <v>2016</v>
      </c>
      <c r="B208" s="13">
        <v>2363</v>
      </c>
      <c r="C208" s="16">
        <v>1214670</v>
      </c>
    </row>
    <row r="209" spans="1:3" x14ac:dyDescent="0.2">
      <c r="A209">
        <v>2016</v>
      </c>
      <c r="B209" s="13">
        <v>2364</v>
      </c>
      <c r="C209" s="16">
        <v>2320720</v>
      </c>
    </row>
    <row r="210" spans="1:3" x14ac:dyDescent="0.2">
      <c r="A210">
        <v>2016</v>
      </c>
      <c r="B210" s="13">
        <v>2365</v>
      </c>
      <c r="C210" s="16">
        <v>11570811</v>
      </c>
    </row>
    <row r="211" spans="1:3" x14ac:dyDescent="0.2">
      <c r="A211">
        <v>2016</v>
      </c>
      <c r="B211" s="13">
        <v>2370</v>
      </c>
      <c r="C211" s="16">
        <v>1908199</v>
      </c>
    </row>
    <row r="212" spans="1:3" x14ac:dyDescent="0.2">
      <c r="A212">
        <v>2016</v>
      </c>
      <c r="B212" s="13">
        <v>2375</v>
      </c>
      <c r="C212" s="16">
        <v>1599683</v>
      </c>
    </row>
    <row r="213" spans="1:3" x14ac:dyDescent="0.2">
      <c r="A213">
        <v>2016</v>
      </c>
      <c r="B213" s="13">
        <v>2377</v>
      </c>
      <c r="C213" s="16">
        <v>2360981</v>
      </c>
    </row>
    <row r="214" spans="1:3" x14ac:dyDescent="0.2">
      <c r="A214">
        <v>2016</v>
      </c>
      <c r="B214" s="13">
        <v>2378</v>
      </c>
      <c r="C214" s="16">
        <v>11976079</v>
      </c>
    </row>
    <row r="215" spans="1:3" x14ac:dyDescent="0.2">
      <c r="A215">
        <v>2016</v>
      </c>
      <c r="B215" s="13">
        <v>2379</v>
      </c>
      <c r="C215" s="16">
        <v>12091668</v>
      </c>
    </row>
    <row r="216" spans="1:3" x14ac:dyDescent="0.2">
      <c r="A216">
        <v>2016</v>
      </c>
      <c r="B216" s="13">
        <v>2380</v>
      </c>
      <c r="C216" s="16">
        <v>4756351</v>
      </c>
    </row>
    <row r="217" spans="1:3" x14ac:dyDescent="0.2">
      <c r="A217">
        <v>2016</v>
      </c>
      <c r="B217" s="13">
        <v>2381</v>
      </c>
      <c r="C217" s="16">
        <v>2485631</v>
      </c>
    </row>
    <row r="218" spans="1:3" x14ac:dyDescent="0.2">
      <c r="A218">
        <v>2016</v>
      </c>
      <c r="B218" s="13">
        <v>2383</v>
      </c>
      <c r="C218" s="16">
        <v>8494043</v>
      </c>
    </row>
    <row r="219" spans="1:3" x14ac:dyDescent="0.2">
      <c r="A219">
        <v>2016</v>
      </c>
      <c r="B219" s="13">
        <v>2384</v>
      </c>
      <c r="C219" s="16">
        <v>5380299</v>
      </c>
    </row>
    <row r="220" spans="1:3" x14ac:dyDescent="0.2">
      <c r="A220">
        <v>2016</v>
      </c>
      <c r="B220" s="13">
        <v>2385</v>
      </c>
      <c r="C220" s="16">
        <v>3743339</v>
      </c>
    </row>
    <row r="221" spans="1:3" x14ac:dyDescent="0.2">
      <c r="A221">
        <v>2016</v>
      </c>
      <c r="B221" s="13">
        <v>2389</v>
      </c>
      <c r="C221" s="16">
        <v>3380980</v>
      </c>
    </row>
    <row r="222" spans="1:3" x14ac:dyDescent="0.2">
      <c r="A222">
        <v>2016</v>
      </c>
      <c r="B222" s="13">
        <v>2390</v>
      </c>
      <c r="C222" s="16">
        <v>6991816</v>
      </c>
    </row>
    <row r="223" spans="1:3" x14ac:dyDescent="0.2">
      <c r="A223">
        <v>2016</v>
      </c>
      <c r="B223" s="13">
        <v>2391</v>
      </c>
      <c r="C223" s="16">
        <v>3331891</v>
      </c>
    </row>
    <row r="224" spans="1:3" x14ac:dyDescent="0.2">
      <c r="A224">
        <v>2016</v>
      </c>
      <c r="B224" s="13">
        <v>2394</v>
      </c>
      <c r="C224" s="16">
        <v>2304894</v>
      </c>
    </row>
    <row r="225" spans="1:3" x14ac:dyDescent="0.2">
      <c r="A225">
        <v>2016</v>
      </c>
      <c r="B225" s="13">
        <v>2395</v>
      </c>
      <c r="C225" s="16">
        <v>1897744</v>
      </c>
    </row>
    <row r="226" spans="1:3" x14ac:dyDescent="0.2">
      <c r="A226">
        <v>2016</v>
      </c>
      <c r="B226" s="13">
        <v>2396</v>
      </c>
      <c r="C226" s="16">
        <v>1361098</v>
      </c>
    </row>
    <row r="227" spans="1:3" x14ac:dyDescent="0.2">
      <c r="A227">
        <v>2016</v>
      </c>
      <c r="B227" s="13">
        <v>2400</v>
      </c>
      <c r="C227" s="16">
        <v>11144532</v>
      </c>
    </row>
    <row r="228" spans="1:3" x14ac:dyDescent="0.2">
      <c r="A228">
        <v>2016</v>
      </c>
      <c r="B228" s="13">
        <v>2401</v>
      </c>
      <c r="C228" s="16">
        <v>2640479</v>
      </c>
    </row>
    <row r="229" spans="1:3" x14ac:dyDescent="0.2">
      <c r="A229">
        <v>2016</v>
      </c>
      <c r="B229" s="13">
        <v>2402</v>
      </c>
      <c r="C229" s="16">
        <v>6631403</v>
      </c>
    </row>
    <row r="230" spans="1:3" x14ac:dyDescent="0.2">
      <c r="A230">
        <v>2016</v>
      </c>
      <c r="B230" s="13">
        <v>2403</v>
      </c>
      <c r="C230" s="16">
        <v>3027024</v>
      </c>
    </row>
    <row r="231" spans="1:3" x14ac:dyDescent="0.2">
      <c r="A231">
        <v>2016</v>
      </c>
      <c r="B231" s="13">
        <v>2405</v>
      </c>
      <c r="C231" s="16">
        <v>4070599</v>
      </c>
    </row>
    <row r="232" spans="1:3" x14ac:dyDescent="0.2">
      <c r="A232">
        <v>2016</v>
      </c>
      <c r="B232" s="13">
        <v>2406</v>
      </c>
      <c r="C232" s="16">
        <v>5478521</v>
      </c>
    </row>
    <row r="233" spans="1:3" x14ac:dyDescent="0.2">
      <c r="A233">
        <v>2016</v>
      </c>
      <c r="B233" s="13">
        <v>2408</v>
      </c>
      <c r="C233" s="16">
        <v>5793941</v>
      </c>
    </row>
    <row r="234" spans="1:3" x14ac:dyDescent="0.2">
      <c r="A234">
        <v>2016</v>
      </c>
      <c r="B234" s="13">
        <v>2409</v>
      </c>
      <c r="C234" s="16">
        <v>1219445</v>
      </c>
    </row>
    <row r="235" spans="1:3" x14ac:dyDescent="0.2">
      <c r="A235">
        <v>2016</v>
      </c>
      <c r="B235" s="13">
        <v>2410</v>
      </c>
      <c r="C235" s="16">
        <v>7499325</v>
      </c>
    </row>
    <row r="236" spans="1:3" x14ac:dyDescent="0.2">
      <c r="A236">
        <v>2016</v>
      </c>
      <c r="B236" s="13">
        <v>2415</v>
      </c>
      <c r="C236" s="16">
        <v>8904624</v>
      </c>
    </row>
    <row r="237" spans="1:3" x14ac:dyDescent="0.2">
      <c r="A237">
        <v>2016</v>
      </c>
      <c r="B237" s="13">
        <v>2420</v>
      </c>
      <c r="C237" s="16">
        <v>4315080</v>
      </c>
    </row>
    <row r="238" spans="1:3" x14ac:dyDescent="0.2">
      <c r="A238">
        <v>2016</v>
      </c>
      <c r="B238" s="13">
        <v>2425</v>
      </c>
      <c r="C238" s="16">
        <v>8500915</v>
      </c>
    </row>
    <row r="239" spans="1:3" x14ac:dyDescent="0.2">
      <c r="A239">
        <v>2016</v>
      </c>
      <c r="B239" s="13">
        <v>2426</v>
      </c>
      <c r="C239" s="16">
        <v>2382148</v>
      </c>
    </row>
    <row r="240" spans="1:3" x14ac:dyDescent="0.2">
      <c r="A240">
        <v>2016</v>
      </c>
      <c r="B240" s="13">
        <v>2428</v>
      </c>
      <c r="C240" s="16">
        <v>4544626</v>
      </c>
    </row>
    <row r="241" spans="1:3" x14ac:dyDescent="0.2">
      <c r="A241">
        <v>2016</v>
      </c>
      <c r="B241" s="13">
        <v>2430</v>
      </c>
      <c r="C241" s="16">
        <v>6764084</v>
      </c>
    </row>
    <row r="242" spans="1:3" x14ac:dyDescent="0.2">
      <c r="A242">
        <v>2016</v>
      </c>
      <c r="B242" s="13">
        <v>2435</v>
      </c>
      <c r="C242" s="16">
        <v>1818356</v>
      </c>
    </row>
    <row r="243" spans="1:3" x14ac:dyDescent="0.2">
      <c r="A243">
        <v>2016</v>
      </c>
      <c r="B243" s="13">
        <v>2440</v>
      </c>
      <c r="C243" s="16">
        <v>3028514</v>
      </c>
    </row>
    <row r="244" spans="1:3" x14ac:dyDescent="0.2">
      <c r="A244">
        <v>2016</v>
      </c>
      <c r="B244" s="13">
        <v>2441</v>
      </c>
      <c r="C244" s="16">
        <v>1737164</v>
      </c>
    </row>
    <row r="245" spans="1:3" x14ac:dyDescent="0.2">
      <c r="A245">
        <v>2016</v>
      </c>
      <c r="B245" s="13">
        <v>2445</v>
      </c>
      <c r="C245" s="16">
        <v>8666777</v>
      </c>
    </row>
    <row r="246" spans="1:3" x14ac:dyDescent="0.2">
      <c r="A246">
        <v>2016</v>
      </c>
      <c r="B246" s="13">
        <v>2450</v>
      </c>
      <c r="C246" s="16">
        <v>3437540</v>
      </c>
    </row>
    <row r="247" spans="1:3" x14ac:dyDescent="0.2">
      <c r="A247">
        <v>2016</v>
      </c>
      <c r="B247" s="13">
        <v>2455</v>
      </c>
      <c r="C247" s="16">
        <v>4238665</v>
      </c>
    </row>
    <row r="248" spans="1:3" x14ac:dyDescent="0.2">
      <c r="A248">
        <v>2016</v>
      </c>
      <c r="B248" s="13">
        <v>2458</v>
      </c>
      <c r="C248" s="16">
        <v>4327709</v>
      </c>
    </row>
    <row r="249" spans="1:3" x14ac:dyDescent="0.2">
      <c r="A249">
        <v>2016</v>
      </c>
      <c r="B249" s="13">
        <v>2460</v>
      </c>
      <c r="C249" s="16">
        <v>1566114</v>
      </c>
    </row>
    <row r="250" spans="1:3" x14ac:dyDescent="0.2">
      <c r="A250">
        <v>2016</v>
      </c>
      <c r="B250" s="13">
        <v>2464</v>
      </c>
      <c r="C250" s="16">
        <v>1403149</v>
      </c>
    </row>
    <row r="251" spans="1:3" x14ac:dyDescent="0.2">
      <c r="A251">
        <v>2016</v>
      </c>
      <c r="B251" s="13">
        <v>2465</v>
      </c>
      <c r="C251" s="16">
        <v>737627</v>
      </c>
    </row>
    <row r="252" spans="1:3" x14ac:dyDescent="0.2">
      <c r="A252">
        <v>2016</v>
      </c>
      <c r="B252" s="13">
        <v>2466</v>
      </c>
      <c r="C252" s="16">
        <v>1722159</v>
      </c>
    </row>
    <row r="253" spans="1:3" x14ac:dyDescent="0.2">
      <c r="A253">
        <v>2016</v>
      </c>
      <c r="B253" s="13">
        <v>2467</v>
      </c>
      <c r="C253" s="16">
        <v>2492196</v>
      </c>
    </row>
    <row r="254" spans="1:3" x14ac:dyDescent="0.2">
      <c r="A254">
        <v>2016</v>
      </c>
      <c r="B254" s="13">
        <v>2468</v>
      </c>
      <c r="C254" s="16">
        <v>2021554</v>
      </c>
    </row>
    <row r="255" spans="1:3" x14ac:dyDescent="0.2">
      <c r="A255">
        <v>2016</v>
      </c>
      <c r="B255" s="13">
        <v>2469</v>
      </c>
      <c r="C255" s="16">
        <v>5520262</v>
      </c>
    </row>
    <row r="256" spans="1:3" x14ac:dyDescent="0.2">
      <c r="A256">
        <v>2016</v>
      </c>
      <c r="B256" s="13">
        <v>2470</v>
      </c>
      <c r="C256" s="16">
        <v>5020032</v>
      </c>
    </row>
    <row r="257" spans="1:3" x14ac:dyDescent="0.2">
      <c r="A257">
        <v>2016</v>
      </c>
      <c r="B257" s="13">
        <v>2471</v>
      </c>
      <c r="C257" s="16">
        <v>5404380</v>
      </c>
    </row>
    <row r="258" spans="1:3" x14ac:dyDescent="0.2">
      <c r="A258">
        <v>2016</v>
      </c>
      <c r="B258" s="13">
        <v>2475</v>
      </c>
      <c r="C258" s="16">
        <v>8083275</v>
      </c>
    </row>
    <row r="259" spans="1:3" x14ac:dyDescent="0.2">
      <c r="A259">
        <v>2016</v>
      </c>
      <c r="B259" s="13">
        <v>2480</v>
      </c>
      <c r="C259" s="16">
        <v>2669142</v>
      </c>
    </row>
    <row r="260" spans="1:3" x14ac:dyDescent="0.2">
      <c r="A260">
        <v>2016</v>
      </c>
      <c r="B260" s="13">
        <v>2485</v>
      </c>
      <c r="C260" s="16">
        <v>5410834</v>
      </c>
    </row>
    <row r="261" spans="1:3" x14ac:dyDescent="0.2">
      <c r="A261">
        <v>2016</v>
      </c>
      <c r="B261" s="13">
        <v>2490</v>
      </c>
      <c r="C261" s="16">
        <v>8087207</v>
      </c>
    </row>
    <row r="262" spans="1:3" x14ac:dyDescent="0.2">
      <c r="A262">
        <v>2016</v>
      </c>
      <c r="B262" s="13">
        <v>2495</v>
      </c>
      <c r="C262" s="16">
        <v>1002123</v>
      </c>
    </row>
    <row r="263" spans="1:3" x14ac:dyDescent="0.2">
      <c r="A263">
        <v>2016</v>
      </c>
      <c r="B263" s="13">
        <v>2497</v>
      </c>
      <c r="C263" s="16">
        <v>2720723</v>
      </c>
    </row>
    <row r="264" spans="1:3" x14ac:dyDescent="0.2">
      <c r="A264">
        <v>2016</v>
      </c>
      <c r="B264" s="13">
        <v>2498</v>
      </c>
      <c r="C264" s="16">
        <v>2350623</v>
      </c>
    </row>
    <row r="265" spans="1:3" x14ac:dyDescent="0.2">
      <c r="A265">
        <v>2016</v>
      </c>
      <c r="B265" s="13">
        <v>2500</v>
      </c>
      <c r="C265" s="16">
        <v>6574169</v>
      </c>
    </row>
    <row r="266" spans="1:3" x14ac:dyDescent="0.2">
      <c r="A266">
        <v>2016</v>
      </c>
      <c r="B266" s="13">
        <v>2504</v>
      </c>
      <c r="C266" s="16">
        <v>3773740</v>
      </c>
    </row>
    <row r="267" spans="1:3" x14ac:dyDescent="0.2">
      <c r="A267">
        <v>2016</v>
      </c>
      <c r="B267" s="13">
        <v>2505</v>
      </c>
      <c r="C267" s="16">
        <v>5553595</v>
      </c>
    </row>
    <row r="268" spans="1:3" x14ac:dyDescent="0.2">
      <c r="A268">
        <v>2016</v>
      </c>
      <c r="B268" s="13">
        <v>2507</v>
      </c>
      <c r="C268" s="16">
        <v>1062367</v>
      </c>
    </row>
    <row r="269" spans="1:3" x14ac:dyDescent="0.2">
      <c r="A269">
        <v>2016</v>
      </c>
      <c r="B269" s="13">
        <v>2508</v>
      </c>
      <c r="C269" s="16">
        <v>3027389</v>
      </c>
    </row>
    <row r="270" spans="1:3" x14ac:dyDescent="0.2">
      <c r="A270">
        <v>2016</v>
      </c>
      <c r="B270" s="13">
        <v>2509</v>
      </c>
      <c r="C270" s="16">
        <v>5478572</v>
      </c>
    </row>
    <row r="271" spans="1:3" x14ac:dyDescent="0.2">
      <c r="A271">
        <v>2016</v>
      </c>
      <c r="B271" s="13">
        <v>2510</v>
      </c>
      <c r="C271" s="16">
        <v>2226420</v>
      </c>
    </row>
    <row r="272" spans="1:3" x14ac:dyDescent="0.2">
      <c r="A272">
        <v>2016</v>
      </c>
      <c r="B272" s="13">
        <v>2512</v>
      </c>
      <c r="C272" s="16">
        <v>16131022</v>
      </c>
    </row>
    <row r="273" spans="1:3" x14ac:dyDescent="0.2">
      <c r="A273">
        <v>2016</v>
      </c>
      <c r="B273" s="13">
        <v>2514</v>
      </c>
      <c r="C273" s="16">
        <v>1472919</v>
      </c>
    </row>
    <row r="274" spans="1:3" x14ac:dyDescent="0.2">
      <c r="A274">
        <v>2016</v>
      </c>
      <c r="B274" s="13">
        <v>2515</v>
      </c>
      <c r="C274" s="16">
        <v>1248777</v>
      </c>
    </row>
    <row r="275" spans="1:3" x14ac:dyDescent="0.2">
      <c r="A275">
        <v>2016</v>
      </c>
      <c r="B275" s="13">
        <v>2520</v>
      </c>
      <c r="C275" s="16">
        <v>2988578</v>
      </c>
    </row>
    <row r="276" spans="1:3" x14ac:dyDescent="0.2">
      <c r="A276">
        <v>2016</v>
      </c>
      <c r="B276" s="13">
        <v>2525</v>
      </c>
      <c r="C276" s="16">
        <v>4332578</v>
      </c>
    </row>
    <row r="277" spans="1:3" x14ac:dyDescent="0.2">
      <c r="A277">
        <v>2016</v>
      </c>
      <c r="B277" s="13">
        <v>2530</v>
      </c>
      <c r="C277" s="16">
        <v>8314459</v>
      </c>
    </row>
    <row r="278" spans="1:3" x14ac:dyDescent="0.2">
      <c r="A278">
        <v>2016</v>
      </c>
      <c r="B278" s="13">
        <v>2533</v>
      </c>
      <c r="C278" s="16">
        <v>2068478</v>
      </c>
    </row>
    <row r="279" spans="1:3" x14ac:dyDescent="0.2">
      <c r="A279">
        <v>2016</v>
      </c>
      <c r="B279" s="13">
        <v>2535</v>
      </c>
      <c r="C279" s="16">
        <v>2430072</v>
      </c>
    </row>
    <row r="280" spans="1:3" x14ac:dyDescent="0.2">
      <c r="A280">
        <v>2016</v>
      </c>
      <c r="B280" s="13">
        <v>2540</v>
      </c>
      <c r="C280" s="16">
        <v>5558939</v>
      </c>
    </row>
    <row r="281" spans="1:3" x14ac:dyDescent="0.2">
      <c r="A281">
        <v>2016</v>
      </c>
      <c r="B281" s="13">
        <v>2541</v>
      </c>
      <c r="C281" s="16">
        <v>3591795</v>
      </c>
    </row>
    <row r="282" spans="1:3" x14ac:dyDescent="0.2">
      <c r="A282">
        <v>2016</v>
      </c>
      <c r="B282" s="13">
        <v>2542</v>
      </c>
      <c r="C282" s="16">
        <v>2113730</v>
      </c>
    </row>
    <row r="283" spans="1:3" x14ac:dyDescent="0.2">
      <c r="A283">
        <v>2016</v>
      </c>
      <c r="B283" s="13">
        <v>2545</v>
      </c>
      <c r="C283" s="16">
        <v>1077090</v>
      </c>
    </row>
    <row r="284" spans="1:3" x14ac:dyDescent="0.2">
      <c r="A284">
        <v>2016</v>
      </c>
      <c r="B284" s="13">
        <v>2547</v>
      </c>
      <c r="C284" s="16">
        <v>7870893</v>
      </c>
    </row>
    <row r="285" spans="1:3" x14ac:dyDescent="0.2">
      <c r="A285">
        <v>2016</v>
      </c>
      <c r="B285" s="13">
        <v>2550</v>
      </c>
      <c r="C285" s="16">
        <v>905134</v>
      </c>
    </row>
    <row r="286" spans="1:3" x14ac:dyDescent="0.2">
      <c r="A286">
        <v>2016</v>
      </c>
      <c r="B286" s="13">
        <v>2551</v>
      </c>
      <c r="C286" s="16">
        <v>1357828</v>
      </c>
    </row>
    <row r="287" spans="1:3" x14ac:dyDescent="0.2">
      <c r="A287">
        <v>2016</v>
      </c>
      <c r="B287" s="13">
        <v>2555</v>
      </c>
      <c r="C287" s="16">
        <v>1482644</v>
      </c>
    </row>
    <row r="288" spans="1:3" x14ac:dyDescent="0.2">
      <c r="A288">
        <v>2016</v>
      </c>
      <c r="B288" s="13">
        <v>2557</v>
      </c>
      <c r="C288" s="16">
        <v>11903452</v>
      </c>
    </row>
    <row r="289" spans="1:3" x14ac:dyDescent="0.2">
      <c r="A289">
        <v>2016</v>
      </c>
      <c r="B289" s="13">
        <v>2559</v>
      </c>
      <c r="C289" s="16">
        <v>1279715</v>
      </c>
    </row>
    <row r="290" spans="1:3" x14ac:dyDescent="0.2">
      <c r="A290">
        <v>2016</v>
      </c>
      <c r="B290" s="13">
        <v>2560</v>
      </c>
      <c r="C290" s="16">
        <v>1481374</v>
      </c>
    </row>
    <row r="291" spans="1:3" x14ac:dyDescent="0.2">
      <c r="A291">
        <v>2016</v>
      </c>
      <c r="B291" s="13">
        <v>2561</v>
      </c>
      <c r="C291" s="16">
        <v>4856175</v>
      </c>
    </row>
    <row r="292" spans="1:3" x14ac:dyDescent="0.2">
      <c r="A292">
        <v>2016</v>
      </c>
      <c r="B292" s="13">
        <v>2562</v>
      </c>
      <c r="C292" s="16">
        <v>5571397</v>
      </c>
    </row>
    <row r="293" spans="1:3" x14ac:dyDescent="0.2">
      <c r="A293">
        <v>2016</v>
      </c>
      <c r="B293" s="13">
        <v>2563</v>
      </c>
      <c r="C293" s="16">
        <v>6127463</v>
      </c>
    </row>
    <row r="294" spans="1:3" x14ac:dyDescent="0.2">
      <c r="A294">
        <v>2016</v>
      </c>
      <c r="B294" s="13">
        <v>2564</v>
      </c>
      <c r="C294" s="16">
        <v>7857388</v>
      </c>
    </row>
    <row r="295" spans="1:3" x14ac:dyDescent="0.2">
      <c r="A295">
        <v>2016</v>
      </c>
      <c r="B295" s="13">
        <v>2565</v>
      </c>
      <c r="C295" s="16">
        <v>4811228</v>
      </c>
    </row>
    <row r="296" spans="1:3" x14ac:dyDescent="0.2">
      <c r="A296">
        <v>2016</v>
      </c>
      <c r="B296" s="13">
        <v>2570</v>
      </c>
      <c r="C296" s="16">
        <v>3350965</v>
      </c>
    </row>
    <row r="297" spans="1:3" x14ac:dyDescent="0.2">
      <c r="A297">
        <v>2016</v>
      </c>
      <c r="B297" s="13">
        <v>2573</v>
      </c>
      <c r="C297" s="16">
        <v>3412664</v>
      </c>
    </row>
    <row r="298" spans="1:3" x14ac:dyDescent="0.2">
      <c r="A298">
        <v>2016</v>
      </c>
      <c r="B298" s="13">
        <v>2574</v>
      </c>
      <c r="C298" s="16">
        <v>1172053</v>
      </c>
    </row>
    <row r="299" spans="1:3" x14ac:dyDescent="0.2">
      <c r="A299">
        <v>2016</v>
      </c>
      <c r="B299" s="13">
        <v>2575</v>
      </c>
      <c r="C299" s="16">
        <v>11583393</v>
      </c>
    </row>
    <row r="300" spans="1:3" x14ac:dyDescent="0.2">
      <c r="A300">
        <v>2016</v>
      </c>
      <c r="B300" s="13">
        <v>2576</v>
      </c>
      <c r="C300" s="16">
        <v>2366989</v>
      </c>
    </row>
    <row r="301" spans="1:3" x14ac:dyDescent="0.2">
      <c r="A301">
        <v>2016</v>
      </c>
      <c r="B301" s="13">
        <v>2580</v>
      </c>
      <c r="C301" s="16">
        <v>6497549</v>
      </c>
    </row>
    <row r="302" spans="1:3" x14ac:dyDescent="0.2">
      <c r="A302">
        <v>2016</v>
      </c>
      <c r="B302" s="13">
        <v>2582</v>
      </c>
      <c r="C302" s="16">
        <v>1501469</v>
      </c>
    </row>
    <row r="303" spans="1:3" x14ac:dyDescent="0.2">
      <c r="A303">
        <v>2016</v>
      </c>
      <c r="B303" s="13">
        <v>2584</v>
      </c>
      <c r="C303" s="16">
        <v>3805779</v>
      </c>
    </row>
    <row r="304" spans="1:3" x14ac:dyDescent="0.2">
      <c r="A304">
        <v>2016</v>
      </c>
      <c r="B304" s="13">
        <v>2585</v>
      </c>
      <c r="C304" s="16">
        <v>13233124</v>
      </c>
    </row>
    <row r="305" spans="1:3" x14ac:dyDescent="0.2">
      <c r="A305">
        <v>2016</v>
      </c>
      <c r="B305" s="13">
        <v>2590</v>
      </c>
      <c r="C305" s="16">
        <v>4226512</v>
      </c>
    </row>
    <row r="306" spans="1:3" x14ac:dyDescent="0.2">
      <c r="A306">
        <v>2016</v>
      </c>
      <c r="B306" s="13">
        <v>2593</v>
      </c>
      <c r="C306" s="16">
        <v>10057742</v>
      </c>
    </row>
    <row r="307" spans="1:3" x14ac:dyDescent="0.2">
      <c r="A307">
        <v>2016</v>
      </c>
      <c r="B307" s="13">
        <v>2595</v>
      </c>
      <c r="C307" s="16">
        <v>889506</v>
      </c>
    </row>
    <row r="308" spans="1:3" x14ac:dyDescent="0.2">
      <c r="A308">
        <v>2016</v>
      </c>
      <c r="B308" s="13">
        <v>2600</v>
      </c>
      <c r="C308" s="16">
        <v>1507856</v>
      </c>
    </row>
    <row r="309" spans="1:3" x14ac:dyDescent="0.2">
      <c r="A309">
        <v>2016</v>
      </c>
      <c r="B309" s="13">
        <v>2605</v>
      </c>
      <c r="C309" s="16">
        <v>753858</v>
      </c>
    </row>
    <row r="310" spans="1:3" x14ac:dyDescent="0.2">
      <c r="A310">
        <v>2016</v>
      </c>
      <c r="B310" s="13">
        <v>2610</v>
      </c>
      <c r="C310" s="16">
        <v>10802068</v>
      </c>
    </row>
    <row r="311" spans="1:3" x14ac:dyDescent="0.2">
      <c r="A311">
        <v>2016</v>
      </c>
      <c r="B311" s="13">
        <v>2611</v>
      </c>
      <c r="C311" s="16">
        <v>2894333</v>
      </c>
    </row>
    <row r="312" spans="1:3" x14ac:dyDescent="0.2">
      <c r="A312">
        <v>2016</v>
      </c>
      <c r="B312" s="13">
        <v>2612</v>
      </c>
      <c r="C312" s="16">
        <v>3464485</v>
      </c>
    </row>
    <row r="313" spans="1:3" x14ac:dyDescent="0.2">
      <c r="A313">
        <v>2016</v>
      </c>
      <c r="B313" s="13">
        <v>2613</v>
      </c>
      <c r="C313" s="16">
        <v>3285300</v>
      </c>
    </row>
    <row r="314" spans="1:3" x14ac:dyDescent="0.2">
      <c r="A314">
        <v>2016</v>
      </c>
      <c r="B314" s="13">
        <v>2614</v>
      </c>
      <c r="C314" s="16">
        <v>4396082</v>
      </c>
    </row>
    <row r="315" spans="1:3" x14ac:dyDescent="0.2">
      <c r="A315">
        <v>2016</v>
      </c>
      <c r="B315" s="13">
        <v>2615</v>
      </c>
      <c r="C315" s="16">
        <v>11664616</v>
      </c>
    </row>
    <row r="316" spans="1:3" x14ac:dyDescent="0.2">
      <c r="A316">
        <v>2016</v>
      </c>
      <c r="B316" s="13">
        <v>2616</v>
      </c>
      <c r="C316" s="16">
        <v>4238480</v>
      </c>
    </row>
    <row r="317" spans="1:3" x14ac:dyDescent="0.2">
      <c r="A317">
        <v>2016</v>
      </c>
      <c r="B317" s="13">
        <v>2617</v>
      </c>
      <c r="C317" s="16">
        <v>4507288</v>
      </c>
    </row>
    <row r="318" spans="1:3" x14ac:dyDescent="0.2">
      <c r="A318">
        <v>2016</v>
      </c>
      <c r="B318" s="13">
        <v>2618</v>
      </c>
      <c r="C318" s="16">
        <v>1103964</v>
      </c>
    </row>
    <row r="319" spans="1:3" x14ac:dyDescent="0.2">
      <c r="A319">
        <v>2016</v>
      </c>
      <c r="B319" s="13">
        <v>2619</v>
      </c>
      <c r="C319" s="16">
        <v>2487072</v>
      </c>
    </row>
    <row r="320" spans="1:3" x14ac:dyDescent="0.2">
      <c r="A320">
        <v>2016</v>
      </c>
      <c r="B320" s="13">
        <v>2620</v>
      </c>
      <c r="C320" s="16">
        <v>846757</v>
      </c>
    </row>
    <row r="321" spans="1:3" x14ac:dyDescent="0.2">
      <c r="A321">
        <v>2016</v>
      </c>
      <c r="B321" s="13">
        <v>2625</v>
      </c>
      <c r="C321" s="16">
        <v>1424771</v>
      </c>
    </row>
    <row r="322" spans="1:3" x14ac:dyDescent="0.2">
      <c r="A322">
        <v>2016</v>
      </c>
      <c r="B322" s="13">
        <v>2626</v>
      </c>
      <c r="C322" s="16">
        <v>1067443</v>
      </c>
    </row>
    <row r="323" spans="1:3" x14ac:dyDescent="0.2">
      <c r="A323">
        <v>2016</v>
      </c>
      <c r="B323" s="13">
        <v>2630</v>
      </c>
      <c r="C323" s="16">
        <v>1179988</v>
      </c>
    </row>
    <row r="324" spans="1:3" x14ac:dyDescent="0.2">
      <c r="A324">
        <v>2016</v>
      </c>
      <c r="B324" s="13">
        <v>2632</v>
      </c>
      <c r="C324" s="16">
        <v>2374485</v>
      </c>
    </row>
    <row r="325" spans="1:3" x14ac:dyDescent="0.2">
      <c r="A325">
        <v>2016</v>
      </c>
      <c r="B325" s="13">
        <v>2633</v>
      </c>
      <c r="C325" s="16">
        <v>8108200</v>
      </c>
    </row>
    <row r="326" spans="1:3" x14ac:dyDescent="0.2">
      <c r="A326">
        <v>2016</v>
      </c>
      <c r="B326" s="13">
        <v>2635</v>
      </c>
      <c r="C326" s="16">
        <v>1058225</v>
      </c>
    </row>
    <row r="327" spans="1:3" x14ac:dyDescent="0.2">
      <c r="A327">
        <v>2016</v>
      </c>
      <c r="B327" s="13">
        <v>2640</v>
      </c>
      <c r="C327" s="16">
        <v>2829854</v>
      </c>
    </row>
    <row r="328" spans="1:3" x14ac:dyDescent="0.2">
      <c r="A328">
        <v>2016</v>
      </c>
      <c r="B328" s="13">
        <v>2641</v>
      </c>
      <c r="C328" s="16">
        <v>1564412</v>
      </c>
    </row>
    <row r="329" spans="1:3" x14ac:dyDescent="0.2">
      <c r="A329">
        <v>2016</v>
      </c>
      <c r="B329" s="13">
        <v>2642</v>
      </c>
      <c r="C329" s="16">
        <v>6573205</v>
      </c>
    </row>
    <row r="330" spans="1:3" x14ac:dyDescent="0.2">
      <c r="A330">
        <v>2016</v>
      </c>
      <c r="B330" s="13">
        <v>2643</v>
      </c>
      <c r="C330" s="16">
        <v>5928240</v>
      </c>
    </row>
    <row r="331" spans="1:3" x14ac:dyDescent="0.2">
      <c r="A331">
        <v>2016</v>
      </c>
      <c r="B331" s="13">
        <v>2644</v>
      </c>
      <c r="C331" s="16">
        <v>5436905</v>
      </c>
    </row>
    <row r="332" spans="1:3" x14ac:dyDescent="0.2">
      <c r="A332">
        <v>2016</v>
      </c>
      <c r="B332" s="13">
        <v>2645</v>
      </c>
      <c r="C332" s="16">
        <v>6704295</v>
      </c>
    </row>
    <row r="333" spans="1:3" x14ac:dyDescent="0.2">
      <c r="A333">
        <v>2016</v>
      </c>
      <c r="B333" s="13">
        <v>2648</v>
      </c>
      <c r="C333" s="16">
        <v>1360424</v>
      </c>
    </row>
    <row r="334" spans="1:3" x14ac:dyDescent="0.2">
      <c r="A334">
        <v>2016</v>
      </c>
      <c r="B334" s="13">
        <v>2649</v>
      </c>
      <c r="C334" s="16">
        <v>2820261</v>
      </c>
    </row>
    <row r="335" spans="1:3" x14ac:dyDescent="0.2">
      <c r="A335">
        <v>2016</v>
      </c>
      <c r="B335" s="13">
        <v>2650</v>
      </c>
      <c r="C335" s="16">
        <v>569951</v>
      </c>
    </row>
    <row r="336" spans="1:3" x14ac:dyDescent="0.2">
      <c r="A336">
        <v>2016</v>
      </c>
      <c r="B336" s="13">
        <v>2651</v>
      </c>
      <c r="C336" s="16">
        <v>10063251</v>
      </c>
    </row>
    <row r="337" spans="1:3" x14ac:dyDescent="0.2">
      <c r="A337">
        <v>2016</v>
      </c>
      <c r="B337" s="13">
        <v>2652</v>
      </c>
      <c r="C337" s="16">
        <v>1145600</v>
      </c>
    </row>
    <row r="338" spans="1:3" x14ac:dyDescent="0.2">
      <c r="A338">
        <v>2016</v>
      </c>
      <c r="B338" s="13">
        <v>2653</v>
      </c>
      <c r="C338" s="16">
        <v>1650337</v>
      </c>
    </row>
    <row r="339" spans="1:3" x14ac:dyDescent="0.2">
      <c r="A339">
        <v>2016</v>
      </c>
      <c r="B339" s="13">
        <v>2654</v>
      </c>
      <c r="C339" s="16">
        <v>10529403</v>
      </c>
    </row>
    <row r="340" spans="1:3" x14ac:dyDescent="0.2">
      <c r="A340">
        <v>2016</v>
      </c>
      <c r="B340" s="13">
        <v>2655</v>
      </c>
      <c r="C340" s="16">
        <v>5757858</v>
      </c>
    </row>
    <row r="341" spans="1:3" x14ac:dyDescent="0.2">
      <c r="A341">
        <v>2016</v>
      </c>
      <c r="B341" s="13">
        <v>2656</v>
      </c>
      <c r="C341" s="16">
        <v>5548718</v>
      </c>
    </row>
    <row r="342" spans="1:3" x14ac:dyDescent="0.2">
      <c r="A342">
        <v>2016</v>
      </c>
      <c r="B342" s="13">
        <v>3032</v>
      </c>
      <c r="C342" s="16">
        <v>775171</v>
      </c>
    </row>
    <row r="343" spans="1:3" x14ac:dyDescent="0.2">
      <c r="A343">
        <v>2016</v>
      </c>
      <c r="B343" s="13">
        <v>3041</v>
      </c>
      <c r="C343" s="16">
        <v>326949</v>
      </c>
    </row>
    <row r="344" spans="1:3" x14ac:dyDescent="0.2">
      <c r="A344">
        <v>2016</v>
      </c>
      <c r="B344" s="13">
        <v>3042</v>
      </c>
      <c r="C344" s="16">
        <v>929089</v>
      </c>
    </row>
    <row r="345" spans="1:3" x14ac:dyDescent="0.2">
      <c r="A345">
        <v>2016</v>
      </c>
      <c r="B345" s="13">
        <v>3043</v>
      </c>
      <c r="C345" s="16">
        <v>967552</v>
      </c>
    </row>
    <row r="346" spans="1:3" x14ac:dyDescent="0.2">
      <c r="A346">
        <v>2016</v>
      </c>
      <c r="B346" s="13">
        <v>3044</v>
      </c>
      <c r="C346" s="16">
        <v>667443</v>
      </c>
    </row>
    <row r="347" spans="1:3" x14ac:dyDescent="0.2">
      <c r="A347">
        <v>2016</v>
      </c>
      <c r="B347" s="13">
        <v>3048</v>
      </c>
      <c r="C347" s="16">
        <v>285342</v>
      </c>
    </row>
    <row r="348" spans="1:3" x14ac:dyDescent="0.2">
      <c r="A348">
        <v>2016</v>
      </c>
      <c r="B348" s="13">
        <v>3077</v>
      </c>
      <c r="C348" s="16">
        <v>789447</v>
      </c>
    </row>
    <row r="349" spans="1:3" x14ac:dyDescent="0.2">
      <c r="A349">
        <v>2016</v>
      </c>
      <c r="B349" s="13">
        <v>3078</v>
      </c>
      <c r="C349" s="16">
        <v>336128</v>
      </c>
    </row>
    <row r="350" spans="1:3" x14ac:dyDescent="0.2">
      <c r="A350">
        <v>2016</v>
      </c>
      <c r="B350" s="13">
        <v>3079</v>
      </c>
      <c r="C350" s="16">
        <v>223556</v>
      </c>
    </row>
    <row r="351" spans="1:3" x14ac:dyDescent="0.2">
      <c r="A351">
        <v>2016</v>
      </c>
      <c r="B351" s="13">
        <v>3081</v>
      </c>
      <c r="C351" s="16">
        <v>387772</v>
      </c>
    </row>
    <row r="352" spans="1:3" x14ac:dyDescent="0.2">
      <c r="A352">
        <v>2016</v>
      </c>
      <c r="B352" s="13">
        <v>3082</v>
      </c>
      <c r="C352" s="16">
        <v>700697</v>
      </c>
    </row>
    <row r="353" spans="1:3" x14ac:dyDescent="0.2">
      <c r="A353">
        <v>2016</v>
      </c>
      <c r="B353" s="13">
        <v>3101</v>
      </c>
      <c r="C353" s="16">
        <v>320117</v>
      </c>
    </row>
    <row r="354" spans="1:3" x14ac:dyDescent="0.2">
      <c r="A354">
        <v>2016</v>
      </c>
      <c r="B354" s="13">
        <v>3105</v>
      </c>
      <c r="C354" s="16">
        <v>350848</v>
      </c>
    </row>
    <row r="355" spans="1:3" x14ac:dyDescent="0.2">
      <c r="A355">
        <v>2016</v>
      </c>
      <c r="B355" s="13">
        <v>3106</v>
      </c>
      <c r="C355" s="16">
        <v>582229</v>
      </c>
    </row>
    <row r="356" spans="1:3" x14ac:dyDescent="0.2">
      <c r="A356">
        <v>2016</v>
      </c>
      <c r="B356" s="13">
        <v>3107</v>
      </c>
      <c r="C356" s="16">
        <v>527089</v>
      </c>
    </row>
    <row r="357" spans="1:3" x14ac:dyDescent="0.2">
      <c r="A357">
        <v>2016</v>
      </c>
      <c r="B357" s="13">
        <v>3126</v>
      </c>
      <c r="C357" s="16">
        <v>802284</v>
      </c>
    </row>
    <row r="358" spans="1:3" x14ac:dyDescent="0.2">
      <c r="A358">
        <v>2016</v>
      </c>
      <c r="B358" s="13">
        <v>3128</v>
      </c>
      <c r="C358" s="16">
        <v>561032</v>
      </c>
    </row>
    <row r="359" spans="1:3" x14ac:dyDescent="0.2">
      <c r="A359">
        <v>2016</v>
      </c>
      <c r="B359" s="13">
        <v>3178</v>
      </c>
      <c r="C359" s="16">
        <v>987585</v>
      </c>
    </row>
    <row r="360" spans="1:3" x14ac:dyDescent="0.2">
      <c r="A360">
        <v>2016</v>
      </c>
      <c r="B360" s="13">
        <v>3179</v>
      </c>
      <c r="C360" s="16">
        <v>670629</v>
      </c>
    </row>
    <row r="361" spans="1:3" x14ac:dyDescent="0.2">
      <c r="A361">
        <v>2016</v>
      </c>
      <c r="B361" s="13">
        <v>3201</v>
      </c>
      <c r="C361" s="16">
        <v>383667</v>
      </c>
    </row>
    <row r="362" spans="1:3" x14ac:dyDescent="0.2">
      <c r="A362">
        <v>2016</v>
      </c>
      <c r="B362" s="13">
        <v>3202</v>
      </c>
      <c r="C362" s="16">
        <v>691600</v>
      </c>
    </row>
    <row r="363" spans="1:3" x14ac:dyDescent="0.2">
      <c r="A363">
        <v>2016</v>
      </c>
      <c r="B363" s="13">
        <v>3204</v>
      </c>
      <c r="C363" s="16">
        <v>698713</v>
      </c>
    </row>
    <row r="364" spans="1:3" x14ac:dyDescent="0.2">
      <c r="A364">
        <v>2016</v>
      </c>
      <c r="B364" s="13">
        <v>3206</v>
      </c>
      <c r="C364" s="16">
        <v>781711</v>
      </c>
    </row>
    <row r="365" spans="1:3" x14ac:dyDescent="0.2">
      <c r="A365">
        <v>2016</v>
      </c>
      <c r="B365" s="13">
        <v>3208</v>
      </c>
      <c r="C365" s="16">
        <v>334506</v>
      </c>
    </row>
    <row r="366" spans="1:3" x14ac:dyDescent="0.2">
      <c r="A366">
        <v>2016</v>
      </c>
      <c r="B366" s="13">
        <v>3226</v>
      </c>
      <c r="C366" s="16">
        <v>973437</v>
      </c>
    </row>
    <row r="367" spans="1:3" x14ac:dyDescent="0.2">
      <c r="A367">
        <v>2016</v>
      </c>
      <c r="B367" s="13">
        <v>3229</v>
      </c>
      <c r="C367" s="16">
        <v>581918</v>
      </c>
    </row>
    <row r="368" spans="1:3" x14ac:dyDescent="0.2">
      <c r="A368">
        <v>2016</v>
      </c>
      <c r="B368" s="13">
        <v>3231</v>
      </c>
      <c r="C368" s="16">
        <v>842586</v>
      </c>
    </row>
    <row r="369" spans="1:3" x14ac:dyDescent="0.2">
      <c r="A369">
        <v>2016</v>
      </c>
      <c r="B369" s="13">
        <v>3232</v>
      </c>
      <c r="C369" s="16">
        <v>411450</v>
      </c>
    </row>
    <row r="370" spans="1:3" x14ac:dyDescent="0.2">
      <c r="A370">
        <v>2016</v>
      </c>
      <c r="B370" s="13">
        <v>3276</v>
      </c>
      <c r="C370" s="16">
        <v>796012</v>
      </c>
    </row>
    <row r="371" spans="1:3" x14ac:dyDescent="0.2">
      <c r="A371">
        <v>2016</v>
      </c>
      <c r="B371" s="13">
        <v>3277</v>
      </c>
      <c r="C371" s="16">
        <v>934691</v>
      </c>
    </row>
    <row r="372" spans="1:3" x14ac:dyDescent="0.2">
      <c r="A372">
        <v>2016</v>
      </c>
      <c r="B372" s="13">
        <v>3278</v>
      </c>
      <c r="C372" s="16">
        <v>647632</v>
      </c>
    </row>
    <row r="373" spans="1:3" x14ac:dyDescent="0.2">
      <c r="A373">
        <v>2016</v>
      </c>
      <c r="B373" s="13">
        <v>3280</v>
      </c>
      <c r="C373" s="16">
        <v>785594</v>
      </c>
    </row>
    <row r="374" spans="1:3" x14ac:dyDescent="0.2">
      <c r="A374">
        <v>2016</v>
      </c>
      <c r="B374" s="13">
        <v>3281</v>
      </c>
      <c r="C374" s="16">
        <v>734793</v>
      </c>
    </row>
    <row r="375" spans="1:3" x14ac:dyDescent="0.2">
      <c r="A375">
        <v>2016</v>
      </c>
      <c r="B375" s="13">
        <v>3284</v>
      </c>
      <c r="C375" s="16">
        <v>847076</v>
      </c>
    </row>
    <row r="376" spans="1:3" x14ac:dyDescent="0.2">
      <c r="A376">
        <v>2016</v>
      </c>
      <c r="B376" s="13">
        <v>3303</v>
      </c>
      <c r="C376" s="16">
        <v>892230</v>
      </c>
    </row>
    <row r="377" spans="1:3" x14ac:dyDescent="0.2">
      <c r="A377">
        <v>2016</v>
      </c>
      <c r="B377" s="13">
        <v>3304</v>
      </c>
      <c r="C377" s="16">
        <v>462301</v>
      </c>
    </row>
    <row r="378" spans="1:3" x14ac:dyDescent="0.2">
      <c r="A378">
        <v>2016</v>
      </c>
      <c r="B378" s="13">
        <v>3305</v>
      </c>
      <c r="C378" s="16">
        <v>589781</v>
      </c>
    </row>
    <row r="379" spans="1:3" x14ac:dyDescent="0.2">
      <c r="A379">
        <v>2016</v>
      </c>
      <c r="B379" s="13">
        <v>3306</v>
      </c>
      <c r="C379" s="16">
        <v>568006</v>
      </c>
    </row>
    <row r="380" spans="1:3" x14ac:dyDescent="0.2">
      <c r="A380">
        <v>2016</v>
      </c>
      <c r="B380" s="13">
        <v>3307</v>
      </c>
      <c r="C380" s="16">
        <v>236579</v>
      </c>
    </row>
    <row r="381" spans="1:3" x14ac:dyDescent="0.2">
      <c r="A381">
        <v>2016</v>
      </c>
      <c r="B381" s="13">
        <v>3308</v>
      </c>
      <c r="C381" s="16">
        <v>445208</v>
      </c>
    </row>
    <row r="382" spans="1:3" x14ac:dyDescent="0.2">
      <c r="A382">
        <v>2016</v>
      </c>
      <c r="B382" s="13">
        <v>3309</v>
      </c>
      <c r="C382" s="16">
        <v>797428</v>
      </c>
    </row>
    <row r="383" spans="1:3" x14ac:dyDescent="0.2">
      <c r="A383">
        <v>2016</v>
      </c>
      <c r="B383" s="13">
        <v>3326</v>
      </c>
      <c r="C383" s="16">
        <v>718204</v>
      </c>
    </row>
    <row r="384" spans="1:3" x14ac:dyDescent="0.2">
      <c r="A384">
        <v>2016</v>
      </c>
      <c r="B384" s="13">
        <v>3327</v>
      </c>
      <c r="C384" s="16">
        <v>951472</v>
      </c>
    </row>
    <row r="385" spans="1:3" x14ac:dyDescent="0.2">
      <c r="A385">
        <v>2016</v>
      </c>
      <c r="B385" s="13">
        <v>3328</v>
      </c>
      <c r="C385" s="16">
        <v>529325</v>
      </c>
    </row>
    <row r="386" spans="1:3" x14ac:dyDescent="0.2">
      <c r="A386">
        <v>2016</v>
      </c>
      <c r="B386" s="13">
        <v>3329</v>
      </c>
      <c r="C386" s="16">
        <v>636024</v>
      </c>
    </row>
    <row r="387" spans="1:3" x14ac:dyDescent="0.2">
      <c r="A387">
        <v>2016</v>
      </c>
      <c r="B387" s="13">
        <v>3330</v>
      </c>
      <c r="C387" s="16">
        <v>966276</v>
      </c>
    </row>
    <row r="388" spans="1:3" x14ac:dyDescent="0.2">
      <c r="A388">
        <v>2016</v>
      </c>
      <c r="B388" s="13">
        <v>3331</v>
      </c>
      <c r="C388" s="16">
        <v>1105293</v>
      </c>
    </row>
    <row r="389" spans="1:3" x14ac:dyDescent="0.2">
      <c r="A389">
        <v>2016</v>
      </c>
      <c r="B389" s="13">
        <v>3332</v>
      </c>
      <c r="C389" s="16">
        <v>480892</v>
      </c>
    </row>
    <row r="390" spans="1:3" x14ac:dyDescent="0.2">
      <c r="A390">
        <v>2016</v>
      </c>
      <c r="B390" s="13">
        <v>3452</v>
      </c>
      <c r="C390" s="16">
        <v>1145573</v>
      </c>
    </row>
    <row r="391" spans="1:3" x14ac:dyDescent="0.2">
      <c r="A391">
        <v>2016</v>
      </c>
      <c r="B391" s="13">
        <v>3453</v>
      </c>
      <c r="C391" s="16">
        <v>390995</v>
      </c>
    </row>
    <row r="392" spans="1:3" x14ac:dyDescent="0.2">
      <c r="A392">
        <v>2016</v>
      </c>
      <c r="B392" s="13">
        <v>3458</v>
      </c>
      <c r="C392" s="16">
        <v>848621</v>
      </c>
    </row>
    <row r="393" spans="1:3" x14ac:dyDescent="0.2">
      <c r="A393">
        <v>2016</v>
      </c>
      <c r="B393" s="13">
        <v>3460</v>
      </c>
      <c r="C393" s="16">
        <v>1315734</v>
      </c>
    </row>
    <row r="394" spans="1:3" x14ac:dyDescent="0.2">
      <c r="A394">
        <v>2016</v>
      </c>
      <c r="B394" s="13">
        <v>3464</v>
      </c>
      <c r="C394" s="16">
        <v>341356</v>
      </c>
    </row>
    <row r="395" spans="1:3" x14ac:dyDescent="0.2">
      <c r="A395">
        <v>2016</v>
      </c>
      <c r="B395" s="13">
        <v>3465</v>
      </c>
      <c r="C395" s="16">
        <v>243934</v>
      </c>
    </row>
    <row r="396" spans="1:3" x14ac:dyDescent="0.2">
      <c r="A396">
        <v>2016</v>
      </c>
      <c r="B396" s="13">
        <v>3466</v>
      </c>
      <c r="C396" s="16">
        <v>641288</v>
      </c>
    </row>
    <row r="397" spans="1:3" x14ac:dyDescent="0.2">
      <c r="A397">
        <v>2016</v>
      </c>
      <c r="B397" s="13">
        <v>3467</v>
      </c>
      <c r="C397" s="16">
        <v>336081</v>
      </c>
    </row>
    <row r="398" spans="1:3" x14ac:dyDescent="0.2">
      <c r="A398">
        <v>2016</v>
      </c>
      <c r="B398" s="13">
        <v>3468</v>
      </c>
      <c r="C398" s="16">
        <v>68539</v>
      </c>
    </row>
    <row r="399" spans="1:3" x14ac:dyDescent="0.2">
      <c r="A399">
        <v>2016</v>
      </c>
      <c r="B399" s="13">
        <v>3470</v>
      </c>
      <c r="C399" s="16">
        <v>296777</v>
      </c>
    </row>
    <row r="400" spans="1:3" x14ac:dyDescent="0.2">
      <c r="A400">
        <v>2016</v>
      </c>
      <c r="B400" s="13">
        <v>3471</v>
      </c>
      <c r="C400" s="16">
        <v>266362</v>
      </c>
    </row>
    <row r="401" spans="1:3" x14ac:dyDescent="0.2">
      <c r="A401">
        <v>2016</v>
      </c>
      <c r="B401" s="13">
        <v>3472</v>
      </c>
      <c r="C401" s="16">
        <v>259821</v>
      </c>
    </row>
    <row r="402" spans="1:3" x14ac:dyDescent="0.2">
      <c r="A402">
        <v>2016</v>
      </c>
      <c r="B402" s="13">
        <v>3526</v>
      </c>
      <c r="C402" s="16">
        <v>644585</v>
      </c>
    </row>
    <row r="403" spans="1:3" x14ac:dyDescent="0.2">
      <c r="A403">
        <v>2016</v>
      </c>
      <c r="B403" s="13">
        <v>3527</v>
      </c>
      <c r="C403" s="16">
        <v>524019</v>
      </c>
    </row>
    <row r="404" spans="1:3" x14ac:dyDescent="0.2">
      <c r="A404">
        <v>2016</v>
      </c>
      <c r="B404" s="13">
        <v>3528</v>
      </c>
      <c r="C404" s="16">
        <v>499735</v>
      </c>
    </row>
    <row r="405" spans="1:3" x14ac:dyDescent="0.2">
      <c r="A405">
        <v>2016</v>
      </c>
      <c r="B405" s="13">
        <v>3531</v>
      </c>
      <c r="C405" s="16">
        <v>746799</v>
      </c>
    </row>
    <row r="406" spans="1:3" x14ac:dyDescent="0.2">
      <c r="A406">
        <v>2016</v>
      </c>
      <c r="B406" s="13">
        <v>3552</v>
      </c>
      <c r="C406" s="16">
        <v>268029</v>
      </c>
    </row>
    <row r="407" spans="1:3" x14ac:dyDescent="0.2">
      <c r="A407">
        <v>2016</v>
      </c>
      <c r="B407" s="13">
        <v>3559</v>
      </c>
      <c r="C407" s="16">
        <v>615672</v>
      </c>
    </row>
    <row r="408" spans="1:3" x14ac:dyDescent="0.2">
      <c r="A408">
        <v>2016</v>
      </c>
      <c r="B408" s="13">
        <v>3560</v>
      </c>
      <c r="C408" s="16">
        <v>739790</v>
      </c>
    </row>
    <row r="409" spans="1:3" x14ac:dyDescent="0.2">
      <c r="A409">
        <v>2016</v>
      </c>
      <c r="B409" s="13">
        <v>3561</v>
      </c>
      <c r="C409" s="16">
        <v>847746</v>
      </c>
    </row>
    <row r="410" spans="1:3" x14ac:dyDescent="0.2">
      <c r="A410">
        <v>2016</v>
      </c>
      <c r="B410" s="13">
        <v>3576</v>
      </c>
      <c r="C410" s="16">
        <v>317054</v>
      </c>
    </row>
    <row r="411" spans="1:3" x14ac:dyDescent="0.2">
      <c r="A411">
        <v>2016</v>
      </c>
      <c r="B411" s="13">
        <v>3577</v>
      </c>
      <c r="C411" s="16">
        <v>685573</v>
      </c>
    </row>
    <row r="412" spans="1:3" x14ac:dyDescent="0.2">
      <c r="A412">
        <v>2016</v>
      </c>
      <c r="B412" s="13">
        <v>3579</v>
      </c>
      <c r="C412" s="16">
        <v>398156</v>
      </c>
    </row>
    <row r="413" spans="1:3" x14ac:dyDescent="0.2">
      <c r="A413">
        <v>2016</v>
      </c>
      <c r="B413" s="13">
        <v>3585</v>
      </c>
      <c r="C413" s="16">
        <v>804708</v>
      </c>
    </row>
    <row r="414" spans="1:3" x14ac:dyDescent="0.2">
      <c r="A414">
        <v>2016</v>
      </c>
      <c r="B414" s="13">
        <v>3586</v>
      </c>
      <c r="C414" s="16">
        <v>936803</v>
      </c>
    </row>
    <row r="415" spans="1:3" x14ac:dyDescent="0.2">
      <c r="A415">
        <v>2016</v>
      </c>
      <c r="B415" s="13">
        <v>3589</v>
      </c>
      <c r="C415" s="16">
        <v>686194</v>
      </c>
    </row>
    <row r="416" spans="1:3" x14ac:dyDescent="0.2">
      <c r="A416">
        <v>2016</v>
      </c>
      <c r="B416" s="13">
        <v>3591</v>
      </c>
      <c r="C416" s="16">
        <v>329781</v>
      </c>
    </row>
    <row r="417" spans="1:3" x14ac:dyDescent="0.2">
      <c r="A417">
        <v>2016</v>
      </c>
      <c r="B417" s="13">
        <v>3592</v>
      </c>
      <c r="C417" s="16">
        <v>754903</v>
      </c>
    </row>
    <row r="418" spans="1:3" x14ac:dyDescent="0.2">
      <c r="A418">
        <v>2016</v>
      </c>
      <c r="B418" s="13">
        <v>3593</v>
      </c>
      <c r="C418" s="16">
        <v>1401966</v>
      </c>
    </row>
    <row r="419" spans="1:3" x14ac:dyDescent="0.2">
      <c r="A419">
        <v>2016</v>
      </c>
      <c r="B419" s="13">
        <v>3594</v>
      </c>
      <c r="C419" s="16">
        <v>332531</v>
      </c>
    </row>
    <row r="420" spans="1:3" x14ac:dyDescent="0.2">
      <c r="A420">
        <v>2016</v>
      </c>
      <c r="B420" s="13">
        <v>3626</v>
      </c>
      <c r="C420" s="16">
        <v>1530473</v>
      </c>
    </row>
    <row r="421" spans="1:3" x14ac:dyDescent="0.2">
      <c r="A421">
        <v>2016</v>
      </c>
      <c r="B421" s="13">
        <v>3629</v>
      </c>
      <c r="C421" s="16">
        <v>968881</v>
      </c>
    </row>
    <row r="422" spans="1:3" x14ac:dyDescent="0.2">
      <c r="A422">
        <v>2016</v>
      </c>
      <c r="B422" s="13">
        <v>3630</v>
      </c>
      <c r="C422" s="16">
        <v>1604117</v>
      </c>
    </row>
    <row r="423" spans="1:3" x14ac:dyDescent="0.2">
      <c r="A423">
        <v>2016</v>
      </c>
      <c r="B423" s="13">
        <v>3631</v>
      </c>
      <c r="C423" s="16">
        <v>1277993</v>
      </c>
    </row>
    <row r="424" spans="1:3" x14ac:dyDescent="0.2">
      <c r="A424">
        <v>2016</v>
      </c>
      <c r="B424" s="13">
        <v>3632</v>
      </c>
      <c r="C424" s="16">
        <v>2297552</v>
      </c>
    </row>
    <row r="425" spans="1:3" x14ac:dyDescent="0.2">
      <c r="A425">
        <v>2016</v>
      </c>
      <c r="B425" s="13">
        <v>3635</v>
      </c>
      <c r="C425" s="16">
        <v>1573669</v>
      </c>
    </row>
    <row r="426" spans="1:3" x14ac:dyDescent="0.2">
      <c r="A426">
        <v>2016</v>
      </c>
      <c r="B426" s="13">
        <v>3636</v>
      </c>
      <c r="C426" s="16">
        <v>1303645</v>
      </c>
    </row>
    <row r="427" spans="1:3" x14ac:dyDescent="0.2">
      <c r="A427">
        <v>2016</v>
      </c>
      <c r="B427" s="13">
        <v>3658</v>
      </c>
      <c r="C427" s="16">
        <v>1262765</v>
      </c>
    </row>
    <row r="428" spans="1:3" x14ac:dyDescent="0.2">
      <c r="A428">
        <v>2016</v>
      </c>
      <c r="B428" s="13">
        <v>3679</v>
      </c>
      <c r="C428" s="16">
        <v>1354930</v>
      </c>
    </row>
    <row r="429" spans="1:3" x14ac:dyDescent="0.2">
      <c r="A429">
        <v>2016</v>
      </c>
      <c r="B429" s="13">
        <v>3702</v>
      </c>
      <c r="C429" s="16">
        <v>751087</v>
      </c>
    </row>
    <row r="430" spans="1:3" x14ac:dyDescent="0.2">
      <c r="A430">
        <v>2016</v>
      </c>
      <c r="B430" s="13">
        <v>3709</v>
      </c>
      <c r="C430" s="16">
        <v>595829</v>
      </c>
    </row>
    <row r="431" spans="1:3" x14ac:dyDescent="0.2">
      <c r="A431">
        <v>2016</v>
      </c>
      <c r="B431" s="13">
        <v>3805</v>
      </c>
      <c r="C431" s="16">
        <v>475473</v>
      </c>
    </row>
    <row r="432" spans="1:3" x14ac:dyDescent="0.2">
      <c r="A432">
        <v>2016</v>
      </c>
      <c r="B432" s="13">
        <v>3821</v>
      </c>
      <c r="C432" s="16">
        <v>689290</v>
      </c>
    </row>
    <row r="433" spans="1:3" x14ac:dyDescent="0.2">
      <c r="A433">
        <v>2016</v>
      </c>
      <c r="B433" s="13">
        <v>3822</v>
      </c>
      <c r="C433" s="16">
        <v>237380</v>
      </c>
    </row>
    <row r="434" spans="1:3" x14ac:dyDescent="0.2">
      <c r="A434">
        <v>2016</v>
      </c>
      <c r="B434" s="13">
        <v>3854</v>
      </c>
      <c r="C434" s="16">
        <v>1567916</v>
      </c>
    </row>
    <row r="435" spans="1:3" x14ac:dyDescent="0.2">
      <c r="A435">
        <v>2016</v>
      </c>
      <c r="B435" s="13">
        <v>3855</v>
      </c>
      <c r="C435" s="16">
        <v>836002</v>
      </c>
    </row>
    <row r="436" spans="1:3" x14ac:dyDescent="0.2">
      <c r="A436">
        <v>2016</v>
      </c>
      <c r="B436" s="13">
        <v>3856</v>
      </c>
      <c r="C436" s="16">
        <v>161015</v>
      </c>
    </row>
    <row r="437" spans="1:3" x14ac:dyDescent="0.2">
      <c r="A437">
        <v>2016</v>
      </c>
      <c r="B437" s="13">
        <v>3857</v>
      </c>
      <c r="C437" s="16">
        <v>1591</v>
      </c>
    </row>
    <row r="438" spans="1:3" x14ac:dyDescent="0.2">
      <c r="A438">
        <v>2016</v>
      </c>
      <c r="B438" s="13">
        <v>3927</v>
      </c>
      <c r="C438" s="16">
        <v>903940</v>
      </c>
    </row>
    <row r="439" spans="1:3" x14ac:dyDescent="0.2">
      <c r="A439">
        <v>2016</v>
      </c>
      <c r="B439" s="13">
        <v>3928</v>
      </c>
      <c r="C439" s="16">
        <v>421377</v>
      </c>
    </row>
    <row r="440" spans="1:3" x14ac:dyDescent="0.2">
      <c r="A440">
        <v>2016</v>
      </c>
      <c r="B440" s="13">
        <v>3929</v>
      </c>
      <c r="C440" s="16">
        <v>836424</v>
      </c>
    </row>
    <row r="441" spans="1:3" x14ac:dyDescent="0.2">
      <c r="A441">
        <v>2016</v>
      </c>
      <c r="B441" s="13">
        <v>3930</v>
      </c>
      <c r="C441" s="16">
        <v>774694</v>
      </c>
    </row>
    <row r="442" spans="1:3" x14ac:dyDescent="0.2">
      <c r="A442">
        <v>2016</v>
      </c>
      <c r="B442" s="13">
        <v>3931</v>
      </c>
      <c r="C442" s="16">
        <v>1017551</v>
      </c>
    </row>
    <row r="443" spans="1:3" x14ac:dyDescent="0.2">
      <c r="A443">
        <v>2016</v>
      </c>
      <c r="B443" s="13">
        <v>3932</v>
      </c>
      <c r="C443" s="16">
        <v>758422</v>
      </c>
    </row>
    <row r="444" spans="1:3" x14ac:dyDescent="0.2">
      <c r="A444">
        <v>2016</v>
      </c>
      <c r="B444" s="13">
        <v>3934</v>
      </c>
      <c r="C444" s="16">
        <v>153118</v>
      </c>
    </row>
    <row r="445" spans="1:3" x14ac:dyDescent="0.2">
      <c r="A445">
        <v>2016</v>
      </c>
      <c r="B445" s="13">
        <v>3979</v>
      </c>
      <c r="C445" s="16">
        <v>531964</v>
      </c>
    </row>
    <row r="446" spans="1:3" x14ac:dyDescent="0.2">
      <c r="A446">
        <v>2016</v>
      </c>
      <c r="B446" s="13">
        <v>3980</v>
      </c>
      <c r="C446" s="16">
        <v>487845</v>
      </c>
    </row>
    <row r="447" spans="1:3" x14ac:dyDescent="0.2">
      <c r="A447">
        <v>2016</v>
      </c>
      <c r="B447" s="13">
        <v>3981</v>
      </c>
      <c r="C447" s="16">
        <v>334711</v>
      </c>
    </row>
    <row r="448" spans="1:3" x14ac:dyDescent="0.2">
      <c r="A448">
        <v>2016</v>
      </c>
      <c r="B448" s="13">
        <v>3982</v>
      </c>
      <c r="C448" s="16">
        <v>175574</v>
      </c>
    </row>
    <row r="449" spans="1:3" x14ac:dyDescent="0.2">
      <c r="A449">
        <v>2016</v>
      </c>
      <c r="B449" s="13">
        <v>3983</v>
      </c>
      <c r="C449" s="16">
        <v>380722</v>
      </c>
    </row>
    <row r="450" spans="1:3" x14ac:dyDescent="0.2">
      <c r="A450">
        <v>2016</v>
      </c>
      <c r="B450" s="13">
        <v>3986</v>
      </c>
      <c r="C450" s="16">
        <v>399334</v>
      </c>
    </row>
    <row r="451" spans="1:3" x14ac:dyDescent="0.2">
      <c r="A451">
        <v>2016</v>
      </c>
      <c r="B451" s="13">
        <v>3987</v>
      </c>
      <c r="C451" s="16">
        <v>299935</v>
      </c>
    </row>
    <row r="452" spans="1:3" x14ac:dyDescent="0.2">
      <c r="A452">
        <v>2016</v>
      </c>
      <c r="B452" s="13">
        <v>3988</v>
      </c>
      <c r="C452" s="16">
        <v>374431</v>
      </c>
    </row>
    <row r="453" spans="1:3" x14ac:dyDescent="0.2">
      <c r="A453">
        <v>2016</v>
      </c>
      <c r="B453" s="13">
        <v>3989</v>
      </c>
      <c r="C453" s="16">
        <v>281213</v>
      </c>
    </row>
    <row r="454" spans="1:3" x14ac:dyDescent="0.2">
      <c r="A454">
        <v>2016</v>
      </c>
      <c r="B454" s="13">
        <v>3990</v>
      </c>
      <c r="C454" s="16">
        <v>404095</v>
      </c>
    </row>
    <row r="455" spans="1:3" x14ac:dyDescent="0.2">
      <c r="A455">
        <v>2016</v>
      </c>
      <c r="B455" s="13">
        <v>3991</v>
      </c>
      <c r="C455" s="16">
        <v>447600</v>
      </c>
    </row>
    <row r="456" spans="1:3" x14ac:dyDescent="0.2">
      <c r="A456">
        <v>2016</v>
      </c>
      <c r="B456" s="13">
        <v>3992</v>
      </c>
      <c r="C456" s="16">
        <v>401440</v>
      </c>
    </row>
    <row r="457" spans="1:3" x14ac:dyDescent="0.2">
      <c r="A457">
        <v>2016</v>
      </c>
      <c r="B457" s="13">
        <v>3994</v>
      </c>
      <c r="C457" s="16">
        <v>739191</v>
      </c>
    </row>
    <row r="458" spans="1:3" x14ac:dyDescent="0.2">
      <c r="A458">
        <v>2016</v>
      </c>
      <c r="B458" s="13">
        <v>3995</v>
      </c>
      <c r="C458" s="16">
        <v>367538</v>
      </c>
    </row>
    <row r="459" spans="1:3" x14ac:dyDescent="0.2">
      <c r="A459">
        <v>2016</v>
      </c>
      <c r="B459" s="13">
        <v>3996</v>
      </c>
      <c r="C459" s="16">
        <v>311937</v>
      </c>
    </row>
    <row r="460" spans="1:3" x14ac:dyDescent="0.2">
      <c r="A460">
        <v>2016</v>
      </c>
      <c r="B460" s="13">
        <v>3997</v>
      </c>
      <c r="C460" s="16">
        <v>328640</v>
      </c>
    </row>
    <row r="461" spans="1:3" x14ac:dyDescent="0.2">
      <c r="A461">
        <v>2016</v>
      </c>
      <c r="B461" s="13">
        <v>3998</v>
      </c>
      <c r="C461" s="16">
        <v>309830</v>
      </c>
    </row>
    <row r="462" spans="1:3" x14ac:dyDescent="0.2">
      <c r="A462">
        <v>2016</v>
      </c>
      <c r="B462" s="13">
        <v>3999</v>
      </c>
      <c r="C462" s="16">
        <v>340567</v>
      </c>
    </row>
    <row r="463" spans="1:3" x14ac:dyDescent="0.2">
      <c r="A463">
        <v>2016</v>
      </c>
      <c r="B463" s="13">
        <v>4001</v>
      </c>
      <c r="C463" s="16">
        <v>553</v>
      </c>
    </row>
    <row r="464" spans="1:3" x14ac:dyDescent="0.2">
      <c r="A464">
        <v>2016</v>
      </c>
      <c r="B464" s="13">
        <v>4004</v>
      </c>
      <c r="C464" s="16">
        <v>186961</v>
      </c>
    </row>
    <row r="465" spans="1:3" x14ac:dyDescent="0.2">
      <c r="A465">
        <v>2016</v>
      </c>
      <c r="B465" s="13">
        <v>4007</v>
      </c>
      <c r="C465" s="16">
        <v>265884</v>
      </c>
    </row>
    <row r="466" spans="1:3" x14ac:dyDescent="0.2">
      <c r="A466">
        <v>2016</v>
      </c>
      <c r="B466" s="13">
        <v>4008</v>
      </c>
      <c r="C466" s="16">
        <v>92748</v>
      </c>
    </row>
    <row r="467" spans="1:3" x14ac:dyDescent="0.2">
      <c r="A467">
        <v>2016</v>
      </c>
      <c r="B467" s="13">
        <v>4009</v>
      </c>
      <c r="C467" s="16">
        <v>1547021</v>
      </c>
    </row>
    <row r="468" spans="1:3" x14ac:dyDescent="0.2">
      <c r="A468">
        <v>2016</v>
      </c>
      <c r="B468" s="13">
        <v>4010</v>
      </c>
      <c r="C468" s="16">
        <v>151545</v>
      </c>
    </row>
    <row r="469" spans="1:3" x14ac:dyDescent="0.2">
      <c r="A469">
        <v>2016</v>
      </c>
      <c r="B469" s="13">
        <v>4014</v>
      </c>
      <c r="C469" s="16">
        <v>727862</v>
      </c>
    </row>
    <row r="470" spans="1:3" x14ac:dyDescent="0.2">
      <c r="A470">
        <v>2016</v>
      </c>
      <c r="B470" s="13">
        <v>4015</v>
      </c>
      <c r="C470" s="16">
        <v>448002</v>
      </c>
    </row>
    <row r="471" spans="1:3" x14ac:dyDescent="0.2">
      <c r="A471">
        <v>2016</v>
      </c>
      <c r="B471" s="13">
        <v>4020</v>
      </c>
      <c r="C471" s="16">
        <v>871673</v>
      </c>
    </row>
    <row r="472" spans="1:3" x14ac:dyDescent="0.2">
      <c r="A472">
        <v>2016</v>
      </c>
      <c r="B472" s="13">
        <v>4021</v>
      </c>
      <c r="C472" s="16">
        <v>1194245</v>
      </c>
    </row>
    <row r="473" spans="1:3" x14ac:dyDescent="0.2">
      <c r="A473">
        <v>2016</v>
      </c>
      <c r="B473" s="13">
        <v>4022</v>
      </c>
      <c r="C473" s="16">
        <v>890199</v>
      </c>
    </row>
    <row r="474" spans="1:3" x14ac:dyDescent="0.2">
      <c r="A474">
        <v>2016</v>
      </c>
      <c r="B474" s="13">
        <v>4027</v>
      </c>
      <c r="C474" s="16">
        <v>872478</v>
      </c>
    </row>
    <row r="475" spans="1:3" x14ac:dyDescent="0.2">
      <c r="A475">
        <v>2016</v>
      </c>
      <c r="B475" s="13">
        <v>4028</v>
      </c>
      <c r="C475" s="16">
        <v>157919</v>
      </c>
    </row>
    <row r="476" spans="1:3" x14ac:dyDescent="0.2">
      <c r="A476">
        <v>2016</v>
      </c>
      <c r="B476" s="13">
        <v>4029</v>
      </c>
      <c r="C476" s="16">
        <v>955643</v>
      </c>
    </row>
    <row r="477" spans="1:3" x14ac:dyDescent="0.2">
      <c r="A477">
        <v>2016</v>
      </c>
      <c r="B477" s="13">
        <v>4030</v>
      </c>
      <c r="C477" s="16">
        <v>576552</v>
      </c>
    </row>
    <row r="478" spans="1:3" x14ac:dyDescent="0.2">
      <c r="A478">
        <v>2016</v>
      </c>
      <c r="B478" s="13">
        <v>4031</v>
      </c>
      <c r="C478" s="16">
        <v>505510</v>
      </c>
    </row>
    <row r="479" spans="1:3" x14ac:dyDescent="0.2">
      <c r="A479">
        <v>2016</v>
      </c>
      <c r="B479" s="13">
        <v>4034</v>
      </c>
      <c r="C479" s="16">
        <v>429094</v>
      </c>
    </row>
    <row r="480" spans="1:3" x14ac:dyDescent="0.2">
      <c r="A480">
        <v>2016</v>
      </c>
      <c r="B480" s="13">
        <v>4036</v>
      </c>
      <c r="C480" s="16">
        <v>759043</v>
      </c>
    </row>
    <row r="481" spans="1:3" x14ac:dyDescent="0.2">
      <c r="A481">
        <v>2016</v>
      </c>
      <c r="B481" s="13">
        <v>4101</v>
      </c>
      <c r="C481" s="16">
        <v>477745</v>
      </c>
    </row>
    <row r="482" spans="1:3" x14ac:dyDescent="0.2">
      <c r="A482">
        <v>2016</v>
      </c>
      <c r="B482" s="13">
        <v>4104</v>
      </c>
      <c r="C482" s="16">
        <v>403288</v>
      </c>
    </row>
    <row r="483" spans="1:3" x14ac:dyDescent="0.2">
      <c r="A483">
        <v>2016</v>
      </c>
      <c r="B483" s="13">
        <v>4124</v>
      </c>
      <c r="C483" s="16">
        <v>37194</v>
      </c>
    </row>
    <row r="484" spans="1:3" x14ac:dyDescent="0.2">
      <c r="A484">
        <v>2016</v>
      </c>
      <c r="B484" s="13">
        <v>4126</v>
      </c>
      <c r="C484" s="16">
        <v>1418188</v>
      </c>
    </row>
    <row r="485" spans="1:3" x14ac:dyDescent="0.2">
      <c r="A485">
        <v>2016</v>
      </c>
      <c r="B485" s="13">
        <v>4128</v>
      </c>
      <c r="C485" s="16">
        <v>890810</v>
      </c>
    </row>
    <row r="486" spans="1:3" x14ac:dyDescent="0.2">
      <c r="A486">
        <v>2016</v>
      </c>
      <c r="B486" s="13">
        <v>4130</v>
      </c>
      <c r="C486" s="16">
        <v>788023</v>
      </c>
    </row>
    <row r="487" spans="1:3" x14ac:dyDescent="0.2">
      <c r="A487">
        <v>2016</v>
      </c>
      <c r="B487" s="13">
        <v>4132</v>
      </c>
      <c r="C487" s="16">
        <v>371610</v>
      </c>
    </row>
    <row r="488" spans="1:3" x14ac:dyDescent="0.2">
      <c r="A488">
        <v>2016</v>
      </c>
      <c r="B488" s="13">
        <v>4134</v>
      </c>
      <c r="C488" s="16">
        <v>354052</v>
      </c>
    </row>
    <row r="489" spans="1:3" x14ac:dyDescent="0.2">
      <c r="A489">
        <v>2016</v>
      </c>
      <c r="B489" s="13">
        <v>4135</v>
      </c>
      <c r="C489" s="16">
        <v>279041</v>
      </c>
    </row>
    <row r="490" spans="1:3" x14ac:dyDescent="0.2">
      <c r="A490">
        <v>2016</v>
      </c>
      <c r="B490" s="13">
        <v>4137</v>
      </c>
      <c r="C490" s="16">
        <v>391706</v>
      </c>
    </row>
    <row r="491" spans="1:3" x14ac:dyDescent="0.2">
      <c r="A491">
        <v>2016</v>
      </c>
      <c r="B491" s="13">
        <v>4142</v>
      </c>
      <c r="C491" s="16">
        <v>1259127</v>
      </c>
    </row>
    <row r="492" spans="1:3" x14ac:dyDescent="0.2">
      <c r="A492">
        <v>2016</v>
      </c>
      <c r="B492" s="13">
        <v>4143</v>
      </c>
      <c r="C492" s="16">
        <v>1029119</v>
      </c>
    </row>
    <row r="493" spans="1:3" x14ac:dyDescent="0.2">
      <c r="A493">
        <v>2016</v>
      </c>
      <c r="B493" s="13">
        <v>4144</v>
      </c>
      <c r="C493" s="16">
        <v>623556</v>
      </c>
    </row>
    <row r="494" spans="1:3" x14ac:dyDescent="0.2">
      <c r="A494">
        <v>2016</v>
      </c>
      <c r="B494" s="13">
        <v>4149</v>
      </c>
      <c r="C494" s="16">
        <v>342595</v>
      </c>
    </row>
    <row r="495" spans="1:3" x14ac:dyDescent="0.2">
      <c r="A495">
        <v>2016</v>
      </c>
      <c r="B495" s="13">
        <v>4151</v>
      </c>
      <c r="C495" s="16">
        <v>905498</v>
      </c>
    </row>
    <row r="496" spans="1:3" x14ac:dyDescent="0.2">
      <c r="A496">
        <v>2016</v>
      </c>
      <c r="B496" s="13">
        <v>4152</v>
      </c>
      <c r="C496" s="16">
        <v>806169</v>
      </c>
    </row>
    <row r="497" spans="1:3" x14ac:dyDescent="0.2">
      <c r="A497">
        <v>2016</v>
      </c>
      <c r="B497" s="13">
        <v>4153</v>
      </c>
      <c r="C497" s="16">
        <v>898133</v>
      </c>
    </row>
    <row r="498" spans="1:3" x14ac:dyDescent="0.2">
      <c r="A498">
        <v>2016</v>
      </c>
      <c r="B498" s="13">
        <v>4154</v>
      </c>
      <c r="C498" s="16">
        <v>466177</v>
      </c>
    </row>
    <row r="499" spans="1:3" x14ac:dyDescent="0.2">
      <c r="A499">
        <v>2016</v>
      </c>
      <c r="B499" s="13">
        <v>4155</v>
      </c>
      <c r="C499" s="16">
        <v>686137</v>
      </c>
    </row>
    <row r="500" spans="1:3" x14ac:dyDescent="0.2">
      <c r="A500">
        <v>2016</v>
      </c>
      <c r="B500" s="13">
        <v>4178</v>
      </c>
      <c r="C500" s="16">
        <v>662861</v>
      </c>
    </row>
    <row r="501" spans="1:3" x14ac:dyDescent="0.2">
      <c r="A501">
        <v>2016</v>
      </c>
      <c r="B501" s="13">
        <v>4180</v>
      </c>
      <c r="C501" s="16">
        <v>1349167</v>
      </c>
    </row>
    <row r="502" spans="1:3" x14ac:dyDescent="0.2">
      <c r="A502">
        <v>2016</v>
      </c>
      <c r="B502" s="13">
        <v>4183</v>
      </c>
      <c r="C502" s="16">
        <v>863934</v>
      </c>
    </row>
    <row r="503" spans="1:3" x14ac:dyDescent="0.2">
      <c r="A503">
        <v>2016</v>
      </c>
      <c r="B503" s="13">
        <v>4184</v>
      </c>
      <c r="C503" s="16">
        <v>829129</v>
      </c>
    </row>
    <row r="504" spans="1:3" x14ac:dyDescent="0.2">
      <c r="A504">
        <v>2016</v>
      </c>
      <c r="B504" s="13">
        <v>4202</v>
      </c>
      <c r="C504" s="16">
        <v>564014</v>
      </c>
    </row>
    <row r="505" spans="1:3" x14ac:dyDescent="0.2">
      <c r="A505">
        <v>2016</v>
      </c>
      <c r="B505" s="13">
        <v>4203</v>
      </c>
      <c r="C505" s="16">
        <v>548033</v>
      </c>
    </row>
    <row r="506" spans="1:3" x14ac:dyDescent="0.2">
      <c r="A506">
        <v>2016</v>
      </c>
      <c r="B506" s="13">
        <v>4205</v>
      </c>
      <c r="C506" s="16">
        <v>398138</v>
      </c>
    </row>
    <row r="507" spans="1:3" x14ac:dyDescent="0.2">
      <c r="A507">
        <v>2016</v>
      </c>
      <c r="B507" s="13">
        <v>4206</v>
      </c>
      <c r="C507" s="16">
        <v>388000</v>
      </c>
    </row>
    <row r="508" spans="1:3" x14ac:dyDescent="0.2">
      <c r="A508">
        <v>2016</v>
      </c>
      <c r="B508" s="13">
        <v>4208</v>
      </c>
      <c r="C508" s="16">
        <v>2020726</v>
      </c>
    </row>
    <row r="509" spans="1:3" x14ac:dyDescent="0.2">
      <c r="A509">
        <v>2016</v>
      </c>
      <c r="B509" s="13">
        <v>4258</v>
      </c>
      <c r="C509" s="16">
        <v>656458</v>
      </c>
    </row>
    <row r="510" spans="1:3" x14ac:dyDescent="0.2">
      <c r="A510">
        <v>2016</v>
      </c>
      <c r="B510" s="13">
        <v>4259</v>
      </c>
      <c r="C510" s="16">
        <v>666541</v>
      </c>
    </row>
    <row r="511" spans="1:3" x14ac:dyDescent="0.2">
      <c r="A511">
        <v>2016</v>
      </c>
      <c r="B511" s="13">
        <v>4260</v>
      </c>
      <c r="C511" s="16">
        <v>1064805</v>
      </c>
    </row>
    <row r="512" spans="1:3" x14ac:dyDescent="0.2">
      <c r="A512">
        <v>2016</v>
      </c>
      <c r="B512" s="13">
        <v>4301</v>
      </c>
      <c r="C512" s="16">
        <v>2075631</v>
      </c>
    </row>
    <row r="513" spans="1:3" x14ac:dyDescent="0.2">
      <c r="A513">
        <v>2016</v>
      </c>
      <c r="B513" s="13">
        <v>4351</v>
      </c>
      <c r="C513" s="16">
        <v>3023557</v>
      </c>
    </row>
    <row r="514" spans="1:3" x14ac:dyDescent="0.2">
      <c r="A514">
        <v>2016</v>
      </c>
      <c r="B514" s="13">
        <v>4353</v>
      </c>
      <c r="C514" s="16">
        <v>1778318</v>
      </c>
    </row>
    <row r="515" spans="1:3" x14ac:dyDescent="0.2">
      <c r="A515">
        <v>2016</v>
      </c>
      <c r="B515" s="13">
        <v>4355</v>
      </c>
      <c r="C515" s="16">
        <v>2875240</v>
      </c>
    </row>
    <row r="516" spans="1:3" x14ac:dyDescent="0.2">
      <c r="A516">
        <v>2016</v>
      </c>
      <c r="B516" s="13">
        <v>4356</v>
      </c>
      <c r="C516" s="16">
        <v>4700900</v>
      </c>
    </row>
    <row r="517" spans="1:3" x14ac:dyDescent="0.2">
      <c r="A517">
        <v>2016</v>
      </c>
      <c r="B517" s="13">
        <v>4357</v>
      </c>
      <c r="C517" s="16">
        <v>2228707</v>
      </c>
    </row>
    <row r="518" spans="1:3" x14ac:dyDescent="0.2">
      <c r="A518">
        <v>2016</v>
      </c>
      <c r="B518" s="13">
        <v>4358</v>
      </c>
      <c r="C518" s="16">
        <v>1642487</v>
      </c>
    </row>
    <row r="519" spans="1:3" x14ac:dyDescent="0.2">
      <c r="A519">
        <v>2016</v>
      </c>
      <c r="B519" s="13">
        <v>4360</v>
      </c>
      <c r="C519" s="16">
        <v>1754726</v>
      </c>
    </row>
    <row r="520" spans="1:3" x14ac:dyDescent="0.2">
      <c r="A520">
        <v>2016</v>
      </c>
      <c r="B520" s="13">
        <v>4361</v>
      </c>
      <c r="C520" s="16">
        <v>2976288</v>
      </c>
    </row>
    <row r="521" spans="1:3" x14ac:dyDescent="0.2">
      <c r="A521">
        <v>2016</v>
      </c>
      <c r="B521" s="13">
        <v>4363</v>
      </c>
      <c r="C521" s="16">
        <v>1774949</v>
      </c>
    </row>
    <row r="522" spans="1:3" x14ac:dyDescent="0.2">
      <c r="A522">
        <v>2016</v>
      </c>
      <c r="B522" s="13">
        <v>4364</v>
      </c>
      <c r="C522" s="16">
        <v>1955148</v>
      </c>
    </row>
    <row r="523" spans="1:3" x14ac:dyDescent="0.2">
      <c r="A523">
        <v>2016</v>
      </c>
      <c r="B523" s="13">
        <v>4365</v>
      </c>
      <c r="C523" s="16">
        <v>1422586</v>
      </c>
    </row>
    <row r="524" spans="1:3" x14ac:dyDescent="0.2">
      <c r="A524">
        <v>2016</v>
      </c>
      <c r="B524" s="13">
        <v>4366</v>
      </c>
      <c r="C524" s="16">
        <v>6561794</v>
      </c>
    </row>
    <row r="525" spans="1:3" x14ac:dyDescent="0.2">
      <c r="A525">
        <v>2016</v>
      </c>
      <c r="B525" s="13">
        <v>4367</v>
      </c>
      <c r="C525" s="16">
        <v>10846792</v>
      </c>
    </row>
    <row r="526" spans="1:3" x14ac:dyDescent="0.2">
      <c r="A526">
        <v>2016</v>
      </c>
      <c r="B526" s="13">
        <v>4368</v>
      </c>
      <c r="C526" s="16">
        <v>8386631</v>
      </c>
    </row>
    <row r="527" spans="1:3" x14ac:dyDescent="0.2">
      <c r="A527">
        <v>2016</v>
      </c>
      <c r="B527" s="13">
        <v>4428</v>
      </c>
      <c r="C527" s="16">
        <v>480554</v>
      </c>
    </row>
    <row r="528" spans="1:3" x14ac:dyDescent="0.2">
      <c r="A528">
        <v>2016</v>
      </c>
      <c r="B528" s="13">
        <v>4430</v>
      </c>
      <c r="C528" s="16">
        <v>584899</v>
      </c>
    </row>
    <row r="529" spans="1:3" x14ac:dyDescent="0.2">
      <c r="A529">
        <v>2016</v>
      </c>
      <c r="B529" s="13">
        <v>4434</v>
      </c>
      <c r="C529" s="16">
        <v>217231</v>
      </c>
    </row>
    <row r="530" spans="1:3" x14ac:dyDescent="0.2">
      <c r="A530">
        <v>2016</v>
      </c>
      <c r="B530" s="13">
        <v>4437</v>
      </c>
      <c r="C530" s="16">
        <v>824936</v>
      </c>
    </row>
    <row r="531" spans="1:3" x14ac:dyDescent="0.2">
      <c r="A531">
        <v>2016</v>
      </c>
      <c r="B531" s="13">
        <v>4438</v>
      </c>
      <c r="C531" s="16">
        <v>636780</v>
      </c>
    </row>
    <row r="532" spans="1:3" x14ac:dyDescent="0.2">
      <c r="A532">
        <v>2016</v>
      </c>
      <c r="B532" s="13">
        <v>4439</v>
      </c>
      <c r="C532" s="16">
        <v>823869</v>
      </c>
    </row>
    <row r="533" spans="1:3" x14ac:dyDescent="0.2">
      <c r="A533">
        <v>2016</v>
      </c>
      <c r="B533" s="13">
        <v>4504</v>
      </c>
      <c r="C533" s="16">
        <v>530536</v>
      </c>
    </row>
    <row r="534" spans="1:3" x14ac:dyDescent="0.2">
      <c r="A534">
        <v>2016</v>
      </c>
      <c r="B534" s="13">
        <v>4531</v>
      </c>
      <c r="C534" s="16">
        <v>784801</v>
      </c>
    </row>
    <row r="535" spans="1:3" x14ac:dyDescent="0.2">
      <c r="A535">
        <v>2016</v>
      </c>
      <c r="B535" s="13">
        <v>4532</v>
      </c>
      <c r="C535" s="16">
        <v>1086957</v>
      </c>
    </row>
    <row r="536" spans="1:3" x14ac:dyDescent="0.2">
      <c r="A536">
        <v>2016</v>
      </c>
      <c r="B536" s="13">
        <v>4533</v>
      </c>
      <c r="C536" s="16">
        <v>844094</v>
      </c>
    </row>
    <row r="537" spans="1:3" x14ac:dyDescent="0.2">
      <c r="A537">
        <v>2016</v>
      </c>
      <c r="B537" s="13">
        <v>4534</v>
      </c>
      <c r="C537" s="16">
        <v>843644</v>
      </c>
    </row>
    <row r="538" spans="1:3" x14ac:dyDescent="0.2">
      <c r="A538">
        <v>2016</v>
      </c>
      <c r="B538" s="13">
        <v>4557</v>
      </c>
      <c r="C538" s="16">
        <v>420700</v>
      </c>
    </row>
    <row r="539" spans="1:3" x14ac:dyDescent="0.2">
      <c r="A539">
        <v>2016</v>
      </c>
      <c r="B539" s="13">
        <v>4582</v>
      </c>
      <c r="C539" s="16">
        <v>940455</v>
      </c>
    </row>
    <row r="540" spans="1:3" x14ac:dyDescent="0.2">
      <c r="A540">
        <v>2016</v>
      </c>
      <c r="B540" s="13">
        <v>4583</v>
      </c>
      <c r="C540" s="16">
        <v>662931</v>
      </c>
    </row>
    <row r="541" spans="1:3" x14ac:dyDescent="0.2">
      <c r="A541">
        <v>2016</v>
      </c>
      <c r="B541" s="13">
        <v>4586</v>
      </c>
      <c r="C541" s="16">
        <v>809663</v>
      </c>
    </row>
    <row r="542" spans="1:3" x14ac:dyDescent="0.2">
      <c r="A542">
        <v>2016</v>
      </c>
      <c r="B542" s="13">
        <v>4588</v>
      </c>
      <c r="C542" s="16">
        <v>710835</v>
      </c>
    </row>
    <row r="543" spans="1:3" x14ac:dyDescent="0.2">
      <c r="A543">
        <v>2016</v>
      </c>
      <c r="B543" s="13">
        <v>4590</v>
      </c>
      <c r="C543" s="16">
        <v>729313</v>
      </c>
    </row>
    <row r="544" spans="1:3" x14ac:dyDescent="0.2">
      <c r="A544">
        <v>2016</v>
      </c>
      <c r="B544" s="13">
        <v>4592</v>
      </c>
      <c r="C544" s="16">
        <v>414309</v>
      </c>
    </row>
    <row r="545" spans="1:3" x14ac:dyDescent="0.2">
      <c r="A545">
        <v>2016</v>
      </c>
      <c r="B545" s="13">
        <v>4593</v>
      </c>
      <c r="C545" s="16">
        <v>841657</v>
      </c>
    </row>
    <row r="546" spans="1:3" x14ac:dyDescent="0.2">
      <c r="A546">
        <v>2016</v>
      </c>
      <c r="B546" s="13">
        <v>4594</v>
      </c>
      <c r="C546" s="16">
        <v>777390</v>
      </c>
    </row>
    <row r="547" spans="1:3" x14ac:dyDescent="0.2">
      <c r="A547">
        <v>2016</v>
      </c>
      <c r="B547" s="13">
        <v>4595</v>
      </c>
      <c r="C547" s="16">
        <v>876056</v>
      </c>
    </row>
    <row r="548" spans="1:3" x14ac:dyDescent="0.2">
      <c r="A548">
        <v>2016</v>
      </c>
      <c r="B548" s="13">
        <v>4596</v>
      </c>
      <c r="C548" s="16">
        <v>688121</v>
      </c>
    </row>
    <row r="549" spans="1:3" x14ac:dyDescent="0.2">
      <c r="A549">
        <v>2016</v>
      </c>
      <c r="B549" s="13">
        <v>4597</v>
      </c>
      <c r="C549" s="16">
        <v>1041723</v>
      </c>
    </row>
    <row r="550" spans="1:3" x14ac:dyDescent="0.2">
      <c r="A550">
        <v>2016</v>
      </c>
      <c r="B550" s="13">
        <v>4598</v>
      </c>
      <c r="C550" s="16">
        <v>940195</v>
      </c>
    </row>
    <row r="551" spans="1:3" x14ac:dyDescent="0.2">
      <c r="A551">
        <v>2016</v>
      </c>
      <c r="B551" s="13">
        <v>4604</v>
      </c>
      <c r="C551" s="16">
        <v>1205572</v>
      </c>
    </row>
    <row r="552" spans="1:3" x14ac:dyDescent="0.2">
      <c r="A552">
        <v>2016</v>
      </c>
      <c r="B552" s="13">
        <v>4617</v>
      </c>
      <c r="C552" s="16">
        <v>534344</v>
      </c>
    </row>
    <row r="553" spans="1:3" x14ac:dyDescent="0.2">
      <c r="A553">
        <v>2016</v>
      </c>
      <c r="B553" s="13">
        <v>4620</v>
      </c>
      <c r="C553" s="16">
        <v>847932</v>
      </c>
    </row>
    <row r="554" spans="1:3" x14ac:dyDescent="0.2">
      <c r="A554">
        <v>2016</v>
      </c>
      <c r="B554" s="13">
        <v>4651</v>
      </c>
      <c r="C554" s="16">
        <v>1073098</v>
      </c>
    </row>
    <row r="555" spans="1:3" x14ac:dyDescent="0.2">
      <c r="A555">
        <v>2016</v>
      </c>
      <c r="B555" s="13">
        <v>4653</v>
      </c>
      <c r="C555" s="16">
        <v>3281237</v>
      </c>
    </row>
    <row r="556" spans="1:3" x14ac:dyDescent="0.2">
      <c r="A556">
        <v>2016</v>
      </c>
      <c r="B556" s="13">
        <v>4654</v>
      </c>
      <c r="C556" s="16">
        <v>3759290</v>
      </c>
    </row>
    <row r="557" spans="1:3" x14ac:dyDescent="0.2">
      <c r="A557">
        <v>2016</v>
      </c>
      <c r="B557" s="13">
        <v>4662</v>
      </c>
      <c r="C557" s="16">
        <v>750095</v>
      </c>
    </row>
    <row r="558" spans="1:3" x14ac:dyDescent="0.2">
      <c r="A558">
        <v>2016</v>
      </c>
      <c r="B558" s="13">
        <v>4663</v>
      </c>
      <c r="C558" s="16">
        <v>1014767</v>
      </c>
    </row>
    <row r="559" spans="1:3" x14ac:dyDescent="0.2">
      <c r="A559">
        <v>2016</v>
      </c>
      <c r="B559" s="13">
        <v>4679</v>
      </c>
      <c r="C559" s="16">
        <v>866063</v>
      </c>
    </row>
    <row r="560" spans="1:3" x14ac:dyDescent="0.2">
      <c r="A560">
        <v>2016</v>
      </c>
      <c r="B560" s="13">
        <v>4680</v>
      </c>
      <c r="C560" s="16">
        <v>609563</v>
      </c>
    </row>
    <row r="561" spans="1:3" x14ac:dyDescent="0.2">
      <c r="A561">
        <v>2016</v>
      </c>
      <c r="B561" s="13">
        <v>4701</v>
      </c>
      <c r="C561" s="16">
        <v>1159250</v>
      </c>
    </row>
    <row r="562" spans="1:3" x14ac:dyDescent="0.2">
      <c r="A562">
        <v>2016</v>
      </c>
      <c r="B562" s="13">
        <v>4703</v>
      </c>
      <c r="C562" s="16">
        <v>1031141</v>
      </c>
    </row>
    <row r="563" spans="1:3" x14ac:dyDescent="0.2">
      <c r="A563">
        <v>2016</v>
      </c>
      <c r="B563" s="13">
        <v>4704</v>
      </c>
      <c r="C563" s="16">
        <v>933782</v>
      </c>
    </row>
    <row r="564" spans="1:3" x14ac:dyDescent="0.2">
      <c r="A564">
        <v>2016</v>
      </c>
      <c r="B564" s="13">
        <v>4705</v>
      </c>
      <c r="C564" s="16">
        <v>1258081</v>
      </c>
    </row>
    <row r="565" spans="1:3" x14ac:dyDescent="0.2">
      <c r="A565">
        <v>2016</v>
      </c>
      <c r="B565" s="13">
        <v>4854</v>
      </c>
      <c r="C565" s="16">
        <v>1151705</v>
      </c>
    </row>
    <row r="566" spans="1:3" x14ac:dyDescent="0.2">
      <c r="A566">
        <v>2016</v>
      </c>
      <c r="B566" s="13">
        <v>4855</v>
      </c>
      <c r="C566" s="16">
        <v>408866</v>
      </c>
    </row>
    <row r="567" spans="1:3" x14ac:dyDescent="0.2">
      <c r="A567">
        <v>2016</v>
      </c>
      <c r="B567" s="13">
        <v>4857</v>
      </c>
      <c r="C567" s="16">
        <v>2313748</v>
      </c>
    </row>
    <row r="568" spans="1:3" x14ac:dyDescent="0.2">
      <c r="A568">
        <v>2016</v>
      </c>
      <c r="B568" s="13">
        <v>4862</v>
      </c>
      <c r="C568" s="16">
        <v>2245926</v>
      </c>
    </row>
    <row r="569" spans="1:3" x14ac:dyDescent="0.2">
      <c r="A569">
        <v>2016</v>
      </c>
      <c r="B569" s="13">
        <v>4863</v>
      </c>
      <c r="C569" s="16">
        <v>2735253</v>
      </c>
    </row>
    <row r="570" spans="1:3" x14ac:dyDescent="0.2">
      <c r="A570">
        <v>2016</v>
      </c>
      <c r="B570" s="13">
        <v>4877</v>
      </c>
      <c r="C570" s="16">
        <v>1102969</v>
      </c>
    </row>
    <row r="571" spans="1:3" x14ac:dyDescent="0.2">
      <c r="A571">
        <v>2016</v>
      </c>
      <c r="B571" s="13">
        <v>4879</v>
      </c>
      <c r="C571" s="16">
        <v>837129</v>
      </c>
    </row>
    <row r="572" spans="1:3" x14ac:dyDescent="0.2">
      <c r="A572">
        <v>2016</v>
      </c>
      <c r="B572" s="13">
        <v>4883</v>
      </c>
      <c r="C572" s="16">
        <v>35194</v>
      </c>
    </row>
    <row r="573" spans="1:3" x14ac:dyDescent="0.2">
      <c r="A573">
        <v>2016</v>
      </c>
      <c r="B573" s="13">
        <v>4884</v>
      </c>
      <c r="C573" s="16">
        <v>353679</v>
      </c>
    </row>
    <row r="574" spans="1:3" x14ac:dyDescent="0.2">
      <c r="A574">
        <v>2016</v>
      </c>
      <c r="B574" s="13">
        <v>4885</v>
      </c>
      <c r="C574" s="16">
        <v>986123</v>
      </c>
    </row>
    <row r="575" spans="1:3" x14ac:dyDescent="0.2">
      <c r="A575">
        <v>2016</v>
      </c>
      <c r="B575" s="13">
        <v>4890</v>
      </c>
      <c r="C575" s="16">
        <v>1476556</v>
      </c>
    </row>
    <row r="576" spans="1:3" x14ac:dyDescent="0.2">
      <c r="A576">
        <v>2016</v>
      </c>
      <c r="B576" s="13">
        <v>4892</v>
      </c>
      <c r="C576" s="16">
        <v>1348372</v>
      </c>
    </row>
    <row r="577" spans="1:3" x14ac:dyDescent="0.2">
      <c r="A577">
        <v>2016</v>
      </c>
      <c r="B577" s="13">
        <v>4894</v>
      </c>
      <c r="C577" s="16">
        <v>1392691</v>
      </c>
    </row>
    <row r="578" spans="1:3" x14ac:dyDescent="0.2">
      <c r="A578">
        <v>2016</v>
      </c>
      <c r="B578" s="13">
        <v>4901</v>
      </c>
      <c r="C578" s="16">
        <v>891345</v>
      </c>
    </row>
    <row r="579" spans="1:3" x14ac:dyDescent="0.2">
      <c r="A579">
        <v>2016</v>
      </c>
      <c r="B579" s="13">
        <v>4905</v>
      </c>
      <c r="C579" s="16">
        <v>437600</v>
      </c>
    </row>
    <row r="580" spans="1:3" x14ac:dyDescent="0.2">
      <c r="A580">
        <v>2016</v>
      </c>
      <c r="B580" s="13">
        <v>4906</v>
      </c>
      <c r="C580" s="16">
        <v>1217588</v>
      </c>
    </row>
    <row r="581" spans="1:3" x14ac:dyDescent="0.2">
      <c r="A581">
        <v>2016</v>
      </c>
      <c r="B581" s="13">
        <v>4907</v>
      </c>
      <c r="C581" s="16">
        <v>1882574</v>
      </c>
    </row>
    <row r="582" spans="1:3" x14ac:dyDescent="0.2">
      <c r="A582">
        <v>2016</v>
      </c>
      <c r="B582" s="13">
        <v>4908</v>
      </c>
      <c r="C582" s="16">
        <v>529038</v>
      </c>
    </row>
    <row r="583" spans="1:3" x14ac:dyDescent="0.2">
      <c r="A583">
        <v>2016</v>
      </c>
      <c r="B583" s="13">
        <v>4909</v>
      </c>
      <c r="C583" s="16">
        <v>1407993</v>
      </c>
    </row>
    <row r="584" spans="1:3" x14ac:dyDescent="0.2">
      <c r="A584">
        <v>2016</v>
      </c>
      <c r="B584" s="13">
        <v>4910</v>
      </c>
      <c r="C584" s="16">
        <v>674454</v>
      </c>
    </row>
    <row r="585" spans="1:3" x14ac:dyDescent="0.2">
      <c r="A585">
        <v>2016</v>
      </c>
      <c r="B585" s="13">
        <v>4976</v>
      </c>
      <c r="C585" s="16">
        <v>322239</v>
      </c>
    </row>
    <row r="586" spans="1:3" x14ac:dyDescent="0.2">
      <c r="A586">
        <v>2016</v>
      </c>
      <c r="B586" s="13">
        <v>4978</v>
      </c>
      <c r="C586" s="16">
        <v>340643</v>
      </c>
    </row>
    <row r="587" spans="1:3" x14ac:dyDescent="0.2">
      <c r="A587">
        <v>2016</v>
      </c>
      <c r="B587" s="13">
        <v>4979</v>
      </c>
      <c r="C587" s="16">
        <v>513901</v>
      </c>
    </row>
    <row r="588" spans="1:3" x14ac:dyDescent="0.2">
      <c r="A588">
        <v>2016</v>
      </c>
      <c r="B588" s="13">
        <v>4980</v>
      </c>
      <c r="C588" s="16">
        <v>255915</v>
      </c>
    </row>
    <row r="589" spans="1:3" x14ac:dyDescent="0.2">
      <c r="A589">
        <v>2016</v>
      </c>
      <c r="B589" s="13">
        <v>4981</v>
      </c>
      <c r="C589" s="16">
        <v>310492</v>
      </c>
    </row>
    <row r="590" spans="1:3" x14ac:dyDescent="0.2">
      <c r="A590">
        <v>2016</v>
      </c>
      <c r="B590" s="13">
        <v>4982</v>
      </c>
      <c r="C590" s="16">
        <v>456358</v>
      </c>
    </row>
    <row r="591" spans="1:3" x14ac:dyDescent="0.2">
      <c r="A591">
        <v>2016</v>
      </c>
      <c r="B591" s="13">
        <v>4983</v>
      </c>
      <c r="C591" s="16">
        <v>341195</v>
      </c>
    </row>
    <row r="592" spans="1:3" x14ac:dyDescent="0.2">
      <c r="A592">
        <v>2016</v>
      </c>
      <c r="B592" s="13">
        <v>5001</v>
      </c>
      <c r="C592" s="16">
        <v>713770</v>
      </c>
    </row>
    <row r="593" spans="1:3" x14ac:dyDescent="0.2">
      <c r="A593">
        <v>2016</v>
      </c>
      <c r="B593" s="13">
        <v>5002</v>
      </c>
      <c r="C593" s="16">
        <v>388298</v>
      </c>
    </row>
    <row r="594" spans="1:3" x14ac:dyDescent="0.2">
      <c r="A594">
        <v>2016</v>
      </c>
      <c r="B594" s="13">
        <v>5003</v>
      </c>
      <c r="C594" s="16">
        <v>568677</v>
      </c>
    </row>
    <row r="595" spans="1:3" x14ac:dyDescent="0.2">
      <c r="A595">
        <v>2016</v>
      </c>
      <c r="B595" s="13">
        <v>5026</v>
      </c>
      <c r="C595" s="16">
        <v>400737</v>
      </c>
    </row>
    <row r="596" spans="1:3" x14ac:dyDescent="0.2">
      <c r="A596">
        <v>2016</v>
      </c>
      <c r="B596" s="13">
        <v>5027</v>
      </c>
      <c r="C596" s="16">
        <v>902245</v>
      </c>
    </row>
    <row r="597" spans="1:3" x14ac:dyDescent="0.2">
      <c r="A597">
        <v>2016</v>
      </c>
      <c r="B597" s="13">
        <v>5028</v>
      </c>
      <c r="C597" s="16">
        <v>395688</v>
      </c>
    </row>
    <row r="598" spans="1:3" x14ac:dyDescent="0.2">
      <c r="A598">
        <v>2016</v>
      </c>
      <c r="B598" s="13">
        <v>5076</v>
      </c>
      <c r="C598" s="16">
        <v>1073388</v>
      </c>
    </row>
    <row r="599" spans="1:3" x14ac:dyDescent="0.2">
      <c r="A599">
        <v>2016</v>
      </c>
      <c r="B599" s="13">
        <v>5078</v>
      </c>
      <c r="C599" s="16">
        <v>849377</v>
      </c>
    </row>
    <row r="600" spans="1:3" x14ac:dyDescent="0.2">
      <c r="A600">
        <v>2016</v>
      </c>
      <c r="B600" s="13">
        <v>5102</v>
      </c>
      <c r="C600" s="16">
        <v>2700319</v>
      </c>
    </row>
    <row r="601" spans="1:3" x14ac:dyDescent="0.2">
      <c r="A601">
        <v>2016</v>
      </c>
      <c r="B601" s="13">
        <v>5103</v>
      </c>
      <c r="C601" s="16">
        <v>1435955</v>
      </c>
    </row>
    <row r="602" spans="1:3" x14ac:dyDescent="0.2">
      <c r="A602">
        <v>2016</v>
      </c>
      <c r="B602" s="13">
        <v>5107</v>
      </c>
      <c r="C602" s="16">
        <v>959396</v>
      </c>
    </row>
    <row r="603" spans="1:3" x14ac:dyDescent="0.2">
      <c r="A603">
        <v>2016</v>
      </c>
      <c r="B603" s="13">
        <v>5108</v>
      </c>
      <c r="C603" s="16">
        <v>843136</v>
      </c>
    </row>
    <row r="604" spans="1:3" x14ac:dyDescent="0.2">
      <c r="A604">
        <v>2016</v>
      </c>
      <c r="B604" s="13">
        <v>5251</v>
      </c>
      <c r="C604" s="16">
        <v>599753</v>
      </c>
    </row>
    <row r="605" spans="1:3" x14ac:dyDescent="0.2">
      <c r="A605">
        <v>2016</v>
      </c>
      <c r="B605" s="13">
        <v>5253</v>
      </c>
      <c r="C605" s="16">
        <v>885387</v>
      </c>
    </row>
    <row r="606" spans="1:3" x14ac:dyDescent="0.2">
      <c r="A606">
        <v>2016</v>
      </c>
      <c r="B606" s="13">
        <v>5276</v>
      </c>
      <c r="C606" s="16">
        <v>1115000</v>
      </c>
    </row>
    <row r="607" spans="1:3" x14ac:dyDescent="0.2">
      <c r="A607">
        <v>2016</v>
      </c>
      <c r="B607" s="13">
        <v>5281</v>
      </c>
      <c r="C607" s="16">
        <v>411912</v>
      </c>
    </row>
    <row r="608" spans="1:3" x14ac:dyDescent="0.2">
      <c r="A608">
        <v>2016</v>
      </c>
      <c r="B608" s="13">
        <v>5282</v>
      </c>
      <c r="C608" s="16">
        <v>456590</v>
      </c>
    </row>
    <row r="609" spans="1:3" x14ac:dyDescent="0.2">
      <c r="A609">
        <v>2016</v>
      </c>
      <c r="B609" s="13">
        <v>5301</v>
      </c>
      <c r="C609" s="16">
        <v>480694</v>
      </c>
    </row>
    <row r="610" spans="1:3" x14ac:dyDescent="0.2">
      <c r="A610">
        <v>2016</v>
      </c>
      <c r="B610" s="13">
        <v>5303</v>
      </c>
      <c r="C610" s="16">
        <v>290936</v>
      </c>
    </row>
    <row r="611" spans="1:3" x14ac:dyDescent="0.2">
      <c r="A611">
        <v>2016</v>
      </c>
      <c r="B611" s="13">
        <v>5305</v>
      </c>
      <c r="C611" s="16">
        <v>345395</v>
      </c>
    </row>
    <row r="612" spans="1:3" x14ac:dyDescent="0.2">
      <c r="A612">
        <v>2016</v>
      </c>
      <c r="B612" s="13">
        <v>5306</v>
      </c>
      <c r="C612" s="16">
        <v>583409</v>
      </c>
    </row>
    <row r="613" spans="1:3" x14ac:dyDescent="0.2">
      <c r="A613">
        <v>2016</v>
      </c>
      <c r="B613" s="13">
        <v>5307</v>
      </c>
      <c r="C613" s="16">
        <v>783062</v>
      </c>
    </row>
    <row r="614" spans="1:3" x14ac:dyDescent="0.2">
      <c r="A614">
        <v>2016</v>
      </c>
      <c r="B614" s="13">
        <v>5308</v>
      </c>
      <c r="C614" s="16">
        <v>563381</v>
      </c>
    </row>
    <row r="615" spans="1:3" x14ac:dyDescent="0.2">
      <c r="A615">
        <v>2016</v>
      </c>
      <c r="B615" s="13">
        <v>5309</v>
      </c>
      <c r="C615" s="16">
        <v>250158</v>
      </c>
    </row>
    <row r="616" spans="1:3" x14ac:dyDescent="0.2">
      <c r="A616">
        <v>2016</v>
      </c>
      <c r="B616" s="13">
        <v>5351</v>
      </c>
      <c r="C616" s="16">
        <v>3441887</v>
      </c>
    </row>
    <row r="617" spans="1:3" x14ac:dyDescent="0.2">
      <c r="A617">
        <v>2016</v>
      </c>
      <c r="B617" s="13">
        <v>5352</v>
      </c>
      <c r="C617" s="16">
        <v>35253</v>
      </c>
    </row>
    <row r="618" spans="1:3" x14ac:dyDescent="0.2">
      <c r="A618">
        <v>2016</v>
      </c>
      <c r="B618" s="13">
        <v>5353</v>
      </c>
      <c r="C618" s="16">
        <v>375291</v>
      </c>
    </row>
    <row r="619" spans="1:3" x14ac:dyDescent="0.2">
      <c r="A619">
        <v>2016</v>
      </c>
      <c r="B619" s="13">
        <v>5354</v>
      </c>
      <c r="C619" s="16">
        <v>1060017</v>
      </c>
    </row>
    <row r="620" spans="1:3" x14ac:dyDescent="0.2">
      <c r="A620">
        <v>2016</v>
      </c>
      <c r="B620" s="13">
        <v>5355</v>
      </c>
      <c r="C620" s="16">
        <v>2139191</v>
      </c>
    </row>
    <row r="621" spans="1:3" x14ac:dyDescent="0.2">
      <c r="A621">
        <v>2016</v>
      </c>
      <c r="B621" s="13">
        <v>5356</v>
      </c>
      <c r="C621" s="16">
        <v>708106</v>
      </c>
    </row>
    <row r="622" spans="1:3" x14ac:dyDescent="0.2">
      <c r="A622">
        <v>2016</v>
      </c>
      <c r="B622" s="13">
        <v>5357</v>
      </c>
      <c r="C622" s="16">
        <v>3088193</v>
      </c>
    </row>
    <row r="623" spans="1:3" x14ac:dyDescent="0.2">
      <c r="A623">
        <v>2016</v>
      </c>
      <c r="B623" s="13">
        <v>5358</v>
      </c>
      <c r="C623" s="16">
        <v>6388816</v>
      </c>
    </row>
    <row r="624" spans="1:3" x14ac:dyDescent="0.2">
      <c r="A624">
        <v>2016</v>
      </c>
      <c r="B624" s="13">
        <v>5359</v>
      </c>
      <c r="C624" s="16">
        <v>585379</v>
      </c>
    </row>
    <row r="625" spans="1:3" x14ac:dyDescent="0.2">
      <c r="A625">
        <v>2016</v>
      </c>
      <c r="B625" s="13">
        <v>5360</v>
      </c>
      <c r="C625" s="16">
        <v>412731</v>
      </c>
    </row>
    <row r="626" spans="1:3" x14ac:dyDescent="0.2">
      <c r="A626">
        <v>2016</v>
      </c>
      <c r="B626" s="13">
        <v>5361</v>
      </c>
      <c r="C626" s="16">
        <v>3033364</v>
      </c>
    </row>
    <row r="627" spans="1:3" x14ac:dyDescent="0.2">
      <c r="A627">
        <v>2016</v>
      </c>
      <c r="B627" s="13">
        <v>5362</v>
      </c>
      <c r="C627" s="16">
        <v>308816</v>
      </c>
    </row>
    <row r="628" spans="1:3" x14ac:dyDescent="0.2">
      <c r="A628">
        <v>2016</v>
      </c>
      <c r="B628" s="13">
        <v>5363</v>
      </c>
      <c r="C628" s="16">
        <v>2705614</v>
      </c>
    </row>
    <row r="629" spans="1:3" x14ac:dyDescent="0.2">
      <c r="A629">
        <v>2016</v>
      </c>
      <c r="B629" s="13">
        <v>5364</v>
      </c>
      <c r="C629" s="16">
        <v>675065</v>
      </c>
    </row>
    <row r="630" spans="1:3" x14ac:dyDescent="0.2">
      <c r="A630">
        <v>2016</v>
      </c>
      <c r="B630" s="13">
        <v>5365</v>
      </c>
      <c r="C630" s="16">
        <v>34599</v>
      </c>
    </row>
    <row r="631" spans="1:3" x14ac:dyDescent="0.2">
      <c r="A631">
        <v>2016</v>
      </c>
      <c r="B631" s="13">
        <v>5367</v>
      </c>
      <c r="C631" s="16">
        <v>725515</v>
      </c>
    </row>
    <row r="632" spans="1:3" x14ac:dyDescent="0.2">
      <c r="A632">
        <v>2016</v>
      </c>
      <c r="B632" s="13">
        <v>5368</v>
      </c>
      <c r="C632" s="16">
        <v>567021</v>
      </c>
    </row>
    <row r="633" spans="1:3" x14ac:dyDescent="0.2">
      <c r="A633">
        <v>2016</v>
      </c>
      <c r="B633" s="13">
        <v>5369</v>
      </c>
      <c r="C633" s="16">
        <v>159416</v>
      </c>
    </row>
    <row r="634" spans="1:3" x14ac:dyDescent="0.2">
      <c r="A634">
        <v>2016</v>
      </c>
      <c r="B634" s="13">
        <v>5371</v>
      </c>
      <c r="C634" s="16">
        <v>202327</v>
      </c>
    </row>
    <row r="635" spans="1:3" x14ac:dyDescent="0.2">
      <c r="A635">
        <v>2016</v>
      </c>
      <c r="B635" s="13">
        <v>5372</v>
      </c>
      <c r="C635" s="16">
        <v>1589140</v>
      </c>
    </row>
    <row r="636" spans="1:3" x14ac:dyDescent="0.2">
      <c r="A636">
        <v>2016</v>
      </c>
      <c r="B636" s="13">
        <v>5375</v>
      </c>
      <c r="C636" s="16">
        <v>2135007</v>
      </c>
    </row>
    <row r="637" spans="1:3" x14ac:dyDescent="0.2">
      <c r="A637">
        <v>2016</v>
      </c>
      <c r="B637" s="13">
        <v>5376</v>
      </c>
      <c r="C637" s="16">
        <v>806029</v>
      </c>
    </row>
    <row r="638" spans="1:3" x14ac:dyDescent="0.2">
      <c r="A638">
        <v>2016</v>
      </c>
      <c r="B638" s="13">
        <v>5379</v>
      </c>
      <c r="C638" s="16">
        <v>31629</v>
      </c>
    </row>
    <row r="639" spans="1:3" x14ac:dyDescent="0.2">
      <c r="A639">
        <v>2016</v>
      </c>
      <c r="B639" s="13">
        <v>5380</v>
      </c>
      <c r="C639" s="16">
        <v>407918</v>
      </c>
    </row>
    <row r="640" spans="1:3" x14ac:dyDescent="0.2">
      <c r="A640">
        <v>2016</v>
      </c>
      <c r="B640" s="13">
        <v>5403</v>
      </c>
      <c r="C640" s="16">
        <v>4778815</v>
      </c>
    </row>
    <row r="641" spans="1:3" x14ac:dyDescent="0.2">
      <c r="A641">
        <v>2016</v>
      </c>
      <c r="B641" s="13">
        <v>5406</v>
      </c>
      <c r="C641" s="16">
        <v>1979471</v>
      </c>
    </row>
    <row r="642" spans="1:3" x14ac:dyDescent="0.2">
      <c r="A642">
        <v>2016</v>
      </c>
      <c r="B642" s="13">
        <v>5407</v>
      </c>
      <c r="C642" s="16">
        <v>3273652</v>
      </c>
    </row>
    <row r="643" spans="1:3" x14ac:dyDescent="0.2">
      <c r="A643">
        <v>2016</v>
      </c>
      <c r="B643" s="13">
        <v>5408</v>
      </c>
      <c r="C643" s="16">
        <v>3453509</v>
      </c>
    </row>
    <row r="644" spans="1:3" x14ac:dyDescent="0.2">
      <c r="A644">
        <v>2016</v>
      </c>
      <c r="B644" s="13">
        <v>5409</v>
      </c>
      <c r="C644" s="16">
        <v>3902802</v>
      </c>
    </row>
    <row r="645" spans="1:3" x14ac:dyDescent="0.2">
      <c r="A645">
        <v>2016</v>
      </c>
      <c r="B645" s="13">
        <v>5415</v>
      </c>
      <c r="C645" s="16">
        <v>2204944</v>
      </c>
    </row>
    <row r="646" spans="1:3" x14ac:dyDescent="0.2">
      <c r="A646">
        <v>2016</v>
      </c>
      <c r="B646" s="13">
        <v>5416</v>
      </c>
      <c r="C646" s="16">
        <v>838485</v>
      </c>
    </row>
    <row r="647" spans="1:3" x14ac:dyDescent="0.2">
      <c r="A647">
        <v>2016</v>
      </c>
      <c r="B647" s="13">
        <v>5418</v>
      </c>
      <c r="C647" s="16">
        <v>4144104</v>
      </c>
    </row>
    <row r="648" spans="1:3" x14ac:dyDescent="0.2">
      <c r="A648">
        <v>2016</v>
      </c>
      <c r="B648" s="13">
        <v>5420</v>
      </c>
      <c r="C648" s="16">
        <v>3931810</v>
      </c>
    </row>
    <row r="649" spans="1:3" x14ac:dyDescent="0.2">
      <c r="A649">
        <v>2016</v>
      </c>
      <c r="B649" s="13">
        <v>5427</v>
      </c>
      <c r="C649" s="16">
        <v>190749</v>
      </c>
    </row>
    <row r="650" spans="1:3" x14ac:dyDescent="0.2">
      <c r="A650">
        <v>2016</v>
      </c>
      <c r="B650" s="13">
        <v>5457</v>
      </c>
      <c r="C650" s="16">
        <v>2931635</v>
      </c>
    </row>
    <row r="651" spans="1:3" x14ac:dyDescent="0.2">
      <c r="A651">
        <v>2016</v>
      </c>
      <c r="B651" s="13">
        <v>5458</v>
      </c>
      <c r="C651" s="16">
        <v>3280771</v>
      </c>
    </row>
    <row r="652" spans="1:3" x14ac:dyDescent="0.2">
      <c r="A652">
        <v>2016</v>
      </c>
      <c r="B652" s="13">
        <v>5501</v>
      </c>
      <c r="C652" s="16">
        <v>1320392</v>
      </c>
    </row>
    <row r="653" spans="1:3" x14ac:dyDescent="0.2">
      <c r="A653">
        <v>2016</v>
      </c>
      <c r="B653" s="13">
        <v>5504</v>
      </c>
      <c r="C653" s="16">
        <v>1269279</v>
      </c>
    </row>
    <row r="654" spans="1:3" x14ac:dyDescent="0.2">
      <c r="A654">
        <v>2016</v>
      </c>
      <c r="B654" s="13">
        <v>5505</v>
      </c>
      <c r="C654" s="16">
        <v>370966</v>
      </c>
    </row>
    <row r="655" spans="1:3" x14ac:dyDescent="0.2">
      <c r="A655">
        <v>2016</v>
      </c>
      <c r="B655" s="13">
        <v>5506</v>
      </c>
      <c r="C655" s="16">
        <v>599443</v>
      </c>
    </row>
    <row r="656" spans="1:3" x14ac:dyDescent="0.2">
      <c r="A656">
        <v>2016</v>
      </c>
      <c r="B656" s="13">
        <v>5507</v>
      </c>
      <c r="C656" s="16">
        <v>664442</v>
      </c>
    </row>
    <row r="657" spans="1:3" x14ac:dyDescent="0.2">
      <c r="A657">
        <v>2016</v>
      </c>
      <c r="B657" s="13">
        <v>5527</v>
      </c>
      <c r="C657" s="16">
        <v>711167</v>
      </c>
    </row>
    <row r="658" spans="1:3" x14ac:dyDescent="0.2">
      <c r="A658">
        <v>2016</v>
      </c>
      <c r="B658" s="13">
        <v>5528</v>
      </c>
      <c r="C658" s="16">
        <v>803175</v>
      </c>
    </row>
    <row r="659" spans="1:3" x14ac:dyDescent="0.2">
      <c r="A659">
        <v>2016</v>
      </c>
      <c r="B659" s="13">
        <v>5530</v>
      </c>
      <c r="C659" s="16">
        <v>990876</v>
      </c>
    </row>
    <row r="660" spans="1:3" x14ac:dyDescent="0.2">
      <c r="A660">
        <v>2016</v>
      </c>
      <c r="B660" s="13">
        <v>5533</v>
      </c>
      <c r="C660" s="16">
        <v>464833</v>
      </c>
    </row>
    <row r="661" spans="1:3" x14ac:dyDescent="0.2">
      <c r="A661">
        <v>2016</v>
      </c>
      <c r="B661" s="13">
        <v>5534</v>
      </c>
      <c r="C661" s="16">
        <v>712174</v>
      </c>
    </row>
    <row r="662" spans="1:3" x14ac:dyDescent="0.2">
      <c r="A662">
        <v>2016</v>
      </c>
      <c r="B662" s="13">
        <v>5535</v>
      </c>
      <c r="C662" s="16">
        <v>1232992</v>
      </c>
    </row>
    <row r="663" spans="1:3" x14ac:dyDescent="0.2">
      <c r="A663">
        <v>2016</v>
      </c>
      <c r="B663" s="13">
        <v>5541</v>
      </c>
      <c r="C663" s="16">
        <v>679781</v>
      </c>
    </row>
    <row r="664" spans="1:3" x14ac:dyDescent="0.2">
      <c r="A664">
        <v>2016</v>
      </c>
      <c r="B664" s="13">
        <v>5601</v>
      </c>
      <c r="C664" s="16">
        <v>1874403</v>
      </c>
    </row>
    <row r="665" spans="1:3" x14ac:dyDescent="0.2">
      <c r="A665">
        <v>2016</v>
      </c>
      <c r="B665" s="13">
        <v>5676</v>
      </c>
      <c r="C665" s="16">
        <v>497834</v>
      </c>
    </row>
    <row r="666" spans="1:3" x14ac:dyDescent="0.2">
      <c r="A666">
        <v>2016</v>
      </c>
      <c r="B666" s="13">
        <v>5677</v>
      </c>
      <c r="C666" s="16">
        <v>413946</v>
      </c>
    </row>
    <row r="667" spans="1:3" x14ac:dyDescent="0.2">
      <c r="A667">
        <v>2016</v>
      </c>
      <c r="B667" s="13">
        <v>5678</v>
      </c>
      <c r="C667" s="16">
        <v>524195</v>
      </c>
    </row>
    <row r="668" spans="1:3" x14ac:dyDescent="0.2">
      <c r="A668">
        <v>2016</v>
      </c>
      <c r="B668" s="13">
        <v>5679</v>
      </c>
      <c r="C668" s="16">
        <v>1055698</v>
      </c>
    </row>
    <row r="669" spans="1:3" x14ac:dyDescent="0.2">
      <c r="A669">
        <v>2016</v>
      </c>
      <c r="B669" s="13">
        <v>5680</v>
      </c>
      <c r="C669" s="16">
        <v>995313</v>
      </c>
    </row>
    <row r="670" spans="1:3" x14ac:dyDescent="0.2">
      <c r="A670">
        <v>2016</v>
      </c>
      <c r="B670" s="13">
        <v>5681</v>
      </c>
      <c r="C670" s="16">
        <v>454252</v>
      </c>
    </row>
    <row r="671" spans="1:3" x14ac:dyDescent="0.2">
      <c r="A671">
        <v>2016</v>
      </c>
      <c r="B671" s="13">
        <v>5682</v>
      </c>
      <c r="C671" s="16">
        <v>540915</v>
      </c>
    </row>
    <row r="672" spans="1:3" x14ac:dyDescent="0.2">
      <c r="A672">
        <v>2016</v>
      </c>
      <c r="B672" s="13">
        <v>5683</v>
      </c>
      <c r="C672" s="16">
        <v>875285</v>
      </c>
    </row>
    <row r="673" spans="1:3" x14ac:dyDescent="0.2">
      <c r="A673">
        <v>2016</v>
      </c>
      <c r="B673" s="13">
        <v>5684</v>
      </c>
      <c r="C673" s="16">
        <v>359798</v>
      </c>
    </row>
    <row r="674" spans="1:3" x14ac:dyDescent="0.2">
      <c r="A674">
        <v>2016</v>
      </c>
      <c r="B674" s="13">
        <v>5685</v>
      </c>
      <c r="C674" s="16">
        <v>583595</v>
      </c>
    </row>
    <row r="675" spans="1:3" x14ac:dyDescent="0.2">
      <c r="A675">
        <v>2016</v>
      </c>
      <c r="B675" s="13">
        <v>5687</v>
      </c>
      <c r="C675" s="16">
        <v>1065901</v>
      </c>
    </row>
    <row r="676" spans="1:3" x14ac:dyDescent="0.2">
      <c r="A676">
        <v>2016</v>
      </c>
      <c r="B676" s="13">
        <v>5688</v>
      </c>
      <c r="C676" s="16">
        <v>387872</v>
      </c>
    </row>
    <row r="677" spans="1:3" x14ac:dyDescent="0.2">
      <c r="A677">
        <v>2016</v>
      </c>
      <c r="B677" s="13">
        <v>5691</v>
      </c>
      <c r="C677" s="16">
        <v>147502</v>
      </c>
    </row>
    <row r="678" spans="1:3" x14ac:dyDescent="0.2">
      <c r="A678">
        <v>2016</v>
      </c>
      <c r="B678" s="13">
        <v>5692</v>
      </c>
      <c r="C678" s="16">
        <v>852988</v>
      </c>
    </row>
    <row r="679" spans="1:3" x14ac:dyDescent="0.2">
      <c r="A679">
        <v>2016</v>
      </c>
      <c r="B679" s="13">
        <v>5693</v>
      </c>
      <c r="C679" s="16">
        <v>281610</v>
      </c>
    </row>
    <row r="680" spans="1:3" x14ac:dyDescent="0.2">
      <c r="A680">
        <v>2016</v>
      </c>
      <c r="B680" s="13">
        <v>5694</v>
      </c>
      <c r="C680" s="16">
        <v>217737</v>
      </c>
    </row>
    <row r="681" spans="1:3" x14ac:dyDescent="0.2">
      <c r="A681">
        <v>2016</v>
      </c>
      <c r="B681" s="13">
        <v>5695</v>
      </c>
      <c r="C681" s="16">
        <v>235164</v>
      </c>
    </row>
    <row r="682" spans="1:3" x14ac:dyDescent="0.2">
      <c r="A682">
        <v>2016</v>
      </c>
      <c r="B682" s="13">
        <v>5801</v>
      </c>
      <c r="C682" s="16">
        <v>2964671</v>
      </c>
    </row>
    <row r="683" spans="1:3" x14ac:dyDescent="0.2">
      <c r="A683">
        <v>2016</v>
      </c>
      <c r="B683" s="13">
        <v>5806</v>
      </c>
      <c r="C683" s="16">
        <v>1686530</v>
      </c>
    </row>
    <row r="684" spans="1:3" x14ac:dyDescent="0.2">
      <c r="A684">
        <v>2016</v>
      </c>
      <c r="B684" s="13">
        <v>5807</v>
      </c>
      <c r="C684" s="16">
        <v>593637</v>
      </c>
    </row>
    <row r="685" spans="1:3" x14ac:dyDescent="0.2">
      <c r="A685">
        <v>2016</v>
      </c>
      <c r="B685" s="13">
        <v>5812</v>
      </c>
      <c r="C685" s="16">
        <v>687626</v>
      </c>
    </row>
    <row r="686" spans="1:3" x14ac:dyDescent="0.2">
      <c r="A686">
        <v>2016</v>
      </c>
      <c r="B686" s="13">
        <v>5813</v>
      </c>
      <c r="C686" s="16">
        <v>859982</v>
      </c>
    </row>
    <row r="687" spans="1:3" x14ac:dyDescent="0.2">
      <c r="A687">
        <v>2016</v>
      </c>
      <c r="B687" s="13">
        <v>5817</v>
      </c>
      <c r="C687" s="16">
        <v>2555964</v>
      </c>
    </row>
    <row r="688" spans="1:3" x14ac:dyDescent="0.2">
      <c r="A688">
        <v>2016</v>
      </c>
      <c r="B688" s="13">
        <v>5820</v>
      </c>
      <c r="C688" s="16">
        <v>882230</v>
      </c>
    </row>
    <row r="689" spans="1:3" x14ac:dyDescent="0.2">
      <c r="A689">
        <v>2016</v>
      </c>
      <c r="B689" s="13">
        <v>5821</v>
      </c>
      <c r="C689" s="16">
        <v>1217375</v>
      </c>
    </row>
    <row r="690" spans="1:3" x14ac:dyDescent="0.2">
      <c r="A690">
        <v>2016</v>
      </c>
      <c r="B690" s="13">
        <v>5822</v>
      </c>
      <c r="C690" s="16">
        <v>1615854</v>
      </c>
    </row>
    <row r="691" spans="1:3" x14ac:dyDescent="0.2">
      <c r="A691">
        <v>2016</v>
      </c>
      <c r="B691" s="13">
        <v>5823</v>
      </c>
      <c r="C691" s="16">
        <v>346522</v>
      </c>
    </row>
    <row r="692" spans="1:3" x14ac:dyDescent="0.2">
      <c r="A692">
        <v>2016</v>
      </c>
      <c r="B692" s="13">
        <v>6001</v>
      </c>
      <c r="C692" s="16">
        <v>3374882</v>
      </c>
    </row>
    <row r="693" spans="1:3" x14ac:dyDescent="0.2">
      <c r="A693">
        <v>2016</v>
      </c>
      <c r="B693" s="13">
        <v>6005</v>
      </c>
      <c r="C693" s="16">
        <v>2419476</v>
      </c>
    </row>
    <row r="694" spans="1:3" x14ac:dyDescent="0.2">
      <c r="A694">
        <v>2016</v>
      </c>
      <c r="B694" s="13">
        <v>6008</v>
      </c>
      <c r="C694" s="16">
        <v>2276670</v>
      </c>
    </row>
    <row r="695" spans="1:3" x14ac:dyDescent="0.2">
      <c r="A695">
        <v>2016</v>
      </c>
      <c r="B695" s="13">
        <v>6011</v>
      </c>
      <c r="C695" s="16">
        <v>1168542</v>
      </c>
    </row>
    <row r="696" spans="1:3" x14ac:dyDescent="0.2">
      <c r="A696">
        <v>2016</v>
      </c>
      <c r="B696" s="13">
        <v>6018</v>
      </c>
      <c r="C696" s="16">
        <v>1180899</v>
      </c>
    </row>
    <row r="697" spans="1:3" x14ac:dyDescent="0.2">
      <c r="A697">
        <v>2016</v>
      </c>
      <c r="B697" s="13">
        <v>6022</v>
      </c>
      <c r="C697" s="16">
        <v>1345104</v>
      </c>
    </row>
    <row r="698" spans="1:3" x14ac:dyDescent="0.2">
      <c r="A698">
        <v>2016</v>
      </c>
      <c r="B698" s="13">
        <v>6026</v>
      </c>
      <c r="C698" s="16">
        <v>2281416</v>
      </c>
    </row>
    <row r="699" spans="1:3" x14ac:dyDescent="0.2">
      <c r="A699">
        <v>2016</v>
      </c>
      <c r="B699" s="13">
        <v>6027</v>
      </c>
      <c r="C699" s="16">
        <v>3517643</v>
      </c>
    </row>
    <row r="700" spans="1:3" x14ac:dyDescent="0.2">
      <c r="A700">
        <v>2016</v>
      </c>
      <c r="B700" s="13">
        <v>6028</v>
      </c>
      <c r="C700" s="16">
        <v>2804770</v>
      </c>
    </row>
    <row r="701" spans="1:3" x14ac:dyDescent="0.2">
      <c r="A701">
        <v>2016</v>
      </c>
      <c r="B701" s="13">
        <v>6036</v>
      </c>
      <c r="C701" s="16">
        <v>621361</v>
      </c>
    </row>
    <row r="702" spans="1:3" x14ac:dyDescent="0.2">
      <c r="A702">
        <v>2016</v>
      </c>
      <c r="B702" s="13">
        <v>6040</v>
      </c>
      <c r="C702" s="16">
        <v>864056</v>
      </c>
    </row>
    <row r="703" spans="1:3" x14ac:dyDescent="0.2">
      <c r="A703">
        <v>2016</v>
      </c>
      <c r="B703" s="13">
        <v>6041</v>
      </c>
      <c r="C703" s="16">
        <v>1236421</v>
      </c>
    </row>
    <row r="704" spans="1:3" x14ac:dyDescent="0.2">
      <c r="A704">
        <v>2016</v>
      </c>
      <c r="B704" s="13">
        <v>6042</v>
      </c>
      <c r="C704" s="16">
        <v>1098638</v>
      </c>
    </row>
    <row r="705" spans="1:3" x14ac:dyDescent="0.2">
      <c r="A705">
        <v>2016</v>
      </c>
      <c r="B705" s="13">
        <v>6044</v>
      </c>
      <c r="C705" s="16">
        <v>1855161</v>
      </c>
    </row>
    <row r="706" spans="1:3" x14ac:dyDescent="0.2">
      <c r="A706">
        <v>2016</v>
      </c>
      <c r="B706" s="13">
        <v>6048</v>
      </c>
      <c r="C706" s="16">
        <v>1466044</v>
      </c>
    </row>
    <row r="707" spans="1:3" x14ac:dyDescent="0.2">
      <c r="A707">
        <v>2016</v>
      </c>
      <c r="B707" s="13">
        <v>6050</v>
      </c>
      <c r="C707" s="16">
        <v>1676890</v>
      </c>
    </row>
    <row r="708" spans="1:3" x14ac:dyDescent="0.2">
      <c r="A708">
        <v>2016</v>
      </c>
      <c r="B708" s="13">
        <v>6051</v>
      </c>
      <c r="C708" s="16">
        <v>3849427</v>
      </c>
    </row>
    <row r="709" spans="1:3" x14ac:dyDescent="0.2">
      <c r="A709">
        <v>2016</v>
      </c>
      <c r="B709" s="13">
        <v>6052</v>
      </c>
      <c r="C709" s="16">
        <v>2807700</v>
      </c>
    </row>
    <row r="710" spans="1:3" x14ac:dyDescent="0.2">
      <c r="A710">
        <v>2016</v>
      </c>
      <c r="B710" s="13">
        <v>6056</v>
      </c>
      <c r="C710" s="16">
        <v>11168940</v>
      </c>
    </row>
    <row r="711" spans="1:3" x14ac:dyDescent="0.2">
      <c r="A711">
        <v>2016</v>
      </c>
      <c r="B711" s="13">
        <v>6057</v>
      </c>
      <c r="C711" s="16">
        <v>2141293</v>
      </c>
    </row>
    <row r="712" spans="1:3" x14ac:dyDescent="0.2">
      <c r="A712">
        <v>2016</v>
      </c>
      <c r="B712" s="13">
        <v>6061</v>
      </c>
      <c r="C712" s="16">
        <v>4195047</v>
      </c>
    </row>
    <row r="713" spans="1:3" x14ac:dyDescent="0.2">
      <c r="A713">
        <v>2016</v>
      </c>
      <c r="B713" s="13">
        <v>6065</v>
      </c>
      <c r="C713" s="16">
        <v>4883405</v>
      </c>
    </row>
    <row r="714" spans="1:3" x14ac:dyDescent="0.2">
      <c r="A714">
        <v>2016</v>
      </c>
      <c r="B714" s="13">
        <v>6067</v>
      </c>
      <c r="C714" s="16">
        <v>2452303</v>
      </c>
    </row>
    <row r="715" spans="1:3" x14ac:dyDescent="0.2">
      <c r="A715">
        <v>2016</v>
      </c>
      <c r="B715" s="13">
        <v>6068</v>
      </c>
      <c r="C715" s="16">
        <v>1673935</v>
      </c>
    </row>
    <row r="716" spans="1:3" x14ac:dyDescent="0.2">
      <c r="A716">
        <v>2016</v>
      </c>
      <c r="B716" s="13">
        <v>6074</v>
      </c>
      <c r="C716" s="16">
        <v>2841790</v>
      </c>
    </row>
    <row r="717" spans="1:3" x14ac:dyDescent="0.2">
      <c r="A717">
        <v>2016</v>
      </c>
      <c r="B717" s="13">
        <v>6075</v>
      </c>
      <c r="C717" s="16">
        <v>2210429</v>
      </c>
    </row>
    <row r="718" spans="1:3" x14ac:dyDescent="0.2">
      <c r="A718">
        <v>2016</v>
      </c>
      <c r="B718" s="13">
        <v>6078</v>
      </c>
      <c r="C718" s="16">
        <v>5293989</v>
      </c>
    </row>
    <row r="719" spans="1:3" x14ac:dyDescent="0.2">
      <c r="A719">
        <v>2016</v>
      </c>
      <c r="B719" s="13">
        <v>6079</v>
      </c>
      <c r="C719" s="16">
        <v>2481242</v>
      </c>
    </row>
    <row r="720" spans="1:3" x14ac:dyDescent="0.2">
      <c r="A720">
        <v>2016</v>
      </c>
      <c r="B720" s="13">
        <v>6091</v>
      </c>
      <c r="C720" s="16">
        <v>10804518</v>
      </c>
    </row>
    <row r="721" spans="1:3" x14ac:dyDescent="0.2">
      <c r="A721">
        <v>2016</v>
      </c>
      <c r="B721" s="13">
        <v>6093</v>
      </c>
      <c r="C721" s="16">
        <v>5707503</v>
      </c>
    </row>
    <row r="722" spans="1:3" x14ac:dyDescent="0.2">
      <c r="A722">
        <v>2016</v>
      </c>
      <c r="B722" s="13">
        <v>6094</v>
      </c>
      <c r="C722" s="16">
        <v>3392457</v>
      </c>
    </row>
    <row r="723" spans="1:3" x14ac:dyDescent="0.2">
      <c r="A723">
        <v>2016</v>
      </c>
      <c r="B723" s="13">
        <v>6095</v>
      </c>
      <c r="C723" s="16">
        <v>1415655</v>
      </c>
    </row>
    <row r="724" spans="1:3" x14ac:dyDescent="0.2">
      <c r="A724">
        <v>2016</v>
      </c>
      <c r="B724" s="13">
        <v>6097</v>
      </c>
      <c r="C724" s="16">
        <v>1101088</v>
      </c>
    </row>
    <row r="725" spans="1:3" x14ac:dyDescent="0.2">
      <c r="A725">
        <v>2016</v>
      </c>
      <c r="B725" s="13">
        <v>6099</v>
      </c>
      <c r="C725" s="16">
        <v>1418623</v>
      </c>
    </row>
    <row r="726" spans="1:3" x14ac:dyDescent="0.2">
      <c r="A726">
        <v>2016</v>
      </c>
      <c r="B726" s="13">
        <v>6104</v>
      </c>
      <c r="C726" s="16">
        <v>2272706</v>
      </c>
    </row>
    <row r="727" spans="1:3" x14ac:dyDescent="0.2">
      <c r="A727">
        <v>2016</v>
      </c>
      <c r="B727" s="13">
        <v>6105</v>
      </c>
      <c r="C727" s="16">
        <v>3631606</v>
      </c>
    </row>
    <row r="728" spans="1:3" x14ac:dyDescent="0.2">
      <c r="A728">
        <v>2016</v>
      </c>
      <c r="B728" s="13">
        <v>6109</v>
      </c>
      <c r="C728" s="16">
        <v>3788554</v>
      </c>
    </row>
    <row r="729" spans="1:3" x14ac:dyDescent="0.2">
      <c r="A729">
        <v>2016</v>
      </c>
      <c r="B729" s="13">
        <v>6507</v>
      </c>
      <c r="C729" s="16">
        <v>119063</v>
      </c>
    </row>
    <row r="730" spans="1:3" x14ac:dyDescent="0.2">
      <c r="A730">
        <v>2016</v>
      </c>
      <c r="B730" s="13">
        <v>6511</v>
      </c>
      <c r="C730" s="16">
        <v>64610</v>
      </c>
    </row>
    <row r="731" spans="1:3" x14ac:dyDescent="0.2">
      <c r="A731">
        <v>2016</v>
      </c>
      <c r="B731" s="13">
        <v>7000</v>
      </c>
      <c r="C731" s="16">
        <v>16707024</v>
      </c>
    </row>
    <row r="732" spans="1:3" x14ac:dyDescent="0.2">
      <c r="A732">
        <v>2016</v>
      </c>
      <c r="B732" s="13">
        <v>7500</v>
      </c>
      <c r="C732" s="16">
        <v>166195</v>
      </c>
    </row>
    <row r="733" spans="1:3" x14ac:dyDescent="0.2">
      <c r="A733">
        <v>2016</v>
      </c>
      <c r="B733" s="13">
        <v>7501</v>
      </c>
      <c r="C733" s="16">
        <v>339893</v>
      </c>
    </row>
    <row r="734" spans="1:3" x14ac:dyDescent="0.2">
      <c r="A734">
        <v>2016</v>
      </c>
      <c r="B734" s="13">
        <v>7502</v>
      </c>
      <c r="C734" s="16">
        <v>45607</v>
      </c>
    </row>
    <row r="735" spans="1:3" x14ac:dyDescent="0.2">
      <c r="A735">
        <v>2016</v>
      </c>
      <c r="B735" s="13">
        <v>8000</v>
      </c>
      <c r="C735" s="16">
        <v>2101275</v>
      </c>
    </row>
    <row r="736" spans="1:3" x14ac:dyDescent="0.2">
      <c r="A736">
        <v>2016</v>
      </c>
      <c r="B736" s="13">
        <v>8102</v>
      </c>
      <c r="C736" s="16">
        <v>424339</v>
      </c>
    </row>
    <row r="737" spans="1:3" x14ac:dyDescent="0.2">
      <c r="A737">
        <v>2016</v>
      </c>
      <c r="B737" s="13">
        <v>8105</v>
      </c>
      <c r="C737" s="16">
        <v>515660</v>
      </c>
    </row>
    <row r="738" spans="1:3" x14ac:dyDescent="0.2">
      <c r="A738">
        <v>2016</v>
      </c>
      <c r="B738" s="13">
        <v>8110</v>
      </c>
      <c r="C738" s="16">
        <v>881584</v>
      </c>
    </row>
    <row r="739" spans="1:3" x14ac:dyDescent="0.2">
      <c r="A739">
        <v>2016</v>
      </c>
      <c r="B739" s="13">
        <v>8112</v>
      </c>
      <c r="C739" s="16">
        <v>201614</v>
      </c>
    </row>
    <row r="740" spans="1:3" x14ac:dyDescent="0.2">
      <c r="A740">
        <v>2016</v>
      </c>
      <c r="B740" s="13">
        <v>8113</v>
      </c>
      <c r="C740" s="16">
        <v>215714</v>
      </c>
    </row>
    <row r="741" spans="1:3" x14ac:dyDescent="0.2">
      <c r="A741">
        <v>2016</v>
      </c>
      <c r="B741" s="13">
        <v>8115</v>
      </c>
      <c r="C741" s="16">
        <v>251032</v>
      </c>
    </row>
    <row r="742" spans="1:3" x14ac:dyDescent="0.2">
      <c r="A742">
        <v>2016</v>
      </c>
      <c r="B742" s="13">
        <v>8120</v>
      </c>
      <c r="C742" s="16">
        <v>739182</v>
      </c>
    </row>
    <row r="743" spans="1:3" x14ac:dyDescent="0.2">
      <c r="A743">
        <v>2016</v>
      </c>
      <c r="B743" s="13">
        <v>8124</v>
      </c>
      <c r="C743" s="16">
        <v>1997293</v>
      </c>
    </row>
    <row r="744" spans="1:3" x14ac:dyDescent="0.2">
      <c r="A744">
        <v>2016</v>
      </c>
      <c r="B744" s="13">
        <v>8129</v>
      </c>
      <c r="C744" s="16">
        <v>621321</v>
      </c>
    </row>
    <row r="745" spans="1:3" x14ac:dyDescent="0.2">
      <c r="A745">
        <v>2016</v>
      </c>
      <c r="B745" s="13">
        <v>8130</v>
      </c>
      <c r="C745" s="16">
        <v>2698858</v>
      </c>
    </row>
    <row r="746" spans="1:3" x14ac:dyDescent="0.2">
      <c r="A746">
        <v>2016</v>
      </c>
      <c r="B746" s="13">
        <v>8131</v>
      </c>
      <c r="C746" s="16">
        <v>385861</v>
      </c>
    </row>
    <row r="747" spans="1:3" x14ac:dyDescent="0.2">
      <c r="A747">
        <v>2016</v>
      </c>
      <c r="B747" s="13">
        <v>8133</v>
      </c>
      <c r="C747" s="16">
        <v>560413</v>
      </c>
    </row>
    <row r="748" spans="1:3" x14ac:dyDescent="0.2">
      <c r="A748">
        <v>2016</v>
      </c>
      <c r="B748" s="13">
        <v>8134</v>
      </c>
      <c r="C748" s="16">
        <v>258546</v>
      </c>
    </row>
    <row r="749" spans="1:3" x14ac:dyDescent="0.2">
      <c r="A749">
        <v>2016</v>
      </c>
      <c r="B749" s="13">
        <v>8135</v>
      </c>
      <c r="C749" s="16">
        <v>1376147</v>
      </c>
    </row>
    <row r="750" spans="1:3" x14ac:dyDescent="0.2">
      <c r="A750">
        <v>2016</v>
      </c>
      <c r="B750" s="13">
        <v>8140</v>
      </c>
      <c r="C750" s="16">
        <v>319734</v>
      </c>
    </row>
    <row r="751" spans="1:3" x14ac:dyDescent="0.2">
      <c r="A751">
        <v>2016</v>
      </c>
      <c r="B751" s="13">
        <v>8142</v>
      </c>
      <c r="C751" s="16">
        <v>654380</v>
      </c>
    </row>
    <row r="752" spans="1:3" x14ac:dyDescent="0.2">
      <c r="A752">
        <v>2016</v>
      </c>
      <c r="B752" s="13">
        <v>8145</v>
      </c>
      <c r="C752" s="16">
        <v>533845</v>
      </c>
    </row>
    <row r="753" spans="1:3" x14ac:dyDescent="0.2">
      <c r="A753">
        <v>2016</v>
      </c>
      <c r="B753" s="13">
        <v>8146</v>
      </c>
      <c r="C753" s="16">
        <v>1478309</v>
      </c>
    </row>
    <row r="754" spans="1:3" x14ac:dyDescent="0.2">
      <c r="A754">
        <v>2016</v>
      </c>
      <c r="B754" s="13">
        <v>8149</v>
      </c>
      <c r="C754" s="16">
        <v>194051</v>
      </c>
    </row>
    <row r="755" spans="1:3" x14ac:dyDescent="0.2">
      <c r="A755">
        <v>2016</v>
      </c>
      <c r="B755" s="13">
        <v>8150</v>
      </c>
      <c r="C755" s="16">
        <v>2745157</v>
      </c>
    </row>
    <row r="756" spans="1:3" x14ac:dyDescent="0.2">
      <c r="A756">
        <v>2016</v>
      </c>
      <c r="B756" s="13">
        <v>8151</v>
      </c>
      <c r="C756" s="16">
        <v>1371487</v>
      </c>
    </row>
    <row r="757" spans="1:3" x14ac:dyDescent="0.2">
      <c r="A757">
        <v>2016</v>
      </c>
      <c r="B757" s="13">
        <v>8153</v>
      </c>
      <c r="C757" s="16">
        <v>455247</v>
      </c>
    </row>
    <row r="758" spans="1:3" x14ac:dyDescent="0.2">
      <c r="A758">
        <v>2016</v>
      </c>
      <c r="B758" s="13">
        <v>8155</v>
      </c>
      <c r="C758" s="16">
        <v>789695</v>
      </c>
    </row>
    <row r="759" spans="1:3" x14ac:dyDescent="0.2">
      <c r="A759">
        <v>2016</v>
      </c>
      <c r="B759" s="13">
        <v>8160</v>
      </c>
      <c r="C759" s="16">
        <v>656552</v>
      </c>
    </row>
    <row r="760" spans="1:3" x14ac:dyDescent="0.2">
      <c r="A760">
        <v>2016</v>
      </c>
      <c r="B760" s="13">
        <v>8162</v>
      </c>
      <c r="C760" s="16">
        <v>274478</v>
      </c>
    </row>
    <row r="761" spans="1:3" x14ac:dyDescent="0.2">
      <c r="A761">
        <v>2016</v>
      </c>
      <c r="B761" s="13">
        <v>8166</v>
      </c>
      <c r="C761" s="16">
        <v>3589176</v>
      </c>
    </row>
    <row r="762" spans="1:3" x14ac:dyDescent="0.2">
      <c r="A762">
        <v>2016</v>
      </c>
      <c r="B762" s="13">
        <v>8167</v>
      </c>
      <c r="C762" s="16">
        <v>172504</v>
      </c>
    </row>
    <row r="763" spans="1:3" x14ac:dyDescent="0.2">
      <c r="A763">
        <v>2016</v>
      </c>
      <c r="B763" s="13">
        <v>8168</v>
      </c>
      <c r="C763" s="16">
        <v>264582</v>
      </c>
    </row>
    <row r="764" spans="1:3" x14ac:dyDescent="0.2">
      <c r="A764">
        <v>2016</v>
      </c>
      <c r="B764" s="13">
        <v>8169</v>
      </c>
      <c r="C764" s="16">
        <v>277120</v>
      </c>
    </row>
    <row r="765" spans="1:3" x14ac:dyDescent="0.2">
      <c r="A765">
        <v>2016</v>
      </c>
      <c r="B765" s="13">
        <v>8170</v>
      </c>
      <c r="C765" s="16">
        <v>1304015</v>
      </c>
    </row>
    <row r="766" spans="1:3" x14ac:dyDescent="0.2">
      <c r="A766">
        <v>2016</v>
      </c>
      <c r="B766" s="13">
        <v>8400</v>
      </c>
      <c r="C766" s="16">
        <v>584416</v>
      </c>
    </row>
    <row r="767" spans="1:3" x14ac:dyDescent="0.2">
      <c r="A767">
        <v>2016</v>
      </c>
      <c r="B767" s="13">
        <v>8402</v>
      </c>
      <c r="C767" s="16">
        <v>231312</v>
      </c>
    </row>
    <row r="768" spans="1:3" x14ac:dyDescent="0.2">
      <c r="A768">
        <v>2016</v>
      </c>
      <c r="B768" s="13">
        <v>8403</v>
      </c>
      <c r="C768" s="16">
        <v>282822</v>
      </c>
    </row>
    <row r="769" spans="1:3" x14ac:dyDescent="0.2">
      <c r="A769">
        <v>2016</v>
      </c>
      <c r="B769" s="13">
        <v>8405</v>
      </c>
      <c r="C769" s="16">
        <v>0</v>
      </c>
    </row>
    <row r="770" spans="1:3" x14ac:dyDescent="0.2">
      <c r="A770">
        <v>2016</v>
      </c>
      <c r="B770" s="13">
        <v>8406</v>
      </c>
      <c r="C770" s="16">
        <v>207374</v>
      </c>
    </row>
    <row r="771" spans="1:3" x14ac:dyDescent="0.2">
      <c r="A771">
        <v>2016</v>
      </c>
      <c r="B771" s="13">
        <v>8407</v>
      </c>
      <c r="C771" s="16">
        <v>1235468</v>
      </c>
    </row>
    <row r="772" spans="1:3" x14ac:dyDescent="0.2">
      <c r="A772">
        <v>2016</v>
      </c>
      <c r="B772" s="13">
        <v>8409</v>
      </c>
      <c r="C772" s="16">
        <v>687973</v>
      </c>
    </row>
    <row r="773" spans="1:3" x14ac:dyDescent="0.2">
      <c r="A773">
        <v>2016</v>
      </c>
      <c r="B773" s="13">
        <v>8410</v>
      </c>
      <c r="C773" s="16">
        <v>289207</v>
      </c>
    </row>
    <row r="774" spans="1:3" x14ac:dyDescent="0.2">
      <c r="A774">
        <v>2016</v>
      </c>
      <c r="B774" s="13">
        <v>8412</v>
      </c>
      <c r="C774" s="16">
        <v>645778</v>
      </c>
    </row>
    <row r="775" spans="1:3" x14ac:dyDescent="0.2">
      <c r="A775">
        <v>2016</v>
      </c>
      <c r="B775" s="13">
        <v>8413</v>
      </c>
      <c r="C775" s="16">
        <v>92657</v>
      </c>
    </row>
    <row r="776" spans="1:3" x14ac:dyDescent="0.2">
      <c r="A776">
        <v>2016</v>
      </c>
      <c r="B776" s="13">
        <v>8414</v>
      </c>
      <c r="C776" s="16">
        <v>0</v>
      </c>
    </row>
    <row r="777" spans="1:3" x14ac:dyDescent="0.2">
      <c r="A777">
        <v>2016</v>
      </c>
      <c r="B777" s="13">
        <v>8415</v>
      </c>
      <c r="C777" s="16">
        <v>534763</v>
      </c>
    </row>
    <row r="778" spans="1:3" x14ac:dyDescent="0.2">
      <c r="A778">
        <v>2016</v>
      </c>
      <c r="B778" s="13">
        <v>8416</v>
      </c>
      <c r="C778" s="16">
        <v>265812</v>
      </c>
    </row>
    <row r="779" spans="1:3" x14ac:dyDescent="0.2">
      <c r="A779">
        <v>2016</v>
      </c>
      <c r="B779" s="13">
        <v>8417</v>
      </c>
      <c r="C779" s="16">
        <v>0</v>
      </c>
    </row>
    <row r="780" spans="1:3" x14ac:dyDescent="0.2">
      <c r="A780">
        <v>2016</v>
      </c>
      <c r="B780" s="13">
        <v>8419</v>
      </c>
      <c r="C780" s="16">
        <v>278880</v>
      </c>
    </row>
    <row r="781" spans="1:3" x14ac:dyDescent="0.2">
      <c r="A781">
        <v>2016</v>
      </c>
      <c r="B781" s="13">
        <v>8420</v>
      </c>
      <c r="C781" s="16">
        <v>427694</v>
      </c>
    </row>
    <row r="782" spans="1:3" x14ac:dyDescent="0.2">
      <c r="A782">
        <v>2016</v>
      </c>
      <c r="B782" s="13">
        <v>8421</v>
      </c>
      <c r="C782" s="16">
        <v>262551</v>
      </c>
    </row>
    <row r="783" spans="1:3" x14ac:dyDescent="0.2">
      <c r="A783">
        <v>2016</v>
      </c>
      <c r="B783" s="13">
        <v>8422</v>
      </c>
      <c r="C783" s="16">
        <v>266186</v>
      </c>
    </row>
    <row r="784" spans="1:3" x14ac:dyDescent="0.2">
      <c r="A784">
        <v>2016</v>
      </c>
      <c r="B784" s="13">
        <v>8423</v>
      </c>
      <c r="C784" s="16">
        <v>223585</v>
      </c>
    </row>
    <row r="785" spans="1:3" x14ac:dyDescent="0.2">
      <c r="A785">
        <v>2016</v>
      </c>
      <c r="B785" s="13">
        <v>8424</v>
      </c>
      <c r="C785" s="16">
        <v>138010</v>
      </c>
    </row>
    <row r="786" spans="1:3" x14ac:dyDescent="0.2">
      <c r="A786">
        <v>2016</v>
      </c>
      <c r="B786" s="13">
        <v>8425</v>
      </c>
      <c r="C786" s="16">
        <v>264603</v>
      </c>
    </row>
    <row r="787" spans="1:3" x14ac:dyDescent="0.2">
      <c r="A787">
        <v>2016</v>
      </c>
      <c r="B787" s="13">
        <v>8426</v>
      </c>
      <c r="C787" s="16">
        <v>191810</v>
      </c>
    </row>
    <row r="788" spans="1:3" x14ac:dyDescent="0.2">
      <c r="A788">
        <v>2016</v>
      </c>
      <c r="B788" s="13">
        <v>8427</v>
      </c>
      <c r="C788" s="16">
        <v>93124</v>
      </c>
    </row>
    <row r="789" spans="1:3" x14ac:dyDescent="0.2">
      <c r="A789">
        <v>2016</v>
      </c>
      <c r="B789" s="13">
        <v>8428</v>
      </c>
      <c r="C789" s="16">
        <v>428843</v>
      </c>
    </row>
    <row r="790" spans="1:3" x14ac:dyDescent="0.2">
      <c r="A790">
        <v>2016</v>
      </c>
      <c r="B790" s="13">
        <v>8429</v>
      </c>
      <c r="C790" s="16">
        <v>236672</v>
      </c>
    </row>
    <row r="791" spans="1:3" x14ac:dyDescent="0.2">
      <c r="A791">
        <v>2016</v>
      </c>
      <c r="B791" s="13">
        <v>8430</v>
      </c>
      <c r="C791" s="16">
        <v>210391</v>
      </c>
    </row>
    <row r="792" spans="1:3" x14ac:dyDescent="0.2">
      <c r="A792">
        <v>2016</v>
      </c>
      <c r="B792" s="13">
        <v>8431</v>
      </c>
      <c r="C792" s="16">
        <v>187555</v>
      </c>
    </row>
    <row r="793" spans="1:3" x14ac:dyDescent="0.2">
      <c r="A793">
        <v>2016</v>
      </c>
      <c r="B793" s="13">
        <v>8432</v>
      </c>
      <c r="C793" s="16">
        <v>161104</v>
      </c>
    </row>
    <row r="795" spans="1:3" x14ac:dyDescent="0.2">
      <c r="B795" s="10" t="s">
        <v>3</v>
      </c>
      <c r="C795" s="20">
        <f>SUM(C2:C793)</f>
        <v>2046151755</v>
      </c>
    </row>
    <row r="797" spans="1:3" x14ac:dyDescent="0.2">
      <c r="B797" s="10" t="s">
        <v>2</v>
      </c>
      <c r="C797" s="20">
        <v>2046151737</v>
      </c>
    </row>
    <row r="799" spans="1:3" x14ac:dyDescent="0.2">
      <c r="B799" s="19" t="s">
        <v>4</v>
      </c>
      <c r="C799" s="21">
        <f>C795-C797</f>
        <v>18</v>
      </c>
    </row>
    <row r="800" spans="1:3" x14ac:dyDescent="0.2">
      <c r="B800" s="17"/>
      <c r="C80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C79D-2582-234D-9436-289EF163758E}">
  <sheetPr>
    <tabColor rgb="FFFFFF00"/>
  </sheetPr>
  <dimension ref="A1:D795"/>
  <sheetViews>
    <sheetView workbookViewId="0">
      <selection activeCell="A2" sqref="A2:C789"/>
    </sheetView>
  </sheetViews>
  <sheetFormatPr baseColWidth="10" defaultRowHeight="16" x14ac:dyDescent="0.2"/>
  <cols>
    <col min="2" max="2" width="16" style="10" bestFit="1" customWidth="1"/>
    <col min="3" max="3" width="16.6640625" style="26" bestFit="1" customWidth="1"/>
    <col min="4" max="4" width="12.83203125" style="10" bestFit="1" customWidth="1"/>
  </cols>
  <sheetData>
    <row r="1" spans="1:4" x14ac:dyDescent="0.2">
      <c r="A1" t="s">
        <v>5</v>
      </c>
      <c r="B1" s="34" t="s">
        <v>0</v>
      </c>
      <c r="C1" s="35" t="s">
        <v>1</v>
      </c>
    </row>
    <row r="2" spans="1:4" x14ac:dyDescent="0.2">
      <c r="A2">
        <v>2017</v>
      </c>
      <c r="B2" s="13">
        <v>1005</v>
      </c>
      <c r="C2" s="16">
        <v>9839703</v>
      </c>
      <c r="D2" s="13"/>
    </row>
    <row r="3" spans="1:4" x14ac:dyDescent="0.2">
      <c r="A3">
        <v>2017</v>
      </c>
      <c r="B3" s="13">
        <v>1010</v>
      </c>
      <c r="C3" s="16">
        <v>2864476</v>
      </c>
      <c r="D3" s="13"/>
    </row>
    <row r="4" spans="1:4" x14ac:dyDescent="0.2">
      <c r="A4">
        <v>2017</v>
      </c>
      <c r="B4" s="13">
        <v>1015</v>
      </c>
      <c r="C4" s="16">
        <v>3355673</v>
      </c>
      <c r="D4" s="13"/>
    </row>
    <row r="5" spans="1:4" x14ac:dyDescent="0.2">
      <c r="A5">
        <v>2017</v>
      </c>
      <c r="B5" s="13">
        <v>1020</v>
      </c>
      <c r="C5" s="16">
        <v>1943864</v>
      </c>
      <c r="D5" s="13"/>
    </row>
    <row r="6" spans="1:4" x14ac:dyDescent="0.2">
      <c r="A6">
        <v>2017</v>
      </c>
      <c r="B6" s="13">
        <v>1025</v>
      </c>
      <c r="C6" s="16">
        <v>2954466</v>
      </c>
      <c r="D6" s="13"/>
    </row>
    <row r="7" spans="1:4" x14ac:dyDescent="0.2">
      <c r="A7">
        <v>2017</v>
      </c>
      <c r="B7" s="13">
        <v>1030</v>
      </c>
      <c r="C7" s="16">
        <v>4715410</v>
      </c>
      <c r="D7" s="13"/>
    </row>
    <row r="8" spans="1:4" x14ac:dyDescent="0.2">
      <c r="A8">
        <v>2017</v>
      </c>
      <c r="B8" s="13">
        <v>1035</v>
      </c>
      <c r="C8" s="16">
        <v>34111982</v>
      </c>
      <c r="D8" s="13"/>
    </row>
    <row r="9" spans="1:4" x14ac:dyDescent="0.2">
      <c r="A9">
        <v>2017</v>
      </c>
      <c r="B9" s="13">
        <v>1040</v>
      </c>
      <c r="C9" s="16">
        <v>2901991</v>
      </c>
      <c r="D9" s="13"/>
    </row>
    <row r="10" spans="1:4" x14ac:dyDescent="0.2">
      <c r="A10">
        <v>2017</v>
      </c>
      <c r="B10" s="13">
        <v>1045</v>
      </c>
      <c r="C10" s="16">
        <v>1661418</v>
      </c>
      <c r="D10" s="13"/>
    </row>
    <row r="11" spans="1:4" x14ac:dyDescent="0.2">
      <c r="A11">
        <v>2017</v>
      </c>
      <c r="B11" s="13">
        <v>1050</v>
      </c>
      <c r="C11" s="16">
        <v>4344034</v>
      </c>
      <c r="D11" s="13"/>
    </row>
    <row r="12" spans="1:4" x14ac:dyDescent="0.2">
      <c r="A12">
        <v>2017</v>
      </c>
      <c r="B12" s="13">
        <v>1055</v>
      </c>
      <c r="C12" s="16">
        <v>2090133</v>
      </c>
      <c r="D12" s="13"/>
    </row>
    <row r="13" spans="1:4" x14ac:dyDescent="0.2">
      <c r="A13">
        <v>2017</v>
      </c>
      <c r="B13" s="13">
        <v>1060</v>
      </c>
      <c r="C13" s="16">
        <v>1943555</v>
      </c>
      <c r="D13" s="13"/>
    </row>
    <row r="14" spans="1:4" x14ac:dyDescent="0.2">
      <c r="A14">
        <v>2017</v>
      </c>
      <c r="B14" s="13">
        <v>1065</v>
      </c>
      <c r="C14" s="16">
        <v>4033081</v>
      </c>
      <c r="D14" s="13"/>
    </row>
    <row r="15" spans="1:4" x14ac:dyDescent="0.2">
      <c r="A15">
        <v>2017</v>
      </c>
      <c r="B15" s="13">
        <v>1070</v>
      </c>
      <c r="C15" s="16">
        <v>2979442</v>
      </c>
      <c r="D15" s="13"/>
    </row>
    <row r="16" spans="1:4" x14ac:dyDescent="0.2">
      <c r="A16">
        <v>2017</v>
      </c>
      <c r="B16" s="13">
        <v>1075</v>
      </c>
      <c r="C16" s="16">
        <v>2036276</v>
      </c>
      <c r="D16" s="13"/>
    </row>
    <row r="17" spans="1:4" x14ac:dyDescent="0.2">
      <c r="A17">
        <v>2017</v>
      </c>
      <c r="B17" s="13">
        <v>1080</v>
      </c>
      <c r="C17" s="16">
        <v>4007040</v>
      </c>
      <c r="D17" s="13"/>
    </row>
    <row r="18" spans="1:4" x14ac:dyDescent="0.2">
      <c r="A18">
        <v>2017</v>
      </c>
      <c r="B18" s="13">
        <v>1085</v>
      </c>
      <c r="C18" s="16">
        <v>1727991</v>
      </c>
      <c r="D18" s="13"/>
    </row>
    <row r="19" spans="1:4" x14ac:dyDescent="0.2">
      <c r="A19">
        <v>2017</v>
      </c>
      <c r="B19" s="13">
        <v>1090</v>
      </c>
      <c r="C19" s="16">
        <v>2303503</v>
      </c>
      <c r="D19" s="13"/>
    </row>
    <row r="20" spans="1:4" x14ac:dyDescent="0.2">
      <c r="A20">
        <v>2017</v>
      </c>
      <c r="B20" s="13">
        <v>1095</v>
      </c>
      <c r="C20" s="16">
        <v>1154538</v>
      </c>
      <c r="D20" s="13"/>
    </row>
    <row r="21" spans="1:4" x14ac:dyDescent="0.2">
      <c r="A21">
        <v>2017</v>
      </c>
      <c r="B21" s="13">
        <v>1100</v>
      </c>
      <c r="C21" s="16">
        <v>1926492</v>
      </c>
      <c r="D21" s="13"/>
    </row>
    <row r="22" spans="1:4" x14ac:dyDescent="0.2">
      <c r="A22">
        <v>2017</v>
      </c>
      <c r="B22" s="13">
        <v>1105</v>
      </c>
      <c r="C22" s="16">
        <v>4485114</v>
      </c>
      <c r="D22" s="13"/>
    </row>
    <row r="23" spans="1:4" x14ac:dyDescent="0.2">
      <c r="A23">
        <v>2017</v>
      </c>
      <c r="B23" s="13">
        <v>1110</v>
      </c>
      <c r="C23" s="16">
        <v>3702919</v>
      </c>
      <c r="D23" s="13"/>
    </row>
    <row r="24" spans="1:4" x14ac:dyDescent="0.2">
      <c r="A24">
        <v>2017</v>
      </c>
      <c r="B24" s="13">
        <v>1115</v>
      </c>
      <c r="C24" s="16">
        <v>1191155</v>
      </c>
      <c r="D24" s="13"/>
    </row>
    <row r="25" spans="1:4" x14ac:dyDescent="0.2">
      <c r="A25">
        <v>2017</v>
      </c>
      <c r="B25" s="13">
        <v>1120</v>
      </c>
      <c r="C25" s="16">
        <v>7432826</v>
      </c>
      <c r="D25" s="13"/>
    </row>
    <row r="26" spans="1:4" x14ac:dyDescent="0.2">
      <c r="A26">
        <v>2017</v>
      </c>
      <c r="B26" s="13">
        <v>1125</v>
      </c>
      <c r="C26" s="16">
        <v>1750198</v>
      </c>
      <c r="D26" s="13"/>
    </row>
    <row r="27" spans="1:4" x14ac:dyDescent="0.2">
      <c r="A27">
        <v>2017</v>
      </c>
      <c r="B27" s="13">
        <v>1130</v>
      </c>
      <c r="C27" s="16">
        <v>771814</v>
      </c>
      <c r="D27" s="13"/>
    </row>
    <row r="28" spans="1:4" x14ac:dyDescent="0.2">
      <c r="A28">
        <v>2017</v>
      </c>
      <c r="B28" s="13">
        <v>1135</v>
      </c>
      <c r="C28" s="16">
        <v>4055615</v>
      </c>
      <c r="D28" s="13"/>
    </row>
    <row r="29" spans="1:4" x14ac:dyDescent="0.2">
      <c r="A29">
        <v>2017</v>
      </c>
      <c r="B29" s="13">
        <v>1140</v>
      </c>
      <c r="C29" s="16">
        <v>6404638</v>
      </c>
      <c r="D29" s="13"/>
    </row>
    <row r="30" spans="1:4" x14ac:dyDescent="0.2">
      <c r="A30">
        <v>2017</v>
      </c>
      <c r="B30" s="13">
        <v>1145</v>
      </c>
      <c r="C30" s="16">
        <v>940645</v>
      </c>
      <c r="D30" s="13"/>
    </row>
    <row r="31" spans="1:4" x14ac:dyDescent="0.2">
      <c r="A31">
        <v>2017</v>
      </c>
      <c r="B31" s="13">
        <v>1150</v>
      </c>
      <c r="C31" s="16">
        <v>6882022</v>
      </c>
      <c r="D31" s="13"/>
    </row>
    <row r="32" spans="1:4" x14ac:dyDescent="0.2">
      <c r="A32">
        <v>2017</v>
      </c>
      <c r="B32" s="13">
        <v>1155</v>
      </c>
      <c r="C32" s="16">
        <v>11584315</v>
      </c>
      <c r="D32" s="13"/>
    </row>
    <row r="33" spans="1:4" x14ac:dyDescent="0.2">
      <c r="A33">
        <v>2017</v>
      </c>
      <c r="B33" s="13">
        <v>1160</v>
      </c>
      <c r="C33" s="16">
        <v>13076205</v>
      </c>
      <c r="D33" s="13"/>
    </row>
    <row r="34" spans="1:4" x14ac:dyDescent="0.2">
      <c r="A34">
        <v>2017</v>
      </c>
      <c r="B34" s="13">
        <v>1165</v>
      </c>
      <c r="C34" s="16">
        <v>12614496</v>
      </c>
      <c r="D34" s="13"/>
    </row>
    <row r="35" spans="1:4" x14ac:dyDescent="0.2">
      <c r="A35">
        <v>2017</v>
      </c>
      <c r="B35" s="13">
        <v>1170</v>
      </c>
      <c r="C35" s="16">
        <v>5688395</v>
      </c>
      <c r="D35" s="13"/>
    </row>
    <row r="36" spans="1:4" x14ac:dyDescent="0.2">
      <c r="A36">
        <v>2017</v>
      </c>
      <c r="B36" s="13">
        <v>1175</v>
      </c>
      <c r="C36" s="16">
        <v>3013456</v>
      </c>
      <c r="D36" s="13"/>
    </row>
    <row r="37" spans="1:4" x14ac:dyDescent="0.2">
      <c r="A37">
        <v>2017</v>
      </c>
      <c r="B37" s="13">
        <v>1180</v>
      </c>
      <c r="C37" s="16">
        <v>1531422</v>
      </c>
      <c r="D37" s="13"/>
    </row>
    <row r="38" spans="1:4" x14ac:dyDescent="0.2">
      <c r="A38">
        <v>2017</v>
      </c>
      <c r="B38" s="13">
        <v>1185</v>
      </c>
      <c r="C38" s="16">
        <v>1514850</v>
      </c>
      <c r="D38" s="13"/>
    </row>
    <row r="39" spans="1:4" x14ac:dyDescent="0.2">
      <c r="A39">
        <v>2017</v>
      </c>
      <c r="B39" s="13">
        <v>1190</v>
      </c>
      <c r="C39" s="16">
        <v>1604517</v>
      </c>
      <c r="D39" s="13"/>
    </row>
    <row r="40" spans="1:4" x14ac:dyDescent="0.2">
      <c r="A40">
        <v>2017</v>
      </c>
      <c r="B40" s="13">
        <v>1195</v>
      </c>
      <c r="C40" s="16">
        <v>1683164</v>
      </c>
      <c r="D40" s="13"/>
    </row>
    <row r="41" spans="1:4" x14ac:dyDescent="0.2">
      <c r="A41">
        <v>2017</v>
      </c>
      <c r="B41" s="13">
        <v>1200</v>
      </c>
      <c r="C41" s="16">
        <v>1641024</v>
      </c>
      <c r="D41" s="13"/>
    </row>
    <row r="42" spans="1:4" x14ac:dyDescent="0.2">
      <c r="A42">
        <v>2017</v>
      </c>
      <c r="B42" s="13">
        <v>1205</v>
      </c>
      <c r="C42" s="16">
        <v>3114240</v>
      </c>
      <c r="D42" s="24"/>
    </row>
    <row r="43" spans="1:4" x14ac:dyDescent="0.2">
      <c r="A43">
        <v>2017</v>
      </c>
      <c r="B43" s="13">
        <v>1210</v>
      </c>
      <c r="C43" s="16">
        <v>3860421</v>
      </c>
      <c r="D43" s="25"/>
    </row>
    <row r="44" spans="1:4" x14ac:dyDescent="0.2">
      <c r="A44">
        <v>2017</v>
      </c>
      <c r="B44" s="13">
        <v>1215</v>
      </c>
      <c r="C44" s="16">
        <v>1977772</v>
      </c>
      <c r="D44" s="25"/>
    </row>
    <row r="45" spans="1:4" x14ac:dyDescent="0.2">
      <c r="A45">
        <v>2017</v>
      </c>
      <c r="B45" s="13">
        <v>1220</v>
      </c>
      <c r="C45" s="16">
        <v>2790569</v>
      </c>
      <c r="D45" s="25"/>
    </row>
    <row r="46" spans="1:4" x14ac:dyDescent="0.2">
      <c r="A46">
        <v>2017</v>
      </c>
      <c r="B46" s="13">
        <v>1225</v>
      </c>
      <c r="C46" s="16">
        <v>4220842</v>
      </c>
      <c r="D46" s="25"/>
    </row>
    <row r="47" spans="1:4" x14ac:dyDescent="0.2">
      <c r="A47">
        <v>2017</v>
      </c>
      <c r="B47" s="13">
        <v>1230</v>
      </c>
      <c r="C47" s="16">
        <v>900819</v>
      </c>
      <c r="D47" s="25"/>
    </row>
    <row r="48" spans="1:4" x14ac:dyDescent="0.2">
      <c r="A48">
        <v>2017</v>
      </c>
      <c r="B48" s="13">
        <v>1235</v>
      </c>
      <c r="C48" s="16">
        <v>30022510</v>
      </c>
      <c r="D48" s="25"/>
    </row>
    <row r="49" spans="1:4" x14ac:dyDescent="0.2">
      <c r="A49">
        <v>2017</v>
      </c>
      <c r="B49" s="13">
        <v>1240</v>
      </c>
      <c r="C49" s="16">
        <v>4494454</v>
      </c>
      <c r="D49" s="25"/>
    </row>
    <row r="50" spans="1:4" x14ac:dyDescent="0.2">
      <c r="A50">
        <v>2017</v>
      </c>
      <c r="B50" s="13">
        <v>1245</v>
      </c>
      <c r="C50" s="16">
        <v>4221985</v>
      </c>
      <c r="D50" s="25"/>
    </row>
    <row r="51" spans="1:4" x14ac:dyDescent="0.2">
      <c r="A51">
        <v>2017</v>
      </c>
      <c r="B51" s="13">
        <v>1250</v>
      </c>
      <c r="C51" s="16">
        <v>1236602</v>
      </c>
      <c r="D51" s="25"/>
    </row>
    <row r="52" spans="1:4" x14ac:dyDescent="0.2">
      <c r="A52">
        <v>2017</v>
      </c>
      <c r="B52" s="13">
        <v>1255</v>
      </c>
      <c r="C52" s="16">
        <v>4901918</v>
      </c>
      <c r="D52" s="25"/>
    </row>
    <row r="53" spans="1:4" x14ac:dyDescent="0.2">
      <c r="A53">
        <v>2017</v>
      </c>
      <c r="B53" s="13">
        <v>1260</v>
      </c>
      <c r="C53" s="16">
        <v>8472044</v>
      </c>
      <c r="D53" s="25"/>
    </row>
    <row r="54" spans="1:4" x14ac:dyDescent="0.2">
      <c r="A54">
        <v>2017</v>
      </c>
      <c r="B54" s="13">
        <v>1265</v>
      </c>
      <c r="C54" s="16">
        <v>1553503</v>
      </c>
      <c r="D54" s="25"/>
    </row>
    <row r="55" spans="1:4" x14ac:dyDescent="0.2">
      <c r="A55">
        <v>2017</v>
      </c>
      <c r="B55" s="13">
        <v>1270</v>
      </c>
      <c r="C55" s="16">
        <v>20788074</v>
      </c>
      <c r="D55" s="25"/>
    </row>
    <row r="56" spans="1:4" x14ac:dyDescent="0.2">
      <c r="A56">
        <v>2017</v>
      </c>
      <c r="B56" s="13">
        <v>1275</v>
      </c>
      <c r="C56" s="16">
        <v>1419043</v>
      </c>
      <c r="D56" s="25"/>
    </row>
    <row r="57" spans="1:4" x14ac:dyDescent="0.2">
      <c r="A57">
        <v>2017</v>
      </c>
      <c r="B57" s="13">
        <v>1280</v>
      </c>
      <c r="C57" s="16">
        <v>3887774</v>
      </c>
      <c r="D57" s="25"/>
    </row>
    <row r="58" spans="1:4" x14ac:dyDescent="0.2">
      <c r="A58">
        <v>2017</v>
      </c>
      <c r="B58" s="13">
        <v>1285</v>
      </c>
      <c r="C58" s="16">
        <v>6734433</v>
      </c>
      <c r="D58" s="25"/>
    </row>
    <row r="59" spans="1:4" x14ac:dyDescent="0.2">
      <c r="A59">
        <v>2017</v>
      </c>
      <c r="B59" s="13">
        <v>1290</v>
      </c>
      <c r="C59" s="16">
        <v>2714699</v>
      </c>
      <c r="D59" s="25"/>
    </row>
    <row r="60" spans="1:4" x14ac:dyDescent="0.2">
      <c r="A60">
        <v>2017</v>
      </c>
      <c r="B60" s="13">
        <v>1295</v>
      </c>
      <c r="C60" s="16">
        <v>1079802</v>
      </c>
      <c r="D60" s="25"/>
    </row>
    <row r="61" spans="1:4" x14ac:dyDescent="0.2">
      <c r="A61">
        <v>2017</v>
      </c>
      <c r="B61" s="13">
        <v>1300</v>
      </c>
      <c r="C61" s="16">
        <v>10170029</v>
      </c>
      <c r="D61" s="25"/>
    </row>
    <row r="62" spans="1:4" x14ac:dyDescent="0.2">
      <c r="A62">
        <v>2017</v>
      </c>
      <c r="B62" s="13">
        <v>1305</v>
      </c>
      <c r="C62" s="16">
        <v>28169565</v>
      </c>
      <c r="D62" s="25"/>
    </row>
    <row r="63" spans="1:4" x14ac:dyDescent="0.2">
      <c r="A63">
        <v>2017</v>
      </c>
      <c r="B63" s="13">
        <v>2005</v>
      </c>
      <c r="C63" s="16">
        <v>1540535</v>
      </c>
      <c r="D63" s="25"/>
    </row>
    <row r="64" spans="1:4" x14ac:dyDescent="0.2">
      <c r="A64">
        <v>2017</v>
      </c>
      <c r="B64" s="13">
        <v>2006</v>
      </c>
      <c r="C64" s="16">
        <v>1386383</v>
      </c>
      <c r="D64" s="25"/>
    </row>
    <row r="65" spans="1:4" x14ac:dyDescent="0.2">
      <c r="A65">
        <v>2017</v>
      </c>
      <c r="B65" s="13">
        <v>2007</v>
      </c>
      <c r="C65" s="16">
        <v>3787495</v>
      </c>
      <c r="D65" s="25"/>
    </row>
    <row r="66" spans="1:4" x14ac:dyDescent="0.2">
      <c r="A66">
        <v>2017</v>
      </c>
      <c r="B66" s="13">
        <v>2008</v>
      </c>
      <c r="C66" s="16">
        <v>3366291</v>
      </c>
      <c r="D66" s="25"/>
    </row>
    <row r="67" spans="1:4" x14ac:dyDescent="0.2">
      <c r="A67">
        <v>2017</v>
      </c>
      <c r="B67" s="13">
        <v>2009</v>
      </c>
      <c r="C67" s="16">
        <v>2676602</v>
      </c>
      <c r="D67" s="25"/>
    </row>
    <row r="68" spans="1:4" x14ac:dyDescent="0.2">
      <c r="A68">
        <v>2017</v>
      </c>
      <c r="B68" s="13">
        <v>2010</v>
      </c>
      <c r="C68" s="16">
        <v>8694769</v>
      </c>
      <c r="D68" s="25"/>
    </row>
    <row r="69" spans="1:4" x14ac:dyDescent="0.2">
      <c r="A69">
        <v>2017</v>
      </c>
      <c r="B69" s="13">
        <v>2014</v>
      </c>
      <c r="C69" s="16">
        <v>1156180</v>
      </c>
      <c r="D69" s="25"/>
    </row>
    <row r="70" spans="1:4" x14ac:dyDescent="0.2">
      <c r="A70">
        <v>2017</v>
      </c>
      <c r="B70" s="13">
        <v>2015</v>
      </c>
      <c r="C70" s="16">
        <v>2518138</v>
      </c>
      <c r="D70" s="25"/>
    </row>
    <row r="71" spans="1:4" x14ac:dyDescent="0.2">
      <c r="A71">
        <v>2017</v>
      </c>
      <c r="B71" s="13">
        <v>2016</v>
      </c>
      <c r="C71" s="16">
        <v>1020351</v>
      </c>
      <c r="D71" s="25"/>
    </row>
    <row r="72" spans="1:4" x14ac:dyDescent="0.2">
      <c r="A72">
        <v>2017</v>
      </c>
      <c r="B72" s="13">
        <v>2018</v>
      </c>
      <c r="C72" s="16">
        <v>2367521</v>
      </c>
      <c r="D72" s="25"/>
    </row>
    <row r="73" spans="1:4" x14ac:dyDescent="0.2">
      <c r="A73">
        <v>2017</v>
      </c>
      <c r="B73" s="13">
        <v>2020</v>
      </c>
      <c r="C73" s="16">
        <v>6153696</v>
      </c>
      <c r="D73" s="25"/>
    </row>
    <row r="74" spans="1:4" x14ac:dyDescent="0.2">
      <c r="A74">
        <v>2017</v>
      </c>
      <c r="B74" s="13">
        <v>2025</v>
      </c>
      <c r="C74" s="16">
        <v>4691493</v>
      </c>
      <c r="D74" s="25"/>
    </row>
    <row r="75" spans="1:4" x14ac:dyDescent="0.2">
      <c r="A75">
        <v>2017</v>
      </c>
      <c r="B75" s="13">
        <v>2030</v>
      </c>
      <c r="C75" s="16">
        <v>3996607</v>
      </c>
      <c r="D75" s="25"/>
    </row>
    <row r="76" spans="1:4" x14ac:dyDescent="0.2">
      <c r="A76">
        <v>2017</v>
      </c>
      <c r="B76" s="13">
        <v>2035</v>
      </c>
      <c r="C76" s="16">
        <v>1329793</v>
      </c>
      <c r="D76" s="25"/>
    </row>
    <row r="77" spans="1:4" x14ac:dyDescent="0.2">
      <c r="A77">
        <v>2017</v>
      </c>
      <c r="B77" s="13">
        <v>2040</v>
      </c>
      <c r="C77" s="16">
        <v>7453562</v>
      </c>
      <c r="D77" s="25"/>
    </row>
    <row r="78" spans="1:4" x14ac:dyDescent="0.2">
      <c r="A78">
        <v>2017</v>
      </c>
      <c r="B78" s="13">
        <v>2044</v>
      </c>
      <c r="C78" s="16">
        <v>1781808</v>
      </c>
      <c r="D78" s="25"/>
    </row>
    <row r="79" spans="1:4" x14ac:dyDescent="0.2">
      <c r="A79">
        <v>2017</v>
      </c>
      <c r="B79" s="13">
        <v>2045</v>
      </c>
      <c r="C79" s="16">
        <v>4483289</v>
      </c>
      <c r="D79" s="25"/>
    </row>
    <row r="80" spans="1:4" x14ac:dyDescent="0.2">
      <c r="A80">
        <v>2017</v>
      </c>
      <c r="B80" s="13">
        <v>2046</v>
      </c>
      <c r="C80" s="16">
        <v>3753586</v>
      </c>
      <c r="D80" s="25"/>
    </row>
    <row r="81" spans="1:4" x14ac:dyDescent="0.2">
      <c r="A81">
        <v>2017</v>
      </c>
      <c r="B81" s="13">
        <v>2047</v>
      </c>
      <c r="C81" s="16">
        <v>18298806</v>
      </c>
      <c r="D81" s="25"/>
    </row>
    <row r="82" spans="1:4" x14ac:dyDescent="0.2">
      <c r="A82">
        <v>2017</v>
      </c>
      <c r="B82" s="13">
        <v>2048</v>
      </c>
      <c r="C82" s="16">
        <v>4234222</v>
      </c>
      <c r="D82" s="25"/>
    </row>
    <row r="83" spans="1:4" x14ac:dyDescent="0.2">
      <c r="A83">
        <v>2017</v>
      </c>
      <c r="B83" s="13">
        <v>2050</v>
      </c>
      <c r="C83" s="16">
        <v>3205727</v>
      </c>
      <c r="D83" s="24"/>
    </row>
    <row r="84" spans="1:4" x14ac:dyDescent="0.2">
      <c r="A84">
        <v>2017</v>
      </c>
      <c r="B84" s="13">
        <v>2052</v>
      </c>
      <c r="C84" s="16">
        <v>2966990</v>
      </c>
      <c r="D84" s="25"/>
    </row>
    <row r="85" spans="1:4" x14ac:dyDescent="0.2">
      <c r="A85">
        <v>2017</v>
      </c>
      <c r="B85" s="13">
        <v>2055</v>
      </c>
      <c r="C85" s="16">
        <v>2420548</v>
      </c>
      <c r="D85" s="25"/>
    </row>
    <row r="86" spans="1:4" x14ac:dyDescent="0.2">
      <c r="A86">
        <v>2017</v>
      </c>
      <c r="B86" s="13">
        <v>2056</v>
      </c>
      <c r="C86" s="16">
        <v>3107567</v>
      </c>
      <c r="D86" s="25"/>
    </row>
    <row r="87" spans="1:4" x14ac:dyDescent="0.2">
      <c r="A87">
        <v>2017</v>
      </c>
      <c r="B87" s="13">
        <v>2057</v>
      </c>
      <c r="C87" s="16">
        <v>4008670</v>
      </c>
      <c r="D87" s="25"/>
    </row>
    <row r="88" spans="1:4" x14ac:dyDescent="0.2">
      <c r="A88">
        <v>2017</v>
      </c>
      <c r="B88" s="13">
        <v>2058</v>
      </c>
      <c r="C88" s="16">
        <v>2465150</v>
      </c>
      <c r="D88" s="25"/>
    </row>
    <row r="89" spans="1:4" x14ac:dyDescent="0.2">
      <c r="A89">
        <v>2017</v>
      </c>
      <c r="B89" s="13">
        <v>2059</v>
      </c>
      <c r="C89" s="16">
        <v>4012824</v>
      </c>
      <c r="D89" s="25"/>
    </row>
    <row r="90" spans="1:4" x14ac:dyDescent="0.2">
      <c r="A90">
        <v>2017</v>
      </c>
      <c r="B90" s="13">
        <v>2060</v>
      </c>
      <c r="C90" s="16">
        <v>1051769</v>
      </c>
      <c r="D90" s="25"/>
    </row>
    <row r="91" spans="1:4" x14ac:dyDescent="0.2">
      <c r="A91">
        <v>2017</v>
      </c>
      <c r="B91" s="13">
        <v>2061</v>
      </c>
      <c r="C91" s="16">
        <v>1171503</v>
      </c>
      <c r="D91" s="25"/>
    </row>
    <row r="92" spans="1:4" x14ac:dyDescent="0.2">
      <c r="A92">
        <v>2017</v>
      </c>
      <c r="B92" s="13">
        <v>2062</v>
      </c>
      <c r="C92" s="16">
        <v>1891467</v>
      </c>
      <c r="D92" s="25"/>
    </row>
    <row r="93" spans="1:4" x14ac:dyDescent="0.2">
      <c r="A93">
        <v>2017</v>
      </c>
      <c r="B93" s="13">
        <v>2063</v>
      </c>
      <c r="C93" s="16">
        <v>941442</v>
      </c>
      <c r="D93" s="25"/>
    </row>
    <row r="94" spans="1:4" x14ac:dyDescent="0.2">
      <c r="A94">
        <v>2017</v>
      </c>
      <c r="B94" s="13">
        <v>2064</v>
      </c>
      <c r="C94" s="16">
        <v>2938361</v>
      </c>
      <c r="D94" s="25"/>
    </row>
    <row r="95" spans="1:4" x14ac:dyDescent="0.2">
      <c r="A95">
        <v>2017</v>
      </c>
      <c r="B95" s="13">
        <v>2065</v>
      </c>
      <c r="C95" s="16">
        <v>2425158</v>
      </c>
      <c r="D95" s="25"/>
    </row>
    <row r="96" spans="1:4" x14ac:dyDescent="0.2">
      <c r="A96">
        <v>2017</v>
      </c>
      <c r="B96" s="13">
        <v>2066</v>
      </c>
      <c r="C96" s="16">
        <v>6190371</v>
      </c>
      <c r="D96" s="25"/>
    </row>
    <row r="97" spans="1:4" x14ac:dyDescent="0.2">
      <c r="A97">
        <v>2017</v>
      </c>
      <c r="B97" s="13">
        <v>2067</v>
      </c>
      <c r="C97" s="16">
        <v>9406328</v>
      </c>
      <c r="D97" s="25"/>
    </row>
    <row r="98" spans="1:4" x14ac:dyDescent="0.2">
      <c r="A98">
        <v>2017</v>
      </c>
      <c r="B98" s="13">
        <v>2068</v>
      </c>
      <c r="C98" s="16">
        <v>8252116</v>
      </c>
      <c r="D98" s="25"/>
    </row>
    <row r="99" spans="1:4" x14ac:dyDescent="0.2">
      <c r="A99">
        <v>2017</v>
      </c>
      <c r="B99" s="13">
        <v>2069</v>
      </c>
      <c r="C99" s="16">
        <v>1140865</v>
      </c>
      <c r="D99" s="25"/>
    </row>
    <row r="100" spans="1:4" x14ac:dyDescent="0.2">
      <c r="A100">
        <v>2017</v>
      </c>
      <c r="B100" s="13">
        <v>2070</v>
      </c>
      <c r="C100" s="16">
        <v>1545559</v>
      </c>
      <c r="D100" s="25"/>
    </row>
    <row r="101" spans="1:4" x14ac:dyDescent="0.2">
      <c r="A101">
        <v>2017</v>
      </c>
      <c r="B101" s="13">
        <v>2071</v>
      </c>
      <c r="C101" s="16">
        <v>1252965</v>
      </c>
      <c r="D101" s="25"/>
    </row>
    <row r="102" spans="1:4" x14ac:dyDescent="0.2">
      <c r="A102">
        <v>2017</v>
      </c>
      <c r="B102" s="13">
        <v>2072</v>
      </c>
      <c r="C102" s="16">
        <v>1452534</v>
      </c>
      <c r="D102" s="25"/>
    </row>
    <row r="103" spans="1:4" x14ac:dyDescent="0.2">
      <c r="A103">
        <v>2017</v>
      </c>
      <c r="B103" s="13">
        <v>2073</v>
      </c>
      <c r="C103" s="16">
        <v>3039899</v>
      </c>
      <c r="D103" s="25"/>
    </row>
    <row r="104" spans="1:4" x14ac:dyDescent="0.2">
      <c r="A104">
        <v>2017</v>
      </c>
      <c r="B104" s="13">
        <v>2074</v>
      </c>
      <c r="C104" s="16">
        <v>3222083</v>
      </c>
      <c r="D104" s="25"/>
    </row>
    <row r="105" spans="1:4" x14ac:dyDescent="0.2">
      <c r="A105">
        <v>2017</v>
      </c>
      <c r="B105" s="13">
        <v>2075</v>
      </c>
      <c r="C105" s="16">
        <v>5881992</v>
      </c>
      <c r="D105" s="25"/>
    </row>
    <row r="106" spans="1:4" x14ac:dyDescent="0.2">
      <c r="A106">
        <v>2017</v>
      </c>
      <c r="B106" s="13">
        <v>2076</v>
      </c>
      <c r="C106" s="16">
        <v>3549585</v>
      </c>
      <c r="D106" s="25"/>
    </row>
    <row r="107" spans="1:4" x14ac:dyDescent="0.2">
      <c r="A107">
        <v>2017</v>
      </c>
      <c r="B107" s="13">
        <v>2077</v>
      </c>
      <c r="C107" s="16">
        <v>1016180</v>
      </c>
      <c r="D107" s="25"/>
    </row>
    <row r="108" spans="1:4" x14ac:dyDescent="0.2">
      <c r="A108">
        <v>2017</v>
      </c>
      <c r="B108" s="13">
        <v>2078</v>
      </c>
      <c r="C108" s="16">
        <v>9533321</v>
      </c>
      <c r="D108" s="25"/>
    </row>
    <row r="109" spans="1:4" x14ac:dyDescent="0.2">
      <c r="A109">
        <v>2017</v>
      </c>
      <c r="B109" s="13">
        <v>2079</v>
      </c>
      <c r="C109" s="16">
        <v>5262535</v>
      </c>
      <c r="D109" s="25"/>
    </row>
    <row r="110" spans="1:4" x14ac:dyDescent="0.2">
      <c r="A110">
        <v>2017</v>
      </c>
      <c r="B110" s="13">
        <v>2080</v>
      </c>
      <c r="C110" s="16">
        <v>1199192</v>
      </c>
      <c r="D110" s="25"/>
    </row>
    <row r="111" spans="1:4" x14ac:dyDescent="0.2">
      <c r="A111">
        <v>2017</v>
      </c>
      <c r="B111" s="13">
        <v>2081</v>
      </c>
      <c r="C111" s="16">
        <v>1515586</v>
      </c>
      <c r="D111" s="25"/>
    </row>
    <row r="112" spans="1:4" x14ac:dyDescent="0.2">
      <c r="A112">
        <v>2017</v>
      </c>
      <c r="B112" s="13">
        <v>2082</v>
      </c>
      <c r="C112" s="16">
        <v>851377</v>
      </c>
      <c r="D112" s="25"/>
    </row>
    <row r="113" spans="1:4" x14ac:dyDescent="0.2">
      <c r="A113">
        <v>2017</v>
      </c>
      <c r="B113" s="13">
        <v>2083</v>
      </c>
      <c r="C113" s="16">
        <v>1995559</v>
      </c>
      <c r="D113" s="25"/>
    </row>
    <row r="114" spans="1:4" x14ac:dyDescent="0.2">
      <c r="A114">
        <v>2017</v>
      </c>
      <c r="B114" s="13">
        <v>2084</v>
      </c>
      <c r="C114" s="16">
        <v>3315376</v>
      </c>
      <c r="D114" s="25"/>
    </row>
    <row r="115" spans="1:4" x14ac:dyDescent="0.2">
      <c r="A115">
        <v>2017</v>
      </c>
      <c r="B115" s="13">
        <v>2085</v>
      </c>
      <c r="C115" s="16">
        <v>1613117</v>
      </c>
      <c r="D115" s="25"/>
    </row>
    <row r="116" spans="1:4" x14ac:dyDescent="0.2">
      <c r="A116">
        <v>2017</v>
      </c>
      <c r="B116" s="13">
        <v>2086</v>
      </c>
      <c r="C116" s="16">
        <v>5639571</v>
      </c>
      <c r="D116" s="25"/>
    </row>
    <row r="117" spans="1:4" x14ac:dyDescent="0.2">
      <c r="A117">
        <v>2017</v>
      </c>
      <c r="B117" s="13">
        <v>2090</v>
      </c>
      <c r="C117" s="16">
        <v>2474134</v>
      </c>
      <c r="D117" s="25"/>
    </row>
    <row r="118" spans="1:4" x14ac:dyDescent="0.2">
      <c r="A118">
        <v>2017</v>
      </c>
      <c r="B118" s="13">
        <v>2095</v>
      </c>
      <c r="C118" s="16">
        <v>2392548</v>
      </c>
      <c r="D118" s="25"/>
    </row>
    <row r="119" spans="1:4" x14ac:dyDescent="0.2">
      <c r="A119">
        <v>2017</v>
      </c>
      <c r="B119" s="13">
        <v>2104</v>
      </c>
      <c r="C119" s="16">
        <v>1385370</v>
      </c>
      <c r="D119" s="25"/>
    </row>
    <row r="120" spans="1:4" x14ac:dyDescent="0.2">
      <c r="A120">
        <v>2017</v>
      </c>
      <c r="B120" s="13">
        <v>2105</v>
      </c>
      <c r="C120" s="16">
        <v>1259298</v>
      </c>
      <c r="D120" s="25"/>
    </row>
    <row r="121" spans="1:4" x14ac:dyDescent="0.2">
      <c r="A121">
        <v>2017</v>
      </c>
      <c r="B121" s="13">
        <v>2110</v>
      </c>
      <c r="C121" s="16">
        <v>3785207</v>
      </c>
      <c r="D121" s="25"/>
    </row>
    <row r="122" spans="1:4" x14ac:dyDescent="0.2">
      <c r="A122">
        <v>2017</v>
      </c>
      <c r="B122" s="13">
        <v>2112</v>
      </c>
      <c r="C122" s="16">
        <v>2580759</v>
      </c>
      <c r="D122" s="25"/>
    </row>
    <row r="123" spans="1:4" x14ac:dyDescent="0.2">
      <c r="A123">
        <v>2017</v>
      </c>
      <c r="B123" s="13">
        <v>2115</v>
      </c>
      <c r="C123" s="16">
        <v>5406083</v>
      </c>
      <c r="D123" s="25"/>
    </row>
    <row r="124" spans="1:4" x14ac:dyDescent="0.2">
      <c r="A124">
        <v>2017</v>
      </c>
      <c r="B124" s="13">
        <v>2120</v>
      </c>
      <c r="C124" s="16">
        <v>9696355</v>
      </c>
      <c r="D124" s="24"/>
    </row>
    <row r="125" spans="1:4" x14ac:dyDescent="0.2">
      <c r="A125">
        <v>2017</v>
      </c>
      <c r="B125" s="13">
        <v>2125</v>
      </c>
      <c r="C125" s="16">
        <v>1012743</v>
      </c>
      <c r="D125" s="25"/>
    </row>
    <row r="126" spans="1:4" x14ac:dyDescent="0.2">
      <c r="A126">
        <v>2017</v>
      </c>
      <c r="B126" s="13">
        <v>2130</v>
      </c>
      <c r="C126" s="16">
        <v>1834641</v>
      </c>
      <c r="D126" s="25"/>
    </row>
    <row r="127" spans="1:4" x14ac:dyDescent="0.2">
      <c r="A127">
        <v>2017</v>
      </c>
      <c r="B127" s="13">
        <v>2135</v>
      </c>
      <c r="C127" s="16">
        <v>3404868</v>
      </c>
      <c r="D127" s="25"/>
    </row>
    <row r="128" spans="1:4" x14ac:dyDescent="0.2">
      <c r="A128">
        <v>2017</v>
      </c>
      <c r="B128" s="13">
        <v>2140</v>
      </c>
      <c r="C128" s="16">
        <v>2994462</v>
      </c>
      <c r="D128" s="25"/>
    </row>
    <row r="129" spans="1:4" x14ac:dyDescent="0.2">
      <c r="A129">
        <v>2017</v>
      </c>
      <c r="B129" s="13">
        <v>2145</v>
      </c>
      <c r="C129" s="16">
        <v>4381944</v>
      </c>
      <c r="D129" s="25"/>
    </row>
    <row r="130" spans="1:4" x14ac:dyDescent="0.2">
      <c r="A130">
        <v>2017</v>
      </c>
      <c r="B130" s="13">
        <v>2146</v>
      </c>
      <c r="C130" s="16">
        <v>4503455</v>
      </c>
      <c r="D130" s="25"/>
    </row>
    <row r="131" spans="1:4" x14ac:dyDescent="0.2">
      <c r="A131">
        <v>2017</v>
      </c>
      <c r="B131" s="13">
        <v>2147</v>
      </c>
      <c r="C131" s="16">
        <v>1154407</v>
      </c>
      <c r="D131" s="25"/>
    </row>
    <row r="132" spans="1:4" x14ac:dyDescent="0.2">
      <c r="A132">
        <v>2017</v>
      </c>
      <c r="B132" s="13">
        <v>2148</v>
      </c>
      <c r="C132" s="16">
        <v>2750399</v>
      </c>
      <c r="D132" s="25"/>
    </row>
    <row r="133" spans="1:4" x14ac:dyDescent="0.2">
      <c r="A133">
        <v>2017</v>
      </c>
      <c r="B133" s="13">
        <v>2149</v>
      </c>
      <c r="C133" s="16">
        <v>1839651</v>
      </c>
      <c r="D133" s="25"/>
    </row>
    <row r="134" spans="1:4" x14ac:dyDescent="0.2">
      <c r="A134">
        <v>2017</v>
      </c>
      <c r="B134" s="13">
        <v>2150</v>
      </c>
      <c r="C134" s="16">
        <v>732477</v>
      </c>
      <c r="D134" s="25"/>
    </row>
    <row r="135" spans="1:4" x14ac:dyDescent="0.2">
      <c r="A135">
        <v>2017</v>
      </c>
      <c r="B135" s="13">
        <v>2155</v>
      </c>
      <c r="C135" s="16">
        <v>2795022</v>
      </c>
      <c r="D135" s="25"/>
    </row>
    <row r="136" spans="1:4" x14ac:dyDescent="0.2">
      <c r="A136">
        <v>2017</v>
      </c>
      <c r="B136" s="13">
        <v>2160</v>
      </c>
      <c r="C136" s="16">
        <v>5216257</v>
      </c>
      <c r="D136" s="25"/>
    </row>
    <row r="137" spans="1:4" x14ac:dyDescent="0.2">
      <c r="A137">
        <v>2017</v>
      </c>
      <c r="B137" s="13">
        <v>2165</v>
      </c>
      <c r="C137" s="16">
        <v>1685864</v>
      </c>
      <c r="D137" s="25"/>
    </row>
    <row r="138" spans="1:4" x14ac:dyDescent="0.2">
      <c r="A138">
        <v>2017</v>
      </c>
      <c r="B138" s="13">
        <v>2170</v>
      </c>
      <c r="C138" s="16">
        <v>7566812</v>
      </c>
      <c r="D138" s="25"/>
    </row>
    <row r="139" spans="1:4" x14ac:dyDescent="0.2">
      <c r="A139">
        <v>2017</v>
      </c>
      <c r="B139" s="13">
        <v>2175</v>
      </c>
      <c r="C139" s="16">
        <v>684402</v>
      </c>
      <c r="D139" s="25"/>
    </row>
    <row r="140" spans="1:4" x14ac:dyDescent="0.2">
      <c r="A140">
        <v>2017</v>
      </c>
      <c r="B140" s="13">
        <v>2180</v>
      </c>
      <c r="C140" s="16">
        <v>1429197</v>
      </c>
      <c r="D140" s="25"/>
    </row>
    <row r="141" spans="1:4" x14ac:dyDescent="0.2">
      <c r="A141">
        <v>2017</v>
      </c>
      <c r="B141" s="13">
        <v>2185</v>
      </c>
      <c r="C141" s="16">
        <v>8055806</v>
      </c>
      <c r="D141" s="25"/>
    </row>
    <row r="142" spans="1:4" x14ac:dyDescent="0.2">
      <c r="A142">
        <v>2017</v>
      </c>
      <c r="B142" s="13">
        <v>2187</v>
      </c>
      <c r="C142" s="16">
        <v>3764532</v>
      </c>
      <c r="D142" s="25"/>
    </row>
    <row r="143" spans="1:4" x14ac:dyDescent="0.2">
      <c r="A143">
        <v>2017</v>
      </c>
      <c r="B143" s="13">
        <v>2190</v>
      </c>
      <c r="C143" s="16">
        <v>5256477</v>
      </c>
      <c r="D143" s="25"/>
    </row>
    <row r="144" spans="1:4" x14ac:dyDescent="0.2">
      <c r="A144">
        <v>2017</v>
      </c>
      <c r="B144" s="13">
        <v>2191</v>
      </c>
      <c r="C144" s="16">
        <v>3666867</v>
      </c>
      <c r="D144" s="25"/>
    </row>
    <row r="145" spans="1:4" x14ac:dyDescent="0.2">
      <c r="A145">
        <v>2017</v>
      </c>
      <c r="B145" s="13">
        <v>2195</v>
      </c>
      <c r="C145" s="16">
        <v>1115149</v>
      </c>
      <c r="D145" s="25"/>
    </row>
    <row r="146" spans="1:4" x14ac:dyDescent="0.2">
      <c r="A146">
        <v>2017</v>
      </c>
      <c r="B146" s="13">
        <v>2196</v>
      </c>
      <c r="C146" s="16">
        <v>1255226</v>
      </c>
      <c r="D146" s="25"/>
    </row>
    <row r="147" spans="1:4" x14ac:dyDescent="0.2">
      <c r="A147">
        <v>2017</v>
      </c>
      <c r="B147" s="13">
        <v>2198</v>
      </c>
      <c r="C147" s="16">
        <v>2629003</v>
      </c>
      <c r="D147" s="25"/>
    </row>
    <row r="148" spans="1:4" x14ac:dyDescent="0.2">
      <c r="A148">
        <v>2017</v>
      </c>
      <c r="B148" s="13">
        <v>2200</v>
      </c>
      <c r="C148" s="16">
        <v>11203344</v>
      </c>
      <c r="D148" s="25"/>
    </row>
    <row r="149" spans="1:4" x14ac:dyDescent="0.2">
      <c r="A149">
        <v>2017</v>
      </c>
      <c r="B149" s="13">
        <v>2204</v>
      </c>
      <c r="C149" s="16">
        <v>10112327</v>
      </c>
      <c r="D149" s="25"/>
    </row>
    <row r="150" spans="1:4" x14ac:dyDescent="0.2">
      <c r="A150">
        <v>2017</v>
      </c>
      <c r="B150" s="13">
        <v>2205</v>
      </c>
      <c r="C150" s="16">
        <v>298536</v>
      </c>
      <c r="D150" s="25"/>
    </row>
    <row r="151" spans="1:4" x14ac:dyDescent="0.2">
      <c r="A151">
        <v>2017</v>
      </c>
      <c r="B151" s="13">
        <v>2206</v>
      </c>
      <c r="C151" s="16">
        <v>1497572</v>
      </c>
      <c r="D151" s="25"/>
    </row>
    <row r="152" spans="1:4" x14ac:dyDescent="0.2">
      <c r="A152">
        <v>2017</v>
      </c>
      <c r="B152" s="13">
        <v>2207</v>
      </c>
      <c r="C152" s="16">
        <v>2864602</v>
      </c>
      <c r="D152" s="25"/>
    </row>
    <row r="153" spans="1:4" x14ac:dyDescent="0.2">
      <c r="A153">
        <v>2017</v>
      </c>
      <c r="B153" s="13">
        <v>2208</v>
      </c>
      <c r="C153" s="16">
        <v>4615090</v>
      </c>
      <c r="D153" s="25"/>
    </row>
    <row r="154" spans="1:4" x14ac:dyDescent="0.2">
      <c r="A154">
        <v>2017</v>
      </c>
      <c r="B154" s="13">
        <v>2209</v>
      </c>
      <c r="C154" s="16">
        <v>11046553</v>
      </c>
      <c r="D154" s="25"/>
    </row>
    <row r="155" spans="1:4" x14ac:dyDescent="0.2">
      <c r="A155">
        <v>2017</v>
      </c>
      <c r="B155" s="13">
        <v>2210</v>
      </c>
      <c r="C155" s="16">
        <v>2945989</v>
      </c>
      <c r="D155" s="25"/>
    </row>
    <row r="156" spans="1:4" x14ac:dyDescent="0.2">
      <c r="A156">
        <v>2017</v>
      </c>
      <c r="B156" s="13">
        <v>2212</v>
      </c>
      <c r="C156" s="16">
        <v>3962953</v>
      </c>
      <c r="D156" s="25"/>
    </row>
    <row r="157" spans="1:4" x14ac:dyDescent="0.2">
      <c r="A157">
        <v>2017</v>
      </c>
      <c r="B157" s="13">
        <v>2215</v>
      </c>
      <c r="C157" s="16">
        <v>5694416</v>
      </c>
      <c r="D157" s="25"/>
    </row>
    <row r="158" spans="1:4" x14ac:dyDescent="0.2">
      <c r="A158">
        <v>2017</v>
      </c>
      <c r="B158" s="13">
        <v>2220</v>
      </c>
      <c r="C158" s="16">
        <v>2353177</v>
      </c>
      <c r="D158" s="25"/>
    </row>
    <row r="159" spans="1:4" x14ac:dyDescent="0.2">
      <c r="A159">
        <v>2017</v>
      </c>
      <c r="B159" s="13">
        <v>2224</v>
      </c>
      <c r="C159" s="16">
        <v>5111252</v>
      </c>
      <c r="D159" s="25"/>
    </row>
    <row r="160" spans="1:4" x14ac:dyDescent="0.2">
      <c r="A160">
        <v>2017</v>
      </c>
      <c r="B160" s="13">
        <v>2225</v>
      </c>
      <c r="C160" s="16">
        <v>9155486</v>
      </c>
      <c r="D160" s="25"/>
    </row>
    <row r="161" spans="1:4" x14ac:dyDescent="0.2">
      <c r="A161">
        <v>2017</v>
      </c>
      <c r="B161" s="13">
        <v>2230</v>
      </c>
      <c r="C161" s="16">
        <v>7307296</v>
      </c>
      <c r="D161" s="25"/>
    </row>
    <row r="162" spans="1:4" x14ac:dyDescent="0.2">
      <c r="A162">
        <v>2017</v>
      </c>
      <c r="B162" s="13">
        <v>2231</v>
      </c>
      <c r="C162" s="16">
        <v>3689869</v>
      </c>
      <c r="D162" s="25"/>
    </row>
    <row r="163" spans="1:4" x14ac:dyDescent="0.2">
      <c r="A163">
        <v>2017</v>
      </c>
      <c r="B163" s="13">
        <v>2235</v>
      </c>
      <c r="C163" s="16">
        <v>732693</v>
      </c>
      <c r="D163" s="25"/>
    </row>
    <row r="164" spans="1:4" x14ac:dyDescent="0.2">
      <c r="A164">
        <v>2017</v>
      </c>
      <c r="B164" s="13">
        <v>2239</v>
      </c>
      <c r="C164" s="16">
        <v>3437777</v>
      </c>
      <c r="D164" s="25"/>
    </row>
    <row r="165" spans="1:4" x14ac:dyDescent="0.2">
      <c r="A165">
        <v>2017</v>
      </c>
      <c r="B165" s="13">
        <v>2240</v>
      </c>
      <c r="C165" s="16">
        <v>6267704</v>
      </c>
      <c r="D165" s="24"/>
    </row>
    <row r="166" spans="1:4" x14ac:dyDescent="0.2">
      <c r="A166">
        <v>2017</v>
      </c>
      <c r="B166" s="13">
        <v>2241</v>
      </c>
      <c r="C166" s="16">
        <v>1009072</v>
      </c>
      <c r="D166" s="25"/>
    </row>
    <row r="167" spans="1:4" x14ac:dyDescent="0.2">
      <c r="A167">
        <v>2017</v>
      </c>
      <c r="B167" s="13">
        <v>2242</v>
      </c>
      <c r="C167" s="16">
        <v>1764642</v>
      </c>
      <c r="D167" s="25"/>
    </row>
    <row r="168" spans="1:4" x14ac:dyDescent="0.2">
      <c r="A168">
        <v>2017</v>
      </c>
      <c r="B168" s="13">
        <v>2243</v>
      </c>
      <c r="C168" s="16">
        <v>1777933</v>
      </c>
      <c r="D168" s="25"/>
    </row>
    <row r="169" spans="1:4" x14ac:dyDescent="0.2">
      <c r="A169">
        <v>2017</v>
      </c>
      <c r="B169" s="13">
        <v>2244</v>
      </c>
      <c r="C169" s="16">
        <v>1050358</v>
      </c>
      <c r="D169" s="25"/>
    </row>
    <row r="170" spans="1:4" x14ac:dyDescent="0.2">
      <c r="A170">
        <v>2017</v>
      </c>
      <c r="B170" s="13">
        <v>2245</v>
      </c>
      <c r="C170" s="16">
        <v>2877035</v>
      </c>
      <c r="D170" s="25"/>
    </row>
    <row r="171" spans="1:4" x14ac:dyDescent="0.2">
      <c r="A171">
        <v>2017</v>
      </c>
      <c r="B171" s="13">
        <v>2250</v>
      </c>
      <c r="C171" s="16">
        <v>1660295</v>
      </c>
      <c r="D171" s="25"/>
    </row>
    <row r="172" spans="1:4" x14ac:dyDescent="0.2">
      <c r="A172">
        <v>2017</v>
      </c>
      <c r="B172" s="13">
        <v>2255</v>
      </c>
      <c r="C172" s="16">
        <v>5307536</v>
      </c>
      <c r="D172" s="25"/>
    </row>
    <row r="173" spans="1:4" x14ac:dyDescent="0.2">
      <c r="A173">
        <v>2017</v>
      </c>
      <c r="B173" s="13">
        <v>2260</v>
      </c>
      <c r="C173" s="16">
        <v>3729036</v>
      </c>
      <c r="D173" s="25"/>
    </row>
    <row r="174" spans="1:4" x14ac:dyDescent="0.2">
      <c r="A174">
        <v>2017</v>
      </c>
      <c r="B174" s="13">
        <v>2266</v>
      </c>
      <c r="C174" s="16">
        <v>3054231</v>
      </c>
      <c r="D174" s="25"/>
    </row>
    <row r="175" spans="1:4" x14ac:dyDescent="0.2">
      <c r="A175">
        <v>2017</v>
      </c>
      <c r="B175" s="13">
        <v>2268</v>
      </c>
      <c r="C175" s="16">
        <v>1684749</v>
      </c>
      <c r="D175" s="25"/>
    </row>
    <row r="176" spans="1:4" x14ac:dyDescent="0.2">
      <c r="A176">
        <v>2017</v>
      </c>
      <c r="B176" s="13">
        <v>2270</v>
      </c>
      <c r="C176" s="16">
        <v>2917787</v>
      </c>
      <c r="D176" s="25"/>
    </row>
    <row r="177" spans="1:4" x14ac:dyDescent="0.2">
      <c r="A177">
        <v>2017</v>
      </c>
      <c r="B177" s="13">
        <v>2271</v>
      </c>
      <c r="C177" s="16">
        <v>1994100</v>
      </c>
      <c r="D177" s="25"/>
    </row>
    <row r="178" spans="1:4" x14ac:dyDescent="0.2">
      <c r="A178">
        <v>2017</v>
      </c>
      <c r="B178" s="13">
        <v>2272</v>
      </c>
      <c r="C178" s="16">
        <v>3095080</v>
      </c>
      <c r="D178" s="25"/>
    </row>
    <row r="179" spans="1:4" x14ac:dyDescent="0.2">
      <c r="A179">
        <v>2017</v>
      </c>
      <c r="B179" s="13">
        <v>2275</v>
      </c>
      <c r="C179" s="16">
        <v>5704789</v>
      </c>
      <c r="D179" s="25"/>
    </row>
    <row r="180" spans="1:4" x14ac:dyDescent="0.2">
      <c r="A180">
        <v>2017</v>
      </c>
      <c r="B180" s="13">
        <v>2280</v>
      </c>
      <c r="C180" s="16">
        <v>1856077</v>
      </c>
      <c r="D180" s="25"/>
    </row>
    <row r="181" spans="1:4" x14ac:dyDescent="0.2">
      <c r="A181">
        <v>2017</v>
      </c>
      <c r="B181" s="13">
        <v>2281</v>
      </c>
      <c r="C181" s="16">
        <v>1145591</v>
      </c>
      <c r="D181" s="25"/>
    </row>
    <row r="182" spans="1:4" x14ac:dyDescent="0.2">
      <c r="A182">
        <v>2017</v>
      </c>
      <c r="B182" s="13">
        <v>2282</v>
      </c>
      <c r="C182" s="16">
        <v>5171780</v>
      </c>
      <c r="D182" s="25"/>
    </row>
    <row r="183" spans="1:4" x14ac:dyDescent="0.2">
      <c r="A183">
        <v>2017</v>
      </c>
      <c r="B183" s="13">
        <v>2285</v>
      </c>
      <c r="C183" s="16">
        <v>7265828</v>
      </c>
      <c r="D183" s="25"/>
    </row>
    <row r="184" spans="1:4" x14ac:dyDescent="0.2">
      <c r="A184">
        <v>2017</v>
      </c>
      <c r="B184" s="13">
        <v>2286</v>
      </c>
      <c r="C184" s="16">
        <v>3929326</v>
      </c>
      <c r="D184" s="25"/>
    </row>
    <row r="185" spans="1:4" x14ac:dyDescent="0.2">
      <c r="A185">
        <v>2017</v>
      </c>
      <c r="B185" s="13">
        <v>2288</v>
      </c>
      <c r="C185" s="16">
        <v>2325198</v>
      </c>
      <c r="D185" s="25"/>
    </row>
    <row r="186" spans="1:4" x14ac:dyDescent="0.2">
      <c r="A186">
        <v>2017</v>
      </c>
      <c r="B186" s="13">
        <v>2289</v>
      </c>
      <c r="C186" s="16">
        <v>7310119</v>
      </c>
      <c r="D186" s="25"/>
    </row>
    <row r="187" spans="1:4" x14ac:dyDescent="0.2">
      <c r="A187">
        <v>2017</v>
      </c>
      <c r="B187" s="13">
        <v>2290</v>
      </c>
      <c r="C187" s="16">
        <v>4061699</v>
      </c>
      <c r="D187" s="25"/>
    </row>
    <row r="188" spans="1:4" x14ac:dyDescent="0.2">
      <c r="A188">
        <v>2017</v>
      </c>
      <c r="B188" s="13">
        <v>2295</v>
      </c>
      <c r="C188" s="16">
        <v>1841183</v>
      </c>
      <c r="D188" s="25"/>
    </row>
    <row r="189" spans="1:4" x14ac:dyDescent="0.2">
      <c r="A189">
        <v>2017</v>
      </c>
      <c r="B189" s="13">
        <v>2300</v>
      </c>
      <c r="C189" s="16">
        <v>4131134</v>
      </c>
      <c r="D189" s="25"/>
    </row>
    <row r="190" spans="1:4" x14ac:dyDescent="0.2">
      <c r="A190">
        <v>2017</v>
      </c>
      <c r="B190" s="13">
        <v>2305</v>
      </c>
      <c r="C190" s="16">
        <v>985910</v>
      </c>
      <c r="D190" s="25"/>
    </row>
    <row r="191" spans="1:4" x14ac:dyDescent="0.2">
      <c r="A191">
        <v>2017</v>
      </c>
      <c r="B191" s="13">
        <v>2310</v>
      </c>
      <c r="C191" s="16">
        <v>11001206</v>
      </c>
      <c r="D191" s="25"/>
    </row>
    <row r="192" spans="1:4" x14ac:dyDescent="0.2">
      <c r="A192">
        <v>2017</v>
      </c>
      <c r="B192" s="13">
        <v>2315</v>
      </c>
      <c r="C192" s="16">
        <v>1776333</v>
      </c>
      <c r="D192" s="25"/>
    </row>
    <row r="193" spans="1:4" x14ac:dyDescent="0.2">
      <c r="A193">
        <v>2017</v>
      </c>
      <c r="B193" s="13">
        <v>2317</v>
      </c>
      <c r="C193" s="16">
        <v>1733815</v>
      </c>
      <c r="D193" s="25"/>
    </row>
    <row r="194" spans="1:4" x14ac:dyDescent="0.2">
      <c r="A194">
        <v>2017</v>
      </c>
      <c r="B194" s="13">
        <v>2320</v>
      </c>
      <c r="C194" s="16">
        <v>7368308</v>
      </c>
      <c r="D194" s="25"/>
    </row>
    <row r="195" spans="1:4" x14ac:dyDescent="0.2">
      <c r="A195">
        <v>2017</v>
      </c>
      <c r="B195" s="13">
        <v>2325</v>
      </c>
      <c r="C195" s="16">
        <v>6547803</v>
      </c>
      <c r="D195" s="25"/>
    </row>
    <row r="196" spans="1:4" x14ac:dyDescent="0.2">
      <c r="A196">
        <v>2017</v>
      </c>
      <c r="B196" s="13">
        <v>2328</v>
      </c>
      <c r="C196" s="16">
        <v>1504952</v>
      </c>
      <c r="D196" s="25"/>
    </row>
    <row r="197" spans="1:4" x14ac:dyDescent="0.2">
      <c r="A197">
        <v>2017</v>
      </c>
      <c r="B197" s="13">
        <v>2330</v>
      </c>
      <c r="C197" s="16">
        <v>3809532</v>
      </c>
      <c r="D197" s="25"/>
    </row>
    <row r="198" spans="1:4" x14ac:dyDescent="0.2">
      <c r="A198">
        <v>2017</v>
      </c>
      <c r="B198" s="13">
        <v>2335</v>
      </c>
      <c r="C198" s="16">
        <v>4305519</v>
      </c>
      <c r="D198" s="25"/>
    </row>
    <row r="199" spans="1:4" x14ac:dyDescent="0.2">
      <c r="A199">
        <v>2017</v>
      </c>
      <c r="B199" s="13">
        <v>2338</v>
      </c>
      <c r="C199" s="16">
        <v>5953062</v>
      </c>
      <c r="D199" s="25"/>
    </row>
    <row r="200" spans="1:4" x14ac:dyDescent="0.2">
      <c r="A200">
        <v>2017</v>
      </c>
      <c r="B200" s="13">
        <v>2339</v>
      </c>
      <c r="C200" s="16">
        <v>1710648</v>
      </c>
      <c r="D200" s="25"/>
    </row>
    <row r="201" spans="1:4" x14ac:dyDescent="0.2">
      <c r="A201">
        <v>2017</v>
      </c>
      <c r="B201" s="13">
        <v>2340</v>
      </c>
      <c r="C201" s="16">
        <v>1962449</v>
      </c>
      <c r="D201" s="25"/>
    </row>
    <row r="202" spans="1:4" x14ac:dyDescent="0.2">
      <c r="A202">
        <v>2017</v>
      </c>
      <c r="B202" s="13">
        <v>2345</v>
      </c>
      <c r="C202" s="16">
        <v>2496335</v>
      </c>
      <c r="D202" s="25"/>
    </row>
    <row r="203" spans="1:4" x14ac:dyDescent="0.2">
      <c r="A203">
        <v>2017</v>
      </c>
      <c r="B203" s="13">
        <v>2350</v>
      </c>
      <c r="C203" s="16">
        <v>6833039</v>
      </c>
      <c r="D203" s="25"/>
    </row>
    <row r="204" spans="1:4" x14ac:dyDescent="0.2">
      <c r="A204">
        <v>2017</v>
      </c>
      <c r="B204" s="13">
        <v>2355</v>
      </c>
      <c r="C204" s="16">
        <v>4832101</v>
      </c>
      <c r="D204" s="25"/>
    </row>
    <row r="205" spans="1:4" x14ac:dyDescent="0.2">
      <c r="A205">
        <v>2017</v>
      </c>
      <c r="B205" s="13">
        <v>2360</v>
      </c>
      <c r="C205" s="16">
        <v>3537146</v>
      </c>
      <c r="D205" s="25"/>
    </row>
    <row r="206" spans="1:4" x14ac:dyDescent="0.2">
      <c r="A206">
        <v>2017</v>
      </c>
      <c r="B206" s="13">
        <v>2361</v>
      </c>
      <c r="C206" s="16">
        <v>1522779</v>
      </c>
      <c r="D206" s="24"/>
    </row>
    <row r="207" spans="1:4" x14ac:dyDescent="0.2">
      <c r="A207">
        <v>2017</v>
      </c>
      <c r="B207" s="13">
        <v>2362</v>
      </c>
      <c r="C207" s="16">
        <v>1721387</v>
      </c>
      <c r="D207" s="25"/>
    </row>
    <row r="208" spans="1:4" x14ac:dyDescent="0.2">
      <c r="A208">
        <v>2017</v>
      </c>
      <c r="B208" s="13">
        <v>2363</v>
      </c>
      <c r="C208" s="16">
        <v>1085102</v>
      </c>
      <c r="D208" s="25"/>
    </row>
    <row r="209" spans="1:4" x14ac:dyDescent="0.2">
      <c r="A209">
        <v>2017</v>
      </c>
      <c r="B209" s="13">
        <v>2364</v>
      </c>
      <c r="C209" s="16">
        <v>2100155</v>
      </c>
      <c r="D209" s="25"/>
    </row>
    <row r="210" spans="1:4" x14ac:dyDescent="0.2">
      <c r="A210">
        <v>2017</v>
      </c>
      <c r="B210" s="13">
        <v>2365</v>
      </c>
      <c r="C210" s="16">
        <v>10371457</v>
      </c>
      <c r="D210" s="25"/>
    </row>
    <row r="211" spans="1:4" x14ac:dyDescent="0.2">
      <c r="A211">
        <v>2017</v>
      </c>
      <c r="B211" s="13">
        <v>2370</v>
      </c>
      <c r="C211" s="16">
        <v>1738379</v>
      </c>
      <c r="D211" s="25"/>
    </row>
    <row r="212" spans="1:4" x14ac:dyDescent="0.2">
      <c r="A212">
        <v>2017</v>
      </c>
      <c r="B212" s="13">
        <v>2375</v>
      </c>
      <c r="C212" s="16">
        <v>1474892</v>
      </c>
      <c r="D212" s="25"/>
    </row>
    <row r="213" spans="1:4" x14ac:dyDescent="0.2">
      <c r="A213">
        <v>2017</v>
      </c>
      <c r="B213" s="13">
        <v>2377</v>
      </c>
      <c r="C213" s="16">
        <v>2002149</v>
      </c>
      <c r="D213" s="25"/>
    </row>
    <row r="214" spans="1:4" x14ac:dyDescent="0.2">
      <c r="A214">
        <v>2017</v>
      </c>
      <c r="B214" s="13">
        <v>2378</v>
      </c>
      <c r="C214" s="16">
        <v>10873675</v>
      </c>
      <c r="D214" s="25"/>
    </row>
    <row r="215" spans="1:4" x14ac:dyDescent="0.2">
      <c r="A215">
        <v>2017</v>
      </c>
      <c r="B215" s="13">
        <v>2379</v>
      </c>
      <c r="C215" s="16">
        <v>10894707</v>
      </c>
      <c r="D215" s="25"/>
    </row>
    <row r="216" spans="1:4" x14ac:dyDescent="0.2">
      <c r="A216">
        <v>2017</v>
      </c>
      <c r="B216" s="13">
        <v>2380</v>
      </c>
      <c r="C216" s="16">
        <v>4302648</v>
      </c>
      <c r="D216" s="25"/>
    </row>
    <row r="217" spans="1:4" x14ac:dyDescent="0.2">
      <c r="A217">
        <v>2017</v>
      </c>
      <c r="B217" s="13">
        <v>2381</v>
      </c>
      <c r="C217" s="16">
        <v>2304481</v>
      </c>
      <c r="D217" s="25"/>
    </row>
    <row r="218" spans="1:4" x14ac:dyDescent="0.2">
      <c r="A218">
        <v>2017</v>
      </c>
      <c r="B218" s="13">
        <v>2383</v>
      </c>
      <c r="C218" s="16">
        <v>7694601</v>
      </c>
      <c r="D218" s="25"/>
    </row>
    <row r="219" spans="1:4" x14ac:dyDescent="0.2">
      <c r="A219">
        <v>2017</v>
      </c>
      <c r="B219" s="13">
        <v>2384</v>
      </c>
      <c r="C219" s="16">
        <v>4925377</v>
      </c>
      <c r="D219" s="25"/>
    </row>
    <row r="220" spans="1:4" x14ac:dyDescent="0.2">
      <c r="A220">
        <v>2017</v>
      </c>
      <c r="B220" s="13">
        <v>2385</v>
      </c>
      <c r="C220" s="16">
        <v>3289984</v>
      </c>
      <c r="D220" s="25"/>
    </row>
    <row r="221" spans="1:4" x14ac:dyDescent="0.2">
      <c r="A221">
        <v>2017</v>
      </c>
      <c r="B221" s="13">
        <v>2389</v>
      </c>
      <c r="C221" s="16">
        <v>2973517</v>
      </c>
      <c r="D221" s="25"/>
    </row>
    <row r="222" spans="1:4" x14ac:dyDescent="0.2">
      <c r="A222">
        <v>2017</v>
      </c>
      <c r="B222" s="13">
        <v>2390</v>
      </c>
      <c r="C222" s="16">
        <v>5903373</v>
      </c>
      <c r="D222" s="25"/>
    </row>
    <row r="223" spans="1:4" x14ac:dyDescent="0.2">
      <c r="A223">
        <v>2017</v>
      </c>
      <c r="B223" s="13">
        <v>2391</v>
      </c>
      <c r="C223" s="16">
        <v>2975121</v>
      </c>
      <c r="D223" s="25"/>
    </row>
    <row r="224" spans="1:4" x14ac:dyDescent="0.2">
      <c r="A224">
        <v>2017</v>
      </c>
      <c r="B224" s="13">
        <v>2394</v>
      </c>
      <c r="C224" s="16">
        <v>2118097</v>
      </c>
      <c r="D224" s="25"/>
    </row>
    <row r="225" spans="1:4" x14ac:dyDescent="0.2">
      <c r="A225">
        <v>2017</v>
      </c>
      <c r="B225" s="13">
        <v>2395</v>
      </c>
      <c r="C225" s="16">
        <v>1737878</v>
      </c>
      <c r="D225" s="25"/>
    </row>
    <row r="226" spans="1:4" x14ac:dyDescent="0.2">
      <c r="A226">
        <v>2017</v>
      </c>
      <c r="B226" s="13">
        <v>2396</v>
      </c>
      <c r="C226" s="16">
        <v>1350252</v>
      </c>
      <c r="D226" s="25"/>
    </row>
    <row r="227" spans="1:4" x14ac:dyDescent="0.2">
      <c r="A227">
        <v>2017</v>
      </c>
      <c r="B227" s="13">
        <v>2400</v>
      </c>
      <c r="C227" s="16">
        <v>10068303</v>
      </c>
      <c r="D227" s="25"/>
    </row>
    <row r="228" spans="1:4" x14ac:dyDescent="0.2">
      <c r="A228">
        <v>2017</v>
      </c>
      <c r="B228" s="13">
        <v>2401</v>
      </c>
      <c r="C228" s="16">
        <v>2444791</v>
      </c>
      <c r="D228" s="25"/>
    </row>
    <row r="229" spans="1:4" x14ac:dyDescent="0.2">
      <c r="A229">
        <v>2017</v>
      </c>
      <c r="B229" s="13">
        <v>2402</v>
      </c>
      <c r="C229" s="16">
        <v>5940971</v>
      </c>
      <c r="D229" s="25"/>
    </row>
    <row r="230" spans="1:4" x14ac:dyDescent="0.2">
      <c r="A230">
        <v>2017</v>
      </c>
      <c r="B230" s="13">
        <v>2403</v>
      </c>
      <c r="C230" s="16">
        <v>2760548</v>
      </c>
      <c r="D230" s="25"/>
    </row>
    <row r="231" spans="1:4" x14ac:dyDescent="0.2">
      <c r="A231">
        <v>2017</v>
      </c>
      <c r="B231" s="13">
        <v>2405</v>
      </c>
      <c r="C231" s="16">
        <v>3695445</v>
      </c>
      <c r="D231" s="25"/>
    </row>
    <row r="232" spans="1:4" x14ac:dyDescent="0.2">
      <c r="A232">
        <v>2017</v>
      </c>
      <c r="B232" s="13">
        <v>2406</v>
      </c>
      <c r="C232" s="16">
        <v>5098611</v>
      </c>
      <c r="D232" s="25"/>
    </row>
    <row r="233" spans="1:4" x14ac:dyDescent="0.2">
      <c r="A233">
        <v>2017</v>
      </c>
      <c r="B233" s="13">
        <v>2408</v>
      </c>
      <c r="C233" s="16">
        <v>5209144</v>
      </c>
      <c r="D233" s="25"/>
    </row>
    <row r="234" spans="1:4" x14ac:dyDescent="0.2">
      <c r="A234">
        <v>2017</v>
      </c>
      <c r="B234" s="13">
        <v>2409</v>
      </c>
      <c r="C234" s="16">
        <v>1058445</v>
      </c>
      <c r="D234" s="25"/>
    </row>
    <row r="235" spans="1:4" x14ac:dyDescent="0.2">
      <c r="A235">
        <v>2017</v>
      </c>
      <c r="B235" s="13">
        <v>2410</v>
      </c>
      <c r="C235" s="16">
        <v>6766074</v>
      </c>
      <c r="D235" s="25"/>
    </row>
    <row r="236" spans="1:4" x14ac:dyDescent="0.2">
      <c r="A236">
        <v>2017</v>
      </c>
      <c r="B236" s="13">
        <v>2415</v>
      </c>
      <c r="C236" s="16">
        <v>7853162</v>
      </c>
      <c r="D236" s="25"/>
    </row>
    <row r="237" spans="1:4" x14ac:dyDescent="0.2">
      <c r="A237">
        <v>2017</v>
      </c>
      <c r="B237" s="13">
        <v>2420</v>
      </c>
      <c r="C237" s="16">
        <v>3973927</v>
      </c>
      <c r="D237" s="25"/>
    </row>
    <row r="238" spans="1:4" x14ac:dyDescent="0.2">
      <c r="A238">
        <v>2017</v>
      </c>
      <c r="B238" s="13">
        <v>2425</v>
      </c>
      <c r="C238" s="16">
        <v>7687504</v>
      </c>
      <c r="D238" s="25"/>
    </row>
    <row r="239" spans="1:4" x14ac:dyDescent="0.2">
      <c r="A239">
        <v>2017</v>
      </c>
      <c r="B239" s="13">
        <v>2426</v>
      </c>
      <c r="C239" s="16">
        <v>2139295</v>
      </c>
      <c r="D239" s="25"/>
    </row>
    <row r="240" spans="1:4" x14ac:dyDescent="0.2">
      <c r="A240">
        <v>2017</v>
      </c>
      <c r="B240" s="13">
        <v>2428</v>
      </c>
      <c r="C240" s="16">
        <v>4211592</v>
      </c>
      <c r="D240" s="25"/>
    </row>
    <row r="241" spans="1:4" x14ac:dyDescent="0.2">
      <c r="A241">
        <v>2017</v>
      </c>
      <c r="B241" s="13">
        <v>2430</v>
      </c>
      <c r="C241" s="16">
        <v>6196463</v>
      </c>
      <c r="D241" s="25"/>
    </row>
    <row r="242" spans="1:4" x14ac:dyDescent="0.2">
      <c r="A242">
        <v>2017</v>
      </c>
      <c r="B242" s="13">
        <v>2435</v>
      </c>
      <c r="C242" s="16">
        <v>1695500</v>
      </c>
      <c r="D242" s="25"/>
    </row>
    <row r="243" spans="1:4" x14ac:dyDescent="0.2">
      <c r="A243">
        <v>2017</v>
      </c>
      <c r="B243" s="13">
        <v>2440</v>
      </c>
      <c r="C243" s="16">
        <v>2739700</v>
      </c>
      <c r="D243" s="25"/>
    </row>
    <row r="244" spans="1:4" x14ac:dyDescent="0.2">
      <c r="A244">
        <v>2017</v>
      </c>
      <c r="B244" s="13">
        <v>2441</v>
      </c>
      <c r="C244" s="16">
        <v>1600561</v>
      </c>
      <c r="D244" s="25"/>
    </row>
    <row r="245" spans="1:4" x14ac:dyDescent="0.2">
      <c r="A245">
        <v>2017</v>
      </c>
      <c r="B245" s="13">
        <v>2445</v>
      </c>
      <c r="C245" s="16">
        <v>7812724</v>
      </c>
      <c r="D245" s="25"/>
    </row>
    <row r="246" spans="1:4" x14ac:dyDescent="0.2">
      <c r="A246">
        <v>2017</v>
      </c>
      <c r="B246" s="13">
        <v>2450</v>
      </c>
      <c r="C246" s="16">
        <v>3130705</v>
      </c>
      <c r="D246" s="25"/>
    </row>
    <row r="247" spans="1:4" x14ac:dyDescent="0.2">
      <c r="A247">
        <v>2017</v>
      </c>
      <c r="B247" s="13">
        <v>2455</v>
      </c>
      <c r="C247" s="16">
        <v>3928374</v>
      </c>
      <c r="D247" s="24"/>
    </row>
    <row r="248" spans="1:4" x14ac:dyDescent="0.2">
      <c r="A248">
        <v>2017</v>
      </c>
      <c r="B248" s="13">
        <v>2458</v>
      </c>
      <c r="C248" s="16">
        <v>3862336</v>
      </c>
      <c r="D248" s="25"/>
    </row>
    <row r="249" spans="1:4" x14ac:dyDescent="0.2">
      <c r="A249">
        <v>2017</v>
      </c>
      <c r="B249" s="13">
        <v>2460</v>
      </c>
      <c r="C249" s="16">
        <v>1454341</v>
      </c>
      <c r="D249" s="25"/>
    </row>
    <row r="250" spans="1:4" x14ac:dyDescent="0.2">
      <c r="A250">
        <v>2017</v>
      </c>
      <c r="B250" s="13">
        <v>2464</v>
      </c>
      <c r="C250" s="16">
        <v>1274417</v>
      </c>
      <c r="D250" s="25"/>
    </row>
    <row r="251" spans="1:4" x14ac:dyDescent="0.2">
      <c r="A251">
        <v>2017</v>
      </c>
      <c r="B251" s="13">
        <v>2465</v>
      </c>
      <c r="C251" s="16">
        <v>672079</v>
      </c>
      <c r="D251" s="25"/>
    </row>
    <row r="252" spans="1:4" x14ac:dyDescent="0.2">
      <c r="A252">
        <v>2017</v>
      </c>
      <c r="B252" s="13">
        <v>2466</v>
      </c>
      <c r="C252" s="16">
        <v>1618100</v>
      </c>
      <c r="D252" s="25"/>
    </row>
    <row r="253" spans="1:4" x14ac:dyDescent="0.2">
      <c r="A253">
        <v>2017</v>
      </c>
      <c r="B253" s="13">
        <v>2467</v>
      </c>
      <c r="C253" s="16">
        <v>2279870</v>
      </c>
      <c r="D253" s="25"/>
    </row>
    <row r="254" spans="1:4" x14ac:dyDescent="0.2">
      <c r="A254">
        <v>2017</v>
      </c>
      <c r="B254" s="13">
        <v>2468</v>
      </c>
      <c r="C254" s="16">
        <v>1821926</v>
      </c>
      <c r="D254" s="25"/>
    </row>
    <row r="255" spans="1:4" x14ac:dyDescent="0.2">
      <c r="A255">
        <v>2017</v>
      </c>
      <c r="B255" s="13">
        <v>2469</v>
      </c>
      <c r="C255" s="16">
        <v>4955151</v>
      </c>
      <c r="D255" s="25"/>
    </row>
    <row r="256" spans="1:4" x14ac:dyDescent="0.2">
      <c r="A256">
        <v>2017</v>
      </c>
      <c r="B256" s="13">
        <v>2470</v>
      </c>
      <c r="C256" s="16">
        <v>4557413</v>
      </c>
      <c r="D256" s="25"/>
    </row>
    <row r="257" spans="1:4" x14ac:dyDescent="0.2">
      <c r="A257">
        <v>2017</v>
      </c>
      <c r="B257" s="13">
        <v>2471</v>
      </c>
      <c r="C257" s="16">
        <v>4865051</v>
      </c>
      <c r="D257" s="25"/>
    </row>
    <row r="258" spans="1:4" x14ac:dyDescent="0.2">
      <c r="A258">
        <v>2017</v>
      </c>
      <c r="B258" s="13">
        <v>2475</v>
      </c>
      <c r="C258" s="16">
        <v>7424005</v>
      </c>
      <c r="D258" s="25"/>
    </row>
    <row r="259" spans="1:4" x14ac:dyDescent="0.2">
      <c r="A259">
        <v>2017</v>
      </c>
      <c r="B259" s="13">
        <v>2480</v>
      </c>
      <c r="C259" s="16">
        <v>2411652</v>
      </c>
      <c r="D259" s="25"/>
    </row>
    <row r="260" spans="1:4" x14ac:dyDescent="0.2">
      <c r="A260">
        <v>2017</v>
      </c>
      <c r="B260" s="13">
        <v>2485</v>
      </c>
      <c r="C260" s="16">
        <v>5137995</v>
      </c>
      <c r="D260" s="25"/>
    </row>
    <row r="261" spans="1:4" x14ac:dyDescent="0.2">
      <c r="A261">
        <v>2017</v>
      </c>
      <c r="B261" s="13">
        <v>2490</v>
      </c>
      <c r="C261" s="16">
        <v>7345286</v>
      </c>
      <c r="D261" s="25"/>
    </row>
    <row r="262" spans="1:4" x14ac:dyDescent="0.2">
      <c r="A262">
        <v>2017</v>
      </c>
      <c r="B262" s="13">
        <v>2495</v>
      </c>
      <c r="C262" s="16">
        <v>983734</v>
      </c>
      <c r="D262" s="25"/>
    </row>
    <row r="263" spans="1:4" x14ac:dyDescent="0.2">
      <c r="A263">
        <v>2017</v>
      </c>
      <c r="B263" s="13">
        <v>2497</v>
      </c>
      <c r="C263" s="16">
        <v>2430653</v>
      </c>
      <c r="D263" s="25"/>
    </row>
    <row r="264" spans="1:4" x14ac:dyDescent="0.2">
      <c r="A264">
        <v>2017</v>
      </c>
      <c r="B264" s="13">
        <v>2498</v>
      </c>
      <c r="C264" s="16">
        <v>2123352</v>
      </c>
      <c r="D264" s="25"/>
    </row>
    <row r="265" spans="1:4" x14ac:dyDescent="0.2">
      <c r="A265">
        <v>2017</v>
      </c>
      <c r="B265" s="13">
        <v>2500</v>
      </c>
      <c r="C265" s="16">
        <v>5900127</v>
      </c>
      <c r="D265" s="25"/>
    </row>
    <row r="266" spans="1:4" x14ac:dyDescent="0.2">
      <c r="A266">
        <v>2017</v>
      </c>
      <c r="B266" s="13">
        <v>2504</v>
      </c>
      <c r="C266" s="16">
        <v>3622217</v>
      </c>
      <c r="D266" s="25"/>
    </row>
    <row r="267" spans="1:4" x14ac:dyDescent="0.2">
      <c r="A267">
        <v>2017</v>
      </c>
      <c r="B267" s="13">
        <v>2505</v>
      </c>
      <c r="C267" s="16">
        <v>5063780</v>
      </c>
      <c r="D267" s="25"/>
    </row>
    <row r="268" spans="1:4" x14ac:dyDescent="0.2">
      <c r="A268">
        <v>2017</v>
      </c>
      <c r="B268" s="13">
        <v>2507</v>
      </c>
      <c r="C268" s="16">
        <v>959733</v>
      </c>
      <c r="D268" s="25"/>
    </row>
    <row r="269" spans="1:4" x14ac:dyDescent="0.2">
      <c r="A269">
        <v>2017</v>
      </c>
      <c r="B269" s="13">
        <v>2508</v>
      </c>
      <c r="C269" s="16">
        <v>2693999</v>
      </c>
      <c r="D269" s="25"/>
    </row>
    <row r="270" spans="1:4" x14ac:dyDescent="0.2">
      <c r="A270">
        <v>2017</v>
      </c>
      <c r="B270" s="13">
        <v>2509</v>
      </c>
      <c r="C270" s="16">
        <v>4868839</v>
      </c>
      <c r="D270" s="25"/>
    </row>
    <row r="271" spans="1:4" x14ac:dyDescent="0.2">
      <c r="A271">
        <v>2017</v>
      </c>
      <c r="B271" s="13">
        <v>2510</v>
      </c>
      <c r="C271" s="16">
        <v>1965993</v>
      </c>
      <c r="D271" s="25"/>
    </row>
    <row r="272" spans="1:4" x14ac:dyDescent="0.2">
      <c r="A272">
        <v>2017</v>
      </c>
      <c r="B272" s="13">
        <v>2512</v>
      </c>
      <c r="C272" s="16">
        <v>14192238</v>
      </c>
      <c r="D272" s="25"/>
    </row>
    <row r="273" spans="1:4" x14ac:dyDescent="0.2">
      <c r="A273">
        <v>2017</v>
      </c>
      <c r="B273" s="13">
        <v>2514</v>
      </c>
      <c r="C273" s="16">
        <v>1336329</v>
      </c>
      <c r="D273" s="25"/>
    </row>
    <row r="274" spans="1:4" x14ac:dyDescent="0.2">
      <c r="A274">
        <v>2017</v>
      </c>
      <c r="B274" s="13">
        <v>2515</v>
      </c>
      <c r="C274" s="16">
        <v>1159674</v>
      </c>
      <c r="D274" s="25"/>
    </row>
    <row r="275" spans="1:4" x14ac:dyDescent="0.2">
      <c r="A275">
        <v>2017</v>
      </c>
      <c r="B275" s="13">
        <v>2520</v>
      </c>
      <c r="C275" s="16">
        <v>2737653</v>
      </c>
      <c r="D275" s="25"/>
    </row>
    <row r="276" spans="1:4" x14ac:dyDescent="0.2">
      <c r="A276">
        <v>2017</v>
      </c>
      <c r="B276" s="13">
        <v>2525</v>
      </c>
      <c r="C276" s="16">
        <v>3892553</v>
      </c>
      <c r="D276" s="25"/>
    </row>
    <row r="277" spans="1:4" x14ac:dyDescent="0.2">
      <c r="A277">
        <v>2017</v>
      </c>
      <c r="B277" s="13">
        <v>2530</v>
      </c>
      <c r="C277" s="16">
        <v>7501249</v>
      </c>
      <c r="D277" s="25"/>
    </row>
    <row r="278" spans="1:4" x14ac:dyDescent="0.2">
      <c r="A278">
        <v>2017</v>
      </c>
      <c r="B278" s="13">
        <v>2533</v>
      </c>
      <c r="C278" s="16">
        <v>1821084</v>
      </c>
      <c r="D278" s="25"/>
    </row>
    <row r="279" spans="1:4" x14ac:dyDescent="0.2">
      <c r="A279">
        <v>2017</v>
      </c>
      <c r="B279" s="13">
        <v>2535</v>
      </c>
      <c r="C279" s="16">
        <v>2219898</v>
      </c>
      <c r="D279" s="25"/>
    </row>
    <row r="280" spans="1:4" x14ac:dyDescent="0.2">
      <c r="A280">
        <v>2017</v>
      </c>
      <c r="B280" s="13">
        <v>2540</v>
      </c>
      <c r="C280" s="16">
        <v>5175579</v>
      </c>
      <c r="D280" s="25"/>
    </row>
    <row r="281" spans="1:4" x14ac:dyDescent="0.2">
      <c r="A281">
        <v>2017</v>
      </c>
      <c r="B281" s="13">
        <v>2541</v>
      </c>
      <c r="C281" s="16">
        <v>3178872</v>
      </c>
      <c r="D281" s="25"/>
    </row>
    <row r="282" spans="1:4" x14ac:dyDescent="0.2">
      <c r="A282">
        <v>2017</v>
      </c>
      <c r="B282" s="13">
        <v>2542</v>
      </c>
      <c r="C282" s="16">
        <v>1908193</v>
      </c>
      <c r="D282" s="25"/>
    </row>
    <row r="283" spans="1:4" x14ac:dyDescent="0.2">
      <c r="A283">
        <v>2017</v>
      </c>
      <c r="B283" s="13">
        <v>2545</v>
      </c>
      <c r="C283" s="16">
        <v>988772</v>
      </c>
      <c r="D283" s="25"/>
    </row>
    <row r="284" spans="1:4" x14ac:dyDescent="0.2">
      <c r="A284">
        <v>2017</v>
      </c>
      <c r="B284" s="13">
        <v>2547</v>
      </c>
      <c r="C284" s="16">
        <v>7069133</v>
      </c>
      <c r="D284" s="25"/>
    </row>
    <row r="285" spans="1:4" x14ac:dyDescent="0.2">
      <c r="A285">
        <v>2017</v>
      </c>
      <c r="B285" s="13">
        <v>2550</v>
      </c>
      <c r="C285" s="16">
        <v>839714</v>
      </c>
      <c r="D285" s="25"/>
    </row>
    <row r="286" spans="1:4" x14ac:dyDescent="0.2">
      <c r="A286">
        <v>2017</v>
      </c>
      <c r="B286" s="13">
        <v>2551</v>
      </c>
      <c r="C286" s="16">
        <v>1256368</v>
      </c>
      <c r="D286" s="25"/>
    </row>
    <row r="287" spans="1:4" x14ac:dyDescent="0.2">
      <c r="A287">
        <v>2017</v>
      </c>
      <c r="B287" s="13">
        <v>2555</v>
      </c>
      <c r="C287" s="16">
        <v>1338667</v>
      </c>
      <c r="D287" s="25"/>
    </row>
    <row r="288" spans="1:4" x14ac:dyDescent="0.2">
      <c r="A288">
        <v>2017</v>
      </c>
      <c r="B288" s="13">
        <v>2557</v>
      </c>
      <c r="C288" s="16">
        <v>10952279</v>
      </c>
      <c r="D288" s="24"/>
    </row>
    <row r="289" spans="1:4" x14ac:dyDescent="0.2">
      <c r="A289">
        <v>2017</v>
      </c>
      <c r="B289" s="13">
        <v>2559</v>
      </c>
      <c r="C289" s="16">
        <v>1137617</v>
      </c>
      <c r="D289" s="25"/>
    </row>
    <row r="290" spans="1:4" x14ac:dyDescent="0.2">
      <c r="A290">
        <v>2017</v>
      </c>
      <c r="B290" s="13">
        <v>2560</v>
      </c>
      <c r="C290" s="16">
        <v>1320050</v>
      </c>
      <c r="D290" s="25"/>
    </row>
    <row r="291" spans="1:4" x14ac:dyDescent="0.2">
      <c r="A291">
        <v>2017</v>
      </c>
      <c r="B291" s="13">
        <v>2561</v>
      </c>
      <c r="C291" s="16">
        <v>4348701</v>
      </c>
      <c r="D291" s="25"/>
    </row>
    <row r="292" spans="1:4" x14ac:dyDescent="0.2">
      <c r="A292">
        <v>2017</v>
      </c>
      <c r="B292" s="13">
        <v>2562</v>
      </c>
      <c r="C292" s="16">
        <v>5161433</v>
      </c>
      <c r="D292" s="25"/>
    </row>
    <row r="293" spans="1:4" x14ac:dyDescent="0.2">
      <c r="A293">
        <v>2017</v>
      </c>
      <c r="B293" s="13">
        <v>2563</v>
      </c>
      <c r="C293" s="16">
        <v>5592265</v>
      </c>
      <c r="D293" s="25"/>
    </row>
    <row r="294" spans="1:4" x14ac:dyDescent="0.2">
      <c r="A294">
        <v>2017</v>
      </c>
      <c r="B294" s="13">
        <v>2564</v>
      </c>
      <c r="C294" s="16">
        <v>7119881</v>
      </c>
      <c r="D294" s="25"/>
    </row>
    <row r="295" spans="1:4" x14ac:dyDescent="0.2">
      <c r="A295">
        <v>2017</v>
      </c>
      <c r="B295" s="13">
        <v>2565</v>
      </c>
      <c r="C295" s="16">
        <v>4275109</v>
      </c>
      <c r="D295" s="25"/>
    </row>
    <row r="296" spans="1:4" x14ac:dyDescent="0.2">
      <c r="A296">
        <v>2017</v>
      </c>
      <c r="B296" s="13">
        <v>2570</v>
      </c>
      <c r="C296" s="16">
        <v>3010777</v>
      </c>
      <c r="D296" s="25"/>
    </row>
    <row r="297" spans="1:4" x14ac:dyDescent="0.2">
      <c r="A297">
        <v>2017</v>
      </c>
      <c r="B297" s="13">
        <v>2573</v>
      </c>
      <c r="C297" s="16">
        <v>3139616</v>
      </c>
      <c r="D297" s="25"/>
    </row>
    <row r="298" spans="1:4" x14ac:dyDescent="0.2">
      <c r="A298">
        <v>2017</v>
      </c>
      <c r="B298" s="13">
        <v>2574</v>
      </c>
      <c r="C298" s="16">
        <v>1048869</v>
      </c>
      <c r="D298" s="25"/>
    </row>
    <row r="299" spans="1:4" x14ac:dyDescent="0.2">
      <c r="A299">
        <v>2017</v>
      </c>
      <c r="B299" s="13">
        <v>2575</v>
      </c>
      <c r="C299" s="16">
        <v>10579578</v>
      </c>
      <c r="D299" s="25"/>
    </row>
    <row r="300" spans="1:4" x14ac:dyDescent="0.2">
      <c r="A300">
        <v>2017</v>
      </c>
      <c r="B300" s="13">
        <v>2576</v>
      </c>
      <c r="C300" s="16">
        <v>2205952</v>
      </c>
      <c r="D300" s="25"/>
    </row>
    <row r="301" spans="1:4" x14ac:dyDescent="0.2">
      <c r="A301">
        <v>2017</v>
      </c>
      <c r="B301" s="13">
        <v>2580</v>
      </c>
      <c r="C301" s="16">
        <v>5942132</v>
      </c>
      <c r="D301" s="25"/>
    </row>
    <row r="302" spans="1:4" x14ac:dyDescent="0.2">
      <c r="A302">
        <v>2017</v>
      </c>
      <c r="B302" s="13">
        <v>2582</v>
      </c>
      <c r="C302" s="16">
        <v>1353468</v>
      </c>
      <c r="D302" s="25"/>
    </row>
    <row r="303" spans="1:4" x14ac:dyDescent="0.2">
      <c r="A303">
        <v>2017</v>
      </c>
      <c r="B303" s="13">
        <v>2584</v>
      </c>
      <c r="C303" s="16">
        <v>3462482</v>
      </c>
      <c r="D303" s="25"/>
    </row>
    <row r="304" spans="1:4" x14ac:dyDescent="0.2">
      <c r="A304">
        <v>2017</v>
      </c>
      <c r="B304" s="13">
        <v>2585</v>
      </c>
      <c r="C304" s="16">
        <v>11936889</v>
      </c>
      <c r="D304" s="25"/>
    </row>
    <row r="305" spans="1:4" x14ac:dyDescent="0.2">
      <c r="A305">
        <v>2017</v>
      </c>
      <c r="B305" s="13">
        <v>2590</v>
      </c>
      <c r="C305" s="16">
        <v>3890442</v>
      </c>
      <c r="D305" s="25"/>
    </row>
    <row r="306" spans="1:4" x14ac:dyDescent="0.2">
      <c r="A306">
        <v>2017</v>
      </c>
      <c r="B306" s="13">
        <v>2593</v>
      </c>
      <c r="C306" s="16">
        <v>9502307</v>
      </c>
      <c r="D306" s="25"/>
    </row>
    <row r="307" spans="1:4" x14ac:dyDescent="0.2">
      <c r="A307">
        <v>2017</v>
      </c>
      <c r="B307" s="13">
        <v>2595</v>
      </c>
      <c r="C307" s="16">
        <v>817713</v>
      </c>
      <c r="D307" s="25"/>
    </row>
    <row r="308" spans="1:4" x14ac:dyDescent="0.2">
      <c r="A308">
        <v>2017</v>
      </c>
      <c r="B308" s="13">
        <v>2600</v>
      </c>
      <c r="C308" s="16">
        <v>1419892</v>
      </c>
      <c r="D308" s="25"/>
    </row>
    <row r="309" spans="1:4" x14ac:dyDescent="0.2">
      <c r="A309">
        <v>2017</v>
      </c>
      <c r="B309" s="13">
        <v>2605</v>
      </c>
      <c r="C309" s="16">
        <v>710451</v>
      </c>
      <c r="D309" s="25"/>
    </row>
    <row r="310" spans="1:4" x14ac:dyDescent="0.2">
      <c r="A310">
        <v>2017</v>
      </c>
      <c r="B310" s="13">
        <v>2610</v>
      </c>
      <c r="C310" s="16">
        <v>9877477</v>
      </c>
      <c r="D310" s="25"/>
    </row>
    <row r="311" spans="1:4" x14ac:dyDescent="0.2">
      <c r="A311">
        <v>2017</v>
      </c>
      <c r="B311" s="13">
        <v>2611</v>
      </c>
      <c r="C311" s="16">
        <v>2583869</v>
      </c>
      <c r="D311" s="25"/>
    </row>
    <row r="312" spans="1:4" x14ac:dyDescent="0.2">
      <c r="A312">
        <v>2017</v>
      </c>
      <c r="B312" s="13">
        <v>2612</v>
      </c>
      <c r="C312" s="16">
        <v>3136187</v>
      </c>
      <c r="D312" s="25"/>
    </row>
    <row r="313" spans="1:4" x14ac:dyDescent="0.2">
      <c r="A313">
        <v>2017</v>
      </c>
      <c r="B313" s="13">
        <v>2613</v>
      </c>
      <c r="C313" s="16">
        <v>3023769</v>
      </c>
      <c r="D313" s="25"/>
    </row>
    <row r="314" spans="1:4" x14ac:dyDescent="0.2">
      <c r="A314">
        <v>2017</v>
      </c>
      <c r="B314" s="13">
        <v>2614</v>
      </c>
      <c r="C314" s="16">
        <v>3962795</v>
      </c>
      <c r="D314" s="25"/>
    </row>
    <row r="315" spans="1:4" x14ac:dyDescent="0.2">
      <c r="A315">
        <v>2017</v>
      </c>
      <c r="B315" s="13">
        <v>2615</v>
      </c>
      <c r="C315" s="16">
        <v>10665723</v>
      </c>
      <c r="D315" s="25"/>
    </row>
    <row r="316" spans="1:4" x14ac:dyDescent="0.2">
      <c r="A316">
        <v>2017</v>
      </c>
      <c r="B316" s="13">
        <v>2616</v>
      </c>
      <c r="C316" s="16">
        <v>3778788</v>
      </c>
      <c r="D316" s="25"/>
    </row>
    <row r="317" spans="1:4" x14ac:dyDescent="0.2">
      <c r="A317">
        <v>2017</v>
      </c>
      <c r="B317" s="13">
        <v>2617</v>
      </c>
      <c r="C317" s="16">
        <v>4025864</v>
      </c>
      <c r="D317" s="25"/>
    </row>
    <row r="318" spans="1:4" x14ac:dyDescent="0.2">
      <c r="A318">
        <v>2017</v>
      </c>
      <c r="B318" s="13">
        <v>2618</v>
      </c>
      <c r="C318" s="16">
        <v>1037677</v>
      </c>
      <c r="D318" s="25"/>
    </row>
    <row r="319" spans="1:4" x14ac:dyDescent="0.2">
      <c r="A319">
        <v>2017</v>
      </c>
      <c r="B319" s="13">
        <v>2619</v>
      </c>
      <c r="C319" s="16">
        <v>2262786</v>
      </c>
      <c r="D319" s="25"/>
    </row>
    <row r="320" spans="1:4" x14ac:dyDescent="0.2">
      <c r="A320">
        <v>2017</v>
      </c>
      <c r="B320" s="13">
        <v>2620</v>
      </c>
      <c r="C320" s="16">
        <v>759438</v>
      </c>
      <c r="D320" s="25"/>
    </row>
    <row r="321" spans="1:4" x14ac:dyDescent="0.2">
      <c r="A321">
        <v>2017</v>
      </c>
      <c r="B321" s="13">
        <v>2625</v>
      </c>
      <c r="C321" s="16">
        <v>1287412</v>
      </c>
      <c r="D321" s="25"/>
    </row>
    <row r="322" spans="1:4" x14ac:dyDescent="0.2">
      <c r="A322">
        <v>2017</v>
      </c>
      <c r="B322" s="13">
        <v>2626</v>
      </c>
      <c r="C322" s="16">
        <v>924363</v>
      </c>
      <c r="D322" s="25"/>
    </row>
    <row r="323" spans="1:4" x14ac:dyDescent="0.2">
      <c r="A323">
        <v>2017</v>
      </c>
      <c r="B323" s="13">
        <v>2630</v>
      </c>
      <c r="C323" s="16">
        <v>1041583</v>
      </c>
      <c r="D323" s="25"/>
    </row>
    <row r="324" spans="1:4" x14ac:dyDescent="0.2">
      <c r="A324">
        <v>2017</v>
      </c>
      <c r="B324" s="13">
        <v>2632</v>
      </c>
      <c r="C324" s="16">
        <v>2073435</v>
      </c>
      <c r="D324" s="25"/>
    </row>
    <row r="325" spans="1:4" x14ac:dyDescent="0.2">
      <c r="A325">
        <v>2017</v>
      </c>
      <c r="B325" s="13">
        <v>2633</v>
      </c>
      <c r="C325" s="16">
        <v>7267780</v>
      </c>
      <c r="D325" s="25"/>
    </row>
    <row r="326" spans="1:4" x14ac:dyDescent="0.2">
      <c r="A326">
        <v>2017</v>
      </c>
      <c r="B326" s="13">
        <v>2635</v>
      </c>
      <c r="C326" s="16">
        <v>990432</v>
      </c>
      <c r="D326" s="25"/>
    </row>
    <row r="327" spans="1:4" x14ac:dyDescent="0.2">
      <c r="A327">
        <v>2017</v>
      </c>
      <c r="B327" s="13">
        <v>2640</v>
      </c>
      <c r="C327" s="16">
        <v>2359797</v>
      </c>
      <c r="D327" s="25"/>
    </row>
    <row r="328" spans="1:4" x14ac:dyDescent="0.2">
      <c r="A328">
        <v>2017</v>
      </c>
      <c r="B328" s="13">
        <v>2641</v>
      </c>
      <c r="C328" s="16">
        <v>1403760</v>
      </c>
      <c r="D328" s="25"/>
    </row>
    <row r="329" spans="1:4" x14ac:dyDescent="0.2">
      <c r="A329">
        <v>2017</v>
      </c>
      <c r="B329" s="13">
        <v>2642</v>
      </c>
      <c r="C329" s="16">
        <v>5858766</v>
      </c>
      <c r="D329" s="24"/>
    </row>
    <row r="330" spans="1:4" x14ac:dyDescent="0.2">
      <c r="A330">
        <v>2017</v>
      </c>
      <c r="B330" s="13">
        <v>2643</v>
      </c>
      <c r="C330" s="16">
        <v>5342296</v>
      </c>
      <c r="D330" s="25"/>
    </row>
    <row r="331" spans="1:4" x14ac:dyDescent="0.2">
      <c r="A331">
        <v>2017</v>
      </c>
      <c r="B331" s="13">
        <v>2644</v>
      </c>
      <c r="C331" s="16">
        <v>4971888</v>
      </c>
      <c r="D331" s="25"/>
    </row>
    <row r="332" spans="1:4" x14ac:dyDescent="0.2">
      <c r="A332">
        <v>2017</v>
      </c>
      <c r="B332" s="13">
        <v>2645</v>
      </c>
      <c r="C332" s="16">
        <v>6364066</v>
      </c>
      <c r="D332" s="25"/>
    </row>
    <row r="333" spans="1:4" x14ac:dyDescent="0.2">
      <c r="A333">
        <v>2017</v>
      </c>
      <c r="B333" s="13">
        <v>2648</v>
      </c>
      <c r="C333" s="16">
        <v>1228668</v>
      </c>
      <c r="D333" s="25"/>
    </row>
    <row r="334" spans="1:4" x14ac:dyDescent="0.2">
      <c r="A334">
        <v>2017</v>
      </c>
      <c r="B334" s="13">
        <v>2649</v>
      </c>
      <c r="C334" s="16">
        <v>2552862</v>
      </c>
      <c r="D334" s="25"/>
    </row>
    <row r="335" spans="1:4" x14ac:dyDescent="0.2">
      <c r="A335">
        <v>2017</v>
      </c>
      <c r="B335" s="13">
        <v>2650</v>
      </c>
      <c r="C335" s="16">
        <v>565069</v>
      </c>
      <c r="D335" s="25"/>
    </row>
    <row r="336" spans="1:4" x14ac:dyDescent="0.2">
      <c r="A336">
        <v>2017</v>
      </c>
      <c r="B336" s="13">
        <v>2651</v>
      </c>
      <c r="C336" s="16">
        <v>9217679</v>
      </c>
      <c r="D336" s="25"/>
    </row>
    <row r="337" spans="1:4" x14ac:dyDescent="0.2">
      <c r="A337">
        <v>2017</v>
      </c>
      <c r="B337" s="13">
        <v>2652</v>
      </c>
      <c r="C337" s="16">
        <v>1026402</v>
      </c>
      <c r="D337" s="25"/>
    </row>
    <row r="338" spans="1:4" x14ac:dyDescent="0.2">
      <c r="A338">
        <v>2017</v>
      </c>
      <c r="B338" s="13">
        <v>2653</v>
      </c>
      <c r="C338" s="16">
        <v>1496378</v>
      </c>
      <c r="D338" s="25"/>
    </row>
    <row r="339" spans="1:4" x14ac:dyDescent="0.2">
      <c r="A339">
        <v>2017</v>
      </c>
      <c r="B339" s="13">
        <v>2654</v>
      </c>
      <c r="C339" s="16">
        <v>9434671</v>
      </c>
      <c r="D339" s="25"/>
    </row>
    <row r="340" spans="1:4" x14ac:dyDescent="0.2">
      <c r="A340">
        <v>2017</v>
      </c>
      <c r="B340" s="13">
        <v>2655</v>
      </c>
      <c r="C340" s="16">
        <v>5231254</v>
      </c>
      <c r="D340" s="25"/>
    </row>
    <row r="341" spans="1:4" x14ac:dyDescent="0.2">
      <c r="A341">
        <v>2017</v>
      </c>
      <c r="B341" s="13">
        <v>2656</v>
      </c>
      <c r="C341" s="16">
        <v>5003884</v>
      </c>
      <c r="D341" s="25"/>
    </row>
    <row r="342" spans="1:4" x14ac:dyDescent="0.2">
      <c r="A342">
        <v>2017</v>
      </c>
      <c r="B342" s="13">
        <v>3032</v>
      </c>
      <c r="C342" s="16">
        <v>699523</v>
      </c>
      <c r="D342" s="25"/>
    </row>
    <row r="343" spans="1:4" x14ac:dyDescent="0.2">
      <c r="A343">
        <v>2017</v>
      </c>
      <c r="B343" s="13">
        <v>3041</v>
      </c>
      <c r="C343" s="16">
        <v>293742</v>
      </c>
      <c r="D343" s="25"/>
    </row>
    <row r="344" spans="1:4" x14ac:dyDescent="0.2">
      <c r="A344">
        <v>2017</v>
      </c>
      <c r="B344" s="13">
        <v>3042</v>
      </c>
      <c r="C344" s="16">
        <v>835592</v>
      </c>
      <c r="D344" s="25"/>
    </row>
    <row r="345" spans="1:4" x14ac:dyDescent="0.2">
      <c r="A345">
        <v>2017</v>
      </c>
      <c r="B345" s="13">
        <v>3043</v>
      </c>
      <c r="C345" s="16">
        <v>869293</v>
      </c>
      <c r="D345" s="25"/>
    </row>
    <row r="346" spans="1:4" x14ac:dyDescent="0.2">
      <c r="A346">
        <v>2017</v>
      </c>
      <c r="B346" s="13">
        <v>3044</v>
      </c>
      <c r="C346" s="16">
        <v>553406</v>
      </c>
      <c r="D346" s="25"/>
    </row>
    <row r="347" spans="1:4" x14ac:dyDescent="0.2">
      <c r="A347">
        <v>2017</v>
      </c>
      <c r="B347" s="13">
        <v>3048</v>
      </c>
      <c r="C347" s="16">
        <v>278474</v>
      </c>
      <c r="D347" s="25"/>
    </row>
    <row r="348" spans="1:4" x14ac:dyDescent="0.2">
      <c r="A348">
        <v>2017</v>
      </c>
      <c r="B348" s="13">
        <v>3077</v>
      </c>
      <c r="C348" s="16">
        <v>703647</v>
      </c>
      <c r="D348" s="25"/>
    </row>
    <row r="349" spans="1:4" x14ac:dyDescent="0.2">
      <c r="A349">
        <v>2017</v>
      </c>
      <c r="B349" s="13">
        <v>3078</v>
      </c>
      <c r="C349" s="16">
        <v>312068</v>
      </c>
      <c r="D349" s="25"/>
    </row>
    <row r="350" spans="1:4" x14ac:dyDescent="0.2">
      <c r="A350">
        <v>2017</v>
      </c>
      <c r="B350" s="13">
        <v>3079</v>
      </c>
      <c r="C350" s="16">
        <v>198583</v>
      </c>
      <c r="D350" s="25"/>
    </row>
    <row r="351" spans="1:4" x14ac:dyDescent="0.2">
      <c r="A351">
        <v>2017</v>
      </c>
      <c r="B351" s="13">
        <v>3081</v>
      </c>
      <c r="C351" s="16">
        <v>352315</v>
      </c>
      <c r="D351" s="25"/>
    </row>
    <row r="352" spans="1:4" x14ac:dyDescent="0.2">
      <c r="A352">
        <v>2017</v>
      </c>
      <c r="B352" s="13">
        <v>3082</v>
      </c>
      <c r="C352" s="16">
        <v>647476</v>
      </c>
      <c r="D352" s="25"/>
    </row>
    <row r="353" spans="1:4" x14ac:dyDescent="0.2">
      <c r="A353">
        <v>2017</v>
      </c>
      <c r="B353" s="13">
        <v>3101</v>
      </c>
      <c r="C353" s="16">
        <v>308050</v>
      </c>
      <c r="D353" s="25"/>
    </row>
    <row r="354" spans="1:4" x14ac:dyDescent="0.2">
      <c r="A354">
        <v>2017</v>
      </c>
      <c r="B354" s="13">
        <v>3105</v>
      </c>
      <c r="C354" s="16">
        <v>309535</v>
      </c>
      <c r="D354" s="25"/>
    </row>
    <row r="355" spans="1:4" x14ac:dyDescent="0.2">
      <c r="A355">
        <v>2017</v>
      </c>
      <c r="B355" s="13">
        <v>3106</v>
      </c>
      <c r="C355" s="16">
        <v>550634</v>
      </c>
      <c r="D355" s="25"/>
    </row>
    <row r="356" spans="1:4" x14ac:dyDescent="0.2">
      <c r="A356">
        <v>2017</v>
      </c>
      <c r="B356" s="13">
        <v>3107</v>
      </c>
      <c r="C356" s="16">
        <v>481579</v>
      </c>
      <c r="D356" s="25"/>
    </row>
    <row r="357" spans="1:4" x14ac:dyDescent="0.2">
      <c r="A357">
        <v>2017</v>
      </c>
      <c r="B357" s="13">
        <v>3126</v>
      </c>
      <c r="C357" s="16">
        <v>647721</v>
      </c>
      <c r="D357" s="25"/>
    </row>
    <row r="358" spans="1:4" x14ac:dyDescent="0.2">
      <c r="A358">
        <v>2017</v>
      </c>
      <c r="B358" s="13">
        <v>3128</v>
      </c>
      <c r="C358" s="16">
        <v>525834</v>
      </c>
      <c r="D358" s="25"/>
    </row>
    <row r="359" spans="1:4" x14ac:dyDescent="0.2">
      <c r="A359">
        <v>2017</v>
      </c>
      <c r="B359" s="13">
        <v>3178</v>
      </c>
      <c r="C359" s="16">
        <v>891776</v>
      </c>
      <c r="D359" s="25"/>
    </row>
    <row r="360" spans="1:4" x14ac:dyDescent="0.2">
      <c r="A360">
        <v>2017</v>
      </c>
      <c r="B360" s="13">
        <v>3179</v>
      </c>
      <c r="C360" s="16">
        <v>611762</v>
      </c>
      <c r="D360" s="25"/>
    </row>
    <row r="361" spans="1:4" x14ac:dyDescent="0.2">
      <c r="A361">
        <v>2017</v>
      </c>
      <c r="B361" s="13">
        <v>3201</v>
      </c>
      <c r="C361" s="16">
        <v>350945</v>
      </c>
      <c r="D361" s="25"/>
    </row>
    <row r="362" spans="1:4" x14ac:dyDescent="0.2">
      <c r="A362">
        <v>2017</v>
      </c>
      <c r="B362" s="13">
        <v>3202</v>
      </c>
      <c r="C362" s="16">
        <v>628977</v>
      </c>
      <c r="D362" s="25"/>
    </row>
    <row r="363" spans="1:4" x14ac:dyDescent="0.2">
      <c r="A363">
        <v>2017</v>
      </c>
      <c r="B363" s="13">
        <v>3204</v>
      </c>
      <c r="C363" s="16">
        <v>615101</v>
      </c>
      <c r="D363" s="25"/>
    </row>
    <row r="364" spans="1:4" x14ac:dyDescent="0.2">
      <c r="A364">
        <v>2017</v>
      </c>
      <c r="B364" s="13">
        <v>3206</v>
      </c>
      <c r="C364" s="16">
        <v>711693</v>
      </c>
      <c r="D364" s="25"/>
    </row>
    <row r="365" spans="1:4" x14ac:dyDescent="0.2">
      <c r="A365">
        <v>2017</v>
      </c>
      <c r="B365" s="13">
        <v>3208</v>
      </c>
      <c r="C365" s="16">
        <v>314504</v>
      </c>
      <c r="D365" s="25"/>
    </row>
    <row r="366" spans="1:4" x14ac:dyDescent="0.2">
      <c r="A366">
        <v>2017</v>
      </c>
      <c r="B366" s="13">
        <v>3226</v>
      </c>
      <c r="C366" s="16">
        <v>823023</v>
      </c>
      <c r="D366" s="25"/>
    </row>
    <row r="367" spans="1:4" x14ac:dyDescent="0.2">
      <c r="A367">
        <v>2017</v>
      </c>
      <c r="B367" s="13">
        <v>3229</v>
      </c>
      <c r="C367" s="16">
        <v>532733</v>
      </c>
      <c r="D367" s="25"/>
    </row>
    <row r="368" spans="1:4" x14ac:dyDescent="0.2">
      <c r="A368">
        <v>2017</v>
      </c>
      <c r="B368" s="13">
        <v>3231</v>
      </c>
      <c r="C368" s="16">
        <v>756954</v>
      </c>
      <c r="D368" s="25"/>
    </row>
    <row r="369" spans="1:4" x14ac:dyDescent="0.2">
      <c r="A369">
        <v>2017</v>
      </c>
      <c r="B369" s="13">
        <v>3232</v>
      </c>
      <c r="C369" s="16">
        <v>380455</v>
      </c>
      <c r="D369" s="25"/>
    </row>
    <row r="370" spans="1:4" x14ac:dyDescent="0.2">
      <c r="A370">
        <v>2017</v>
      </c>
      <c r="B370" s="13">
        <v>3276</v>
      </c>
      <c r="C370" s="16">
        <v>737941</v>
      </c>
      <c r="D370" s="24"/>
    </row>
    <row r="371" spans="1:4" x14ac:dyDescent="0.2">
      <c r="A371">
        <v>2017</v>
      </c>
      <c r="B371" s="13">
        <v>3277</v>
      </c>
      <c r="C371" s="16">
        <v>852287</v>
      </c>
      <c r="D371" s="25"/>
    </row>
    <row r="372" spans="1:4" x14ac:dyDescent="0.2">
      <c r="A372">
        <v>2017</v>
      </c>
      <c r="B372" s="13">
        <v>3278</v>
      </c>
      <c r="C372" s="16">
        <v>594204</v>
      </c>
      <c r="D372" s="25"/>
    </row>
    <row r="373" spans="1:4" x14ac:dyDescent="0.2">
      <c r="A373">
        <v>2017</v>
      </c>
      <c r="B373" s="13">
        <v>3280</v>
      </c>
      <c r="C373" s="16">
        <v>710220</v>
      </c>
      <c r="D373" s="25"/>
    </row>
    <row r="374" spans="1:4" x14ac:dyDescent="0.2">
      <c r="A374">
        <v>2017</v>
      </c>
      <c r="B374" s="13">
        <v>3281</v>
      </c>
      <c r="C374" s="16">
        <v>730242</v>
      </c>
      <c r="D374" s="25"/>
    </row>
    <row r="375" spans="1:4" x14ac:dyDescent="0.2">
      <c r="A375">
        <v>2017</v>
      </c>
      <c r="B375" s="13">
        <v>3284</v>
      </c>
      <c r="C375" s="16">
        <v>780299</v>
      </c>
      <c r="D375" s="25"/>
    </row>
    <row r="376" spans="1:4" x14ac:dyDescent="0.2">
      <c r="A376">
        <v>2017</v>
      </c>
      <c r="B376" s="13">
        <v>3303</v>
      </c>
      <c r="C376" s="16">
        <v>792334</v>
      </c>
      <c r="D376" s="25"/>
    </row>
    <row r="377" spans="1:4" x14ac:dyDescent="0.2">
      <c r="A377">
        <v>2017</v>
      </c>
      <c r="B377" s="13">
        <v>3304</v>
      </c>
      <c r="C377" s="16">
        <v>412084</v>
      </c>
      <c r="D377" s="25"/>
    </row>
    <row r="378" spans="1:4" x14ac:dyDescent="0.2">
      <c r="A378">
        <v>2017</v>
      </c>
      <c r="B378" s="13">
        <v>3305</v>
      </c>
      <c r="C378" s="16">
        <v>526337</v>
      </c>
      <c r="D378" s="25"/>
    </row>
    <row r="379" spans="1:4" x14ac:dyDescent="0.2">
      <c r="A379">
        <v>2017</v>
      </c>
      <c r="B379" s="13">
        <v>3306</v>
      </c>
      <c r="C379" s="16">
        <v>530833</v>
      </c>
      <c r="D379" s="25"/>
    </row>
    <row r="380" spans="1:4" x14ac:dyDescent="0.2">
      <c r="A380">
        <v>2017</v>
      </c>
      <c r="B380" s="13">
        <v>3307</v>
      </c>
      <c r="C380" s="16">
        <v>204735</v>
      </c>
      <c r="D380" s="25"/>
    </row>
    <row r="381" spans="1:4" x14ac:dyDescent="0.2">
      <c r="A381">
        <v>2017</v>
      </c>
      <c r="B381" s="13">
        <v>3308</v>
      </c>
      <c r="C381" s="16">
        <v>425021</v>
      </c>
      <c r="D381" s="25"/>
    </row>
    <row r="382" spans="1:4" x14ac:dyDescent="0.2">
      <c r="A382">
        <v>2017</v>
      </c>
      <c r="B382" s="13">
        <v>3309</v>
      </c>
      <c r="C382" s="16">
        <v>726898</v>
      </c>
      <c r="D382" s="25"/>
    </row>
    <row r="383" spans="1:4" x14ac:dyDescent="0.2">
      <c r="A383">
        <v>2017</v>
      </c>
      <c r="B383" s="13">
        <v>3326</v>
      </c>
      <c r="C383" s="16">
        <v>651294</v>
      </c>
      <c r="D383" s="25"/>
    </row>
    <row r="384" spans="1:4" x14ac:dyDescent="0.2">
      <c r="A384">
        <v>2017</v>
      </c>
      <c r="B384" s="13">
        <v>3327</v>
      </c>
      <c r="C384" s="16">
        <v>846180</v>
      </c>
      <c r="D384" s="25"/>
    </row>
    <row r="385" spans="1:4" x14ac:dyDescent="0.2">
      <c r="A385">
        <v>2017</v>
      </c>
      <c r="B385" s="13">
        <v>3328</v>
      </c>
      <c r="C385" s="16">
        <v>454680</v>
      </c>
      <c r="D385" s="25"/>
    </row>
    <row r="386" spans="1:4" x14ac:dyDescent="0.2">
      <c r="A386">
        <v>2017</v>
      </c>
      <c r="B386" s="13">
        <v>3329</v>
      </c>
      <c r="C386" s="16">
        <v>575518</v>
      </c>
      <c r="D386" s="25"/>
    </row>
    <row r="387" spans="1:4" x14ac:dyDescent="0.2">
      <c r="A387">
        <v>2017</v>
      </c>
      <c r="B387" s="13">
        <v>3330</v>
      </c>
      <c r="C387" s="16">
        <v>858495</v>
      </c>
      <c r="D387" s="25"/>
    </row>
    <row r="388" spans="1:4" x14ac:dyDescent="0.2">
      <c r="A388">
        <v>2017</v>
      </c>
      <c r="B388" s="13">
        <v>3331</v>
      </c>
      <c r="C388" s="16">
        <v>1035960</v>
      </c>
      <c r="D388" s="25"/>
    </row>
    <row r="389" spans="1:4" x14ac:dyDescent="0.2">
      <c r="A389">
        <v>2017</v>
      </c>
      <c r="B389" s="13">
        <v>3332</v>
      </c>
      <c r="C389" s="16">
        <v>438275</v>
      </c>
      <c r="D389" s="25"/>
    </row>
    <row r="390" spans="1:4" x14ac:dyDescent="0.2">
      <c r="A390">
        <v>2017</v>
      </c>
      <c r="B390" s="13">
        <v>3452</v>
      </c>
      <c r="C390" s="16">
        <v>1098940</v>
      </c>
      <c r="D390" s="25"/>
    </row>
    <row r="391" spans="1:4" x14ac:dyDescent="0.2">
      <c r="A391">
        <v>2017</v>
      </c>
      <c r="B391" s="13">
        <v>3453</v>
      </c>
      <c r="C391" s="16">
        <v>362795</v>
      </c>
      <c r="D391" s="25"/>
    </row>
    <row r="392" spans="1:4" x14ac:dyDescent="0.2">
      <c r="A392">
        <v>2017</v>
      </c>
      <c r="B392" s="13">
        <v>3458</v>
      </c>
      <c r="C392" s="16">
        <v>773239</v>
      </c>
      <c r="D392" s="25"/>
    </row>
    <row r="393" spans="1:4" x14ac:dyDescent="0.2">
      <c r="A393">
        <v>2017</v>
      </c>
      <c r="B393" s="13">
        <v>3460</v>
      </c>
      <c r="C393" s="16">
        <v>1163835</v>
      </c>
      <c r="D393" s="25"/>
    </row>
    <row r="394" spans="1:4" x14ac:dyDescent="0.2">
      <c r="A394">
        <v>2017</v>
      </c>
      <c r="B394" s="13">
        <v>3464</v>
      </c>
      <c r="C394" s="16">
        <v>313126</v>
      </c>
      <c r="D394" s="25"/>
    </row>
    <row r="395" spans="1:4" x14ac:dyDescent="0.2">
      <c r="A395">
        <v>2017</v>
      </c>
      <c r="B395" s="13">
        <v>3465</v>
      </c>
      <c r="C395" s="16">
        <v>226096</v>
      </c>
      <c r="D395" s="25"/>
    </row>
    <row r="396" spans="1:4" x14ac:dyDescent="0.2">
      <c r="A396">
        <v>2017</v>
      </c>
      <c r="B396" s="13">
        <v>3466</v>
      </c>
      <c r="C396" s="16">
        <v>601027</v>
      </c>
      <c r="D396" s="25"/>
    </row>
    <row r="397" spans="1:4" x14ac:dyDescent="0.2">
      <c r="A397">
        <v>2017</v>
      </c>
      <c r="B397" s="13">
        <v>3467</v>
      </c>
      <c r="C397" s="16">
        <v>299294</v>
      </c>
      <c r="D397" s="25"/>
    </row>
    <row r="398" spans="1:4" x14ac:dyDescent="0.2">
      <c r="A398">
        <v>2017</v>
      </c>
      <c r="B398" s="13">
        <v>3468</v>
      </c>
      <c r="C398" s="16">
        <v>63966</v>
      </c>
      <c r="D398" s="25"/>
    </row>
    <row r="399" spans="1:4" x14ac:dyDescent="0.2">
      <c r="A399">
        <v>2017</v>
      </c>
      <c r="B399" s="13">
        <v>3470</v>
      </c>
      <c r="C399" s="16">
        <v>277981</v>
      </c>
      <c r="D399" s="25"/>
    </row>
    <row r="400" spans="1:4" x14ac:dyDescent="0.2">
      <c r="A400">
        <v>2017</v>
      </c>
      <c r="B400" s="13">
        <v>3471</v>
      </c>
      <c r="C400" s="16">
        <v>252017</v>
      </c>
      <c r="D400" s="25"/>
    </row>
    <row r="401" spans="1:4" x14ac:dyDescent="0.2">
      <c r="A401">
        <v>2017</v>
      </c>
      <c r="B401" s="13">
        <v>3472</v>
      </c>
      <c r="C401" s="16">
        <v>227740</v>
      </c>
      <c r="D401" s="25"/>
    </row>
    <row r="402" spans="1:4" x14ac:dyDescent="0.2">
      <c r="A402">
        <v>2017</v>
      </c>
      <c r="B402" s="13">
        <v>3526</v>
      </c>
      <c r="C402" s="16">
        <v>561914</v>
      </c>
      <c r="D402" s="25"/>
    </row>
    <row r="403" spans="1:4" x14ac:dyDescent="0.2">
      <c r="A403">
        <v>2017</v>
      </c>
      <c r="B403" s="13">
        <v>3527</v>
      </c>
      <c r="C403" s="16">
        <v>477542</v>
      </c>
      <c r="D403" s="25"/>
    </row>
    <row r="404" spans="1:4" x14ac:dyDescent="0.2">
      <c r="A404">
        <v>2017</v>
      </c>
      <c r="B404" s="13">
        <v>3528</v>
      </c>
      <c r="C404" s="16">
        <v>462061</v>
      </c>
      <c r="D404" s="25"/>
    </row>
    <row r="405" spans="1:4" x14ac:dyDescent="0.2">
      <c r="A405">
        <v>2017</v>
      </c>
      <c r="B405" s="13">
        <v>3531</v>
      </c>
      <c r="C405" s="16">
        <v>668319</v>
      </c>
      <c r="D405" s="25"/>
    </row>
    <row r="406" spans="1:4" x14ac:dyDescent="0.2">
      <c r="A406">
        <v>2017</v>
      </c>
      <c r="B406" s="13">
        <v>3552</v>
      </c>
      <c r="C406" s="16">
        <v>202706</v>
      </c>
      <c r="D406" s="25"/>
    </row>
    <row r="407" spans="1:4" x14ac:dyDescent="0.2">
      <c r="A407">
        <v>2017</v>
      </c>
      <c r="B407" s="13">
        <v>3559</v>
      </c>
      <c r="C407" s="16">
        <v>534016</v>
      </c>
      <c r="D407" s="25"/>
    </row>
    <row r="408" spans="1:4" x14ac:dyDescent="0.2">
      <c r="A408">
        <v>2017</v>
      </c>
      <c r="B408" s="13">
        <v>3560</v>
      </c>
      <c r="C408" s="16">
        <v>663165</v>
      </c>
      <c r="D408" s="25"/>
    </row>
    <row r="409" spans="1:4" x14ac:dyDescent="0.2">
      <c r="A409">
        <v>2017</v>
      </c>
      <c r="B409" s="13">
        <v>3561</v>
      </c>
      <c r="C409" s="16">
        <v>738259</v>
      </c>
      <c r="D409" s="25"/>
    </row>
    <row r="410" spans="1:4" x14ac:dyDescent="0.2">
      <c r="A410">
        <v>2017</v>
      </c>
      <c r="B410" s="13">
        <v>3576</v>
      </c>
      <c r="C410" s="16">
        <v>294999</v>
      </c>
      <c r="D410" s="25"/>
    </row>
    <row r="411" spans="1:4" x14ac:dyDescent="0.2">
      <c r="A411">
        <v>2017</v>
      </c>
      <c r="B411" s="13">
        <v>3577</v>
      </c>
      <c r="C411" s="16">
        <v>645754</v>
      </c>
      <c r="D411" s="24"/>
    </row>
    <row r="412" spans="1:4" x14ac:dyDescent="0.2">
      <c r="A412">
        <v>2017</v>
      </c>
      <c r="B412" s="13">
        <v>3579</v>
      </c>
      <c r="C412" s="16">
        <v>336605</v>
      </c>
      <c r="D412" s="25"/>
    </row>
    <row r="413" spans="1:4" x14ac:dyDescent="0.2">
      <c r="A413">
        <v>2017</v>
      </c>
      <c r="B413" s="13">
        <v>3585</v>
      </c>
      <c r="C413" s="16">
        <v>749909</v>
      </c>
      <c r="D413" s="25"/>
    </row>
    <row r="414" spans="1:4" x14ac:dyDescent="0.2">
      <c r="A414">
        <v>2017</v>
      </c>
      <c r="B414" s="13">
        <v>3586</v>
      </c>
      <c r="C414" s="16">
        <v>809053</v>
      </c>
      <c r="D414" s="25"/>
    </row>
    <row r="415" spans="1:4" x14ac:dyDescent="0.2">
      <c r="A415">
        <v>2017</v>
      </c>
      <c r="B415" s="13">
        <v>3589</v>
      </c>
      <c r="C415" s="16">
        <v>641488</v>
      </c>
      <c r="D415" s="25"/>
    </row>
    <row r="416" spans="1:4" x14ac:dyDescent="0.2">
      <c r="A416">
        <v>2017</v>
      </c>
      <c r="B416" s="13">
        <v>3591</v>
      </c>
      <c r="C416" s="16">
        <v>301140</v>
      </c>
      <c r="D416" s="25"/>
    </row>
    <row r="417" spans="1:4" x14ac:dyDescent="0.2">
      <c r="A417">
        <v>2017</v>
      </c>
      <c r="B417" s="13">
        <v>3592</v>
      </c>
      <c r="C417" s="16">
        <v>690536</v>
      </c>
      <c r="D417" s="25"/>
    </row>
    <row r="418" spans="1:4" x14ac:dyDescent="0.2">
      <c r="A418">
        <v>2017</v>
      </c>
      <c r="B418" s="13">
        <v>3593</v>
      </c>
      <c r="C418" s="16">
        <v>1255301</v>
      </c>
      <c r="D418" s="25"/>
    </row>
    <row r="419" spans="1:4" x14ac:dyDescent="0.2">
      <c r="A419">
        <v>2017</v>
      </c>
      <c r="B419" s="13">
        <v>3594</v>
      </c>
      <c r="C419" s="16">
        <v>307762</v>
      </c>
      <c r="D419" s="25"/>
    </row>
    <row r="420" spans="1:4" x14ac:dyDescent="0.2">
      <c r="A420">
        <v>2017</v>
      </c>
      <c r="B420" s="13">
        <v>3626</v>
      </c>
      <c r="C420" s="16">
        <v>1374287</v>
      </c>
      <c r="D420" s="25"/>
    </row>
    <row r="421" spans="1:4" x14ac:dyDescent="0.2">
      <c r="A421">
        <v>2017</v>
      </c>
      <c r="B421" s="13">
        <v>3629</v>
      </c>
      <c r="C421" s="16">
        <v>888139</v>
      </c>
      <c r="D421" s="25"/>
    </row>
    <row r="422" spans="1:4" x14ac:dyDescent="0.2">
      <c r="A422">
        <v>2017</v>
      </c>
      <c r="B422" s="13">
        <v>3630</v>
      </c>
      <c r="C422" s="16">
        <v>1395623</v>
      </c>
      <c r="D422" s="25"/>
    </row>
    <row r="423" spans="1:4" x14ac:dyDescent="0.2">
      <c r="A423">
        <v>2017</v>
      </c>
      <c r="B423" s="13">
        <v>3631</v>
      </c>
      <c r="C423" s="16">
        <v>1167870</v>
      </c>
      <c r="D423" s="25"/>
    </row>
    <row r="424" spans="1:4" x14ac:dyDescent="0.2">
      <c r="A424">
        <v>2017</v>
      </c>
      <c r="B424" s="13">
        <v>3632</v>
      </c>
      <c r="C424" s="16">
        <v>2072361</v>
      </c>
      <c r="D424" s="25"/>
    </row>
    <row r="425" spans="1:4" x14ac:dyDescent="0.2">
      <c r="A425">
        <v>2017</v>
      </c>
      <c r="B425" s="13">
        <v>3635</v>
      </c>
      <c r="C425" s="16">
        <v>1426452</v>
      </c>
      <c r="D425" s="25"/>
    </row>
    <row r="426" spans="1:4" x14ac:dyDescent="0.2">
      <c r="A426">
        <v>2017</v>
      </c>
      <c r="B426" s="13">
        <v>3636</v>
      </c>
      <c r="C426" s="16">
        <v>1180244</v>
      </c>
      <c r="D426" s="25"/>
    </row>
    <row r="427" spans="1:4" x14ac:dyDescent="0.2">
      <c r="A427">
        <v>2017</v>
      </c>
      <c r="B427" s="13">
        <v>3658</v>
      </c>
      <c r="C427" s="16">
        <v>1138681</v>
      </c>
      <c r="D427" s="25"/>
    </row>
    <row r="428" spans="1:4" x14ac:dyDescent="0.2">
      <c r="A428">
        <v>2017</v>
      </c>
      <c r="B428" s="13">
        <v>3679</v>
      </c>
      <c r="C428" s="16">
        <v>1228532</v>
      </c>
      <c r="D428" s="25"/>
    </row>
    <row r="429" spans="1:4" x14ac:dyDescent="0.2">
      <c r="A429">
        <v>2017</v>
      </c>
      <c r="B429" s="13">
        <v>3702</v>
      </c>
      <c r="C429" s="16">
        <v>689191</v>
      </c>
      <c r="D429" s="25"/>
    </row>
    <row r="430" spans="1:4" x14ac:dyDescent="0.2">
      <c r="A430">
        <v>2017</v>
      </c>
      <c r="B430" s="13">
        <v>3709</v>
      </c>
      <c r="C430" s="16">
        <v>560256</v>
      </c>
      <c r="D430" s="25"/>
    </row>
    <row r="431" spans="1:4" x14ac:dyDescent="0.2">
      <c r="A431">
        <v>2017</v>
      </c>
      <c r="B431" s="13">
        <v>3805</v>
      </c>
      <c r="C431" s="16">
        <v>434269</v>
      </c>
      <c r="D431" s="25"/>
    </row>
    <row r="432" spans="1:4" x14ac:dyDescent="0.2">
      <c r="A432">
        <v>2017</v>
      </c>
      <c r="B432" s="13">
        <v>3821</v>
      </c>
      <c r="C432" s="16">
        <v>625538</v>
      </c>
      <c r="D432" s="25"/>
    </row>
    <row r="433" spans="1:4" x14ac:dyDescent="0.2">
      <c r="A433">
        <v>2017</v>
      </c>
      <c r="B433" s="13">
        <v>3822</v>
      </c>
      <c r="C433" s="16">
        <v>233507</v>
      </c>
      <c r="D433" s="25"/>
    </row>
    <row r="434" spans="1:4" x14ac:dyDescent="0.2">
      <c r="A434">
        <v>2017</v>
      </c>
      <c r="B434" s="13">
        <v>3854</v>
      </c>
      <c r="C434" s="16">
        <v>1340254</v>
      </c>
      <c r="D434" s="25"/>
    </row>
    <row r="435" spans="1:4" x14ac:dyDescent="0.2">
      <c r="A435">
        <v>2017</v>
      </c>
      <c r="B435" s="13">
        <v>3855</v>
      </c>
      <c r="C435" s="16">
        <v>758384</v>
      </c>
      <c r="D435" s="25"/>
    </row>
    <row r="436" spans="1:4" x14ac:dyDescent="0.2">
      <c r="A436">
        <v>2017</v>
      </c>
      <c r="B436" s="13">
        <v>3856</v>
      </c>
      <c r="C436" s="16">
        <v>146778</v>
      </c>
      <c r="D436" s="25"/>
    </row>
    <row r="437" spans="1:4" x14ac:dyDescent="0.2">
      <c r="A437">
        <v>2017</v>
      </c>
      <c r="B437" s="13">
        <v>3927</v>
      </c>
      <c r="C437" s="16">
        <v>860175</v>
      </c>
      <c r="D437" s="25"/>
    </row>
    <row r="438" spans="1:4" x14ac:dyDescent="0.2">
      <c r="A438">
        <v>2017</v>
      </c>
      <c r="B438" s="13">
        <v>3928</v>
      </c>
      <c r="C438" s="16">
        <v>376578</v>
      </c>
      <c r="D438" s="25"/>
    </row>
    <row r="439" spans="1:4" x14ac:dyDescent="0.2">
      <c r="A439">
        <v>2017</v>
      </c>
      <c r="B439" s="13">
        <v>3929</v>
      </c>
      <c r="C439" s="16">
        <v>793391</v>
      </c>
      <c r="D439" s="25"/>
    </row>
    <row r="440" spans="1:4" x14ac:dyDescent="0.2">
      <c r="A440">
        <v>2017</v>
      </c>
      <c r="B440" s="13">
        <v>3930</v>
      </c>
      <c r="C440" s="16">
        <v>695368</v>
      </c>
      <c r="D440" s="25"/>
    </row>
    <row r="441" spans="1:4" x14ac:dyDescent="0.2">
      <c r="A441">
        <v>2017</v>
      </c>
      <c r="B441" s="13">
        <v>3931</v>
      </c>
      <c r="C441" s="16">
        <v>937356</v>
      </c>
      <c r="D441" s="25"/>
    </row>
    <row r="442" spans="1:4" x14ac:dyDescent="0.2">
      <c r="A442">
        <v>2017</v>
      </c>
      <c r="B442" s="13">
        <v>3932</v>
      </c>
      <c r="C442" s="16">
        <v>682283</v>
      </c>
      <c r="D442" s="25"/>
    </row>
    <row r="443" spans="1:4" x14ac:dyDescent="0.2">
      <c r="A443">
        <v>2017</v>
      </c>
      <c r="B443" s="13">
        <v>3934</v>
      </c>
      <c r="C443" s="16">
        <v>130809</v>
      </c>
      <c r="D443" s="25"/>
    </row>
    <row r="444" spans="1:4" x14ac:dyDescent="0.2">
      <c r="A444">
        <v>2017</v>
      </c>
      <c r="B444" s="13">
        <v>3979</v>
      </c>
      <c r="C444" s="16">
        <v>473060</v>
      </c>
      <c r="D444" s="25"/>
    </row>
    <row r="445" spans="1:4" x14ac:dyDescent="0.2">
      <c r="A445">
        <v>2017</v>
      </c>
      <c r="B445" s="13">
        <v>3980</v>
      </c>
      <c r="C445" s="16">
        <v>443401</v>
      </c>
      <c r="D445" s="25"/>
    </row>
    <row r="446" spans="1:4" x14ac:dyDescent="0.2">
      <c r="A446">
        <v>2017</v>
      </c>
      <c r="B446" s="13">
        <v>3981</v>
      </c>
      <c r="C446" s="16">
        <v>316120</v>
      </c>
      <c r="D446" s="25"/>
    </row>
    <row r="447" spans="1:4" x14ac:dyDescent="0.2">
      <c r="A447">
        <v>2017</v>
      </c>
      <c r="B447" s="13">
        <v>3982</v>
      </c>
      <c r="C447" s="16">
        <v>159334</v>
      </c>
      <c r="D447" s="25"/>
    </row>
    <row r="448" spans="1:4" x14ac:dyDescent="0.2">
      <c r="A448">
        <v>2017</v>
      </c>
      <c r="B448" s="13">
        <v>3983</v>
      </c>
      <c r="C448" s="16">
        <v>336371</v>
      </c>
      <c r="D448" s="25"/>
    </row>
    <row r="449" spans="1:4" x14ac:dyDescent="0.2">
      <c r="A449">
        <v>2017</v>
      </c>
      <c r="B449" s="13">
        <v>3986</v>
      </c>
      <c r="C449" s="16">
        <v>351126</v>
      </c>
      <c r="D449" s="25"/>
    </row>
    <row r="450" spans="1:4" x14ac:dyDescent="0.2">
      <c r="A450">
        <v>2017</v>
      </c>
      <c r="B450" s="13">
        <v>3987</v>
      </c>
      <c r="C450" s="16">
        <v>274861</v>
      </c>
      <c r="D450" s="25"/>
    </row>
    <row r="451" spans="1:4" x14ac:dyDescent="0.2">
      <c r="A451">
        <v>2017</v>
      </c>
      <c r="B451" s="13">
        <v>3988</v>
      </c>
      <c r="C451" s="16">
        <v>335182</v>
      </c>
      <c r="D451" s="25"/>
    </row>
    <row r="452" spans="1:4" x14ac:dyDescent="0.2">
      <c r="A452">
        <v>2017</v>
      </c>
      <c r="B452" s="13">
        <v>3989</v>
      </c>
      <c r="C452" s="16">
        <v>239882</v>
      </c>
      <c r="D452" s="24"/>
    </row>
    <row r="453" spans="1:4" x14ac:dyDescent="0.2">
      <c r="A453">
        <v>2017</v>
      </c>
      <c r="B453" s="13">
        <v>3990</v>
      </c>
      <c r="C453" s="16">
        <v>344877</v>
      </c>
      <c r="D453" s="25"/>
    </row>
    <row r="454" spans="1:4" x14ac:dyDescent="0.2">
      <c r="A454">
        <v>2017</v>
      </c>
      <c r="B454" s="13">
        <v>3991</v>
      </c>
      <c r="C454" s="16">
        <v>404671</v>
      </c>
      <c r="D454" s="25"/>
    </row>
    <row r="455" spans="1:4" x14ac:dyDescent="0.2">
      <c r="A455">
        <v>2017</v>
      </c>
      <c r="B455" s="13">
        <v>3992</v>
      </c>
      <c r="C455" s="16">
        <v>372670</v>
      </c>
      <c r="D455" s="25"/>
    </row>
    <row r="456" spans="1:4" x14ac:dyDescent="0.2">
      <c r="A456">
        <v>2017</v>
      </c>
      <c r="B456" s="13">
        <v>3994</v>
      </c>
      <c r="C456" s="16">
        <v>658547</v>
      </c>
      <c r="D456" s="25"/>
    </row>
    <row r="457" spans="1:4" x14ac:dyDescent="0.2">
      <c r="A457">
        <v>2017</v>
      </c>
      <c r="B457" s="13">
        <v>3995</v>
      </c>
      <c r="C457" s="16">
        <v>344296</v>
      </c>
      <c r="D457" s="25"/>
    </row>
    <row r="458" spans="1:4" x14ac:dyDescent="0.2">
      <c r="A458">
        <v>2017</v>
      </c>
      <c r="B458" s="13">
        <v>3996</v>
      </c>
      <c r="C458" s="16">
        <v>277239</v>
      </c>
      <c r="D458" s="25"/>
    </row>
    <row r="459" spans="1:4" x14ac:dyDescent="0.2">
      <c r="A459">
        <v>2017</v>
      </c>
      <c r="B459" s="13">
        <v>3997</v>
      </c>
      <c r="C459" s="16">
        <v>310362</v>
      </c>
      <c r="D459" s="25"/>
    </row>
    <row r="460" spans="1:4" x14ac:dyDescent="0.2">
      <c r="A460">
        <v>2017</v>
      </c>
      <c r="B460" s="13">
        <v>3998</v>
      </c>
      <c r="C460" s="16">
        <v>297047</v>
      </c>
      <c r="D460" s="25"/>
    </row>
    <row r="461" spans="1:4" x14ac:dyDescent="0.2">
      <c r="A461">
        <v>2017</v>
      </c>
      <c r="B461" s="13">
        <v>3999</v>
      </c>
      <c r="C461" s="16">
        <v>325164</v>
      </c>
      <c r="D461" s="25"/>
    </row>
    <row r="462" spans="1:4" x14ac:dyDescent="0.2">
      <c r="A462">
        <v>2017</v>
      </c>
      <c r="B462" s="13">
        <v>4004</v>
      </c>
      <c r="C462" s="16">
        <v>160624</v>
      </c>
      <c r="D462" s="25"/>
    </row>
    <row r="463" spans="1:4" x14ac:dyDescent="0.2">
      <c r="A463">
        <v>2017</v>
      </c>
      <c r="B463" s="13">
        <v>4007</v>
      </c>
      <c r="C463" s="16">
        <v>236680</v>
      </c>
      <c r="D463" s="25"/>
    </row>
    <row r="464" spans="1:4" x14ac:dyDescent="0.2">
      <c r="A464">
        <v>2017</v>
      </c>
      <c r="B464" s="13">
        <v>4008</v>
      </c>
      <c r="C464" s="16">
        <v>84230</v>
      </c>
      <c r="D464" s="25"/>
    </row>
    <row r="465" spans="1:4" x14ac:dyDescent="0.2">
      <c r="A465">
        <v>2017</v>
      </c>
      <c r="B465" s="13">
        <v>4009</v>
      </c>
      <c r="C465" s="16">
        <v>1388329</v>
      </c>
      <c r="D465" s="25"/>
    </row>
    <row r="466" spans="1:4" x14ac:dyDescent="0.2">
      <c r="A466">
        <v>2017</v>
      </c>
      <c r="B466" s="13">
        <v>4010</v>
      </c>
      <c r="C466" s="16">
        <v>134723</v>
      </c>
      <c r="D466" s="25"/>
    </row>
    <row r="467" spans="1:4" x14ac:dyDescent="0.2">
      <c r="A467">
        <v>2017</v>
      </c>
      <c r="B467" s="13">
        <v>4014</v>
      </c>
      <c r="C467" s="16">
        <v>653784</v>
      </c>
      <c r="D467" s="25"/>
    </row>
    <row r="468" spans="1:4" x14ac:dyDescent="0.2">
      <c r="A468">
        <v>2017</v>
      </c>
      <c r="B468" s="13">
        <v>4015</v>
      </c>
      <c r="C468" s="16">
        <v>400846</v>
      </c>
      <c r="D468" s="25"/>
    </row>
    <row r="469" spans="1:4" x14ac:dyDescent="0.2">
      <c r="A469">
        <v>2017</v>
      </c>
      <c r="B469" s="13">
        <v>4020</v>
      </c>
      <c r="C469" s="16">
        <v>794449</v>
      </c>
      <c r="D469" s="25"/>
    </row>
    <row r="470" spans="1:4" x14ac:dyDescent="0.2">
      <c r="A470">
        <v>2017</v>
      </c>
      <c r="B470" s="13">
        <v>4021</v>
      </c>
      <c r="C470" s="16">
        <v>1097876</v>
      </c>
      <c r="D470" s="25"/>
    </row>
    <row r="471" spans="1:4" x14ac:dyDescent="0.2">
      <c r="A471">
        <v>2017</v>
      </c>
      <c r="B471" s="13">
        <v>4022</v>
      </c>
      <c r="C471" s="16">
        <v>803895</v>
      </c>
      <c r="D471" s="25"/>
    </row>
    <row r="472" spans="1:4" x14ac:dyDescent="0.2">
      <c r="A472">
        <v>2017</v>
      </c>
      <c r="B472" s="13">
        <v>4027</v>
      </c>
      <c r="C472" s="16">
        <v>775929</v>
      </c>
      <c r="D472" s="25"/>
    </row>
    <row r="473" spans="1:4" x14ac:dyDescent="0.2">
      <c r="A473">
        <v>2017</v>
      </c>
      <c r="B473" s="13">
        <v>4028</v>
      </c>
      <c r="C473" s="16">
        <v>147885</v>
      </c>
      <c r="D473" s="25"/>
    </row>
    <row r="474" spans="1:4" x14ac:dyDescent="0.2">
      <c r="A474">
        <v>2017</v>
      </c>
      <c r="B474" s="13">
        <v>4029</v>
      </c>
      <c r="C474" s="16">
        <v>885059</v>
      </c>
      <c r="D474" s="25"/>
    </row>
    <row r="475" spans="1:4" x14ac:dyDescent="0.2">
      <c r="A475">
        <v>2017</v>
      </c>
      <c r="B475" s="13">
        <v>4030</v>
      </c>
      <c r="C475" s="16">
        <v>522220</v>
      </c>
      <c r="D475" s="25"/>
    </row>
    <row r="476" spans="1:4" x14ac:dyDescent="0.2">
      <c r="A476">
        <v>2017</v>
      </c>
      <c r="B476" s="13">
        <v>4031</v>
      </c>
      <c r="C476" s="16">
        <v>484652</v>
      </c>
      <c r="D476" s="25"/>
    </row>
    <row r="477" spans="1:4" x14ac:dyDescent="0.2">
      <c r="A477">
        <v>2017</v>
      </c>
      <c r="B477" s="13">
        <v>4034</v>
      </c>
      <c r="C477" s="16">
        <v>417914</v>
      </c>
      <c r="D477" s="25"/>
    </row>
    <row r="478" spans="1:4" x14ac:dyDescent="0.2">
      <c r="A478">
        <v>2017</v>
      </c>
      <c r="B478" s="13">
        <v>4036</v>
      </c>
      <c r="C478" s="16">
        <v>670136</v>
      </c>
      <c r="D478" s="25"/>
    </row>
    <row r="479" spans="1:4" x14ac:dyDescent="0.2">
      <c r="A479">
        <v>2017</v>
      </c>
      <c r="B479" s="13">
        <v>4101</v>
      </c>
      <c r="C479" s="16">
        <v>403360</v>
      </c>
      <c r="D479" s="25"/>
    </row>
    <row r="480" spans="1:4" x14ac:dyDescent="0.2">
      <c r="A480">
        <v>2017</v>
      </c>
      <c r="B480" s="13">
        <v>4104</v>
      </c>
      <c r="C480" s="16">
        <v>367088</v>
      </c>
      <c r="D480" s="25"/>
    </row>
    <row r="481" spans="1:4" x14ac:dyDescent="0.2">
      <c r="A481">
        <v>2017</v>
      </c>
      <c r="B481" s="13">
        <v>4124</v>
      </c>
      <c r="C481" s="16">
        <v>35448</v>
      </c>
      <c r="D481" s="25"/>
    </row>
    <row r="482" spans="1:4" x14ac:dyDescent="0.2">
      <c r="A482">
        <v>2017</v>
      </c>
      <c r="B482" s="13">
        <v>4126</v>
      </c>
      <c r="C482" s="16">
        <v>1266632</v>
      </c>
      <c r="D482" s="25"/>
    </row>
    <row r="483" spans="1:4" x14ac:dyDescent="0.2">
      <c r="A483">
        <v>2017</v>
      </c>
      <c r="B483" s="13">
        <v>4128</v>
      </c>
      <c r="C483" s="16">
        <v>800692</v>
      </c>
      <c r="D483" s="25"/>
    </row>
    <row r="484" spans="1:4" x14ac:dyDescent="0.2">
      <c r="A484">
        <v>2017</v>
      </c>
      <c r="B484" s="13">
        <v>4130</v>
      </c>
      <c r="C484" s="16">
        <v>716672</v>
      </c>
      <c r="D484" s="25"/>
    </row>
    <row r="485" spans="1:4" x14ac:dyDescent="0.2">
      <c r="A485">
        <v>2017</v>
      </c>
      <c r="B485" s="13">
        <v>4132</v>
      </c>
      <c r="C485" s="16">
        <v>331392</v>
      </c>
      <c r="D485" s="25"/>
    </row>
    <row r="486" spans="1:4" x14ac:dyDescent="0.2">
      <c r="A486">
        <v>2017</v>
      </c>
      <c r="B486" s="13">
        <v>4134</v>
      </c>
      <c r="C486" s="16">
        <v>320516</v>
      </c>
      <c r="D486" s="25"/>
    </row>
    <row r="487" spans="1:4" x14ac:dyDescent="0.2">
      <c r="A487">
        <v>2017</v>
      </c>
      <c r="B487" s="13">
        <v>4135</v>
      </c>
      <c r="C487" s="16">
        <v>247544</v>
      </c>
      <c r="D487" s="25"/>
    </row>
    <row r="488" spans="1:4" x14ac:dyDescent="0.2">
      <c r="A488">
        <v>2017</v>
      </c>
      <c r="B488" s="13">
        <v>4137</v>
      </c>
      <c r="C488" s="16">
        <v>361353</v>
      </c>
      <c r="D488" s="25"/>
    </row>
    <row r="489" spans="1:4" x14ac:dyDescent="0.2">
      <c r="A489">
        <v>2017</v>
      </c>
      <c r="B489" s="13">
        <v>4142</v>
      </c>
      <c r="C489" s="16">
        <v>1150438</v>
      </c>
      <c r="D489" s="25"/>
    </row>
    <row r="490" spans="1:4" x14ac:dyDescent="0.2">
      <c r="A490">
        <v>2017</v>
      </c>
      <c r="B490" s="13">
        <v>4143</v>
      </c>
      <c r="C490" s="16">
        <v>918098</v>
      </c>
      <c r="D490" s="25"/>
    </row>
    <row r="491" spans="1:4" x14ac:dyDescent="0.2">
      <c r="A491">
        <v>2017</v>
      </c>
      <c r="B491" s="13">
        <v>4144</v>
      </c>
      <c r="C491" s="16">
        <v>575561</v>
      </c>
      <c r="D491" s="25"/>
    </row>
    <row r="492" spans="1:4" x14ac:dyDescent="0.2">
      <c r="A492">
        <v>2017</v>
      </c>
      <c r="B492" s="13">
        <v>4149</v>
      </c>
      <c r="C492" s="16">
        <v>316611</v>
      </c>
      <c r="D492" s="25"/>
    </row>
    <row r="493" spans="1:4" x14ac:dyDescent="0.2">
      <c r="A493">
        <v>2017</v>
      </c>
      <c r="B493" s="13">
        <v>4151</v>
      </c>
      <c r="C493" s="16">
        <v>817273</v>
      </c>
      <c r="D493" s="24"/>
    </row>
    <row r="494" spans="1:4" x14ac:dyDescent="0.2">
      <c r="A494">
        <v>2017</v>
      </c>
      <c r="B494" s="13">
        <v>4152</v>
      </c>
      <c r="C494" s="16">
        <v>735292</v>
      </c>
      <c r="D494" s="25"/>
    </row>
    <row r="495" spans="1:4" x14ac:dyDescent="0.2">
      <c r="A495">
        <v>2017</v>
      </c>
      <c r="B495" s="13">
        <v>4153</v>
      </c>
      <c r="C495" s="16">
        <v>817550</v>
      </c>
      <c r="D495" s="25"/>
    </row>
    <row r="496" spans="1:4" x14ac:dyDescent="0.2">
      <c r="A496">
        <v>2017</v>
      </c>
      <c r="B496" s="13">
        <v>4154</v>
      </c>
      <c r="C496" s="16">
        <v>431854</v>
      </c>
      <c r="D496" s="25"/>
    </row>
    <row r="497" spans="1:4" x14ac:dyDescent="0.2">
      <c r="A497">
        <v>2017</v>
      </c>
      <c r="B497" s="13">
        <v>4155</v>
      </c>
      <c r="C497" s="16">
        <v>628516</v>
      </c>
      <c r="D497" s="25"/>
    </row>
    <row r="498" spans="1:4" x14ac:dyDescent="0.2">
      <c r="A498">
        <v>2017</v>
      </c>
      <c r="B498" s="13">
        <v>4178</v>
      </c>
      <c r="C498" s="16">
        <v>613776</v>
      </c>
      <c r="D498" s="25"/>
    </row>
    <row r="499" spans="1:4" x14ac:dyDescent="0.2">
      <c r="A499">
        <v>2017</v>
      </c>
      <c r="B499" s="13">
        <v>4180</v>
      </c>
      <c r="C499" s="16">
        <v>1202250</v>
      </c>
      <c r="D499" s="25"/>
    </row>
    <row r="500" spans="1:4" x14ac:dyDescent="0.2">
      <c r="A500">
        <v>2017</v>
      </c>
      <c r="B500" s="13">
        <v>4183</v>
      </c>
      <c r="C500" s="16">
        <v>787171</v>
      </c>
      <c r="D500" s="25"/>
    </row>
    <row r="501" spans="1:4" x14ac:dyDescent="0.2">
      <c r="A501">
        <v>2017</v>
      </c>
      <c r="B501" s="13">
        <v>4184</v>
      </c>
      <c r="C501" s="16">
        <v>760120</v>
      </c>
      <c r="D501" s="25"/>
    </row>
    <row r="502" spans="1:4" x14ac:dyDescent="0.2">
      <c r="A502">
        <v>2017</v>
      </c>
      <c r="B502" s="13">
        <v>4202</v>
      </c>
      <c r="C502" s="16">
        <v>500154</v>
      </c>
      <c r="D502" s="25"/>
    </row>
    <row r="503" spans="1:4" x14ac:dyDescent="0.2">
      <c r="A503">
        <v>2017</v>
      </c>
      <c r="B503" s="13">
        <v>4203</v>
      </c>
      <c r="C503" s="16">
        <v>503039</v>
      </c>
      <c r="D503" s="25"/>
    </row>
    <row r="504" spans="1:4" x14ac:dyDescent="0.2">
      <c r="A504">
        <v>2017</v>
      </c>
      <c r="B504" s="13">
        <v>4205</v>
      </c>
      <c r="C504" s="16">
        <v>354103</v>
      </c>
      <c r="D504" s="25"/>
    </row>
    <row r="505" spans="1:4" x14ac:dyDescent="0.2">
      <c r="A505">
        <v>2017</v>
      </c>
      <c r="B505" s="13">
        <v>4206</v>
      </c>
      <c r="C505" s="16">
        <v>346131</v>
      </c>
      <c r="D505" s="25"/>
    </row>
    <row r="506" spans="1:4" x14ac:dyDescent="0.2">
      <c r="A506">
        <v>2017</v>
      </c>
      <c r="B506" s="13">
        <v>4208</v>
      </c>
      <c r="C506" s="16">
        <v>1856240</v>
      </c>
      <c r="D506" s="25"/>
    </row>
    <row r="507" spans="1:4" x14ac:dyDescent="0.2">
      <c r="A507">
        <v>2017</v>
      </c>
      <c r="B507" s="13">
        <v>4258</v>
      </c>
      <c r="C507" s="16">
        <v>596767</v>
      </c>
      <c r="D507" s="25"/>
    </row>
    <row r="508" spans="1:4" x14ac:dyDescent="0.2">
      <c r="A508">
        <v>2017</v>
      </c>
      <c r="B508" s="13">
        <v>4259</v>
      </c>
      <c r="C508" s="16">
        <v>600595</v>
      </c>
      <c r="D508" s="25"/>
    </row>
    <row r="509" spans="1:4" x14ac:dyDescent="0.2">
      <c r="A509">
        <v>2017</v>
      </c>
      <c r="B509" s="13">
        <v>4260</v>
      </c>
      <c r="C509" s="16">
        <v>954893</v>
      </c>
      <c r="D509" s="25"/>
    </row>
    <row r="510" spans="1:4" x14ac:dyDescent="0.2">
      <c r="A510">
        <v>2017</v>
      </c>
      <c r="B510" s="13">
        <v>4301</v>
      </c>
      <c r="C510" s="16">
        <v>1835049</v>
      </c>
      <c r="D510" s="25"/>
    </row>
    <row r="511" spans="1:4" x14ac:dyDescent="0.2">
      <c r="A511">
        <v>2017</v>
      </c>
      <c r="B511" s="13">
        <v>4351</v>
      </c>
      <c r="C511" s="16">
        <v>2716024</v>
      </c>
      <c r="D511" s="25"/>
    </row>
    <row r="512" spans="1:4" x14ac:dyDescent="0.2">
      <c r="A512">
        <v>2017</v>
      </c>
      <c r="B512" s="13">
        <v>4353</v>
      </c>
      <c r="C512" s="16">
        <v>1604657</v>
      </c>
      <c r="D512" s="25"/>
    </row>
    <row r="513" spans="1:4" x14ac:dyDescent="0.2">
      <c r="A513">
        <v>2017</v>
      </c>
      <c r="B513" s="13">
        <v>4355</v>
      </c>
      <c r="C513" s="16">
        <v>2647046</v>
      </c>
      <c r="D513" s="25"/>
    </row>
    <row r="514" spans="1:4" x14ac:dyDescent="0.2">
      <c r="A514">
        <v>2017</v>
      </c>
      <c r="B514" s="13">
        <v>4356</v>
      </c>
      <c r="C514" s="16">
        <v>4208882</v>
      </c>
      <c r="D514" s="25"/>
    </row>
    <row r="515" spans="1:4" x14ac:dyDescent="0.2">
      <c r="A515">
        <v>2017</v>
      </c>
      <c r="B515" s="13">
        <v>4357</v>
      </c>
      <c r="C515" s="16">
        <v>1972323</v>
      </c>
      <c r="D515" s="25"/>
    </row>
    <row r="516" spans="1:4" x14ac:dyDescent="0.2">
      <c r="A516">
        <v>2017</v>
      </c>
      <c r="B516" s="13">
        <v>4358</v>
      </c>
      <c r="C516" s="16">
        <v>1487846</v>
      </c>
      <c r="D516" s="25"/>
    </row>
    <row r="517" spans="1:4" x14ac:dyDescent="0.2">
      <c r="A517">
        <v>2017</v>
      </c>
      <c r="B517" s="13">
        <v>4360</v>
      </c>
      <c r="C517" s="16">
        <v>1569920</v>
      </c>
      <c r="D517" s="25"/>
    </row>
    <row r="518" spans="1:4" x14ac:dyDescent="0.2">
      <c r="A518">
        <v>2017</v>
      </c>
      <c r="B518" s="13">
        <v>4361</v>
      </c>
      <c r="C518" s="16">
        <v>2702079</v>
      </c>
      <c r="D518" s="25"/>
    </row>
    <row r="519" spans="1:4" x14ac:dyDescent="0.2">
      <c r="A519">
        <v>2017</v>
      </c>
      <c r="B519" s="13">
        <v>4363</v>
      </c>
      <c r="C519" s="16">
        <v>1562535</v>
      </c>
      <c r="D519" s="25"/>
    </row>
    <row r="520" spans="1:4" x14ac:dyDescent="0.2">
      <c r="A520">
        <v>2017</v>
      </c>
      <c r="B520" s="13">
        <v>4364</v>
      </c>
      <c r="C520" s="16">
        <v>1761654</v>
      </c>
      <c r="D520" s="25"/>
    </row>
    <row r="521" spans="1:4" x14ac:dyDescent="0.2">
      <c r="A521">
        <v>2017</v>
      </c>
      <c r="B521" s="13">
        <v>4365</v>
      </c>
      <c r="C521" s="16">
        <v>1328685</v>
      </c>
      <c r="D521" s="25"/>
    </row>
    <row r="522" spans="1:4" x14ac:dyDescent="0.2">
      <c r="A522">
        <v>2017</v>
      </c>
      <c r="B522" s="13">
        <v>4366</v>
      </c>
      <c r="C522" s="16">
        <v>5865625</v>
      </c>
      <c r="D522" s="25"/>
    </row>
    <row r="523" spans="1:4" x14ac:dyDescent="0.2">
      <c r="A523">
        <v>2017</v>
      </c>
      <c r="B523" s="13">
        <v>4367</v>
      </c>
      <c r="C523" s="16">
        <v>9872937</v>
      </c>
      <c r="D523" s="25"/>
    </row>
    <row r="524" spans="1:4" x14ac:dyDescent="0.2">
      <c r="A524">
        <v>2017</v>
      </c>
      <c r="B524" s="13">
        <v>4368</v>
      </c>
      <c r="C524" s="16">
        <v>7571017</v>
      </c>
      <c r="D524" s="25"/>
    </row>
    <row r="525" spans="1:4" x14ac:dyDescent="0.2">
      <c r="A525">
        <v>2017</v>
      </c>
      <c r="B525" s="13">
        <v>4428</v>
      </c>
      <c r="C525" s="16">
        <v>424163</v>
      </c>
      <c r="D525" s="25"/>
    </row>
    <row r="526" spans="1:4" x14ac:dyDescent="0.2">
      <c r="A526">
        <v>2017</v>
      </c>
      <c r="B526" s="13">
        <v>4430</v>
      </c>
      <c r="C526" s="16">
        <v>526486</v>
      </c>
      <c r="D526" s="25"/>
    </row>
    <row r="527" spans="1:4" x14ac:dyDescent="0.2">
      <c r="A527">
        <v>2017</v>
      </c>
      <c r="B527" s="13">
        <v>4434</v>
      </c>
      <c r="C527" s="16">
        <v>189970</v>
      </c>
      <c r="D527" s="25"/>
    </row>
    <row r="528" spans="1:4" x14ac:dyDescent="0.2">
      <c r="A528">
        <v>2017</v>
      </c>
      <c r="B528" s="13">
        <v>4437</v>
      </c>
      <c r="C528" s="16">
        <v>743633</v>
      </c>
      <c r="D528" s="25"/>
    </row>
    <row r="529" spans="1:4" x14ac:dyDescent="0.2">
      <c r="A529">
        <v>2017</v>
      </c>
      <c r="B529" s="13">
        <v>4438</v>
      </c>
      <c r="C529" s="16">
        <v>567650</v>
      </c>
      <c r="D529" s="25"/>
    </row>
    <row r="530" spans="1:4" x14ac:dyDescent="0.2">
      <c r="A530">
        <v>2017</v>
      </c>
      <c r="B530" s="13">
        <v>4439</v>
      </c>
      <c r="C530" s="16">
        <v>721664</v>
      </c>
      <c r="D530" s="25"/>
    </row>
    <row r="531" spans="1:4" x14ac:dyDescent="0.2">
      <c r="A531">
        <v>2017</v>
      </c>
      <c r="B531" s="13">
        <v>4504</v>
      </c>
      <c r="C531" s="16">
        <v>505141</v>
      </c>
      <c r="D531" s="25"/>
    </row>
    <row r="532" spans="1:4" x14ac:dyDescent="0.2">
      <c r="A532">
        <v>2017</v>
      </c>
      <c r="B532" s="13">
        <v>4531</v>
      </c>
      <c r="C532" s="16">
        <v>702558</v>
      </c>
      <c r="D532" s="25"/>
    </row>
    <row r="533" spans="1:4" x14ac:dyDescent="0.2">
      <c r="A533">
        <v>2017</v>
      </c>
      <c r="B533" s="13">
        <v>4532</v>
      </c>
      <c r="C533" s="16">
        <v>1019271</v>
      </c>
      <c r="D533" s="25"/>
    </row>
    <row r="534" spans="1:4" x14ac:dyDescent="0.2">
      <c r="A534">
        <v>2017</v>
      </c>
      <c r="B534" s="13">
        <v>4533</v>
      </c>
      <c r="C534" s="16">
        <v>759754</v>
      </c>
      <c r="D534" s="24"/>
    </row>
    <row r="535" spans="1:4" x14ac:dyDescent="0.2">
      <c r="A535">
        <v>2017</v>
      </c>
      <c r="B535" s="13">
        <v>4534</v>
      </c>
      <c r="C535" s="16">
        <v>770891</v>
      </c>
      <c r="D535" s="25"/>
    </row>
    <row r="536" spans="1:4" x14ac:dyDescent="0.2">
      <c r="A536">
        <v>2017</v>
      </c>
      <c r="B536" s="13">
        <v>4557</v>
      </c>
      <c r="C536" s="16">
        <v>397944</v>
      </c>
      <c r="D536" s="25"/>
    </row>
    <row r="537" spans="1:4" x14ac:dyDescent="0.2">
      <c r="A537">
        <v>2017</v>
      </c>
      <c r="B537" s="13">
        <v>4582</v>
      </c>
      <c r="C537" s="16">
        <v>832244</v>
      </c>
      <c r="D537" s="25"/>
    </row>
    <row r="538" spans="1:4" x14ac:dyDescent="0.2">
      <c r="A538">
        <v>2017</v>
      </c>
      <c r="B538" s="13">
        <v>4583</v>
      </c>
      <c r="C538" s="16">
        <v>621960</v>
      </c>
      <c r="D538" s="25"/>
    </row>
    <row r="539" spans="1:4" x14ac:dyDescent="0.2">
      <c r="A539">
        <v>2017</v>
      </c>
      <c r="B539" s="13">
        <v>4586</v>
      </c>
      <c r="C539" s="16">
        <v>728396</v>
      </c>
      <c r="D539" s="25"/>
    </row>
    <row r="540" spans="1:4" x14ac:dyDescent="0.2">
      <c r="A540">
        <v>2017</v>
      </c>
      <c r="B540" s="13">
        <v>4588</v>
      </c>
      <c r="C540" s="16">
        <v>638452</v>
      </c>
      <c r="D540" s="25"/>
    </row>
    <row r="541" spans="1:4" x14ac:dyDescent="0.2">
      <c r="A541">
        <v>2017</v>
      </c>
      <c r="B541" s="13">
        <v>4590</v>
      </c>
      <c r="C541" s="16">
        <v>680279</v>
      </c>
      <c r="D541" s="25"/>
    </row>
    <row r="542" spans="1:4" x14ac:dyDescent="0.2">
      <c r="A542">
        <v>2017</v>
      </c>
      <c r="B542" s="13">
        <v>4592</v>
      </c>
      <c r="C542" s="16">
        <v>387024</v>
      </c>
      <c r="D542" s="25"/>
    </row>
    <row r="543" spans="1:4" x14ac:dyDescent="0.2">
      <c r="A543">
        <v>2017</v>
      </c>
      <c r="B543" s="13">
        <v>4593</v>
      </c>
      <c r="C543" s="16">
        <v>773757</v>
      </c>
      <c r="D543" s="25"/>
    </row>
    <row r="544" spans="1:4" x14ac:dyDescent="0.2">
      <c r="A544">
        <v>2017</v>
      </c>
      <c r="B544" s="13">
        <v>4594</v>
      </c>
      <c r="C544" s="16">
        <v>869582</v>
      </c>
      <c r="D544" s="25"/>
    </row>
    <row r="545" spans="1:4" x14ac:dyDescent="0.2">
      <c r="A545">
        <v>2017</v>
      </c>
      <c r="B545" s="13">
        <v>4595</v>
      </c>
      <c r="C545" s="16">
        <v>826546</v>
      </c>
      <c r="D545" s="25"/>
    </row>
    <row r="546" spans="1:4" x14ac:dyDescent="0.2">
      <c r="A546">
        <v>2017</v>
      </c>
      <c r="B546" s="13">
        <v>4596</v>
      </c>
      <c r="C546" s="16">
        <v>631589</v>
      </c>
      <c r="D546" s="25"/>
    </row>
    <row r="547" spans="1:4" x14ac:dyDescent="0.2">
      <c r="A547">
        <v>2017</v>
      </c>
      <c r="B547" s="13">
        <v>4597</v>
      </c>
      <c r="C547" s="16">
        <v>962646</v>
      </c>
      <c r="D547" s="25"/>
    </row>
    <row r="548" spans="1:4" x14ac:dyDescent="0.2">
      <c r="A548">
        <v>2017</v>
      </c>
      <c r="B548" s="13">
        <v>4598</v>
      </c>
      <c r="C548" s="16">
        <v>873552</v>
      </c>
      <c r="D548" s="25"/>
    </row>
    <row r="549" spans="1:4" x14ac:dyDescent="0.2">
      <c r="A549">
        <v>2017</v>
      </c>
      <c r="B549" s="13">
        <v>4604</v>
      </c>
      <c r="C549" s="16">
        <v>1118091</v>
      </c>
      <c r="D549" s="25"/>
    </row>
    <row r="550" spans="1:4" x14ac:dyDescent="0.2">
      <c r="A550">
        <v>2017</v>
      </c>
      <c r="B550" s="13">
        <v>4617</v>
      </c>
      <c r="C550" s="16">
        <v>474360</v>
      </c>
      <c r="D550" s="25"/>
    </row>
    <row r="551" spans="1:4" x14ac:dyDescent="0.2">
      <c r="A551">
        <v>2017</v>
      </c>
      <c r="B551" s="13">
        <v>4620</v>
      </c>
      <c r="C551" s="16">
        <v>767749</v>
      </c>
      <c r="D551" s="25"/>
    </row>
    <row r="552" spans="1:4" x14ac:dyDescent="0.2">
      <c r="A552">
        <v>2017</v>
      </c>
      <c r="B552" s="13">
        <v>4651</v>
      </c>
      <c r="C552" s="16">
        <v>947902</v>
      </c>
      <c r="D552" s="25"/>
    </row>
    <row r="553" spans="1:4" x14ac:dyDescent="0.2">
      <c r="A553">
        <v>2017</v>
      </c>
      <c r="B553" s="13">
        <v>4653</v>
      </c>
      <c r="C553" s="16">
        <v>2968675</v>
      </c>
      <c r="D553" s="25"/>
    </row>
    <row r="554" spans="1:4" x14ac:dyDescent="0.2">
      <c r="A554">
        <v>2017</v>
      </c>
      <c r="B554" s="13">
        <v>4654</v>
      </c>
      <c r="C554" s="16">
        <v>3458122</v>
      </c>
      <c r="D554" s="25"/>
    </row>
    <row r="555" spans="1:4" x14ac:dyDescent="0.2">
      <c r="A555">
        <v>2017</v>
      </c>
      <c r="B555" s="13">
        <v>4662</v>
      </c>
      <c r="C555" s="16">
        <v>672232</v>
      </c>
      <c r="D555" s="25"/>
    </row>
    <row r="556" spans="1:4" x14ac:dyDescent="0.2">
      <c r="A556">
        <v>2017</v>
      </c>
      <c r="B556" s="13">
        <v>4663</v>
      </c>
      <c r="C556" s="16">
        <v>908097</v>
      </c>
      <c r="D556" s="25"/>
    </row>
    <row r="557" spans="1:4" x14ac:dyDescent="0.2">
      <c r="A557">
        <v>2017</v>
      </c>
      <c r="B557" s="13">
        <v>4679</v>
      </c>
      <c r="C557" s="16">
        <v>755474</v>
      </c>
      <c r="D557" s="25"/>
    </row>
    <row r="558" spans="1:4" x14ac:dyDescent="0.2">
      <c r="A558">
        <v>2017</v>
      </c>
      <c r="B558" s="13">
        <v>4680</v>
      </c>
      <c r="C558" s="16">
        <v>548997</v>
      </c>
      <c r="D558" s="25"/>
    </row>
    <row r="559" spans="1:4" x14ac:dyDescent="0.2">
      <c r="A559">
        <v>2017</v>
      </c>
      <c r="B559" s="13">
        <v>4701</v>
      </c>
      <c r="C559" s="16">
        <v>1041506</v>
      </c>
      <c r="D559" s="25"/>
    </row>
    <row r="560" spans="1:4" x14ac:dyDescent="0.2">
      <c r="A560">
        <v>2017</v>
      </c>
      <c r="B560" s="13">
        <v>4703</v>
      </c>
      <c r="C560" s="16">
        <v>900586</v>
      </c>
      <c r="D560" s="25"/>
    </row>
    <row r="561" spans="1:4" x14ac:dyDescent="0.2">
      <c r="A561">
        <v>2017</v>
      </c>
      <c r="B561" s="13">
        <v>4704</v>
      </c>
      <c r="C561" s="16">
        <v>854950</v>
      </c>
      <c r="D561" s="25"/>
    </row>
    <row r="562" spans="1:4" x14ac:dyDescent="0.2">
      <c r="A562">
        <v>2017</v>
      </c>
      <c r="B562" s="13">
        <v>4705</v>
      </c>
      <c r="C562" s="16">
        <v>1158321</v>
      </c>
      <c r="D562" s="25"/>
    </row>
    <row r="563" spans="1:4" x14ac:dyDescent="0.2">
      <c r="A563">
        <v>2017</v>
      </c>
      <c r="B563" s="13">
        <v>4854</v>
      </c>
      <c r="C563" s="16">
        <v>1073890</v>
      </c>
      <c r="D563" s="25"/>
    </row>
    <row r="564" spans="1:4" x14ac:dyDescent="0.2">
      <c r="A564">
        <v>2017</v>
      </c>
      <c r="B564" s="13">
        <v>4855</v>
      </c>
      <c r="C564" s="16">
        <v>362481</v>
      </c>
      <c r="D564" s="25"/>
    </row>
    <row r="565" spans="1:4" x14ac:dyDescent="0.2">
      <c r="A565">
        <v>2017</v>
      </c>
      <c r="B565" s="13">
        <v>4857</v>
      </c>
      <c r="C565" s="16">
        <v>2191308</v>
      </c>
      <c r="D565" s="25"/>
    </row>
    <row r="566" spans="1:4" x14ac:dyDescent="0.2">
      <c r="A566">
        <v>2017</v>
      </c>
      <c r="B566" s="13">
        <v>4862</v>
      </c>
      <c r="C566" s="16">
        <v>2031136</v>
      </c>
      <c r="D566" s="25"/>
    </row>
    <row r="567" spans="1:4" x14ac:dyDescent="0.2">
      <c r="A567">
        <v>2017</v>
      </c>
      <c r="B567" s="13">
        <v>4863</v>
      </c>
      <c r="C567" s="16">
        <v>2399276</v>
      </c>
      <c r="D567" s="25"/>
    </row>
    <row r="568" spans="1:4" x14ac:dyDescent="0.2">
      <c r="A568">
        <v>2017</v>
      </c>
      <c r="B568" s="13">
        <v>4877</v>
      </c>
      <c r="C568" s="16">
        <v>984507</v>
      </c>
      <c r="D568" s="25"/>
    </row>
    <row r="569" spans="1:4" x14ac:dyDescent="0.2">
      <c r="A569">
        <v>2017</v>
      </c>
      <c r="B569" s="13">
        <v>4879</v>
      </c>
      <c r="C569" s="16">
        <v>750208</v>
      </c>
      <c r="D569" s="25"/>
    </row>
    <row r="570" spans="1:4" x14ac:dyDescent="0.2">
      <c r="A570">
        <v>2017</v>
      </c>
      <c r="B570" s="13">
        <v>4883</v>
      </c>
      <c r="C570" s="16">
        <v>23861</v>
      </c>
      <c r="D570" s="25"/>
    </row>
    <row r="571" spans="1:4" x14ac:dyDescent="0.2">
      <c r="A571">
        <v>2017</v>
      </c>
      <c r="B571" s="13">
        <v>4884</v>
      </c>
      <c r="C571" s="16">
        <v>320876</v>
      </c>
      <c r="D571" s="25"/>
    </row>
    <row r="572" spans="1:4" x14ac:dyDescent="0.2">
      <c r="A572">
        <v>2017</v>
      </c>
      <c r="B572" s="13">
        <v>4885</v>
      </c>
      <c r="C572" s="16">
        <v>848231</v>
      </c>
      <c r="D572" s="25"/>
    </row>
    <row r="573" spans="1:4" x14ac:dyDescent="0.2">
      <c r="A573">
        <v>2017</v>
      </c>
      <c r="B573" s="13">
        <v>4890</v>
      </c>
      <c r="C573" s="16">
        <v>1335077</v>
      </c>
      <c r="D573" s="25"/>
    </row>
    <row r="574" spans="1:4" x14ac:dyDescent="0.2">
      <c r="A574">
        <v>2017</v>
      </c>
      <c r="B574" s="13">
        <v>4892</v>
      </c>
      <c r="C574" s="16">
        <v>1220596</v>
      </c>
      <c r="D574" s="25"/>
    </row>
    <row r="575" spans="1:4" x14ac:dyDescent="0.2">
      <c r="A575">
        <v>2017</v>
      </c>
      <c r="B575" s="13">
        <v>4894</v>
      </c>
      <c r="C575" s="16">
        <v>1223024</v>
      </c>
      <c r="D575" s="24"/>
    </row>
    <row r="576" spans="1:4" x14ac:dyDescent="0.2">
      <c r="A576">
        <v>2017</v>
      </c>
      <c r="B576" s="13">
        <v>4901</v>
      </c>
      <c r="C576" s="16">
        <v>812821</v>
      </c>
      <c r="D576" s="25"/>
    </row>
    <row r="577" spans="1:4" x14ac:dyDescent="0.2">
      <c r="A577">
        <v>2017</v>
      </c>
      <c r="B577" s="13">
        <v>4905</v>
      </c>
      <c r="C577" s="16">
        <v>334021</v>
      </c>
      <c r="D577" s="25"/>
    </row>
    <row r="578" spans="1:4" x14ac:dyDescent="0.2">
      <c r="A578">
        <v>2017</v>
      </c>
      <c r="B578" s="13">
        <v>4906</v>
      </c>
      <c r="C578" s="16">
        <v>1093716</v>
      </c>
      <c r="D578" s="25"/>
    </row>
    <row r="579" spans="1:4" x14ac:dyDescent="0.2">
      <c r="A579">
        <v>2017</v>
      </c>
      <c r="B579" s="13">
        <v>4907</v>
      </c>
      <c r="C579" s="16">
        <v>1716351</v>
      </c>
      <c r="D579" s="25"/>
    </row>
    <row r="580" spans="1:4" x14ac:dyDescent="0.2">
      <c r="A580">
        <v>2017</v>
      </c>
      <c r="B580" s="13">
        <v>4908</v>
      </c>
      <c r="C580" s="16">
        <v>475783</v>
      </c>
      <c r="D580" s="25"/>
    </row>
    <row r="581" spans="1:4" x14ac:dyDescent="0.2">
      <c r="A581">
        <v>2017</v>
      </c>
      <c r="B581" s="13">
        <v>4909</v>
      </c>
      <c r="C581" s="16">
        <v>1278966</v>
      </c>
      <c r="D581" s="25"/>
    </row>
    <row r="582" spans="1:4" x14ac:dyDescent="0.2">
      <c r="A582">
        <v>2017</v>
      </c>
      <c r="B582" s="13">
        <v>4910</v>
      </c>
      <c r="C582" s="16">
        <v>622874</v>
      </c>
      <c r="D582" s="25"/>
    </row>
    <row r="583" spans="1:4" x14ac:dyDescent="0.2">
      <c r="A583">
        <v>2017</v>
      </c>
      <c r="B583" s="13">
        <v>4976</v>
      </c>
      <c r="C583" s="16">
        <v>296041</v>
      </c>
      <c r="D583" s="25"/>
    </row>
    <row r="584" spans="1:4" x14ac:dyDescent="0.2">
      <c r="A584">
        <v>2017</v>
      </c>
      <c r="B584" s="13">
        <v>4978</v>
      </c>
      <c r="C584" s="16">
        <v>312483</v>
      </c>
      <c r="D584" s="25"/>
    </row>
    <row r="585" spans="1:4" x14ac:dyDescent="0.2">
      <c r="A585">
        <v>2017</v>
      </c>
      <c r="B585" s="13">
        <v>4979</v>
      </c>
      <c r="C585" s="16">
        <v>466325</v>
      </c>
      <c r="D585" s="25"/>
    </row>
    <row r="586" spans="1:4" x14ac:dyDescent="0.2">
      <c r="A586">
        <v>2017</v>
      </c>
      <c r="B586" s="13">
        <v>4980</v>
      </c>
      <c r="C586" s="16">
        <v>237251</v>
      </c>
      <c r="D586" s="25"/>
    </row>
    <row r="587" spans="1:4" x14ac:dyDescent="0.2">
      <c r="A587">
        <v>2017</v>
      </c>
      <c r="B587" s="13">
        <v>4981</v>
      </c>
      <c r="C587" s="16">
        <v>291919</v>
      </c>
      <c r="D587" s="25"/>
    </row>
    <row r="588" spans="1:4" x14ac:dyDescent="0.2">
      <c r="A588">
        <v>2017</v>
      </c>
      <c r="B588" s="13">
        <v>4982</v>
      </c>
      <c r="C588" s="16">
        <v>428182</v>
      </c>
      <c r="D588" s="25"/>
    </row>
    <row r="589" spans="1:4" x14ac:dyDescent="0.2">
      <c r="A589">
        <v>2017</v>
      </c>
      <c r="B589" s="13">
        <v>4983</v>
      </c>
      <c r="C589" s="16">
        <v>321833</v>
      </c>
      <c r="D589" s="25"/>
    </row>
    <row r="590" spans="1:4" x14ac:dyDescent="0.2">
      <c r="A590">
        <v>2017</v>
      </c>
      <c r="B590" s="13">
        <v>5001</v>
      </c>
      <c r="C590" s="16">
        <v>630572</v>
      </c>
      <c r="D590" s="25"/>
    </row>
    <row r="591" spans="1:4" x14ac:dyDescent="0.2">
      <c r="A591">
        <v>2017</v>
      </c>
      <c r="B591" s="13">
        <v>5002</v>
      </c>
      <c r="C591" s="16">
        <v>410496</v>
      </c>
      <c r="D591" s="25"/>
    </row>
    <row r="592" spans="1:4" x14ac:dyDescent="0.2">
      <c r="A592">
        <v>2017</v>
      </c>
      <c r="B592" s="13">
        <v>5003</v>
      </c>
      <c r="C592" s="16">
        <v>513915</v>
      </c>
      <c r="D592" s="25"/>
    </row>
    <row r="593" spans="1:4" x14ac:dyDescent="0.2">
      <c r="A593">
        <v>2017</v>
      </c>
      <c r="B593" s="13">
        <v>5026</v>
      </c>
      <c r="C593" s="16">
        <v>362049</v>
      </c>
      <c r="D593" s="25"/>
    </row>
    <row r="594" spans="1:4" x14ac:dyDescent="0.2">
      <c r="A594">
        <v>2017</v>
      </c>
      <c r="B594" s="13">
        <v>5027</v>
      </c>
      <c r="C594" s="16">
        <v>731763</v>
      </c>
      <c r="D594" s="25"/>
    </row>
    <row r="595" spans="1:4" x14ac:dyDescent="0.2">
      <c r="A595">
        <v>2017</v>
      </c>
      <c r="B595" s="13">
        <v>5028</v>
      </c>
      <c r="C595" s="16">
        <v>338020</v>
      </c>
      <c r="D595" s="25"/>
    </row>
    <row r="596" spans="1:4" x14ac:dyDescent="0.2">
      <c r="A596">
        <v>2017</v>
      </c>
      <c r="B596" s="13">
        <v>5076</v>
      </c>
      <c r="C596" s="16">
        <v>964133</v>
      </c>
      <c r="D596" s="25"/>
    </row>
    <row r="597" spans="1:4" x14ac:dyDescent="0.2">
      <c r="A597">
        <v>2017</v>
      </c>
      <c r="B597" s="13">
        <v>5078</v>
      </c>
      <c r="C597" s="16">
        <v>765726</v>
      </c>
      <c r="D597" s="25"/>
    </row>
    <row r="598" spans="1:4" x14ac:dyDescent="0.2">
      <c r="A598">
        <v>2017</v>
      </c>
      <c r="B598" s="13">
        <v>5102</v>
      </c>
      <c r="C598" s="16">
        <v>2413741</v>
      </c>
      <c r="D598" s="25"/>
    </row>
    <row r="599" spans="1:4" x14ac:dyDescent="0.2">
      <c r="A599">
        <v>2017</v>
      </c>
      <c r="B599" s="13">
        <v>5103</v>
      </c>
      <c r="C599" s="16">
        <v>1292247</v>
      </c>
      <c r="D599" s="25"/>
    </row>
    <row r="600" spans="1:4" x14ac:dyDescent="0.2">
      <c r="A600">
        <v>2017</v>
      </c>
      <c r="B600" s="13">
        <v>5107</v>
      </c>
      <c r="C600" s="16">
        <v>869747</v>
      </c>
      <c r="D600" s="25"/>
    </row>
    <row r="601" spans="1:4" x14ac:dyDescent="0.2">
      <c r="A601">
        <v>2017</v>
      </c>
      <c r="B601" s="13">
        <v>5108</v>
      </c>
      <c r="C601" s="16">
        <v>750365</v>
      </c>
      <c r="D601" s="25"/>
    </row>
    <row r="602" spans="1:4" x14ac:dyDescent="0.2">
      <c r="A602">
        <v>2017</v>
      </c>
      <c r="B602" s="13">
        <v>5251</v>
      </c>
      <c r="C602" s="16">
        <v>567883</v>
      </c>
      <c r="D602" s="25"/>
    </row>
    <row r="603" spans="1:4" x14ac:dyDescent="0.2">
      <c r="A603">
        <v>2017</v>
      </c>
      <c r="B603" s="13">
        <v>5253</v>
      </c>
      <c r="C603" s="16">
        <v>799832</v>
      </c>
      <c r="D603" s="25"/>
    </row>
    <row r="604" spans="1:4" x14ac:dyDescent="0.2">
      <c r="A604">
        <v>2017</v>
      </c>
      <c r="B604" s="13">
        <v>5276</v>
      </c>
      <c r="C604" s="16">
        <v>1029191</v>
      </c>
      <c r="D604" s="25"/>
    </row>
    <row r="605" spans="1:4" x14ac:dyDescent="0.2">
      <c r="A605">
        <v>2017</v>
      </c>
      <c r="B605" s="13">
        <v>5281</v>
      </c>
      <c r="C605" s="16">
        <v>344914</v>
      </c>
      <c r="D605" s="25"/>
    </row>
    <row r="606" spans="1:4" x14ac:dyDescent="0.2">
      <c r="A606">
        <v>2017</v>
      </c>
      <c r="B606" s="13">
        <v>5282</v>
      </c>
      <c r="C606" s="16">
        <v>401724</v>
      </c>
      <c r="D606" s="25"/>
    </row>
    <row r="607" spans="1:4" x14ac:dyDescent="0.2">
      <c r="A607">
        <v>2017</v>
      </c>
      <c r="B607" s="13">
        <v>5301</v>
      </c>
      <c r="C607" s="16">
        <v>434038</v>
      </c>
      <c r="D607" s="25"/>
    </row>
    <row r="608" spans="1:4" x14ac:dyDescent="0.2">
      <c r="A608">
        <v>2017</v>
      </c>
      <c r="B608" s="13">
        <v>5303</v>
      </c>
      <c r="C608" s="16">
        <v>258131</v>
      </c>
      <c r="D608" s="25"/>
    </row>
    <row r="609" spans="1:4" x14ac:dyDescent="0.2">
      <c r="A609">
        <v>2017</v>
      </c>
      <c r="B609" s="13">
        <v>5305</v>
      </c>
      <c r="C609" s="16">
        <v>311221</v>
      </c>
      <c r="D609" s="25"/>
    </row>
    <row r="610" spans="1:4" x14ac:dyDescent="0.2">
      <c r="A610">
        <v>2017</v>
      </c>
      <c r="B610" s="13">
        <v>5306</v>
      </c>
      <c r="C610" s="16">
        <v>516676</v>
      </c>
      <c r="D610" s="25"/>
    </row>
    <row r="611" spans="1:4" x14ac:dyDescent="0.2">
      <c r="A611">
        <v>2017</v>
      </c>
      <c r="B611" s="13">
        <v>5307</v>
      </c>
      <c r="C611" s="16">
        <v>703743</v>
      </c>
      <c r="D611" s="25"/>
    </row>
    <row r="612" spans="1:4" x14ac:dyDescent="0.2">
      <c r="A612">
        <v>2017</v>
      </c>
      <c r="B612" s="13">
        <v>5308</v>
      </c>
      <c r="C612" s="16">
        <v>503374</v>
      </c>
      <c r="D612" s="25"/>
    </row>
    <row r="613" spans="1:4" x14ac:dyDescent="0.2">
      <c r="A613">
        <v>2017</v>
      </c>
      <c r="B613" s="13">
        <v>5309</v>
      </c>
      <c r="C613" s="16">
        <v>230408</v>
      </c>
      <c r="D613" s="25"/>
    </row>
    <row r="614" spans="1:4" x14ac:dyDescent="0.2">
      <c r="A614">
        <v>2017</v>
      </c>
      <c r="B614" s="13">
        <v>5351</v>
      </c>
      <c r="C614" s="16">
        <v>3032860</v>
      </c>
      <c r="D614" s="25"/>
    </row>
    <row r="615" spans="1:4" x14ac:dyDescent="0.2">
      <c r="A615">
        <v>2017</v>
      </c>
      <c r="B615" s="13">
        <v>5352</v>
      </c>
      <c r="C615" s="16">
        <v>32375</v>
      </c>
      <c r="D615" s="25"/>
    </row>
    <row r="616" spans="1:4" x14ac:dyDescent="0.2">
      <c r="A616">
        <v>2017</v>
      </c>
      <c r="B616" s="13">
        <v>5353</v>
      </c>
      <c r="C616" s="16">
        <v>341295</v>
      </c>
      <c r="D616" s="24"/>
    </row>
    <row r="617" spans="1:4" x14ac:dyDescent="0.2">
      <c r="A617">
        <v>2017</v>
      </c>
      <c r="B617" s="13">
        <v>5354</v>
      </c>
      <c r="C617" s="16">
        <v>982760</v>
      </c>
      <c r="D617" s="25"/>
    </row>
    <row r="618" spans="1:4" x14ac:dyDescent="0.2">
      <c r="A618">
        <v>2017</v>
      </c>
      <c r="B618" s="13">
        <v>5355</v>
      </c>
      <c r="C618" s="16">
        <v>1918461</v>
      </c>
      <c r="D618" s="25"/>
    </row>
    <row r="619" spans="1:4" x14ac:dyDescent="0.2">
      <c r="A619">
        <v>2017</v>
      </c>
      <c r="B619" s="13">
        <v>5356</v>
      </c>
      <c r="C619" s="16">
        <v>678989</v>
      </c>
      <c r="D619" s="25"/>
    </row>
    <row r="620" spans="1:4" x14ac:dyDescent="0.2">
      <c r="A620">
        <v>2017</v>
      </c>
      <c r="B620" s="13">
        <v>5357</v>
      </c>
      <c r="C620" s="16">
        <v>2800759</v>
      </c>
      <c r="D620" s="25"/>
    </row>
    <row r="621" spans="1:4" x14ac:dyDescent="0.2">
      <c r="A621">
        <v>2017</v>
      </c>
      <c r="B621" s="13">
        <v>5358</v>
      </c>
      <c r="C621" s="16">
        <v>5765082</v>
      </c>
      <c r="D621" s="25"/>
    </row>
    <row r="622" spans="1:4" x14ac:dyDescent="0.2">
      <c r="A622">
        <v>2017</v>
      </c>
      <c r="B622" s="13">
        <v>5359</v>
      </c>
      <c r="C622" s="16">
        <v>519292</v>
      </c>
      <c r="D622" s="25"/>
    </row>
    <row r="623" spans="1:4" x14ac:dyDescent="0.2">
      <c r="A623">
        <v>2017</v>
      </c>
      <c r="B623" s="13">
        <v>5360</v>
      </c>
      <c r="C623" s="16">
        <v>368177</v>
      </c>
      <c r="D623" s="25"/>
    </row>
    <row r="624" spans="1:4" x14ac:dyDescent="0.2">
      <c r="A624">
        <v>2017</v>
      </c>
      <c r="B624" s="13">
        <v>5361</v>
      </c>
      <c r="C624" s="16">
        <v>2729231</v>
      </c>
      <c r="D624" s="25"/>
    </row>
    <row r="625" spans="1:4" x14ac:dyDescent="0.2">
      <c r="A625">
        <v>2017</v>
      </c>
      <c r="B625" s="13">
        <v>5362</v>
      </c>
      <c r="C625" s="16">
        <v>281683</v>
      </c>
      <c r="D625" s="25"/>
    </row>
    <row r="626" spans="1:4" x14ac:dyDescent="0.2">
      <c r="A626">
        <v>2017</v>
      </c>
      <c r="B626" s="13">
        <v>5363</v>
      </c>
      <c r="C626" s="16">
        <v>2432630</v>
      </c>
      <c r="D626" s="25"/>
    </row>
    <row r="627" spans="1:4" x14ac:dyDescent="0.2">
      <c r="A627">
        <v>2017</v>
      </c>
      <c r="B627" s="13">
        <v>5364</v>
      </c>
      <c r="C627" s="16">
        <v>619658</v>
      </c>
      <c r="D627" s="25"/>
    </row>
    <row r="628" spans="1:4" x14ac:dyDescent="0.2">
      <c r="A628">
        <v>2017</v>
      </c>
      <c r="B628" s="13">
        <v>5365</v>
      </c>
      <c r="C628" s="16">
        <v>25403</v>
      </c>
      <c r="D628" s="25"/>
    </row>
    <row r="629" spans="1:4" x14ac:dyDescent="0.2">
      <c r="A629">
        <v>2017</v>
      </c>
      <c r="B629" s="13">
        <v>5367</v>
      </c>
      <c r="C629" s="16">
        <v>626819</v>
      </c>
      <c r="D629" s="25"/>
    </row>
    <row r="630" spans="1:4" x14ac:dyDescent="0.2">
      <c r="A630">
        <v>2017</v>
      </c>
      <c r="B630" s="13">
        <v>5368</v>
      </c>
      <c r="C630" s="16">
        <v>509987</v>
      </c>
      <c r="D630" s="25"/>
    </row>
    <row r="631" spans="1:4" x14ac:dyDescent="0.2">
      <c r="A631">
        <v>2017</v>
      </c>
      <c r="B631" s="13">
        <v>5369</v>
      </c>
      <c r="C631" s="16">
        <v>161466</v>
      </c>
      <c r="D631" s="25"/>
    </row>
    <row r="632" spans="1:4" x14ac:dyDescent="0.2">
      <c r="A632">
        <v>2017</v>
      </c>
      <c r="B632" s="13">
        <v>5371</v>
      </c>
      <c r="C632" s="16">
        <v>187725</v>
      </c>
      <c r="D632" s="25"/>
    </row>
    <row r="633" spans="1:4" x14ac:dyDescent="0.2">
      <c r="A633">
        <v>2017</v>
      </c>
      <c r="B633" s="13">
        <v>5372</v>
      </c>
      <c r="C633" s="16">
        <v>1384074</v>
      </c>
      <c r="D633" s="25"/>
    </row>
    <row r="634" spans="1:4" x14ac:dyDescent="0.2">
      <c r="A634">
        <v>2017</v>
      </c>
      <c r="B634" s="13">
        <v>5375</v>
      </c>
      <c r="C634" s="16">
        <v>1909243</v>
      </c>
      <c r="D634" s="25"/>
    </row>
    <row r="635" spans="1:4" x14ac:dyDescent="0.2">
      <c r="A635">
        <v>2017</v>
      </c>
      <c r="B635" s="13">
        <v>5376</v>
      </c>
      <c r="C635" s="16">
        <v>818347</v>
      </c>
      <c r="D635" s="25"/>
    </row>
    <row r="636" spans="1:4" x14ac:dyDescent="0.2">
      <c r="A636">
        <v>2017</v>
      </c>
      <c r="B636" s="13">
        <v>5379</v>
      </c>
      <c r="C636" s="16">
        <v>28729</v>
      </c>
      <c r="D636" s="25"/>
    </row>
    <row r="637" spans="1:4" x14ac:dyDescent="0.2">
      <c r="A637">
        <v>2017</v>
      </c>
      <c r="B637" s="13">
        <v>5380</v>
      </c>
      <c r="C637" s="16">
        <v>359327</v>
      </c>
      <c r="D637" s="25"/>
    </row>
    <row r="638" spans="1:4" x14ac:dyDescent="0.2">
      <c r="A638">
        <v>2017</v>
      </c>
      <c r="B638" s="13">
        <v>5403</v>
      </c>
      <c r="C638" s="16">
        <v>4409444</v>
      </c>
      <c r="D638" s="25"/>
    </row>
    <row r="639" spans="1:4" x14ac:dyDescent="0.2">
      <c r="A639">
        <v>2017</v>
      </c>
      <c r="B639" s="13">
        <v>5406</v>
      </c>
      <c r="C639" s="16">
        <v>1818892</v>
      </c>
      <c r="D639" s="25"/>
    </row>
    <row r="640" spans="1:4" x14ac:dyDescent="0.2">
      <c r="A640">
        <v>2017</v>
      </c>
      <c r="B640" s="13">
        <v>5407</v>
      </c>
      <c r="C640" s="16">
        <v>2911703</v>
      </c>
      <c r="D640" s="25"/>
    </row>
    <row r="641" spans="1:4" x14ac:dyDescent="0.2">
      <c r="A641">
        <v>2017</v>
      </c>
      <c r="B641" s="13">
        <v>5408</v>
      </c>
      <c r="C641" s="16">
        <v>3075357</v>
      </c>
      <c r="D641" s="25"/>
    </row>
    <row r="642" spans="1:4" x14ac:dyDescent="0.2">
      <c r="A642">
        <v>2017</v>
      </c>
      <c r="B642" s="13">
        <v>5409</v>
      </c>
      <c r="C642" s="16">
        <v>3552799</v>
      </c>
      <c r="D642" s="25"/>
    </row>
    <row r="643" spans="1:4" x14ac:dyDescent="0.2">
      <c r="A643">
        <v>2017</v>
      </c>
      <c r="B643" s="13">
        <v>5415</v>
      </c>
      <c r="C643" s="16">
        <v>1970419</v>
      </c>
      <c r="D643" s="25"/>
    </row>
    <row r="644" spans="1:4" x14ac:dyDescent="0.2">
      <c r="A644">
        <v>2017</v>
      </c>
      <c r="B644" s="13">
        <v>5416</v>
      </c>
      <c r="C644" s="16">
        <v>743093</v>
      </c>
      <c r="D644" s="25"/>
    </row>
    <row r="645" spans="1:4" x14ac:dyDescent="0.2">
      <c r="A645">
        <v>2017</v>
      </c>
      <c r="B645" s="13">
        <v>5418</v>
      </c>
      <c r="C645" s="16">
        <v>3718350</v>
      </c>
      <c r="D645" s="25"/>
    </row>
    <row r="646" spans="1:4" x14ac:dyDescent="0.2">
      <c r="A646">
        <v>2017</v>
      </c>
      <c r="B646" s="13">
        <v>5420</v>
      </c>
      <c r="C646" s="16">
        <v>3461975</v>
      </c>
      <c r="D646" s="25"/>
    </row>
    <row r="647" spans="1:4" x14ac:dyDescent="0.2">
      <c r="A647">
        <v>2017</v>
      </c>
      <c r="B647" s="13">
        <v>5427</v>
      </c>
      <c r="C647" s="16">
        <v>174350</v>
      </c>
      <c r="D647" s="25"/>
    </row>
    <row r="648" spans="1:4" x14ac:dyDescent="0.2">
      <c r="A648">
        <v>2017</v>
      </c>
      <c r="B648" s="13">
        <v>5457</v>
      </c>
      <c r="C648" s="16">
        <v>2721736</v>
      </c>
      <c r="D648" s="25"/>
    </row>
    <row r="649" spans="1:4" x14ac:dyDescent="0.2">
      <c r="A649">
        <v>2017</v>
      </c>
      <c r="B649" s="13">
        <v>5458</v>
      </c>
      <c r="C649" s="16">
        <v>2929483</v>
      </c>
      <c r="D649" s="25"/>
    </row>
    <row r="650" spans="1:4" x14ac:dyDescent="0.2">
      <c r="A650">
        <v>2017</v>
      </c>
      <c r="B650" s="13">
        <v>5501</v>
      </c>
      <c r="C650" s="16">
        <v>1193834</v>
      </c>
      <c r="D650" s="25"/>
    </row>
    <row r="651" spans="1:4" x14ac:dyDescent="0.2">
      <c r="A651">
        <v>2017</v>
      </c>
      <c r="B651" s="13">
        <v>5504</v>
      </c>
      <c r="C651" s="16">
        <v>1117600</v>
      </c>
      <c r="D651" s="25"/>
    </row>
    <row r="652" spans="1:4" x14ac:dyDescent="0.2">
      <c r="A652">
        <v>2017</v>
      </c>
      <c r="B652" s="13">
        <v>5505</v>
      </c>
      <c r="C652" s="16">
        <v>334303</v>
      </c>
      <c r="D652" s="25"/>
    </row>
    <row r="653" spans="1:4" x14ac:dyDescent="0.2">
      <c r="A653">
        <v>2017</v>
      </c>
      <c r="B653" s="13">
        <v>5506</v>
      </c>
      <c r="C653" s="16">
        <v>540718</v>
      </c>
      <c r="D653" s="25"/>
    </row>
    <row r="654" spans="1:4" x14ac:dyDescent="0.2">
      <c r="A654">
        <v>2017</v>
      </c>
      <c r="B654" s="13">
        <v>5507</v>
      </c>
      <c r="C654" s="16">
        <v>611419</v>
      </c>
      <c r="D654" s="25"/>
    </row>
    <row r="655" spans="1:4" x14ac:dyDescent="0.2">
      <c r="A655">
        <v>2017</v>
      </c>
      <c r="B655" s="13">
        <v>5527</v>
      </c>
      <c r="C655" s="16">
        <v>656785</v>
      </c>
      <c r="D655" s="25"/>
    </row>
    <row r="656" spans="1:4" x14ac:dyDescent="0.2">
      <c r="A656">
        <v>2017</v>
      </c>
      <c r="B656" s="13">
        <v>5528</v>
      </c>
      <c r="C656" s="16">
        <v>757331</v>
      </c>
      <c r="D656" s="25"/>
    </row>
    <row r="657" spans="1:4" x14ac:dyDescent="0.2">
      <c r="A657">
        <v>2017</v>
      </c>
      <c r="B657" s="13">
        <v>5530</v>
      </c>
      <c r="C657" s="16">
        <v>891791</v>
      </c>
      <c r="D657" s="24"/>
    </row>
    <row r="658" spans="1:4" x14ac:dyDescent="0.2">
      <c r="A658">
        <v>2017</v>
      </c>
      <c r="B658" s="13">
        <v>5533</v>
      </c>
      <c r="C658" s="16">
        <v>416035</v>
      </c>
      <c r="D658" s="25"/>
    </row>
    <row r="659" spans="1:4" x14ac:dyDescent="0.2">
      <c r="A659">
        <v>2017</v>
      </c>
      <c r="B659" s="13">
        <v>5534</v>
      </c>
      <c r="C659" s="16">
        <v>623301</v>
      </c>
      <c r="D659" s="25"/>
    </row>
    <row r="660" spans="1:4" x14ac:dyDescent="0.2">
      <c r="A660">
        <v>2017</v>
      </c>
      <c r="B660" s="13">
        <v>5535</v>
      </c>
      <c r="C660" s="16">
        <v>1118540</v>
      </c>
      <c r="D660" s="25"/>
    </row>
    <row r="661" spans="1:4" x14ac:dyDescent="0.2">
      <c r="A661">
        <v>2017</v>
      </c>
      <c r="B661" s="13">
        <v>5541</v>
      </c>
      <c r="C661" s="16">
        <v>610390</v>
      </c>
      <c r="D661" s="25"/>
    </row>
    <row r="662" spans="1:4" x14ac:dyDescent="0.2">
      <c r="A662">
        <v>2017</v>
      </c>
      <c r="B662" s="13">
        <v>5601</v>
      </c>
      <c r="C662" s="16">
        <v>1701526</v>
      </c>
      <c r="D662" s="25"/>
    </row>
    <row r="663" spans="1:4" x14ac:dyDescent="0.2">
      <c r="A663">
        <v>2017</v>
      </c>
      <c r="B663" s="13">
        <v>5676</v>
      </c>
      <c r="C663" s="16">
        <v>453422</v>
      </c>
      <c r="D663" s="25"/>
    </row>
    <row r="664" spans="1:4" x14ac:dyDescent="0.2">
      <c r="A664">
        <v>2017</v>
      </c>
      <c r="B664" s="13">
        <v>5677</v>
      </c>
      <c r="C664" s="16">
        <v>390557</v>
      </c>
      <c r="D664" s="25"/>
    </row>
    <row r="665" spans="1:4" x14ac:dyDescent="0.2">
      <c r="A665">
        <v>2017</v>
      </c>
      <c r="B665" s="13">
        <v>5678</v>
      </c>
      <c r="C665" s="16">
        <v>523748</v>
      </c>
      <c r="D665" s="25"/>
    </row>
    <row r="666" spans="1:4" x14ac:dyDescent="0.2">
      <c r="A666">
        <v>2017</v>
      </c>
      <c r="B666" s="13">
        <v>5679</v>
      </c>
      <c r="C666" s="16">
        <v>937532</v>
      </c>
      <c r="D666" s="25"/>
    </row>
    <row r="667" spans="1:4" x14ac:dyDescent="0.2">
      <c r="A667">
        <v>2017</v>
      </c>
      <c r="B667" s="13">
        <v>5680</v>
      </c>
      <c r="C667" s="16">
        <v>870421</v>
      </c>
      <c r="D667" s="25"/>
    </row>
    <row r="668" spans="1:4" x14ac:dyDescent="0.2">
      <c r="A668">
        <v>2017</v>
      </c>
      <c r="B668" s="13">
        <v>5681</v>
      </c>
      <c r="C668" s="16">
        <v>417381</v>
      </c>
      <c r="D668" s="25"/>
    </row>
    <row r="669" spans="1:4" x14ac:dyDescent="0.2">
      <c r="A669">
        <v>2017</v>
      </c>
      <c r="B669" s="13">
        <v>5682</v>
      </c>
      <c r="C669" s="16">
        <v>506291</v>
      </c>
      <c r="D669" s="25"/>
    </row>
    <row r="670" spans="1:4" x14ac:dyDescent="0.2">
      <c r="A670">
        <v>2017</v>
      </c>
      <c r="B670" s="13">
        <v>5683</v>
      </c>
      <c r="C670" s="16">
        <v>789444</v>
      </c>
      <c r="D670" s="25"/>
    </row>
    <row r="671" spans="1:4" x14ac:dyDescent="0.2">
      <c r="A671">
        <v>2017</v>
      </c>
      <c r="B671" s="13">
        <v>5684</v>
      </c>
      <c r="C671" s="16">
        <v>325579</v>
      </c>
      <c r="D671" s="25"/>
    </row>
    <row r="672" spans="1:4" x14ac:dyDescent="0.2">
      <c r="A672">
        <v>2017</v>
      </c>
      <c r="B672" s="13">
        <v>5685</v>
      </c>
      <c r="C672" s="16">
        <v>537272</v>
      </c>
      <c r="D672" s="25"/>
    </row>
    <row r="673" spans="1:4" x14ac:dyDescent="0.2">
      <c r="A673">
        <v>2017</v>
      </c>
      <c r="B673" s="13">
        <v>5687</v>
      </c>
      <c r="C673" s="16">
        <v>961665</v>
      </c>
      <c r="D673" s="25"/>
    </row>
    <row r="674" spans="1:4" x14ac:dyDescent="0.2">
      <c r="A674">
        <v>2017</v>
      </c>
      <c r="B674" s="13">
        <v>5688</v>
      </c>
      <c r="C674" s="16">
        <v>348452</v>
      </c>
      <c r="D674" s="25"/>
    </row>
    <row r="675" spans="1:4" x14ac:dyDescent="0.2">
      <c r="A675">
        <v>2017</v>
      </c>
      <c r="B675" s="13">
        <v>5691</v>
      </c>
      <c r="C675" s="16">
        <v>144542</v>
      </c>
      <c r="D675" s="25"/>
    </row>
    <row r="676" spans="1:4" x14ac:dyDescent="0.2">
      <c r="A676">
        <v>2017</v>
      </c>
      <c r="B676" s="13">
        <v>5692</v>
      </c>
      <c r="C676" s="16">
        <v>762377</v>
      </c>
      <c r="D676" s="25"/>
    </row>
    <row r="677" spans="1:4" x14ac:dyDescent="0.2">
      <c r="A677">
        <v>2017</v>
      </c>
      <c r="B677" s="13">
        <v>5693</v>
      </c>
      <c r="C677" s="16">
        <v>231919</v>
      </c>
      <c r="D677" s="25"/>
    </row>
    <row r="678" spans="1:4" x14ac:dyDescent="0.2">
      <c r="A678">
        <v>2017</v>
      </c>
      <c r="B678" s="13">
        <v>5694</v>
      </c>
      <c r="C678" s="16">
        <v>198369</v>
      </c>
      <c r="D678" s="25"/>
    </row>
    <row r="679" spans="1:4" x14ac:dyDescent="0.2">
      <c r="A679">
        <v>2017</v>
      </c>
      <c r="B679" s="13">
        <v>5695</v>
      </c>
      <c r="C679" s="16">
        <v>214373</v>
      </c>
      <c r="D679" s="25"/>
    </row>
    <row r="680" spans="1:4" x14ac:dyDescent="0.2">
      <c r="A680">
        <v>2017</v>
      </c>
      <c r="B680" s="13">
        <v>5801</v>
      </c>
      <c r="C680" s="16">
        <v>2713687</v>
      </c>
      <c r="D680" s="25"/>
    </row>
    <row r="681" spans="1:4" x14ac:dyDescent="0.2">
      <c r="A681">
        <v>2017</v>
      </c>
      <c r="B681" s="13">
        <v>5806</v>
      </c>
      <c r="C681" s="16">
        <v>1561891</v>
      </c>
      <c r="D681" s="25"/>
    </row>
    <row r="682" spans="1:4" x14ac:dyDescent="0.2">
      <c r="A682">
        <v>2017</v>
      </c>
      <c r="B682" s="13">
        <v>5807</v>
      </c>
      <c r="C682" s="16">
        <v>504214</v>
      </c>
      <c r="D682" s="25"/>
    </row>
    <row r="683" spans="1:4" x14ac:dyDescent="0.2">
      <c r="A683">
        <v>2017</v>
      </c>
      <c r="B683" s="13">
        <v>5812</v>
      </c>
      <c r="C683" s="16">
        <v>636628</v>
      </c>
      <c r="D683" s="25"/>
    </row>
    <row r="684" spans="1:4" x14ac:dyDescent="0.2">
      <c r="A684">
        <v>2017</v>
      </c>
      <c r="B684" s="13">
        <v>5813</v>
      </c>
      <c r="C684" s="16">
        <v>778845</v>
      </c>
      <c r="D684" s="25"/>
    </row>
    <row r="685" spans="1:4" x14ac:dyDescent="0.2">
      <c r="A685">
        <v>2017</v>
      </c>
      <c r="B685" s="13">
        <v>5817</v>
      </c>
      <c r="C685" s="16">
        <v>2327859</v>
      </c>
      <c r="D685" s="25"/>
    </row>
    <row r="686" spans="1:4" x14ac:dyDescent="0.2">
      <c r="A686">
        <v>2017</v>
      </c>
      <c r="B686" s="13">
        <v>5820</v>
      </c>
      <c r="C686" s="16">
        <v>696421</v>
      </c>
      <c r="D686" s="25"/>
    </row>
    <row r="687" spans="1:4" x14ac:dyDescent="0.2">
      <c r="A687">
        <v>2017</v>
      </c>
      <c r="B687" s="13">
        <v>5821</v>
      </c>
      <c r="C687" s="16">
        <v>1087222</v>
      </c>
      <c r="D687" s="25"/>
    </row>
    <row r="688" spans="1:4" x14ac:dyDescent="0.2">
      <c r="A688">
        <v>2017</v>
      </c>
      <c r="B688" s="13">
        <v>5822</v>
      </c>
      <c r="C688" s="16">
        <v>1433878</v>
      </c>
      <c r="D688" s="25"/>
    </row>
    <row r="689" spans="1:4" x14ac:dyDescent="0.2">
      <c r="A689">
        <v>2017</v>
      </c>
      <c r="B689" s="13">
        <v>5823</v>
      </c>
      <c r="C689" s="16">
        <v>316919</v>
      </c>
      <c r="D689" s="25"/>
    </row>
    <row r="690" spans="1:4" x14ac:dyDescent="0.2">
      <c r="A690">
        <v>2017</v>
      </c>
      <c r="B690" s="13">
        <v>6001</v>
      </c>
      <c r="C690" s="16">
        <v>2932028</v>
      </c>
      <c r="D690" s="25"/>
    </row>
    <row r="691" spans="1:4" x14ac:dyDescent="0.2">
      <c r="A691">
        <v>2017</v>
      </c>
      <c r="B691" s="13">
        <v>6005</v>
      </c>
      <c r="C691" s="16">
        <v>2231875</v>
      </c>
      <c r="D691" s="25"/>
    </row>
    <row r="692" spans="1:4" x14ac:dyDescent="0.2">
      <c r="A692">
        <v>2017</v>
      </c>
      <c r="B692" s="13">
        <v>6008</v>
      </c>
      <c r="C692" s="16">
        <v>2081654</v>
      </c>
      <c r="D692" s="25"/>
    </row>
    <row r="693" spans="1:4" x14ac:dyDescent="0.2">
      <c r="A693">
        <v>2017</v>
      </c>
      <c r="B693" s="13">
        <v>6011</v>
      </c>
      <c r="C693" s="16">
        <v>1062975</v>
      </c>
      <c r="D693" s="25"/>
    </row>
    <row r="694" spans="1:4" x14ac:dyDescent="0.2">
      <c r="A694">
        <v>2017</v>
      </c>
      <c r="B694" s="13">
        <v>6018</v>
      </c>
      <c r="C694" s="16">
        <v>1144491</v>
      </c>
      <c r="D694" s="25"/>
    </row>
    <row r="695" spans="1:4" x14ac:dyDescent="0.2">
      <c r="A695">
        <v>2017</v>
      </c>
      <c r="B695" s="13">
        <v>6022</v>
      </c>
      <c r="C695" s="16">
        <v>1142381</v>
      </c>
      <c r="D695" s="25"/>
    </row>
    <row r="696" spans="1:4" x14ac:dyDescent="0.2">
      <c r="A696">
        <v>2017</v>
      </c>
      <c r="B696" s="13">
        <v>6026</v>
      </c>
      <c r="C696" s="16">
        <v>2123609</v>
      </c>
      <c r="D696" s="25"/>
    </row>
    <row r="697" spans="1:4" x14ac:dyDescent="0.2">
      <c r="A697">
        <v>2017</v>
      </c>
      <c r="B697" s="13">
        <v>6027</v>
      </c>
      <c r="C697" s="16">
        <v>3125896</v>
      </c>
      <c r="D697" s="25"/>
    </row>
    <row r="698" spans="1:4" x14ac:dyDescent="0.2">
      <c r="A698">
        <v>2017</v>
      </c>
      <c r="B698" s="13">
        <v>6028</v>
      </c>
      <c r="C698" s="16">
        <v>2506000</v>
      </c>
      <c r="D698" s="24"/>
    </row>
    <row r="699" spans="1:4" x14ac:dyDescent="0.2">
      <c r="A699">
        <v>2017</v>
      </c>
      <c r="B699" s="13">
        <v>6036</v>
      </c>
      <c r="C699" s="16">
        <v>521981</v>
      </c>
      <c r="D699" s="25"/>
    </row>
    <row r="700" spans="1:4" x14ac:dyDescent="0.2">
      <c r="A700">
        <v>2017</v>
      </c>
      <c r="B700" s="13">
        <v>6040</v>
      </c>
      <c r="C700" s="16">
        <v>765567</v>
      </c>
      <c r="D700" s="25"/>
    </row>
    <row r="701" spans="1:4" x14ac:dyDescent="0.2">
      <c r="A701">
        <v>2017</v>
      </c>
      <c r="B701" s="13">
        <v>6041</v>
      </c>
      <c r="C701" s="16">
        <v>1152995</v>
      </c>
      <c r="D701" s="25"/>
    </row>
    <row r="702" spans="1:4" x14ac:dyDescent="0.2">
      <c r="A702">
        <v>2017</v>
      </c>
      <c r="B702" s="13">
        <v>6042</v>
      </c>
      <c r="C702" s="16">
        <v>1023700</v>
      </c>
      <c r="D702" s="25"/>
    </row>
    <row r="703" spans="1:4" x14ac:dyDescent="0.2">
      <c r="A703">
        <v>2017</v>
      </c>
      <c r="B703" s="13">
        <v>6044</v>
      </c>
      <c r="C703" s="16">
        <v>1643608</v>
      </c>
      <c r="D703" s="25"/>
    </row>
    <row r="704" spans="1:4" x14ac:dyDescent="0.2">
      <c r="A704">
        <v>2017</v>
      </c>
      <c r="B704" s="13">
        <v>6048</v>
      </c>
      <c r="C704" s="16">
        <v>1361845</v>
      </c>
      <c r="D704" s="25"/>
    </row>
    <row r="705" spans="1:4" x14ac:dyDescent="0.2">
      <c r="A705">
        <v>2017</v>
      </c>
      <c r="B705" s="13">
        <v>6050</v>
      </c>
      <c r="C705" s="16">
        <v>1492645</v>
      </c>
      <c r="D705" s="25"/>
    </row>
    <row r="706" spans="1:4" x14ac:dyDescent="0.2">
      <c r="A706">
        <v>2017</v>
      </c>
      <c r="B706" s="13">
        <v>6051</v>
      </c>
      <c r="C706" s="16">
        <v>3565259</v>
      </c>
      <c r="D706" s="25"/>
    </row>
    <row r="707" spans="1:4" x14ac:dyDescent="0.2">
      <c r="A707">
        <v>2017</v>
      </c>
      <c r="B707" s="13">
        <v>6052</v>
      </c>
      <c r="C707" s="16">
        <v>2477972</v>
      </c>
      <c r="D707" s="25"/>
    </row>
    <row r="708" spans="1:4" x14ac:dyDescent="0.2">
      <c r="A708">
        <v>2017</v>
      </c>
      <c r="B708" s="13">
        <v>6056</v>
      </c>
      <c r="C708" s="16">
        <v>10345165</v>
      </c>
      <c r="D708" s="25"/>
    </row>
    <row r="709" spans="1:4" x14ac:dyDescent="0.2">
      <c r="A709">
        <v>2017</v>
      </c>
      <c r="B709" s="13">
        <v>6057</v>
      </c>
      <c r="C709" s="16">
        <v>2066869</v>
      </c>
      <c r="D709" s="25"/>
    </row>
    <row r="710" spans="1:4" x14ac:dyDescent="0.2">
      <c r="A710">
        <v>2017</v>
      </c>
      <c r="B710" s="13">
        <v>6061</v>
      </c>
      <c r="C710" s="16">
        <v>3869159</v>
      </c>
      <c r="D710" s="25"/>
    </row>
    <row r="711" spans="1:4" x14ac:dyDescent="0.2">
      <c r="A711">
        <v>2017</v>
      </c>
      <c r="B711" s="13">
        <v>6065</v>
      </c>
      <c r="C711" s="16">
        <v>4393227</v>
      </c>
      <c r="D711" s="25"/>
    </row>
    <row r="712" spans="1:4" x14ac:dyDescent="0.2">
      <c r="A712">
        <v>2017</v>
      </c>
      <c r="B712" s="13">
        <v>6067</v>
      </c>
      <c r="C712" s="16">
        <v>2292533</v>
      </c>
      <c r="D712" s="25"/>
    </row>
    <row r="713" spans="1:4" x14ac:dyDescent="0.2">
      <c r="A713">
        <v>2017</v>
      </c>
      <c r="B713" s="13">
        <v>6068</v>
      </c>
      <c r="C713" s="16">
        <v>1546587</v>
      </c>
      <c r="D713" s="25"/>
    </row>
    <row r="714" spans="1:4" x14ac:dyDescent="0.2">
      <c r="A714">
        <v>2017</v>
      </c>
      <c r="B714" s="13">
        <v>6074</v>
      </c>
      <c r="C714" s="16">
        <v>2527021</v>
      </c>
      <c r="D714" s="25"/>
    </row>
    <row r="715" spans="1:4" x14ac:dyDescent="0.2">
      <c r="A715">
        <v>2017</v>
      </c>
      <c r="B715" s="13">
        <v>6075</v>
      </c>
      <c r="C715" s="16">
        <v>1981191</v>
      </c>
      <c r="D715" s="25"/>
    </row>
    <row r="716" spans="1:4" x14ac:dyDescent="0.2">
      <c r="A716">
        <v>2017</v>
      </c>
      <c r="B716" s="13">
        <v>6078</v>
      </c>
      <c r="C716" s="16">
        <v>4887608</v>
      </c>
      <c r="D716" s="25"/>
    </row>
    <row r="717" spans="1:4" x14ac:dyDescent="0.2">
      <c r="A717">
        <v>2017</v>
      </c>
      <c r="B717" s="13">
        <v>6079</v>
      </c>
      <c r="C717" s="16">
        <v>2226686</v>
      </c>
      <c r="D717" s="25"/>
    </row>
    <row r="718" spans="1:4" x14ac:dyDescent="0.2">
      <c r="A718">
        <v>2017</v>
      </c>
      <c r="B718" s="13">
        <v>6091</v>
      </c>
      <c r="C718" s="16">
        <v>9776150</v>
      </c>
      <c r="D718" s="25"/>
    </row>
    <row r="719" spans="1:4" x14ac:dyDescent="0.2">
      <c r="A719">
        <v>2017</v>
      </c>
      <c r="B719" s="13">
        <v>6093</v>
      </c>
      <c r="C719" s="16">
        <v>5006136</v>
      </c>
      <c r="D719" s="25"/>
    </row>
    <row r="720" spans="1:4" x14ac:dyDescent="0.2">
      <c r="A720">
        <v>2017</v>
      </c>
      <c r="B720" s="13">
        <v>6094</v>
      </c>
      <c r="C720" s="16">
        <v>3109473</v>
      </c>
      <c r="D720" s="25"/>
    </row>
    <row r="721" spans="1:4" x14ac:dyDescent="0.2">
      <c r="A721">
        <v>2017</v>
      </c>
      <c r="B721" s="13">
        <v>6095</v>
      </c>
      <c r="C721" s="16">
        <v>1251894</v>
      </c>
      <c r="D721" s="25"/>
    </row>
    <row r="722" spans="1:4" x14ac:dyDescent="0.2">
      <c r="A722">
        <v>2017</v>
      </c>
      <c r="B722" s="13">
        <v>6097</v>
      </c>
      <c r="C722" s="16">
        <v>1028802</v>
      </c>
      <c r="D722" s="25"/>
    </row>
    <row r="723" spans="1:4" x14ac:dyDescent="0.2">
      <c r="A723">
        <v>2017</v>
      </c>
      <c r="B723" s="13">
        <v>6099</v>
      </c>
      <c r="C723" s="16">
        <v>1347621</v>
      </c>
      <c r="D723" s="25"/>
    </row>
    <row r="724" spans="1:4" x14ac:dyDescent="0.2">
      <c r="A724">
        <v>2017</v>
      </c>
      <c r="B724" s="13">
        <v>6104</v>
      </c>
      <c r="C724" s="16">
        <v>2015967</v>
      </c>
      <c r="D724" s="25"/>
    </row>
    <row r="725" spans="1:4" x14ac:dyDescent="0.2">
      <c r="A725">
        <v>2017</v>
      </c>
      <c r="B725" s="13">
        <v>6105</v>
      </c>
      <c r="C725" s="16">
        <v>3357759</v>
      </c>
      <c r="D725" s="25"/>
    </row>
    <row r="726" spans="1:4" x14ac:dyDescent="0.2">
      <c r="A726">
        <v>2017</v>
      </c>
      <c r="B726" s="13">
        <v>6109</v>
      </c>
      <c r="C726" s="16">
        <v>3208736</v>
      </c>
      <c r="D726" s="25"/>
    </row>
    <row r="727" spans="1:4" x14ac:dyDescent="0.2">
      <c r="A727">
        <v>2017</v>
      </c>
      <c r="B727" s="13">
        <v>6507</v>
      </c>
      <c r="C727" s="16">
        <v>115018</v>
      </c>
      <c r="D727" s="25"/>
    </row>
    <row r="728" spans="1:4" x14ac:dyDescent="0.2">
      <c r="A728">
        <v>2017</v>
      </c>
      <c r="B728" s="13">
        <v>6511</v>
      </c>
      <c r="C728" s="16">
        <v>56655</v>
      </c>
      <c r="D728" s="25"/>
    </row>
    <row r="729" spans="1:4" x14ac:dyDescent="0.2">
      <c r="A729">
        <v>2017</v>
      </c>
      <c r="B729" s="13">
        <v>7000</v>
      </c>
      <c r="C729" s="16">
        <v>15021122</v>
      </c>
      <c r="D729" s="25"/>
    </row>
    <row r="730" spans="1:4" x14ac:dyDescent="0.2">
      <c r="A730">
        <v>2017</v>
      </c>
      <c r="B730" s="13">
        <v>7500</v>
      </c>
      <c r="C730" s="16">
        <v>133103</v>
      </c>
      <c r="D730" s="25"/>
    </row>
    <row r="731" spans="1:4" x14ac:dyDescent="0.2">
      <c r="A731">
        <v>2017</v>
      </c>
      <c r="B731" s="13">
        <v>7501</v>
      </c>
      <c r="C731" s="16">
        <v>283075</v>
      </c>
      <c r="D731" s="25"/>
    </row>
    <row r="732" spans="1:4" x14ac:dyDescent="0.2">
      <c r="A732">
        <v>2017</v>
      </c>
      <c r="B732" s="13">
        <v>7502</v>
      </c>
      <c r="C732" s="16">
        <v>41828</v>
      </c>
      <c r="D732" s="25"/>
    </row>
    <row r="733" spans="1:4" x14ac:dyDescent="0.2">
      <c r="A733">
        <v>2017</v>
      </c>
      <c r="B733" s="13">
        <v>8000</v>
      </c>
      <c r="C733" s="16">
        <v>1878608</v>
      </c>
      <c r="D733" s="25"/>
    </row>
    <row r="734" spans="1:4" x14ac:dyDescent="0.2">
      <c r="A734">
        <v>2017</v>
      </c>
      <c r="B734" s="13">
        <v>8102</v>
      </c>
      <c r="C734" s="16">
        <v>412040</v>
      </c>
      <c r="D734" s="25"/>
    </row>
    <row r="735" spans="1:4" x14ac:dyDescent="0.2">
      <c r="A735">
        <v>2017</v>
      </c>
      <c r="B735" s="13">
        <v>8105</v>
      </c>
      <c r="C735" s="16">
        <v>420623</v>
      </c>
      <c r="D735" s="25"/>
    </row>
    <row r="736" spans="1:4" x14ac:dyDescent="0.2">
      <c r="A736">
        <v>2017</v>
      </c>
      <c r="B736" s="13">
        <v>8110</v>
      </c>
      <c r="C736" s="16">
        <v>848508</v>
      </c>
      <c r="D736" s="25"/>
    </row>
    <row r="737" spans="1:4" x14ac:dyDescent="0.2">
      <c r="A737">
        <v>2017</v>
      </c>
      <c r="B737" s="13">
        <v>8112</v>
      </c>
      <c r="C737" s="16">
        <v>173627</v>
      </c>
      <c r="D737" s="25"/>
    </row>
    <row r="738" spans="1:4" x14ac:dyDescent="0.2">
      <c r="A738">
        <v>2017</v>
      </c>
      <c r="B738" s="13">
        <v>8113</v>
      </c>
      <c r="C738" s="16">
        <v>199776</v>
      </c>
      <c r="D738" s="25"/>
    </row>
    <row r="739" spans="1:4" x14ac:dyDescent="0.2">
      <c r="A739">
        <v>2017</v>
      </c>
      <c r="B739" s="13">
        <v>8115</v>
      </c>
      <c r="C739" s="16">
        <v>225291</v>
      </c>
      <c r="D739" s="24"/>
    </row>
    <row r="740" spans="1:4" x14ac:dyDescent="0.2">
      <c r="A740">
        <v>2017</v>
      </c>
      <c r="B740" s="13">
        <v>8120</v>
      </c>
      <c r="C740" s="16">
        <v>675864</v>
      </c>
      <c r="D740" s="25"/>
    </row>
    <row r="741" spans="1:4" x14ac:dyDescent="0.2">
      <c r="A741">
        <v>2017</v>
      </c>
      <c r="B741" s="13">
        <v>8124</v>
      </c>
      <c r="C741" s="16">
        <v>1740733</v>
      </c>
      <c r="D741" s="25"/>
    </row>
    <row r="742" spans="1:4" x14ac:dyDescent="0.2">
      <c r="A742">
        <v>2017</v>
      </c>
      <c r="B742" s="13">
        <v>8129</v>
      </c>
      <c r="C742" s="16">
        <v>541953</v>
      </c>
      <c r="D742" s="25"/>
    </row>
    <row r="743" spans="1:4" x14ac:dyDescent="0.2">
      <c r="A743">
        <v>2017</v>
      </c>
      <c r="B743" s="13">
        <v>8130</v>
      </c>
      <c r="C743" s="16">
        <v>2861501</v>
      </c>
      <c r="D743" s="25"/>
    </row>
    <row r="744" spans="1:4" x14ac:dyDescent="0.2">
      <c r="A744">
        <v>2017</v>
      </c>
      <c r="B744" s="13">
        <v>8131</v>
      </c>
      <c r="C744" s="16">
        <v>350224</v>
      </c>
      <c r="D744" s="25"/>
    </row>
    <row r="745" spans="1:4" x14ac:dyDescent="0.2">
      <c r="A745">
        <v>2017</v>
      </c>
      <c r="B745" s="13">
        <v>8133</v>
      </c>
      <c r="C745" s="16">
        <v>521001</v>
      </c>
      <c r="D745" s="25"/>
    </row>
    <row r="746" spans="1:4" x14ac:dyDescent="0.2">
      <c r="A746">
        <v>2017</v>
      </c>
      <c r="B746" s="13">
        <v>8134</v>
      </c>
      <c r="C746" s="16">
        <v>215357</v>
      </c>
      <c r="D746" s="25"/>
    </row>
    <row r="747" spans="1:4" x14ac:dyDescent="0.2">
      <c r="A747">
        <v>2017</v>
      </c>
      <c r="B747" s="13">
        <v>8135</v>
      </c>
      <c r="C747" s="16">
        <v>1231488</v>
      </c>
      <c r="D747" s="25"/>
    </row>
    <row r="748" spans="1:4" x14ac:dyDescent="0.2">
      <c r="A748">
        <v>2017</v>
      </c>
      <c r="B748" s="13">
        <v>8140</v>
      </c>
      <c r="C748" s="16">
        <v>260115</v>
      </c>
      <c r="D748" s="25"/>
    </row>
    <row r="749" spans="1:4" x14ac:dyDescent="0.2">
      <c r="A749">
        <v>2017</v>
      </c>
      <c r="B749" s="13">
        <v>8142</v>
      </c>
      <c r="C749" s="16">
        <v>546698</v>
      </c>
      <c r="D749" s="25"/>
    </row>
    <row r="750" spans="1:4" x14ac:dyDescent="0.2">
      <c r="A750">
        <v>2017</v>
      </c>
      <c r="B750" s="13">
        <v>8145</v>
      </c>
      <c r="C750" s="16">
        <v>455515</v>
      </c>
      <c r="D750" s="25"/>
    </row>
    <row r="751" spans="1:4" x14ac:dyDescent="0.2">
      <c r="A751">
        <v>2017</v>
      </c>
      <c r="B751" s="13">
        <v>8146</v>
      </c>
      <c r="C751" s="16">
        <v>1276492</v>
      </c>
      <c r="D751" s="25"/>
    </row>
    <row r="752" spans="1:4" x14ac:dyDescent="0.2">
      <c r="A752">
        <v>2017</v>
      </c>
      <c r="B752" s="13">
        <v>8149</v>
      </c>
      <c r="C752" s="16">
        <v>155024</v>
      </c>
      <c r="D752" s="25"/>
    </row>
    <row r="753" spans="1:4" x14ac:dyDescent="0.2">
      <c r="A753">
        <v>2017</v>
      </c>
      <c r="B753" s="13">
        <v>8150</v>
      </c>
      <c r="C753" s="16">
        <v>2410768</v>
      </c>
      <c r="D753" s="25"/>
    </row>
    <row r="754" spans="1:4" x14ac:dyDescent="0.2">
      <c r="A754">
        <v>2017</v>
      </c>
      <c r="B754" s="13">
        <v>8151</v>
      </c>
      <c r="C754" s="16">
        <v>1234354</v>
      </c>
      <c r="D754" s="25"/>
    </row>
    <row r="755" spans="1:4" x14ac:dyDescent="0.2">
      <c r="A755">
        <v>2017</v>
      </c>
      <c r="B755" s="13">
        <v>8153</v>
      </c>
      <c r="C755" s="16">
        <v>388402</v>
      </c>
      <c r="D755" s="25"/>
    </row>
    <row r="756" spans="1:4" x14ac:dyDescent="0.2">
      <c r="A756">
        <v>2017</v>
      </c>
      <c r="B756" s="13">
        <v>8155</v>
      </c>
      <c r="C756" s="16">
        <v>710705</v>
      </c>
      <c r="D756" s="25"/>
    </row>
    <row r="757" spans="1:4" x14ac:dyDescent="0.2">
      <c r="A757">
        <v>2017</v>
      </c>
      <c r="B757" s="13">
        <v>8160</v>
      </c>
      <c r="C757" s="16">
        <v>774588</v>
      </c>
      <c r="D757" s="25"/>
    </row>
    <row r="758" spans="1:4" x14ac:dyDescent="0.2">
      <c r="A758">
        <v>2017</v>
      </c>
      <c r="B758" s="13">
        <v>8162</v>
      </c>
      <c r="C758" s="16">
        <v>214891</v>
      </c>
      <c r="D758" s="25"/>
    </row>
    <row r="759" spans="1:4" x14ac:dyDescent="0.2">
      <c r="A759">
        <v>2017</v>
      </c>
      <c r="B759" s="13">
        <v>8166</v>
      </c>
      <c r="C759" s="16">
        <v>3236284</v>
      </c>
      <c r="D759" s="25"/>
    </row>
    <row r="760" spans="1:4" x14ac:dyDescent="0.2">
      <c r="A760">
        <v>2017</v>
      </c>
      <c r="B760" s="13">
        <v>8167</v>
      </c>
      <c r="C760" s="16">
        <v>137528</v>
      </c>
      <c r="D760" s="25"/>
    </row>
    <row r="761" spans="1:4" x14ac:dyDescent="0.2">
      <c r="A761">
        <v>2017</v>
      </c>
      <c r="B761" s="13">
        <v>8168</v>
      </c>
      <c r="C761" s="16">
        <v>246779</v>
      </c>
      <c r="D761" s="25"/>
    </row>
    <row r="762" spans="1:4" x14ac:dyDescent="0.2">
      <c r="A762">
        <v>2017</v>
      </c>
      <c r="B762" s="13">
        <v>8169</v>
      </c>
      <c r="C762" s="16">
        <v>256302</v>
      </c>
      <c r="D762" s="25"/>
    </row>
    <row r="763" spans="1:4" x14ac:dyDescent="0.2">
      <c r="A763">
        <v>2017</v>
      </c>
      <c r="B763" s="13">
        <v>8170</v>
      </c>
      <c r="C763" s="16">
        <v>1177482</v>
      </c>
      <c r="D763" s="25"/>
    </row>
    <row r="764" spans="1:4" x14ac:dyDescent="0.2">
      <c r="A764">
        <v>2017</v>
      </c>
      <c r="B764" s="13">
        <v>8400</v>
      </c>
      <c r="C764" s="16">
        <v>525790</v>
      </c>
      <c r="D764" s="25"/>
    </row>
    <row r="765" spans="1:4" x14ac:dyDescent="0.2">
      <c r="A765">
        <v>2017</v>
      </c>
      <c r="B765" s="13">
        <v>8402</v>
      </c>
      <c r="C765" s="16">
        <v>316699</v>
      </c>
      <c r="D765" s="25"/>
    </row>
    <row r="766" spans="1:4" x14ac:dyDescent="0.2">
      <c r="A766">
        <v>2017</v>
      </c>
      <c r="B766" s="13">
        <v>8403</v>
      </c>
      <c r="C766" s="16">
        <v>293443</v>
      </c>
      <c r="D766" s="25"/>
    </row>
    <row r="767" spans="1:4" x14ac:dyDescent="0.2">
      <c r="A767">
        <v>2017</v>
      </c>
      <c r="B767" s="13">
        <v>8406</v>
      </c>
      <c r="C767" s="16">
        <v>183544</v>
      </c>
      <c r="D767" s="25"/>
    </row>
    <row r="768" spans="1:4" x14ac:dyDescent="0.2">
      <c r="A768">
        <v>2017</v>
      </c>
      <c r="B768" s="13">
        <v>8407</v>
      </c>
      <c r="C768" s="16">
        <v>1185731</v>
      </c>
      <c r="D768" s="25"/>
    </row>
    <row r="769" spans="1:4" x14ac:dyDescent="0.2">
      <c r="A769">
        <v>2017</v>
      </c>
      <c r="B769" s="13">
        <v>8409</v>
      </c>
      <c r="C769" s="16">
        <v>656304</v>
      </c>
      <c r="D769" s="25"/>
    </row>
    <row r="770" spans="1:4" x14ac:dyDescent="0.2">
      <c r="A770">
        <v>2017</v>
      </c>
      <c r="B770" s="13">
        <v>8410</v>
      </c>
      <c r="C770" s="16">
        <v>240622</v>
      </c>
      <c r="D770" s="25"/>
    </row>
    <row r="771" spans="1:4" x14ac:dyDescent="0.2">
      <c r="A771">
        <v>2017</v>
      </c>
      <c r="B771" s="13">
        <v>8412</v>
      </c>
      <c r="C771" s="16">
        <v>547223</v>
      </c>
      <c r="D771" s="25"/>
    </row>
    <row r="772" spans="1:4" x14ac:dyDescent="0.2">
      <c r="A772">
        <v>2017</v>
      </c>
      <c r="B772" s="13">
        <v>8415</v>
      </c>
      <c r="C772" s="16">
        <v>551371</v>
      </c>
      <c r="D772" s="25"/>
    </row>
    <row r="773" spans="1:4" x14ac:dyDescent="0.2">
      <c r="A773">
        <v>2017</v>
      </c>
      <c r="B773" s="13">
        <v>8416</v>
      </c>
      <c r="C773" s="16">
        <v>307781</v>
      </c>
      <c r="D773" s="25"/>
    </row>
    <row r="774" spans="1:4" x14ac:dyDescent="0.2">
      <c r="A774">
        <v>2017</v>
      </c>
      <c r="B774" s="13">
        <v>8419</v>
      </c>
      <c r="C774" s="16">
        <v>257826</v>
      </c>
      <c r="D774" s="25"/>
    </row>
    <row r="775" spans="1:4" x14ac:dyDescent="0.2">
      <c r="A775">
        <v>2017</v>
      </c>
      <c r="B775" s="13">
        <v>8420</v>
      </c>
      <c r="C775" s="16">
        <v>447213</v>
      </c>
      <c r="D775" s="25"/>
    </row>
    <row r="776" spans="1:4" x14ac:dyDescent="0.2">
      <c r="A776">
        <v>2017</v>
      </c>
      <c r="B776" s="13">
        <v>8421</v>
      </c>
      <c r="C776" s="16">
        <v>265559</v>
      </c>
      <c r="D776" s="25"/>
    </row>
    <row r="777" spans="1:4" x14ac:dyDescent="0.2">
      <c r="A777">
        <v>2017</v>
      </c>
      <c r="B777" s="13">
        <v>8422</v>
      </c>
      <c r="C777" s="16">
        <v>262913</v>
      </c>
      <c r="D777" s="25"/>
    </row>
    <row r="778" spans="1:4" x14ac:dyDescent="0.2">
      <c r="A778">
        <v>2017</v>
      </c>
      <c r="B778" s="13">
        <v>8423</v>
      </c>
      <c r="C778" s="16">
        <v>202200</v>
      </c>
      <c r="D778" s="25"/>
    </row>
    <row r="779" spans="1:4" x14ac:dyDescent="0.2">
      <c r="A779">
        <v>2017</v>
      </c>
      <c r="B779" s="13">
        <v>8424</v>
      </c>
      <c r="C779" s="16">
        <v>135019</v>
      </c>
      <c r="D779" s="25"/>
    </row>
    <row r="780" spans="1:4" x14ac:dyDescent="0.2">
      <c r="A780">
        <v>2017</v>
      </c>
      <c r="B780" s="13">
        <v>8425</v>
      </c>
      <c r="C780" s="16">
        <v>234942</v>
      </c>
      <c r="D780" s="24"/>
    </row>
    <row r="781" spans="1:4" x14ac:dyDescent="0.2">
      <c r="A781">
        <v>2017</v>
      </c>
      <c r="B781" s="13">
        <v>8426</v>
      </c>
      <c r="C781" s="16">
        <v>166348</v>
      </c>
      <c r="D781" s="25"/>
    </row>
    <row r="782" spans="1:4" x14ac:dyDescent="0.2">
      <c r="A782">
        <v>2017</v>
      </c>
      <c r="B782" s="13">
        <v>8427</v>
      </c>
      <c r="C782" s="16">
        <v>77888</v>
      </c>
      <c r="D782" s="25"/>
    </row>
    <row r="783" spans="1:4" x14ac:dyDescent="0.2">
      <c r="A783">
        <v>2017</v>
      </c>
      <c r="B783" s="13">
        <v>8428</v>
      </c>
      <c r="C783" s="16">
        <v>412592</v>
      </c>
      <c r="D783" s="25"/>
    </row>
    <row r="784" spans="1:4" x14ac:dyDescent="0.2">
      <c r="A784">
        <v>2017</v>
      </c>
      <c r="B784" s="13">
        <v>8429</v>
      </c>
      <c r="C784" s="16">
        <v>190019</v>
      </c>
      <c r="D784" s="25"/>
    </row>
    <row r="785" spans="1:4" x14ac:dyDescent="0.2">
      <c r="A785">
        <v>2017</v>
      </c>
      <c r="B785" s="13">
        <v>8430</v>
      </c>
      <c r="C785" s="16">
        <v>220716</v>
      </c>
      <c r="D785" s="25"/>
    </row>
    <row r="786" spans="1:4" x14ac:dyDescent="0.2">
      <c r="A786">
        <v>2017</v>
      </c>
      <c r="B786" s="13">
        <v>8431</v>
      </c>
      <c r="C786" s="16">
        <v>194864</v>
      </c>
      <c r="D786" s="25"/>
    </row>
    <row r="787" spans="1:4" x14ac:dyDescent="0.2">
      <c r="A787">
        <v>2017</v>
      </c>
      <c r="B787" s="13">
        <v>8432</v>
      </c>
      <c r="C787" s="16">
        <v>222116</v>
      </c>
      <c r="D787" s="25"/>
    </row>
    <row r="788" spans="1:4" x14ac:dyDescent="0.2">
      <c r="A788">
        <v>2017</v>
      </c>
      <c r="B788" s="13">
        <v>8433</v>
      </c>
      <c r="C788" s="16">
        <v>11890</v>
      </c>
      <c r="D788" s="25"/>
    </row>
    <row r="789" spans="1:4" x14ac:dyDescent="0.2">
      <c r="A789">
        <v>2017</v>
      </c>
      <c r="B789" s="13">
        <v>8434</v>
      </c>
      <c r="C789" s="16">
        <v>9510</v>
      </c>
      <c r="D789" s="25"/>
    </row>
    <row r="791" spans="1:4" x14ac:dyDescent="0.2">
      <c r="B791" s="10" t="s">
        <v>3</v>
      </c>
      <c r="C791" s="27">
        <f>SUM(C2:C789)</f>
        <v>1857233869</v>
      </c>
    </row>
    <row r="793" spans="1:4" x14ac:dyDescent="0.2">
      <c r="B793" s="10" t="s">
        <v>2</v>
      </c>
      <c r="C793" s="27">
        <v>1857233863</v>
      </c>
    </row>
    <row r="795" spans="1:4" x14ac:dyDescent="0.2">
      <c r="B795" s="19" t="s">
        <v>4</v>
      </c>
      <c r="C795" s="28">
        <f>C791-C793</f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8BBE-56A6-A445-8560-A23E932F3315}">
  <sheetPr>
    <tabColor rgb="FFFFFF00"/>
  </sheetPr>
  <dimension ref="A1:D797"/>
  <sheetViews>
    <sheetView topLeftCell="A767" workbookViewId="0">
      <selection activeCell="C791" sqref="A2:C791"/>
    </sheetView>
  </sheetViews>
  <sheetFormatPr baseColWidth="10" defaultRowHeight="16" x14ac:dyDescent="0.2"/>
  <cols>
    <col min="2" max="2" width="16" bestFit="1" customWidth="1"/>
    <col min="3" max="3" width="18.83203125" style="6" bestFit="1" customWidth="1"/>
    <col min="4" max="4" width="13.1640625" bestFit="1" customWidth="1"/>
    <col min="5" max="5" width="11.6640625" bestFit="1" customWidth="1"/>
  </cols>
  <sheetData>
    <row r="1" spans="1:4" x14ac:dyDescent="0.2">
      <c r="A1" t="s">
        <v>5</v>
      </c>
      <c r="B1" s="34" t="s">
        <v>0</v>
      </c>
      <c r="C1" s="35" t="s">
        <v>1</v>
      </c>
    </row>
    <row r="2" spans="1:4" x14ac:dyDescent="0.2">
      <c r="A2">
        <v>2018</v>
      </c>
      <c r="B2" s="23">
        <v>1005</v>
      </c>
      <c r="C2" s="31">
        <v>8692217</v>
      </c>
      <c r="D2" s="23"/>
    </row>
    <row r="3" spans="1:4" x14ac:dyDescent="0.2">
      <c r="A3">
        <v>2018</v>
      </c>
      <c r="B3" s="23">
        <v>1010</v>
      </c>
      <c r="C3" s="31">
        <v>2396499</v>
      </c>
      <c r="D3" s="23"/>
    </row>
    <row r="4" spans="1:4" x14ac:dyDescent="0.2">
      <c r="A4">
        <v>2018</v>
      </c>
      <c r="B4" s="23">
        <v>1015</v>
      </c>
      <c r="C4" s="31">
        <v>2714889</v>
      </c>
      <c r="D4" s="23"/>
    </row>
    <row r="5" spans="1:4" x14ac:dyDescent="0.2">
      <c r="A5">
        <v>2018</v>
      </c>
      <c r="B5" s="23">
        <v>1020</v>
      </c>
      <c r="C5" s="31">
        <v>1664710</v>
      </c>
      <c r="D5" s="23"/>
    </row>
    <row r="6" spans="1:4" x14ac:dyDescent="0.2">
      <c r="A6">
        <v>2018</v>
      </c>
      <c r="B6" s="23">
        <v>1025</v>
      </c>
      <c r="C6" s="31">
        <v>2599174</v>
      </c>
      <c r="D6" s="23"/>
    </row>
    <row r="7" spans="1:4" x14ac:dyDescent="0.2">
      <c r="A7">
        <v>2018</v>
      </c>
      <c r="B7" s="23">
        <v>1030</v>
      </c>
      <c r="C7" s="31">
        <v>4121801</v>
      </c>
      <c r="D7" s="23"/>
    </row>
    <row r="8" spans="1:4" x14ac:dyDescent="0.2">
      <c r="A8">
        <v>2018</v>
      </c>
      <c r="B8" s="23">
        <v>1035</v>
      </c>
      <c r="C8" s="31">
        <v>29085441</v>
      </c>
      <c r="D8" s="23"/>
    </row>
    <row r="9" spans="1:4" x14ac:dyDescent="0.2">
      <c r="A9">
        <v>2018</v>
      </c>
      <c r="B9" s="23">
        <v>1040</v>
      </c>
      <c r="C9" s="31">
        <v>2513642</v>
      </c>
      <c r="D9" s="23"/>
    </row>
    <row r="10" spans="1:4" x14ac:dyDescent="0.2">
      <c r="A10">
        <v>2018</v>
      </c>
      <c r="B10" s="23">
        <v>1045</v>
      </c>
      <c r="C10" s="31">
        <v>1460880</v>
      </c>
      <c r="D10" s="23"/>
    </row>
    <row r="11" spans="1:4" x14ac:dyDescent="0.2">
      <c r="A11">
        <v>2018</v>
      </c>
      <c r="B11" s="23">
        <v>1050</v>
      </c>
      <c r="C11" s="31">
        <v>3666178</v>
      </c>
      <c r="D11" s="23"/>
    </row>
    <row r="12" spans="1:4" x14ac:dyDescent="0.2">
      <c r="A12">
        <v>2018</v>
      </c>
      <c r="B12" s="23">
        <v>1055</v>
      </c>
      <c r="C12" s="31">
        <v>1750776</v>
      </c>
      <c r="D12" s="23"/>
    </row>
    <row r="13" spans="1:4" x14ac:dyDescent="0.2">
      <c r="A13">
        <v>2018</v>
      </c>
      <c r="B13" s="23">
        <v>1060</v>
      </c>
      <c r="C13" s="31">
        <v>1761333</v>
      </c>
      <c r="D13" s="23"/>
    </row>
    <row r="14" spans="1:4" x14ac:dyDescent="0.2">
      <c r="A14">
        <v>2018</v>
      </c>
      <c r="B14" s="23">
        <v>1065</v>
      </c>
      <c r="C14" s="31">
        <v>3425115</v>
      </c>
      <c r="D14" s="23"/>
    </row>
    <row r="15" spans="1:4" x14ac:dyDescent="0.2">
      <c r="A15">
        <v>2018</v>
      </c>
      <c r="B15" s="23">
        <v>1070</v>
      </c>
      <c r="C15" s="31">
        <v>2536054</v>
      </c>
      <c r="D15" s="23"/>
    </row>
    <row r="16" spans="1:4" x14ac:dyDescent="0.2">
      <c r="A16">
        <v>2018</v>
      </c>
      <c r="B16" s="23">
        <v>1075</v>
      </c>
      <c r="C16" s="31">
        <v>1741359</v>
      </c>
      <c r="D16" s="23"/>
    </row>
    <row r="17" spans="1:4" x14ac:dyDescent="0.2">
      <c r="A17">
        <v>2018</v>
      </c>
      <c r="B17" s="23">
        <v>1080</v>
      </c>
      <c r="C17" s="31">
        <v>3373854</v>
      </c>
      <c r="D17" s="23"/>
    </row>
    <row r="18" spans="1:4" x14ac:dyDescent="0.2">
      <c r="A18">
        <v>2018</v>
      </c>
      <c r="B18" s="23">
        <v>1085</v>
      </c>
      <c r="C18" s="31">
        <v>1554368</v>
      </c>
      <c r="D18" s="23"/>
    </row>
    <row r="19" spans="1:4" x14ac:dyDescent="0.2">
      <c r="A19">
        <v>2018</v>
      </c>
      <c r="B19" s="23">
        <v>1090</v>
      </c>
      <c r="C19" s="31">
        <v>1898949</v>
      </c>
      <c r="D19" s="23"/>
    </row>
    <row r="20" spans="1:4" x14ac:dyDescent="0.2">
      <c r="A20">
        <v>2018</v>
      </c>
      <c r="B20" s="23">
        <v>1095</v>
      </c>
      <c r="C20" s="31">
        <v>983938</v>
      </c>
      <c r="D20" s="23"/>
    </row>
    <row r="21" spans="1:4" x14ac:dyDescent="0.2">
      <c r="A21">
        <v>2018</v>
      </c>
      <c r="B21" s="23">
        <v>1100</v>
      </c>
      <c r="C21" s="31">
        <v>1598807</v>
      </c>
      <c r="D21" s="23"/>
    </row>
    <row r="22" spans="1:4" x14ac:dyDescent="0.2">
      <c r="A22">
        <v>2018</v>
      </c>
      <c r="B22" s="23">
        <v>1105</v>
      </c>
      <c r="C22" s="31">
        <v>3994249</v>
      </c>
      <c r="D22" s="23"/>
    </row>
    <row r="23" spans="1:4" x14ac:dyDescent="0.2">
      <c r="A23">
        <v>2018</v>
      </c>
      <c r="B23" s="23">
        <v>1110</v>
      </c>
      <c r="C23" s="31">
        <v>3198086</v>
      </c>
      <c r="D23" s="23"/>
    </row>
    <row r="24" spans="1:4" x14ac:dyDescent="0.2">
      <c r="A24">
        <v>2018</v>
      </c>
      <c r="B24" s="23">
        <v>1115</v>
      </c>
      <c r="C24" s="31">
        <v>1056296</v>
      </c>
      <c r="D24" s="23"/>
    </row>
    <row r="25" spans="1:4" x14ac:dyDescent="0.2">
      <c r="A25">
        <v>2018</v>
      </c>
      <c r="B25" s="23">
        <v>1120</v>
      </c>
      <c r="C25" s="31">
        <v>6257022</v>
      </c>
      <c r="D25" s="23"/>
    </row>
    <row r="26" spans="1:4" x14ac:dyDescent="0.2">
      <c r="A26">
        <v>2018</v>
      </c>
      <c r="B26" s="23">
        <v>1125</v>
      </c>
      <c r="C26" s="31">
        <v>1524140</v>
      </c>
      <c r="D26" s="23"/>
    </row>
    <row r="27" spans="1:4" x14ac:dyDescent="0.2">
      <c r="A27">
        <v>2018</v>
      </c>
      <c r="B27" s="23">
        <v>1130</v>
      </c>
      <c r="C27" s="31">
        <v>689506</v>
      </c>
      <c r="D27" s="23"/>
    </row>
    <row r="28" spans="1:4" x14ac:dyDescent="0.2">
      <c r="A28">
        <v>2018</v>
      </c>
      <c r="B28" s="23">
        <v>1135</v>
      </c>
      <c r="C28" s="31">
        <v>3485253</v>
      </c>
      <c r="D28" s="23"/>
    </row>
    <row r="29" spans="1:4" x14ac:dyDescent="0.2">
      <c r="A29">
        <v>2018</v>
      </c>
      <c r="B29" s="23">
        <v>1140</v>
      </c>
      <c r="C29" s="31">
        <v>5424899</v>
      </c>
      <c r="D29" s="23"/>
    </row>
    <row r="30" spans="1:4" x14ac:dyDescent="0.2">
      <c r="A30">
        <v>2018</v>
      </c>
      <c r="B30" s="23">
        <v>1145</v>
      </c>
      <c r="C30" s="31">
        <v>818023</v>
      </c>
      <c r="D30" s="23"/>
    </row>
    <row r="31" spans="1:4" x14ac:dyDescent="0.2">
      <c r="A31">
        <v>2018</v>
      </c>
      <c r="B31" s="23">
        <v>1150</v>
      </c>
      <c r="C31" s="31">
        <v>6091987</v>
      </c>
      <c r="D31" s="23"/>
    </row>
    <row r="32" spans="1:4" x14ac:dyDescent="0.2">
      <c r="A32">
        <v>2018</v>
      </c>
      <c r="B32" s="23">
        <v>1155</v>
      </c>
      <c r="C32" s="31">
        <v>9971391</v>
      </c>
      <c r="D32" s="23"/>
    </row>
    <row r="33" spans="1:4" x14ac:dyDescent="0.2">
      <c r="A33">
        <v>2018</v>
      </c>
      <c r="B33" s="23">
        <v>1160</v>
      </c>
      <c r="C33" s="31">
        <v>11179356</v>
      </c>
      <c r="D33" s="23"/>
    </row>
    <row r="34" spans="1:4" x14ac:dyDescent="0.2">
      <c r="A34">
        <v>2018</v>
      </c>
      <c r="B34" s="23">
        <v>1165</v>
      </c>
      <c r="C34" s="31">
        <v>10969680</v>
      </c>
      <c r="D34" s="23"/>
    </row>
    <row r="35" spans="1:4" x14ac:dyDescent="0.2">
      <c r="A35">
        <v>2018</v>
      </c>
      <c r="B35" s="23">
        <v>1170</v>
      </c>
      <c r="C35" s="31">
        <v>4951058</v>
      </c>
      <c r="D35" s="23"/>
    </row>
    <row r="36" spans="1:4" x14ac:dyDescent="0.2">
      <c r="A36">
        <v>2018</v>
      </c>
      <c r="B36" s="23">
        <v>1175</v>
      </c>
      <c r="C36" s="31">
        <v>2548661</v>
      </c>
      <c r="D36" s="23"/>
    </row>
    <row r="37" spans="1:4" x14ac:dyDescent="0.2">
      <c r="A37">
        <v>2018</v>
      </c>
      <c r="B37" s="23">
        <v>1180</v>
      </c>
      <c r="C37" s="31">
        <v>1370302</v>
      </c>
      <c r="D37" s="23"/>
    </row>
    <row r="38" spans="1:4" x14ac:dyDescent="0.2">
      <c r="A38">
        <v>2018</v>
      </c>
      <c r="B38" s="23">
        <v>1185</v>
      </c>
      <c r="C38" s="31">
        <v>1212178</v>
      </c>
      <c r="D38" s="23"/>
    </row>
    <row r="39" spans="1:4" x14ac:dyDescent="0.2">
      <c r="A39">
        <v>2018</v>
      </c>
      <c r="B39" s="23">
        <v>1190</v>
      </c>
      <c r="C39" s="31">
        <v>1400583</v>
      </c>
      <c r="D39" s="23"/>
    </row>
    <row r="40" spans="1:4" x14ac:dyDescent="0.2">
      <c r="A40">
        <v>2018</v>
      </c>
      <c r="B40" s="23">
        <v>1195</v>
      </c>
      <c r="C40" s="31">
        <v>1469044</v>
      </c>
      <c r="D40" s="23"/>
    </row>
    <row r="41" spans="1:4" x14ac:dyDescent="0.2">
      <c r="A41">
        <v>2018</v>
      </c>
      <c r="B41" s="23">
        <v>1200</v>
      </c>
      <c r="C41" s="31">
        <v>1418116</v>
      </c>
      <c r="D41" s="23"/>
    </row>
    <row r="42" spans="1:4" x14ac:dyDescent="0.2">
      <c r="A42">
        <v>2018</v>
      </c>
      <c r="B42" s="23">
        <v>1205</v>
      </c>
      <c r="C42" s="31">
        <v>2748088</v>
      </c>
      <c r="D42" s="29"/>
    </row>
    <row r="43" spans="1:4" x14ac:dyDescent="0.2">
      <c r="A43">
        <v>2018</v>
      </c>
      <c r="B43" s="23">
        <v>1210</v>
      </c>
      <c r="C43" s="31">
        <v>3366144</v>
      </c>
      <c r="D43" s="30"/>
    </row>
    <row r="44" spans="1:4" x14ac:dyDescent="0.2">
      <c r="A44">
        <v>2018</v>
      </c>
      <c r="B44" s="23">
        <v>1215</v>
      </c>
      <c r="C44" s="31">
        <v>1686858</v>
      </c>
      <c r="D44" s="30"/>
    </row>
    <row r="45" spans="1:4" x14ac:dyDescent="0.2">
      <c r="A45">
        <v>2018</v>
      </c>
      <c r="B45" s="23">
        <v>1220</v>
      </c>
      <c r="C45" s="31">
        <v>2344330</v>
      </c>
      <c r="D45" s="30"/>
    </row>
    <row r="46" spans="1:4" x14ac:dyDescent="0.2">
      <c r="A46">
        <v>2018</v>
      </c>
      <c r="B46" s="23">
        <v>1225</v>
      </c>
      <c r="C46" s="31">
        <v>3662213</v>
      </c>
      <c r="D46" s="30"/>
    </row>
    <row r="47" spans="1:4" x14ac:dyDescent="0.2">
      <c r="A47">
        <v>2018</v>
      </c>
      <c r="B47" s="23">
        <v>1230</v>
      </c>
      <c r="C47" s="31">
        <v>784327</v>
      </c>
      <c r="D47" s="30"/>
    </row>
    <row r="48" spans="1:4" x14ac:dyDescent="0.2">
      <c r="A48">
        <v>2018</v>
      </c>
      <c r="B48" s="23">
        <v>1235</v>
      </c>
      <c r="C48" s="31">
        <v>27173940</v>
      </c>
      <c r="D48" s="30"/>
    </row>
    <row r="49" spans="1:4" x14ac:dyDescent="0.2">
      <c r="A49">
        <v>2018</v>
      </c>
      <c r="B49" s="23">
        <v>1240</v>
      </c>
      <c r="C49" s="31">
        <v>3946409</v>
      </c>
      <c r="D49" s="30"/>
    </row>
    <row r="50" spans="1:4" x14ac:dyDescent="0.2">
      <c r="A50">
        <v>2018</v>
      </c>
      <c r="B50" s="23">
        <v>1245</v>
      </c>
      <c r="C50" s="31">
        <v>3645410</v>
      </c>
      <c r="D50" s="30"/>
    </row>
    <row r="51" spans="1:4" x14ac:dyDescent="0.2">
      <c r="A51">
        <v>2018</v>
      </c>
      <c r="B51" s="23">
        <v>1250</v>
      </c>
      <c r="C51" s="31">
        <v>1111835</v>
      </c>
      <c r="D51" s="30"/>
    </row>
    <row r="52" spans="1:4" x14ac:dyDescent="0.2">
      <c r="A52">
        <v>2018</v>
      </c>
      <c r="B52" s="23">
        <v>1255</v>
      </c>
      <c r="C52" s="31">
        <v>4247853</v>
      </c>
      <c r="D52" s="30"/>
    </row>
    <row r="53" spans="1:4" x14ac:dyDescent="0.2">
      <c r="A53">
        <v>2018</v>
      </c>
      <c r="B53" s="23">
        <v>1260</v>
      </c>
      <c r="C53" s="31">
        <v>7439635</v>
      </c>
      <c r="D53" s="30"/>
    </row>
    <row r="54" spans="1:4" x14ac:dyDescent="0.2">
      <c r="A54">
        <v>2018</v>
      </c>
      <c r="B54" s="23">
        <v>1265</v>
      </c>
      <c r="C54" s="31">
        <v>1348856</v>
      </c>
      <c r="D54" s="30"/>
    </row>
    <row r="55" spans="1:4" x14ac:dyDescent="0.2">
      <c r="A55">
        <v>2018</v>
      </c>
      <c r="B55" s="23">
        <v>1270</v>
      </c>
      <c r="C55" s="31">
        <v>18028006</v>
      </c>
      <c r="D55" s="30"/>
    </row>
    <row r="56" spans="1:4" x14ac:dyDescent="0.2">
      <c r="A56">
        <v>2018</v>
      </c>
      <c r="B56" s="23">
        <v>1275</v>
      </c>
      <c r="C56" s="31">
        <v>1265486</v>
      </c>
      <c r="D56" s="30"/>
    </row>
    <row r="57" spans="1:4" x14ac:dyDescent="0.2">
      <c r="A57">
        <v>2018</v>
      </c>
      <c r="B57" s="23">
        <v>1280</v>
      </c>
      <c r="C57" s="31">
        <v>3352335</v>
      </c>
      <c r="D57" s="30"/>
    </row>
    <row r="58" spans="1:4" x14ac:dyDescent="0.2">
      <c r="A58">
        <v>2018</v>
      </c>
      <c r="B58" s="23">
        <v>1285</v>
      </c>
      <c r="C58" s="31">
        <v>6046797</v>
      </c>
      <c r="D58" s="30"/>
    </row>
    <row r="59" spans="1:4" x14ac:dyDescent="0.2">
      <c r="A59">
        <v>2018</v>
      </c>
      <c r="B59" s="23">
        <v>1290</v>
      </c>
      <c r="C59" s="31">
        <v>2339211</v>
      </c>
      <c r="D59" s="30"/>
    </row>
    <row r="60" spans="1:4" x14ac:dyDescent="0.2">
      <c r="A60">
        <v>2018</v>
      </c>
      <c r="B60" s="23">
        <v>1295</v>
      </c>
      <c r="C60" s="31">
        <v>925459</v>
      </c>
      <c r="D60" s="30"/>
    </row>
    <row r="61" spans="1:4" x14ac:dyDescent="0.2">
      <c r="A61">
        <v>2018</v>
      </c>
      <c r="B61" s="23">
        <v>1300</v>
      </c>
      <c r="C61" s="31">
        <v>8902790</v>
      </c>
      <c r="D61" s="30"/>
    </row>
    <row r="62" spans="1:4" x14ac:dyDescent="0.2">
      <c r="A62">
        <v>2018</v>
      </c>
      <c r="B62" s="23">
        <v>1305</v>
      </c>
      <c r="C62" s="31">
        <v>24283232</v>
      </c>
      <c r="D62" s="30"/>
    </row>
    <row r="63" spans="1:4" x14ac:dyDescent="0.2">
      <c r="A63">
        <v>2018</v>
      </c>
      <c r="B63" s="23">
        <v>2005</v>
      </c>
      <c r="C63" s="31">
        <v>1270027</v>
      </c>
      <c r="D63" s="30"/>
    </row>
    <row r="64" spans="1:4" x14ac:dyDescent="0.2">
      <c r="A64">
        <v>2018</v>
      </c>
      <c r="B64" s="23">
        <v>2006</v>
      </c>
      <c r="C64" s="31">
        <v>1199175</v>
      </c>
      <c r="D64" s="30"/>
    </row>
    <row r="65" spans="1:4" x14ac:dyDescent="0.2">
      <c r="A65">
        <v>2018</v>
      </c>
      <c r="B65" s="23">
        <v>2007</v>
      </c>
      <c r="C65" s="31">
        <v>3147784</v>
      </c>
      <c r="D65" s="30"/>
    </row>
    <row r="66" spans="1:4" x14ac:dyDescent="0.2">
      <c r="A66">
        <v>2018</v>
      </c>
      <c r="B66" s="23">
        <v>2008</v>
      </c>
      <c r="C66" s="31">
        <v>2925664</v>
      </c>
      <c r="D66" s="30"/>
    </row>
    <row r="67" spans="1:4" x14ac:dyDescent="0.2">
      <c r="A67">
        <v>2018</v>
      </c>
      <c r="B67" s="23">
        <v>2009</v>
      </c>
      <c r="C67" s="31">
        <v>2285042</v>
      </c>
      <c r="D67" s="30"/>
    </row>
    <row r="68" spans="1:4" x14ac:dyDescent="0.2">
      <c r="A68">
        <v>2018</v>
      </c>
      <c r="B68" s="23">
        <v>2010</v>
      </c>
      <c r="C68" s="31">
        <v>7433181</v>
      </c>
      <c r="D68" s="30"/>
    </row>
    <row r="69" spans="1:4" x14ac:dyDescent="0.2">
      <c r="A69">
        <v>2018</v>
      </c>
      <c r="B69" s="23">
        <v>2014</v>
      </c>
      <c r="C69" s="31">
        <v>950582</v>
      </c>
      <c r="D69" s="30"/>
    </row>
    <row r="70" spans="1:4" x14ac:dyDescent="0.2">
      <c r="A70">
        <v>2018</v>
      </c>
      <c r="B70" s="23">
        <v>2015</v>
      </c>
      <c r="C70" s="31">
        <v>2136347</v>
      </c>
      <c r="D70" s="30"/>
    </row>
    <row r="71" spans="1:4" x14ac:dyDescent="0.2">
      <c r="A71">
        <v>2018</v>
      </c>
      <c r="B71" s="23">
        <v>2016</v>
      </c>
      <c r="C71" s="31">
        <v>819866</v>
      </c>
      <c r="D71" s="30"/>
    </row>
    <row r="72" spans="1:4" x14ac:dyDescent="0.2">
      <c r="A72">
        <v>2018</v>
      </c>
      <c r="B72" s="23">
        <v>2018</v>
      </c>
      <c r="C72" s="31">
        <v>1988634</v>
      </c>
      <c r="D72" s="30"/>
    </row>
    <row r="73" spans="1:4" x14ac:dyDescent="0.2">
      <c r="A73">
        <v>2018</v>
      </c>
      <c r="B73" s="23">
        <v>2020</v>
      </c>
      <c r="C73" s="31">
        <v>5312694</v>
      </c>
      <c r="D73" s="30"/>
    </row>
    <row r="74" spans="1:4" x14ac:dyDescent="0.2">
      <c r="A74">
        <v>2018</v>
      </c>
      <c r="B74" s="23">
        <v>2025</v>
      </c>
      <c r="C74" s="31">
        <v>4037909</v>
      </c>
      <c r="D74" s="30"/>
    </row>
    <row r="75" spans="1:4" x14ac:dyDescent="0.2">
      <c r="A75">
        <v>2018</v>
      </c>
      <c r="B75" s="23">
        <v>2030</v>
      </c>
      <c r="C75" s="31">
        <v>3444348</v>
      </c>
      <c r="D75" s="30"/>
    </row>
    <row r="76" spans="1:4" x14ac:dyDescent="0.2">
      <c r="A76">
        <v>2018</v>
      </c>
      <c r="B76" s="23">
        <v>2035</v>
      </c>
      <c r="C76" s="31">
        <v>1139577</v>
      </c>
      <c r="D76" s="30"/>
    </row>
    <row r="77" spans="1:4" x14ac:dyDescent="0.2">
      <c r="A77">
        <v>2018</v>
      </c>
      <c r="B77" s="23">
        <v>2040</v>
      </c>
      <c r="C77" s="31">
        <v>6597341</v>
      </c>
      <c r="D77" s="30"/>
    </row>
    <row r="78" spans="1:4" x14ac:dyDescent="0.2">
      <c r="A78">
        <v>2018</v>
      </c>
      <c r="B78" s="23">
        <v>2044</v>
      </c>
      <c r="C78" s="31">
        <v>1585868</v>
      </c>
      <c r="D78" s="30"/>
    </row>
    <row r="79" spans="1:4" x14ac:dyDescent="0.2">
      <c r="A79">
        <v>2018</v>
      </c>
      <c r="B79" s="23">
        <v>2045</v>
      </c>
      <c r="C79" s="31">
        <v>3849755</v>
      </c>
      <c r="D79" s="30"/>
    </row>
    <row r="80" spans="1:4" x14ac:dyDescent="0.2">
      <c r="A80">
        <v>2018</v>
      </c>
      <c r="B80" s="23">
        <v>2046</v>
      </c>
      <c r="C80" s="31">
        <v>3165580</v>
      </c>
      <c r="D80" s="30"/>
    </row>
    <row r="81" spans="1:4" x14ac:dyDescent="0.2">
      <c r="A81">
        <v>2018</v>
      </c>
      <c r="B81" s="23">
        <v>2047</v>
      </c>
      <c r="C81" s="31">
        <v>15813206</v>
      </c>
      <c r="D81" s="30"/>
    </row>
    <row r="82" spans="1:4" x14ac:dyDescent="0.2">
      <c r="A82">
        <v>2018</v>
      </c>
      <c r="B82" s="23">
        <v>2048</v>
      </c>
      <c r="C82" s="31">
        <v>3654881</v>
      </c>
      <c r="D82" s="30"/>
    </row>
    <row r="83" spans="1:4" x14ac:dyDescent="0.2">
      <c r="A83">
        <v>2018</v>
      </c>
      <c r="B83" s="23">
        <v>2050</v>
      </c>
      <c r="C83" s="31">
        <v>2785139</v>
      </c>
      <c r="D83" s="29"/>
    </row>
    <row r="84" spans="1:4" x14ac:dyDescent="0.2">
      <c r="A84">
        <v>2018</v>
      </c>
      <c r="B84" s="23">
        <v>2052</v>
      </c>
      <c r="C84" s="31">
        <v>2463374</v>
      </c>
      <c r="D84" s="30"/>
    </row>
    <row r="85" spans="1:4" x14ac:dyDescent="0.2">
      <c r="A85">
        <v>2018</v>
      </c>
      <c r="B85" s="23">
        <v>2055</v>
      </c>
      <c r="C85" s="31">
        <v>2087449</v>
      </c>
      <c r="D85" s="30"/>
    </row>
    <row r="86" spans="1:4" x14ac:dyDescent="0.2">
      <c r="A86">
        <v>2018</v>
      </c>
      <c r="B86" s="23">
        <v>2056</v>
      </c>
      <c r="C86" s="31">
        <v>2610367</v>
      </c>
      <c r="D86" s="30"/>
    </row>
    <row r="87" spans="1:4" x14ac:dyDescent="0.2">
      <c r="A87">
        <v>2018</v>
      </c>
      <c r="B87" s="23">
        <v>2057</v>
      </c>
      <c r="C87" s="31">
        <v>3351186</v>
      </c>
      <c r="D87" s="30"/>
    </row>
    <row r="88" spans="1:4" x14ac:dyDescent="0.2">
      <c r="A88">
        <v>2018</v>
      </c>
      <c r="B88" s="23">
        <v>2058</v>
      </c>
      <c r="C88" s="31">
        <v>2113791</v>
      </c>
      <c r="D88" s="30"/>
    </row>
    <row r="89" spans="1:4" x14ac:dyDescent="0.2">
      <c r="A89">
        <v>2018</v>
      </c>
      <c r="B89" s="23">
        <v>2059</v>
      </c>
      <c r="C89" s="31">
        <v>3485983</v>
      </c>
      <c r="D89" s="30"/>
    </row>
    <row r="90" spans="1:4" x14ac:dyDescent="0.2">
      <c r="A90">
        <v>2018</v>
      </c>
      <c r="B90" s="23">
        <v>2060</v>
      </c>
      <c r="C90" s="31">
        <v>945807</v>
      </c>
      <c r="D90" s="30"/>
    </row>
    <row r="91" spans="1:4" x14ac:dyDescent="0.2">
      <c r="A91">
        <v>2018</v>
      </c>
      <c r="B91" s="23">
        <v>2061</v>
      </c>
      <c r="C91" s="31">
        <v>991781</v>
      </c>
      <c r="D91" s="30"/>
    </row>
    <row r="92" spans="1:4" x14ac:dyDescent="0.2">
      <c r="A92">
        <v>2018</v>
      </c>
      <c r="B92" s="23">
        <v>2062</v>
      </c>
      <c r="C92" s="31">
        <v>1530092</v>
      </c>
      <c r="D92" s="30"/>
    </row>
    <row r="93" spans="1:4" x14ac:dyDescent="0.2">
      <c r="A93">
        <v>2018</v>
      </c>
      <c r="B93" s="23">
        <v>2063</v>
      </c>
      <c r="C93" s="31">
        <v>809899</v>
      </c>
      <c r="D93" s="30"/>
    </row>
    <row r="94" spans="1:4" x14ac:dyDescent="0.2">
      <c r="A94">
        <v>2018</v>
      </c>
      <c r="B94" s="23">
        <v>2064</v>
      </c>
      <c r="C94" s="31">
        <v>2482916</v>
      </c>
      <c r="D94" s="30"/>
    </row>
    <row r="95" spans="1:4" x14ac:dyDescent="0.2">
      <c r="A95">
        <v>2018</v>
      </c>
      <c r="B95" s="23">
        <v>2065</v>
      </c>
      <c r="C95" s="31">
        <v>2077077</v>
      </c>
      <c r="D95" s="30"/>
    </row>
    <row r="96" spans="1:4" x14ac:dyDescent="0.2">
      <c r="A96">
        <v>2018</v>
      </c>
      <c r="B96" s="23">
        <v>2066</v>
      </c>
      <c r="C96" s="31">
        <v>5309641</v>
      </c>
      <c r="D96" s="30"/>
    </row>
    <row r="97" spans="1:4" x14ac:dyDescent="0.2">
      <c r="A97">
        <v>2018</v>
      </c>
      <c r="B97" s="23">
        <v>2067</v>
      </c>
      <c r="C97" s="31">
        <v>8064516</v>
      </c>
      <c r="D97" s="30"/>
    </row>
    <row r="98" spans="1:4" x14ac:dyDescent="0.2">
      <c r="A98">
        <v>2018</v>
      </c>
      <c r="B98" s="23">
        <v>2068</v>
      </c>
      <c r="C98" s="31">
        <v>7032142</v>
      </c>
      <c r="D98" s="30"/>
    </row>
    <row r="99" spans="1:4" x14ac:dyDescent="0.2">
      <c r="A99">
        <v>2018</v>
      </c>
      <c r="B99" s="23">
        <v>2069</v>
      </c>
      <c r="C99" s="31">
        <v>979797</v>
      </c>
      <c r="D99" s="30"/>
    </row>
    <row r="100" spans="1:4" x14ac:dyDescent="0.2">
      <c r="A100">
        <v>2018</v>
      </c>
      <c r="B100" s="23">
        <v>2070</v>
      </c>
      <c r="C100" s="31">
        <v>1323450</v>
      </c>
      <c r="D100" s="30"/>
    </row>
    <row r="101" spans="1:4" x14ac:dyDescent="0.2">
      <c r="A101">
        <v>2018</v>
      </c>
      <c r="B101" s="23">
        <v>2071</v>
      </c>
      <c r="C101" s="31">
        <v>1083552</v>
      </c>
      <c r="D101" s="30"/>
    </row>
    <row r="102" spans="1:4" x14ac:dyDescent="0.2">
      <c r="A102">
        <v>2018</v>
      </c>
      <c r="B102" s="23">
        <v>2072</v>
      </c>
      <c r="C102" s="31">
        <v>1252446</v>
      </c>
      <c r="D102" s="30"/>
    </row>
    <row r="103" spans="1:4" x14ac:dyDescent="0.2">
      <c r="A103">
        <v>2018</v>
      </c>
      <c r="B103" s="23">
        <v>2073</v>
      </c>
      <c r="C103" s="31">
        <v>2567728</v>
      </c>
      <c r="D103" s="30"/>
    </row>
    <row r="104" spans="1:4" x14ac:dyDescent="0.2">
      <c r="A104">
        <v>2018</v>
      </c>
      <c r="B104" s="23">
        <v>2074</v>
      </c>
      <c r="C104" s="31">
        <v>2685792</v>
      </c>
      <c r="D104" s="30"/>
    </row>
    <row r="105" spans="1:4" x14ac:dyDescent="0.2">
      <c r="A105">
        <v>2018</v>
      </c>
      <c r="B105" s="23">
        <v>2075</v>
      </c>
      <c r="C105" s="31">
        <v>4959357</v>
      </c>
      <c r="D105" s="30"/>
    </row>
    <row r="106" spans="1:4" x14ac:dyDescent="0.2">
      <c r="A106">
        <v>2018</v>
      </c>
      <c r="B106" s="23">
        <v>2076</v>
      </c>
      <c r="C106" s="31">
        <v>3076086</v>
      </c>
      <c r="D106" s="30"/>
    </row>
    <row r="107" spans="1:4" x14ac:dyDescent="0.2">
      <c r="A107">
        <v>2018</v>
      </c>
      <c r="B107" s="23">
        <v>2077</v>
      </c>
      <c r="C107" s="31">
        <v>877391</v>
      </c>
      <c r="D107" s="30"/>
    </row>
    <row r="108" spans="1:4" x14ac:dyDescent="0.2">
      <c r="A108">
        <v>2018</v>
      </c>
      <c r="B108" s="23">
        <v>2078</v>
      </c>
      <c r="C108" s="31">
        <v>8033921</v>
      </c>
      <c r="D108" s="30"/>
    </row>
    <row r="109" spans="1:4" x14ac:dyDescent="0.2">
      <c r="A109">
        <v>2018</v>
      </c>
      <c r="B109" s="23">
        <v>2079</v>
      </c>
      <c r="C109" s="31">
        <v>4606381</v>
      </c>
      <c r="D109" s="30"/>
    </row>
    <row r="110" spans="1:4" x14ac:dyDescent="0.2">
      <c r="A110">
        <v>2018</v>
      </c>
      <c r="B110" s="23">
        <v>2080</v>
      </c>
      <c r="C110" s="31">
        <v>1021795</v>
      </c>
      <c r="D110" s="30"/>
    </row>
    <row r="111" spans="1:4" x14ac:dyDescent="0.2">
      <c r="A111">
        <v>2018</v>
      </c>
      <c r="B111" s="23">
        <v>2081</v>
      </c>
      <c r="C111" s="31">
        <v>1292754</v>
      </c>
      <c r="D111" s="30"/>
    </row>
    <row r="112" spans="1:4" x14ac:dyDescent="0.2">
      <c r="A112">
        <v>2018</v>
      </c>
      <c r="B112" s="23">
        <v>2082</v>
      </c>
      <c r="C112" s="31">
        <v>714489</v>
      </c>
      <c r="D112" s="30"/>
    </row>
    <row r="113" spans="1:4" x14ac:dyDescent="0.2">
      <c r="A113">
        <v>2018</v>
      </c>
      <c r="B113" s="23">
        <v>2083</v>
      </c>
      <c r="C113" s="31">
        <v>1747688</v>
      </c>
      <c r="D113" s="30"/>
    </row>
    <row r="114" spans="1:4" x14ac:dyDescent="0.2">
      <c r="A114">
        <v>2018</v>
      </c>
      <c r="B114" s="23">
        <v>2084</v>
      </c>
      <c r="C114" s="31">
        <v>2821548</v>
      </c>
      <c r="D114" s="30"/>
    </row>
    <row r="115" spans="1:4" x14ac:dyDescent="0.2">
      <c r="A115">
        <v>2018</v>
      </c>
      <c r="B115" s="23">
        <v>2085</v>
      </c>
      <c r="C115" s="31">
        <v>1397678</v>
      </c>
      <c r="D115" s="30"/>
    </row>
    <row r="116" spans="1:4" x14ac:dyDescent="0.2">
      <c r="A116">
        <v>2018</v>
      </c>
      <c r="B116" s="23">
        <v>2086</v>
      </c>
      <c r="C116" s="31">
        <v>4828630</v>
      </c>
      <c r="D116" s="30"/>
    </row>
    <row r="117" spans="1:4" x14ac:dyDescent="0.2">
      <c r="A117">
        <v>2018</v>
      </c>
      <c r="B117" s="23">
        <v>2090</v>
      </c>
      <c r="C117" s="31">
        <v>2092667</v>
      </c>
      <c r="D117" s="30"/>
    </row>
    <row r="118" spans="1:4" x14ac:dyDescent="0.2">
      <c r="A118">
        <v>2018</v>
      </c>
      <c r="B118" s="23">
        <v>2095</v>
      </c>
      <c r="C118" s="31">
        <v>2074993</v>
      </c>
      <c r="D118" s="30"/>
    </row>
    <row r="119" spans="1:4" x14ac:dyDescent="0.2">
      <c r="A119">
        <v>2018</v>
      </c>
      <c r="B119" s="23">
        <v>2104</v>
      </c>
      <c r="C119" s="31">
        <v>1125809</v>
      </c>
      <c r="D119" s="30"/>
    </row>
    <row r="120" spans="1:4" x14ac:dyDescent="0.2">
      <c r="A120">
        <v>2018</v>
      </c>
      <c r="B120" s="23">
        <v>2105</v>
      </c>
      <c r="C120" s="31">
        <v>1040726</v>
      </c>
      <c r="D120" s="30"/>
    </row>
    <row r="121" spans="1:4" x14ac:dyDescent="0.2">
      <c r="A121">
        <v>2018</v>
      </c>
      <c r="B121" s="23">
        <v>2110</v>
      </c>
      <c r="C121" s="31">
        <v>3242332</v>
      </c>
      <c r="D121" s="30"/>
    </row>
    <row r="122" spans="1:4" x14ac:dyDescent="0.2">
      <c r="A122">
        <v>2018</v>
      </c>
      <c r="B122" s="23">
        <v>2112</v>
      </c>
      <c r="C122" s="31">
        <v>2195680</v>
      </c>
      <c r="D122" s="30"/>
    </row>
    <row r="123" spans="1:4" x14ac:dyDescent="0.2">
      <c r="A123">
        <v>2018</v>
      </c>
      <c r="B123" s="23">
        <v>2115</v>
      </c>
      <c r="C123" s="31">
        <v>4411327</v>
      </c>
      <c r="D123" s="30"/>
    </row>
    <row r="124" spans="1:4" x14ac:dyDescent="0.2">
      <c r="A124">
        <v>2018</v>
      </c>
      <c r="B124" s="23">
        <v>2120</v>
      </c>
      <c r="C124" s="31">
        <v>8356157</v>
      </c>
      <c r="D124" s="29"/>
    </row>
    <row r="125" spans="1:4" x14ac:dyDescent="0.2">
      <c r="A125">
        <v>2018</v>
      </c>
      <c r="B125" s="23">
        <v>2125</v>
      </c>
      <c r="C125" s="31">
        <v>845996</v>
      </c>
      <c r="D125" s="30"/>
    </row>
    <row r="126" spans="1:4" x14ac:dyDescent="0.2">
      <c r="A126">
        <v>2018</v>
      </c>
      <c r="B126" s="23">
        <v>2130</v>
      </c>
      <c r="C126" s="31">
        <v>1531006</v>
      </c>
      <c r="D126" s="30"/>
    </row>
    <row r="127" spans="1:4" x14ac:dyDescent="0.2">
      <c r="A127">
        <v>2018</v>
      </c>
      <c r="B127" s="23">
        <v>2135</v>
      </c>
      <c r="C127" s="31">
        <v>2995695</v>
      </c>
      <c r="D127" s="30"/>
    </row>
    <row r="128" spans="1:4" x14ac:dyDescent="0.2">
      <c r="A128">
        <v>2018</v>
      </c>
      <c r="B128" s="23">
        <v>2140</v>
      </c>
      <c r="C128" s="31">
        <v>2612847</v>
      </c>
      <c r="D128" s="30"/>
    </row>
    <row r="129" spans="1:4" x14ac:dyDescent="0.2">
      <c r="A129">
        <v>2018</v>
      </c>
      <c r="B129" s="23">
        <v>2145</v>
      </c>
      <c r="C129" s="31">
        <v>3720588</v>
      </c>
      <c r="D129" s="30"/>
    </row>
    <row r="130" spans="1:4" x14ac:dyDescent="0.2">
      <c r="A130">
        <v>2018</v>
      </c>
      <c r="B130" s="23">
        <v>2146</v>
      </c>
      <c r="C130" s="31">
        <v>3738580</v>
      </c>
      <c r="D130" s="30"/>
    </row>
    <row r="131" spans="1:4" x14ac:dyDescent="0.2">
      <c r="A131">
        <v>2018</v>
      </c>
      <c r="B131" s="23">
        <v>2147</v>
      </c>
      <c r="C131" s="31">
        <v>952179</v>
      </c>
      <c r="D131" s="30"/>
    </row>
    <row r="132" spans="1:4" x14ac:dyDescent="0.2">
      <c r="A132">
        <v>2018</v>
      </c>
      <c r="B132" s="23">
        <v>2148</v>
      </c>
      <c r="C132" s="31">
        <v>2375667</v>
      </c>
      <c r="D132" s="30"/>
    </row>
    <row r="133" spans="1:4" x14ac:dyDescent="0.2">
      <c r="A133">
        <v>2018</v>
      </c>
      <c r="B133" s="23">
        <v>2149</v>
      </c>
      <c r="C133" s="31">
        <v>1591529</v>
      </c>
      <c r="D133" s="30"/>
    </row>
    <row r="134" spans="1:4" x14ac:dyDescent="0.2">
      <c r="A134">
        <v>2018</v>
      </c>
      <c r="B134" s="23">
        <v>2150</v>
      </c>
      <c r="C134" s="31">
        <v>635472</v>
      </c>
      <c r="D134" s="30"/>
    </row>
    <row r="135" spans="1:4" x14ac:dyDescent="0.2">
      <c r="A135">
        <v>2018</v>
      </c>
      <c r="B135" s="23">
        <v>2155</v>
      </c>
      <c r="C135" s="31">
        <v>2436377</v>
      </c>
      <c r="D135" s="30"/>
    </row>
    <row r="136" spans="1:4" x14ac:dyDescent="0.2">
      <c r="A136">
        <v>2018</v>
      </c>
      <c r="B136" s="23">
        <v>2160</v>
      </c>
      <c r="C136" s="31">
        <v>4313718</v>
      </c>
      <c r="D136" s="30"/>
    </row>
    <row r="137" spans="1:4" x14ac:dyDescent="0.2">
      <c r="A137">
        <v>2018</v>
      </c>
      <c r="B137" s="23">
        <v>2165</v>
      </c>
      <c r="C137" s="31">
        <v>1440082</v>
      </c>
      <c r="D137" s="30"/>
    </row>
    <row r="138" spans="1:4" x14ac:dyDescent="0.2">
      <c r="A138">
        <v>2018</v>
      </c>
      <c r="B138" s="23">
        <v>2170</v>
      </c>
      <c r="C138" s="31">
        <v>6331397</v>
      </c>
      <c r="D138" s="30"/>
    </row>
    <row r="139" spans="1:4" x14ac:dyDescent="0.2">
      <c r="A139">
        <v>2018</v>
      </c>
      <c r="B139" s="23">
        <v>2175</v>
      </c>
      <c r="C139" s="31">
        <v>596731</v>
      </c>
      <c r="D139" s="30"/>
    </row>
    <row r="140" spans="1:4" x14ac:dyDescent="0.2">
      <c r="A140">
        <v>2018</v>
      </c>
      <c r="B140" s="23">
        <v>2180</v>
      </c>
      <c r="C140" s="31">
        <v>1231985</v>
      </c>
      <c r="D140" s="30"/>
    </row>
    <row r="141" spans="1:4" x14ac:dyDescent="0.2">
      <c r="A141">
        <v>2018</v>
      </c>
      <c r="B141" s="23">
        <v>2185</v>
      </c>
      <c r="C141" s="31">
        <v>6855161</v>
      </c>
      <c r="D141" s="30"/>
    </row>
    <row r="142" spans="1:4" x14ac:dyDescent="0.2">
      <c r="A142">
        <v>2018</v>
      </c>
      <c r="B142" s="23">
        <v>2187</v>
      </c>
      <c r="C142" s="31">
        <v>3259464</v>
      </c>
      <c r="D142" s="30"/>
    </row>
    <row r="143" spans="1:4" x14ac:dyDescent="0.2">
      <c r="A143">
        <v>2018</v>
      </c>
      <c r="B143" s="23">
        <v>2190</v>
      </c>
      <c r="C143" s="31">
        <v>4357238</v>
      </c>
      <c r="D143" s="30"/>
    </row>
    <row r="144" spans="1:4" x14ac:dyDescent="0.2">
      <c r="A144">
        <v>2018</v>
      </c>
      <c r="B144" s="23">
        <v>2191</v>
      </c>
      <c r="C144" s="31">
        <v>3119676</v>
      </c>
      <c r="D144" s="30"/>
    </row>
    <row r="145" spans="1:4" x14ac:dyDescent="0.2">
      <c r="A145">
        <v>2018</v>
      </c>
      <c r="B145" s="23">
        <v>2195</v>
      </c>
      <c r="C145" s="31">
        <v>940593</v>
      </c>
      <c r="D145" s="30"/>
    </row>
    <row r="146" spans="1:4" x14ac:dyDescent="0.2">
      <c r="A146">
        <v>2018</v>
      </c>
      <c r="B146" s="23">
        <v>2196</v>
      </c>
      <c r="C146" s="31">
        <v>1063809</v>
      </c>
      <c r="D146" s="30"/>
    </row>
    <row r="147" spans="1:4" x14ac:dyDescent="0.2">
      <c r="A147">
        <v>2018</v>
      </c>
      <c r="B147" s="23">
        <v>2198</v>
      </c>
      <c r="C147" s="31">
        <v>2269444</v>
      </c>
      <c r="D147" s="30"/>
    </row>
    <row r="148" spans="1:4" x14ac:dyDescent="0.2">
      <c r="A148">
        <v>2018</v>
      </c>
      <c r="B148" s="23">
        <v>2200</v>
      </c>
      <c r="C148" s="31">
        <v>9553626</v>
      </c>
      <c r="D148" s="30"/>
    </row>
    <row r="149" spans="1:4" x14ac:dyDescent="0.2">
      <c r="A149">
        <v>2018</v>
      </c>
      <c r="B149" s="23">
        <v>2204</v>
      </c>
      <c r="C149" s="31">
        <v>8439245</v>
      </c>
      <c r="D149" s="30"/>
    </row>
    <row r="150" spans="1:4" x14ac:dyDescent="0.2">
      <c r="A150">
        <v>2018</v>
      </c>
      <c r="B150" s="23">
        <v>2205</v>
      </c>
      <c r="C150" s="31">
        <v>243547</v>
      </c>
      <c r="D150" s="30"/>
    </row>
    <row r="151" spans="1:4" x14ac:dyDescent="0.2">
      <c r="A151">
        <v>2018</v>
      </c>
      <c r="B151" s="23">
        <v>2206</v>
      </c>
      <c r="C151" s="31">
        <v>1295523</v>
      </c>
      <c r="D151" s="30"/>
    </row>
    <row r="152" spans="1:4" x14ac:dyDescent="0.2">
      <c r="A152">
        <v>2018</v>
      </c>
      <c r="B152" s="23">
        <v>2207</v>
      </c>
      <c r="C152" s="31">
        <v>2317195</v>
      </c>
      <c r="D152" s="30"/>
    </row>
    <row r="153" spans="1:4" x14ac:dyDescent="0.2">
      <c r="A153">
        <v>2018</v>
      </c>
      <c r="B153" s="23">
        <v>2208</v>
      </c>
      <c r="C153" s="31">
        <v>4056060</v>
      </c>
      <c r="D153" s="30"/>
    </row>
    <row r="154" spans="1:4" x14ac:dyDescent="0.2">
      <c r="A154">
        <v>2018</v>
      </c>
      <c r="B154" s="23">
        <v>2209</v>
      </c>
      <c r="C154" s="31">
        <v>9299590</v>
      </c>
      <c r="D154" s="30"/>
    </row>
    <row r="155" spans="1:4" x14ac:dyDescent="0.2">
      <c r="A155">
        <v>2018</v>
      </c>
      <c r="B155" s="23">
        <v>2210</v>
      </c>
      <c r="C155" s="31">
        <v>2609926</v>
      </c>
      <c r="D155" s="30"/>
    </row>
    <row r="156" spans="1:4" x14ac:dyDescent="0.2">
      <c r="A156">
        <v>2018</v>
      </c>
      <c r="B156" s="23">
        <v>2212</v>
      </c>
      <c r="C156" s="31">
        <v>3325640</v>
      </c>
      <c r="D156" s="30"/>
    </row>
    <row r="157" spans="1:4" x14ac:dyDescent="0.2">
      <c r="A157">
        <v>2018</v>
      </c>
      <c r="B157" s="23">
        <v>2215</v>
      </c>
      <c r="C157" s="31">
        <v>4961240</v>
      </c>
      <c r="D157" s="30"/>
    </row>
    <row r="158" spans="1:4" x14ac:dyDescent="0.2">
      <c r="A158">
        <v>2018</v>
      </c>
      <c r="B158" s="23">
        <v>2220</v>
      </c>
      <c r="C158" s="31">
        <v>2066226</v>
      </c>
      <c r="D158" s="30"/>
    </row>
    <row r="159" spans="1:4" x14ac:dyDescent="0.2">
      <c r="A159">
        <v>2018</v>
      </c>
      <c r="B159" s="23">
        <v>2224</v>
      </c>
      <c r="C159" s="31">
        <v>4382325</v>
      </c>
      <c r="D159" s="30"/>
    </row>
    <row r="160" spans="1:4" x14ac:dyDescent="0.2">
      <c r="A160">
        <v>2018</v>
      </c>
      <c r="B160" s="23">
        <v>2225</v>
      </c>
      <c r="C160" s="31">
        <v>7769585</v>
      </c>
      <c r="D160" s="30"/>
    </row>
    <row r="161" spans="1:4" x14ac:dyDescent="0.2">
      <c r="A161">
        <v>2018</v>
      </c>
      <c r="B161" s="23">
        <v>2230</v>
      </c>
      <c r="C161" s="31">
        <v>6443207</v>
      </c>
      <c r="D161" s="30"/>
    </row>
    <row r="162" spans="1:4" x14ac:dyDescent="0.2">
      <c r="A162">
        <v>2018</v>
      </c>
      <c r="B162" s="23">
        <v>2231</v>
      </c>
      <c r="C162" s="31">
        <v>3135763</v>
      </c>
      <c r="D162" s="30"/>
    </row>
    <row r="163" spans="1:4" x14ac:dyDescent="0.2">
      <c r="A163">
        <v>2018</v>
      </c>
      <c r="B163" s="23">
        <v>2235</v>
      </c>
      <c r="C163" s="31">
        <v>682602</v>
      </c>
      <c r="D163" s="30"/>
    </row>
    <row r="164" spans="1:4" x14ac:dyDescent="0.2">
      <c r="A164">
        <v>2018</v>
      </c>
      <c r="B164" s="23">
        <v>2239</v>
      </c>
      <c r="C164" s="31">
        <v>2926132</v>
      </c>
      <c r="D164" s="30"/>
    </row>
    <row r="165" spans="1:4" x14ac:dyDescent="0.2">
      <c r="A165">
        <v>2018</v>
      </c>
      <c r="B165" s="23">
        <v>2240</v>
      </c>
      <c r="C165" s="31">
        <v>5486484</v>
      </c>
      <c r="D165" s="29"/>
    </row>
    <row r="166" spans="1:4" x14ac:dyDescent="0.2">
      <c r="A166">
        <v>2018</v>
      </c>
      <c r="B166" s="23">
        <v>2241</v>
      </c>
      <c r="C166" s="31">
        <v>862394</v>
      </c>
      <c r="D166" s="30"/>
    </row>
    <row r="167" spans="1:4" x14ac:dyDescent="0.2">
      <c r="A167">
        <v>2018</v>
      </c>
      <c r="B167" s="23">
        <v>2242</v>
      </c>
      <c r="C167" s="31">
        <v>1483665</v>
      </c>
      <c r="D167" s="30"/>
    </row>
    <row r="168" spans="1:4" x14ac:dyDescent="0.2">
      <c r="A168">
        <v>2018</v>
      </c>
      <c r="B168" s="23">
        <v>2243</v>
      </c>
      <c r="C168" s="31">
        <v>1533106</v>
      </c>
      <c r="D168" s="30"/>
    </row>
    <row r="169" spans="1:4" x14ac:dyDescent="0.2">
      <c r="A169">
        <v>2018</v>
      </c>
      <c r="B169" s="23">
        <v>2244</v>
      </c>
      <c r="C169" s="31">
        <v>881054</v>
      </c>
      <c r="D169" s="30"/>
    </row>
    <row r="170" spans="1:4" x14ac:dyDescent="0.2">
      <c r="A170">
        <v>2018</v>
      </c>
      <c r="B170" s="23">
        <v>2245</v>
      </c>
      <c r="C170" s="31">
        <v>2448963</v>
      </c>
      <c r="D170" s="30"/>
    </row>
    <row r="171" spans="1:4" x14ac:dyDescent="0.2">
      <c r="A171">
        <v>2018</v>
      </c>
      <c r="B171" s="23">
        <v>2250</v>
      </c>
      <c r="C171" s="31">
        <v>1431289</v>
      </c>
      <c r="D171" s="30"/>
    </row>
    <row r="172" spans="1:4" x14ac:dyDescent="0.2">
      <c r="A172">
        <v>2018</v>
      </c>
      <c r="B172" s="23">
        <v>2255</v>
      </c>
      <c r="C172" s="31">
        <v>4572058</v>
      </c>
      <c r="D172" s="30"/>
    </row>
    <row r="173" spans="1:4" x14ac:dyDescent="0.2">
      <c r="A173">
        <v>2018</v>
      </c>
      <c r="B173" s="23">
        <v>2260</v>
      </c>
      <c r="C173" s="31">
        <v>3138799</v>
      </c>
      <c r="D173" s="30"/>
    </row>
    <row r="174" spans="1:4" x14ac:dyDescent="0.2">
      <c r="A174">
        <v>2018</v>
      </c>
      <c r="B174" s="23">
        <v>2266</v>
      </c>
      <c r="C174" s="31">
        <v>2605522</v>
      </c>
      <c r="D174" s="30"/>
    </row>
    <row r="175" spans="1:4" x14ac:dyDescent="0.2">
      <c r="A175">
        <v>2018</v>
      </c>
      <c r="B175" s="23">
        <v>2268</v>
      </c>
      <c r="C175" s="31">
        <v>1414700</v>
      </c>
      <c r="D175" s="30"/>
    </row>
    <row r="176" spans="1:4" x14ac:dyDescent="0.2">
      <c r="A176">
        <v>2018</v>
      </c>
      <c r="B176" s="23">
        <v>2270</v>
      </c>
      <c r="C176" s="31">
        <v>2512564</v>
      </c>
      <c r="D176" s="30"/>
    </row>
    <row r="177" spans="1:4" x14ac:dyDescent="0.2">
      <c r="A177">
        <v>2018</v>
      </c>
      <c r="B177" s="23">
        <v>2271</v>
      </c>
      <c r="C177" s="31">
        <v>1690863</v>
      </c>
      <c r="D177" s="30"/>
    </row>
    <row r="178" spans="1:4" x14ac:dyDescent="0.2">
      <c r="A178">
        <v>2018</v>
      </c>
      <c r="B178" s="23">
        <v>2272</v>
      </c>
      <c r="C178" s="31">
        <v>2612318</v>
      </c>
      <c r="D178" s="30"/>
    </row>
    <row r="179" spans="1:4" x14ac:dyDescent="0.2">
      <c r="A179">
        <v>2018</v>
      </c>
      <c r="B179" s="23">
        <v>2275</v>
      </c>
      <c r="C179" s="31">
        <v>4897009</v>
      </c>
      <c r="D179" s="30"/>
    </row>
    <row r="180" spans="1:4" x14ac:dyDescent="0.2">
      <c r="A180">
        <v>2018</v>
      </c>
      <c r="B180" s="23">
        <v>2280</v>
      </c>
      <c r="C180" s="31">
        <v>1602238</v>
      </c>
      <c r="D180" s="30"/>
    </row>
    <row r="181" spans="1:4" x14ac:dyDescent="0.2">
      <c r="A181">
        <v>2018</v>
      </c>
      <c r="B181" s="23">
        <v>2281</v>
      </c>
      <c r="C181" s="31">
        <v>989982</v>
      </c>
      <c r="D181" s="30"/>
    </row>
    <row r="182" spans="1:4" x14ac:dyDescent="0.2">
      <c r="A182">
        <v>2018</v>
      </c>
      <c r="B182" s="23">
        <v>2282</v>
      </c>
      <c r="C182" s="31">
        <v>4279226</v>
      </c>
      <c r="D182" s="30"/>
    </row>
    <row r="183" spans="1:4" x14ac:dyDescent="0.2">
      <c r="A183">
        <v>2018</v>
      </c>
      <c r="B183" s="23">
        <v>2285</v>
      </c>
      <c r="C183" s="31">
        <v>6147654</v>
      </c>
      <c r="D183" s="30"/>
    </row>
    <row r="184" spans="1:4" x14ac:dyDescent="0.2">
      <c r="A184">
        <v>2018</v>
      </c>
      <c r="B184" s="23">
        <v>2286</v>
      </c>
      <c r="C184" s="31">
        <v>3367297</v>
      </c>
      <c r="D184" s="30"/>
    </row>
    <row r="185" spans="1:4" x14ac:dyDescent="0.2">
      <c r="A185">
        <v>2018</v>
      </c>
      <c r="B185" s="23">
        <v>2288</v>
      </c>
      <c r="C185" s="31">
        <v>1972976</v>
      </c>
      <c r="D185" s="30"/>
    </row>
    <row r="186" spans="1:4" x14ac:dyDescent="0.2">
      <c r="A186">
        <v>2018</v>
      </c>
      <c r="B186" s="23">
        <v>2289</v>
      </c>
      <c r="C186" s="31">
        <v>6224275</v>
      </c>
      <c r="D186" s="30"/>
    </row>
    <row r="187" spans="1:4" x14ac:dyDescent="0.2">
      <c r="A187">
        <v>2018</v>
      </c>
      <c r="B187" s="23">
        <v>2290</v>
      </c>
      <c r="C187" s="31">
        <v>3540618</v>
      </c>
      <c r="D187" s="30"/>
    </row>
    <row r="188" spans="1:4" x14ac:dyDescent="0.2">
      <c r="A188">
        <v>2018</v>
      </c>
      <c r="B188" s="23">
        <v>2295</v>
      </c>
      <c r="C188" s="31">
        <v>1635047</v>
      </c>
      <c r="D188" s="30"/>
    </row>
    <row r="189" spans="1:4" x14ac:dyDescent="0.2">
      <c r="A189">
        <v>2018</v>
      </c>
      <c r="B189" s="23">
        <v>2300</v>
      </c>
      <c r="C189" s="31">
        <v>3452060</v>
      </c>
      <c r="D189" s="30"/>
    </row>
    <row r="190" spans="1:4" x14ac:dyDescent="0.2">
      <c r="A190">
        <v>2018</v>
      </c>
      <c r="B190" s="23">
        <v>2305</v>
      </c>
      <c r="C190" s="31">
        <v>838204</v>
      </c>
      <c r="D190" s="30"/>
    </row>
    <row r="191" spans="1:4" x14ac:dyDescent="0.2">
      <c r="A191">
        <v>2018</v>
      </c>
      <c r="B191" s="23">
        <v>2310</v>
      </c>
      <c r="C191" s="31">
        <v>9282646</v>
      </c>
      <c r="D191" s="30"/>
    </row>
    <row r="192" spans="1:4" x14ac:dyDescent="0.2">
      <c r="A192">
        <v>2018</v>
      </c>
      <c r="B192" s="23">
        <v>2315</v>
      </c>
      <c r="C192" s="31">
        <v>1591604</v>
      </c>
      <c r="D192" s="30"/>
    </row>
    <row r="193" spans="1:4" x14ac:dyDescent="0.2">
      <c r="A193">
        <v>2018</v>
      </c>
      <c r="B193" s="23">
        <v>2317</v>
      </c>
      <c r="C193" s="31">
        <v>1481396</v>
      </c>
      <c r="D193" s="30"/>
    </row>
    <row r="194" spans="1:4" x14ac:dyDescent="0.2">
      <c r="A194">
        <v>2018</v>
      </c>
      <c r="B194" s="23">
        <v>2320</v>
      </c>
      <c r="C194" s="31">
        <v>6183492</v>
      </c>
      <c r="D194" s="30"/>
    </row>
    <row r="195" spans="1:4" x14ac:dyDescent="0.2">
      <c r="A195">
        <v>2018</v>
      </c>
      <c r="B195" s="23">
        <v>2325</v>
      </c>
      <c r="C195" s="31">
        <v>5692541</v>
      </c>
      <c r="D195" s="30"/>
    </row>
    <row r="196" spans="1:4" x14ac:dyDescent="0.2">
      <c r="A196">
        <v>2018</v>
      </c>
      <c r="B196" s="23">
        <v>2328</v>
      </c>
      <c r="C196" s="31">
        <v>1261150</v>
      </c>
      <c r="D196" s="30"/>
    </row>
    <row r="197" spans="1:4" x14ac:dyDescent="0.2">
      <c r="A197">
        <v>2018</v>
      </c>
      <c r="B197" s="23">
        <v>2330</v>
      </c>
      <c r="C197" s="31">
        <v>3213201</v>
      </c>
      <c r="D197" s="30"/>
    </row>
    <row r="198" spans="1:4" x14ac:dyDescent="0.2">
      <c r="A198">
        <v>2018</v>
      </c>
      <c r="B198" s="23">
        <v>2335</v>
      </c>
      <c r="C198" s="31">
        <v>3688074</v>
      </c>
      <c r="D198" s="30"/>
    </row>
    <row r="199" spans="1:4" x14ac:dyDescent="0.2">
      <c r="A199">
        <v>2018</v>
      </c>
      <c r="B199" s="23">
        <v>2338</v>
      </c>
      <c r="C199" s="31">
        <v>5076847</v>
      </c>
      <c r="D199" s="30"/>
    </row>
    <row r="200" spans="1:4" x14ac:dyDescent="0.2">
      <c r="A200">
        <v>2018</v>
      </c>
      <c r="B200" s="23">
        <v>2339</v>
      </c>
      <c r="C200" s="31">
        <v>1506753</v>
      </c>
      <c r="D200" s="30"/>
    </row>
    <row r="201" spans="1:4" x14ac:dyDescent="0.2">
      <c r="A201">
        <v>2018</v>
      </c>
      <c r="B201" s="23">
        <v>2340</v>
      </c>
      <c r="C201" s="31">
        <v>1701044</v>
      </c>
      <c r="D201" s="30"/>
    </row>
    <row r="202" spans="1:4" x14ac:dyDescent="0.2">
      <c r="A202">
        <v>2018</v>
      </c>
      <c r="B202" s="23">
        <v>2345</v>
      </c>
      <c r="C202" s="31">
        <v>2169210</v>
      </c>
      <c r="D202" s="30"/>
    </row>
    <row r="203" spans="1:4" x14ac:dyDescent="0.2">
      <c r="A203">
        <v>2018</v>
      </c>
      <c r="B203" s="23">
        <v>2350</v>
      </c>
      <c r="C203" s="31">
        <v>5813815</v>
      </c>
      <c r="D203" s="30"/>
    </row>
    <row r="204" spans="1:4" x14ac:dyDescent="0.2">
      <c r="A204">
        <v>2018</v>
      </c>
      <c r="B204" s="23">
        <v>2355</v>
      </c>
      <c r="C204" s="31">
        <v>4108623</v>
      </c>
      <c r="D204" s="30"/>
    </row>
    <row r="205" spans="1:4" x14ac:dyDescent="0.2">
      <c r="A205">
        <v>2018</v>
      </c>
      <c r="B205" s="23">
        <v>2360</v>
      </c>
      <c r="C205" s="31">
        <v>3026713</v>
      </c>
      <c r="D205" s="30"/>
    </row>
    <row r="206" spans="1:4" x14ac:dyDescent="0.2">
      <c r="A206">
        <v>2018</v>
      </c>
      <c r="B206" s="23">
        <v>2361</v>
      </c>
      <c r="C206" s="31">
        <v>1301586</v>
      </c>
      <c r="D206" s="29"/>
    </row>
    <row r="207" spans="1:4" x14ac:dyDescent="0.2">
      <c r="A207">
        <v>2018</v>
      </c>
      <c r="B207" s="23">
        <v>2362</v>
      </c>
      <c r="C207" s="31">
        <v>1521584</v>
      </c>
      <c r="D207" s="30"/>
    </row>
    <row r="208" spans="1:4" x14ac:dyDescent="0.2">
      <c r="A208">
        <v>2018</v>
      </c>
      <c r="B208" s="23">
        <v>2363</v>
      </c>
      <c r="C208" s="31">
        <v>936200</v>
      </c>
      <c r="D208" s="30"/>
    </row>
    <row r="209" spans="1:4" x14ac:dyDescent="0.2">
      <c r="A209">
        <v>2018</v>
      </c>
      <c r="B209" s="23">
        <v>2364</v>
      </c>
      <c r="C209" s="31">
        <v>1847618</v>
      </c>
      <c r="D209" s="30"/>
    </row>
    <row r="210" spans="1:4" x14ac:dyDescent="0.2">
      <c r="A210">
        <v>2018</v>
      </c>
      <c r="B210" s="23">
        <v>2365</v>
      </c>
      <c r="C210" s="31">
        <v>9214596</v>
      </c>
      <c r="D210" s="30"/>
    </row>
    <row r="211" spans="1:4" x14ac:dyDescent="0.2">
      <c r="A211">
        <v>2018</v>
      </c>
      <c r="B211" s="23">
        <v>2370</v>
      </c>
      <c r="C211" s="31">
        <v>1518382</v>
      </c>
      <c r="D211" s="30"/>
    </row>
    <row r="212" spans="1:4" x14ac:dyDescent="0.2">
      <c r="A212">
        <v>2018</v>
      </c>
      <c r="B212" s="23">
        <v>2375</v>
      </c>
      <c r="C212" s="31">
        <v>1252894</v>
      </c>
      <c r="D212" s="30"/>
    </row>
    <row r="213" spans="1:4" x14ac:dyDescent="0.2">
      <c r="A213">
        <v>2018</v>
      </c>
      <c r="B213" s="23">
        <v>2377</v>
      </c>
      <c r="C213" s="31">
        <v>1781451</v>
      </c>
      <c r="D213" s="30"/>
    </row>
    <row r="214" spans="1:4" x14ac:dyDescent="0.2">
      <c r="A214">
        <v>2018</v>
      </c>
      <c r="B214" s="23">
        <v>2378</v>
      </c>
      <c r="C214" s="31">
        <v>9258146</v>
      </c>
      <c r="D214" s="30"/>
    </row>
    <row r="215" spans="1:4" x14ac:dyDescent="0.2">
      <c r="A215">
        <v>2018</v>
      </c>
      <c r="B215" s="23">
        <v>2379</v>
      </c>
      <c r="C215" s="31">
        <v>9437164</v>
      </c>
      <c r="D215" s="30"/>
    </row>
    <row r="216" spans="1:4" x14ac:dyDescent="0.2">
      <c r="A216">
        <v>2018</v>
      </c>
      <c r="B216" s="23">
        <v>2380</v>
      </c>
      <c r="C216" s="31">
        <v>3769002</v>
      </c>
      <c r="D216" s="30"/>
    </row>
    <row r="217" spans="1:4" x14ac:dyDescent="0.2">
      <c r="A217">
        <v>2018</v>
      </c>
      <c r="B217" s="23">
        <v>2381</v>
      </c>
      <c r="C217" s="31">
        <v>2037610</v>
      </c>
      <c r="D217" s="30"/>
    </row>
    <row r="218" spans="1:4" x14ac:dyDescent="0.2">
      <c r="A218">
        <v>2018</v>
      </c>
      <c r="B218" s="23">
        <v>2383</v>
      </c>
      <c r="C218" s="31">
        <v>6658296</v>
      </c>
      <c r="D218" s="30"/>
    </row>
    <row r="219" spans="1:4" x14ac:dyDescent="0.2">
      <c r="A219">
        <v>2018</v>
      </c>
      <c r="B219" s="23">
        <v>2384</v>
      </c>
      <c r="C219" s="31">
        <v>4246979</v>
      </c>
      <c r="D219" s="30"/>
    </row>
    <row r="220" spans="1:4" x14ac:dyDescent="0.2">
      <c r="A220">
        <v>2018</v>
      </c>
      <c r="B220" s="23">
        <v>2385</v>
      </c>
      <c r="C220" s="31">
        <v>2755319</v>
      </c>
      <c r="D220" s="30"/>
    </row>
    <row r="221" spans="1:4" x14ac:dyDescent="0.2">
      <c r="A221">
        <v>2018</v>
      </c>
      <c r="B221" s="23">
        <v>2389</v>
      </c>
      <c r="C221" s="31">
        <v>2506118</v>
      </c>
      <c r="D221" s="30"/>
    </row>
    <row r="222" spans="1:4" x14ac:dyDescent="0.2">
      <c r="A222">
        <v>2018</v>
      </c>
      <c r="B222" s="23">
        <v>2390</v>
      </c>
      <c r="C222" s="31">
        <v>5052482</v>
      </c>
      <c r="D222" s="30"/>
    </row>
    <row r="223" spans="1:4" x14ac:dyDescent="0.2">
      <c r="A223">
        <v>2018</v>
      </c>
      <c r="B223" s="23">
        <v>2391</v>
      </c>
      <c r="C223" s="31">
        <v>2552691</v>
      </c>
      <c r="D223" s="30"/>
    </row>
    <row r="224" spans="1:4" x14ac:dyDescent="0.2">
      <c r="A224">
        <v>2018</v>
      </c>
      <c r="B224" s="23">
        <v>2394</v>
      </c>
      <c r="C224" s="31">
        <v>1787168</v>
      </c>
      <c r="D224" s="30"/>
    </row>
    <row r="225" spans="1:4" x14ac:dyDescent="0.2">
      <c r="A225">
        <v>2018</v>
      </c>
      <c r="B225" s="23">
        <v>2395</v>
      </c>
      <c r="C225" s="31">
        <v>1501110</v>
      </c>
      <c r="D225" s="30"/>
    </row>
    <row r="226" spans="1:4" x14ac:dyDescent="0.2">
      <c r="A226">
        <v>2018</v>
      </c>
      <c r="B226" s="23">
        <v>2396</v>
      </c>
      <c r="C226" s="31">
        <v>1149793</v>
      </c>
      <c r="D226" s="30"/>
    </row>
    <row r="227" spans="1:4" x14ac:dyDescent="0.2">
      <c r="A227">
        <v>2018</v>
      </c>
      <c r="B227" s="23">
        <v>2400</v>
      </c>
      <c r="C227" s="31">
        <v>8733723</v>
      </c>
      <c r="D227" s="30"/>
    </row>
    <row r="228" spans="1:4" x14ac:dyDescent="0.2">
      <c r="A228">
        <v>2018</v>
      </c>
      <c r="B228" s="23">
        <v>2401</v>
      </c>
      <c r="C228" s="31">
        <v>2102971</v>
      </c>
      <c r="D228" s="30"/>
    </row>
    <row r="229" spans="1:4" x14ac:dyDescent="0.2">
      <c r="A229">
        <v>2018</v>
      </c>
      <c r="B229" s="23">
        <v>2402</v>
      </c>
      <c r="C229" s="31">
        <v>5051024</v>
      </c>
      <c r="D229" s="30"/>
    </row>
    <row r="230" spans="1:4" x14ac:dyDescent="0.2">
      <c r="A230">
        <v>2018</v>
      </c>
      <c r="B230" s="23">
        <v>2403</v>
      </c>
      <c r="C230" s="31">
        <v>2435116</v>
      </c>
      <c r="D230" s="30"/>
    </row>
    <row r="231" spans="1:4" x14ac:dyDescent="0.2">
      <c r="A231">
        <v>2018</v>
      </c>
      <c r="B231" s="23">
        <v>2405</v>
      </c>
      <c r="C231" s="31">
        <v>3164725</v>
      </c>
      <c r="D231" s="30"/>
    </row>
    <row r="232" spans="1:4" x14ac:dyDescent="0.2">
      <c r="A232">
        <v>2018</v>
      </c>
      <c r="B232" s="23">
        <v>2406</v>
      </c>
      <c r="C232" s="31">
        <v>4410459</v>
      </c>
      <c r="D232" s="30"/>
    </row>
    <row r="233" spans="1:4" x14ac:dyDescent="0.2">
      <c r="A233">
        <v>2018</v>
      </c>
      <c r="B233" s="23">
        <v>2408</v>
      </c>
      <c r="C233" s="31">
        <v>4546553</v>
      </c>
      <c r="D233" s="30"/>
    </row>
    <row r="234" spans="1:4" x14ac:dyDescent="0.2">
      <c r="A234">
        <v>2018</v>
      </c>
      <c r="B234" s="23">
        <v>2409</v>
      </c>
      <c r="C234" s="31">
        <v>966603</v>
      </c>
      <c r="D234" s="30"/>
    </row>
    <row r="235" spans="1:4" x14ac:dyDescent="0.2">
      <c r="A235">
        <v>2018</v>
      </c>
      <c r="B235" s="23">
        <v>2410</v>
      </c>
      <c r="C235" s="31">
        <v>5842395</v>
      </c>
      <c r="D235" s="30"/>
    </row>
    <row r="236" spans="1:4" x14ac:dyDescent="0.2">
      <c r="A236">
        <v>2018</v>
      </c>
      <c r="B236" s="23">
        <v>2415</v>
      </c>
      <c r="C236" s="31">
        <v>6777623</v>
      </c>
      <c r="D236" s="30"/>
    </row>
    <row r="237" spans="1:4" x14ac:dyDescent="0.2">
      <c r="A237">
        <v>2018</v>
      </c>
      <c r="B237" s="23">
        <v>2420</v>
      </c>
      <c r="C237" s="31">
        <v>3435084</v>
      </c>
      <c r="D237" s="30"/>
    </row>
    <row r="238" spans="1:4" x14ac:dyDescent="0.2">
      <c r="A238">
        <v>2018</v>
      </c>
      <c r="B238" s="23">
        <v>2425</v>
      </c>
      <c r="C238" s="31">
        <v>6363508</v>
      </c>
      <c r="D238" s="30"/>
    </row>
    <row r="239" spans="1:4" x14ac:dyDescent="0.2">
      <c r="A239">
        <v>2018</v>
      </c>
      <c r="B239" s="23">
        <v>2426</v>
      </c>
      <c r="C239" s="31">
        <v>1844928</v>
      </c>
      <c r="D239" s="30"/>
    </row>
    <row r="240" spans="1:4" x14ac:dyDescent="0.2">
      <c r="A240">
        <v>2018</v>
      </c>
      <c r="B240" s="23">
        <v>2428</v>
      </c>
      <c r="C240" s="31">
        <v>3639700</v>
      </c>
      <c r="D240" s="30"/>
    </row>
    <row r="241" spans="1:4" x14ac:dyDescent="0.2">
      <c r="A241">
        <v>2018</v>
      </c>
      <c r="B241" s="23">
        <v>2430</v>
      </c>
      <c r="C241" s="31">
        <v>5364856</v>
      </c>
      <c r="D241" s="30"/>
    </row>
    <row r="242" spans="1:4" x14ac:dyDescent="0.2">
      <c r="A242">
        <v>2018</v>
      </c>
      <c r="B242" s="23">
        <v>2435</v>
      </c>
      <c r="C242" s="31">
        <v>1415679</v>
      </c>
      <c r="D242" s="30"/>
    </row>
    <row r="243" spans="1:4" x14ac:dyDescent="0.2">
      <c r="A243">
        <v>2018</v>
      </c>
      <c r="B243" s="23">
        <v>2440</v>
      </c>
      <c r="C243" s="31">
        <v>2320907</v>
      </c>
      <c r="D243" s="30"/>
    </row>
    <row r="244" spans="1:4" x14ac:dyDescent="0.2">
      <c r="A244">
        <v>2018</v>
      </c>
      <c r="B244" s="23">
        <v>2441</v>
      </c>
      <c r="C244" s="31">
        <v>1376394</v>
      </c>
      <c r="D244" s="30"/>
    </row>
    <row r="245" spans="1:4" x14ac:dyDescent="0.2">
      <c r="A245">
        <v>2018</v>
      </c>
      <c r="B245" s="23">
        <v>2445</v>
      </c>
      <c r="C245" s="31">
        <v>6834337</v>
      </c>
      <c r="D245" s="30"/>
    </row>
    <row r="246" spans="1:4" x14ac:dyDescent="0.2">
      <c r="A246">
        <v>2018</v>
      </c>
      <c r="B246" s="23">
        <v>2450</v>
      </c>
      <c r="C246" s="31">
        <v>2714278</v>
      </c>
      <c r="D246" s="30"/>
    </row>
    <row r="247" spans="1:4" x14ac:dyDescent="0.2">
      <c r="A247">
        <v>2018</v>
      </c>
      <c r="B247" s="23">
        <v>2455</v>
      </c>
      <c r="C247" s="31">
        <v>3433844</v>
      </c>
      <c r="D247" s="29"/>
    </row>
    <row r="248" spans="1:4" x14ac:dyDescent="0.2">
      <c r="A248">
        <v>2018</v>
      </c>
      <c r="B248" s="23">
        <v>2458</v>
      </c>
      <c r="C248" s="31">
        <v>3363193</v>
      </c>
      <c r="D248" s="30"/>
    </row>
    <row r="249" spans="1:4" x14ac:dyDescent="0.2">
      <c r="A249">
        <v>2018</v>
      </c>
      <c r="B249" s="23">
        <v>2460</v>
      </c>
      <c r="C249" s="31">
        <v>1219392</v>
      </c>
      <c r="D249" s="30"/>
    </row>
    <row r="250" spans="1:4" x14ac:dyDescent="0.2">
      <c r="A250">
        <v>2018</v>
      </c>
      <c r="B250" s="23">
        <v>2464</v>
      </c>
      <c r="C250" s="31">
        <v>1080848</v>
      </c>
      <c r="D250" s="30"/>
    </row>
    <row r="251" spans="1:4" x14ac:dyDescent="0.2">
      <c r="A251">
        <v>2018</v>
      </c>
      <c r="B251" s="23">
        <v>2465</v>
      </c>
      <c r="C251" s="31">
        <v>562055</v>
      </c>
      <c r="D251" s="30"/>
    </row>
    <row r="252" spans="1:4" x14ac:dyDescent="0.2">
      <c r="A252">
        <v>2018</v>
      </c>
      <c r="B252" s="23">
        <v>2466</v>
      </c>
      <c r="C252" s="31">
        <v>1376599</v>
      </c>
      <c r="D252" s="30"/>
    </row>
    <row r="253" spans="1:4" x14ac:dyDescent="0.2">
      <c r="A253">
        <v>2018</v>
      </c>
      <c r="B253" s="23">
        <v>2467</v>
      </c>
      <c r="C253" s="31">
        <v>1931842</v>
      </c>
      <c r="D253" s="30"/>
    </row>
    <row r="254" spans="1:4" x14ac:dyDescent="0.2">
      <c r="A254">
        <v>2018</v>
      </c>
      <c r="B254" s="23">
        <v>2468</v>
      </c>
      <c r="C254" s="31">
        <v>1524730</v>
      </c>
      <c r="D254" s="30"/>
    </row>
    <row r="255" spans="1:4" x14ac:dyDescent="0.2">
      <c r="A255">
        <v>2018</v>
      </c>
      <c r="B255" s="23">
        <v>2469</v>
      </c>
      <c r="C255" s="31">
        <v>4250925</v>
      </c>
      <c r="D255" s="30"/>
    </row>
    <row r="256" spans="1:4" x14ac:dyDescent="0.2">
      <c r="A256">
        <v>2018</v>
      </c>
      <c r="B256" s="23">
        <v>2470</v>
      </c>
      <c r="C256" s="31">
        <v>3773446</v>
      </c>
      <c r="D256" s="30"/>
    </row>
    <row r="257" spans="1:4" x14ac:dyDescent="0.2">
      <c r="A257">
        <v>2018</v>
      </c>
      <c r="B257" s="23">
        <v>2471</v>
      </c>
      <c r="C257" s="31">
        <v>4106428</v>
      </c>
      <c r="D257" s="30"/>
    </row>
    <row r="258" spans="1:4" x14ac:dyDescent="0.2">
      <c r="A258">
        <v>2018</v>
      </c>
      <c r="B258" s="23">
        <v>2475</v>
      </c>
      <c r="C258" s="31">
        <v>6208779</v>
      </c>
      <c r="D258" s="30"/>
    </row>
    <row r="259" spans="1:4" x14ac:dyDescent="0.2">
      <c r="A259">
        <v>2018</v>
      </c>
      <c r="B259" s="23">
        <v>2480</v>
      </c>
      <c r="C259" s="31">
        <v>2016997</v>
      </c>
      <c r="D259" s="30"/>
    </row>
    <row r="260" spans="1:4" x14ac:dyDescent="0.2">
      <c r="A260">
        <v>2018</v>
      </c>
      <c r="B260" s="23">
        <v>2485</v>
      </c>
      <c r="C260" s="31">
        <v>4411982</v>
      </c>
      <c r="D260" s="30"/>
    </row>
    <row r="261" spans="1:4" x14ac:dyDescent="0.2">
      <c r="A261">
        <v>2018</v>
      </c>
      <c r="B261" s="23">
        <v>2490</v>
      </c>
      <c r="C261" s="31">
        <v>6341040</v>
      </c>
      <c r="D261" s="30"/>
    </row>
    <row r="262" spans="1:4" x14ac:dyDescent="0.2">
      <c r="A262">
        <v>2018</v>
      </c>
      <c r="B262" s="23">
        <v>2495</v>
      </c>
      <c r="C262" s="31">
        <v>845748</v>
      </c>
      <c r="D262" s="30"/>
    </row>
    <row r="263" spans="1:4" x14ac:dyDescent="0.2">
      <c r="A263">
        <v>2018</v>
      </c>
      <c r="B263" s="23">
        <v>2497</v>
      </c>
      <c r="C263" s="31">
        <v>2056469</v>
      </c>
      <c r="D263" s="30"/>
    </row>
    <row r="264" spans="1:4" x14ac:dyDescent="0.2">
      <c r="A264">
        <v>2018</v>
      </c>
      <c r="B264" s="23">
        <v>2498</v>
      </c>
      <c r="C264" s="31">
        <v>1836809</v>
      </c>
      <c r="D264" s="30"/>
    </row>
    <row r="265" spans="1:4" x14ac:dyDescent="0.2">
      <c r="A265">
        <v>2018</v>
      </c>
      <c r="B265" s="23">
        <v>2500</v>
      </c>
      <c r="C265" s="31">
        <v>5096366</v>
      </c>
      <c r="D265" s="30"/>
    </row>
    <row r="266" spans="1:4" x14ac:dyDescent="0.2">
      <c r="A266">
        <v>2018</v>
      </c>
      <c r="B266" s="23">
        <v>2504</v>
      </c>
      <c r="C266" s="31">
        <v>3226941</v>
      </c>
      <c r="D266" s="30"/>
    </row>
    <row r="267" spans="1:4" x14ac:dyDescent="0.2">
      <c r="A267">
        <v>2018</v>
      </c>
      <c r="B267" s="23">
        <v>2505</v>
      </c>
      <c r="C267" s="31">
        <v>4298425</v>
      </c>
      <c r="D267" s="30"/>
    </row>
    <row r="268" spans="1:4" x14ac:dyDescent="0.2">
      <c r="A268">
        <v>2018</v>
      </c>
      <c r="B268" s="23">
        <v>2507</v>
      </c>
      <c r="C268" s="31">
        <v>821642</v>
      </c>
      <c r="D268" s="30"/>
    </row>
    <row r="269" spans="1:4" x14ac:dyDescent="0.2">
      <c r="A269">
        <v>2018</v>
      </c>
      <c r="B269" s="23">
        <v>2508</v>
      </c>
      <c r="C269" s="31">
        <v>2277597</v>
      </c>
      <c r="D269" s="30"/>
    </row>
    <row r="270" spans="1:4" x14ac:dyDescent="0.2">
      <c r="A270">
        <v>2018</v>
      </c>
      <c r="B270" s="23">
        <v>2509</v>
      </c>
      <c r="C270" s="31">
        <v>4171336</v>
      </c>
      <c r="D270" s="30"/>
    </row>
    <row r="271" spans="1:4" x14ac:dyDescent="0.2">
      <c r="A271">
        <v>2018</v>
      </c>
      <c r="B271" s="23">
        <v>2510</v>
      </c>
      <c r="C271" s="31">
        <v>1699683</v>
      </c>
      <c r="D271" s="30"/>
    </row>
    <row r="272" spans="1:4" x14ac:dyDescent="0.2">
      <c r="A272">
        <v>2018</v>
      </c>
      <c r="B272" s="23">
        <v>2512</v>
      </c>
      <c r="C272" s="31">
        <v>12118565</v>
      </c>
      <c r="D272" s="30"/>
    </row>
    <row r="273" spans="1:4" x14ac:dyDescent="0.2">
      <c r="A273">
        <v>2018</v>
      </c>
      <c r="B273" s="23">
        <v>2514</v>
      </c>
      <c r="C273" s="31">
        <v>1129013</v>
      </c>
      <c r="D273" s="30"/>
    </row>
    <row r="274" spans="1:4" x14ac:dyDescent="0.2">
      <c r="A274">
        <v>2018</v>
      </c>
      <c r="B274" s="23">
        <v>2515</v>
      </c>
      <c r="C274" s="31">
        <v>1012889</v>
      </c>
      <c r="D274" s="30"/>
    </row>
    <row r="275" spans="1:4" x14ac:dyDescent="0.2">
      <c r="A275">
        <v>2018</v>
      </c>
      <c r="B275" s="23">
        <v>2520</v>
      </c>
      <c r="C275" s="31">
        <v>2338414</v>
      </c>
      <c r="D275" s="30"/>
    </row>
    <row r="276" spans="1:4" x14ac:dyDescent="0.2">
      <c r="A276">
        <v>2018</v>
      </c>
      <c r="B276" s="23">
        <v>2525</v>
      </c>
      <c r="C276" s="31">
        <v>3320920</v>
      </c>
      <c r="D276" s="30"/>
    </row>
    <row r="277" spans="1:4" x14ac:dyDescent="0.2">
      <c r="A277">
        <v>2018</v>
      </c>
      <c r="B277" s="23">
        <v>2530</v>
      </c>
      <c r="C277" s="31">
        <v>6480749</v>
      </c>
      <c r="D277" s="30"/>
    </row>
    <row r="278" spans="1:4" x14ac:dyDescent="0.2">
      <c r="A278">
        <v>2018</v>
      </c>
      <c r="B278" s="23">
        <v>2533</v>
      </c>
      <c r="C278" s="31">
        <v>1541005</v>
      </c>
      <c r="D278" s="30"/>
    </row>
    <row r="279" spans="1:4" x14ac:dyDescent="0.2">
      <c r="A279">
        <v>2018</v>
      </c>
      <c r="B279" s="23">
        <v>2535</v>
      </c>
      <c r="C279" s="31">
        <v>1907254</v>
      </c>
      <c r="D279" s="30"/>
    </row>
    <row r="280" spans="1:4" x14ac:dyDescent="0.2">
      <c r="A280">
        <v>2018</v>
      </c>
      <c r="B280" s="23">
        <v>2540</v>
      </c>
      <c r="C280" s="31">
        <v>4471745</v>
      </c>
      <c r="D280" s="30"/>
    </row>
    <row r="281" spans="1:4" x14ac:dyDescent="0.2">
      <c r="A281">
        <v>2018</v>
      </c>
      <c r="B281" s="23">
        <v>2541</v>
      </c>
      <c r="C281" s="31">
        <v>2741910</v>
      </c>
      <c r="D281" s="30"/>
    </row>
    <row r="282" spans="1:4" x14ac:dyDescent="0.2">
      <c r="A282">
        <v>2018</v>
      </c>
      <c r="B282" s="23">
        <v>2542</v>
      </c>
      <c r="C282" s="31">
        <v>1638382</v>
      </c>
      <c r="D282" s="30"/>
    </row>
    <row r="283" spans="1:4" x14ac:dyDescent="0.2">
      <c r="A283">
        <v>2018</v>
      </c>
      <c r="B283" s="23">
        <v>2545</v>
      </c>
      <c r="C283" s="31">
        <v>842104</v>
      </c>
      <c r="D283" s="30"/>
    </row>
    <row r="284" spans="1:4" x14ac:dyDescent="0.2">
      <c r="A284">
        <v>2018</v>
      </c>
      <c r="B284" s="23">
        <v>2547</v>
      </c>
      <c r="C284" s="31">
        <v>6186361</v>
      </c>
      <c r="D284" s="30"/>
    </row>
    <row r="285" spans="1:4" x14ac:dyDescent="0.2">
      <c r="A285">
        <v>2018</v>
      </c>
      <c r="B285" s="23">
        <v>2550</v>
      </c>
      <c r="C285" s="31">
        <v>738799</v>
      </c>
      <c r="D285" s="30"/>
    </row>
    <row r="286" spans="1:4" x14ac:dyDescent="0.2">
      <c r="A286">
        <v>2018</v>
      </c>
      <c r="B286" s="23">
        <v>2551</v>
      </c>
      <c r="C286" s="31">
        <v>1125922</v>
      </c>
      <c r="D286" s="30"/>
    </row>
    <row r="287" spans="1:4" x14ac:dyDescent="0.2">
      <c r="A287">
        <v>2018</v>
      </c>
      <c r="B287" s="23">
        <v>2555</v>
      </c>
      <c r="C287" s="31">
        <v>1131725</v>
      </c>
      <c r="D287" s="30"/>
    </row>
    <row r="288" spans="1:4" x14ac:dyDescent="0.2">
      <c r="A288">
        <v>2018</v>
      </c>
      <c r="B288" s="23">
        <v>2557</v>
      </c>
      <c r="C288" s="31">
        <v>9446602</v>
      </c>
      <c r="D288" s="29"/>
    </row>
    <row r="289" spans="1:4" x14ac:dyDescent="0.2">
      <c r="A289">
        <v>2018</v>
      </c>
      <c r="B289" s="23">
        <v>2559</v>
      </c>
      <c r="C289" s="31">
        <v>948340</v>
      </c>
      <c r="D289" s="30"/>
    </row>
    <row r="290" spans="1:4" x14ac:dyDescent="0.2">
      <c r="A290">
        <v>2018</v>
      </c>
      <c r="B290" s="23">
        <v>2560</v>
      </c>
      <c r="C290" s="31">
        <v>1147753</v>
      </c>
      <c r="D290" s="30"/>
    </row>
    <row r="291" spans="1:4" x14ac:dyDescent="0.2">
      <c r="A291">
        <v>2018</v>
      </c>
      <c r="B291" s="23">
        <v>2561</v>
      </c>
      <c r="C291" s="31">
        <v>3768526</v>
      </c>
      <c r="D291" s="30"/>
    </row>
    <row r="292" spans="1:4" x14ac:dyDescent="0.2">
      <c r="A292">
        <v>2018</v>
      </c>
      <c r="B292" s="23">
        <v>2562</v>
      </c>
      <c r="C292" s="31">
        <v>4478164</v>
      </c>
      <c r="D292" s="30"/>
    </row>
    <row r="293" spans="1:4" x14ac:dyDescent="0.2">
      <c r="A293">
        <v>2018</v>
      </c>
      <c r="B293" s="23">
        <v>2563</v>
      </c>
      <c r="C293" s="31">
        <v>4875750</v>
      </c>
      <c r="D293" s="30"/>
    </row>
    <row r="294" spans="1:4" x14ac:dyDescent="0.2">
      <c r="A294">
        <v>2018</v>
      </c>
      <c r="B294" s="23">
        <v>2564</v>
      </c>
      <c r="C294" s="31">
        <v>6377650</v>
      </c>
      <c r="D294" s="30"/>
    </row>
    <row r="295" spans="1:4" x14ac:dyDescent="0.2">
      <c r="A295">
        <v>2018</v>
      </c>
      <c r="B295" s="23">
        <v>2565</v>
      </c>
      <c r="C295" s="31">
        <v>3692683</v>
      </c>
      <c r="D295" s="30"/>
    </row>
    <row r="296" spans="1:4" x14ac:dyDescent="0.2">
      <c r="A296">
        <v>2018</v>
      </c>
      <c r="B296" s="23">
        <v>2570</v>
      </c>
      <c r="C296" s="31">
        <v>2601594</v>
      </c>
      <c r="D296" s="30"/>
    </row>
    <row r="297" spans="1:4" x14ac:dyDescent="0.2">
      <c r="A297">
        <v>2018</v>
      </c>
      <c r="B297" s="23">
        <v>2573</v>
      </c>
      <c r="C297" s="31">
        <v>2699321</v>
      </c>
      <c r="D297" s="30"/>
    </row>
    <row r="298" spans="1:4" x14ac:dyDescent="0.2">
      <c r="A298">
        <v>2018</v>
      </c>
      <c r="B298" s="23">
        <v>2574</v>
      </c>
      <c r="C298" s="31">
        <v>894817</v>
      </c>
      <c r="D298" s="30"/>
    </row>
    <row r="299" spans="1:4" x14ac:dyDescent="0.2">
      <c r="A299">
        <v>2018</v>
      </c>
      <c r="B299" s="23">
        <v>2575</v>
      </c>
      <c r="C299" s="31">
        <v>9420314</v>
      </c>
      <c r="D299" s="30"/>
    </row>
    <row r="300" spans="1:4" x14ac:dyDescent="0.2">
      <c r="A300">
        <v>2018</v>
      </c>
      <c r="B300" s="23">
        <v>2576</v>
      </c>
      <c r="C300" s="31">
        <v>1915547</v>
      </c>
      <c r="D300" s="30"/>
    </row>
    <row r="301" spans="1:4" x14ac:dyDescent="0.2">
      <c r="A301">
        <v>2018</v>
      </c>
      <c r="B301" s="23">
        <v>2580</v>
      </c>
      <c r="C301" s="31">
        <v>5113118</v>
      </c>
      <c r="D301" s="30"/>
    </row>
    <row r="302" spans="1:4" x14ac:dyDescent="0.2">
      <c r="A302">
        <v>2018</v>
      </c>
      <c r="B302" s="23">
        <v>2582</v>
      </c>
      <c r="C302" s="31">
        <v>1130606</v>
      </c>
      <c r="D302" s="30"/>
    </row>
    <row r="303" spans="1:4" x14ac:dyDescent="0.2">
      <c r="A303">
        <v>2018</v>
      </c>
      <c r="B303" s="23">
        <v>2584</v>
      </c>
      <c r="C303" s="31">
        <v>2971155</v>
      </c>
      <c r="D303" s="30"/>
    </row>
    <row r="304" spans="1:4" x14ac:dyDescent="0.2">
      <c r="A304">
        <v>2018</v>
      </c>
      <c r="B304" s="23">
        <v>2585</v>
      </c>
      <c r="C304" s="31">
        <v>10175023</v>
      </c>
      <c r="D304" s="30"/>
    </row>
    <row r="305" spans="1:4" x14ac:dyDescent="0.2">
      <c r="A305">
        <v>2018</v>
      </c>
      <c r="B305" s="23">
        <v>2590</v>
      </c>
      <c r="C305" s="31">
        <v>3334857</v>
      </c>
      <c r="D305" s="30"/>
    </row>
    <row r="306" spans="1:4" x14ac:dyDescent="0.2">
      <c r="A306">
        <v>2018</v>
      </c>
      <c r="B306" s="23">
        <v>2593</v>
      </c>
      <c r="C306" s="31">
        <v>8204812</v>
      </c>
      <c r="D306" s="30"/>
    </row>
    <row r="307" spans="1:4" x14ac:dyDescent="0.2">
      <c r="A307">
        <v>2018</v>
      </c>
      <c r="B307" s="23">
        <v>2595</v>
      </c>
      <c r="C307" s="31">
        <v>696257</v>
      </c>
      <c r="D307" s="30"/>
    </row>
    <row r="308" spans="1:4" x14ac:dyDescent="0.2">
      <c r="A308">
        <v>2018</v>
      </c>
      <c r="B308" s="23">
        <v>2600</v>
      </c>
      <c r="C308" s="31">
        <v>1293389</v>
      </c>
      <c r="D308" s="30"/>
    </row>
    <row r="309" spans="1:4" x14ac:dyDescent="0.2">
      <c r="A309">
        <v>2018</v>
      </c>
      <c r="B309" s="23">
        <v>2605</v>
      </c>
      <c r="C309" s="31">
        <v>606063</v>
      </c>
      <c r="D309" s="30"/>
    </row>
    <row r="310" spans="1:4" x14ac:dyDescent="0.2">
      <c r="A310">
        <v>2018</v>
      </c>
      <c r="B310" s="23">
        <v>2610</v>
      </c>
      <c r="C310" s="31">
        <v>8548059</v>
      </c>
      <c r="D310" s="30"/>
    </row>
    <row r="311" spans="1:4" x14ac:dyDescent="0.2">
      <c r="A311">
        <v>2018</v>
      </c>
      <c r="B311" s="23">
        <v>2611</v>
      </c>
      <c r="C311" s="31">
        <v>2275828</v>
      </c>
      <c r="D311" s="30"/>
    </row>
    <row r="312" spans="1:4" x14ac:dyDescent="0.2">
      <c r="A312">
        <v>2018</v>
      </c>
      <c r="B312" s="23">
        <v>2612</v>
      </c>
      <c r="C312" s="31">
        <v>2653216</v>
      </c>
      <c r="D312" s="30"/>
    </row>
    <row r="313" spans="1:4" x14ac:dyDescent="0.2">
      <c r="A313">
        <v>2018</v>
      </c>
      <c r="B313" s="23">
        <v>2613</v>
      </c>
      <c r="C313" s="31">
        <v>2612685</v>
      </c>
      <c r="D313" s="30"/>
    </row>
    <row r="314" spans="1:4" x14ac:dyDescent="0.2">
      <c r="A314">
        <v>2018</v>
      </c>
      <c r="B314" s="23">
        <v>2614</v>
      </c>
      <c r="C314" s="31">
        <v>3357476</v>
      </c>
      <c r="D314" s="30"/>
    </row>
    <row r="315" spans="1:4" x14ac:dyDescent="0.2">
      <c r="A315">
        <v>2018</v>
      </c>
      <c r="B315" s="23">
        <v>2615</v>
      </c>
      <c r="C315" s="31">
        <v>9219067</v>
      </c>
      <c r="D315" s="30"/>
    </row>
    <row r="316" spans="1:4" x14ac:dyDescent="0.2">
      <c r="A316">
        <v>2018</v>
      </c>
      <c r="B316" s="23">
        <v>2616</v>
      </c>
      <c r="C316" s="31">
        <v>3210079</v>
      </c>
      <c r="D316" s="30"/>
    </row>
    <row r="317" spans="1:4" x14ac:dyDescent="0.2">
      <c r="A317">
        <v>2018</v>
      </c>
      <c r="B317" s="23">
        <v>2617</v>
      </c>
      <c r="C317" s="31">
        <v>3347422</v>
      </c>
      <c r="D317" s="30"/>
    </row>
    <row r="318" spans="1:4" x14ac:dyDescent="0.2">
      <c r="A318">
        <v>2018</v>
      </c>
      <c r="B318" s="23">
        <v>2618</v>
      </c>
      <c r="C318" s="31">
        <v>902027</v>
      </c>
      <c r="D318" s="30"/>
    </row>
    <row r="319" spans="1:4" x14ac:dyDescent="0.2">
      <c r="A319">
        <v>2018</v>
      </c>
      <c r="B319" s="23">
        <v>2619</v>
      </c>
      <c r="C319" s="31">
        <v>1900647</v>
      </c>
      <c r="D319" s="30"/>
    </row>
    <row r="320" spans="1:4" x14ac:dyDescent="0.2">
      <c r="A320">
        <v>2018</v>
      </c>
      <c r="B320" s="23">
        <v>2620</v>
      </c>
      <c r="C320" s="31">
        <v>628783</v>
      </c>
      <c r="D320" s="30"/>
    </row>
    <row r="321" spans="1:4" x14ac:dyDescent="0.2">
      <c r="A321">
        <v>2018</v>
      </c>
      <c r="B321" s="23">
        <v>2625</v>
      </c>
      <c r="C321" s="31">
        <v>1083017</v>
      </c>
      <c r="D321" s="30"/>
    </row>
    <row r="322" spans="1:4" x14ac:dyDescent="0.2">
      <c r="A322">
        <v>2018</v>
      </c>
      <c r="B322" s="23">
        <v>2626</v>
      </c>
      <c r="C322" s="31">
        <v>780846</v>
      </c>
      <c r="D322" s="30"/>
    </row>
    <row r="323" spans="1:4" x14ac:dyDescent="0.2">
      <c r="A323">
        <v>2018</v>
      </c>
      <c r="B323" s="23">
        <v>2630</v>
      </c>
      <c r="C323" s="31">
        <v>858147</v>
      </c>
      <c r="D323" s="30"/>
    </row>
    <row r="324" spans="1:4" x14ac:dyDescent="0.2">
      <c r="A324">
        <v>2018</v>
      </c>
      <c r="B324" s="23">
        <v>2632</v>
      </c>
      <c r="C324" s="31">
        <v>1659577</v>
      </c>
      <c r="D324" s="30"/>
    </row>
    <row r="325" spans="1:4" x14ac:dyDescent="0.2">
      <c r="A325">
        <v>2018</v>
      </c>
      <c r="B325" s="23">
        <v>2633</v>
      </c>
      <c r="C325" s="31">
        <v>6309423</v>
      </c>
      <c r="D325" s="30"/>
    </row>
    <row r="326" spans="1:4" x14ac:dyDescent="0.2">
      <c r="A326">
        <v>2018</v>
      </c>
      <c r="B326" s="23">
        <v>2635</v>
      </c>
      <c r="C326" s="31">
        <v>798406</v>
      </c>
      <c r="D326" s="30"/>
    </row>
    <row r="327" spans="1:4" x14ac:dyDescent="0.2">
      <c r="A327">
        <v>2018</v>
      </c>
      <c r="B327" s="23">
        <v>2640</v>
      </c>
      <c r="C327" s="31">
        <v>2042432</v>
      </c>
      <c r="D327" s="30"/>
    </row>
    <row r="328" spans="1:4" x14ac:dyDescent="0.2">
      <c r="A328">
        <v>2018</v>
      </c>
      <c r="B328" s="23">
        <v>2641</v>
      </c>
      <c r="C328" s="31">
        <v>1200998</v>
      </c>
      <c r="D328" s="30"/>
    </row>
    <row r="329" spans="1:4" x14ac:dyDescent="0.2">
      <c r="A329">
        <v>2018</v>
      </c>
      <c r="B329" s="23">
        <v>2642</v>
      </c>
      <c r="C329" s="31">
        <v>4945993</v>
      </c>
      <c r="D329" s="29"/>
    </row>
    <row r="330" spans="1:4" x14ac:dyDescent="0.2">
      <c r="A330">
        <v>2018</v>
      </c>
      <c r="B330" s="23">
        <v>2643</v>
      </c>
      <c r="C330" s="31">
        <v>4624710</v>
      </c>
      <c r="D330" s="30"/>
    </row>
    <row r="331" spans="1:4" x14ac:dyDescent="0.2">
      <c r="A331">
        <v>2018</v>
      </c>
      <c r="B331" s="23">
        <v>2644</v>
      </c>
      <c r="C331" s="31">
        <v>4272602</v>
      </c>
      <c r="D331" s="30"/>
    </row>
    <row r="332" spans="1:4" x14ac:dyDescent="0.2">
      <c r="A332">
        <v>2018</v>
      </c>
      <c r="B332" s="23">
        <v>2645</v>
      </c>
      <c r="C332" s="31">
        <v>5456151</v>
      </c>
      <c r="D332" s="30"/>
    </row>
    <row r="333" spans="1:4" x14ac:dyDescent="0.2">
      <c r="A333">
        <v>2018</v>
      </c>
      <c r="B333" s="23">
        <v>2648</v>
      </c>
      <c r="C333" s="31">
        <v>1025231</v>
      </c>
      <c r="D333" s="30"/>
    </row>
    <row r="334" spans="1:4" x14ac:dyDescent="0.2">
      <c r="A334">
        <v>2018</v>
      </c>
      <c r="B334" s="23">
        <v>2649</v>
      </c>
      <c r="C334" s="31">
        <v>2168981</v>
      </c>
      <c r="D334" s="30"/>
    </row>
    <row r="335" spans="1:4" x14ac:dyDescent="0.2">
      <c r="A335">
        <v>2018</v>
      </c>
      <c r="B335" s="23">
        <v>2650</v>
      </c>
      <c r="C335" s="31">
        <v>503684</v>
      </c>
      <c r="D335" s="30"/>
    </row>
    <row r="336" spans="1:4" x14ac:dyDescent="0.2">
      <c r="A336">
        <v>2018</v>
      </c>
      <c r="B336" s="23">
        <v>2651</v>
      </c>
      <c r="C336" s="31">
        <v>7817323</v>
      </c>
      <c r="D336" s="30"/>
    </row>
    <row r="337" spans="1:4" x14ac:dyDescent="0.2">
      <c r="A337">
        <v>2018</v>
      </c>
      <c r="B337" s="23">
        <v>2652</v>
      </c>
      <c r="C337" s="31">
        <v>881342</v>
      </c>
      <c r="D337" s="30"/>
    </row>
    <row r="338" spans="1:4" x14ac:dyDescent="0.2">
      <c r="A338">
        <v>2018</v>
      </c>
      <c r="B338" s="23">
        <v>2653</v>
      </c>
      <c r="C338" s="31">
        <v>1306393</v>
      </c>
      <c r="D338" s="30"/>
    </row>
    <row r="339" spans="1:4" x14ac:dyDescent="0.2">
      <c r="A339">
        <v>2018</v>
      </c>
      <c r="B339" s="23">
        <v>2654</v>
      </c>
      <c r="C339" s="31">
        <v>8194570</v>
      </c>
      <c r="D339" s="30"/>
    </row>
    <row r="340" spans="1:4" x14ac:dyDescent="0.2">
      <c r="A340">
        <v>2018</v>
      </c>
      <c r="B340" s="23">
        <v>2655</v>
      </c>
      <c r="C340" s="31">
        <v>4579691</v>
      </c>
      <c r="D340" s="30"/>
    </row>
    <row r="341" spans="1:4" x14ac:dyDescent="0.2">
      <c r="A341">
        <v>2018</v>
      </c>
      <c r="B341" s="23">
        <v>2656</v>
      </c>
      <c r="C341" s="31">
        <v>4275722</v>
      </c>
      <c r="D341" s="30"/>
    </row>
    <row r="342" spans="1:4" x14ac:dyDescent="0.2">
      <c r="A342">
        <v>2018</v>
      </c>
      <c r="B342" s="23">
        <v>3032</v>
      </c>
      <c r="C342" s="31">
        <v>616391</v>
      </c>
      <c r="D342" s="30"/>
    </row>
    <row r="343" spans="1:4" x14ac:dyDescent="0.2">
      <c r="A343">
        <v>2018</v>
      </c>
      <c r="B343" s="23">
        <v>3041</v>
      </c>
      <c r="C343" s="31">
        <v>256397</v>
      </c>
      <c r="D343" s="30"/>
    </row>
    <row r="344" spans="1:4" x14ac:dyDescent="0.2">
      <c r="A344">
        <v>2018</v>
      </c>
      <c r="B344" s="23">
        <v>3042</v>
      </c>
      <c r="C344" s="31">
        <v>712999</v>
      </c>
      <c r="D344" s="30"/>
    </row>
    <row r="345" spans="1:4" x14ac:dyDescent="0.2">
      <c r="A345">
        <v>2018</v>
      </c>
      <c r="B345" s="23">
        <v>3043</v>
      </c>
      <c r="C345" s="31">
        <v>733491</v>
      </c>
      <c r="D345" s="30"/>
    </row>
    <row r="346" spans="1:4" x14ac:dyDescent="0.2">
      <c r="A346">
        <v>2018</v>
      </c>
      <c r="B346" s="23">
        <v>3044</v>
      </c>
      <c r="C346" s="31">
        <v>487870</v>
      </c>
      <c r="D346" s="30"/>
    </row>
    <row r="347" spans="1:4" x14ac:dyDescent="0.2">
      <c r="A347">
        <v>2018</v>
      </c>
      <c r="B347" s="23">
        <v>3048</v>
      </c>
      <c r="C347" s="31">
        <v>233812</v>
      </c>
      <c r="D347" s="30"/>
    </row>
    <row r="348" spans="1:4" x14ac:dyDescent="0.2">
      <c r="A348">
        <v>2018</v>
      </c>
      <c r="B348" s="23">
        <v>3077</v>
      </c>
      <c r="C348" s="31">
        <v>608062</v>
      </c>
      <c r="D348" s="30"/>
    </row>
    <row r="349" spans="1:4" x14ac:dyDescent="0.2">
      <c r="A349">
        <v>2018</v>
      </c>
      <c r="B349" s="23">
        <v>3078</v>
      </c>
      <c r="C349" s="31">
        <v>263177</v>
      </c>
      <c r="D349" s="30"/>
    </row>
    <row r="350" spans="1:4" x14ac:dyDescent="0.2">
      <c r="A350">
        <v>2018</v>
      </c>
      <c r="B350" s="23">
        <v>3079</v>
      </c>
      <c r="C350" s="31">
        <v>158237</v>
      </c>
      <c r="D350" s="30"/>
    </row>
    <row r="351" spans="1:4" x14ac:dyDescent="0.2">
      <c r="A351">
        <v>2018</v>
      </c>
      <c r="B351" s="23">
        <v>3081</v>
      </c>
      <c r="C351" s="31">
        <v>294390</v>
      </c>
      <c r="D351" s="30"/>
    </row>
    <row r="352" spans="1:4" x14ac:dyDescent="0.2">
      <c r="A352">
        <v>2018</v>
      </c>
      <c r="B352" s="23">
        <v>3082</v>
      </c>
      <c r="C352" s="31">
        <v>536673</v>
      </c>
      <c r="D352" s="30"/>
    </row>
    <row r="353" spans="1:4" x14ac:dyDescent="0.2">
      <c r="A353">
        <v>2018</v>
      </c>
      <c r="B353" s="23">
        <v>3101</v>
      </c>
      <c r="C353" s="31">
        <v>279688</v>
      </c>
      <c r="D353" s="30"/>
    </row>
    <row r="354" spans="1:4" x14ac:dyDescent="0.2">
      <c r="A354">
        <v>2018</v>
      </c>
      <c r="B354" s="23">
        <v>3105</v>
      </c>
      <c r="C354" s="31">
        <v>263334</v>
      </c>
      <c r="D354" s="30"/>
    </row>
    <row r="355" spans="1:4" x14ac:dyDescent="0.2">
      <c r="A355">
        <v>2018</v>
      </c>
      <c r="B355" s="23">
        <v>3106</v>
      </c>
      <c r="C355" s="31">
        <v>473196</v>
      </c>
      <c r="D355" s="30"/>
    </row>
    <row r="356" spans="1:4" x14ac:dyDescent="0.2">
      <c r="A356">
        <v>2018</v>
      </c>
      <c r="B356" s="23">
        <v>3107</v>
      </c>
      <c r="C356" s="31">
        <v>419396</v>
      </c>
      <c r="D356" s="30"/>
    </row>
    <row r="357" spans="1:4" x14ac:dyDescent="0.2">
      <c r="A357">
        <v>2018</v>
      </c>
      <c r="B357" s="23">
        <v>3126</v>
      </c>
      <c r="C357" s="31">
        <v>494467</v>
      </c>
      <c r="D357" s="30"/>
    </row>
    <row r="358" spans="1:4" x14ac:dyDescent="0.2">
      <c r="A358">
        <v>2018</v>
      </c>
      <c r="B358" s="23">
        <v>3128</v>
      </c>
      <c r="C358" s="31">
        <v>436379</v>
      </c>
      <c r="D358" s="30"/>
    </row>
    <row r="359" spans="1:4" x14ac:dyDescent="0.2">
      <c r="A359">
        <v>2018</v>
      </c>
      <c r="B359" s="23">
        <v>3178</v>
      </c>
      <c r="C359" s="31">
        <v>768307</v>
      </c>
      <c r="D359" s="30"/>
    </row>
    <row r="360" spans="1:4" x14ac:dyDescent="0.2">
      <c r="A360">
        <v>2018</v>
      </c>
      <c r="B360" s="23">
        <v>3179</v>
      </c>
      <c r="C360" s="31">
        <v>542330</v>
      </c>
      <c r="D360" s="30"/>
    </row>
    <row r="361" spans="1:4" x14ac:dyDescent="0.2">
      <c r="A361">
        <v>2018</v>
      </c>
      <c r="B361" s="23">
        <v>3201</v>
      </c>
      <c r="C361" s="31">
        <v>303542</v>
      </c>
      <c r="D361" s="30"/>
    </row>
    <row r="362" spans="1:4" x14ac:dyDescent="0.2">
      <c r="A362">
        <v>2018</v>
      </c>
      <c r="B362" s="23">
        <v>3202</v>
      </c>
      <c r="C362" s="31">
        <v>536797</v>
      </c>
      <c r="D362" s="30"/>
    </row>
    <row r="363" spans="1:4" x14ac:dyDescent="0.2">
      <c r="A363">
        <v>2018</v>
      </c>
      <c r="B363" s="23">
        <v>3204</v>
      </c>
      <c r="C363" s="31">
        <v>548020</v>
      </c>
      <c r="D363" s="30"/>
    </row>
    <row r="364" spans="1:4" x14ac:dyDescent="0.2">
      <c r="A364">
        <v>2018</v>
      </c>
      <c r="B364" s="23">
        <v>3206</v>
      </c>
      <c r="C364" s="31">
        <v>627672</v>
      </c>
      <c r="D364" s="30"/>
    </row>
    <row r="365" spans="1:4" x14ac:dyDescent="0.2">
      <c r="A365">
        <v>2018</v>
      </c>
      <c r="B365" s="23">
        <v>3208</v>
      </c>
      <c r="C365" s="31">
        <v>266348</v>
      </c>
      <c r="D365" s="30"/>
    </row>
    <row r="366" spans="1:4" x14ac:dyDescent="0.2">
      <c r="A366">
        <v>2018</v>
      </c>
      <c r="B366" s="23">
        <v>3226</v>
      </c>
      <c r="C366" s="31">
        <v>714479</v>
      </c>
      <c r="D366" s="30"/>
    </row>
    <row r="367" spans="1:4" x14ac:dyDescent="0.2">
      <c r="A367">
        <v>2018</v>
      </c>
      <c r="B367" s="23">
        <v>3229</v>
      </c>
      <c r="C367" s="31">
        <v>449711</v>
      </c>
      <c r="D367" s="30"/>
    </row>
    <row r="368" spans="1:4" x14ac:dyDescent="0.2">
      <c r="A368">
        <v>2018</v>
      </c>
      <c r="B368" s="23">
        <v>3231</v>
      </c>
      <c r="C368" s="31">
        <v>668024</v>
      </c>
      <c r="D368" s="30"/>
    </row>
    <row r="369" spans="1:4" x14ac:dyDescent="0.2">
      <c r="A369">
        <v>2018</v>
      </c>
      <c r="B369" s="23">
        <v>3232</v>
      </c>
      <c r="C369" s="31">
        <v>330575</v>
      </c>
      <c r="D369" s="30"/>
    </row>
    <row r="370" spans="1:4" x14ac:dyDescent="0.2">
      <c r="A370">
        <v>2018</v>
      </c>
      <c r="B370" s="23">
        <v>3276</v>
      </c>
      <c r="C370" s="31">
        <v>645787</v>
      </c>
      <c r="D370" s="29"/>
    </row>
    <row r="371" spans="1:4" x14ac:dyDescent="0.2">
      <c r="A371">
        <v>2018</v>
      </c>
      <c r="B371" s="23">
        <v>3277</v>
      </c>
      <c r="C371" s="31">
        <v>749737</v>
      </c>
      <c r="D371" s="30"/>
    </row>
    <row r="372" spans="1:4" x14ac:dyDescent="0.2">
      <c r="A372">
        <v>2018</v>
      </c>
      <c r="B372" s="23">
        <v>3278</v>
      </c>
      <c r="C372" s="31">
        <v>515101</v>
      </c>
      <c r="D372" s="30"/>
    </row>
    <row r="373" spans="1:4" x14ac:dyDescent="0.2">
      <c r="A373">
        <v>2018</v>
      </c>
      <c r="B373" s="23">
        <v>3280</v>
      </c>
      <c r="C373" s="31">
        <v>600410</v>
      </c>
      <c r="D373" s="30"/>
    </row>
    <row r="374" spans="1:4" x14ac:dyDescent="0.2">
      <c r="A374">
        <v>2018</v>
      </c>
      <c r="B374" s="23">
        <v>3281</v>
      </c>
      <c r="C374" s="31">
        <v>628568</v>
      </c>
      <c r="D374" s="30"/>
    </row>
    <row r="375" spans="1:4" x14ac:dyDescent="0.2">
      <c r="A375">
        <v>2018</v>
      </c>
      <c r="B375" s="23">
        <v>3284</v>
      </c>
      <c r="C375" s="31">
        <v>666642</v>
      </c>
      <c r="D375" s="30"/>
    </row>
    <row r="376" spans="1:4" x14ac:dyDescent="0.2">
      <c r="A376">
        <v>2018</v>
      </c>
      <c r="B376" s="23">
        <v>3303</v>
      </c>
      <c r="C376" s="31">
        <v>682741</v>
      </c>
      <c r="D376" s="30"/>
    </row>
    <row r="377" spans="1:4" x14ac:dyDescent="0.2">
      <c r="A377">
        <v>2018</v>
      </c>
      <c r="B377" s="23">
        <v>3304</v>
      </c>
      <c r="C377" s="31">
        <v>347343</v>
      </c>
      <c r="D377" s="30"/>
    </row>
    <row r="378" spans="1:4" x14ac:dyDescent="0.2">
      <c r="A378">
        <v>2018</v>
      </c>
      <c r="B378" s="23">
        <v>3305</v>
      </c>
      <c r="C378" s="31">
        <v>453211</v>
      </c>
      <c r="D378" s="30"/>
    </row>
    <row r="379" spans="1:4" x14ac:dyDescent="0.2">
      <c r="A379">
        <v>2018</v>
      </c>
      <c r="B379" s="23">
        <v>3306</v>
      </c>
      <c r="C379" s="31">
        <v>451327</v>
      </c>
      <c r="D379" s="30"/>
    </row>
    <row r="380" spans="1:4" x14ac:dyDescent="0.2">
      <c r="A380">
        <v>2018</v>
      </c>
      <c r="B380" s="23">
        <v>3307</v>
      </c>
      <c r="C380" s="31">
        <v>181775</v>
      </c>
      <c r="D380" s="30"/>
    </row>
    <row r="381" spans="1:4" x14ac:dyDescent="0.2">
      <c r="A381">
        <v>2018</v>
      </c>
      <c r="B381" s="23">
        <v>3308</v>
      </c>
      <c r="C381" s="31">
        <v>365287</v>
      </c>
      <c r="D381" s="30"/>
    </row>
    <row r="382" spans="1:4" x14ac:dyDescent="0.2">
      <c r="A382">
        <v>2018</v>
      </c>
      <c r="B382" s="23">
        <v>3309</v>
      </c>
      <c r="C382" s="31">
        <v>638190</v>
      </c>
      <c r="D382" s="30"/>
    </row>
    <row r="383" spans="1:4" x14ac:dyDescent="0.2">
      <c r="A383">
        <v>2018</v>
      </c>
      <c r="B383" s="23">
        <v>3326</v>
      </c>
      <c r="C383" s="31">
        <v>546496</v>
      </c>
      <c r="D383" s="30"/>
    </row>
    <row r="384" spans="1:4" x14ac:dyDescent="0.2">
      <c r="A384">
        <v>2018</v>
      </c>
      <c r="B384" s="23">
        <v>3327</v>
      </c>
      <c r="C384" s="31">
        <v>726734</v>
      </c>
      <c r="D384" s="30"/>
    </row>
    <row r="385" spans="1:4" x14ac:dyDescent="0.2">
      <c r="A385">
        <v>2018</v>
      </c>
      <c r="B385" s="23">
        <v>3328</v>
      </c>
      <c r="C385" s="31">
        <v>370762</v>
      </c>
      <c r="D385" s="30"/>
    </row>
    <row r="386" spans="1:4" x14ac:dyDescent="0.2">
      <c r="A386">
        <v>2018</v>
      </c>
      <c r="B386" s="23">
        <v>3329</v>
      </c>
      <c r="C386" s="31">
        <v>482332</v>
      </c>
      <c r="D386" s="30"/>
    </row>
    <row r="387" spans="1:4" x14ac:dyDescent="0.2">
      <c r="A387">
        <v>2018</v>
      </c>
      <c r="B387" s="23">
        <v>3330</v>
      </c>
      <c r="C387" s="31">
        <v>748726</v>
      </c>
      <c r="D387" s="30"/>
    </row>
    <row r="388" spans="1:4" x14ac:dyDescent="0.2">
      <c r="A388">
        <v>2018</v>
      </c>
      <c r="B388" s="23">
        <v>3331</v>
      </c>
      <c r="C388" s="31">
        <v>887532</v>
      </c>
      <c r="D388" s="30"/>
    </row>
    <row r="389" spans="1:4" x14ac:dyDescent="0.2">
      <c r="A389">
        <v>2018</v>
      </c>
      <c r="B389" s="23">
        <v>3332</v>
      </c>
      <c r="C389" s="31">
        <v>383727</v>
      </c>
      <c r="D389" s="30"/>
    </row>
    <row r="390" spans="1:4" x14ac:dyDescent="0.2">
      <c r="A390">
        <v>2018</v>
      </c>
      <c r="B390" s="23">
        <v>3452</v>
      </c>
      <c r="C390" s="31">
        <v>932365</v>
      </c>
      <c r="D390" s="30"/>
    </row>
    <row r="391" spans="1:4" x14ac:dyDescent="0.2">
      <c r="A391">
        <v>2018</v>
      </c>
      <c r="B391" s="23">
        <v>3453</v>
      </c>
      <c r="C391" s="31">
        <v>316813</v>
      </c>
      <c r="D391" s="30"/>
    </row>
    <row r="392" spans="1:4" x14ac:dyDescent="0.2">
      <c r="A392">
        <v>2018</v>
      </c>
      <c r="B392" s="23">
        <v>3458</v>
      </c>
      <c r="C392" s="31">
        <v>673450</v>
      </c>
      <c r="D392" s="30"/>
    </row>
    <row r="393" spans="1:4" x14ac:dyDescent="0.2">
      <c r="A393">
        <v>2018</v>
      </c>
      <c r="B393" s="23">
        <v>3460</v>
      </c>
      <c r="C393" s="31">
        <v>1010429</v>
      </c>
      <c r="D393" s="30"/>
    </row>
    <row r="394" spans="1:4" x14ac:dyDescent="0.2">
      <c r="A394">
        <v>2018</v>
      </c>
      <c r="B394" s="23">
        <v>3464</v>
      </c>
      <c r="C394" s="31">
        <v>269073</v>
      </c>
      <c r="D394" s="30"/>
    </row>
    <row r="395" spans="1:4" x14ac:dyDescent="0.2">
      <c r="A395">
        <v>2018</v>
      </c>
      <c r="B395" s="23">
        <v>3465</v>
      </c>
      <c r="C395" s="31">
        <v>195096</v>
      </c>
      <c r="D395" s="30"/>
    </row>
    <row r="396" spans="1:4" x14ac:dyDescent="0.2">
      <c r="A396">
        <v>2018</v>
      </c>
      <c r="B396" s="23">
        <v>3466</v>
      </c>
      <c r="C396" s="31">
        <v>522932</v>
      </c>
      <c r="D396" s="30"/>
    </row>
    <row r="397" spans="1:4" x14ac:dyDescent="0.2">
      <c r="A397">
        <v>2018</v>
      </c>
      <c r="B397" s="23">
        <v>3467</v>
      </c>
      <c r="C397" s="31">
        <v>263916</v>
      </c>
      <c r="D397" s="30"/>
    </row>
    <row r="398" spans="1:4" x14ac:dyDescent="0.2">
      <c r="A398">
        <v>2018</v>
      </c>
      <c r="B398" s="23">
        <v>3468</v>
      </c>
      <c r="C398" s="31">
        <v>57450</v>
      </c>
      <c r="D398" s="30"/>
    </row>
    <row r="399" spans="1:4" x14ac:dyDescent="0.2">
      <c r="A399">
        <v>2018</v>
      </c>
      <c r="B399" s="23">
        <v>3470</v>
      </c>
      <c r="C399" s="31">
        <v>249937</v>
      </c>
      <c r="D399" s="30"/>
    </row>
    <row r="400" spans="1:4" x14ac:dyDescent="0.2">
      <c r="A400">
        <v>2018</v>
      </c>
      <c r="B400" s="23">
        <v>3471</v>
      </c>
      <c r="C400" s="31">
        <v>219724</v>
      </c>
      <c r="D400" s="30"/>
    </row>
    <row r="401" spans="1:4" x14ac:dyDescent="0.2">
      <c r="A401">
        <v>2018</v>
      </c>
      <c r="B401" s="23">
        <v>3472</v>
      </c>
      <c r="C401" s="31">
        <v>199096</v>
      </c>
      <c r="D401" s="30"/>
    </row>
    <row r="402" spans="1:4" x14ac:dyDescent="0.2">
      <c r="A402">
        <v>2018</v>
      </c>
      <c r="B402" s="23">
        <v>3526</v>
      </c>
      <c r="C402" s="31">
        <v>486448</v>
      </c>
      <c r="D402" s="30"/>
    </row>
    <row r="403" spans="1:4" x14ac:dyDescent="0.2">
      <c r="A403">
        <v>2018</v>
      </c>
      <c r="B403" s="23">
        <v>3527</v>
      </c>
      <c r="C403" s="31">
        <v>409419</v>
      </c>
      <c r="D403" s="30"/>
    </row>
    <row r="404" spans="1:4" x14ac:dyDescent="0.2">
      <c r="A404">
        <v>2018</v>
      </c>
      <c r="B404" s="23">
        <v>3528</v>
      </c>
      <c r="C404" s="31">
        <v>359398</v>
      </c>
      <c r="D404" s="30"/>
    </row>
    <row r="405" spans="1:4" x14ac:dyDescent="0.2">
      <c r="A405">
        <v>2018</v>
      </c>
      <c r="B405" s="23">
        <v>3531</v>
      </c>
      <c r="C405" s="31">
        <v>587038</v>
      </c>
      <c r="D405" s="30"/>
    </row>
    <row r="406" spans="1:4" x14ac:dyDescent="0.2">
      <c r="A406">
        <v>2018</v>
      </c>
      <c r="B406" s="23">
        <v>3552</v>
      </c>
      <c r="C406" s="31">
        <v>182395</v>
      </c>
      <c r="D406" s="30"/>
    </row>
    <row r="407" spans="1:4" x14ac:dyDescent="0.2">
      <c r="A407">
        <v>2018</v>
      </c>
      <c r="B407" s="23">
        <v>3559</v>
      </c>
      <c r="C407" s="31">
        <v>426791</v>
      </c>
      <c r="D407" s="30"/>
    </row>
    <row r="408" spans="1:4" x14ac:dyDescent="0.2">
      <c r="A408">
        <v>2018</v>
      </c>
      <c r="B408" s="23">
        <v>3560</v>
      </c>
      <c r="C408" s="31">
        <v>563181</v>
      </c>
      <c r="D408" s="30"/>
    </row>
    <row r="409" spans="1:4" x14ac:dyDescent="0.2">
      <c r="A409">
        <v>2018</v>
      </c>
      <c r="B409" s="23">
        <v>3561</v>
      </c>
      <c r="C409" s="31">
        <v>597153</v>
      </c>
      <c r="D409" s="30"/>
    </row>
    <row r="410" spans="1:4" x14ac:dyDescent="0.2">
      <c r="A410">
        <v>2018</v>
      </c>
      <c r="B410" s="23">
        <v>3576</v>
      </c>
      <c r="C410" s="31">
        <v>244343</v>
      </c>
      <c r="D410" s="30"/>
    </row>
    <row r="411" spans="1:4" x14ac:dyDescent="0.2">
      <c r="A411">
        <v>2018</v>
      </c>
      <c r="B411" s="23">
        <v>3577</v>
      </c>
      <c r="C411" s="31">
        <v>554507</v>
      </c>
      <c r="D411" s="29"/>
    </row>
    <row r="412" spans="1:4" x14ac:dyDescent="0.2">
      <c r="A412">
        <v>2018</v>
      </c>
      <c r="B412" s="23">
        <v>3579</v>
      </c>
      <c r="C412" s="31">
        <v>276777</v>
      </c>
      <c r="D412" s="30"/>
    </row>
    <row r="413" spans="1:4" x14ac:dyDescent="0.2">
      <c r="A413">
        <v>2018</v>
      </c>
      <c r="B413" s="23">
        <v>3585</v>
      </c>
      <c r="C413" s="31">
        <v>632902</v>
      </c>
      <c r="D413" s="30"/>
    </row>
    <row r="414" spans="1:4" x14ac:dyDescent="0.2">
      <c r="A414">
        <v>2018</v>
      </c>
      <c r="B414" s="23">
        <v>3586</v>
      </c>
      <c r="C414" s="31">
        <v>701283</v>
      </c>
      <c r="D414" s="30"/>
    </row>
    <row r="415" spans="1:4" x14ac:dyDescent="0.2">
      <c r="A415">
        <v>2018</v>
      </c>
      <c r="B415" s="23">
        <v>3589</v>
      </c>
      <c r="C415" s="31">
        <v>534890</v>
      </c>
      <c r="D415" s="30"/>
    </row>
    <row r="416" spans="1:4" x14ac:dyDescent="0.2">
      <c r="A416">
        <v>2018</v>
      </c>
      <c r="B416" s="23">
        <v>3591</v>
      </c>
      <c r="C416" s="31">
        <v>251936</v>
      </c>
      <c r="D416" s="30"/>
    </row>
    <row r="417" spans="1:4" x14ac:dyDescent="0.2">
      <c r="A417">
        <v>2018</v>
      </c>
      <c r="B417" s="23">
        <v>3592</v>
      </c>
      <c r="C417" s="31">
        <v>580626</v>
      </c>
      <c r="D417" s="30"/>
    </row>
    <row r="418" spans="1:4" x14ac:dyDescent="0.2">
      <c r="A418">
        <v>2018</v>
      </c>
      <c r="B418" s="23">
        <v>3593</v>
      </c>
      <c r="C418" s="31">
        <v>1056319</v>
      </c>
      <c r="D418" s="30"/>
    </row>
    <row r="419" spans="1:4" x14ac:dyDescent="0.2">
      <c r="A419">
        <v>2018</v>
      </c>
      <c r="B419" s="23">
        <v>3594</v>
      </c>
      <c r="C419" s="31">
        <v>256723</v>
      </c>
      <c r="D419" s="30"/>
    </row>
    <row r="420" spans="1:4" x14ac:dyDescent="0.2">
      <c r="A420">
        <v>2018</v>
      </c>
      <c r="B420" s="23">
        <v>3626</v>
      </c>
      <c r="C420" s="31">
        <v>1168485</v>
      </c>
      <c r="D420" s="30"/>
    </row>
    <row r="421" spans="1:4" x14ac:dyDescent="0.2">
      <c r="A421">
        <v>2018</v>
      </c>
      <c r="B421" s="23">
        <v>3629</v>
      </c>
      <c r="C421" s="31">
        <v>726163</v>
      </c>
      <c r="D421" s="30"/>
    </row>
    <row r="422" spans="1:4" x14ac:dyDescent="0.2">
      <c r="A422">
        <v>2018</v>
      </c>
      <c r="B422" s="23">
        <v>3630</v>
      </c>
      <c r="C422" s="31">
        <v>1182149</v>
      </c>
      <c r="D422" s="30"/>
    </row>
    <row r="423" spans="1:4" x14ac:dyDescent="0.2">
      <c r="A423">
        <v>2018</v>
      </c>
      <c r="B423" s="23">
        <v>3631</v>
      </c>
      <c r="C423" s="31">
        <v>991295</v>
      </c>
      <c r="D423" s="30"/>
    </row>
    <row r="424" spans="1:4" x14ac:dyDescent="0.2">
      <c r="A424">
        <v>2018</v>
      </c>
      <c r="B424" s="23">
        <v>3632</v>
      </c>
      <c r="C424" s="31">
        <v>1769765</v>
      </c>
      <c r="D424" s="30"/>
    </row>
    <row r="425" spans="1:4" x14ac:dyDescent="0.2">
      <c r="A425">
        <v>2018</v>
      </c>
      <c r="B425" s="23">
        <v>3635</v>
      </c>
      <c r="C425" s="31">
        <v>1188987</v>
      </c>
      <c r="D425" s="30"/>
    </row>
    <row r="426" spans="1:4" x14ac:dyDescent="0.2">
      <c r="A426">
        <v>2018</v>
      </c>
      <c r="B426" s="23">
        <v>3636</v>
      </c>
      <c r="C426" s="31">
        <v>978849</v>
      </c>
      <c r="D426" s="30"/>
    </row>
    <row r="427" spans="1:4" x14ac:dyDescent="0.2">
      <c r="A427">
        <v>2018</v>
      </c>
      <c r="B427" s="23">
        <v>3658</v>
      </c>
      <c r="C427" s="31">
        <v>998246</v>
      </c>
      <c r="D427" s="30"/>
    </row>
    <row r="428" spans="1:4" x14ac:dyDescent="0.2">
      <c r="A428">
        <v>2018</v>
      </c>
      <c r="B428" s="23">
        <v>3679</v>
      </c>
      <c r="C428" s="31">
        <v>1070457</v>
      </c>
      <c r="D428" s="30"/>
    </row>
    <row r="429" spans="1:4" x14ac:dyDescent="0.2">
      <c r="A429">
        <v>2018</v>
      </c>
      <c r="B429" s="23">
        <v>3702</v>
      </c>
      <c r="C429" s="31">
        <v>619367</v>
      </c>
      <c r="D429" s="30"/>
    </row>
    <row r="430" spans="1:4" x14ac:dyDescent="0.2">
      <c r="A430">
        <v>2018</v>
      </c>
      <c r="B430" s="23">
        <v>3709</v>
      </c>
      <c r="C430" s="31">
        <v>475406</v>
      </c>
      <c r="D430" s="30"/>
    </row>
    <row r="431" spans="1:4" x14ac:dyDescent="0.2">
      <c r="A431">
        <v>2018</v>
      </c>
      <c r="B431" s="23">
        <v>3805</v>
      </c>
      <c r="C431" s="31">
        <v>370200</v>
      </c>
      <c r="D431" s="30"/>
    </row>
    <row r="432" spans="1:4" x14ac:dyDescent="0.2">
      <c r="A432">
        <v>2018</v>
      </c>
      <c r="B432" s="23">
        <v>3821</v>
      </c>
      <c r="C432" s="31">
        <v>584103</v>
      </c>
      <c r="D432" s="30"/>
    </row>
    <row r="433" spans="1:4" x14ac:dyDescent="0.2">
      <c r="A433">
        <v>2018</v>
      </c>
      <c r="B433" s="23">
        <v>3822</v>
      </c>
      <c r="C433" s="31">
        <v>216112</v>
      </c>
      <c r="D433" s="30"/>
    </row>
    <row r="434" spans="1:4" x14ac:dyDescent="0.2">
      <c r="A434">
        <v>2018</v>
      </c>
      <c r="B434" s="23">
        <v>3854</v>
      </c>
      <c r="C434" s="31">
        <v>1187189</v>
      </c>
      <c r="D434" s="30"/>
    </row>
    <row r="435" spans="1:4" x14ac:dyDescent="0.2">
      <c r="A435">
        <v>2018</v>
      </c>
      <c r="B435" s="23">
        <v>3855</v>
      </c>
      <c r="C435" s="31">
        <v>656417</v>
      </c>
      <c r="D435" s="30"/>
    </row>
    <row r="436" spans="1:4" x14ac:dyDescent="0.2">
      <c r="A436">
        <v>2018</v>
      </c>
      <c r="B436" s="23">
        <v>3856</v>
      </c>
      <c r="C436" s="31">
        <v>122509</v>
      </c>
      <c r="D436" s="30"/>
    </row>
    <row r="437" spans="1:4" x14ac:dyDescent="0.2">
      <c r="A437">
        <v>2018</v>
      </c>
      <c r="B437" s="23">
        <v>3927</v>
      </c>
      <c r="C437" s="31">
        <v>729723</v>
      </c>
      <c r="D437" s="30"/>
    </row>
    <row r="438" spans="1:4" x14ac:dyDescent="0.2">
      <c r="A438">
        <v>2018</v>
      </c>
      <c r="B438" s="23">
        <v>3928</v>
      </c>
      <c r="C438" s="31">
        <v>364153</v>
      </c>
      <c r="D438" s="30"/>
    </row>
    <row r="439" spans="1:4" x14ac:dyDescent="0.2">
      <c r="A439">
        <v>2018</v>
      </c>
      <c r="B439" s="23">
        <v>3929</v>
      </c>
      <c r="C439" s="31">
        <v>680280</v>
      </c>
      <c r="D439" s="30"/>
    </row>
    <row r="440" spans="1:4" x14ac:dyDescent="0.2">
      <c r="A440">
        <v>2018</v>
      </c>
      <c r="B440" s="23">
        <v>3930</v>
      </c>
      <c r="C440" s="31">
        <v>608599</v>
      </c>
      <c r="D440" s="30"/>
    </row>
    <row r="441" spans="1:4" x14ac:dyDescent="0.2">
      <c r="A441">
        <v>2018</v>
      </c>
      <c r="B441" s="23">
        <v>3931</v>
      </c>
      <c r="C441" s="31">
        <v>817281</v>
      </c>
      <c r="D441" s="30"/>
    </row>
    <row r="442" spans="1:4" x14ac:dyDescent="0.2">
      <c r="A442">
        <v>2018</v>
      </c>
      <c r="B442" s="23">
        <v>3932</v>
      </c>
      <c r="C442" s="31">
        <v>603142</v>
      </c>
      <c r="D442" s="30"/>
    </row>
    <row r="443" spans="1:4" x14ac:dyDescent="0.2">
      <c r="A443">
        <v>2018</v>
      </c>
      <c r="B443" s="23">
        <v>3934</v>
      </c>
      <c r="C443" s="31">
        <v>112550</v>
      </c>
      <c r="D443" s="30"/>
    </row>
    <row r="444" spans="1:4" x14ac:dyDescent="0.2">
      <c r="A444">
        <v>2018</v>
      </c>
      <c r="B444" s="23">
        <v>3979</v>
      </c>
      <c r="C444" s="31">
        <v>400456</v>
      </c>
      <c r="D444" s="30"/>
    </row>
    <row r="445" spans="1:4" x14ac:dyDescent="0.2">
      <c r="A445">
        <v>2018</v>
      </c>
      <c r="B445" s="23">
        <v>3980</v>
      </c>
      <c r="C445" s="31">
        <v>361826</v>
      </c>
      <c r="D445" s="30"/>
    </row>
    <row r="446" spans="1:4" x14ac:dyDescent="0.2">
      <c r="A446">
        <v>2018</v>
      </c>
      <c r="B446" s="23">
        <v>3981</v>
      </c>
      <c r="C446" s="31">
        <v>274361</v>
      </c>
      <c r="D446" s="30"/>
    </row>
    <row r="447" spans="1:4" x14ac:dyDescent="0.2">
      <c r="A447">
        <v>2018</v>
      </c>
      <c r="B447" s="23">
        <v>3982</v>
      </c>
      <c r="C447" s="31">
        <v>136299</v>
      </c>
      <c r="D447" s="30"/>
    </row>
    <row r="448" spans="1:4" x14ac:dyDescent="0.2">
      <c r="A448">
        <v>2018</v>
      </c>
      <c r="B448" s="23">
        <v>3983</v>
      </c>
      <c r="C448" s="31">
        <v>286638</v>
      </c>
      <c r="D448" s="30"/>
    </row>
    <row r="449" spans="1:4" x14ac:dyDescent="0.2">
      <c r="A449">
        <v>2018</v>
      </c>
      <c r="B449" s="23">
        <v>3986</v>
      </c>
      <c r="C449" s="31">
        <v>308816</v>
      </c>
      <c r="D449" s="30"/>
    </row>
    <row r="450" spans="1:4" x14ac:dyDescent="0.2">
      <c r="A450">
        <v>2018</v>
      </c>
      <c r="B450" s="23">
        <v>3987</v>
      </c>
      <c r="C450" s="31">
        <v>208709</v>
      </c>
      <c r="D450" s="30"/>
    </row>
    <row r="451" spans="1:4" x14ac:dyDescent="0.2">
      <c r="A451">
        <v>2018</v>
      </c>
      <c r="B451" s="23">
        <v>3988</v>
      </c>
      <c r="C451" s="31">
        <v>279135</v>
      </c>
      <c r="D451" s="30"/>
    </row>
    <row r="452" spans="1:4" x14ac:dyDescent="0.2">
      <c r="A452">
        <v>2018</v>
      </c>
      <c r="B452" s="23">
        <v>3989</v>
      </c>
      <c r="C452" s="31">
        <v>207073</v>
      </c>
      <c r="D452" s="29"/>
    </row>
    <row r="453" spans="1:4" x14ac:dyDescent="0.2">
      <c r="A453">
        <v>2018</v>
      </c>
      <c r="B453" s="23">
        <v>3990</v>
      </c>
      <c r="C453" s="31">
        <v>298571</v>
      </c>
      <c r="D453" s="30"/>
    </row>
    <row r="454" spans="1:4" x14ac:dyDescent="0.2">
      <c r="A454">
        <v>2018</v>
      </c>
      <c r="B454" s="23">
        <v>3991</v>
      </c>
      <c r="C454" s="31">
        <v>368486</v>
      </c>
      <c r="D454" s="30"/>
    </row>
    <row r="455" spans="1:4" x14ac:dyDescent="0.2">
      <c r="A455">
        <v>2018</v>
      </c>
      <c r="B455" s="23">
        <v>3992</v>
      </c>
      <c r="C455" s="31">
        <v>310199</v>
      </c>
      <c r="D455" s="30"/>
    </row>
    <row r="456" spans="1:4" x14ac:dyDescent="0.2">
      <c r="A456">
        <v>2018</v>
      </c>
      <c r="B456" s="23">
        <v>3994</v>
      </c>
      <c r="C456" s="31">
        <v>595153</v>
      </c>
      <c r="D456" s="30"/>
    </row>
    <row r="457" spans="1:4" x14ac:dyDescent="0.2">
      <c r="A457">
        <v>2018</v>
      </c>
      <c r="B457" s="23">
        <v>3995</v>
      </c>
      <c r="C457" s="31">
        <v>291541</v>
      </c>
      <c r="D457" s="30"/>
    </row>
    <row r="458" spans="1:4" x14ac:dyDescent="0.2">
      <c r="A458">
        <v>2018</v>
      </c>
      <c r="B458" s="23">
        <v>3996</v>
      </c>
      <c r="C458" s="31">
        <v>233603</v>
      </c>
      <c r="D458" s="30"/>
    </row>
    <row r="459" spans="1:4" x14ac:dyDescent="0.2">
      <c r="A459">
        <v>2018</v>
      </c>
      <c r="B459" s="23">
        <v>3997</v>
      </c>
      <c r="C459" s="31">
        <v>260536</v>
      </c>
      <c r="D459" s="30"/>
    </row>
    <row r="460" spans="1:4" x14ac:dyDescent="0.2">
      <c r="A460">
        <v>2018</v>
      </c>
      <c r="B460" s="23">
        <v>3998</v>
      </c>
      <c r="C460" s="31">
        <v>254551</v>
      </c>
      <c r="D460" s="30"/>
    </row>
    <row r="461" spans="1:4" x14ac:dyDescent="0.2">
      <c r="A461">
        <v>2018</v>
      </c>
      <c r="B461" s="23">
        <v>3999</v>
      </c>
      <c r="C461" s="31">
        <v>280521</v>
      </c>
      <c r="D461" s="30"/>
    </row>
    <row r="462" spans="1:4" x14ac:dyDescent="0.2">
      <c r="A462">
        <v>2018</v>
      </c>
      <c r="B462" s="23">
        <v>4004</v>
      </c>
      <c r="C462" s="31">
        <v>136383</v>
      </c>
      <c r="D462" s="30"/>
    </row>
    <row r="463" spans="1:4" x14ac:dyDescent="0.2">
      <c r="A463">
        <v>2018</v>
      </c>
      <c r="B463" s="23">
        <v>4007</v>
      </c>
      <c r="C463" s="31">
        <v>202569</v>
      </c>
      <c r="D463" s="30"/>
    </row>
    <row r="464" spans="1:4" x14ac:dyDescent="0.2">
      <c r="A464">
        <v>2018</v>
      </c>
      <c r="B464" s="23">
        <v>4008</v>
      </c>
      <c r="C464" s="31">
        <v>72489</v>
      </c>
      <c r="D464" s="30"/>
    </row>
    <row r="465" spans="1:4" x14ac:dyDescent="0.2">
      <c r="A465">
        <v>2018</v>
      </c>
      <c r="B465" s="23">
        <v>4009</v>
      </c>
      <c r="C465" s="31">
        <v>1215566</v>
      </c>
      <c r="D465" s="30"/>
    </row>
    <row r="466" spans="1:4" x14ac:dyDescent="0.2">
      <c r="A466">
        <v>2018</v>
      </c>
      <c r="B466" s="23">
        <v>4010</v>
      </c>
      <c r="C466" s="31">
        <v>112106</v>
      </c>
      <c r="D466" s="30"/>
    </row>
    <row r="467" spans="1:4" x14ac:dyDescent="0.2">
      <c r="A467">
        <v>2018</v>
      </c>
      <c r="B467" s="23">
        <v>4014</v>
      </c>
      <c r="C467" s="31">
        <v>555449</v>
      </c>
      <c r="D467" s="30"/>
    </row>
    <row r="468" spans="1:4" x14ac:dyDescent="0.2">
      <c r="A468">
        <v>2018</v>
      </c>
      <c r="B468" s="23">
        <v>4015</v>
      </c>
      <c r="C468" s="31">
        <v>355521</v>
      </c>
      <c r="D468" s="30"/>
    </row>
    <row r="469" spans="1:4" x14ac:dyDescent="0.2">
      <c r="A469">
        <v>2018</v>
      </c>
      <c r="B469" s="23">
        <v>4020</v>
      </c>
      <c r="C469" s="31">
        <v>668869</v>
      </c>
      <c r="D469" s="30"/>
    </row>
    <row r="470" spans="1:4" x14ac:dyDescent="0.2">
      <c r="A470">
        <v>2018</v>
      </c>
      <c r="B470" s="23">
        <v>4021</v>
      </c>
      <c r="C470" s="31">
        <v>946003</v>
      </c>
      <c r="D470" s="30"/>
    </row>
    <row r="471" spans="1:4" x14ac:dyDescent="0.2">
      <c r="A471">
        <v>2018</v>
      </c>
      <c r="B471" s="23">
        <v>4022</v>
      </c>
      <c r="C471" s="31">
        <v>690481</v>
      </c>
      <c r="D471" s="30"/>
    </row>
    <row r="472" spans="1:4" x14ac:dyDescent="0.2">
      <c r="A472">
        <v>2018</v>
      </c>
      <c r="B472" s="23">
        <v>4027</v>
      </c>
      <c r="C472" s="31">
        <v>693984</v>
      </c>
      <c r="D472" s="30"/>
    </row>
    <row r="473" spans="1:4" x14ac:dyDescent="0.2">
      <c r="A473">
        <v>2018</v>
      </c>
      <c r="B473" s="23">
        <v>4028</v>
      </c>
      <c r="C473" s="31">
        <v>125143</v>
      </c>
      <c r="D473" s="30"/>
    </row>
    <row r="474" spans="1:4" x14ac:dyDescent="0.2">
      <c r="A474">
        <v>2018</v>
      </c>
      <c r="B474" s="23">
        <v>4029</v>
      </c>
      <c r="C474" s="31">
        <v>765125</v>
      </c>
      <c r="D474" s="30"/>
    </row>
    <row r="475" spans="1:4" x14ac:dyDescent="0.2">
      <c r="A475">
        <v>2018</v>
      </c>
      <c r="B475" s="23">
        <v>4030</v>
      </c>
      <c r="C475" s="31">
        <v>449436</v>
      </c>
      <c r="D475" s="30"/>
    </row>
    <row r="476" spans="1:4" x14ac:dyDescent="0.2">
      <c r="A476">
        <v>2018</v>
      </c>
      <c r="B476" s="23">
        <v>4031</v>
      </c>
      <c r="C476" s="31">
        <v>410583</v>
      </c>
      <c r="D476" s="30"/>
    </row>
    <row r="477" spans="1:4" x14ac:dyDescent="0.2">
      <c r="A477">
        <v>2018</v>
      </c>
      <c r="B477" s="23">
        <v>4034</v>
      </c>
      <c r="C477" s="31">
        <v>357410</v>
      </c>
      <c r="D477" s="30"/>
    </row>
    <row r="478" spans="1:4" x14ac:dyDescent="0.2">
      <c r="A478">
        <v>2018</v>
      </c>
      <c r="B478" s="23">
        <v>4036</v>
      </c>
      <c r="C478" s="31">
        <v>542000</v>
      </c>
      <c r="D478" s="30"/>
    </row>
    <row r="479" spans="1:4" x14ac:dyDescent="0.2">
      <c r="A479">
        <v>2018</v>
      </c>
      <c r="B479" s="23">
        <v>4101</v>
      </c>
      <c r="C479" s="31">
        <v>389773</v>
      </c>
      <c r="D479" s="30"/>
    </row>
    <row r="480" spans="1:4" x14ac:dyDescent="0.2">
      <c r="A480">
        <v>2018</v>
      </c>
      <c r="B480" s="23">
        <v>4104</v>
      </c>
      <c r="C480" s="31">
        <v>319551</v>
      </c>
      <c r="D480" s="30"/>
    </row>
    <row r="481" spans="1:4" x14ac:dyDescent="0.2">
      <c r="A481">
        <v>2018</v>
      </c>
      <c r="B481" s="23">
        <v>4124</v>
      </c>
      <c r="C481" s="31">
        <v>31813</v>
      </c>
      <c r="D481" s="30"/>
    </row>
    <row r="482" spans="1:4" x14ac:dyDescent="0.2">
      <c r="A482">
        <v>2018</v>
      </c>
      <c r="B482" s="23">
        <v>4126</v>
      </c>
      <c r="C482" s="31">
        <v>1086182</v>
      </c>
      <c r="D482" s="30"/>
    </row>
    <row r="483" spans="1:4" x14ac:dyDescent="0.2">
      <c r="A483">
        <v>2018</v>
      </c>
      <c r="B483" s="23">
        <v>4128</v>
      </c>
      <c r="C483" s="31">
        <v>690603</v>
      </c>
      <c r="D483" s="30"/>
    </row>
    <row r="484" spans="1:4" x14ac:dyDescent="0.2">
      <c r="A484">
        <v>2018</v>
      </c>
      <c r="B484" s="23">
        <v>4130</v>
      </c>
      <c r="C484" s="31">
        <v>582754</v>
      </c>
      <c r="D484" s="30"/>
    </row>
    <row r="485" spans="1:4" x14ac:dyDescent="0.2">
      <c r="A485">
        <v>2018</v>
      </c>
      <c r="B485" s="23">
        <v>4132</v>
      </c>
      <c r="C485" s="31">
        <v>267361</v>
      </c>
      <c r="D485" s="30"/>
    </row>
    <row r="486" spans="1:4" x14ac:dyDescent="0.2">
      <c r="A486">
        <v>2018</v>
      </c>
      <c r="B486" s="23">
        <v>4134</v>
      </c>
      <c r="C486" s="31">
        <v>270729</v>
      </c>
      <c r="D486" s="30"/>
    </row>
    <row r="487" spans="1:4" x14ac:dyDescent="0.2">
      <c r="A487">
        <v>2018</v>
      </c>
      <c r="B487" s="23">
        <v>4135</v>
      </c>
      <c r="C487" s="31">
        <v>218657</v>
      </c>
      <c r="D487" s="30"/>
    </row>
    <row r="488" spans="1:4" x14ac:dyDescent="0.2">
      <c r="A488">
        <v>2018</v>
      </c>
      <c r="B488" s="23">
        <v>4137</v>
      </c>
      <c r="C488" s="31">
        <v>312069</v>
      </c>
      <c r="D488" s="30"/>
    </row>
    <row r="489" spans="1:4" x14ac:dyDescent="0.2">
      <c r="A489">
        <v>2018</v>
      </c>
      <c r="B489" s="23">
        <v>4142</v>
      </c>
      <c r="C489" s="31">
        <v>985517</v>
      </c>
      <c r="D489" s="30"/>
    </row>
    <row r="490" spans="1:4" x14ac:dyDescent="0.2">
      <c r="A490">
        <v>2018</v>
      </c>
      <c r="B490" s="23">
        <v>4143</v>
      </c>
      <c r="C490" s="31">
        <v>767977</v>
      </c>
      <c r="D490" s="30"/>
    </row>
    <row r="491" spans="1:4" x14ac:dyDescent="0.2">
      <c r="A491">
        <v>2018</v>
      </c>
      <c r="B491" s="23">
        <v>4144</v>
      </c>
      <c r="C491" s="31">
        <v>478295</v>
      </c>
      <c r="D491" s="30"/>
    </row>
    <row r="492" spans="1:4" x14ac:dyDescent="0.2">
      <c r="A492">
        <v>2018</v>
      </c>
      <c r="B492" s="23">
        <v>4149</v>
      </c>
      <c r="C492" s="31">
        <v>271704</v>
      </c>
      <c r="D492" s="30"/>
    </row>
    <row r="493" spans="1:4" x14ac:dyDescent="0.2">
      <c r="A493">
        <v>2018</v>
      </c>
      <c r="B493" s="23">
        <v>4151</v>
      </c>
      <c r="C493" s="31">
        <v>679163</v>
      </c>
      <c r="D493" s="29"/>
    </row>
    <row r="494" spans="1:4" x14ac:dyDescent="0.2">
      <c r="A494">
        <v>2018</v>
      </c>
      <c r="B494" s="23">
        <v>4152</v>
      </c>
      <c r="C494" s="31">
        <v>632585</v>
      </c>
      <c r="D494" s="30"/>
    </row>
    <row r="495" spans="1:4" x14ac:dyDescent="0.2">
      <c r="A495">
        <v>2018</v>
      </c>
      <c r="B495" s="23">
        <v>4153</v>
      </c>
      <c r="C495" s="31">
        <v>707518</v>
      </c>
      <c r="D495" s="30"/>
    </row>
    <row r="496" spans="1:4" x14ac:dyDescent="0.2">
      <c r="A496">
        <v>2018</v>
      </c>
      <c r="B496" s="23">
        <v>4154</v>
      </c>
      <c r="C496" s="31">
        <v>390480</v>
      </c>
      <c r="D496" s="30"/>
    </row>
    <row r="497" spans="1:4" x14ac:dyDescent="0.2">
      <c r="A497">
        <v>2018</v>
      </c>
      <c r="B497" s="23">
        <v>4155</v>
      </c>
      <c r="C497" s="31">
        <v>537876</v>
      </c>
      <c r="D497" s="30"/>
    </row>
    <row r="498" spans="1:4" x14ac:dyDescent="0.2">
      <c r="A498">
        <v>2018</v>
      </c>
      <c r="B498" s="23">
        <v>4178</v>
      </c>
      <c r="C498" s="31">
        <v>518088</v>
      </c>
      <c r="D498" s="30"/>
    </row>
    <row r="499" spans="1:4" x14ac:dyDescent="0.2">
      <c r="A499">
        <v>2018</v>
      </c>
      <c r="B499" s="23">
        <v>4180</v>
      </c>
      <c r="C499" s="31">
        <v>1037664</v>
      </c>
      <c r="D499" s="30"/>
    </row>
    <row r="500" spans="1:4" x14ac:dyDescent="0.2">
      <c r="A500">
        <v>2018</v>
      </c>
      <c r="B500" s="23">
        <v>4183</v>
      </c>
      <c r="C500" s="31">
        <v>669739</v>
      </c>
      <c r="D500" s="30"/>
    </row>
    <row r="501" spans="1:4" x14ac:dyDescent="0.2">
      <c r="A501">
        <v>2018</v>
      </c>
      <c r="B501" s="23">
        <v>4184</v>
      </c>
      <c r="C501" s="31">
        <v>630076</v>
      </c>
      <c r="D501" s="30"/>
    </row>
    <row r="502" spans="1:4" x14ac:dyDescent="0.2">
      <c r="A502">
        <v>2018</v>
      </c>
      <c r="B502" s="23">
        <v>4202</v>
      </c>
      <c r="C502" s="31">
        <v>423630</v>
      </c>
      <c r="D502" s="30"/>
    </row>
    <row r="503" spans="1:4" x14ac:dyDescent="0.2">
      <c r="A503">
        <v>2018</v>
      </c>
      <c r="B503" s="23">
        <v>4203</v>
      </c>
      <c r="C503" s="31">
        <v>443107</v>
      </c>
      <c r="D503" s="30"/>
    </row>
    <row r="504" spans="1:4" x14ac:dyDescent="0.2">
      <c r="A504">
        <v>2018</v>
      </c>
      <c r="B504" s="23">
        <v>4205</v>
      </c>
      <c r="C504" s="31">
        <v>309915</v>
      </c>
      <c r="D504" s="30"/>
    </row>
    <row r="505" spans="1:4" x14ac:dyDescent="0.2">
      <c r="A505">
        <v>2018</v>
      </c>
      <c r="B505" s="23">
        <v>4206</v>
      </c>
      <c r="C505" s="31">
        <v>295700</v>
      </c>
      <c r="D505" s="30"/>
    </row>
    <row r="506" spans="1:4" x14ac:dyDescent="0.2">
      <c r="A506">
        <v>2018</v>
      </c>
      <c r="B506" s="23">
        <v>4208</v>
      </c>
      <c r="C506" s="31">
        <v>1566209</v>
      </c>
      <c r="D506" s="30"/>
    </row>
    <row r="507" spans="1:4" x14ac:dyDescent="0.2">
      <c r="A507">
        <v>2018</v>
      </c>
      <c r="B507" s="23">
        <v>4258</v>
      </c>
      <c r="C507" s="31">
        <v>530797</v>
      </c>
      <c r="D507" s="30"/>
    </row>
    <row r="508" spans="1:4" x14ac:dyDescent="0.2">
      <c r="A508">
        <v>2018</v>
      </c>
      <c r="B508" s="23">
        <v>4259</v>
      </c>
      <c r="C508" s="31">
        <v>500775</v>
      </c>
      <c r="D508" s="30"/>
    </row>
    <row r="509" spans="1:4" x14ac:dyDescent="0.2">
      <c r="A509">
        <v>2018</v>
      </c>
      <c r="B509" s="23">
        <v>4260</v>
      </c>
      <c r="C509" s="31">
        <v>774267</v>
      </c>
      <c r="D509" s="30"/>
    </row>
    <row r="510" spans="1:4" x14ac:dyDescent="0.2">
      <c r="A510">
        <v>2018</v>
      </c>
      <c r="B510" s="23">
        <v>4301</v>
      </c>
      <c r="C510" s="31">
        <v>1565507</v>
      </c>
      <c r="D510" s="30"/>
    </row>
    <row r="511" spans="1:4" x14ac:dyDescent="0.2">
      <c r="A511">
        <v>2018</v>
      </c>
      <c r="B511" s="23">
        <v>4351</v>
      </c>
      <c r="C511" s="31">
        <v>2306732</v>
      </c>
      <c r="D511" s="30"/>
    </row>
    <row r="512" spans="1:4" x14ac:dyDescent="0.2">
      <c r="A512">
        <v>2018</v>
      </c>
      <c r="B512" s="23">
        <v>4353</v>
      </c>
      <c r="C512" s="31">
        <v>1343909</v>
      </c>
      <c r="D512" s="30"/>
    </row>
    <row r="513" spans="1:4" x14ac:dyDescent="0.2">
      <c r="A513">
        <v>2018</v>
      </c>
      <c r="B513" s="23">
        <v>4355</v>
      </c>
      <c r="C513" s="31">
        <v>2271705</v>
      </c>
      <c r="D513" s="30"/>
    </row>
    <row r="514" spans="1:4" x14ac:dyDescent="0.2">
      <c r="A514">
        <v>2018</v>
      </c>
      <c r="B514" s="23">
        <v>4356</v>
      </c>
      <c r="C514" s="31">
        <v>3755402</v>
      </c>
      <c r="D514" s="30"/>
    </row>
    <row r="515" spans="1:4" x14ac:dyDescent="0.2">
      <c r="A515">
        <v>2018</v>
      </c>
      <c r="B515" s="23">
        <v>4357</v>
      </c>
      <c r="C515" s="31">
        <v>1634412</v>
      </c>
      <c r="D515" s="30"/>
    </row>
    <row r="516" spans="1:4" x14ac:dyDescent="0.2">
      <c r="A516">
        <v>2018</v>
      </c>
      <c r="B516" s="23">
        <v>4358</v>
      </c>
      <c r="C516" s="31">
        <v>1253950</v>
      </c>
      <c r="D516" s="30"/>
    </row>
    <row r="517" spans="1:4" x14ac:dyDescent="0.2">
      <c r="A517">
        <v>2018</v>
      </c>
      <c r="B517" s="23">
        <v>4360</v>
      </c>
      <c r="C517" s="31">
        <v>1348613</v>
      </c>
      <c r="D517" s="30"/>
    </row>
    <row r="518" spans="1:4" x14ac:dyDescent="0.2">
      <c r="A518">
        <v>2018</v>
      </c>
      <c r="B518" s="23">
        <v>4361</v>
      </c>
      <c r="C518" s="31">
        <v>2326545</v>
      </c>
      <c r="D518" s="30"/>
    </row>
    <row r="519" spans="1:4" x14ac:dyDescent="0.2">
      <c r="A519">
        <v>2018</v>
      </c>
      <c r="B519" s="23">
        <v>4363</v>
      </c>
      <c r="C519" s="31">
        <v>1369229</v>
      </c>
      <c r="D519" s="30"/>
    </row>
    <row r="520" spans="1:4" x14ac:dyDescent="0.2">
      <c r="A520">
        <v>2018</v>
      </c>
      <c r="B520" s="23">
        <v>4364</v>
      </c>
      <c r="C520" s="31">
        <v>1469016</v>
      </c>
      <c r="D520" s="30"/>
    </row>
    <row r="521" spans="1:4" x14ac:dyDescent="0.2">
      <c r="A521">
        <v>2018</v>
      </c>
      <c r="B521" s="23">
        <v>4365</v>
      </c>
      <c r="C521" s="31">
        <v>1165727</v>
      </c>
      <c r="D521" s="30"/>
    </row>
    <row r="522" spans="1:4" x14ac:dyDescent="0.2">
      <c r="A522">
        <v>2018</v>
      </c>
      <c r="B522" s="23">
        <v>4366</v>
      </c>
      <c r="C522" s="31">
        <v>5024579</v>
      </c>
      <c r="D522" s="30"/>
    </row>
    <row r="523" spans="1:4" x14ac:dyDescent="0.2">
      <c r="A523">
        <v>2018</v>
      </c>
      <c r="B523" s="23">
        <v>4367</v>
      </c>
      <c r="C523" s="31">
        <v>8355495</v>
      </c>
      <c r="D523" s="30"/>
    </row>
    <row r="524" spans="1:4" x14ac:dyDescent="0.2">
      <c r="A524">
        <v>2018</v>
      </c>
      <c r="B524" s="23">
        <v>4368</v>
      </c>
      <c r="C524" s="31">
        <v>6528710</v>
      </c>
      <c r="D524" s="30"/>
    </row>
    <row r="525" spans="1:4" x14ac:dyDescent="0.2">
      <c r="A525">
        <v>2018</v>
      </c>
      <c r="B525" s="23">
        <v>4428</v>
      </c>
      <c r="C525" s="31">
        <v>387809</v>
      </c>
      <c r="D525" s="30"/>
    </row>
    <row r="526" spans="1:4" x14ac:dyDescent="0.2">
      <c r="A526">
        <v>2018</v>
      </c>
      <c r="B526" s="23">
        <v>4430</v>
      </c>
      <c r="C526" s="31">
        <v>434791</v>
      </c>
      <c r="D526" s="30"/>
    </row>
    <row r="527" spans="1:4" x14ac:dyDescent="0.2">
      <c r="A527">
        <v>2018</v>
      </c>
      <c r="B527" s="23">
        <v>4434</v>
      </c>
      <c r="C527" s="31">
        <v>165526</v>
      </c>
      <c r="D527" s="30"/>
    </row>
    <row r="528" spans="1:4" x14ac:dyDescent="0.2">
      <c r="A528">
        <v>2018</v>
      </c>
      <c r="B528" s="23">
        <v>4437</v>
      </c>
      <c r="C528" s="31">
        <v>637473</v>
      </c>
      <c r="D528" s="30"/>
    </row>
    <row r="529" spans="1:4" x14ac:dyDescent="0.2">
      <c r="A529">
        <v>2018</v>
      </c>
      <c r="B529" s="23">
        <v>4438</v>
      </c>
      <c r="C529" s="31">
        <v>500744</v>
      </c>
      <c r="D529" s="30"/>
    </row>
    <row r="530" spans="1:4" x14ac:dyDescent="0.2">
      <c r="A530">
        <v>2018</v>
      </c>
      <c r="B530" s="23">
        <v>4439</v>
      </c>
      <c r="C530" s="31">
        <v>603532</v>
      </c>
      <c r="D530" s="30"/>
    </row>
    <row r="531" spans="1:4" x14ac:dyDescent="0.2">
      <c r="A531">
        <v>2018</v>
      </c>
      <c r="B531" s="23">
        <v>4504</v>
      </c>
      <c r="C531" s="31">
        <v>441308</v>
      </c>
      <c r="D531" s="30"/>
    </row>
    <row r="532" spans="1:4" x14ac:dyDescent="0.2">
      <c r="A532">
        <v>2018</v>
      </c>
      <c r="B532" s="23">
        <v>4531</v>
      </c>
      <c r="C532" s="31">
        <v>597248</v>
      </c>
      <c r="D532" s="30"/>
    </row>
    <row r="533" spans="1:4" x14ac:dyDescent="0.2">
      <c r="A533">
        <v>2018</v>
      </c>
      <c r="B533" s="23">
        <v>4532</v>
      </c>
      <c r="C533" s="31">
        <v>923125</v>
      </c>
      <c r="D533" s="30"/>
    </row>
    <row r="534" spans="1:4" x14ac:dyDescent="0.2">
      <c r="A534">
        <v>2018</v>
      </c>
      <c r="B534" s="23">
        <v>4533</v>
      </c>
      <c r="C534" s="31">
        <v>671396</v>
      </c>
      <c r="D534" s="29"/>
    </row>
    <row r="535" spans="1:4" x14ac:dyDescent="0.2">
      <c r="A535">
        <v>2018</v>
      </c>
      <c r="B535" s="23">
        <v>4534</v>
      </c>
      <c r="C535" s="31">
        <v>654513</v>
      </c>
      <c r="D535" s="30"/>
    </row>
    <row r="536" spans="1:4" x14ac:dyDescent="0.2">
      <c r="A536">
        <v>2018</v>
      </c>
      <c r="B536" s="23">
        <v>4557</v>
      </c>
      <c r="C536" s="31">
        <v>330708</v>
      </c>
      <c r="D536" s="30"/>
    </row>
    <row r="537" spans="1:4" x14ac:dyDescent="0.2">
      <c r="A537">
        <v>2018</v>
      </c>
      <c r="B537" s="23">
        <v>4582</v>
      </c>
      <c r="C537" s="31">
        <v>691880</v>
      </c>
      <c r="D537" s="30"/>
    </row>
    <row r="538" spans="1:4" x14ac:dyDescent="0.2">
      <c r="A538">
        <v>2018</v>
      </c>
      <c r="B538" s="23">
        <v>4583</v>
      </c>
      <c r="C538" s="31">
        <v>552104</v>
      </c>
      <c r="D538" s="30"/>
    </row>
    <row r="539" spans="1:4" x14ac:dyDescent="0.2">
      <c r="A539">
        <v>2018</v>
      </c>
      <c r="B539" s="23">
        <v>4586</v>
      </c>
      <c r="C539" s="31">
        <v>597761</v>
      </c>
      <c r="D539" s="30"/>
    </row>
    <row r="540" spans="1:4" x14ac:dyDescent="0.2">
      <c r="A540">
        <v>2018</v>
      </c>
      <c r="B540" s="23">
        <v>4588</v>
      </c>
      <c r="C540" s="31">
        <v>499841</v>
      </c>
      <c r="D540" s="30"/>
    </row>
    <row r="541" spans="1:4" x14ac:dyDescent="0.2">
      <c r="A541">
        <v>2018</v>
      </c>
      <c r="B541" s="23">
        <v>4590</v>
      </c>
      <c r="C541" s="31">
        <v>559770</v>
      </c>
      <c r="D541" s="30"/>
    </row>
    <row r="542" spans="1:4" x14ac:dyDescent="0.2">
      <c r="A542">
        <v>2018</v>
      </c>
      <c r="B542" s="23">
        <v>4592</v>
      </c>
      <c r="C542" s="31">
        <v>332999</v>
      </c>
      <c r="D542" s="30"/>
    </row>
    <row r="543" spans="1:4" x14ac:dyDescent="0.2">
      <c r="A543">
        <v>2018</v>
      </c>
      <c r="B543" s="23">
        <v>4593</v>
      </c>
      <c r="C543" s="31">
        <v>647747</v>
      </c>
      <c r="D543" s="30"/>
    </row>
    <row r="544" spans="1:4" x14ac:dyDescent="0.2">
      <c r="A544">
        <v>2018</v>
      </c>
      <c r="B544" s="23">
        <v>4594</v>
      </c>
      <c r="C544" s="31">
        <v>662139</v>
      </c>
      <c r="D544" s="30"/>
    </row>
    <row r="545" spans="1:4" x14ac:dyDescent="0.2">
      <c r="A545">
        <v>2018</v>
      </c>
      <c r="B545" s="23">
        <v>4595</v>
      </c>
      <c r="C545" s="31">
        <v>699729</v>
      </c>
      <c r="D545" s="30"/>
    </row>
    <row r="546" spans="1:4" x14ac:dyDescent="0.2">
      <c r="A546">
        <v>2018</v>
      </c>
      <c r="B546" s="23">
        <v>4596</v>
      </c>
      <c r="C546" s="31">
        <v>543784</v>
      </c>
      <c r="D546" s="30"/>
    </row>
    <row r="547" spans="1:4" x14ac:dyDescent="0.2">
      <c r="A547">
        <v>2018</v>
      </c>
      <c r="B547" s="23">
        <v>4597</v>
      </c>
      <c r="C547" s="31">
        <v>823447</v>
      </c>
      <c r="D547" s="30"/>
    </row>
    <row r="548" spans="1:4" x14ac:dyDescent="0.2">
      <c r="A548">
        <v>2018</v>
      </c>
      <c r="B548" s="23">
        <v>4598</v>
      </c>
      <c r="C548" s="31">
        <v>751048</v>
      </c>
      <c r="D548" s="30"/>
    </row>
    <row r="549" spans="1:4" x14ac:dyDescent="0.2">
      <c r="A549">
        <v>2018</v>
      </c>
      <c r="B549" s="23">
        <v>4604</v>
      </c>
      <c r="C549" s="31">
        <v>971640</v>
      </c>
      <c r="D549" s="30"/>
    </row>
    <row r="550" spans="1:4" x14ac:dyDescent="0.2">
      <c r="A550">
        <v>2018</v>
      </c>
      <c r="B550" s="23">
        <v>4617</v>
      </c>
      <c r="C550" s="31">
        <v>391139</v>
      </c>
      <c r="D550" s="30"/>
    </row>
    <row r="551" spans="1:4" x14ac:dyDescent="0.2">
      <c r="A551">
        <v>2018</v>
      </c>
      <c r="B551" s="23">
        <v>4620</v>
      </c>
      <c r="C551" s="31">
        <v>680037</v>
      </c>
      <c r="D551" s="30"/>
    </row>
    <row r="552" spans="1:4" x14ac:dyDescent="0.2">
      <c r="A552">
        <v>2018</v>
      </c>
      <c r="B552" s="23">
        <v>4651</v>
      </c>
      <c r="C552" s="31">
        <v>765900</v>
      </c>
      <c r="D552" s="30"/>
    </row>
    <row r="553" spans="1:4" x14ac:dyDescent="0.2">
      <c r="A553">
        <v>2018</v>
      </c>
      <c r="B553" s="23">
        <v>4653</v>
      </c>
      <c r="C553" s="31">
        <v>2616628</v>
      </c>
      <c r="D553" s="30"/>
    </row>
    <row r="554" spans="1:4" x14ac:dyDescent="0.2">
      <c r="A554">
        <v>2018</v>
      </c>
      <c r="B554" s="23">
        <v>4654</v>
      </c>
      <c r="C554" s="31">
        <v>3090911</v>
      </c>
      <c r="D554" s="30"/>
    </row>
    <row r="555" spans="1:4" x14ac:dyDescent="0.2">
      <c r="A555">
        <v>2018</v>
      </c>
      <c r="B555" s="23">
        <v>4662</v>
      </c>
      <c r="C555" s="31">
        <v>582276</v>
      </c>
      <c r="D555" s="30"/>
    </row>
    <row r="556" spans="1:4" x14ac:dyDescent="0.2">
      <c r="A556">
        <v>2018</v>
      </c>
      <c r="B556" s="23">
        <v>4663</v>
      </c>
      <c r="C556" s="31">
        <v>783918</v>
      </c>
      <c r="D556" s="30"/>
    </row>
    <row r="557" spans="1:4" x14ac:dyDescent="0.2">
      <c r="A557">
        <v>2018</v>
      </c>
      <c r="B557" s="23">
        <v>4679</v>
      </c>
      <c r="C557" s="31">
        <v>632170</v>
      </c>
      <c r="D557" s="30"/>
    </row>
    <row r="558" spans="1:4" x14ac:dyDescent="0.2">
      <c r="A558">
        <v>2018</v>
      </c>
      <c r="B558" s="23">
        <v>4680</v>
      </c>
      <c r="C558" s="31">
        <v>482246</v>
      </c>
      <c r="D558" s="30"/>
    </row>
    <row r="559" spans="1:4" x14ac:dyDescent="0.2">
      <c r="A559">
        <v>2018</v>
      </c>
      <c r="B559" s="23">
        <v>4701</v>
      </c>
      <c r="C559" s="31">
        <v>924716</v>
      </c>
      <c r="D559" s="30"/>
    </row>
    <row r="560" spans="1:4" x14ac:dyDescent="0.2">
      <c r="A560">
        <v>2018</v>
      </c>
      <c r="B560" s="23">
        <v>4703</v>
      </c>
      <c r="C560" s="31">
        <v>725995</v>
      </c>
      <c r="D560" s="30"/>
    </row>
    <row r="561" spans="1:4" x14ac:dyDescent="0.2">
      <c r="A561">
        <v>2018</v>
      </c>
      <c r="B561" s="23">
        <v>4704</v>
      </c>
      <c r="C561" s="31">
        <v>733067</v>
      </c>
      <c r="D561" s="30"/>
    </row>
    <row r="562" spans="1:4" x14ac:dyDescent="0.2">
      <c r="A562">
        <v>2018</v>
      </c>
      <c r="B562" s="23">
        <v>4705</v>
      </c>
      <c r="C562" s="31">
        <v>988542</v>
      </c>
      <c r="D562" s="30"/>
    </row>
    <row r="563" spans="1:4" x14ac:dyDescent="0.2">
      <c r="A563">
        <v>2018</v>
      </c>
      <c r="B563" s="23">
        <v>4854</v>
      </c>
      <c r="C563" s="31">
        <v>942984</v>
      </c>
      <c r="D563" s="30"/>
    </row>
    <row r="564" spans="1:4" x14ac:dyDescent="0.2">
      <c r="A564">
        <v>2018</v>
      </c>
      <c r="B564" s="23">
        <v>4855</v>
      </c>
      <c r="C564" s="31">
        <v>292829</v>
      </c>
      <c r="D564" s="30"/>
    </row>
    <row r="565" spans="1:4" x14ac:dyDescent="0.2">
      <c r="A565">
        <v>2018</v>
      </c>
      <c r="B565" s="23">
        <v>4857</v>
      </c>
      <c r="C565" s="31">
        <v>1933616</v>
      </c>
      <c r="D565" s="30"/>
    </row>
    <row r="566" spans="1:4" x14ac:dyDescent="0.2">
      <c r="A566">
        <v>2018</v>
      </c>
      <c r="B566" s="23">
        <v>4862</v>
      </c>
      <c r="C566" s="31">
        <v>1687576</v>
      </c>
      <c r="D566" s="30"/>
    </row>
    <row r="567" spans="1:4" x14ac:dyDescent="0.2">
      <c r="A567">
        <v>2018</v>
      </c>
      <c r="B567" s="23">
        <v>4863</v>
      </c>
      <c r="C567" s="31">
        <v>2078774</v>
      </c>
      <c r="D567" s="30"/>
    </row>
    <row r="568" spans="1:4" x14ac:dyDescent="0.2">
      <c r="A568">
        <v>2018</v>
      </c>
      <c r="B568" s="23">
        <v>4877</v>
      </c>
      <c r="C568" s="31">
        <v>861895</v>
      </c>
      <c r="D568" s="30"/>
    </row>
    <row r="569" spans="1:4" x14ac:dyDescent="0.2">
      <c r="A569">
        <v>2018</v>
      </c>
      <c r="B569" s="23">
        <v>4879</v>
      </c>
      <c r="C569" s="31">
        <v>634025</v>
      </c>
      <c r="D569" s="30"/>
    </row>
    <row r="570" spans="1:4" x14ac:dyDescent="0.2">
      <c r="A570">
        <v>2018</v>
      </c>
      <c r="B570" s="23">
        <v>4883</v>
      </c>
      <c r="C570" s="31">
        <v>22509</v>
      </c>
      <c r="D570" s="30"/>
    </row>
    <row r="571" spans="1:4" x14ac:dyDescent="0.2">
      <c r="A571">
        <v>2018</v>
      </c>
      <c r="B571" s="23">
        <v>4884</v>
      </c>
      <c r="C571" s="31">
        <v>274214</v>
      </c>
      <c r="D571" s="30"/>
    </row>
    <row r="572" spans="1:4" x14ac:dyDescent="0.2">
      <c r="A572">
        <v>2018</v>
      </c>
      <c r="B572" s="23">
        <v>4885</v>
      </c>
      <c r="C572" s="31">
        <v>731584</v>
      </c>
      <c r="D572" s="30"/>
    </row>
    <row r="573" spans="1:4" x14ac:dyDescent="0.2">
      <c r="A573">
        <v>2018</v>
      </c>
      <c r="B573" s="23">
        <v>4890</v>
      </c>
      <c r="C573" s="31">
        <v>1129103</v>
      </c>
      <c r="D573" s="30"/>
    </row>
    <row r="574" spans="1:4" x14ac:dyDescent="0.2">
      <c r="A574">
        <v>2018</v>
      </c>
      <c r="B574" s="23">
        <v>4892</v>
      </c>
      <c r="C574" s="31">
        <v>1042583</v>
      </c>
      <c r="D574" s="30"/>
    </row>
    <row r="575" spans="1:4" x14ac:dyDescent="0.2">
      <c r="A575">
        <v>2018</v>
      </c>
      <c r="B575" s="23">
        <v>4894</v>
      </c>
      <c r="C575" s="31">
        <v>1052290</v>
      </c>
      <c r="D575" s="29"/>
    </row>
    <row r="576" spans="1:4" x14ac:dyDescent="0.2">
      <c r="A576">
        <v>2018</v>
      </c>
      <c r="B576" s="23">
        <v>4901</v>
      </c>
      <c r="C576" s="31">
        <v>656422</v>
      </c>
      <c r="D576" s="30"/>
    </row>
    <row r="577" spans="1:4" x14ac:dyDescent="0.2">
      <c r="A577">
        <v>2018</v>
      </c>
      <c r="B577" s="23">
        <v>4905</v>
      </c>
      <c r="C577" s="31">
        <v>285765</v>
      </c>
      <c r="D577" s="30"/>
    </row>
    <row r="578" spans="1:4" x14ac:dyDescent="0.2">
      <c r="A578">
        <v>2018</v>
      </c>
      <c r="B578" s="23">
        <v>4906</v>
      </c>
      <c r="C578" s="31">
        <v>957931</v>
      </c>
      <c r="D578" s="30"/>
    </row>
    <row r="579" spans="1:4" x14ac:dyDescent="0.2">
      <c r="A579">
        <v>2018</v>
      </c>
      <c r="B579" s="23">
        <v>4907</v>
      </c>
      <c r="C579" s="31">
        <v>1513657</v>
      </c>
      <c r="D579" s="30"/>
    </row>
    <row r="580" spans="1:4" x14ac:dyDescent="0.2">
      <c r="A580">
        <v>2018</v>
      </c>
      <c r="B580" s="23">
        <v>4908</v>
      </c>
      <c r="C580" s="31">
        <v>416428</v>
      </c>
      <c r="D580" s="30"/>
    </row>
    <row r="581" spans="1:4" x14ac:dyDescent="0.2">
      <c r="A581">
        <v>2018</v>
      </c>
      <c r="B581" s="23">
        <v>4909</v>
      </c>
      <c r="C581" s="31">
        <v>1086703</v>
      </c>
      <c r="D581" s="30"/>
    </row>
    <row r="582" spans="1:4" x14ac:dyDescent="0.2">
      <c r="A582">
        <v>2018</v>
      </c>
      <c r="B582" s="23">
        <v>4910</v>
      </c>
      <c r="C582" s="31">
        <v>491785</v>
      </c>
      <c r="D582" s="30"/>
    </row>
    <row r="583" spans="1:4" x14ac:dyDescent="0.2">
      <c r="A583">
        <v>2018</v>
      </c>
      <c r="B583" s="23">
        <v>4976</v>
      </c>
      <c r="C583" s="31">
        <v>250129</v>
      </c>
      <c r="D583" s="30"/>
    </row>
    <row r="584" spans="1:4" x14ac:dyDescent="0.2">
      <c r="A584">
        <v>2018</v>
      </c>
      <c r="B584" s="23">
        <v>4978</v>
      </c>
      <c r="C584" s="31">
        <v>282829</v>
      </c>
      <c r="D584" s="30"/>
    </row>
    <row r="585" spans="1:4" x14ac:dyDescent="0.2">
      <c r="A585">
        <v>2018</v>
      </c>
      <c r="B585" s="23">
        <v>4979</v>
      </c>
      <c r="C585" s="31">
        <v>397646</v>
      </c>
      <c r="D585" s="30"/>
    </row>
    <row r="586" spans="1:4" x14ac:dyDescent="0.2">
      <c r="A586">
        <v>2018</v>
      </c>
      <c r="B586" s="23">
        <v>4980</v>
      </c>
      <c r="C586" s="31">
        <v>204384</v>
      </c>
      <c r="D586" s="30"/>
    </row>
    <row r="587" spans="1:4" x14ac:dyDescent="0.2">
      <c r="A587">
        <v>2018</v>
      </c>
      <c r="B587" s="23">
        <v>4981</v>
      </c>
      <c r="C587" s="31">
        <v>263167</v>
      </c>
      <c r="D587" s="30"/>
    </row>
    <row r="588" spans="1:4" x14ac:dyDescent="0.2">
      <c r="A588">
        <v>2018</v>
      </c>
      <c r="B588" s="23">
        <v>4982</v>
      </c>
      <c r="C588" s="31">
        <v>366185</v>
      </c>
      <c r="D588" s="30"/>
    </row>
    <row r="589" spans="1:4" x14ac:dyDescent="0.2">
      <c r="A589">
        <v>2018</v>
      </c>
      <c r="B589" s="23">
        <v>4983</v>
      </c>
      <c r="C589" s="31">
        <v>300834</v>
      </c>
      <c r="D589" s="30"/>
    </row>
    <row r="590" spans="1:4" x14ac:dyDescent="0.2">
      <c r="A590">
        <v>2018</v>
      </c>
      <c r="B590" s="23">
        <v>5001</v>
      </c>
      <c r="C590" s="31">
        <v>540641</v>
      </c>
      <c r="D590" s="30"/>
    </row>
    <row r="591" spans="1:4" x14ac:dyDescent="0.2">
      <c r="A591">
        <v>2018</v>
      </c>
      <c r="B591" s="23">
        <v>5002</v>
      </c>
      <c r="C591" s="31">
        <v>354810</v>
      </c>
      <c r="D591" s="30"/>
    </row>
    <row r="592" spans="1:4" x14ac:dyDescent="0.2">
      <c r="A592">
        <v>2018</v>
      </c>
      <c r="B592" s="23">
        <v>5003</v>
      </c>
      <c r="C592" s="31">
        <v>443589</v>
      </c>
      <c r="D592" s="30"/>
    </row>
    <row r="593" spans="1:4" x14ac:dyDescent="0.2">
      <c r="A593">
        <v>2018</v>
      </c>
      <c r="B593" s="23">
        <v>5026</v>
      </c>
      <c r="C593" s="31">
        <v>314674</v>
      </c>
      <c r="D593" s="30"/>
    </row>
    <row r="594" spans="1:4" x14ac:dyDescent="0.2">
      <c r="A594">
        <v>2018</v>
      </c>
      <c r="B594" s="23">
        <v>5027</v>
      </c>
      <c r="C594" s="31">
        <v>625438</v>
      </c>
      <c r="D594" s="30"/>
    </row>
    <row r="595" spans="1:4" x14ac:dyDescent="0.2">
      <c r="A595">
        <v>2018</v>
      </c>
      <c r="B595" s="23">
        <v>5028</v>
      </c>
      <c r="C595" s="31">
        <v>298862</v>
      </c>
      <c r="D595" s="30"/>
    </row>
    <row r="596" spans="1:4" x14ac:dyDescent="0.2">
      <c r="A596">
        <v>2018</v>
      </c>
      <c r="B596" s="23">
        <v>5076</v>
      </c>
      <c r="C596" s="31">
        <v>822024</v>
      </c>
      <c r="D596" s="30"/>
    </row>
    <row r="597" spans="1:4" x14ac:dyDescent="0.2">
      <c r="A597">
        <v>2018</v>
      </c>
      <c r="B597" s="23">
        <v>5078</v>
      </c>
      <c r="C597" s="31">
        <v>654521</v>
      </c>
      <c r="D597" s="30"/>
    </row>
    <row r="598" spans="1:4" x14ac:dyDescent="0.2">
      <c r="A598">
        <v>2018</v>
      </c>
      <c r="B598" s="23">
        <v>5102</v>
      </c>
      <c r="C598" s="31">
        <v>2065084</v>
      </c>
      <c r="D598" s="30"/>
    </row>
    <row r="599" spans="1:4" x14ac:dyDescent="0.2">
      <c r="A599">
        <v>2018</v>
      </c>
      <c r="B599" s="23">
        <v>5103</v>
      </c>
      <c r="C599" s="31">
        <v>1092859</v>
      </c>
      <c r="D599" s="30"/>
    </row>
    <row r="600" spans="1:4" x14ac:dyDescent="0.2">
      <c r="A600">
        <v>2018</v>
      </c>
      <c r="B600" s="23">
        <v>5107</v>
      </c>
      <c r="C600" s="31">
        <v>753367</v>
      </c>
      <c r="D600" s="30"/>
    </row>
    <row r="601" spans="1:4" x14ac:dyDescent="0.2">
      <c r="A601">
        <v>2018</v>
      </c>
      <c r="B601" s="23">
        <v>5108</v>
      </c>
      <c r="C601" s="31">
        <v>669222</v>
      </c>
      <c r="D601" s="30"/>
    </row>
    <row r="602" spans="1:4" x14ac:dyDescent="0.2">
      <c r="A602">
        <v>2018</v>
      </c>
      <c r="B602" s="23">
        <v>5251</v>
      </c>
      <c r="C602" s="31">
        <v>506552</v>
      </c>
      <c r="D602" s="30"/>
    </row>
    <row r="603" spans="1:4" x14ac:dyDescent="0.2">
      <c r="A603">
        <v>2018</v>
      </c>
      <c r="B603" s="23">
        <v>5253</v>
      </c>
      <c r="C603" s="31">
        <v>687141</v>
      </c>
      <c r="D603" s="30"/>
    </row>
    <row r="604" spans="1:4" x14ac:dyDescent="0.2">
      <c r="A604">
        <v>2018</v>
      </c>
      <c r="B604" s="23">
        <v>5276</v>
      </c>
      <c r="C604" s="31">
        <v>877805</v>
      </c>
      <c r="D604" s="30"/>
    </row>
    <row r="605" spans="1:4" x14ac:dyDescent="0.2">
      <c r="A605">
        <v>2018</v>
      </c>
      <c r="B605" s="23">
        <v>5281</v>
      </c>
      <c r="C605" s="31">
        <v>307108</v>
      </c>
      <c r="D605" s="30"/>
    </row>
    <row r="606" spans="1:4" x14ac:dyDescent="0.2">
      <c r="A606">
        <v>2018</v>
      </c>
      <c r="B606" s="23">
        <v>5282</v>
      </c>
      <c r="C606" s="31">
        <v>330715</v>
      </c>
      <c r="D606" s="30"/>
    </row>
    <row r="607" spans="1:4" x14ac:dyDescent="0.2">
      <c r="A607">
        <v>2018</v>
      </c>
      <c r="B607" s="23">
        <v>5301</v>
      </c>
      <c r="C607" s="31">
        <v>368103</v>
      </c>
      <c r="D607" s="30"/>
    </row>
    <row r="608" spans="1:4" x14ac:dyDescent="0.2">
      <c r="A608">
        <v>2018</v>
      </c>
      <c r="B608" s="23">
        <v>5303</v>
      </c>
      <c r="C608" s="31">
        <v>213568</v>
      </c>
      <c r="D608" s="30"/>
    </row>
    <row r="609" spans="1:4" x14ac:dyDescent="0.2">
      <c r="A609">
        <v>2018</v>
      </c>
      <c r="B609" s="23">
        <v>5305</v>
      </c>
      <c r="C609" s="31">
        <v>263016</v>
      </c>
      <c r="D609" s="30"/>
    </row>
    <row r="610" spans="1:4" x14ac:dyDescent="0.2">
      <c r="A610">
        <v>2018</v>
      </c>
      <c r="B610" s="23">
        <v>5306</v>
      </c>
      <c r="C610" s="31">
        <v>441656</v>
      </c>
      <c r="D610" s="30"/>
    </row>
    <row r="611" spans="1:4" x14ac:dyDescent="0.2">
      <c r="A611">
        <v>2018</v>
      </c>
      <c r="B611" s="23">
        <v>5307</v>
      </c>
      <c r="C611" s="31">
        <v>571123</v>
      </c>
      <c r="D611" s="30"/>
    </row>
    <row r="612" spans="1:4" x14ac:dyDescent="0.2">
      <c r="A612">
        <v>2018</v>
      </c>
      <c r="B612" s="23">
        <v>5308</v>
      </c>
      <c r="C612" s="31">
        <v>432777</v>
      </c>
      <c r="D612" s="30"/>
    </row>
    <row r="613" spans="1:4" x14ac:dyDescent="0.2">
      <c r="A613">
        <v>2018</v>
      </c>
      <c r="B613" s="23">
        <v>5309</v>
      </c>
      <c r="C613" s="31">
        <v>189668</v>
      </c>
      <c r="D613" s="30"/>
    </row>
    <row r="614" spans="1:4" x14ac:dyDescent="0.2">
      <c r="A614">
        <v>2018</v>
      </c>
      <c r="B614" s="23">
        <v>5351</v>
      </c>
      <c r="C614" s="31">
        <v>2631528</v>
      </c>
      <c r="D614" s="30"/>
    </row>
    <row r="615" spans="1:4" x14ac:dyDescent="0.2">
      <c r="A615">
        <v>2018</v>
      </c>
      <c r="B615" s="23">
        <v>5352</v>
      </c>
      <c r="C615" s="31">
        <v>27180</v>
      </c>
      <c r="D615" s="30"/>
    </row>
    <row r="616" spans="1:4" x14ac:dyDescent="0.2">
      <c r="A616">
        <v>2018</v>
      </c>
      <c r="B616" s="23">
        <v>5353</v>
      </c>
      <c r="C616" s="31">
        <v>285327</v>
      </c>
      <c r="D616" s="29"/>
    </row>
    <row r="617" spans="1:4" x14ac:dyDescent="0.2">
      <c r="A617">
        <v>2018</v>
      </c>
      <c r="B617" s="23">
        <v>5354</v>
      </c>
      <c r="C617" s="31">
        <v>883657</v>
      </c>
      <c r="D617" s="30"/>
    </row>
    <row r="618" spans="1:4" x14ac:dyDescent="0.2">
      <c r="A618">
        <v>2018</v>
      </c>
      <c r="B618" s="23">
        <v>5355</v>
      </c>
      <c r="C618" s="31">
        <v>1640075</v>
      </c>
      <c r="D618" s="30"/>
    </row>
    <row r="619" spans="1:4" x14ac:dyDescent="0.2">
      <c r="A619">
        <v>2018</v>
      </c>
      <c r="B619" s="23">
        <v>5356</v>
      </c>
      <c r="C619" s="31">
        <v>558673</v>
      </c>
      <c r="D619" s="30"/>
    </row>
    <row r="620" spans="1:4" x14ac:dyDescent="0.2">
      <c r="A620">
        <v>2018</v>
      </c>
      <c r="B620" s="23">
        <v>5357</v>
      </c>
      <c r="C620" s="31">
        <v>2316628</v>
      </c>
      <c r="D620" s="30"/>
    </row>
    <row r="621" spans="1:4" x14ac:dyDescent="0.2">
      <c r="A621">
        <v>2018</v>
      </c>
      <c r="B621" s="23">
        <v>5358</v>
      </c>
      <c r="C621" s="31">
        <v>4970944</v>
      </c>
      <c r="D621" s="30"/>
    </row>
    <row r="622" spans="1:4" x14ac:dyDescent="0.2">
      <c r="A622">
        <v>2018</v>
      </c>
      <c r="B622" s="23">
        <v>5359</v>
      </c>
      <c r="C622" s="31">
        <v>440648</v>
      </c>
      <c r="D622" s="30"/>
    </row>
    <row r="623" spans="1:4" x14ac:dyDescent="0.2">
      <c r="A623">
        <v>2018</v>
      </c>
      <c r="B623" s="23">
        <v>5360</v>
      </c>
      <c r="C623" s="31">
        <v>315868</v>
      </c>
      <c r="D623" s="30"/>
    </row>
    <row r="624" spans="1:4" x14ac:dyDescent="0.2">
      <c r="A624">
        <v>2018</v>
      </c>
      <c r="B624" s="23">
        <v>5361</v>
      </c>
      <c r="C624" s="31">
        <v>2333265</v>
      </c>
      <c r="D624" s="30"/>
    </row>
    <row r="625" spans="1:4" x14ac:dyDescent="0.2">
      <c r="A625">
        <v>2018</v>
      </c>
      <c r="B625" s="23">
        <v>5362</v>
      </c>
      <c r="C625" s="31">
        <v>258868</v>
      </c>
      <c r="D625" s="30"/>
    </row>
    <row r="626" spans="1:4" x14ac:dyDescent="0.2">
      <c r="A626">
        <v>2018</v>
      </c>
      <c r="B626" s="23">
        <v>5363</v>
      </c>
      <c r="C626" s="31">
        <v>2051238</v>
      </c>
      <c r="D626" s="30"/>
    </row>
    <row r="627" spans="1:4" x14ac:dyDescent="0.2">
      <c r="A627">
        <v>2018</v>
      </c>
      <c r="B627" s="23">
        <v>5364</v>
      </c>
      <c r="C627" s="31">
        <v>547345</v>
      </c>
      <c r="D627" s="30"/>
    </row>
    <row r="628" spans="1:4" x14ac:dyDescent="0.2">
      <c r="A628">
        <v>2018</v>
      </c>
      <c r="B628" s="23">
        <v>5365</v>
      </c>
      <c r="C628" s="31">
        <v>21456</v>
      </c>
      <c r="D628" s="30"/>
    </row>
    <row r="629" spans="1:4" x14ac:dyDescent="0.2">
      <c r="A629">
        <v>2018</v>
      </c>
      <c r="B629" s="23">
        <v>5367</v>
      </c>
      <c r="C629" s="31">
        <v>552940</v>
      </c>
      <c r="D629" s="30"/>
    </row>
    <row r="630" spans="1:4" x14ac:dyDescent="0.2">
      <c r="A630">
        <v>2018</v>
      </c>
      <c r="B630" s="23">
        <v>5368</v>
      </c>
      <c r="C630" s="31">
        <v>439559</v>
      </c>
      <c r="D630" s="30"/>
    </row>
    <row r="631" spans="1:4" x14ac:dyDescent="0.2">
      <c r="A631">
        <v>2018</v>
      </c>
      <c r="B631" s="23">
        <v>5369</v>
      </c>
      <c r="C631" s="31">
        <v>136077</v>
      </c>
      <c r="D631" s="30"/>
    </row>
    <row r="632" spans="1:4" x14ac:dyDescent="0.2">
      <c r="A632">
        <v>2018</v>
      </c>
      <c r="B632" s="23">
        <v>5371</v>
      </c>
      <c r="C632" s="31">
        <v>168412</v>
      </c>
      <c r="D632" s="30"/>
    </row>
    <row r="633" spans="1:4" x14ac:dyDescent="0.2">
      <c r="A633">
        <v>2018</v>
      </c>
      <c r="B633" s="23">
        <v>5372</v>
      </c>
      <c r="C633" s="31">
        <v>1138098</v>
      </c>
      <c r="D633" s="30"/>
    </row>
    <row r="634" spans="1:4" x14ac:dyDescent="0.2">
      <c r="A634">
        <v>2018</v>
      </c>
      <c r="B634" s="23">
        <v>5375</v>
      </c>
      <c r="C634" s="31">
        <v>1622511</v>
      </c>
      <c r="D634" s="30"/>
    </row>
    <row r="635" spans="1:4" x14ac:dyDescent="0.2">
      <c r="A635">
        <v>2018</v>
      </c>
      <c r="B635" s="23">
        <v>5376</v>
      </c>
      <c r="C635" s="31">
        <v>693915</v>
      </c>
      <c r="D635" s="30"/>
    </row>
    <row r="636" spans="1:4" x14ac:dyDescent="0.2">
      <c r="A636">
        <v>2018</v>
      </c>
      <c r="B636" s="23">
        <v>5379</v>
      </c>
      <c r="C636" s="31">
        <v>38774</v>
      </c>
      <c r="D636" s="30"/>
    </row>
    <row r="637" spans="1:4" x14ac:dyDescent="0.2">
      <c r="A637">
        <v>2018</v>
      </c>
      <c r="B637" s="23">
        <v>5380</v>
      </c>
      <c r="C637" s="31">
        <v>316941</v>
      </c>
      <c r="D637" s="30"/>
    </row>
    <row r="638" spans="1:4" x14ac:dyDescent="0.2">
      <c r="A638">
        <v>2018</v>
      </c>
      <c r="B638" s="23">
        <v>5403</v>
      </c>
      <c r="C638" s="31">
        <v>3730892</v>
      </c>
      <c r="D638" s="30"/>
    </row>
    <row r="639" spans="1:4" x14ac:dyDescent="0.2">
      <c r="A639">
        <v>2018</v>
      </c>
      <c r="B639" s="23">
        <v>5406</v>
      </c>
      <c r="C639" s="31">
        <v>1544773</v>
      </c>
      <c r="D639" s="30"/>
    </row>
    <row r="640" spans="1:4" x14ac:dyDescent="0.2">
      <c r="A640">
        <v>2018</v>
      </c>
      <c r="B640" s="23">
        <v>5407</v>
      </c>
      <c r="C640" s="31">
        <v>2461817</v>
      </c>
      <c r="D640" s="30"/>
    </row>
    <row r="641" spans="1:4" x14ac:dyDescent="0.2">
      <c r="A641">
        <v>2018</v>
      </c>
      <c r="B641" s="23">
        <v>5408</v>
      </c>
      <c r="C641" s="31">
        <v>2617507</v>
      </c>
      <c r="D641" s="30"/>
    </row>
    <row r="642" spans="1:4" x14ac:dyDescent="0.2">
      <c r="A642">
        <v>2018</v>
      </c>
      <c r="B642" s="23">
        <v>5409</v>
      </c>
      <c r="C642" s="31">
        <v>3058118</v>
      </c>
      <c r="D642" s="30"/>
    </row>
    <row r="643" spans="1:4" x14ac:dyDescent="0.2">
      <c r="A643">
        <v>2018</v>
      </c>
      <c r="B643" s="23">
        <v>5415</v>
      </c>
      <c r="C643" s="31">
        <v>1701883</v>
      </c>
      <c r="D643" s="30"/>
    </row>
    <row r="644" spans="1:4" x14ac:dyDescent="0.2">
      <c r="A644">
        <v>2018</v>
      </c>
      <c r="B644" s="23">
        <v>5416</v>
      </c>
      <c r="C644" s="31">
        <v>631421</v>
      </c>
      <c r="D644" s="30"/>
    </row>
    <row r="645" spans="1:4" x14ac:dyDescent="0.2">
      <c r="A645">
        <v>2018</v>
      </c>
      <c r="B645" s="23">
        <v>5418</v>
      </c>
      <c r="C645" s="31">
        <v>3188100</v>
      </c>
      <c r="D645" s="30"/>
    </row>
    <row r="646" spans="1:4" x14ac:dyDescent="0.2">
      <c r="A646">
        <v>2018</v>
      </c>
      <c r="B646" s="23">
        <v>5420</v>
      </c>
      <c r="C646" s="31">
        <v>2956596</v>
      </c>
      <c r="D646" s="30"/>
    </row>
    <row r="647" spans="1:4" x14ac:dyDescent="0.2">
      <c r="A647">
        <v>2018</v>
      </c>
      <c r="B647" s="23">
        <v>5427</v>
      </c>
      <c r="C647" s="31">
        <v>148552</v>
      </c>
      <c r="D647" s="30"/>
    </row>
    <row r="648" spans="1:4" x14ac:dyDescent="0.2">
      <c r="A648">
        <v>2018</v>
      </c>
      <c r="B648" s="23">
        <v>5457</v>
      </c>
      <c r="C648" s="31">
        <v>2463553</v>
      </c>
      <c r="D648" s="30"/>
    </row>
    <row r="649" spans="1:4" x14ac:dyDescent="0.2">
      <c r="A649">
        <v>2018</v>
      </c>
      <c r="B649" s="23">
        <v>5458</v>
      </c>
      <c r="C649" s="31">
        <v>2553394</v>
      </c>
      <c r="D649" s="30"/>
    </row>
    <row r="650" spans="1:4" x14ac:dyDescent="0.2">
      <c r="A650">
        <v>2018</v>
      </c>
      <c r="B650" s="23">
        <v>5501</v>
      </c>
      <c r="C650" s="31">
        <v>995692</v>
      </c>
      <c r="D650" s="30"/>
    </row>
    <row r="651" spans="1:4" x14ac:dyDescent="0.2">
      <c r="A651">
        <v>2018</v>
      </c>
      <c r="B651" s="23">
        <v>5504</v>
      </c>
      <c r="C651" s="31">
        <v>933799</v>
      </c>
      <c r="D651" s="30"/>
    </row>
    <row r="652" spans="1:4" x14ac:dyDescent="0.2">
      <c r="A652">
        <v>2018</v>
      </c>
      <c r="B652" s="23">
        <v>5505</v>
      </c>
      <c r="C652" s="31">
        <v>265652</v>
      </c>
      <c r="D652" s="30"/>
    </row>
    <row r="653" spans="1:4" x14ac:dyDescent="0.2">
      <c r="A653">
        <v>2018</v>
      </c>
      <c r="B653" s="23">
        <v>5506</v>
      </c>
      <c r="C653" s="31">
        <v>450213</v>
      </c>
      <c r="D653" s="30"/>
    </row>
    <row r="654" spans="1:4" x14ac:dyDescent="0.2">
      <c r="A654">
        <v>2018</v>
      </c>
      <c r="B654" s="23">
        <v>5507</v>
      </c>
      <c r="C654" s="31">
        <v>495307</v>
      </c>
      <c r="D654" s="30"/>
    </row>
    <row r="655" spans="1:4" x14ac:dyDescent="0.2">
      <c r="A655">
        <v>2018</v>
      </c>
      <c r="B655" s="23">
        <v>5527</v>
      </c>
      <c r="C655" s="31">
        <v>565461</v>
      </c>
      <c r="D655" s="30"/>
    </row>
    <row r="656" spans="1:4" x14ac:dyDescent="0.2">
      <c r="A656">
        <v>2018</v>
      </c>
      <c r="B656" s="23">
        <v>5528</v>
      </c>
      <c r="C656" s="31">
        <v>631251</v>
      </c>
      <c r="D656" s="30"/>
    </row>
    <row r="657" spans="1:4" x14ac:dyDescent="0.2">
      <c r="A657">
        <v>2018</v>
      </c>
      <c r="B657" s="23">
        <v>5530</v>
      </c>
      <c r="C657" s="31">
        <v>832501</v>
      </c>
      <c r="D657" s="29"/>
    </row>
    <row r="658" spans="1:4" x14ac:dyDescent="0.2">
      <c r="A658">
        <v>2018</v>
      </c>
      <c r="B658" s="23">
        <v>5533</v>
      </c>
      <c r="C658" s="31">
        <v>317189</v>
      </c>
      <c r="D658" s="30"/>
    </row>
    <row r="659" spans="1:4" x14ac:dyDescent="0.2">
      <c r="A659">
        <v>2018</v>
      </c>
      <c r="B659" s="23">
        <v>5534</v>
      </c>
      <c r="C659" s="31">
        <v>539025</v>
      </c>
      <c r="D659" s="30"/>
    </row>
    <row r="660" spans="1:4" x14ac:dyDescent="0.2">
      <c r="A660">
        <v>2018</v>
      </c>
      <c r="B660" s="23">
        <v>5535</v>
      </c>
      <c r="C660" s="31">
        <v>958500</v>
      </c>
      <c r="D660" s="30"/>
    </row>
    <row r="661" spans="1:4" x14ac:dyDescent="0.2">
      <c r="A661">
        <v>2018</v>
      </c>
      <c r="B661" s="23">
        <v>5541</v>
      </c>
      <c r="C661" s="31">
        <v>520084</v>
      </c>
      <c r="D661" s="30"/>
    </row>
    <row r="662" spans="1:4" x14ac:dyDescent="0.2">
      <c r="A662">
        <v>2018</v>
      </c>
      <c r="B662" s="23">
        <v>5601</v>
      </c>
      <c r="C662" s="31">
        <v>1462724</v>
      </c>
      <c r="D662" s="30"/>
    </row>
    <row r="663" spans="1:4" x14ac:dyDescent="0.2">
      <c r="A663">
        <v>2018</v>
      </c>
      <c r="B663" s="23">
        <v>5676</v>
      </c>
      <c r="C663" s="31">
        <v>391952</v>
      </c>
      <c r="D663" s="30"/>
    </row>
    <row r="664" spans="1:4" x14ac:dyDescent="0.2">
      <c r="A664">
        <v>2018</v>
      </c>
      <c r="B664" s="23">
        <v>5677</v>
      </c>
      <c r="C664" s="31">
        <v>342339</v>
      </c>
      <c r="D664" s="30"/>
    </row>
    <row r="665" spans="1:4" x14ac:dyDescent="0.2">
      <c r="A665">
        <v>2018</v>
      </c>
      <c r="B665" s="23">
        <v>5678</v>
      </c>
      <c r="C665" s="31">
        <v>406090</v>
      </c>
      <c r="D665" s="30"/>
    </row>
    <row r="666" spans="1:4" x14ac:dyDescent="0.2">
      <c r="A666">
        <v>2018</v>
      </c>
      <c r="B666" s="23">
        <v>5679</v>
      </c>
      <c r="C666" s="31">
        <v>797764</v>
      </c>
      <c r="D666" s="30"/>
    </row>
    <row r="667" spans="1:4" x14ac:dyDescent="0.2">
      <c r="A667">
        <v>2018</v>
      </c>
      <c r="B667" s="23">
        <v>5680</v>
      </c>
      <c r="C667" s="31">
        <v>728958</v>
      </c>
      <c r="D667" s="30"/>
    </row>
    <row r="668" spans="1:4" x14ac:dyDescent="0.2">
      <c r="A668">
        <v>2018</v>
      </c>
      <c r="B668" s="23">
        <v>5681</v>
      </c>
      <c r="C668" s="31">
        <v>359856</v>
      </c>
      <c r="D668" s="30"/>
    </row>
    <row r="669" spans="1:4" x14ac:dyDescent="0.2">
      <c r="A669">
        <v>2018</v>
      </c>
      <c r="B669" s="23">
        <v>5682</v>
      </c>
      <c r="C669" s="31">
        <v>436774</v>
      </c>
      <c r="D669" s="30"/>
    </row>
    <row r="670" spans="1:4" x14ac:dyDescent="0.2">
      <c r="A670">
        <v>2018</v>
      </c>
      <c r="B670" s="23">
        <v>5683</v>
      </c>
      <c r="C670" s="31">
        <v>675148</v>
      </c>
      <c r="D670" s="30"/>
    </row>
    <row r="671" spans="1:4" x14ac:dyDescent="0.2">
      <c r="A671">
        <v>2018</v>
      </c>
      <c r="B671" s="23">
        <v>5684</v>
      </c>
      <c r="C671" s="31">
        <v>281010</v>
      </c>
      <c r="D671" s="30"/>
    </row>
    <row r="672" spans="1:4" x14ac:dyDescent="0.2">
      <c r="A672">
        <v>2018</v>
      </c>
      <c r="B672" s="23">
        <v>5685</v>
      </c>
      <c r="C672" s="31">
        <v>460953</v>
      </c>
      <c r="D672" s="30"/>
    </row>
    <row r="673" spans="1:4" x14ac:dyDescent="0.2">
      <c r="A673">
        <v>2018</v>
      </c>
      <c r="B673" s="23">
        <v>5687</v>
      </c>
      <c r="C673" s="31">
        <v>827091</v>
      </c>
      <c r="D673" s="30"/>
    </row>
    <row r="674" spans="1:4" x14ac:dyDescent="0.2">
      <c r="A674">
        <v>2018</v>
      </c>
      <c r="B674" s="23">
        <v>5688</v>
      </c>
      <c r="C674" s="31">
        <v>288840</v>
      </c>
      <c r="D674" s="30"/>
    </row>
    <row r="675" spans="1:4" x14ac:dyDescent="0.2">
      <c r="A675">
        <v>2018</v>
      </c>
      <c r="B675" s="23">
        <v>5691</v>
      </c>
      <c r="C675" s="31">
        <v>123343</v>
      </c>
      <c r="D675" s="30"/>
    </row>
    <row r="676" spans="1:4" x14ac:dyDescent="0.2">
      <c r="A676">
        <v>2018</v>
      </c>
      <c r="B676" s="23">
        <v>5692</v>
      </c>
      <c r="C676" s="31">
        <v>661647</v>
      </c>
      <c r="D676" s="30"/>
    </row>
    <row r="677" spans="1:4" x14ac:dyDescent="0.2">
      <c r="A677">
        <v>2018</v>
      </c>
      <c r="B677" s="23">
        <v>5693</v>
      </c>
      <c r="C677" s="31">
        <v>197991</v>
      </c>
      <c r="D677" s="30"/>
    </row>
    <row r="678" spans="1:4" x14ac:dyDescent="0.2">
      <c r="A678">
        <v>2018</v>
      </c>
      <c r="B678" s="23">
        <v>5694</v>
      </c>
      <c r="C678" s="31">
        <v>166537</v>
      </c>
      <c r="D678" s="30"/>
    </row>
    <row r="679" spans="1:4" x14ac:dyDescent="0.2">
      <c r="A679">
        <v>2018</v>
      </c>
      <c r="B679" s="23">
        <v>5695</v>
      </c>
      <c r="C679" s="31">
        <v>179150</v>
      </c>
      <c r="D679" s="30"/>
    </row>
    <row r="680" spans="1:4" x14ac:dyDescent="0.2">
      <c r="A680">
        <v>2018</v>
      </c>
      <c r="B680" s="23">
        <v>5801</v>
      </c>
      <c r="C680" s="31">
        <v>2336077</v>
      </c>
      <c r="D680" s="30"/>
    </row>
    <row r="681" spans="1:4" x14ac:dyDescent="0.2">
      <c r="A681">
        <v>2018</v>
      </c>
      <c r="B681" s="23">
        <v>5806</v>
      </c>
      <c r="C681" s="31">
        <v>1356856</v>
      </c>
      <c r="D681" s="30"/>
    </row>
    <row r="682" spans="1:4" x14ac:dyDescent="0.2">
      <c r="A682">
        <v>2018</v>
      </c>
      <c r="B682" s="23">
        <v>5807</v>
      </c>
      <c r="C682" s="31">
        <v>461282</v>
      </c>
      <c r="D682" s="30"/>
    </row>
    <row r="683" spans="1:4" x14ac:dyDescent="0.2">
      <c r="A683">
        <v>2018</v>
      </c>
      <c r="B683" s="23">
        <v>5812</v>
      </c>
      <c r="C683" s="31">
        <v>539058</v>
      </c>
      <c r="D683" s="30"/>
    </row>
    <row r="684" spans="1:4" x14ac:dyDescent="0.2">
      <c r="A684">
        <v>2018</v>
      </c>
      <c r="B684" s="23">
        <v>5813</v>
      </c>
      <c r="C684" s="31">
        <v>653430</v>
      </c>
      <c r="D684" s="30"/>
    </row>
    <row r="685" spans="1:4" x14ac:dyDescent="0.2">
      <c r="A685">
        <v>2018</v>
      </c>
      <c r="B685" s="23">
        <v>5817</v>
      </c>
      <c r="C685" s="31">
        <v>1934348</v>
      </c>
      <c r="D685" s="30"/>
    </row>
    <row r="686" spans="1:4" x14ac:dyDescent="0.2">
      <c r="A686">
        <v>2018</v>
      </c>
      <c r="B686" s="23">
        <v>5820</v>
      </c>
      <c r="C686" s="31">
        <v>549704</v>
      </c>
      <c r="D686" s="30"/>
    </row>
    <row r="687" spans="1:4" x14ac:dyDescent="0.2">
      <c r="A687">
        <v>2018</v>
      </c>
      <c r="B687" s="23">
        <v>5821</v>
      </c>
      <c r="C687" s="31">
        <v>943647</v>
      </c>
      <c r="D687" s="30"/>
    </row>
    <row r="688" spans="1:4" x14ac:dyDescent="0.2">
      <c r="A688">
        <v>2018</v>
      </c>
      <c r="B688" s="23">
        <v>5822</v>
      </c>
      <c r="C688" s="31">
        <v>1157032</v>
      </c>
      <c r="D688" s="30"/>
    </row>
    <row r="689" spans="1:4" x14ac:dyDescent="0.2">
      <c r="A689">
        <v>2018</v>
      </c>
      <c r="B689" s="23">
        <v>5823</v>
      </c>
      <c r="C689" s="31">
        <v>261626</v>
      </c>
      <c r="D689" s="30"/>
    </row>
    <row r="690" spans="1:4" x14ac:dyDescent="0.2">
      <c r="A690">
        <v>2018</v>
      </c>
      <c r="B690" s="23">
        <v>6001</v>
      </c>
      <c r="C690" s="31">
        <v>2548175</v>
      </c>
      <c r="D690" s="30"/>
    </row>
    <row r="691" spans="1:4" x14ac:dyDescent="0.2">
      <c r="A691">
        <v>2018</v>
      </c>
      <c r="B691" s="23">
        <v>6005</v>
      </c>
      <c r="C691" s="31">
        <v>1934569</v>
      </c>
      <c r="D691" s="30"/>
    </row>
    <row r="692" spans="1:4" x14ac:dyDescent="0.2">
      <c r="A692">
        <v>2018</v>
      </c>
      <c r="B692" s="23">
        <v>6008</v>
      </c>
      <c r="C692" s="31">
        <v>1934366</v>
      </c>
      <c r="D692" s="30"/>
    </row>
    <row r="693" spans="1:4" x14ac:dyDescent="0.2">
      <c r="A693">
        <v>2018</v>
      </c>
      <c r="B693" s="23">
        <v>6011</v>
      </c>
      <c r="C693" s="31">
        <v>921138</v>
      </c>
      <c r="D693" s="30"/>
    </row>
    <row r="694" spans="1:4" x14ac:dyDescent="0.2">
      <c r="A694">
        <v>2018</v>
      </c>
      <c r="B694" s="23">
        <v>6018</v>
      </c>
      <c r="C694" s="31">
        <v>965896</v>
      </c>
      <c r="D694" s="30"/>
    </row>
    <row r="695" spans="1:4" x14ac:dyDescent="0.2">
      <c r="A695">
        <v>2018</v>
      </c>
      <c r="B695" s="23">
        <v>6022</v>
      </c>
      <c r="C695" s="31">
        <v>937792</v>
      </c>
      <c r="D695" s="30"/>
    </row>
    <row r="696" spans="1:4" x14ac:dyDescent="0.2">
      <c r="A696">
        <v>2018</v>
      </c>
      <c r="B696" s="23">
        <v>6026</v>
      </c>
      <c r="C696" s="31">
        <v>1810516</v>
      </c>
      <c r="D696" s="30"/>
    </row>
    <row r="697" spans="1:4" x14ac:dyDescent="0.2">
      <c r="A697">
        <v>2018</v>
      </c>
      <c r="B697" s="23">
        <v>6027</v>
      </c>
      <c r="C697" s="31">
        <v>2667039</v>
      </c>
      <c r="D697" s="30"/>
    </row>
    <row r="698" spans="1:4" x14ac:dyDescent="0.2">
      <c r="A698">
        <v>2018</v>
      </c>
      <c r="B698" s="23">
        <v>6028</v>
      </c>
      <c r="C698" s="31">
        <v>2234357</v>
      </c>
      <c r="D698" s="29"/>
    </row>
    <row r="699" spans="1:4" x14ac:dyDescent="0.2">
      <c r="A699">
        <v>2018</v>
      </c>
      <c r="B699" s="23">
        <v>6036</v>
      </c>
      <c r="C699" s="31">
        <v>451113</v>
      </c>
      <c r="D699" s="30"/>
    </row>
    <row r="700" spans="1:4" x14ac:dyDescent="0.2">
      <c r="A700">
        <v>2018</v>
      </c>
      <c r="B700" s="23">
        <v>6040</v>
      </c>
      <c r="C700" s="31">
        <v>639751</v>
      </c>
      <c r="D700" s="30"/>
    </row>
    <row r="701" spans="1:4" x14ac:dyDescent="0.2">
      <c r="A701">
        <v>2018</v>
      </c>
      <c r="B701" s="23">
        <v>6041</v>
      </c>
      <c r="C701" s="31">
        <v>977361</v>
      </c>
      <c r="D701" s="30"/>
    </row>
    <row r="702" spans="1:4" x14ac:dyDescent="0.2">
      <c r="A702">
        <v>2018</v>
      </c>
      <c r="B702" s="23">
        <v>6042</v>
      </c>
      <c r="C702" s="31">
        <v>888781</v>
      </c>
      <c r="D702" s="30"/>
    </row>
    <row r="703" spans="1:4" x14ac:dyDescent="0.2">
      <c r="A703">
        <v>2018</v>
      </c>
      <c r="B703" s="23">
        <v>6044</v>
      </c>
      <c r="C703" s="31">
        <v>1362772</v>
      </c>
      <c r="D703" s="30"/>
    </row>
    <row r="704" spans="1:4" x14ac:dyDescent="0.2">
      <c r="A704">
        <v>2018</v>
      </c>
      <c r="B704" s="23">
        <v>6048</v>
      </c>
      <c r="C704" s="31">
        <v>1151849</v>
      </c>
      <c r="D704" s="30"/>
    </row>
    <row r="705" spans="1:4" x14ac:dyDescent="0.2">
      <c r="A705">
        <v>2018</v>
      </c>
      <c r="B705" s="23">
        <v>6050</v>
      </c>
      <c r="C705" s="31">
        <v>1387707</v>
      </c>
      <c r="D705" s="30"/>
    </row>
    <row r="706" spans="1:4" x14ac:dyDescent="0.2">
      <c r="A706">
        <v>2018</v>
      </c>
      <c r="B706" s="23">
        <v>6051</v>
      </c>
      <c r="C706" s="31">
        <v>3077690</v>
      </c>
      <c r="D706" s="30"/>
    </row>
    <row r="707" spans="1:4" x14ac:dyDescent="0.2">
      <c r="A707">
        <v>2018</v>
      </c>
      <c r="B707" s="23">
        <v>6052</v>
      </c>
      <c r="C707" s="31">
        <v>2112089</v>
      </c>
      <c r="D707" s="30"/>
    </row>
    <row r="708" spans="1:4" x14ac:dyDescent="0.2">
      <c r="A708">
        <v>2018</v>
      </c>
      <c r="B708" s="23">
        <v>6056</v>
      </c>
      <c r="C708" s="31">
        <v>8853376</v>
      </c>
      <c r="D708" s="30"/>
    </row>
    <row r="709" spans="1:4" x14ac:dyDescent="0.2">
      <c r="A709">
        <v>2018</v>
      </c>
      <c r="B709" s="23">
        <v>6057</v>
      </c>
      <c r="C709" s="31">
        <v>1804726</v>
      </c>
      <c r="D709" s="30"/>
    </row>
    <row r="710" spans="1:4" x14ac:dyDescent="0.2">
      <c r="A710">
        <v>2018</v>
      </c>
      <c r="B710" s="23">
        <v>6061</v>
      </c>
      <c r="C710" s="31">
        <v>3334156</v>
      </c>
      <c r="D710" s="30"/>
    </row>
    <row r="711" spans="1:4" x14ac:dyDescent="0.2">
      <c r="A711">
        <v>2018</v>
      </c>
      <c r="B711" s="23">
        <v>6065</v>
      </c>
      <c r="C711" s="31">
        <v>3828550</v>
      </c>
      <c r="D711" s="30"/>
    </row>
    <row r="712" spans="1:4" x14ac:dyDescent="0.2">
      <c r="A712">
        <v>2018</v>
      </c>
      <c r="B712" s="23">
        <v>6067</v>
      </c>
      <c r="C712" s="31">
        <v>1965316</v>
      </c>
      <c r="D712" s="30"/>
    </row>
    <row r="713" spans="1:4" x14ac:dyDescent="0.2">
      <c r="A713">
        <v>2018</v>
      </c>
      <c r="B713" s="23">
        <v>6068</v>
      </c>
      <c r="C713" s="31">
        <v>1509886</v>
      </c>
      <c r="D713" s="30"/>
    </row>
    <row r="714" spans="1:4" x14ac:dyDescent="0.2">
      <c r="A714">
        <v>2018</v>
      </c>
      <c r="B714" s="23">
        <v>6074</v>
      </c>
      <c r="C714" s="31">
        <v>2204733</v>
      </c>
      <c r="D714" s="30"/>
    </row>
    <row r="715" spans="1:4" x14ac:dyDescent="0.2">
      <c r="A715">
        <v>2018</v>
      </c>
      <c r="B715" s="23">
        <v>6075</v>
      </c>
      <c r="C715" s="31">
        <v>1615438</v>
      </c>
      <c r="D715" s="30"/>
    </row>
    <row r="716" spans="1:4" x14ac:dyDescent="0.2">
      <c r="A716">
        <v>2018</v>
      </c>
      <c r="B716" s="23">
        <v>6078</v>
      </c>
      <c r="C716" s="31">
        <v>4269329</v>
      </c>
      <c r="D716" s="30"/>
    </row>
    <row r="717" spans="1:4" x14ac:dyDescent="0.2">
      <c r="A717">
        <v>2018</v>
      </c>
      <c r="B717" s="23">
        <v>6079</v>
      </c>
      <c r="C717" s="31">
        <v>1901178</v>
      </c>
      <c r="D717" s="30"/>
    </row>
    <row r="718" spans="1:4" x14ac:dyDescent="0.2">
      <c r="A718">
        <v>2018</v>
      </c>
      <c r="B718" s="23">
        <v>6091</v>
      </c>
      <c r="C718" s="31">
        <v>8398103</v>
      </c>
      <c r="D718" s="30"/>
    </row>
    <row r="719" spans="1:4" x14ac:dyDescent="0.2">
      <c r="A719">
        <v>2018</v>
      </c>
      <c r="B719" s="23">
        <v>6093</v>
      </c>
      <c r="C719" s="31">
        <v>4136587</v>
      </c>
      <c r="D719" s="30"/>
    </row>
    <row r="720" spans="1:4" x14ac:dyDescent="0.2">
      <c r="A720">
        <v>2018</v>
      </c>
      <c r="B720" s="23">
        <v>6094</v>
      </c>
      <c r="C720" s="31">
        <v>2666213</v>
      </c>
      <c r="D720" s="30"/>
    </row>
    <row r="721" spans="1:4" x14ac:dyDescent="0.2">
      <c r="A721">
        <v>2018</v>
      </c>
      <c r="B721" s="23">
        <v>6095</v>
      </c>
      <c r="C721" s="31">
        <v>1034856</v>
      </c>
      <c r="D721" s="30"/>
    </row>
    <row r="722" spans="1:4" x14ac:dyDescent="0.2">
      <c r="A722">
        <v>2018</v>
      </c>
      <c r="B722" s="23">
        <v>6097</v>
      </c>
      <c r="C722" s="31">
        <v>887255</v>
      </c>
      <c r="D722" s="30"/>
    </row>
    <row r="723" spans="1:4" x14ac:dyDescent="0.2">
      <c r="A723">
        <v>2018</v>
      </c>
      <c r="B723" s="23">
        <v>6099</v>
      </c>
      <c r="C723" s="31">
        <v>1100814</v>
      </c>
      <c r="D723" s="30"/>
    </row>
    <row r="724" spans="1:4" x14ac:dyDescent="0.2">
      <c r="A724">
        <v>2018</v>
      </c>
      <c r="B724" s="23">
        <v>6104</v>
      </c>
      <c r="C724" s="31">
        <v>1777293</v>
      </c>
      <c r="D724" s="30"/>
    </row>
    <row r="725" spans="1:4" x14ac:dyDescent="0.2">
      <c r="A725">
        <v>2018</v>
      </c>
      <c r="B725" s="23">
        <v>6105</v>
      </c>
      <c r="C725" s="31">
        <v>2965148</v>
      </c>
      <c r="D725" s="30"/>
    </row>
    <row r="726" spans="1:4" x14ac:dyDescent="0.2">
      <c r="A726">
        <v>2018</v>
      </c>
      <c r="B726" s="23">
        <v>6109</v>
      </c>
      <c r="C726" s="31">
        <v>2785038</v>
      </c>
      <c r="D726" s="30"/>
    </row>
    <row r="727" spans="1:4" x14ac:dyDescent="0.2">
      <c r="A727">
        <v>2018</v>
      </c>
      <c r="B727" s="23">
        <v>6507</v>
      </c>
      <c r="C727" s="31">
        <v>87089</v>
      </c>
      <c r="D727" s="30"/>
    </row>
    <row r="728" spans="1:4" x14ac:dyDescent="0.2">
      <c r="A728">
        <v>2018</v>
      </c>
      <c r="B728" s="23">
        <v>6511</v>
      </c>
      <c r="C728" s="31">
        <v>43189</v>
      </c>
      <c r="D728" s="30"/>
    </row>
    <row r="729" spans="1:4" x14ac:dyDescent="0.2">
      <c r="A729">
        <v>2018</v>
      </c>
      <c r="B729" s="23">
        <v>7000</v>
      </c>
      <c r="C729" s="31">
        <v>12949289</v>
      </c>
      <c r="D729" s="30"/>
    </row>
    <row r="730" spans="1:4" x14ac:dyDescent="0.2">
      <c r="A730">
        <v>2018</v>
      </c>
      <c r="B730" s="23">
        <v>7500</v>
      </c>
      <c r="C730" s="31">
        <v>108645</v>
      </c>
      <c r="D730" s="30"/>
    </row>
    <row r="731" spans="1:4" x14ac:dyDescent="0.2">
      <c r="A731">
        <v>2018</v>
      </c>
      <c r="B731" s="23">
        <v>7501</v>
      </c>
      <c r="C731" s="31">
        <v>224223</v>
      </c>
      <c r="D731" s="30"/>
    </row>
    <row r="732" spans="1:4" x14ac:dyDescent="0.2">
      <c r="A732">
        <v>2018</v>
      </c>
      <c r="B732" s="23">
        <v>7502</v>
      </c>
      <c r="C732" s="31">
        <v>38774</v>
      </c>
      <c r="D732" s="30"/>
    </row>
    <row r="733" spans="1:4" x14ac:dyDescent="0.2">
      <c r="A733">
        <v>2018</v>
      </c>
      <c r="B733" s="23">
        <v>8000</v>
      </c>
      <c r="C733" s="31">
        <v>1553805</v>
      </c>
      <c r="D733" s="30"/>
    </row>
    <row r="734" spans="1:4" x14ac:dyDescent="0.2">
      <c r="A734">
        <v>2018</v>
      </c>
      <c r="B734" s="23">
        <v>8102</v>
      </c>
      <c r="C734" s="31">
        <v>338326</v>
      </c>
      <c r="D734" s="30"/>
    </row>
    <row r="735" spans="1:4" x14ac:dyDescent="0.2">
      <c r="A735">
        <v>2018</v>
      </c>
      <c r="B735" s="23">
        <v>8105</v>
      </c>
      <c r="C735" s="31">
        <v>346806</v>
      </c>
      <c r="D735" s="30"/>
    </row>
    <row r="736" spans="1:4" x14ac:dyDescent="0.2">
      <c r="A736">
        <v>2018</v>
      </c>
      <c r="B736" s="23">
        <v>8110</v>
      </c>
      <c r="C736" s="31">
        <v>731104</v>
      </c>
      <c r="D736" s="30"/>
    </row>
    <row r="737" spans="1:4" x14ac:dyDescent="0.2">
      <c r="A737">
        <v>2018</v>
      </c>
      <c r="B737" s="23">
        <v>8112</v>
      </c>
      <c r="C737" s="31">
        <v>133679</v>
      </c>
      <c r="D737" s="30"/>
    </row>
    <row r="738" spans="1:4" x14ac:dyDescent="0.2">
      <c r="A738">
        <v>2018</v>
      </c>
      <c r="B738" s="23">
        <v>8113</v>
      </c>
      <c r="C738" s="31">
        <v>174200</v>
      </c>
      <c r="D738" s="30"/>
    </row>
    <row r="739" spans="1:4" x14ac:dyDescent="0.2">
      <c r="A739">
        <v>2018</v>
      </c>
      <c r="B739" s="23">
        <v>8115</v>
      </c>
      <c r="C739" s="31">
        <v>179325</v>
      </c>
      <c r="D739" s="29"/>
    </row>
    <row r="740" spans="1:4" x14ac:dyDescent="0.2">
      <c r="A740">
        <v>2018</v>
      </c>
      <c r="B740" s="23">
        <v>8120</v>
      </c>
      <c r="C740" s="31">
        <v>624862</v>
      </c>
      <c r="D740" s="30"/>
    </row>
    <row r="741" spans="1:4" x14ac:dyDescent="0.2">
      <c r="A741">
        <v>2018</v>
      </c>
      <c r="B741" s="23">
        <v>8124</v>
      </c>
      <c r="C741" s="31">
        <v>1500019</v>
      </c>
      <c r="D741" s="30"/>
    </row>
    <row r="742" spans="1:4" x14ac:dyDescent="0.2">
      <c r="A742">
        <v>2018</v>
      </c>
      <c r="B742" s="23">
        <v>8129</v>
      </c>
      <c r="C742" s="31">
        <v>457313</v>
      </c>
      <c r="D742" s="30"/>
    </row>
    <row r="743" spans="1:4" x14ac:dyDescent="0.2">
      <c r="A743">
        <v>2018</v>
      </c>
      <c r="B743" s="23">
        <v>8130</v>
      </c>
      <c r="C743" s="31">
        <v>2116694</v>
      </c>
      <c r="D743" s="30"/>
    </row>
    <row r="744" spans="1:4" x14ac:dyDescent="0.2">
      <c r="A744">
        <v>2018</v>
      </c>
      <c r="B744" s="23">
        <v>8131</v>
      </c>
      <c r="C744" s="31">
        <v>305112</v>
      </c>
      <c r="D744" s="30"/>
    </row>
    <row r="745" spans="1:4" x14ac:dyDescent="0.2">
      <c r="A745">
        <v>2018</v>
      </c>
      <c r="B745" s="23">
        <v>8133</v>
      </c>
      <c r="C745" s="31">
        <v>411633</v>
      </c>
      <c r="D745" s="30"/>
    </row>
    <row r="746" spans="1:4" x14ac:dyDescent="0.2">
      <c r="A746">
        <v>2018</v>
      </c>
      <c r="B746" s="23">
        <v>8134</v>
      </c>
      <c r="C746" s="31">
        <v>181267</v>
      </c>
      <c r="D746" s="30"/>
    </row>
    <row r="747" spans="1:4" x14ac:dyDescent="0.2">
      <c r="A747">
        <v>2018</v>
      </c>
      <c r="B747" s="23">
        <v>8135</v>
      </c>
      <c r="C747" s="31">
        <v>1003080</v>
      </c>
      <c r="D747" s="30"/>
    </row>
    <row r="748" spans="1:4" x14ac:dyDescent="0.2">
      <c r="A748">
        <v>2018</v>
      </c>
      <c r="B748" s="23">
        <v>8140</v>
      </c>
      <c r="C748" s="31">
        <v>235801</v>
      </c>
      <c r="D748" s="30"/>
    </row>
    <row r="749" spans="1:4" x14ac:dyDescent="0.2">
      <c r="A749">
        <v>2018</v>
      </c>
      <c r="B749" s="23">
        <v>8142</v>
      </c>
      <c r="C749" s="31">
        <v>481618</v>
      </c>
      <c r="D749" s="30"/>
    </row>
    <row r="750" spans="1:4" x14ac:dyDescent="0.2">
      <c r="A750">
        <v>2018</v>
      </c>
      <c r="B750" s="23">
        <v>8145</v>
      </c>
      <c r="C750" s="31">
        <v>390927</v>
      </c>
      <c r="D750" s="30"/>
    </row>
    <row r="751" spans="1:4" x14ac:dyDescent="0.2">
      <c r="A751">
        <v>2018</v>
      </c>
      <c r="B751" s="23">
        <v>8146</v>
      </c>
      <c r="C751" s="31">
        <v>1050873</v>
      </c>
      <c r="D751" s="30"/>
    </row>
    <row r="752" spans="1:4" x14ac:dyDescent="0.2">
      <c r="A752">
        <v>2018</v>
      </c>
      <c r="B752" s="23">
        <v>8149</v>
      </c>
      <c r="C752" s="31">
        <v>152752</v>
      </c>
      <c r="D752" s="30"/>
    </row>
    <row r="753" spans="1:4" x14ac:dyDescent="0.2">
      <c r="A753">
        <v>2018</v>
      </c>
      <c r="B753" s="23">
        <v>8150</v>
      </c>
      <c r="C753" s="31">
        <v>2160596</v>
      </c>
      <c r="D753" s="30"/>
    </row>
    <row r="754" spans="1:4" x14ac:dyDescent="0.2">
      <c r="A754">
        <v>2018</v>
      </c>
      <c r="B754" s="23">
        <v>8151</v>
      </c>
      <c r="C754" s="31">
        <v>1005268</v>
      </c>
      <c r="D754" s="30"/>
    </row>
    <row r="755" spans="1:4" x14ac:dyDescent="0.2">
      <c r="A755">
        <v>2018</v>
      </c>
      <c r="B755" s="23">
        <v>8153</v>
      </c>
      <c r="C755" s="31">
        <v>316888</v>
      </c>
      <c r="D755" s="30"/>
    </row>
    <row r="756" spans="1:4" x14ac:dyDescent="0.2">
      <c r="A756">
        <v>2018</v>
      </c>
      <c r="B756" s="23">
        <v>8155</v>
      </c>
      <c r="C756" s="31">
        <v>595284</v>
      </c>
      <c r="D756" s="30"/>
    </row>
    <row r="757" spans="1:4" x14ac:dyDescent="0.2">
      <c r="A757">
        <v>2018</v>
      </c>
      <c r="B757" s="23">
        <v>8160</v>
      </c>
      <c r="C757" s="31">
        <v>672512</v>
      </c>
      <c r="D757" s="30"/>
    </row>
    <row r="758" spans="1:4" x14ac:dyDescent="0.2">
      <c r="A758">
        <v>2018</v>
      </c>
      <c r="B758" s="23">
        <v>8162</v>
      </c>
      <c r="C758" s="31">
        <v>196375</v>
      </c>
      <c r="D758" s="30"/>
    </row>
    <row r="759" spans="1:4" x14ac:dyDescent="0.2">
      <c r="A759">
        <v>2018</v>
      </c>
      <c r="B759" s="23">
        <v>8166</v>
      </c>
      <c r="C759" s="31">
        <v>2807325</v>
      </c>
      <c r="D759" s="30"/>
    </row>
    <row r="760" spans="1:4" x14ac:dyDescent="0.2">
      <c r="A760">
        <v>2018</v>
      </c>
      <c r="B760" s="23">
        <v>8167</v>
      </c>
      <c r="C760" s="31">
        <v>115204</v>
      </c>
      <c r="D760" s="30"/>
    </row>
    <row r="761" spans="1:4" x14ac:dyDescent="0.2">
      <c r="A761">
        <v>2018</v>
      </c>
      <c r="B761" s="23">
        <v>8168</v>
      </c>
      <c r="C761" s="31">
        <v>205493</v>
      </c>
      <c r="D761" s="30"/>
    </row>
    <row r="762" spans="1:4" x14ac:dyDescent="0.2">
      <c r="A762">
        <v>2018</v>
      </c>
      <c r="B762" s="23">
        <v>8169</v>
      </c>
      <c r="C762" s="31">
        <v>198282</v>
      </c>
      <c r="D762" s="30"/>
    </row>
    <row r="763" spans="1:4" x14ac:dyDescent="0.2">
      <c r="A763">
        <v>2018</v>
      </c>
      <c r="B763" s="23">
        <v>8170</v>
      </c>
      <c r="C763" s="31">
        <v>1283958</v>
      </c>
      <c r="D763" s="30"/>
    </row>
    <row r="764" spans="1:4" x14ac:dyDescent="0.2">
      <c r="A764">
        <v>2018</v>
      </c>
      <c r="B764" s="23">
        <v>8400</v>
      </c>
      <c r="C764" s="31">
        <v>434174</v>
      </c>
      <c r="D764" s="30"/>
    </row>
    <row r="765" spans="1:4" x14ac:dyDescent="0.2">
      <c r="A765">
        <v>2018</v>
      </c>
      <c r="B765" s="23">
        <v>8402</v>
      </c>
      <c r="C765" s="31">
        <v>288490</v>
      </c>
      <c r="D765" s="30"/>
    </row>
    <row r="766" spans="1:4" x14ac:dyDescent="0.2">
      <c r="A766">
        <v>2018</v>
      </c>
      <c r="B766" s="23">
        <v>8403</v>
      </c>
      <c r="C766" s="31">
        <v>279247</v>
      </c>
      <c r="D766" s="30"/>
    </row>
    <row r="767" spans="1:4" x14ac:dyDescent="0.2">
      <c r="A767">
        <v>2018</v>
      </c>
      <c r="B767" s="23">
        <v>8406</v>
      </c>
      <c r="C767" s="31">
        <v>166187</v>
      </c>
      <c r="D767" s="30"/>
    </row>
    <row r="768" spans="1:4" x14ac:dyDescent="0.2">
      <c r="A768">
        <v>2018</v>
      </c>
      <c r="B768" s="23">
        <v>8407</v>
      </c>
      <c r="C768" s="31">
        <v>1149984</v>
      </c>
      <c r="D768" s="30"/>
    </row>
    <row r="769" spans="1:4" x14ac:dyDescent="0.2">
      <c r="A769">
        <v>2018</v>
      </c>
      <c r="B769" s="23">
        <v>8409</v>
      </c>
      <c r="C769" s="31">
        <v>594612</v>
      </c>
      <c r="D769" s="30"/>
    </row>
    <row r="770" spans="1:4" x14ac:dyDescent="0.2">
      <c r="A770">
        <v>2018</v>
      </c>
      <c r="B770" s="23">
        <v>8410</v>
      </c>
      <c r="C770" s="31">
        <v>294655</v>
      </c>
      <c r="D770" s="30"/>
    </row>
    <row r="771" spans="1:4" x14ac:dyDescent="0.2">
      <c r="A771">
        <v>2018</v>
      </c>
      <c r="B771" s="23">
        <v>8412</v>
      </c>
      <c r="C771" s="31">
        <v>475949</v>
      </c>
      <c r="D771" s="30"/>
    </row>
    <row r="772" spans="1:4" x14ac:dyDescent="0.2">
      <c r="A772">
        <v>2018</v>
      </c>
      <c r="B772" s="23">
        <v>8415</v>
      </c>
      <c r="C772" s="31">
        <v>559094</v>
      </c>
      <c r="D772" s="30"/>
    </row>
    <row r="773" spans="1:4" x14ac:dyDescent="0.2">
      <c r="A773">
        <v>2018</v>
      </c>
      <c r="B773" s="23">
        <v>8416</v>
      </c>
      <c r="C773" s="31">
        <v>229068</v>
      </c>
      <c r="D773" s="30"/>
    </row>
    <row r="774" spans="1:4" x14ac:dyDescent="0.2">
      <c r="A774">
        <v>2018</v>
      </c>
      <c r="B774" s="23">
        <v>8419</v>
      </c>
      <c r="C774" s="31">
        <v>304104</v>
      </c>
      <c r="D774" s="30"/>
    </row>
    <row r="775" spans="1:4" x14ac:dyDescent="0.2">
      <c r="A775">
        <v>2018</v>
      </c>
      <c r="B775" s="23">
        <v>8420</v>
      </c>
      <c r="C775" s="31">
        <v>321220</v>
      </c>
      <c r="D775" s="30"/>
    </row>
    <row r="776" spans="1:4" x14ac:dyDescent="0.2">
      <c r="A776">
        <v>2018</v>
      </c>
      <c r="B776" s="23">
        <v>8421</v>
      </c>
      <c r="C776" s="31">
        <v>264097</v>
      </c>
      <c r="D776" s="30"/>
    </row>
    <row r="777" spans="1:4" x14ac:dyDescent="0.2">
      <c r="A777">
        <v>2018</v>
      </c>
      <c r="B777" s="23">
        <v>8422</v>
      </c>
      <c r="C777" s="31">
        <v>25105</v>
      </c>
      <c r="D777" s="30"/>
    </row>
    <row r="778" spans="1:4" x14ac:dyDescent="0.2">
      <c r="A778">
        <v>2018</v>
      </c>
      <c r="B778" s="23">
        <v>8423</v>
      </c>
      <c r="C778" s="31">
        <v>164657</v>
      </c>
      <c r="D778" s="30"/>
    </row>
    <row r="779" spans="1:4" x14ac:dyDescent="0.2">
      <c r="A779">
        <v>2018</v>
      </c>
      <c r="B779" s="23">
        <v>8424</v>
      </c>
      <c r="C779" s="31">
        <v>120127</v>
      </c>
      <c r="D779" s="30"/>
    </row>
    <row r="780" spans="1:4" x14ac:dyDescent="0.2">
      <c r="A780">
        <v>2018</v>
      </c>
      <c r="B780" s="23">
        <v>8425</v>
      </c>
      <c r="C780" s="31">
        <v>212698</v>
      </c>
      <c r="D780" s="29"/>
    </row>
    <row r="781" spans="1:4" x14ac:dyDescent="0.2">
      <c r="A781">
        <v>2018</v>
      </c>
      <c r="B781" s="23">
        <v>8426</v>
      </c>
      <c r="C781" s="31">
        <v>158231</v>
      </c>
      <c r="D781" s="30"/>
    </row>
    <row r="782" spans="1:4" x14ac:dyDescent="0.2">
      <c r="A782">
        <v>2018</v>
      </c>
      <c r="B782" s="23">
        <v>8427</v>
      </c>
      <c r="C782" s="31">
        <v>66865</v>
      </c>
      <c r="D782" s="30"/>
    </row>
    <row r="783" spans="1:4" x14ac:dyDescent="0.2">
      <c r="A783">
        <v>2018</v>
      </c>
      <c r="B783" s="23">
        <v>8428</v>
      </c>
      <c r="C783" s="31">
        <v>364853</v>
      </c>
      <c r="D783" s="30"/>
    </row>
    <row r="784" spans="1:4" x14ac:dyDescent="0.2">
      <c r="A784">
        <v>2018</v>
      </c>
      <c r="B784" s="23">
        <v>8429</v>
      </c>
      <c r="C784" s="31">
        <v>224210</v>
      </c>
      <c r="D784" s="30"/>
    </row>
    <row r="785" spans="1:4" x14ac:dyDescent="0.2">
      <c r="A785">
        <v>2018</v>
      </c>
      <c r="B785" s="23">
        <v>8430</v>
      </c>
      <c r="C785" s="31">
        <v>208470</v>
      </c>
      <c r="D785" s="30"/>
    </row>
    <row r="786" spans="1:4" x14ac:dyDescent="0.2">
      <c r="A786">
        <v>2018</v>
      </c>
      <c r="B786" s="23">
        <v>8431</v>
      </c>
      <c r="C786" s="31">
        <v>199552</v>
      </c>
      <c r="D786" s="30"/>
    </row>
    <row r="787" spans="1:4" x14ac:dyDescent="0.2">
      <c r="A787">
        <v>2018</v>
      </c>
      <c r="B787" s="23">
        <v>8432</v>
      </c>
      <c r="C787" s="31">
        <v>216642</v>
      </c>
      <c r="D787" s="30"/>
    </row>
    <row r="788" spans="1:4" x14ac:dyDescent="0.2">
      <c r="A788">
        <v>2018</v>
      </c>
      <c r="B788" s="23">
        <v>8433</v>
      </c>
      <c r="C788" s="31">
        <v>75239</v>
      </c>
      <c r="D788" s="30"/>
    </row>
    <row r="789" spans="1:4" x14ac:dyDescent="0.2">
      <c r="A789">
        <v>2018</v>
      </c>
      <c r="B789" s="23">
        <v>8434</v>
      </c>
      <c r="C789" s="31">
        <v>88103</v>
      </c>
      <c r="D789" s="30"/>
    </row>
    <row r="790" spans="1:4" x14ac:dyDescent="0.2">
      <c r="A790">
        <v>2018</v>
      </c>
      <c r="B790" s="23">
        <v>8435</v>
      </c>
      <c r="C790" s="31">
        <v>86728</v>
      </c>
      <c r="D790" s="30"/>
    </row>
    <row r="791" spans="1:4" x14ac:dyDescent="0.2">
      <c r="A791">
        <v>2018</v>
      </c>
      <c r="B791" s="23">
        <v>8436</v>
      </c>
      <c r="C791" s="31">
        <v>313019</v>
      </c>
      <c r="D791" s="30"/>
    </row>
    <row r="793" spans="1:4" x14ac:dyDescent="0.2">
      <c r="B793" s="10" t="s">
        <v>3</v>
      </c>
      <c r="C793" s="9">
        <f>SUM(C2:C791)</f>
        <v>1596310619</v>
      </c>
    </row>
    <row r="794" spans="1:4" x14ac:dyDescent="0.2">
      <c r="B794" s="10"/>
    </row>
    <row r="795" spans="1:4" x14ac:dyDescent="0.2">
      <c r="B795" s="10" t="s">
        <v>2</v>
      </c>
      <c r="C795" s="32">
        <v>1596310607</v>
      </c>
    </row>
    <row r="796" spans="1:4" x14ac:dyDescent="0.2">
      <c r="B796" s="10"/>
    </row>
    <row r="797" spans="1:4" x14ac:dyDescent="0.2">
      <c r="B797" s="19" t="s">
        <v>4</v>
      </c>
      <c r="C797" s="33">
        <f>C793-C795</f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105B-F70F-1540-ADC8-47B76486961D}">
  <sheetPr>
    <tabColor rgb="FFFFFF00"/>
  </sheetPr>
  <dimension ref="A1:C796"/>
  <sheetViews>
    <sheetView workbookViewId="0">
      <selection activeCell="A2" sqref="A2:C790"/>
    </sheetView>
  </sheetViews>
  <sheetFormatPr baseColWidth="10" defaultRowHeight="16" x14ac:dyDescent="0.2"/>
  <cols>
    <col min="2" max="2" width="16" style="39" bestFit="1" customWidth="1"/>
    <col min="3" max="3" width="18.83203125" style="41" bestFit="1" customWidth="1"/>
  </cols>
  <sheetData>
    <row r="1" spans="1:3" x14ac:dyDescent="0.2">
      <c r="A1" t="s">
        <v>5</v>
      </c>
      <c r="B1" s="34" t="s">
        <v>0</v>
      </c>
      <c r="C1" s="35" t="s">
        <v>1</v>
      </c>
    </row>
    <row r="2" spans="1:3" x14ac:dyDescent="0.2">
      <c r="A2">
        <v>2019</v>
      </c>
      <c r="B2" s="36">
        <v>1005</v>
      </c>
      <c r="C2" s="40">
        <v>9893500</v>
      </c>
    </row>
    <row r="3" spans="1:3" x14ac:dyDescent="0.2">
      <c r="A3">
        <v>2019</v>
      </c>
      <c r="B3" s="36">
        <v>1010</v>
      </c>
      <c r="C3" s="40">
        <v>2680351</v>
      </c>
    </row>
    <row r="4" spans="1:3" x14ac:dyDescent="0.2">
      <c r="A4">
        <v>2019</v>
      </c>
      <c r="B4" s="36">
        <v>1015</v>
      </c>
      <c r="C4" s="40">
        <v>2878043</v>
      </c>
    </row>
    <row r="5" spans="1:3" x14ac:dyDescent="0.2">
      <c r="A5">
        <v>2019</v>
      </c>
      <c r="B5" s="36">
        <v>1020</v>
      </c>
      <c r="C5" s="40">
        <v>1858796</v>
      </c>
    </row>
    <row r="6" spans="1:3" x14ac:dyDescent="0.2">
      <c r="A6">
        <v>2019</v>
      </c>
      <c r="B6" s="36">
        <v>1025</v>
      </c>
      <c r="C6" s="40">
        <v>2974066</v>
      </c>
    </row>
    <row r="7" spans="1:3" x14ac:dyDescent="0.2">
      <c r="A7">
        <v>2019</v>
      </c>
      <c r="B7" s="36">
        <v>1030</v>
      </c>
      <c r="C7" s="40">
        <v>4589301</v>
      </c>
    </row>
    <row r="8" spans="1:3" x14ac:dyDescent="0.2">
      <c r="A8">
        <v>2019</v>
      </c>
      <c r="B8" s="36">
        <v>1035</v>
      </c>
      <c r="C8" s="40">
        <v>31671613</v>
      </c>
    </row>
    <row r="9" spans="1:3" x14ac:dyDescent="0.2">
      <c r="A9">
        <v>2019</v>
      </c>
      <c r="B9" s="36">
        <v>1040</v>
      </c>
      <c r="C9" s="40">
        <v>2847689</v>
      </c>
    </row>
    <row r="10" spans="1:3" x14ac:dyDescent="0.2">
      <c r="A10">
        <v>2019</v>
      </c>
      <c r="B10" s="36">
        <v>1045</v>
      </c>
      <c r="C10" s="40">
        <v>1686229</v>
      </c>
    </row>
    <row r="11" spans="1:3" x14ac:dyDescent="0.2">
      <c r="A11">
        <v>2019</v>
      </c>
      <c r="B11" s="36">
        <v>1050</v>
      </c>
      <c r="C11" s="40">
        <v>4162158</v>
      </c>
    </row>
    <row r="12" spans="1:3" x14ac:dyDescent="0.2">
      <c r="A12">
        <v>2019</v>
      </c>
      <c r="B12" s="36">
        <v>1055</v>
      </c>
      <c r="C12" s="40">
        <v>1881349</v>
      </c>
    </row>
    <row r="13" spans="1:3" x14ac:dyDescent="0.2">
      <c r="A13">
        <v>2019</v>
      </c>
      <c r="B13" s="36">
        <v>1060</v>
      </c>
      <c r="C13" s="40">
        <v>1957360</v>
      </c>
    </row>
    <row r="14" spans="1:3" x14ac:dyDescent="0.2">
      <c r="A14">
        <v>2019</v>
      </c>
      <c r="B14" s="36">
        <v>1065</v>
      </c>
      <c r="C14" s="40">
        <v>3824839</v>
      </c>
    </row>
    <row r="15" spans="1:3" x14ac:dyDescent="0.2">
      <c r="A15">
        <v>2019</v>
      </c>
      <c r="B15" s="36">
        <v>1070</v>
      </c>
      <c r="C15" s="40">
        <v>2782385</v>
      </c>
    </row>
    <row r="16" spans="1:3" x14ac:dyDescent="0.2">
      <c r="A16">
        <v>2019</v>
      </c>
      <c r="B16" s="36">
        <v>1075</v>
      </c>
      <c r="C16" s="40">
        <v>1885275</v>
      </c>
    </row>
    <row r="17" spans="1:3" x14ac:dyDescent="0.2">
      <c r="A17">
        <v>2019</v>
      </c>
      <c r="B17" s="36">
        <v>1080</v>
      </c>
      <c r="C17" s="40">
        <v>3802895</v>
      </c>
    </row>
    <row r="18" spans="1:3" x14ac:dyDescent="0.2">
      <c r="A18">
        <v>2019</v>
      </c>
      <c r="B18" s="36">
        <v>1085</v>
      </c>
      <c r="C18" s="40">
        <v>1688362</v>
      </c>
    </row>
    <row r="19" spans="1:3" x14ac:dyDescent="0.2">
      <c r="A19">
        <v>2019</v>
      </c>
      <c r="B19" s="36">
        <v>1090</v>
      </c>
      <c r="C19" s="40">
        <v>2146302</v>
      </c>
    </row>
    <row r="20" spans="1:3" x14ac:dyDescent="0.2">
      <c r="A20">
        <v>2019</v>
      </c>
      <c r="B20" s="36">
        <v>1095</v>
      </c>
      <c r="C20" s="40">
        <v>1099441</v>
      </c>
    </row>
    <row r="21" spans="1:3" x14ac:dyDescent="0.2">
      <c r="A21">
        <v>2019</v>
      </c>
      <c r="B21" s="36">
        <v>1100</v>
      </c>
      <c r="C21" s="40">
        <v>1783458</v>
      </c>
    </row>
    <row r="22" spans="1:3" x14ac:dyDescent="0.2">
      <c r="A22">
        <v>2019</v>
      </c>
      <c r="B22" s="36">
        <v>1105</v>
      </c>
      <c r="C22" s="40">
        <v>4442779</v>
      </c>
    </row>
    <row r="23" spans="1:3" x14ac:dyDescent="0.2">
      <c r="A23">
        <v>2019</v>
      </c>
      <c r="B23" s="36">
        <v>1110</v>
      </c>
      <c r="C23" s="40">
        <v>3560079</v>
      </c>
    </row>
    <row r="24" spans="1:3" x14ac:dyDescent="0.2">
      <c r="A24">
        <v>2019</v>
      </c>
      <c r="B24" s="36">
        <v>1115</v>
      </c>
      <c r="C24" s="40">
        <v>1125199</v>
      </c>
    </row>
    <row r="25" spans="1:3" x14ac:dyDescent="0.2">
      <c r="A25">
        <v>2019</v>
      </c>
      <c r="B25" s="36">
        <v>1120</v>
      </c>
      <c r="C25" s="40">
        <v>7217880</v>
      </c>
    </row>
    <row r="26" spans="1:3" x14ac:dyDescent="0.2">
      <c r="A26">
        <v>2019</v>
      </c>
      <c r="B26" s="36">
        <v>1125</v>
      </c>
      <c r="C26" s="40">
        <v>1716589</v>
      </c>
    </row>
    <row r="27" spans="1:3" x14ac:dyDescent="0.2">
      <c r="A27">
        <v>2019</v>
      </c>
      <c r="B27" s="36">
        <v>1130</v>
      </c>
      <c r="C27" s="40">
        <v>787349</v>
      </c>
    </row>
    <row r="28" spans="1:3" x14ac:dyDescent="0.2">
      <c r="A28">
        <v>2019</v>
      </c>
      <c r="B28" s="36">
        <v>1135</v>
      </c>
      <c r="C28" s="40">
        <v>3872272</v>
      </c>
    </row>
    <row r="29" spans="1:3" x14ac:dyDescent="0.2">
      <c r="A29">
        <v>2019</v>
      </c>
      <c r="B29" s="36">
        <v>1140</v>
      </c>
      <c r="C29" s="40">
        <v>6023390</v>
      </c>
    </row>
    <row r="30" spans="1:3" x14ac:dyDescent="0.2">
      <c r="A30">
        <v>2019</v>
      </c>
      <c r="B30" s="36">
        <v>1145</v>
      </c>
      <c r="C30" s="40">
        <v>931653</v>
      </c>
    </row>
    <row r="31" spans="1:3" x14ac:dyDescent="0.2">
      <c r="A31">
        <v>2019</v>
      </c>
      <c r="B31" s="36">
        <v>1150</v>
      </c>
      <c r="C31" s="40">
        <v>7055301</v>
      </c>
    </row>
    <row r="32" spans="1:3" x14ac:dyDescent="0.2">
      <c r="A32">
        <v>2019</v>
      </c>
      <c r="B32" s="36">
        <v>1155</v>
      </c>
      <c r="C32" s="40">
        <v>11063948</v>
      </c>
    </row>
    <row r="33" spans="1:3" x14ac:dyDescent="0.2">
      <c r="A33">
        <v>2019</v>
      </c>
      <c r="B33" s="36">
        <v>1160</v>
      </c>
      <c r="C33" s="40">
        <v>12368421</v>
      </c>
    </row>
    <row r="34" spans="1:3" x14ac:dyDescent="0.2">
      <c r="A34">
        <v>2019</v>
      </c>
      <c r="B34" s="36">
        <v>1165</v>
      </c>
      <c r="C34" s="40">
        <v>12321365</v>
      </c>
    </row>
    <row r="35" spans="1:3" x14ac:dyDescent="0.2">
      <c r="A35">
        <v>2019</v>
      </c>
      <c r="B35" s="36">
        <v>1170</v>
      </c>
      <c r="C35" s="40">
        <v>5596531</v>
      </c>
    </row>
    <row r="36" spans="1:3" x14ac:dyDescent="0.2">
      <c r="A36">
        <v>2019</v>
      </c>
      <c r="B36" s="36">
        <v>1175</v>
      </c>
      <c r="C36" s="40">
        <v>2817336</v>
      </c>
    </row>
    <row r="37" spans="1:3" x14ac:dyDescent="0.2">
      <c r="A37">
        <v>2019</v>
      </c>
      <c r="B37" s="36">
        <v>1180</v>
      </c>
      <c r="C37" s="40">
        <v>1429007</v>
      </c>
    </row>
    <row r="38" spans="1:3" x14ac:dyDescent="0.2">
      <c r="A38">
        <v>2019</v>
      </c>
      <c r="B38" s="36">
        <v>1185</v>
      </c>
      <c r="C38" s="40">
        <v>1359950</v>
      </c>
    </row>
    <row r="39" spans="1:3" x14ac:dyDescent="0.2">
      <c r="A39">
        <v>2019</v>
      </c>
      <c r="B39" s="36">
        <v>1190</v>
      </c>
      <c r="C39" s="40">
        <v>1557149</v>
      </c>
    </row>
    <row r="40" spans="1:3" x14ac:dyDescent="0.2">
      <c r="A40">
        <v>2019</v>
      </c>
      <c r="B40" s="36">
        <v>1195</v>
      </c>
      <c r="C40" s="40">
        <v>1597289</v>
      </c>
    </row>
    <row r="41" spans="1:3" x14ac:dyDescent="0.2">
      <c r="A41">
        <v>2019</v>
      </c>
      <c r="B41" s="36">
        <v>1200</v>
      </c>
      <c r="C41" s="40">
        <v>1561493</v>
      </c>
    </row>
    <row r="42" spans="1:3" x14ac:dyDescent="0.2">
      <c r="A42">
        <v>2019</v>
      </c>
      <c r="B42" s="36">
        <v>1205</v>
      </c>
      <c r="C42" s="40">
        <v>3169373</v>
      </c>
    </row>
    <row r="43" spans="1:3" x14ac:dyDescent="0.2">
      <c r="A43">
        <v>2019</v>
      </c>
      <c r="B43" s="36">
        <v>1210</v>
      </c>
      <c r="C43" s="40">
        <v>3842935</v>
      </c>
    </row>
    <row r="44" spans="1:3" x14ac:dyDescent="0.2">
      <c r="A44">
        <v>2019</v>
      </c>
      <c r="B44" s="36">
        <v>1215</v>
      </c>
      <c r="C44" s="40">
        <v>1789359</v>
      </c>
    </row>
    <row r="45" spans="1:3" x14ac:dyDescent="0.2">
      <c r="A45">
        <v>2019</v>
      </c>
      <c r="B45" s="36">
        <v>1220</v>
      </c>
      <c r="C45" s="40">
        <v>2618133</v>
      </c>
    </row>
    <row r="46" spans="1:3" x14ac:dyDescent="0.2">
      <c r="A46">
        <v>2019</v>
      </c>
      <c r="B46" s="36">
        <v>1225</v>
      </c>
      <c r="C46" s="40">
        <v>4345094</v>
      </c>
    </row>
    <row r="47" spans="1:3" x14ac:dyDescent="0.2">
      <c r="A47">
        <v>2019</v>
      </c>
      <c r="B47" s="36">
        <v>1230</v>
      </c>
      <c r="C47" s="40">
        <v>857540</v>
      </c>
    </row>
    <row r="48" spans="1:3" x14ac:dyDescent="0.2">
      <c r="A48">
        <v>2019</v>
      </c>
      <c r="B48" s="36">
        <v>1235</v>
      </c>
      <c r="C48" s="40">
        <v>30530120</v>
      </c>
    </row>
    <row r="49" spans="1:3" x14ac:dyDescent="0.2">
      <c r="A49">
        <v>2019</v>
      </c>
      <c r="B49" s="36">
        <v>1240</v>
      </c>
      <c r="C49" s="40">
        <v>4339805</v>
      </c>
    </row>
    <row r="50" spans="1:3" x14ac:dyDescent="0.2">
      <c r="A50">
        <v>2019</v>
      </c>
      <c r="B50" s="36">
        <v>1245</v>
      </c>
      <c r="C50" s="40">
        <v>4291201</v>
      </c>
    </row>
    <row r="51" spans="1:3" x14ac:dyDescent="0.2">
      <c r="A51">
        <v>2019</v>
      </c>
      <c r="B51" s="36">
        <v>1250</v>
      </c>
      <c r="C51" s="40">
        <v>1305882</v>
      </c>
    </row>
    <row r="52" spans="1:3" x14ac:dyDescent="0.2">
      <c r="A52">
        <v>2019</v>
      </c>
      <c r="B52" s="36">
        <v>1255</v>
      </c>
      <c r="C52" s="40">
        <v>4772532</v>
      </c>
    </row>
    <row r="53" spans="1:3" x14ac:dyDescent="0.2">
      <c r="A53">
        <v>2019</v>
      </c>
      <c r="B53" s="36">
        <v>1260</v>
      </c>
      <c r="C53" s="40">
        <v>8309307</v>
      </c>
    </row>
    <row r="54" spans="1:3" x14ac:dyDescent="0.2">
      <c r="A54">
        <v>2019</v>
      </c>
      <c r="B54" s="36">
        <v>1265</v>
      </c>
      <c r="C54" s="40">
        <v>1495160</v>
      </c>
    </row>
    <row r="55" spans="1:3" x14ac:dyDescent="0.2">
      <c r="A55">
        <v>2019</v>
      </c>
      <c r="B55" s="36">
        <v>1270</v>
      </c>
      <c r="C55" s="40">
        <v>20169382</v>
      </c>
    </row>
    <row r="56" spans="1:3" x14ac:dyDescent="0.2">
      <c r="A56">
        <v>2019</v>
      </c>
      <c r="B56" s="36">
        <v>1275</v>
      </c>
      <c r="C56" s="40">
        <v>1437530</v>
      </c>
    </row>
    <row r="57" spans="1:3" x14ac:dyDescent="0.2">
      <c r="A57">
        <v>2019</v>
      </c>
      <c r="B57" s="36">
        <v>1280</v>
      </c>
      <c r="C57" s="40">
        <v>3643513</v>
      </c>
    </row>
    <row r="58" spans="1:3" x14ac:dyDescent="0.2">
      <c r="A58">
        <v>2019</v>
      </c>
      <c r="B58" s="36">
        <v>1285</v>
      </c>
      <c r="C58" s="40">
        <v>6626299</v>
      </c>
    </row>
    <row r="59" spans="1:3" x14ac:dyDescent="0.2">
      <c r="A59">
        <v>2019</v>
      </c>
      <c r="B59" s="36">
        <v>1290</v>
      </c>
      <c r="C59" s="40">
        <v>2647516</v>
      </c>
    </row>
    <row r="60" spans="1:3" x14ac:dyDescent="0.2">
      <c r="A60">
        <v>2019</v>
      </c>
      <c r="B60" s="36">
        <v>1295</v>
      </c>
      <c r="C60" s="40">
        <v>1013070</v>
      </c>
    </row>
    <row r="61" spans="1:3" x14ac:dyDescent="0.2">
      <c r="A61">
        <v>2019</v>
      </c>
      <c r="B61" s="36">
        <v>1300</v>
      </c>
      <c r="C61" s="40">
        <v>9865063</v>
      </c>
    </row>
    <row r="62" spans="1:3" x14ac:dyDescent="0.2">
      <c r="A62">
        <v>2019</v>
      </c>
      <c r="B62" s="36">
        <v>1305</v>
      </c>
      <c r="C62" s="40">
        <v>26947692</v>
      </c>
    </row>
    <row r="63" spans="1:3" x14ac:dyDescent="0.2">
      <c r="A63">
        <v>2019</v>
      </c>
      <c r="B63" s="36">
        <v>2005</v>
      </c>
      <c r="C63" s="40">
        <v>1388843</v>
      </c>
    </row>
    <row r="64" spans="1:3" x14ac:dyDescent="0.2">
      <c r="A64">
        <v>2019</v>
      </c>
      <c r="B64" s="36">
        <v>2006</v>
      </c>
      <c r="C64" s="40">
        <v>1304991</v>
      </c>
    </row>
    <row r="65" spans="1:3" x14ac:dyDescent="0.2">
      <c r="A65">
        <v>2019</v>
      </c>
      <c r="B65" s="36">
        <v>2007</v>
      </c>
      <c r="C65" s="40">
        <v>3517034</v>
      </c>
    </row>
    <row r="66" spans="1:3" x14ac:dyDescent="0.2">
      <c r="A66">
        <v>2019</v>
      </c>
      <c r="B66" s="36">
        <v>2008</v>
      </c>
      <c r="C66" s="40">
        <v>3317239</v>
      </c>
    </row>
    <row r="67" spans="1:3" x14ac:dyDescent="0.2">
      <c r="A67">
        <v>2019</v>
      </c>
      <c r="B67" s="36">
        <v>2009</v>
      </c>
      <c r="C67" s="40">
        <v>2509415</v>
      </c>
    </row>
    <row r="68" spans="1:3" x14ac:dyDescent="0.2">
      <c r="A68">
        <v>2019</v>
      </c>
      <c r="B68" s="36">
        <v>2010</v>
      </c>
      <c r="C68" s="40">
        <v>8259881</v>
      </c>
    </row>
    <row r="69" spans="1:3" x14ac:dyDescent="0.2">
      <c r="A69">
        <v>2019</v>
      </c>
      <c r="B69" s="36">
        <v>2014</v>
      </c>
      <c r="C69" s="40">
        <v>1055875</v>
      </c>
    </row>
    <row r="70" spans="1:3" x14ac:dyDescent="0.2">
      <c r="A70">
        <v>2019</v>
      </c>
      <c r="B70" s="36">
        <v>2015</v>
      </c>
      <c r="C70" s="40">
        <v>2319629</v>
      </c>
    </row>
    <row r="71" spans="1:3" x14ac:dyDescent="0.2">
      <c r="A71">
        <v>2019</v>
      </c>
      <c r="B71" s="36">
        <v>2016</v>
      </c>
      <c r="C71" s="40">
        <v>934812</v>
      </c>
    </row>
    <row r="72" spans="1:3" x14ac:dyDescent="0.2">
      <c r="A72">
        <v>2019</v>
      </c>
      <c r="B72" s="36">
        <v>2018</v>
      </c>
      <c r="C72" s="40">
        <v>2220078</v>
      </c>
    </row>
    <row r="73" spans="1:3" x14ac:dyDescent="0.2">
      <c r="A73">
        <v>2019</v>
      </c>
      <c r="B73" s="36">
        <v>2020</v>
      </c>
      <c r="C73" s="40">
        <v>5825452</v>
      </c>
    </row>
    <row r="74" spans="1:3" x14ac:dyDescent="0.2">
      <c r="A74">
        <v>2019</v>
      </c>
      <c r="B74" s="36">
        <v>2025</v>
      </c>
      <c r="C74" s="40">
        <v>4487642</v>
      </c>
    </row>
    <row r="75" spans="1:3" x14ac:dyDescent="0.2">
      <c r="A75">
        <v>2019</v>
      </c>
      <c r="B75" s="36">
        <v>2030</v>
      </c>
      <c r="C75" s="40">
        <v>3829094</v>
      </c>
    </row>
    <row r="76" spans="1:3" x14ac:dyDescent="0.2">
      <c r="A76">
        <v>2019</v>
      </c>
      <c r="B76" s="36">
        <v>2035</v>
      </c>
      <c r="C76" s="40">
        <v>1251884</v>
      </c>
    </row>
    <row r="77" spans="1:3" x14ac:dyDescent="0.2">
      <c r="A77">
        <v>2019</v>
      </c>
      <c r="B77" s="36">
        <v>2040</v>
      </c>
      <c r="C77" s="40">
        <v>7476562</v>
      </c>
    </row>
    <row r="78" spans="1:3" x14ac:dyDescent="0.2">
      <c r="A78">
        <v>2019</v>
      </c>
      <c r="B78" s="36">
        <v>2044</v>
      </c>
      <c r="C78" s="40">
        <v>1774146</v>
      </c>
    </row>
    <row r="79" spans="1:3" x14ac:dyDescent="0.2">
      <c r="A79">
        <v>2019</v>
      </c>
      <c r="B79" s="36">
        <v>2045</v>
      </c>
      <c r="C79" s="40">
        <v>4207166</v>
      </c>
    </row>
    <row r="80" spans="1:3" x14ac:dyDescent="0.2">
      <c r="A80">
        <v>2019</v>
      </c>
      <c r="B80" s="36">
        <v>2046</v>
      </c>
      <c r="C80" s="40">
        <v>3444813</v>
      </c>
    </row>
    <row r="81" spans="1:3" x14ac:dyDescent="0.2">
      <c r="A81">
        <v>2019</v>
      </c>
      <c r="B81" s="36">
        <v>2047</v>
      </c>
      <c r="C81" s="40">
        <v>17744884</v>
      </c>
    </row>
    <row r="82" spans="1:3" x14ac:dyDescent="0.2">
      <c r="A82">
        <v>2019</v>
      </c>
      <c r="B82" s="36">
        <v>2048</v>
      </c>
      <c r="C82" s="40">
        <v>3902084</v>
      </c>
    </row>
    <row r="83" spans="1:3" x14ac:dyDescent="0.2">
      <c r="A83">
        <v>2019</v>
      </c>
      <c r="B83" s="36">
        <v>2050</v>
      </c>
      <c r="C83" s="40">
        <v>3079127</v>
      </c>
    </row>
    <row r="84" spans="1:3" x14ac:dyDescent="0.2">
      <c r="A84">
        <v>2019</v>
      </c>
      <c r="B84" s="36">
        <v>2052</v>
      </c>
      <c r="C84" s="40">
        <v>2657761</v>
      </c>
    </row>
    <row r="85" spans="1:3" x14ac:dyDescent="0.2">
      <c r="A85">
        <v>2019</v>
      </c>
      <c r="B85" s="36">
        <v>2055</v>
      </c>
      <c r="C85" s="40">
        <v>2296875</v>
      </c>
    </row>
    <row r="86" spans="1:3" x14ac:dyDescent="0.2">
      <c r="A86">
        <v>2019</v>
      </c>
      <c r="B86" s="36">
        <v>2056</v>
      </c>
      <c r="C86" s="40">
        <v>2884770</v>
      </c>
    </row>
    <row r="87" spans="1:3" x14ac:dyDescent="0.2">
      <c r="A87">
        <v>2019</v>
      </c>
      <c r="B87" s="36">
        <v>2057</v>
      </c>
      <c r="C87" s="40">
        <v>3644823</v>
      </c>
    </row>
    <row r="88" spans="1:3" x14ac:dyDescent="0.2">
      <c r="A88">
        <v>2019</v>
      </c>
      <c r="B88" s="36">
        <v>2058</v>
      </c>
      <c r="C88" s="40">
        <v>2317227</v>
      </c>
    </row>
    <row r="89" spans="1:3" x14ac:dyDescent="0.2">
      <c r="A89">
        <v>2019</v>
      </c>
      <c r="B89" s="36">
        <v>2059</v>
      </c>
      <c r="C89" s="40">
        <v>3955362</v>
      </c>
    </row>
    <row r="90" spans="1:3" x14ac:dyDescent="0.2">
      <c r="A90">
        <v>2019</v>
      </c>
      <c r="B90" s="36">
        <v>2060</v>
      </c>
      <c r="C90" s="40">
        <v>1047282</v>
      </c>
    </row>
    <row r="91" spans="1:3" x14ac:dyDescent="0.2">
      <c r="A91">
        <v>2019</v>
      </c>
      <c r="B91" s="36">
        <v>2061</v>
      </c>
      <c r="C91" s="40">
        <v>1120806</v>
      </c>
    </row>
    <row r="92" spans="1:3" x14ac:dyDescent="0.2">
      <c r="A92">
        <v>2019</v>
      </c>
      <c r="B92" s="36">
        <v>2062</v>
      </c>
      <c r="C92" s="40">
        <v>1747730</v>
      </c>
    </row>
    <row r="93" spans="1:3" x14ac:dyDescent="0.2">
      <c r="A93">
        <v>2019</v>
      </c>
      <c r="B93" s="36">
        <v>2063</v>
      </c>
      <c r="C93" s="40">
        <v>913581</v>
      </c>
    </row>
    <row r="94" spans="1:3" x14ac:dyDescent="0.2">
      <c r="A94">
        <v>2019</v>
      </c>
      <c r="B94" s="36">
        <v>2064</v>
      </c>
      <c r="C94" s="40">
        <v>2715977</v>
      </c>
    </row>
    <row r="95" spans="1:3" x14ac:dyDescent="0.2">
      <c r="A95">
        <v>2019</v>
      </c>
      <c r="B95" s="36">
        <v>2065</v>
      </c>
      <c r="C95" s="40">
        <v>2288324</v>
      </c>
    </row>
    <row r="96" spans="1:3" x14ac:dyDescent="0.2">
      <c r="A96">
        <v>2019</v>
      </c>
      <c r="B96" s="36">
        <v>2066</v>
      </c>
      <c r="C96" s="40">
        <v>5772331</v>
      </c>
    </row>
    <row r="97" spans="1:3" x14ac:dyDescent="0.2">
      <c r="A97">
        <v>2019</v>
      </c>
      <c r="B97" s="36">
        <v>2067</v>
      </c>
      <c r="C97" s="40">
        <v>9040047</v>
      </c>
    </row>
    <row r="98" spans="1:3" x14ac:dyDescent="0.2">
      <c r="A98">
        <v>2019</v>
      </c>
      <c r="B98" s="36">
        <v>2068</v>
      </c>
      <c r="C98" s="40">
        <v>7990685</v>
      </c>
    </row>
    <row r="99" spans="1:3" x14ac:dyDescent="0.2">
      <c r="A99">
        <v>2019</v>
      </c>
      <c r="B99" s="36">
        <v>2069</v>
      </c>
      <c r="C99" s="40">
        <v>1073893</v>
      </c>
    </row>
    <row r="100" spans="1:3" x14ac:dyDescent="0.2">
      <c r="A100">
        <v>2019</v>
      </c>
      <c r="B100" s="36">
        <v>2070</v>
      </c>
      <c r="C100" s="40">
        <v>1483835</v>
      </c>
    </row>
    <row r="101" spans="1:3" x14ac:dyDescent="0.2">
      <c r="A101">
        <v>2019</v>
      </c>
      <c r="B101" s="36">
        <v>2071</v>
      </c>
      <c r="C101" s="40">
        <v>1170958</v>
      </c>
    </row>
    <row r="102" spans="1:3" x14ac:dyDescent="0.2">
      <c r="A102">
        <v>2019</v>
      </c>
      <c r="B102" s="36">
        <v>2072</v>
      </c>
      <c r="C102" s="40">
        <v>1415192</v>
      </c>
    </row>
    <row r="103" spans="1:3" x14ac:dyDescent="0.2">
      <c r="A103">
        <v>2019</v>
      </c>
      <c r="B103" s="36">
        <v>2073</v>
      </c>
      <c r="C103" s="40">
        <v>2878488</v>
      </c>
    </row>
    <row r="104" spans="1:3" x14ac:dyDescent="0.2">
      <c r="A104">
        <v>2019</v>
      </c>
      <c r="B104" s="36">
        <v>2074</v>
      </c>
      <c r="C104" s="40">
        <v>2905203</v>
      </c>
    </row>
    <row r="105" spans="1:3" x14ac:dyDescent="0.2">
      <c r="A105">
        <v>2019</v>
      </c>
      <c r="B105" s="36">
        <v>2075</v>
      </c>
      <c r="C105" s="40">
        <v>5577833</v>
      </c>
    </row>
    <row r="106" spans="1:3" x14ac:dyDescent="0.2">
      <c r="A106">
        <v>2019</v>
      </c>
      <c r="B106" s="36">
        <v>2076</v>
      </c>
      <c r="C106" s="40">
        <v>3358065</v>
      </c>
    </row>
    <row r="107" spans="1:3" x14ac:dyDescent="0.2">
      <c r="A107">
        <v>2019</v>
      </c>
      <c r="B107" s="36">
        <v>2077</v>
      </c>
      <c r="C107" s="40">
        <v>983804</v>
      </c>
    </row>
    <row r="108" spans="1:3" x14ac:dyDescent="0.2">
      <c r="A108">
        <v>2019</v>
      </c>
      <c r="B108" s="36">
        <v>2078</v>
      </c>
      <c r="C108" s="40">
        <v>8815507</v>
      </c>
    </row>
    <row r="109" spans="1:3" x14ac:dyDescent="0.2">
      <c r="A109">
        <v>2019</v>
      </c>
      <c r="B109" s="36">
        <v>2079</v>
      </c>
      <c r="C109" s="40">
        <v>5191676</v>
      </c>
    </row>
    <row r="110" spans="1:3" x14ac:dyDescent="0.2">
      <c r="A110">
        <v>2019</v>
      </c>
      <c r="B110" s="36">
        <v>2080</v>
      </c>
      <c r="C110" s="40">
        <v>1074060</v>
      </c>
    </row>
    <row r="111" spans="1:3" x14ac:dyDescent="0.2">
      <c r="A111">
        <v>2019</v>
      </c>
      <c r="B111" s="36">
        <v>2081</v>
      </c>
      <c r="C111" s="40">
        <v>1432212</v>
      </c>
    </row>
    <row r="112" spans="1:3" x14ac:dyDescent="0.2">
      <c r="A112">
        <v>2019</v>
      </c>
      <c r="B112" s="36">
        <v>2082</v>
      </c>
      <c r="C112" s="40">
        <v>788951</v>
      </c>
    </row>
    <row r="113" spans="1:3" x14ac:dyDescent="0.2">
      <c r="A113">
        <v>2019</v>
      </c>
      <c r="B113" s="36">
        <v>2083</v>
      </c>
      <c r="C113" s="40">
        <v>1926359</v>
      </c>
    </row>
    <row r="114" spans="1:3" x14ac:dyDescent="0.2">
      <c r="A114">
        <v>2019</v>
      </c>
      <c r="B114" s="36">
        <v>2084</v>
      </c>
      <c r="C114" s="40">
        <v>3076412</v>
      </c>
    </row>
    <row r="115" spans="1:3" x14ac:dyDescent="0.2">
      <c r="A115">
        <v>2019</v>
      </c>
      <c r="B115" s="36">
        <v>2085</v>
      </c>
      <c r="C115" s="40">
        <v>1578263</v>
      </c>
    </row>
    <row r="116" spans="1:3" x14ac:dyDescent="0.2">
      <c r="A116">
        <v>2019</v>
      </c>
      <c r="B116" s="36">
        <v>2086</v>
      </c>
      <c r="C116" s="40">
        <v>5284085</v>
      </c>
    </row>
    <row r="117" spans="1:3" x14ac:dyDescent="0.2">
      <c r="A117">
        <v>2019</v>
      </c>
      <c r="B117" s="36">
        <v>2090</v>
      </c>
      <c r="C117" s="40">
        <v>2328652</v>
      </c>
    </row>
    <row r="118" spans="1:3" x14ac:dyDescent="0.2">
      <c r="A118">
        <v>2019</v>
      </c>
      <c r="B118" s="36">
        <v>2095</v>
      </c>
      <c r="C118" s="40">
        <v>2357016</v>
      </c>
    </row>
    <row r="119" spans="1:3" x14ac:dyDescent="0.2">
      <c r="A119">
        <v>2019</v>
      </c>
      <c r="B119" s="36">
        <v>2104</v>
      </c>
      <c r="C119" s="40">
        <v>1301161</v>
      </c>
    </row>
    <row r="120" spans="1:3" x14ac:dyDescent="0.2">
      <c r="A120">
        <v>2019</v>
      </c>
      <c r="B120" s="36">
        <v>2105</v>
      </c>
      <c r="C120" s="40">
        <v>1207018</v>
      </c>
    </row>
    <row r="121" spans="1:3" x14ac:dyDescent="0.2">
      <c r="A121">
        <v>2019</v>
      </c>
      <c r="B121" s="36">
        <v>2110</v>
      </c>
      <c r="C121" s="40">
        <v>3599584</v>
      </c>
    </row>
    <row r="122" spans="1:3" x14ac:dyDescent="0.2">
      <c r="A122">
        <v>2019</v>
      </c>
      <c r="B122" s="36">
        <v>2112</v>
      </c>
      <c r="C122" s="40">
        <v>2412027</v>
      </c>
    </row>
    <row r="123" spans="1:3" x14ac:dyDescent="0.2">
      <c r="A123">
        <v>2019</v>
      </c>
      <c r="B123" s="36">
        <v>2115</v>
      </c>
      <c r="C123" s="40">
        <v>4809937</v>
      </c>
    </row>
    <row r="124" spans="1:3" x14ac:dyDescent="0.2">
      <c r="A124">
        <v>2019</v>
      </c>
      <c r="B124" s="36">
        <v>2120</v>
      </c>
      <c r="C124" s="40">
        <v>9192882</v>
      </c>
    </row>
    <row r="125" spans="1:3" x14ac:dyDescent="0.2">
      <c r="A125">
        <v>2019</v>
      </c>
      <c r="B125" s="36">
        <v>2125</v>
      </c>
      <c r="C125" s="40">
        <v>940898</v>
      </c>
    </row>
    <row r="126" spans="1:3" x14ac:dyDescent="0.2">
      <c r="A126">
        <v>2019</v>
      </c>
      <c r="B126" s="36">
        <v>2130</v>
      </c>
      <c r="C126" s="40">
        <v>1685533</v>
      </c>
    </row>
    <row r="127" spans="1:3" x14ac:dyDescent="0.2">
      <c r="A127">
        <v>2019</v>
      </c>
      <c r="B127" s="36">
        <v>2135</v>
      </c>
      <c r="C127" s="40">
        <v>3343183</v>
      </c>
    </row>
    <row r="128" spans="1:3" x14ac:dyDescent="0.2">
      <c r="A128">
        <v>2019</v>
      </c>
      <c r="B128" s="36">
        <v>2140</v>
      </c>
      <c r="C128" s="40">
        <v>2922046</v>
      </c>
    </row>
    <row r="129" spans="1:3" x14ac:dyDescent="0.2">
      <c r="A129">
        <v>2019</v>
      </c>
      <c r="B129" s="36">
        <v>2145</v>
      </c>
      <c r="C129" s="40">
        <v>4151736</v>
      </c>
    </row>
    <row r="130" spans="1:3" x14ac:dyDescent="0.2">
      <c r="A130">
        <v>2019</v>
      </c>
      <c r="B130" s="36">
        <v>2146</v>
      </c>
      <c r="C130" s="40">
        <v>3783346</v>
      </c>
    </row>
    <row r="131" spans="1:3" x14ac:dyDescent="0.2">
      <c r="A131">
        <v>2019</v>
      </c>
      <c r="B131" s="36">
        <v>2147</v>
      </c>
      <c r="C131" s="40">
        <v>1074097</v>
      </c>
    </row>
    <row r="132" spans="1:3" x14ac:dyDescent="0.2">
      <c r="A132">
        <v>2019</v>
      </c>
      <c r="B132" s="36">
        <v>2148</v>
      </c>
      <c r="C132" s="40">
        <v>2712964</v>
      </c>
    </row>
    <row r="133" spans="1:3" x14ac:dyDescent="0.2">
      <c r="A133">
        <v>2019</v>
      </c>
      <c r="B133" s="36">
        <v>2149</v>
      </c>
      <c r="C133" s="40">
        <v>1763240</v>
      </c>
    </row>
    <row r="134" spans="1:3" x14ac:dyDescent="0.2">
      <c r="A134">
        <v>2019</v>
      </c>
      <c r="B134" s="36">
        <v>2150</v>
      </c>
      <c r="C134" s="40">
        <v>719975</v>
      </c>
    </row>
    <row r="135" spans="1:3" x14ac:dyDescent="0.2">
      <c r="A135">
        <v>2019</v>
      </c>
      <c r="B135" s="36">
        <v>2155</v>
      </c>
      <c r="C135" s="40">
        <v>2714653</v>
      </c>
    </row>
    <row r="136" spans="1:3" x14ac:dyDescent="0.2">
      <c r="A136">
        <v>2019</v>
      </c>
      <c r="B136" s="36">
        <v>2160</v>
      </c>
      <c r="C136" s="40">
        <v>4618547</v>
      </c>
    </row>
    <row r="137" spans="1:3" x14ac:dyDescent="0.2">
      <c r="A137">
        <v>2019</v>
      </c>
      <c r="B137" s="36">
        <v>2165</v>
      </c>
      <c r="C137" s="40">
        <v>1618069</v>
      </c>
    </row>
    <row r="138" spans="1:3" x14ac:dyDescent="0.2">
      <c r="A138">
        <v>2019</v>
      </c>
      <c r="B138" s="36">
        <v>2170</v>
      </c>
      <c r="C138" s="40">
        <v>7051427</v>
      </c>
    </row>
    <row r="139" spans="1:3" x14ac:dyDescent="0.2">
      <c r="A139">
        <v>2019</v>
      </c>
      <c r="B139" s="36">
        <v>2175</v>
      </c>
      <c r="C139" s="40">
        <v>649051</v>
      </c>
    </row>
    <row r="140" spans="1:3" x14ac:dyDescent="0.2">
      <c r="A140">
        <v>2019</v>
      </c>
      <c r="B140" s="36">
        <v>2180</v>
      </c>
      <c r="C140" s="40">
        <v>1375154</v>
      </c>
    </row>
    <row r="141" spans="1:3" x14ac:dyDescent="0.2">
      <c r="A141">
        <v>2019</v>
      </c>
      <c r="B141" s="36">
        <v>2185</v>
      </c>
      <c r="C141" s="40">
        <v>7490536</v>
      </c>
    </row>
    <row r="142" spans="1:3" x14ac:dyDescent="0.2">
      <c r="A142">
        <v>2019</v>
      </c>
      <c r="B142" s="36">
        <v>2187</v>
      </c>
      <c r="C142" s="40">
        <v>3660640</v>
      </c>
    </row>
    <row r="143" spans="1:3" x14ac:dyDescent="0.2">
      <c r="A143">
        <v>2019</v>
      </c>
      <c r="B143" s="36">
        <v>2190</v>
      </c>
      <c r="C143" s="40">
        <v>4802609</v>
      </c>
    </row>
    <row r="144" spans="1:3" x14ac:dyDescent="0.2">
      <c r="A144">
        <v>2019</v>
      </c>
      <c r="B144" s="36">
        <v>2191</v>
      </c>
      <c r="C144" s="40">
        <v>3371111</v>
      </c>
    </row>
    <row r="145" spans="1:3" x14ac:dyDescent="0.2">
      <c r="A145">
        <v>2019</v>
      </c>
      <c r="B145" s="36">
        <v>2195</v>
      </c>
      <c r="C145" s="40">
        <v>1052898</v>
      </c>
    </row>
    <row r="146" spans="1:3" x14ac:dyDescent="0.2">
      <c r="A146">
        <v>2019</v>
      </c>
      <c r="B146" s="36">
        <v>2196</v>
      </c>
      <c r="C146" s="40">
        <v>1216509</v>
      </c>
    </row>
    <row r="147" spans="1:3" x14ac:dyDescent="0.2">
      <c r="A147">
        <v>2019</v>
      </c>
      <c r="B147" s="36">
        <v>2198</v>
      </c>
      <c r="C147" s="40">
        <v>2486067</v>
      </c>
    </row>
    <row r="148" spans="1:3" x14ac:dyDescent="0.2">
      <c r="A148">
        <v>2019</v>
      </c>
      <c r="B148" s="36">
        <v>2200</v>
      </c>
      <c r="C148" s="40">
        <v>10487836</v>
      </c>
    </row>
    <row r="149" spans="1:3" x14ac:dyDescent="0.2">
      <c r="A149">
        <v>2019</v>
      </c>
      <c r="B149" s="36">
        <v>2204</v>
      </c>
      <c r="C149" s="40">
        <v>9331628</v>
      </c>
    </row>
    <row r="150" spans="1:3" x14ac:dyDescent="0.2">
      <c r="A150">
        <v>2019</v>
      </c>
      <c r="B150" s="36">
        <v>2205</v>
      </c>
      <c r="C150" s="40">
        <v>285909</v>
      </c>
    </row>
    <row r="151" spans="1:3" x14ac:dyDescent="0.2">
      <c r="A151">
        <v>2019</v>
      </c>
      <c r="B151" s="36">
        <v>2206</v>
      </c>
      <c r="C151" s="40">
        <v>1454604</v>
      </c>
    </row>
    <row r="152" spans="1:3" x14ac:dyDescent="0.2">
      <c r="A152">
        <v>2019</v>
      </c>
      <c r="B152" s="36">
        <v>2207</v>
      </c>
      <c r="C152" s="40">
        <v>2587793</v>
      </c>
    </row>
    <row r="153" spans="1:3" x14ac:dyDescent="0.2">
      <c r="A153">
        <v>2019</v>
      </c>
      <c r="B153" s="36">
        <v>2208</v>
      </c>
      <c r="C153" s="40">
        <v>4522709</v>
      </c>
    </row>
    <row r="154" spans="1:3" x14ac:dyDescent="0.2">
      <c r="A154">
        <v>2019</v>
      </c>
      <c r="B154" s="36">
        <v>2209</v>
      </c>
      <c r="C154" s="40">
        <v>10218067</v>
      </c>
    </row>
    <row r="155" spans="1:3" x14ac:dyDescent="0.2">
      <c r="A155">
        <v>2019</v>
      </c>
      <c r="B155" s="36">
        <v>2210</v>
      </c>
      <c r="C155" s="40">
        <v>2903249</v>
      </c>
    </row>
    <row r="156" spans="1:3" x14ac:dyDescent="0.2">
      <c r="A156">
        <v>2019</v>
      </c>
      <c r="B156" s="36">
        <v>2212</v>
      </c>
      <c r="C156" s="40">
        <v>3690167</v>
      </c>
    </row>
    <row r="157" spans="1:3" x14ac:dyDescent="0.2">
      <c r="A157">
        <v>2019</v>
      </c>
      <c r="B157" s="36">
        <v>2215</v>
      </c>
      <c r="C157" s="40">
        <v>5530538</v>
      </c>
    </row>
    <row r="158" spans="1:3" x14ac:dyDescent="0.2">
      <c r="A158">
        <v>2019</v>
      </c>
      <c r="B158" s="36">
        <v>2220</v>
      </c>
      <c r="C158" s="40">
        <v>2331182</v>
      </c>
    </row>
    <row r="159" spans="1:3" x14ac:dyDescent="0.2">
      <c r="A159">
        <v>2019</v>
      </c>
      <c r="B159" s="36">
        <v>2224</v>
      </c>
      <c r="C159" s="40">
        <v>4932038</v>
      </c>
    </row>
    <row r="160" spans="1:3" x14ac:dyDescent="0.2">
      <c r="A160">
        <v>2019</v>
      </c>
      <c r="B160" s="36">
        <v>2225</v>
      </c>
      <c r="C160" s="40">
        <v>8632863</v>
      </c>
    </row>
    <row r="161" spans="1:3" x14ac:dyDescent="0.2">
      <c r="A161">
        <v>2019</v>
      </c>
      <c r="B161" s="36">
        <v>2230</v>
      </c>
      <c r="C161" s="40">
        <v>7237074</v>
      </c>
    </row>
    <row r="162" spans="1:3" x14ac:dyDescent="0.2">
      <c r="A162">
        <v>2019</v>
      </c>
      <c r="B162" s="36">
        <v>2231</v>
      </c>
      <c r="C162" s="40">
        <v>3476193</v>
      </c>
    </row>
    <row r="163" spans="1:3" x14ac:dyDescent="0.2">
      <c r="A163">
        <v>2019</v>
      </c>
      <c r="B163" s="36">
        <v>2235</v>
      </c>
      <c r="C163" s="40">
        <v>747754</v>
      </c>
    </row>
    <row r="164" spans="1:3" x14ac:dyDescent="0.2">
      <c r="A164">
        <v>2019</v>
      </c>
      <c r="B164" s="36">
        <v>2239</v>
      </c>
      <c r="C164" s="40">
        <v>3219059</v>
      </c>
    </row>
    <row r="165" spans="1:3" x14ac:dyDescent="0.2">
      <c r="A165">
        <v>2019</v>
      </c>
      <c r="B165" s="36">
        <v>2240</v>
      </c>
      <c r="C165" s="40">
        <v>6191583</v>
      </c>
    </row>
    <row r="166" spans="1:3" x14ac:dyDescent="0.2">
      <c r="A166">
        <v>2019</v>
      </c>
      <c r="B166" s="36">
        <v>2241</v>
      </c>
      <c r="C166" s="40">
        <v>961607</v>
      </c>
    </row>
    <row r="167" spans="1:3" x14ac:dyDescent="0.2">
      <c r="A167">
        <v>2019</v>
      </c>
      <c r="B167" s="36">
        <v>2242</v>
      </c>
      <c r="C167" s="40">
        <v>1631737</v>
      </c>
    </row>
    <row r="168" spans="1:3" x14ac:dyDescent="0.2">
      <c r="A168">
        <v>2019</v>
      </c>
      <c r="B168" s="36">
        <v>2243</v>
      </c>
      <c r="C168" s="40">
        <v>1686565</v>
      </c>
    </row>
    <row r="169" spans="1:3" x14ac:dyDescent="0.2">
      <c r="A169">
        <v>2019</v>
      </c>
      <c r="B169" s="36">
        <v>2244</v>
      </c>
      <c r="C169" s="40">
        <v>1029520</v>
      </c>
    </row>
    <row r="170" spans="1:3" x14ac:dyDescent="0.2">
      <c r="A170">
        <v>2019</v>
      </c>
      <c r="B170" s="36">
        <v>2245</v>
      </c>
      <c r="C170" s="40">
        <v>2751475</v>
      </c>
    </row>
    <row r="171" spans="1:3" x14ac:dyDescent="0.2">
      <c r="A171">
        <v>2019</v>
      </c>
      <c r="B171" s="36">
        <v>2250</v>
      </c>
      <c r="C171" s="40">
        <v>1581491</v>
      </c>
    </row>
    <row r="172" spans="1:3" x14ac:dyDescent="0.2">
      <c r="A172">
        <v>2019</v>
      </c>
      <c r="B172" s="36">
        <v>2255</v>
      </c>
      <c r="C172" s="40">
        <v>5025998</v>
      </c>
    </row>
    <row r="173" spans="1:3" x14ac:dyDescent="0.2">
      <c r="A173">
        <v>2019</v>
      </c>
      <c r="B173" s="36">
        <v>2260</v>
      </c>
      <c r="C173" s="40">
        <v>3459553</v>
      </c>
    </row>
    <row r="174" spans="1:3" x14ac:dyDescent="0.2">
      <c r="A174">
        <v>2019</v>
      </c>
      <c r="B174" s="36">
        <v>2266</v>
      </c>
      <c r="C174" s="40">
        <v>2888150</v>
      </c>
    </row>
    <row r="175" spans="1:3" x14ac:dyDescent="0.2">
      <c r="A175">
        <v>2019</v>
      </c>
      <c r="B175" s="36">
        <v>2268</v>
      </c>
      <c r="C175" s="40">
        <v>1546639</v>
      </c>
    </row>
    <row r="176" spans="1:3" x14ac:dyDescent="0.2">
      <c r="A176">
        <v>2019</v>
      </c>
      <c r="B176" s="36">
        <v>2270</v>
      </c>
      <c r="C176" s="40">
        <v>2766506</v>
      </c>
    </row>
    <row r="177" spans="1:3" x14ac:dyDescent="0.2">
      <c r="A177">
        <v>2019</v>
      </c>
      <c r="B177" s="36">
        <v>2271</v>
      </c>
      <c r="C177" s="40">
        <v>1935012</v>
      </c>
    </row>
    <row r="178" spans="1:3" x14ac:dyDescent="0.2">
      <c r="A178">
        <v>2019</v>
      </c>
      <c r="B178" s="36">
        <v>2272</v>
      </c>
      <c r="C178" s="40">
        <v>2904591</v>
      </c>
    </row>
    <row r="179" spans="1:3" x14ac:dyDescent="0.2">
      <c r="A179">
        <v>2019</v>
      </c>
      <c r="B179" s="36">
        <v>2275</v>
      </c>
      <c r="C179" s="40">
        <v>5415866</v>
      </c>
    </row>
    <row r="180" spans="1:3" x14ac:dyDescent="0.2">
      <c r="A180">
        <v>2019</v>
      </c>
      <c r="B180" s="36">
        <v>2280</v>
      </c>
      <c r="C180" s="40">
        <v>1804568</v>
      </c>
    </row>
    <row r="181" spans="1:3" x14ac:dyDescent="0.2">
      <c r="A181">
        <v>2019</v>
      </c>
      <c r="B181" s="36">
        <v>2281</v>
      </c>
      <c r="C181" s="40">
        <v>1090155</v>
      </c>
    </row>
    <row r="182" spans="1:3" x14ac:dyDescent="0.2">
      <c r="A182">
        <v>2019</v>
      </c>
      <c r="B182" s="36">
        <v>2282</v>
      </c>
      <c r="C182" s="40">
        <v>4736853</v>
      </c>
    </row>
    <row r="183" spans="1:3" x14ac:dyDescent="0.2">
      <c r="A183">
        <v>2019</v>
      </c>
      <c r="B183" s="36">
        <v>2285</v>
      </c>
      <c r="C183" s="40">
        <v>6862228</v>
      </c>
    </row>
    <row r="184" spans="1:3" x14ac:dyDescent="0.2">
      <c r="A184">
        <v>2019</v>
      </c>
      <c r="B184" s="36">
        <v>2286</v>
      </c>
      <c r="C184" s="40">
        <v>3762128</v>
      </c>
    </row>
    <row r="185" spans="1:3" x14ac:dyDescent="0.2">
      <c r="A185">
        <v>2019</v>
      </c>
      <c r="B185" s="36">
        <v>2288</v>
      </c>
      <c r="C185" s="40">
        <v>2171727</v>
      </c>
    </row>
    <row r="186" spans="1:3" x14ac:dyDescent="0.2">
      <c r="A186">
        <v>2019</v>
      </c>
      <c r="B186" s="36">
        <v>2289</v>
      </c>
      <c r="C186" s="40">
        <v>6887284</v>
      </c>
    </row>
    <row r="187" spans="1:3" x14ac:dyDescent="0.2">
      <c r="A187">
        <v>2019</v>
      </c>
      <c r="B187" s="36">
        <v>2290</v>
      </c>
      <c r="C187" s="40">
        <v>4022610</v>
      </c>
    </row>
    <row r="188" spans="1:3" x14ac:dyDescent="0.2">
      <c r="A188">
        <v>2019</v>
      </c>
      <c r="B188" s="36">
        <v>2295</v>
      </c>
      <c r="C188" s="40">
        <v>1915197</v>
      </c>
    </row>
    <row r="189" spans="1:3" x14ac:dyDescent="0.2">
      <c r="A189">
        <v>2019</v>
      </c>
      <c r="B189" s="36">
        <v>2300</v>
      </c>
      <c r="C189" s="40">
        <v>3662817</v>
      </c>
    </row>
    <row r="190" spans="1:3" x14ac:dyDescent="0.2">
      <c r="A190">
        <v>2019</v>
      </c>
      <c r="B190" s="36">
        <v>2305</v>
      </c>
      <c r="C190" s="40">
        <v>942732</v>
      </c>
    </row>
    <row r="191" spans="1:3" x14ac:dyDescent="0.2">
      <c r="A191">
        <v>2019</v>
      </c>
      <c r="B191" s="36">
        <v>2310</v>
      </c>
      <c r="C191" s="40">
        <v>10143127</v>
      </c>
    </row>
    <row r="192" spans="1:3" x14ac:dyDescent="0.2">
      <c r="A192">
        <v>2019</v>
      </c>
      <c r="B192" s="36">
        <v>2315</v>
      </c>
      <c r="C192" s="40">
        <v>1759063</v>
      </c>
    </row>
    <row r="193" spans="1:3" x14ac:dyDescent="0.2">
      <c r="A193">
        <v>2019</v>
      </c>
      <c r="B193" s="36">
        <v>2317</v>
      </c>
      <c r="C193" s="40">
        <v>1704138</v>
      </c>
    </row>
    <row r="194" spans="1:3" x14ac:dyDescent="0.2">
      <c r="A194">
        <v>2019</v>
      </c>
      <c r="B194" s="36">
        <v>2320</v>
      </c>
      <c r="C194" s="40">
        <v>6797141</v>
      </c>
    </row>
    <row r="195" spans="1:3" x14ac:dyDescent="0.2">
      <c r="A195">
        <v>2019</v>
      </c>
      <c r="B195" s="36">
        <v>2325</v>
      </c>
      <c r="C195" s="40">
        <v>6232368</v>
      </c>
    </row>
    <row r="196" spans="1:3" x14ac:dyDescent="0.2">
      <c r="A196">
        <v>2019</v>
      </c>
      <c r="B196" s="36">
        <v>2328</v>
      </c>
      <c r="C196" s="40">
        <v>1383743</v>
      </c>
    </row>
    <row r="197" spans="1:3" x14ac:dyDescent="0.2">
      <c r="A197">
        <v>2019</v>
      </c>
      <c r="B197" s="36">
        <v>2330</v>
      </c>
      <c r="C197" s="40">
        <v>3649364</v>
      </c>
    </row>
    <row r="198" spans="1:3" x14ac:dyDescent="0.2">
      <c r="A198">
        <v>2019</v>
      </c>
      <c r="B198" s="36">
        <v>2335</v>
      </c>
      <c r="C198" s="40">
        <v>4101502</v>
      </c>
    </row>
    <row r="199" spans="1:3" x14ac:dyDescent="0.2">
      <c r="A199">
        <v>2019</v>
      </c>
      <c r="B199" s="36">
        <v>2338</v>
      </c>
      <c r="C199" s="40">
        <v>5604714</v>
      </c>
    </row>
    <row r="200" spans="1:3" x14ac:dyDescent="0.2">
      <c r="A200">
        <v>2019</v>
      </c>
      <c r="B200" s="36">
        <v>2339</v>
      </c>
      <c r="C200" s="40">
        <v>1566659</v>
      </c>
    </row>
    <row r="201" spans="1:3" x14ac:dyDescent="0.2">
      <c r="A201">
        <v>2019</v>
      </c>
      <c r="B201" s="36">
        <v>2340</v>
      </c>
      <c r="C201" s="40">
        <v>1870025</v>
      </c>
    </row>
    <row r="202" spans="1:3" x14ac:dyDescent="0.2">
      <c r="A202">
        <v>2019</v>
      </c>
      <c r="B202" s="36">
        <v>2345</v>
      </c>
      <c r="C202" s="40">
        <v>2340651</v>
      </c>
    </row>
    <row r="203" spans="1:3" x14ac:dyDescent="0.2">
      <c r="A203">
        <v>2019</v>
      </c>
      <c r="B203" s="36">
        <v>2350</v>
      </c>
      <c r="C203" s="40">
        <v>6526773</v>
      </c>
    </row>
    <row r="204" spans="1:3" x14ac:dyDescent="0.2">
      <c r="A204">
        <v>2019</v>
      </c>
      <c r="B204" s="36">
        <v>2355</v>
      </c>
      <c r="C204" s="40">
        <v>4464846</v>
      </c>
    </row>
    <row r="205" spans="1:3" x14ac:dyDescent="0.2">
      <c r="A205">
        <v>2019</v>
      </c>
      <c r="B205" s="36">
        <v>2360</v>
      </c>
      <c r="C205" s="40">
        <v>3327020</v>
      </c>
    </row>
    <row r="206" spans="1:3" x14ac:dyDescent="0.2">
      <c r="A206">
        <v>2019</v>
      </c>
      <c r="B206" s="36">
        <v>2361</v>
      </c>
      <c r="C206" s="40">
        <v>1454606</v>
      </c>
    </row>
    <row r="207" spans="1:3" x14ac:dyDescent="0.2">
      <c r="A207">
        <v>2019</v>
      </c>
      <c r="B207" s="36">
        <v>2362</v>
      </c>
      <c r="C207" s="40">
        <v>1711926</v>
      </c>
    </row>
    <row r="208" spans="1:3" x14ac:dyDescent="0.2">
      <c r="A208">
        <v>2019</v>
      </c>
      <c r="B208" s="36">
        <v>2363</v>
      </c>
      <c r="C208" s="40">
        <v>1056339</v>
      </c>
    </row>
    <row r="209" spans="1:3" x14ac:dyDescent="0.2">
      <c r="A209">
        <v>2019</v>
      </c>
      <c r="B209" s="36">
        <v>2364</v>
      </c>
      <c r="C209" s="40">
        <v>2073252</v>
      </c>
    </row>
    <row r="210" spans="1:3" x14ac:dyDescent="0.2">
      <c r="A210">
        <v>2019</v>
      </c>
      <c r="B210" s="36">
        <v>2365</v>
      </c>
      <c r="C210" s="40">
        <v>9897640</v>
      </c>
    </row>
    <row r="211" spans="1:3" x14ac:dyDescent="0.2">
      <c r="A211">
        <v>2019</v>
      </c>
      <c r="B211" s="36">
        <v>2370</v>
      </c>
      <c r="C211" s="40">
        <v>1657076</v>
      </c>
    </row>
    <row r="212" spans="1:3" x14ac:dyDescent="0.2">
      <c r="A212">
        <v>2019</v>
      </c>
      <c r="B212" s="36">
        <v>2375</v>
      </c>
      <c r="C212" s="40">
        <v>1309478</v>
      </c>
    </row>
    <row r="213" spans="1:3" x14ac:dyDescent="0.2">
      <c r="A213">
        <v>2019</v>
      </c>
      <c r="B213" s="36">
        <v>2377</v>
      </c>
      <c r="C213" s="40">
        <v>2013896</v>
      </c>
    </row>
    <row r="214" spans="1:3" x14ac:dyDescent="0.2">
      <c r="A214">
        <v>2019</v>
      </c>
      <c r="B214" s="36">
        <v>2378</v>
      </c>
      <c r="C214" s="40">
        <v>10282610</v>
      </c>
    </row>
    <row r="215" spans="1:3" x14ac:dyDescent="0.2">
      <c r="A215">
        <v>2019</v>
      </c>
      <c r="B215" s="36">
        <v>2379</v>
      </c>
      <c r="C215" s="40">
        <v>10624664</v>
      </c>
    </row>
    <row r="216" spans="1:3" x14ac:dyDescent="0.2">
      <c r="A216">
        <v>2019</v>
      </c>
      <c r="B216" s="36">
        <v>2380</v>
      </c>
      <c r="C216" s="40">
        <v>4139264</v>
      </c>
    </row>
    <row r="217" spans="1:3" x14ac:dyDescent="0.2">
      <c r="A217">
        <v>2019</v>
      </c>
      <c r="B217" s="36">
        <v>2381</v>
      </c>
      <c r="C217" s="40">
        <v>2167566</v>
      </c>
    </row>
    <row r="218" spans="1:3" x14ac:dyDescent="0.2">
      <c r="A218">
        <v>2019</v>
      </c>
      <c r="B218" s="36">
        <v>2383</v>
      </c>
      <c r="C218" s="40">
        <v>7355366</v>
      </c>
    </row>
    <row r="219" spans="1:3" x14ac:dyDescent="0.2">
      <c r="A219">
        <v>2019</v>
      </c>
      <c r="B219" s="36">
        <v>2384</v>
      </c>
      <c r="C219" s="40">
        <v>4669181</v>
      </c>
    </row>
    <row r="220" spans="1:3" x14ac:dyDescent="0.2">
      <c r="A220">
        <v>2019</v>
      </c>
      <c r="B220" s="36">
        <v>2385</v>
      </c>
      <c r="C220" s="40">
        <v>3053830</v>
      </c>
    </row>
    <row r="221" spans="1:3" x14ac:dyDescent="0.2">
      <c r="A221">
        <v>2019</v>
      </c>
      <c r="B221" s="36">
        <v>2389</v>
      </c>
      <c r="C221" s="40">
        <v>2719831</v>
      </c>
    </row>
    <row r="222" spans="1:3" x14ac:dyDescent="0.2">
      <c r="A222">
        <v>2019</v>
      </c>
      <c r="B222" s="36">
        <v>2390</v>
      </c>
      <c r="C222" s="40">
        <v>5660271</v>
      </c>
    </row>
    <row r="223" spans="1:3" x14ac:dyDescent="0.2">
      <c r="A223">
        <v>2019</v>
      </c>
      <c r="B223" s="36">
        <v>2391</v>
      </c>
      <c r="C223" s="40">
        <v>2799040</v>
      </c>
    </row>
    <row r="224" spans="1:3" x14ac:dyDescent="0.2">
      <c r="A224">
        <v>2019</v>
      </c>
      <c r="B224" s="36">
        <v>2394</v>
      </c>
      <c r="C224" s="40">
        <v>1966901</v>
      </c>
    </row>
    <row r="225" spans="1:3" x14ac:dyDescent="0.2">
      <c r="A225">
        <v>2019</v>
      </c>
      <c r="B225" s="36">
        <v>2395</v>
      </c>
      <c r="C225" s="40">
        <v>1640437</v>
      </c>
    </row>
    <row r="226" spans="1:3" x14ac:dyDescent="0.2">
      <c r="A226">
        <v>2019</v>
      </c>
      <c r="B226" s="36">
        <v>2396</v>
      </c>
      <c r="C226" s="40">
        <v>1263310</v>
      </c>
    </row>
    <row r="227" spans="1:3" x14ac:dyDescent="0.2">
      <c r="A227">
        <v>2019</v>
      </c>
      <c r="B227" s="36">
        <v>2400</v>
      </c>
      <c r="C227" s="40">
        <v>9894918</v>
      </c>
    </row>
    <row r="228" spans="1:3" x14ac:dyDescent="0.2">
      <c r="A228">
        <v>2019</v>
      </c>
      <c r="B228" s="36">
        <v>2401</v>
      </c>
      <c r="C228" s="40">
        <v>2391469</v>
      </c>
    </row>
    <row r="229" spans="1:3" x14ac:dyDescent="0.2">
      <c r="A229">
        <v>2019</v>
      </c>
      <c r="B229" s="36">
        <v>2402</v>
      </c>
      <c r="C229" s="40">
        <v>5581280</v>
      </c>
    </row>
    <row r="230" spans="1:3" x14ac:dyDescent="0.2">
      <c r="A230">
        <v>2019</v>
      </c>
      <c r="B230" s="36">
        <v>2403</v>
      </c>
      <c r="C230" s="40">
        <v>2723770</v>
      </c>
    </row>
    <row r="231" spans="1:3" x14ac:dyDescent="0.2">
      <c r="A231">
        <v>2019</v>
      </c>
      <c r="B231" s="36">
        <v>2405</v>
      </c>
      <c r="C231" s="40">
        <v>3556399</v>
      </c>
    </row>
    <row r="232" spans="1:3" x14ac:dyDescent="0.2">
      <c r="A232">
        <v>2019</v>
      </c>
      <c r="B232" s="36">
        <v>2406</v>
      </c>
      <c r="C232" s="40">
        <v>4873154</v>
      </c>
    </row>
    <row r="233" spans="1:3" x14ac:dyDescent="0.2">
      <c r="A233">
        <v>2019</v>
      </c>
      <c r="B233" s="36">
        <v>2408</v>
      </c>
      <c r="C233" s="40">
        <v>5211937</v>
      </c>
    </row>
    <row r="234" spans="1:3" x14ac:dyDescent="0.2">
      <c r="A234">
        <v>2019</v>
      </c>
      <c r="B234" s="36">
        <v>2409</v>
      </c>
      <c r="C234" s="40">
        <v>1093086</v>
      </c>
    </row>
    <row r="235" spans="1:3" x14ac:dyDescent="0.2">
      <c r="A235">
        <v>2019</v>
      </c>
      <c r="B235" s="36">
        <v>2410</v>
      </c>
      <c r="C235" s="40">
        <v>6596288</v>
      </c>
    </row>
    <row r="236" spans="1:3" x14ac:dyDescent="0.2">
      <c r="A236">
        <v>2019</v>
      </c>
      <c r="B236" s="36">
        <v>2415</v>
      </c>
      <c r="C236" s="40">
        <v>7352690</v>
      </c>
    </row>
    <row r="237" spans="1:3" x14ac:dyDescent="0.2">
      <c r="A237">
        <v>2019</v>
      </c>
      <c r="B237" s="36">
        <v>2420</v>
      </c>
      <c r="C237" s="40">
        <v>3779637</v>
      </c>
    </row>
    <row r="238" spans="1:3" x14ac:dyDescent="0.2">
      <c r="A238">
        <v>2019</v>
      </c>
      <c r="B238" s="36">
        <v>2425</v>
      </c>
      <c r="C238" s="40">
        <v>6935938</v>
      </c>
    </row>
    <row r="239" spans="1:3" x14ac:dyDescent="0.2">
      <c r="A239">
        <v>2019</v>
      </c>
      <c r="B239" s="36">
        <v>2426</v>
      </c>
      <c r="C239" s="40">
        <v>2004478</v>
      </c>
    </row>
    <row r="240" spans="1:3" x14ac:dyDescent="0.2">
      <c r="A240">
        <v>2019</v>
      </c>
      <c r="B240" s="36">
        <v>2428</v>
      </c>
      <c r="C240" s="40">
        <v>4035661</v>
      </c>
    </row>
    <row r="241" spans="1:3" x14ac:dyDescent="0.2">
      <c r="A241">
        <v>2019</v>
      </c>
      <c r="B241" s="36">
        <v>2430</v>
      </c>
      <c r="C241" s="40">
        <v>5953941</v>
      </c>
    </row>
    <row r="242" spans="1:3" x14ac:dyDescent="0.2">
      <c r="A242">
        <v>2019</v>
      </c>
      <c r="B242" s="36">
        <v>2435</v>
      </c>
      <c r="C242" s="40">
        <v>1551569</v>
      </c>
    </row>
    <row r="243" spans="1:3" x14ac:dyDescent="0.2">
      <c r="A243">
        <v>2019</v>
      </c>
      <c r="B243" s="36">
        <v>2440</v>
      </c>
      <c r="C243" s="40">
        <v>2598638</v>
      </c>
    </row>
    <row r="244" spans="1:3" x14ac:dyDescent="0.2">
      <c r="A244">
        <v>2019</v>
      </c>
      <c r="B244" s="36">
        <v>2441</v>
      </c>
      <c r="C244" s="40">
        <v>1519285</v>
      </c>
    </row>
    <row r="245" spans="1:3" x14ac:dyDescent="0.2">
      <c r="A245">
        <v>2019</v>
      </c>
      <c r="B245" s="36">
        <v>2445</v>
      </c>
      <c r="C245" s="40">
        <v>7723234</v>
      </c>
    </row>
    <row r="246" spans="1:3" x14ac:dyDescent="0.2">
      <c r="A246">
        <v>2019</v>
      </c>
      <c r="B246" s="36">
        <v>2450</v>
      </c>
      <c r="C246" s="40">
        <v>3006243</v>
      </c>
    </row>
    <row r="247" spans="1:3" x14ac:dyDescent="0.2">
      <c r="A247">
        <v>2019</v>
      </c>
      <c r="B247" s="36">
        <v>2455</v>
      </c>
      <c r="C247" s="40">
        <v>3747043</v>
      </c>
    </row>
    <row r="248" spans="1:3" x14ac:dyDescent="0.2">
      <c r="A248">
        <v>2019</v>
      </c>
      <c r="B248" s="36">
        <v>2458</v>
      </c>
      <c r="C248" s="40">
        <v>3713476</v>
      </c>
    </row>
    <row r="249" spans="1:3" x14ac:dyDescent="0.2">
      <c r="A249">
        <v>2019</v>
      </c>
      <c r="B249" s="36">
        <v>2460</v>
      </c>
      <c r="C249" s="40">
        <v>1342229</v>
      </c>
    </row>
    <row r="250" spans="1:3" x14ac:dyDescent="0.2">
      <c r="A250">
        <v>2019</v>
      </c>
      <c r="B250" s="36">
        <v>2464</v>
      </c>
      <c r="C250" s="40">
        <v>1193292</v>
      </c>
    </row>
    <row r="251" spans="1:3" x14ac:dyDescent="0.2">
      <c r="A251">
        <v>2019</v>
      </c>
      <c r="B251" s="36">
        <v>2465</v>
      </c>
      <c r="C251" s="40">
        <v>638530</v>
      </c>
    </row>
    <row r="252" spans="1:3" x14ac:dyDescent="0.2">
      <c r="A252">
        <v>2019</v>
      </c>
      <c r="B252" s="36">
        <v>2466</v>
      </c>
      <c r="C252" s="40">
        <v>1565452</v>
      </c>
    </row>
    <row r="253" spans="1:3" x14ac:dyDescent="0.2">
      <c r="A253">
        <v>2019</v>
      </c>
      <c r="B253" s="36">
        <v>2467</v>
      </c>
      <c r="C253" s="40">
        <v>2122508</v>
      </c>
    </row>
    <row r="254" spans="1:3" x14ac:dyDescent="0.2">
      <c r="A254">
        <v>2019</v>
      </c>
      <c r="B254" s="36">
        <v>2468</v>
      </c>
      <c r="C254" s="40">
        <v>1649475</v>
      </c>
    </row>
    <row r="255" spans="1:3" x14ac:dyDescent="0.2">
      <c r="A255">
        <v>2019</v>
      </c>
      <c r="B255" s="36">
        <v>2469</v>
      </c>
      <c r="C255" s="40">
        <v>4795419</v>
      </c>
    </row>
    <row r="256" spans="1:3" x14ac:dyDescent="0.2">
      <c r="A256">
        <v>2019</v>
      </c>
      <c r="B256" s="36">
        <v>2470</v>
      </c>
      <c r="C256" s="40">
        <v>4112127</v>
      </c>
    </row>
    <row r="257" spans="1:3" x14ac:dyDescent="0.2">
      <c r="A257">
        <v>2019</v>
      </c>
      <c r="B257" s="36">
        <v>2471</v>
      </c>
      <c r="C257" s="40">
        <v>4563966</v>
      </c>
    </row>
    <row r="258" spans="1:3" x14ac:dyDescent="0.2">
      <c r="A258">
        <v>2019</v>
      </c>
      <c r="B258" s="36">
        <v>2475</v>
      </c>
      <c r="C258" s="40">
        <v>6873706</v>
      </c>
    </row>
    <row r="259" spans="1:3" x14ac:dyDescent="0.2">
      <c r="A259">
        <v>2019</v>
      </c>
      <c r="B259" s="36">
        <v>2480</v>
      </c>
      <c r="C259" s="40">
        <v>2160978</v>
      </c>
    </row>
    <row r="260" spans="1:3" x14ac:dyDescent="0.2">
      <c r="A260">
        <v>2019</v>
      </c>
      <c r="B260" s="36">
        <v>2485</v>
      </c>
      <c r="C260" s="40">
        <v>4730338</v>
      </c>
    </row>
    <row r="261" spans="1:3" x14ac:dyDescent="0.2">
      <c r="A261">
        <v>2019</v>
      </c>
      <c r="B261" s="36">
        <v>2490</v>
      </c>
      <c r="C261" s="40">
        <v>7047924</v>
      </c>
    </row>
    <row r="262" spans="1:3" x14ac:dyDescent="0.2">
      <c r="A262">
        <v>2019</v>
      </c>
      <c r="B262" s="36">
        <v>2495</v>
      </c>
      <c r="C262" s="40">
        <v>935694</v>
      </c>
    </row>
    <row r="263" spans="1:3" x14ac:dyDescent="0.2">
      <c r="A263">
        <v>2019</v>
      </c>
      <c r="B263" s="36">
        <v>2497</v>
      </c>
      <c r="C263" s="40">
        <v>2284662</v>
      </c>
    </row>
    <row r="264" spans="1:3" x14ac:dyDescent="0.2">
      <c r="A264">
        <v>2019</v>
      </c>
      <c r="B264" s="36">
        <v>2498</v>
      </c>
      <c r="C264" s="40">
        <v>1962554</v>
      </c>
    </row>
    <row r="265" spans="1:3" x14ac:dyDescent="0.2">
      <c r="A265">
        <v>2019</v>
      </c>
      <c r="B265" s="36">
        <v>2500</v>
      </c>
      <c r="C265" s="40">
        <v>5713349</v>
      </c>
    </row>
    <row r="266" spans="1:3" x14ac:dyDescent="0.2">
      <c r="A266">
        <v>2019</v>
      </c>
      <c r="B266" s="36">
        <v>2504</v>
      </c>
      <c r="C266" s="40">
        <v>3567519</v>
      </c>
    </row>
    <row r="267" spans="1:3" x14ac:dyDescent="0.2">
      <c r="A267">
        <v>2019</v>
      </c>
      <c r="B267" s="36">
        <v>2505</v>
      </c>
      <c r="C267" s="40">
        <v>4751430</v>
      </c>
    </row>
    <row r="268" spans="1:3" x14ac:dyDescent="0.2">
      <c r="A268">
        <v>2019</v>
      </c>
      <c r="B268" s="36">
        <v>2507</v>
      </c>
      <c r="C268" s="40">
        <v>907090</v>
      </c>
    </row>
    <row r="269" spans="1:3" x14ac:dyDescent="0.2">
      <c r="A269">
        <v>2019</v>
      </c>
      <c r="B269" s="36">
        <v>2508</v>
      </c>
      <c r="C269" s="40">
        <v>2562560</v>
      </c>
    </row>
    <row r="270" spans="1:3" x14ac:dyDescent="0.2">
      <c r="A270">
        <v>2019</v>
      </c>
      <c r="B270" s="36">
        <v>2509</v>
      </c>
      <c r="C270" s="40">
        <v>4587433</v>
      </c>
    </row>
    <row r="271" spans="1:3" x14ac:dyDescent="0.2">
      <c r="A271">
        <v>2019</v>
      </c>
      <c r="B271" s="36">
        <v>2510</v>
      </c>
      <c r="C271" s="40">
        <v>1894310</v>
      </c>
    </row>
    <row r="272" spans="1:3" x14ac:dyDescent="0.2">
      <c r="A272">
        <v>2019</v>
      </c>
      <c r="B272" s="36">
        <v>2512</v>
      </c>
      <c r="C272" s="40">
        <v>13347046</v>
      </c>
    </row>
    <row r="273" spans="1:3" x14ac:dyDescent="0.2">
      <c r="A273">
        <v>2019</v>
      </c>
      <c r="B273" s="36">
        <v>2514</v>
      </c>
      <c r="C273" s="40">
        <v>1321372</v>
      </c>
    </row>
    <row r="274" spans="1:3" x14ac:dyDescent="0.2">
      <c r="A274">
        <v>2019</v>
      </c>
      <c r="B274" s="36">
        <v>2515</v>
      </c>
      <c r="C274" s="40">
        <v>1174113</v>
      </c>
    </row>
    <row r="275" spans="1:3" x14ac:dyDescent="0.2">
      <c r="A275">
        <v>2019</v>
      </c>
      <c r="B275" s="36">
        <v>2520</v>
      </c>
      <c r="C275" s="40">
        <v>2583639</v>
      </c>
    </row>
    <row r="276" spans="1:3" x14ac:dyDescent="0.2">
      <c r="A276">
        <v>2019</v>
      </c>
      <c r="B276" s="36">
        <v>2525</v>
      </c>
      <c r="C276" s="40">
        <v>3729262</v>
      </c>
    </row>
    <row r="277" spans="1:3" x14ac:dyDescent="0.2">
      <c r="A277">
        <v>2019</v>
      </c>
      <c r="B277" s="36">
        <v>2530</v>
      </c>
      <c r="C277" s="40">
        <v>7110677</v>
      </c>
    </row>
    <row r="278" spans="1:3" x14ac:dyDescent="0.2">
      <c r="A278">
        <v>2019</v>
      </c>
      <c r="B278" s="36">
        <v>2533</v>
      </c>
      <c r="C278" s="40">
        <v>1738379</v>
      </c>
    </row>
    <row r="279" spans="1:3" x14ac:dyDescent="0.2">
      <c r="A279">
        <v>2019</v>
      </c>
      <c r="B279" s="36">
        <v>2535</v>
      </c>
      <c r="C279" s="40">
        <v>2096135</v>
      </c>
    </row>
    <row r="280" spans="1:3" x14ac:dyDescent="0.2">
      <c r="A280">
        <v>2019</v>
      </c>
      <c r="B280" s="36">
        <v>2540</v>
      </c>
      <c r="C280" s="40">
        <v>4994833</v>
      </c>
    </row>
    <row r="281" spans="1:3" x14ac:dyDescent="0.2">
      <c r="A281">
        <v>2019</v>
      </c>
      <c r="B281" s="36">
        <v>2541</v>
      </c>
      <c r="C281" s="40">
        <v>2984797</v>
      </c>
    </row>
    <row r="282" spans="1:3" x14ac:dyDescent="0.2">
      <c r="A282">
        <v>2019</v>
      </c>
      <c r="B282" s="36">
        <v>2542</v>
      </c>
      <c r="C282" s="40">
        <v>1830607</v>
      </c>
    </row>
    <row r="283" spans="1:3" x14ac:dyDescent="0.2">
      <c r="A283">
        <v>2019</v>
      </c>
      <c r="B283" s="36">
        <v>2545</v>
      </c>
      <c r="C283" s="40">
        <v>910881</v>
      </c>
    </row>
    <row r="284" spans="1:3" x14ac:dyDescent="0.2">
      <c r="A284">
        <v>2019</v>
      </c>
      <c r="B284" s="36">
        <v>2547</v>
      </c>
      <c r="C284" s="40">
        <v>6854351</v>
      </c>
    </row>
    <row r="285" spans="1:3" x14ac:dyDescent="0.2">
      <c r="A285">
        <v>2019</v>
      </c>
      <c r="B285" s="36">
        <v>2550</v>
      </c>
      <c r="C285" s="40">
        <v>820001</v>
      </c>
    </row>
    <row r="286" spans="1:3" x14ac:dyDescent="0.2">
      <c r="A286">
        <v>2019</v>
      </c>
      <c r="B286" s="36">
        <v>2551</v>
      </c>
      <c r="C286" s="40">
        <v>1259877</v>
      </c>
    </row>
    <row r="287" spans="1:3" x14ac:dyDescent="0.2">
      <c r="A287">
        <v>2019</v>
      </c>
      <c r="B287" s="36">
        <v>2555</v>
      </c>
      <c r="C287" s="40">
        <v>1241948</v>
      </c>
    </row>
    <row r="288" spans="1:3" x14ac:dyDescent="0.2">
      <c r="A288">
        <v>2019</v>
      </c>
      <c r="B288" s="36">
        <v>2557</v>
      </c>
      <c r="C288" s="40">
        <v>10486582</v>
      </c>
    </row>
    <row r="289" spans="1:3" x14ac:dyDescent="0.2">
      <c r="A289">
        <v>2019</v>
      </c>
      <c r="B289" s="36">
        <v>2559</v>
      </c>
      <c r="C289" s="40">
        <v>1034546</v>
      </c>
    </row>
    <row r="290" spans="1:3" x14ac:dyDescent="0.2">
      <c r="A290">
        <v>2019</v>
      </c>
      <c r="B290" s="36">
        <v>2560</v>
      </c>
      <c r="C290" s="40">
        <v>1299308</v>
      </c>
    </row>
    <row r="291" spans="1:3" x14ac:dyDescent="0.2">
      <c r="A291">
        <v>2019</v>
      </c>
      <c r="B291" s="36">
        <v>2561</v>
      </c>
      <c r="C291" s="40">
        <v>4179971</v>
      </c>
    </row>
    <row r="292" spans="1:3" x14ac:dyDescent="0.2">
      <c r="A292">
        <v>2019</v>
      </c>
      <c r="B292" s="36">
        <v>2562</v>
      </c>
      <c r="C292" s="40">
        <v>4948728</v>
      </c>
    </row>
    <row r="293" spans="1:3" x14ac:dyDescent="0.2">
      <c r="A293">
        <v>2019</v>
      </c>
      <c r="B293" s="36">
        <v>2563</v>
      </c>
      <c r="C293" s="40">
        <v>5410073</v>
      </c>
    </row>
    <row r="294" spans="1:3" x14ac:dyDescent="0.2">
      <c r="A294">
        <v>2019</v>
      </c>
      <c r="B294" s="36">
        <v>2564</v>
      </c>
      <c r="C294" s="40">
        <v>7293140</v>
      </c>
    </row>
    <row r="295" spans="1:3" x14ac:dyDescent="0.2">
      <c r="A295">
        <v>2019</v>
      </c>
      <c r="B295" s="36">
        <v>2565</v>
      </c>
      <c r="C295" s="40">
        <v>4127391</v>
      </c>
    </row>
    <row r="296" spans="1:3" x14ac:dyDescent="0.2">
      <c r="A296">
        <v>2019</v>
      </c>
      <c r="B296" s="36">
        <v>2570</v>
      </c>
      <c r="C296" s="40">
        <v>2871836</v>
      </c>
    </row>
    <row r="297" spans="1:3" x14ac:dyDescent="0.2">
      <c r="A297">
        <v>2019</v>
      </c>
      <c r="B297" s="36">
        <v>2573</v>
      </c>
      <c r="C297" s="40">
        <v>3025881</v>
      </c>
    </row>
    <row r="298" spans="1:3" x14ac:dyDescent="0.2">
      <c r="A298">
        <v>2019</v>
      </c>
      <c r="B298" s="36">
        <v>2574</v>
      </c>
      <c r="C298" s="40">
        <v>987033</v>
      </c>
    </row>
    <row r="299" spans="1:3" x14ac:dyDescent="0.2">
      <c r="A299">
        <v>2019</v>
      </c>
      <c r="B299" s="36">
        <v>2575</v>
      </c>
      <c r="C299" s="40">
        <v>10357487</v>
      </c>
    </row>
    <row r="300" spans="1:3" x14ac:dyDescent="0.2">
      <c r="A300">
        <v>2019</v>
      </c>
      <c r="B300" s="36">
        <v>2576</v>
      </c>
      <c r="C300" s="40">
        <v>2126154</v>
      </c>
    </row>
    <row r="301" spans="1:3" x14ac:dyDescent="0.2">
      <c r="A301">
        <v>2019</v>
      </c>
      <c r="B301" s="36">
        <v>2580</v>
      </c>
      <c r="C301" s="40">
        <v>5642841</v>
      </c>
    </row>
    <row r="302" spans="1:3" x14ac:dyDescent="0.2">
      <c r="A302">
        <v>2019</v>
      </c>
      <c r="B302" s="36">
        <v>2582</v>
      </c>
      <c r="C302" s="40">
        <v>1238593</v>
      </c>
    </row>
    <row r="303" spans="1:3" x14ac:dyDescent="0.2">
      <c r="A303">
        <v>2019</v>
      </c>
      <c r="B303" s="36">
        <v>2584</v>
      </c>
      <c r="C303" s="40">
        <v>3290427</v>
      </c>
    </row>
    <row r="304" spans="1:3" x14ac:dyDescent="0.2">
      <c r="A304">
        <v>2019</v>
      </c>
      <c r="B304" s="36">
        <v>2585</v>
      </c>
      <c r="C304" s="40">
        <v>11179049</v>
      </c>
    </row>
    <row r="305" spans="1:3" x14ac:dyDescent="0.2">
      <c r="A305">
        <v>2019</v>
      </c>
      <c r="B305" s="36">
        <v>2590</v>
      </c>
      <c r="C305" s="40">
        <v>3731084</v>
      </c>
    </row>
    <row r="306" spans="1:3" x14ac:dyDescent="0.2">
      <c r="A306">
        <v>2019</v>
      </c>
      <c r="B306" s="36">
        <v>2593</v>
      </c>
      <c r="C306" s="40">
        <v>9128281</v>
      </c>
    </row>
    <row r="307" spans="1:3" x14ac:dyDescent="0.2">
      <c r="A307">
        <v>2019</v>
      </c>
      <c r="B307" s="36">
        <v>2595</v>
      </c>
      <c r="C307" s="40">
        <v>758692</v>
      </c>
    </row>
    <row r="308" spans="1:3" x14ac:dyDescent="0.2">
      <c r="A308">
        <v>2019</v>
      </c>
      <c r="B308" s="36">
        <v>2600</v>
      </c>
      <c r="C308" s="40">
        <v>1473057</v>
      </c>
    </row>
    <row r="309" spans="1:3" x14ac:dyDescent="0.2">
      <c r="A309">
        <v>2019</v>
      </c>
      <c r="B309" s="36">
        <v>2605</v>
      </c>
      <c r="C309" s="40">
        <v>671867</v>
      </c>
    </row>
    <row r="310" spans="1:3" x14ac:dyDescent="0.2">
      <c r="A310">
        <v>2019</v>
      </c>
      <c r="B310" s="36">
        <v>2610</v>
      </c>
      <c r="C310" s="40">
        <v>9351018</v>
      </c>
    </row>
    <row r="311" spans="1:3" x14ac:dyDescent="0.2">
      <c r="A311">
        <v>2019</v>
      </c>
      <c r="B311" s="36">
        <v>2611</v>
      </c>
      <c r="C311" s="40">
        <v>2529944</v>
      </c>
    </row>
    <row r="312" spans="1:3" x14ac:dyDescent="0.2">
      <c r="A312">
        <v>2019</v>
      </c>
      <c r="B312" s="36">
        <v>2612</v>
      </c>
      <c r="C312" s="40">
        <v>2920344</v>
      </c>
    </row>
    <row r="313" spans="1:3" x14ac:dyDescent="0.2">
      <c r="A313">
        <v>2019</v>
      </c>
      <c r="B313" s="36">
        <v>2613</v>
      </c>
      <c r="C313" s="40">
        <v>2952173</v>
      </c>
    </row>
    <row r="314" spans="1:3" x14ac:dyDescent="0.2">
      <c r="A314">
        <v>2019</v>
      </c>
      <c r="B314" s="36">
        <v>2614</v>
      </c>
      <c r="C314" s="40">
        <v>3583237</v>
      </c>
    </row>
    <row r="315" spans="1:3" x14ac:dyDescent="0.2">
      <c r="A315">
        <v>2019</v>
      </c>
      <c r="B315" s="36">
        <v>2615</v>
      </c>
      <c r="C315" s="40">
        <v>10357181</v>
      </c>
    </row>
    <row r="316" spans="1:3" x14ac:dyDescent="0.2">
      <c r="A316">
        <v>2019</v>
      </c>
      <c r="B316" s="36">
        <v>2616</v>
      </c>
      <c r="C316" s="40">
        <v>3496461</v>
      </c>
    </row>
    <row r="317" spans="1:3" x14ac:dyDescent="0.2">
      <c r="A317">
        <v>2019</v>
      </c>
      <c r="B317" s="36">
        <v>2617</v>
      </c>
      <c r="C317" s="40">
        <v>3758805</v>
      </c>
    </row>
    <row r="318" spans="1:3" x14ac:dyDescent="0.2">
      <c r="A318">
        <v>2019</v>
      </c>
      <c r="B318" s="36">
        <v>2618</v>
      </c>
      <c r="C318" s="40">
        <v>967133</v>
      </c>
    </row>
    <row r="319" spans="1:3" x14ac:dyDescent="0.2">
      <c r="A319">
        <v>2019</v>
      </c>
      <c r="B319" s="36">
        <v>2619</v>
      </c>
      <c r="C319" s="40">
        <v>2065826</v>
      </c>
    </row>
    <row r="320" spans="1:3" x14ac:dyDescent="0.2">
      <c r="A320">
        <v>2019</v>
      </c>
      <c r="B320" s="36">
        <v>2620</v>
      </c>
      <c r="C320" s="40">
        <v>709063</v>
      </c>
    </row>
    <row r="321" spans="1:3" x14ac:dyDescent="0.2">
      <c r="A321">
        <v>2019</v>
      </c>
      <c r="B321" s="36">
        <v>2625</v>
      </c>
      <c r="C321" s="40">
        <v>1239471</v>
      </c>
    </row>
    <row r="322" spans="1:3" x14ac:dyDescent="0.2">
      <c r="A322">
        <v>2019</v>
      </c>
      <c r="B322" s="36">
        <v>2626</v>
      </c>
      <c r="C322" s="40">
        <v>822215</v>
      </c>
    </row>
    <row r="323" spans="1:3" x14ac:dyDescent="0.2">
      <c r="A323">
        <v>2019</v>
      </c>
      <c r="B323" s="36">
        <v>2630</v>
      </c>
      <c r="C323" s="40">
        <v>996509</v>
      </c>
    </row>
    <row r="324" spans="1:3" x14ac:dyDescent="0.2">
      <c r="A324">
        <v>2019</v>
      </c>
      <c r="B324" s="36">
        <v>2632</v>
      </c>
      <c r="C324" s="40">
        <v>1830366</v>
      </c>
    </row>
    <row r="325" spans="1:3" x14ac:dyDescent="0.2">
      <c r="A325">
        <v>2019</v>
      </c>
      <c r="B325" s="36">
        <v>2633</v>
      </c>
      <c r="C325" s="40">
        <v>7055823</v>
      </c>
    </row>
    <row r="326" spans="1:3" x14ac:dyDescent="0.2">
      <c r="A326">
        <v>2019</v>
      </c>
      <c r="B326" s="36">
        <v>2635</v>
      </c>
      <c r="C326" s="40">
        <v>927048</v>
      </c>
    </row>
    <row r="327" spans="1:3" x14ac:dyDescent="0.2">
      <c r="A327">
        <v>2019</v>
      </c>
      <c r="B327" s="36">
        <v>2640</v>
      </c>
      <c r="C327" s="40">
        <v>2281376</v>
      </c>
    </row>
    <row r="328" spans="1:3" x14ac:dyDescent="0.2">
      <c r="A328">
        <v>2019</v>
      </c>
      <c r="B328" s="36">
        <v>2641</v>
      </c>
      <c r="C328" s="40">
        <v>1346551</v>
      </c>
    </row>
    <row r="329" spans="1:3" x14ac:dyDescent="0.2">
      <c r="A329">
        <v>2019</v>
      </c>
      <c r="B329" s="36">
        <v>2642</v>
      </c>
      <c r="C329" s="40">
        <v>5316674</v>
      </c>
    </row>
    <row r="330" spans="1:3" x14ac:dyDescent="0.2">
      <c r="A330">
        <v>2019</v>
      </c>
      <c r="B330" s="36">
        <v>2643</v>
      </c>
      <c r="C330" s="40">
        <v>5125788</v>
      </c>
    </row>
    <row r="331" spans="1:3" x14ac:dyDescent="0.2">
      <c r="A331">
        <v>2019</v>
      </c>
      <c r="B331" s="36">
        <v>2644</v>
      </c>
      <c r="C331" s="40">
        <v>4703081</v>
      </c>
    </row>
    <row r="332" spans="1:3" x14ac:dyDescent="0.2">
      <c r="A332">
        <v>2019</v>
      </c>
      <c r="B332" s="36">
        <v>2645</v>
      </c>
      <c r="C332" s="40">
        <v>5977659</v>
      </c>
    </row>
    <row r="333" spans="1:3" x14ac:dyDescent="0.2">
      <c r="A333">
        <v>2019</v>
      </c>
      <c r="B333" s="36">
        <v>2648</v>
      </c>
      <c r="C333" s="40">
        <v>1098325</v>
      </c>
    </row>
    <row r="334" spans="1:3" x14ac:dyDescent="0.2">
      <c r="A334">
        <v>2019</v>
      </c>
      <c r="B334" s="36">
        <v>2649</v>
      </c>
      <c r="C334" s="40">
        <v>2423939</v>
      </c>
    </row>
    <row r="335" spans="1:3" x14ac:dyDescent="0.2">
      <c r="A335">
        <v>2019</v>
      </c>
      <c r="B335" s="36">
        <v>2650</v>
      </c>
      <c r="C335" s="40">
        <v>545403</v>
      </c>
    </row>
    <row r="336" spans="1:3" x14ac:dyDescent="0.2">
      <c r="A336">
        <v>2019</v>
      </c>
      <c r="B336" s="36">
        <v>2651</v>
      </c>
      <c r="C336" s="40">
        <v>8844837</v>
      </c>
    </row>
    <row r="337" spans="1:3" x14ac:dyDescent="0.2">
      <c r="A337">
        <v>2019</v>
      </c>
      <c r="B337" s="36">
        <v>2652</v>
      </c>
      <c r="C337" s="40">
        <v>960601</v>
      </c>
    </row>
    <row r="338" spans="1:3" x14ac:dyDescent="0.2">
      <c r="A338">
        <v>2019</v>
      </c>
      <c r="B338" s="36">
        <v>2653</v>
      </c>
      <c r="C338" s="40">
        <v>1423007</v>
      </c>
    </row>
    <row r="339" spans="1:3" x14ac:dyDescent="0.2">
      <c r="A339">
        <v>2019</v>
      </c>
      <c r="B339" s="36">
        <v>2654</v>
      </c>
      <c r="C339" s="40">
        <v>9244756</v>
      </c>
    </row>
    <row r="340" spans="1:3" x14ac:dyDescent="0.2">
      <c r="A340">
        <v>2019</v>
      </c>
      <c r="B340" s="36">
        <v>2655</v>
      </c>
      <c r="C340" s="40">
        <v>5085292</v>
      </c>
    </row>
    <row r="341" spans="1:3" x14ac:dyDescent="0.2">
      <c r="A341">
        <v>2019</v>
      </c>
      <c r="B341" s="36">
        <v>2656</v>
      </c>
      <c r="C341" s="40">
        <v>4694140</v>
      </c>
    </row>
    <row r="342" spans="1:3" x14ac:dyDescent="0.2">
      <c r="A342">
        <v>2019</v>
      </c>
      <c r="B342" s="36">
        <v>3032</v>
      </c>
      <c r="C342" s="40">
        <v>707587</v>
      </c>
    </row>
    <row r="343" spans="1:3" x14ac:dyDescent="0.2">
      <c r="A343">
        <v>2019</v>
      </c>
      <c r="B343" s="36">
        <v>3041</v>
      </c>
      <c r="C343" s="40">
        <v>271035</v>
      </c>
    </row>
    <row r="344" spans="1:3" x14ac:dyDescent="0.2">
      <c r="A344">
        <v>2019</v>
      </c>
      <c r="B344" s="36">
        <v>3042</v>
      </c>
      <c r="C344" s="40">
        <v>733762</v>
      </c>
    </row>
    <row r="345" spans="1:3" x14ac:dyDescent="0.2">
      <c r="A345">
        <v>2019</v>
      </c>
      <c r="B345" s="36">
        <v>3043</v>
      </c>
      <c r="C345" s="40">
        <v>789379</v>
      </c>
    </row>
    <row r="346" spans="1:3" x14ac:dyDescent="0.2">
      <c r="A346">
        <v>2019</v>
      </c>
      <c r="B346" s="36">
        <v>3044</v>
      </c>
      <c r="C346" s="40">
        <v>540681</v>
      </c>
    </row>
    <row r="347" spans="1:3" x14ac:dyDescent="0.2">
      <c r="A347">
        <v>2019</v>
      </c>
      <c r="B347" s="36">
        <v>3048</v>
      </c>
      <c r="C347" s="40">
        <v>278369</v>
      </c>
    </row>
    <row r="348" spans="1:3" x14ac:dyDescent="0.2">
      <c r="A348">
        <v>2019</v>
      </c>
      <c r="B348" s="36">
        <v>3077</v>
      </c>
      <c r="C348" s="40">
        <v>672689</v>
      </c>
    </row>
    <row r="349" spans="1:3" x14ac:dyDescent="0.2">
      <c r="A349">
        <v>2019</v>
      </c>
      <c r="B349" s="36">
        <v>3078</v>
      </c>
      <c r="C349" s="40">
        <v>293501</v>
      </c>
    </row>
    <row r="350" spans="1:3" x14ac:dyDescent="0.2">
      <c r="A350">
        <v>2019</v>
      </c>
      <c r="B350" s="36">
        <v>3079</v>
      </c>
      <c r="C350" s="40">
        <v>180328</v>
      </c>
    </row>
    <row r="351" spans="1:3" x14ac:dyDescent="0.2">
      <c r="A351">
        <v>2019</v>
      </c>
      <c r="B351" s="36">
        <v>3081</v>
      </c>
      <c r="C351" s="40">
        <v>302322</v>
      </c>
    </row>
    <row r="352" spans="1:3" x14ac:dyDescent="0.2">
      <c r="A352">
        <v>2019</v>
      </c>
      <c r="B352" s="36">
        <v>3082</v>
      </c>
      <c r="C352" s="40">
        <v>611676</v>
      </c>
    </row>
    <row r="353" spans="1:3" x14ac:dyDescent="0.2">
      <c r="A353">
        <v>2019</v>
      </c>
      <c r="B353" s="36">
        <v>3101</v>
      </c>
      <c r="C353" s="40">
        <v>290434</v>
      </c>
    </row>
    <row r="354" spans="1:3" x14ac:dyDescent="0.2">
      <c r="A354">
        <v>2019</v>
      </c>
      <c r="B354" s="36">
        <v>3105</v>
      </c>
      <c r="C354" s="40">
        <v>283995</v>
      </c>
    </row>
    <row r="355" spans="1:3" x14ac:dyDescent="0.2">
      <c r="A355">
        <v>2019</v>
      </c>
      <c r="B355" s="36">
        <v>3106</v>
      </c>
      <c r="C355" s="40">
        <v>517491</v>
      </c>
    </row>
    <row r="356" spans="1:3" x14ac:dyDescent="0.2">
      <c r="A356">
        <v>2019</v>
      </c>
      <c r="B356" s="36">
        <v>3107</v>
      </c>
      <c r="C356" s="40">
        <v>463312</v>
      </c>
    </row>
    <row r="357" spans="1:3" x14ac:dyDescent="0.2">
      <c r="A357">
        <v>2019</v>
      </c>
      <c r="B357" s="36">
        <v>3126</v>
      </c>
      <c r="C357" s="40">
        <v>514503</v>
      </c>
    </row>
    <row r="358" spans="1:3" x14ac:dyDescent="0.2">
      <c r="A358">
        <v>2019</v>
      </c>
      <c r="B358" s="36">
        <v>3128</v>
      </c>
      <c r="C358" s="40">
        <v>465593</v>
      </c>
    </row>
    <row r="359" spans="1:3" x14ac:dyDescent="0.2">
      <c r="A359">
        <v>2019</v>
      </c>
      <c r="B359" s="36">
        <v>3178</v>
      </c>
      <c r="C359" s="40">
        <v>841795</v>
      </c>
    </row>
    <row r="360" spans="1:3" x14ac:dyDescent="0.2">
      <c r="A360">
        <v>2019</v>
      </c>
      <c r="B360" s="36">
        <v>3179</v>
      </c>
      <c r="C360" s="40">
        <v>609884</v>
      </c>
    </row>
    <row r="361" spans="1:3" x14ac:dyDescent="0.2">
      <c r="A361">
        <v>2019</v>
      </c>
      <c r="B361" s="36">
        <v>3201</v>
      </c>
      <c r="C361" s="40">
        <v>332499</v>
      </c>
    </row>
    <row r="362" spans="1:3" x14ac:dyDescent="0.2">
      <c r="A362">
        <v>2019</v>
      </c>
      <c r="B362" s="36">
        <v>3202</v>
      </c>
      <c r="C362" s="40">
        <v>600872</v>
      </c>
    </row>
    <row r="363" spans="1:3" x14ac:dyDescent="0.2">
      <c r="A363">
        <v>2019</v>
      </c>
      <c r="B363" s="36">
        <v>3204</v>
      </c>
      <c r="C363" s="40">
        <v>601170</v>
      </c>
    </row>
    <row r="364" spans="1:3" x14ac:dyDescent="0.2">
      <c r="A364">
        <v>2019</v>
      </c>
      <c r="B364" s="36">
        <v>3206</v>
      </c>
      <c r="C364" s="40">
        <v>685815</v>
      </c>
    </row>
    <row r="365" spans="1:3" x14ac:dyDescent="0.2">
      <c r="A365">
        <v>2019</v>
      </c>
      <c r="B365" s="36">
        <v>3208</v>
      </c>
      <c r="C365" s="40">
        <v>291836</v>
      </c>
    </row>
    <row r="366" spans="1:3" x14ac:dyDescent="0.2">
      <c r="A366">
        <v>2019</v>
      </c>
      <c r="B366" s="36">
        <v>3226</v>
      </c>
      <c r="C366" s="40">
        <v>782409</v>
      </c>
    </row>
    <row r="367" spans="1:3" x14ac:dyDescent="0.2">
      <c r="A367">
        <v>2019</v>
      </c>
      <c r="B367" s="36">
        <v>3229</v>
      </c>
      <c r="C367" s="40">
        <v>496879</v>
      </c>
    </row>
    <row r="368" spans="1:3" x14ac:dyDescent="0.2">
      <c r="A368">
        <v>2019</v>
      </c>
      <c r="B368" s="36">
        <v>3231</v>
      </c>
      <c r="C368" s="40">
        <v>737064</v>
      </c>
    </row>
    <row r="369" spans="1:3" x14ac:dyDescent="0.2">
      <c r="A369">
        <v>2019</v>
      </c>
      <c r="B369" s="36">
        <v>3232</v>
      </c>
      <c r="C369" s="40">
        <v>352029</v>
      </c>
    </row>
    <row r="370" spans="1:3" x14ac:dyDescent="0.2">
      <c r="A370">
        <v>2019</v>
      </c>
      <c r="B370" s="36">
        <v>3276</v>
      </c>
      <c r="C370" s="40">
        <v>731641</v>
      </c>
    </row>
    <row r="371" spans="1:3" x14ac:dyDescent="0.2">
      <c r="A371">
        <v>2019</v>
      </c>
      <c r="B371" s="36">
        <v>3277</v>
      </c>
      <c r="C371" s="40">
        <v>819842</v>
      </c>
    </row>
    <row r="372" spans="1:3" x14ac:dyDescent="0.2">
      <c r="A372">
        <v>2019</v>
      </c>
      <c r="B372" s="36">
        <v>3278</v>
      </c>
      <c r="C372" s="40">
        <v>573634</v>
      </c>
    </row>
    <row r="373" spans="1:3" x14ac:dyDescent="0.2">
      <c r="A373">
        <v>2019</v>
      </c>
      <c r="B373" s="36">
        <v>3280</v>
      </c>
      <c r="C373" s="40">
        <v>671810</v>
      </c>
    </row>
    <row r="374" spans="1:3" x14ac:dyDescent="0.2">
      <c r="A374">
        <v>2019</v>
      </c>
      <c r="B374" s="36">
        <v>3281</v>
      </c>
      <c r="C374" s="40">
        <v>718146</v>
      </c>
    </row>
    <row r="375" spans="1:3" x14ac:dyDescent="0.2">
      <c r="A375">
        <v>2019</v>
      </c>
      <c r="B375" s="36">
        <v>3284</v>
      </c>
      <c r="C375" s="40">
        <v>740247</v>
      </c>
    </row>
    <row r="376" spans="1:3" x14ac:dyDescent="0.2">
      <c r="A376">
        <v>2019</v>
      </c>
      <c r="B376" s="36">
        <v>3303</v>
      </c>
      <c r="C376" s="40">
        <v>744840</v>
      </c>
    </row>
    <row r="377" spans="1:3" x14ac:dyDescent="0.2">
      <c r="A377">
        <v>2019</v>
      </c>
      <c r="B377" s="36">
        <v>3304</v>
      </c>
      <c r="C377" s="40">
        <v>370658</v>
      </c>
    </row>
    <row r="378" spans="1:3" x14ac:dyDescent="0.2">
      <c r="A378">
        <v>2019</v>
      </c>
      <c r="B378" s="36">
        <v>3305</v>
      </c>
      <c r="C378" s="40">
        <v>495225</v>
      </c>
    </row>
    <row r="379" spans="1:3" x14ac:dyDescent="0.2">
      <c r="A379">
        <v>2019</v>
      </c>
      <c r="B379" s="36">
        <v>3306</v>
      </c>
      <c r="C379" s="40">
        <v>506683</v>
      </c>
    </row>
    <row r="380" spans="1:3" x14ac:dyDescent="0.2">
      <c r="A380">
        <v>2019</v>
      </c>
      <c r="B380" s="36">
        <v>3307</v>
      </c>
      <c r="C380" s="40">
        <v>181283</v>
      </c>
    </row>
    <row r="381" spans="1:3" x14ac:dyDescent="0.2">
      <c r="A381">
        <v>2019</v>
      </c>
      <c r="B381" s="36">
        <v>3308</v>
      </c>
      <c r="C381" s="40">
        <v>409893</v>
      </c>
    </row>
    <row r="382" spans="1:3" x14ac:dyDescent="0.2">
      <c r="A382">
        <v>2019</v>
      </c>
      <c r="B382" s="36">
        <v>3309</v>
      </c>
      <c r="C382" s="40">
        <v>715142</v>
      </c>
    </row>
    <row r="383" spans="1:3" x14ac:dyDescent="0.2">
      <c r="A383">
        <v>2019</v>
      </c>
      <c r="B383" s="36">
        <v>3326</v>
      </c>
      <c r="C383" s="40">
        <v>601005</v>
      </c>
    </row>
    <row r="384" spans="1:3" x14ac:dyDescent="0.2">
      <c r="A384">
        <v>2019</v>
      </c>
      <c r="B384" s="36">
        <v>3327</v>
      </c>
      <c r="C384" s="40">
        <v>819784</v>
      </c>
    </row>
    <row r="385" spans="1:3" x14ac:dyDescent="0.2">
      <c r="A385">
        <v>2019</v>
      </c>
      <c r="B385" s="36">
        <v>3328</v>
      </c>
      <c r="C385" s="40">
        <v>449908</v>
      </c>
    </row>
    <row r="386" spans="1:3" x14ac:dyDescent="0.2">
      <c r="A386">
        <v>2019</v>
      </c>
      <c r="B386" s="36">
        <v>3329</v>
      </c>
      <c r="C386" s="40">
        <v>542486</v>
      </c>
    </row>
    <row r="387" spans="1:3" x14ac:dyDescent="0.2">
      <c r="A387">
        <v>2019</v>
      </c>
      <c r="B387" s="36">
        <v>3330</v>
      </c>
      <c r="C387" s="40">
        <v>836631</v>
      </c>
    </row>
    <row r="388" spans="1:3" x14ac:dyDescent="0.2">
      <c r="A388">
        <v>2019</v>
      </c>
      <c r="B388" s="36">
        <v>3331</v>
      </c>
      <c r="C388" s="40">
        <v>990966</v>
      </c>
    </row>
    <row r="389" spans="1:3" x14ac:dyDescent="0.2">
      <c r="A389">
        <v>2019</v>
      </c>
      <c r="B389" s="36">
        <v>3332</v>
      </c>
      <c r="C389" s="40">
        <v>414688</v>
      </c>
    </row>
    <row r="390" spans="1:3" x14ac:dyDescent="0.2">
      <c r="A390">
        <v>2019</v>
      </c>
      <c r="B390" s="36">
        <v>3452</v>
      </c>
      <c r="C390" s="40">
        <v>1012768</v>
      </c>
    </row>
    <row r="391" spans="1:3" x14ac:dyDescent="0.2">
      <c r="A391">
        <v>2019</v>
      </c>
      <c r="B391" s="36">
        <v>3453</v>
      </c>
      <c r="C391" s="40">
        <v>333385</v>
      </c>
    </row>
    <row r="392" spans="1:3" x14ac:dyDescent="0.2">
      <c r="A392">
        <v>2019</v>
      </c>
      <c r="B392" s="36">
        <v>3458</v>
      </c>
      <c r="C392" s="40">
        <v>721031</v>
      </c>
    </row>
    <row r="393" spans="1:3" x14ac:dyDescent="0.2">
      <c r="A393">
        <v>2019</v>
      </c>
      <c r="B393" s="36">
        <v>3460</v>
      </c>
      <c r="C393" s="40">
        <v>1050245</v>
      </c>
    </row>
    <row r="394" spans="1:3" x14ac:dyDescent="0.2">
      <c r="A394">
        <v>2019</v>
      </c>
      <c r="B394" s="36">
        <v>3464</v>
      </c>
      <c r="C394" s="40">
        <v>286552</v>
      </c>
    </row>
    <row r="395" spans="1:3" x14ac:dyDescent="0.2">
      <c r="A395">
        <v>2019</v>
      </c>
      <c r="B395" s="36">
        <v>3465</v>
      </c>
      <c r="C395" s="40">
        <v>222162</v>
      </c>
    </row>
    <row r="396" spans="1:3" x14ac:dyDescent="0.2">
      <c r="A396">
        <v>2019</v>
      </c>
      <c r="B396" s="36">
        <v>3466</v>
      </c>
      <c r="C396" s="40">
        <v>574365</v>
      </c>
    </row>
    <row r="397" spans="1:3" x14ac:dyDescent="0.2">
      <c r="A397">
        <v>2019</v>
      </c>
      <c r="B397" s="36">
        <v>3467</v>
      </c>
      <c r="C397" s="40">
        <v>308651</v>
      </c>
    </row>
    <row r="398" spans="1:3" x14ac:dyDescent="0.2">
      <c r="A398">
        <v>2019</v>
      </c>
      <c r="B398" s="36">
        <v>3468</v>
      </c>
      <c r="C398" s="40">
        <v>60748</v>
      </c>
    </row>
    <row r="399" spans="1:3" x14ac:dyDescent="0.2">
      <c r="A399">
        <v>2019</v>
      </c>
      <c r="B399" s="36">
        <v>3470</v>
      </c>
      <c r="C399" s="40">
        <v>284815</v>
      </c>
    </row>
    <row r="400" spans="1:3" x14ac:dyDescent="0.2">
      <c r="A400">
        <v>2019</v>
      </c>
      <c r="B400" s="36">
        <v>3471</v>
      </c>
      <c r="C400" s="40">
        <v>243547</v>
      </c>
    </row>
    <row r="401" spans="1:3" x14ac:dyDescent="0.2">
      <c r="A401">
        <v>2019</v>
      </c>
      <c r="B401" s="36">
        <v>3472</v>
      </c>
      <c r="C401" s="40">
        <v>203549</v>
      </c>
    </row>
    <row r="402" spans="1:3" x14ac:dyDescent="0.2">
      <c r="A402">
        <v>2019</v>
      </c>
      <c r="B402" s="36">
        <v>3526</v>
      </c>
      <c r="C402" s="40">
        <v>525335</v>
      </c>
    </row>
    <row r="403" spans="1:3" x14ac:dyDescent="0.2">
      <c r="A403">
        <v>2019</v>
      </c>
      <c r="B403" s="36">
        <v>3527</v>
      </c>
      <c r="C403" s="40">
        <v>459788</v>
      </c>
    </row>
    <row r="404" spans="1:3" x14ac:dyDescent="0.2">
      <c r="A404">
        <v>2019</v>
      </c>
      <c r="B404" s="36">
        <v>3528</v>
      </c>
      <c r="C404" s="40">
        <v>400234</v>
      </c>
    </row>
    <row r="405" spans="1:3" x14ac:dyDescent="0.2">
      <c r="A405">
        <v>2019</v>
      </c>
      <c r="B405" s="36">
        <v>3531</v>
      </c>
      <c r="C405" s="40">
        <v>644591</v>
      </c>
    </row>
    <row r="406" spans="1:3" x14ac:dyDescent="0.2">
      <c r="A406">
        <v>2019</v>
      </c>
      <c r="B406" s="36">
        <v>3552</v>
      </c>
      <c r="C406" s="40">
        <v>199104</v>
      </c>
    </row>
    <row r="407" spans="1:3" x14ac:dyDescent="0.2">
      <c r="A407">
        <v>2019</v>
      </c>
      <c r="B407" s="36">
        <v>3559</v>
      </c>
      <c r="C407" s="40">
        <v>467960</v>
      </c>
    </row>
    <row r="408" spans="1:3" x14ac:dyDescent="0.2">
      <c r="A408">
        <v>2019</v>
      </c>
      <c r="B408" s="36">
        <v>3560</v>
      </c>
      <c r="C408" s="40">
        <v>616922</v>
      </c>
    </row>
    <row r="409" spans="1:3" x14ac:dyDescent="0.2">
      <c r="A409">
        <v>2019</v>
      </c>
      <c r="B409" s="36">
        <v>3561</v>
      </c>
      <c r="C409" s="40">
        <v>634228</v>
      </c>
    </row>
    <row r="410" spans="1:3" x14ac:dyDescent="0.2">
      <c r="A410">
        <v>2019</v>
      </c>
      <c r="B410" s="36">
        <v>3576</v>
      </c>
      <c r="C410" s="40">
        <v>274298</v>
      </c>
    </row>
    <row r="411" spans="1:3" x14ac:dyDescent="0.2">
      <c r="A411">
        <v>2019</v>
      </c>
      <c r="B411" s="36">
        <v>3577</v>
      </c>
      <c r="C411" s="40">
        <v>606523</v>
      </c>
    </row>
    <row r="412" spans="1:3" x14ac:dyDescent="0.2">
      <c r="A412">
        <v>2019</v>
      </c>
      <c r="B412" s="36">
        <v>3579</v>
      </c>
      <c r="C412" s="40">
        <v>319933</v>
      </c>
    </row>
    <row r="413" spans="1:3" x14ac:dyDescent="0.2">
      <c r="A413">
        <v>2019</v>
      </c>
      <c r="B413" s="36">
        <v>3585</v>
      </c>
      <c r="C413" s="40">
        <v>668233</v>
      </c>
    </row>
    <row r="414" spans="1:3" x14ac:dyDescent="0.2">
      <c r="A414">
        <v>2019</v>
      </c>
      <c r="B414" s="36">
        <v>3586</v>
      </c>
      <c r="C414" s="40">
        <v>780311</v>
      </c>
    </row>
    <row r="415" spans="1:3" x14ac:dyDescent="0.2">
      <c r="A415">
        <v>2019</v>
      </c>
      <c r="B415" s="36">
        <v>3589</v>
      </c>
      <c r="C415" s="40">
        <v>627976</v>
      </c>
    </row>
    <row r="416" spans="1:3" x14ac:dyDescent="0.2">
      <c r="A416">
        <v>2019</v>
      </c>
      <c r="B416" s="36">
        <v>3591</v>
      </c>
      <c r="C416" s="40">
        <v>266045</v>
      </c>
    </row>
    <row r="417" spans="1:3" x14ac:dyDescent="0.2">
      <c r="A417">
        <v>2019</v>
      </c>
      <c r="B417" s="36">
        <v>3592</v>
      </c>
      <c r="C417" s="40">
        <v>639783</v>
      </c>
    </row>
    <row r="418" spans="1:3" x14ac:dyDescent="0.2">
      <c r="A418">
        <v>2019</v>
      </c>
      <c r="B418" s="36">
        <v>3593</v>
      </c>
      <c r="C418" s="40">
        <v>1170211</v>
      </c>
    </row>
    <row r="419" spans="1:3" x14ac:dyDescent="0.2">
      <c r="A419">
        <v>2019</v>
      </c>
      <c r="B419" s="36">
        <v>3594</v>
      </c>
      <c r="C419" s="40">
        <v>274165</v>
      </c>
    </row>
    <row r="420" spans="1:3" x14ac:dyDescent="0.2">
      <c r="A420">
        <v>2019</v>
      </c>
      <c r="B420" s="36">
        <v>3626</v>
      </c>
      <c r="C420" s="40">
        <v>1331588</v>
      </c>
    </row>
    <row r="421" spans="1:3" x14ac:dyDescent="0.2">
      <c r="A421">
        <v>2019</v>
      </c>
      <c r="B421" s="36">
        <v>3629</v>
      </c>
      <c r="C421" s="40">
        <v>801124</v>
      </c>
    </row>
    <row r="422" spans="1:3" x14ac:dyDescent="0.2">
      <c r="A422">
        <v>2019</v>
      </c>
      <c r="B422" s="36">
        <v>3630</v>
      </c>
      <c r="C422" s="40">
        <v>1262544</v>
      </c>
    </row>
    <row r="423" spans="1:3" x14ac:dyDescent="0.2">
      <c r="A423">
        <v>2019</v>
      </c>
      <c r="B423" s="36">
        <v>3631</v>
      </c>
      <c r="C423" s="40">
        <v>1037531</v>
      </c>
    </row>
    <row r="424" spans="1:3" x14ac:dyDescent="0.2">
      <c r="A424">
        <v>2019</v>
      </c>
      <c r="B424" s="36">
        <v>3632</v>
      </c>
      <c r="C424" s="40">
        <v>1933048</v>
      </c>
    </row>
    <row r="425" spans="1:3" x14ac:dyDescent="0.2">
      <c r="A425">
        <v>2019</v>
      </c>
      <c r="B425" s="36">
        <v>3635</v>
      </c>
      <c r="C425" s="40">
        <v>1320430</v>
      </c>
    </row>
    <row r="426" spans="1:3" x14ac:dyDescent="0.2">
      <c r="A426">
        <v>2019</v>
      </c>
      <c r="B426" s="36">
        <v>3636</v>
      </c>
      <c r="C426" s="40">
        <v>1063925</v>
      </c>
    </row>
    <row r="427" spans="1:3" x14ac:dyDescent="0.2">
      <c r="A427">
        <v>2019</v>
      </c>
      <c r="B427" s="36">
        <v>3658</v>
      </c>
      <c r="C427" s="40">
        <v>1071492</v>
      </c>
    </row>
    <row r="428" spans="1:3" x14ac:dyDescent="0.2">
      <c r="A428">
        <v>2019</v>
      </c>
      <c r="B428" s="36">
        <v>3679</v>
      </c>
      <c r="C428" s="40">
        <v>1220797</v>
      </c>
    </row>
    <row r="429" spans="1:3" x14ac:dyDescent="0.2">
      <c r="A429">
        <v>2019</v>
      </c>
      <c r="B429" s="36">
        <v>3702</v>
      </c>
      <c r="C429" s="40">
        <v>681951</v>
      </c>
    </row>
    <row r="430" spans="1:3" x14ac:dyDescent="0.2">
      <c r="A430">
        <v>2019</v>
      </c>
      <c r="B430" s="36">
        <v>3709</v>
      </c>
      <c r="C430" s="40">
        <v>537470</v>
      </c>
    </row>
    <row r="431" spans="1:3" x14ac:dyDescent="0.2">
      <c r="A431">
        <v>2019</v>
      </c>
      <c r="B431" s="36">
        <v>3805</v>
      </c>
      <c r="C431" s="40">
        <v>431634</v>
      </c>
    </row>
    <row r="432" spans="1:3" x14ac:dyDescent="0.2">
      <c r="A432">
        <v>2019</v>
      </c>
      <c r="B432" s="36">
        <v>3821</v>
      </c>
      <c r="C432" s="40">
        <v>627518</v>
      </c>
    </row>
    <row r="433" spans="1:3" x14ac:dyDescent="0.2">
      <c r="A433">
        <v>2019</v>
      </c>
      <c r="B433" s="36">
        <v>3822</v>
      </c>
      <c r="C433" s="40">
        <v>245366</v>
      </c>
    </row>
    <row r="434" spans="1:3" x14ac:dyDescent="0.2">
      <c r="A434">
        <v>2019</v>
      </c>
      <c r="B434" s="36">
        <v>3854</v>
      </c>
      <c r="C434" s="40">
        <v>1364678</v>
      </c>
    </row>
    <row r="435" spans="1:3" x14ac:dyDescent="0.2">
      <c r="A435">
        <v>2019</v>
      </c>
      <c r="B435" s="36">
        <v>3855</v>
      </c>
      <c r="C435" s="40">
        <v>730593</v>
      </c>
    </row>
    <row r="436" spans="1:3" x14ac:dyDescent="0.2">
      <c r="A436">
        <v>2019</v>
      </c>
      <c r="B436" s="36">
        <v>3856</v>
      </c>
      <c r="C436" s="40">
        <v>126046</v>
      </c>
    </row>
    <row r="437" spans="1:3" x14ac:dyDescent="0.2">
      <c r="A437">
        <v>2019</v>
      </c>
      <c r="B437" s="36">
        <v>3927</v>
      </c>
      <c r="C437" s="40">
        <v>802101</v>
      </c>
    </row>
    <row r="438" spans="1:3" x14ac:dyDescent="0.2">
      <c r="A438">
        <v>2019</v>
      </c>
      <c r="B438" s="36">
        <v>3928</v>
      </c>
      <c r="C438" s="40">
        <v>379896</v>
      </c>
    </row>
    <row r="439" spans="1:3" x14ac:dyDescent="0.2">
      <c r="A439">
        <v>2019</v>
      </c>
      <c r="B439" s="36">
        <v>3929</v>
      </c>
      <c r="C439" s="40">
        <v>711376</v>
      </c>
    </row>
    <row r="440" spans="1:3" x14ac:dyDescent="0.2">
      <c r="A440">
        <v>2019</v>
      </c>
      <c r="B440" s="36">
        <v>3930</v>
      </c>
      <c r="C440" s="40">
        <v>668313</v>
      </c>
    </row>
    <row r="441" spans="1:3" x14ac:dyDescent="0.2">
      <c r="A441">
        <v>2019</v>
      </c>
      <c r="B441" s="36">
        <v>3931</v>
      </c>
      <c r="C441" s="40">
        <v>913459</v>
      </c>
    </row>
    <row r="442" spans="1:3" x14ac:dyDescent="0.2">
      <c r="A442">
        <v>2019</v>
      </c>
      <c r="B442" s="36">
        <v>3932</v>
      </c>
      <c r="C442" s="40">
        <v>674708</v>
      </c>
    </row>
    <row r="443" spans="1:3" x14ac:dyDescent="0.2">
      <c r="A443">
        <v>2019</v>
      </c>
      <c r="B443" s="36">
        <v>3934</v>
      </c>
      <c r="C443" s="40">
        <v>126690</v>
      </c>
    </row>
    <row r="444" spans="1:3" x14ac:dyDescent="0.2">
      <c r="A444">
        <v>2019</v>
      </c>
      <c r="B444" s="36">
        <v>3979</v>
      </c>
      <c r="C444" s="40">
        <v>436610</v>
      </c>
    </row>
    <row r="445" spans="1:3" x14ac:dyDescent="0.2">
      <c r="A445">
        <v>2019</v>
      </c>
      <c r="B445" s="36">
        <v>3980</v>
      </c>
      <c r="C445" s="40">
        <v>366395</v>
      </c>
    </row>
    <row r="446" spans="1:3" x14ac:dyDescent="0.2">
      <c r="A446">
        <v>2019</v>
      </c>
      <c r="B446" s="36">
        <v>3981</v>
      </c>
      <c r="C446" s="40">
        <v>308712</v>
      </c>
    </row>
    <row r="447" spans="1:3" x14ac:dyDescent="0.2">
      <c r="A447">
        <v>2019</v>
      </c>
      <c r="B447" s="36">
        <v>3982</v>
      </c>
      <c r="C447" s="40">
        <v>143626</v>
      </c>
    </row>
    <row r="448" spans="1:3" x14ac:dyDescent="0.2">
      <c r="A448">
        <v>2019</v>
      </c>
      <c r="B448" s="36">
        <v>3983</v>
      </c>
      <c r="C448" s="40">
        <v>317897</v>
      </c>
    </row>
    <row r="449" spans="1:3" x14ac:dyDescent="0.2">
      <c r="A449">
        <v>2019</v>
      </c>
      <c r="B449" s="36">
        <v>3986</v>
      </c>
      <c r="C449" s="40">
        <v>331609</v>
      </c>
    </row>
    <row r="450" spans="1:3" x14ac:dyDescent="0.2">
      <c r="A450">
        <v>2019</v>
      </c>
      <c r="B450" s="36">
        <v>3987</v>
      </c>
      <c r="C450" s="40">
        <v>234204</v>
      </c>
    </row>
    <row r="451" spans="1:3" x14ac:dyDescent="0.2">
      <c r="A451">
        <v>2019</v>
      </c>
      <c r="B451" s="36">
        <v>3988</v>
      </c>
      <c r="C451" s="40">
        <v>294016</v>
      </c>
    </row>
    <row r="452" spans="1:3" x14ac:dyDescent="0.2">
      <c r="A452">
        <v>2019</v>
      </c>
      <c r="B452" s="36">
        <v>3989</v>
      </c>
      <c r="C452" s="40">
        <v>230191</v>
      </c>
    </row>
    <row r="453" spans="1:3" x14ac:dyDescent="0.2">
      <c r="A453">
        <v>2019</v>
      </c>
      <c r="B453" s="36">
        <v>3990</v>
      </c>
      <c r="C453" s="40">
        <v>312459</v>
      </c>
    </row>
    <row r="454" spans="1:3" x14ac:dyDescent="0.2">
      <c r="A454">
        <v>2019</v>
      </c>
      <c r="B454" s="36">
        <v>3991</v>
      </c>
      <c r="C454" s="40">
        <v>392628</v>
      </c>
    </row>
    <row r="455" spans="1:3" x14ac:dyDescent="0.2">
      <c r="A455">
        <v>2019</v>
      </c>
      <c r="B455" s="36">
        <v>3992</v>
      </c>
      <c r="C455" s="40">
        <v>340027</v>
      </c>
    </row>
    <row r="456" spans="1:3" x14ac:dyDescent="0.2">
      <c r="A456">
        <v>2019</v>
      </c>
      <c r="B456" s="36">
        <v>3994</v>
      </c>
      <c r="C456" s="40">
        <v>649944</v>
      </c>
    </row>
    <row r="457" spans="1:3" x14ac:dyDescent="0.2">
      <c r="A457">
        <v>2019</v>
      </c>
      <c r="B457" s="36">
        <v>3995</v>
      </c>
      <c r="C457" s="40">
        <v>325171</v>
      </c>
    </row>
    <row r="458" spans="1:3" x14ac:dyDescent="0.2">
      <c r="A458">
        <v>2019</v>
      </c>
      <c r="B458" s="36">
        <v>3996</v>
      </c>
      <c r="C458" s="40">
        <v>259804</v>
      </c>
    </row>
    <row r="459" spans="1:3" x14ac:dyDescent="0.2">
      <c r="A459">
        <v>2019</v>
      </c>
      <c r="B459" s="36">
        <v>3997</v>
      </c>
      <c r="C459" s="40">
        <v>288267</v>
      </c>
    </row>
    <row r="460" spans="1:3" x14ac:dyDescent="0.2">
      <c r="A460">
        <v>2019</v>
      </c>
      <c r="B460" s="36">
        <v>3998</v>
      </c>
      <c r="C460" s="40">
        <v>278324</v>
      </c>
    </row>
    <row r="461" spans="1:3" x14ac:dyDescent="0.2">
      <c r="A461">
        <v>2019</v>
      </c>
      <c r="B461" s="36">
        <v>3999</v>
      </c>
      <c r="C461" s="40">
        <v>274985</v>
      </c>
    </row>
    <row r="462" spans="1:3" x14ac:dyDescent="0.2">
      <c r="A462">
        <v>2019</v>
      </c>
      <c r="B462" s="36">
        <v>4004</v>
      </c>
      <c r="C462" s="40">
        <v>157396</v>
      </c>
    </row>
    <row r="463" spans="1:3" x14ac:dyDescent="0.2">
      <c r="A463">
        <v>2019</v>
      </c>
      <c r="B463" s="36">
        <v>4007</v>
      </c>
      <c r="C463" s="40">
        <v>230678</v>
      </c>
    </row>
    <row r="464" spans="1:3" x14ac:dyDescent="0.2">
      <c r="A464">
        <v>2019</v>
      </c>
      <c r="B464" s="36">
        <v>4008</v>
      </c>
      <c r="C464" s="40">
        <v>77515</v>
      </c>
    </row>
    <row r="465" spans="1:3" x14ac:dyDescent="0.2">
      <c r="A465">
        <v>2019</v>
      </c>
      <c r="B465" s="36">
        <v>4009</v>
      </c>
      <c r="C465" s="40">
        <v>1336928</v>
      </c>
    </row>
    <row r="466" spans="1:3" x14ac:dyDescent="0.2">
      <c r="A466">
        <v>2019</v>
      </c>
      <c r="B466" s="36">
        <v>4010</v>
      </c>
      <c r="C466" s="40">
        <v>125755</v>
      </c>
    </row>
    <row r="467" spans="1:3" x14ac:dyDescent="0.2">
      <c r="A467">
        <v>2019</v>
      </c>
      <c r="B467" s="36">
        <v>4014</v>
      </c>
      <c r="C467" s="40">
        <v>586797</v>
      </c>
    </row>
    <row r="468" spans="1:3" x14ac:dyDescent="0.2">
      <c r="A468">
        <v>2019</v>
      </c>
      <c r="B468" s="36">
        <v>4015</v>
      </c>
      <c r="C468" s="40">
        <v>385074</v>
      </c>
    </row>
    <row r="469" spans="1:3" x14ac:dyDescent="0.2">
      <c r="A469">
        <v>2019</v>
      </c>
      <c r="B469" s="36">
        <v>4020</v>
      </c>
      <c r="C469" s="40">
        <v>751184</v>
      </c>
    </row>
    <row r="470" spans="1:3" x14ac:dyDescent="0.2">
      <c r="A470">
        <v>2019</v>
      </c>
      <c r="B470" s="36">
        <v>4021</v>
      </c>
      <c r="C470" s="40">
        <v>1037672</v>
      </c>
    </row>
    <row r="471" spans="1:3" x14ac:dyDescent="0.2">
      <c r="A471">
        <v>2019</v>
      </c>
      <c r="B471" s="36">
        <v>4022</v>
      </c>
      <c r="C471" s="40">
        <v>772138</v>
      </c>
    </row>
    <row r="472" spans="1:3" x14ac:dyDescent="0.2">
      <c r="A472">
        <v>2019</v>
      </c>
      <c r="B472" s="36">
        <v>4027</v>
      </c>
      <c r="C472" s="40">
        <v>772985</v>
      </c>
    </row>
    <row r="473" spans="1:3" x14ac:dyDescent="0.2">
      <c r="A473">
        <v>2019</v>
      </c>
      <c r="B473" s="36">
        <v>4028</v>
      </c>
      <c r="C473" s="40">
        <v>136370</v>
      </c>
    </row>
    <row r="474" spans="1:3" x14ac:dyDescent="0.2">
      <c r="A474">
        <v>2019</v>
      </c>
      <c r="B474" s="36">
        <v>4029</v>
      </c>
      <c r="C474" s="40">
        <v>836257</v>
      </c>
    </row>
    <row r="475" spans="1:3" x14ac:dyDescent="0.2">
      <c r="A475">
        <v>2019</v>
      </c>
      <c r="B475" s="36">
        <v>4030</v>
      </c>
      <c r="C475" s="40">
        <v>500763</v>
      </c>
    </row>
    <row r="476" spans="1:3" x14ac:dyDescent="0.2">
      <c r="A476">
        <v>2019</v>
      </c>
      <c r="B476" s="36">
        <v>4031</v>
      </c>
      <c r="C476" s="40">
        <v>442466</v>
      </c>
    </row>
    <row r="477" spans="1:3" x14ac:dyDescent="0.2">
      <c r="A477">
        <v>2019</v>
      </c>
      <c r="B477" s="36">
        <v>4034</v>
      </c>
      <c r="C477" s="40">
        <v>384265</v>
      </c>
    </row>
    <row r="478" spans="1:3" x14ac:dyDescent="0.2">
      <c r="A478">
        <v>2019</v>
      </c>
      <c r="B478" s="36">
        <v>4036</v>
      </c>
      <c r="C478" s="40">
        <v>577676</v>
      </c>
    </row>
    <row r="479" spans="1:3" x14ac:dyDescent="0.2">
      <c r="A479">
        <v>2019</v>
      </c>
      <c r="B479" s="36">
        <v>4101</v>
      </c>
      <c r="C479" s="40">
        <v>410626</v>
      </c>
    </row>
    <row r="480" spans="1:3" x14ac:dyDescent="0.2">
      <c r="A480">
        <v>2019</v>
      </c>
      <c r="B480" s="36">
        <v>4104</v>
      </c>
      <c r="C480" s="40">
        <v>358709</v>
      </c>
    </row>
    <row r="481" spans="1:3" x14ac:dyDescent="0.2">
      <c r="A481">
        <v>2019</v>
      </c>
      <c r="B481" s="36">
        <v>4124</v>
      </c>
      <c r="C481" s="40">
        <v>33626</v>
      </c>
    </row>
    <row r="482" spans="1:3" x14ac:dyDescent="0.2">
      <c r="A482">
        <v>2019</v>
      </c>
      <c r="B482" s="36">
        <v>4126</v>
      </c>
      <c r="C482" s="40">
        <v>1203447</v>
      </c>
    </row>
    <row r="483" spans="1:3" x14ac:dyDescent="0.2">
      <c r="A483">
        <v>2019</v>
      </c>
      <c r="B483" s="36">
        <v>4128</v>
      </c>
      <c r="C483" s="40">
        <v>774192</v>
      </c>
    </row>
    <row r="484" spans="1:3" x14ac:dyDescent="0.2">
      <c r="A484">
        <v>2019</v>
      </c>
      <c r="B484" s="36">
        <v>4130</v>
      </c>
      <c r="C484" s="40">
        <v>659249</v>
      </c>
    </row>
    <row r="485" spans="1:3" x14ac:dyDescent="0.2">
      <c r="A485">
        <v>2019</v>
      </c>
      <c r="B485" s="36">
        <v>4132</v>
      </c>
      <c r="C485" s="40">
        <v>299169</v>
      </c>
    </row>
    <row r="486" spans="1:3" x14ac:dyDescent="0.2">
      <c r="A486">
        <v>2019</v>
      </c>
      <c r="B486" s="36">
        <v>4134</v>
      </c>
      <c r="C486" s="40">
        <v>287556</v>
      </c>
    </row>
    <row r="487" spans="1:3" x14ac:dyDescent="0.2">
      <c r="A487">
        <v>2019</v>
      </c>
      <c r="B487" s="36">
        <v>4135</v>
      </c>
      <c r="C487" s="40">
        <v>251309</v>
      </c>
    </row>
    <row r="488" spans="1:3" x14ac:dyDescent="0.2">
      <c r="A488">
        <v>2019</v>
      </c>
      <c r="B488" s="36">
        <v>4137</v>
      </c>
      <c r="C488" s="40">
        <v>341995</v>
      </c>
    </row>
    <row r="489" spans="1:3" x14ac:dyDescent="0.2">
      <c r="A489">
        <v>2019</v>
      </c>
      <c r="B489" s="36">
        <v>4142</v>
      </c>
      <c r="C489" s="40">
        <v>1065605</v>
      </c>
    </row>
    <row r="490" spans="1:3" x14ac:dyDescent="0.2">
      <c r="A490">
        <v>2019</v>
      </c>
      <c r="B490" s="36">
        <v>4143</v>
      </c>
      <c r="C490" s="40">
        <v>839640</v>
      </c>
    </row>
    <row r="491" spans="1:3" x14ac:dyDescent="0.2">
      <c r="A491">
        <v>2019</v>
      </c>
      <c r="B491" s="36">
        <v>4144</v>
      </c>
      <c r="C491" s="40">
        <v>528684</v>
      </c>
    </row>
    <row r="492" spans="1:3" x14ac:dyDescent="0.2">
      <c r="A492">
        <v>2019</v>
      </c>
      <c r="B492" s="36">
        <v>4149</v>
      </c>
      <c r="C492" s="40">
        <v>280456</v>
      </c>
    </row>
    <row r="493" spans="1:3" x14ac:dyDescent="0.2">
      <c r="A493">
        <v>2019</v>
      </c>
      <c r="B493" s="36">
        <v>4151</v>
      </c>
      <c r="C493" s="40">
        <v>762645</v>
      </c>
    </row>
    <row r="494" spans="1:3" x14ac:dyDescent="0.2">
      <c r="A494">
        <v>2019</v>
      </c>
      <c r="B494" s="36">
        <v>4152</v>
      </c>
      <c r="C494" s="40">
        <v>695399</v>
      </c>
    </row>
    <row r="495" spans="1:3" x14ac:dyDescent="0.2">
      <c r="A495">
        <v>2019</v>
      </c>
      <c r="B495" s="36">
        <v>4153</v>
      </c>
      <c r="C495" s="40">
        <v>775439</v>
      </c>
    </row>
    <row r="496" spans="1:3" x14ac:dyDescent="0.2">
      <c r="A496">
        <v>2019</v>
      </c>
      <c r="B496" s="36">
        <v>4154</v>
      </c>
      <c r="C496" s="40">
        <v>458554</v>
      </c>
    </row>
    <row r="497" spans="1:3" x14ac:dyDescent="0.2">
      <c r="A497">
        <v>2019</v>
      </c>
      <c r="B497" s="36">
        <v>4155</v>
      </c>
      <c r="C497" s="40">
        <v>594321</v>
      </c>
    </row>
    <row r="498" spans="1:3" x14ac:dyDescent="0.2">
      <c r="A498">
        <v>2019</v>
      </c>
      <c r="B498" s="36">
        <v>4178</v>
      </c>
      <c r="C498" s="40">
        <v>565456</v>
      </c>
    </row>
    <row r="499" spans="1:3" x14ac:dyDescent="0.2">
      <c r="A499">
        <v>2019</v>
      </c>
      <c r="B499" s="36">
        <v>4180</v>
      </c>
      <c r="C499" s="40">
        <v>1143315</v>
      </c>
    </row>
    <row r="500" spans="1:3" x14ac:dyDescent="0.2">
      <c r="A500">
        <v>2019</v>
      </c>
      <c r="B500" s="36">
        <v>4183</v>
      </c>
      <c r="C500" s="40">
        <v>736874</v>
      </c>
    </row>
    <row r="501" spans="1:3" x14ac:dyDescent="0.2">
      <c r="A501">
        <v>2019</v>
      </c>
      <c r="B501" s="36">
        <v>4184</v>
      </c>
      <c r="C501" s="40">
        <v>727161</v>
      </c>
    </row>
    <row r="502" spans="1:3" x14ac:dyDescent="0.2">
      <c r="A502">
        <v>2019</v>
      </c>
      <c r="B502" s="36">
        <v>4202</v>
      </c>
      <c r="C502" s="40">
        <v>487772</v>
      </c>
    </row>
    <row r="503" spans="1:3" x14ac:dyDescent="0.2">
      <c r="A503">
        <v>2019</v>
      </c>
      <c r="B503" s="36">
        <v>4203</v>
      </c>
      <c r="C503" s="40">
        <v>492783</v>
      </c>
    </row>
    <row r="504" spans="1:3" x14ac:dyDescent="0.2">
      <c r="A504">
        <v>2019</v>
      </c>
      <c r="B504" s="36">
        <v>4205</v>
      </c>
      <c r="C504" s="40">
        <v>336227</v>
      </c>
    </row>
    <row r="505" spans="1:3" x14ac:dyDescent="0.2">
      <c r="A505">
        <v>2019</v>
      </c>
      <c r="B505" s="36">
        <v>4206</v>
      </c>
      <c r="C505" s="40">
        <v>329327</v>
      </c>
    </row>
    <row r="506" spans="1:3" x14ac:dyDescent="0.2">
      <c r="A506">
        <v>2019</v>
      </c>
      <c r="B506" s="36">
        <v>4208</v>
      </c>
      <c r="C506" s="40">
        <v>1686173</v>
      </c>
    </row>
    <row r="507" spans="1:3" x14ac:dyDescent="0.2">
      <c r="A507">
        <v>2019</v>
      </c>
      <c r="B507" s="36">
        <v>4258</v>
      </c>
      <c r="C507" s="40">
        <v>628409</v>
      </c>
    </row>
    <row r="508" spans="1:3" x14ac:dyDescent="0.2">
      <c r="A508">
        <v>2019</v>
      </c>
      <c r="B508" s="36">
        <v>4259</v>
      </c>
      <c r="C508" s="40">
        <v>554075</v>
      </c>
    </row>
    <row r="509" spans="1:3" x14ac:dyDescent="0.2">
      <c r="A509">
        <v>2019</v>
      </c>
      <c r="B509" s="36">
        <v>4260</v>
      </c>
      <c r="C509" s="40">
        <v>839838</v>
      </c>
    </row>
    <row r="510" spans="1:3" x14ac:dyDescent="0.2">
      <c r="A510">
        <v>2019</v>
      </c>
      <c r="B510" s="36">
        <v>4301</v>
      </c>
      <c r="C510" s="40">
        <v>1689306</v>
      </c>
    </row>
    <row r="511" spans="1:3" x14ac:dyDescent="0.2">
      <c r="A511">
        <v>2019</v>
      </c>
      <c r="B511" s="36">
        <v>4351</v>
      </c>
      <c r="C511" s="40">
        <v>2387412</v>
      </c>
    </row>
    <row r="512" spans="1:3" x14ac:dyDescent="0.2">
      <c r="A512">
        <v>2019</v>
      </c>
      <c r="B512" s="36">
        <v>4353</v>
      </c>
      <c r="C512" s="40">
        <v>1497182</v>
      </c>
    </row>
    <row r="513" spans="1:3" x14ac:dyDescent="0.2">
      <c r="A513">
        <v>2019</v>
      </c>
      <c r="B513" s="36">
        <v>4355</v>
      </c>
      <c r="C513" s="40">
        <v>2477915</v>
      </c>
    </row>
    <row r="514" spans="1:3" x14ac:dyDescent="0.2">
      <c r="A514">
        <v>2019</v>
      </c>
      <c r="B514" s="36">
        <v>4356</v>
      </c>
      <c r="C514" s="40">
        <v>4042629</v>
      </c>
    </row>
    <row r="515" spans="1:3" x14ac:dyDescent="0.2">
      <c r="A515">
        <v>2019</v>
      </c>
      <c r="B515" s="36">
        <v>4357</v>
      </c>
      <c r="C515" s="40">
        <v>1788723</v>
      </c>
    </row>
    <row r="516" spans="1:3" x14ac:dyDescent="0.2">
      <c r="A516">
        <v>2019</v>
      </c>
      <c r="B516" s="36">
        <v>4358</v>
      </c>
      <c r="C516" s="40">
        <v>1377483</v>
      </c>
    </row>
    <row r="517" spans="1:3" x14ac:dyDescent="0.2">
      <c r="A517">
        <v>2019</v>
      </c>
      <c r="B517" s="36">
        <v>4360</v>
      </c>
      <c r="C517" s="40">
        <v>1497929</v>
      </c>
    </row>
    <row r="518" spans="1:3" x14ac:dyDescent="0.2">
      <c r="A518">
        <v>2019</v>
      </c>
      <c r="B518" s="36">
        <v>4361</v>
      </c>
      <c r="C518" s="40">
        <v>2616479</v>
      </c>
    </row>
    <row r="519" spans="1:3" x14ac:dyDescent="0.2">
      <c r="A519">
        <v>2019</v>
      </c>
      <c r="B519" s="36">
        <v>4363</v>
      </c>
      <c r="C519" s="40">
        <v>1482703</v>
      </c>
    </row>
    <row r="520" spans="1:3" x14ac:dyDescent="0.2">
      <c r="A520">
        <v>2019</v>
      </c>
      <c r="B520" s="36">
        <v>4364</v>
      </c>
      <c r="C520" s="40">
        <v>1573346</v>
      </c>
    </row>
    <row r="521" spans="1:3" x14ac:dyDescent="0.2">
      <c r="A521">
        <v>2019</v>
      </c>
      <c r="B521" s="36">
        <v>4365</v>
      </c>
      <c r="C521" s="40">
        <v>1226174</v>
      </c>
    </row>
    <row r="522" spans="1:3" x14ac:dyDescent="0.2">
      <c r="A522">
        <v>2019</v>
      </c>
      <c r="B522" s="36">
        <v>4366</v>
      </c>
      <c r="C522" s="40">
        <v>5551016</v>
      </c>
    </row>
    <row r="523" spans="1:3" x14ac:dyDescent="0.2">
      <c r="A523">
        <v>2019</v>
      </c>
      <c r="B523" s="36">
        <v>4367</v>
      </c>
      <c r="C523" s="40">
        <v>9262309</v>
      </c>
    </row>
    <row r="524" spans="1:3" x14ac:dyDescent="0.2">
      <c r="A524">
        <v>2019</v>
      </c>
      <c r="B524" s="36">
        <v>4368</v>
      </c>
      <c r="C524" s="40">
        <v>7345151</v>
      </c>
    </row>
    <row r="525" spans="1:3" x14ac:dyDescent="0.2">
      <c r="A525">
        <v>2019</v>
      </c>
      <c r="B525" s="36">
        <v>4428</v>
      </c>
      <c r="C525" s="40">
        <v>427336</v>
      </c>
    </row>
    <row r="526" spans="1:3" x14ac:dyDescent="0.2">
      <c r="A526">
        <v>2019</v>
      </c>
      <c r="B526" s="36">
        <v>4430</v>
      </c>
      <c r="C526" s="40">
        <v>479799</v>
      </c>
    </row>
    <row r="527" spans="1:3" x14ac:dyDescent="0.2">
      <c r="A527">
        <v>2019</v>
      </c>
      <c r="B527" s="36">
        <v>4434</v>
      </c>
      <c r="C527" s="40">
        <v>174730</v>
      </c>
    </row>
    <row r="528" spans="1:3" x14ac:dyDescent="0.2">
      <c r="A528">
        <v>2019</v>
      </c>
      <c r="B528" s="36">
        <v>4437</v>
      </c>
      <c r="C528" s="40">
        <v>701495</v>
      </c>
    </row>
    <row r="529" spans="1:3" x14ac:dyDescent="0.2">
      <c r="A529">
        <v>2019</v>
      </c>
      <c r="B529" s="36">
        <v>4438</v>
      </c>
      <c r="C529" s="40">
        <v>546084</v>
      </c>
    </row>
    <row r="530" spans="1:3" x14ac:dyDescent="0.2">
      <c r="A530">
        <v>2019</v>
      </c>
      <c r="B530" s="36">
        <v>4439</v>
      </c>
      <c r="C530" s="40">
        <v>684474</v>
      </c>
    </row>
    <row r="531" spans="1:3" x14ac:dyDescent="0.2">
      <c r="A531">
        <v>2019</v>
      </c>
      <c r="B531" s="36">
        <v>4504</v>
      </c>
      <c r="C531" s="40">
        <v>481662</v>
      </c>
    </row>
    <row r="532" spans="1:3" x14ac:dyDescent="0.2">
      <c r="A532">
        <v>2019</v>
      </c>
      <c r="B532" s="36">
        <v>4531</v>
      </c>
      <c r="C532" s="40">
        <v>640189</v>
      </c>
    </row>
    <row r="533" spans="1:3" x14ac:dyDescent="0.2">
      <c r="A533">
        <v>2019</v>
      </c>
      <c r="B533" s="36">
        <v>4532</v>
      </c>
      <c r="C533" s="40">
        <v>1032958</v>
      </c>
    </row>
    <row r="534" spans="1:3" x14ac:dyDescent="0.2">
      <c r="A534">
        <v>2019</v>
      </c>
      <c r="B534" s="36">
        <v>4533</v>
      </c>
      <c r="C534" s="40">
        <v>760159</v>
      </c>
    </row>
    <row r="535" spans="1:3" x14ac:dyDescent="0.2">
      <c r="A535">
        <v>2019</v>
      </c>
      <c r="B535" s="36">
        <v>4534</v>
      </c>
      <c r="C535" s="40">
        <v>734915</v>
      </c>
    </row>
    <row r="536" spans="1:3" x14ac:dyDescent="0.2">
      <c r="A536">
        <v>2019</v>
      </c>
      <c r="B536" s="36">
        <v>4557</v>
      </c>
      <c r="C536" s="40">
        <v>377919</v>
      </c>
    </row>
    <row r="537" spans="1:3" x14ac:dyDescent="0.2">
      <c r="A537">
        <v>2019</v>
      </c>
      <c r="B537" s="36">
        <v>4582</v>
      </c>
      <c r="C537" s="40">
        <v>739587</v>
      </c>
    </row>
    <row r="538" spans="1:3" x14ac:dyDescent="0.2">
      <c r="A538">
        <v>2019</v>
      </c>
      <c r="B538" s="36">
        <v>4583</v>
      </c>
      <c r="C538" s="40">
        <v>610355</v>
      </c>
    </row>
    <row r="539" spans="1:3" x14ac:dyDescent="0.2">
      <c r="A539">
        <v>2019</v>
      </c>
      <c r="B539" s="36">
        <v>4586</v>
      </c>
      <c r="C539" s="40">
        <v>656636</v>
      </c>
    </row>
    <row r="540" spans="1:3" x14ac:dyDescent="0.2">
      <c r="A540">
        <v>2019</v>
      </c>
      <c r="B540" s="36">
        <v>4588</v>
      </c>
      <c r="C540" s="40">
        <v>572778</v>
      </c>
    </row>
    <row r="541" spans="1:3" x14ac:dyDescent="0.2">
      <c r="A541">
        <v>2019</v>
      </c>
      <c r="B541" s="36">
        <v>4590</v>
      </c>
      <c r="C541" s="40">
        <v>630646</v>
      </c>
    </row>
    <row r="542" spans="1:3" x14ac:dyDescent="0.2">
      <c r="A542">
        <v>2019</v>
      </c>
      <c r="B542" s="36">
        <v>4592</v>
      </c>
      <c r="C542" s="40">
        <v>368006</v>
      </c>
    </row>
    <row r="543" spans="1:3" x14ac:dyDescent="0.2">
      <c r="A543">
        <v>2019</v>
      </c>
      <c r="B543" s="36">
        <v>4593</v>
      </c>
      <c r="C543" s="40">
        <v>710871</v>
      </c>
    </row>
    <row r="544" spans="1:3" x14ac:dyDescent="0.2">
      <c r="A544">
        <v>2019</v>
      </c>
      <c r="B544" s="36">
        <v>4594</v>
      </c>
      <c r="C544" s="40">
        <v>724914</v>
      </c>
    </row>
    <row r="545" spans="1:3" x14ac:dyDescent="0.2">
      <c r="A545">
        <v>2019</v>
      </c>
      <c r="B545" s="36">
        <v>4595</v>
      </c>
      <c r="C545" s="40">
        <v>787408</v>
      </c>
    </row>
    <row r="546" spans="1:3" x14ac:dyDescent="0.2">
      <c r="A546">
        <v>2019</v>
      </c>
      <c r="B546" s="36">
        <v>4596</v>
      </c>
      <c r="C546" s="40">
        <v>617364</v>
      </c>
    </row>
    <row r="547" spans="1:3" x14ac:dyDescent="0.2">
      <c r="A547">
        <v>2019</v>
      </c>
      <c r="B547" s="36">
        <v>4597</v>
      </c>
      <c r="C547" s="40">
        <v>905947</v>
      </c>
    </row>
    <row r="548" spans="1:3" x14ac:dyDescent="0.2">
      <c r="A548">
        <v>2019</v>
      </c>
      <c r="B548" s="36">
        <v>4598</v>
      </c>
      <c r="C548" s="40">
        <v>835070</v>
      </c>
    </row>
    <row r="549" spans="1:3" x14ac:dyDescent="0.2">
      <c r="A549">
        <v>2019</v>
      </c>
      <c r="B549" s="36">
        <v>4604</v>
      </c>
      <c r="C549" s="40">
        <v>1063248</v>
      </c>
    </row>
    <row r="550" spans="1:3" x14ac:dyDescent="0.2">
      <c r="A550">
        <v>2019</v>
      </c>
      <c r="B550" s="36">
        <v>4617</v>
      </c>
      <c r="C550" s="40">
        <v>408828</v>
      </c>
    </row>
    <row r="551" spans="1:3" x14ac:dyDescent="0.2">
      <c r="A551">
        <v>2019</v>
      </c>
      <c r="B551" s="36">
        <v>4620</v>
      </c>
      <c r="C551" s="40">
        <v>797140</v>
      </c>
    </row>
    <row r="552" spans="1:3" x14ac:dyDescent="0.2">
      <c r="A552">
        <v>2019</v>
      </c>
      <c r="B552" s="36">
        <v>4651</v>
      </c>
      <c r="C552" s="40">
        <v>886474</v>
      </c>
    </row>
    <row r="553" spans="1:3" x14ac:dyDescent="0.2">
      <c r="A553">
        <v>2019</v>
      </c>
      <c r="B553" s="36">
        <v>4653</v>
      </c>
      <c r="C553" s="40">
        <v>2981796</v>
      </c>
    </row>
    <row r="554" spans="1:3" x14ac:dyDescent="0.2">
      <c r="A554">
        <v>2019</v>
      </c>
      <c r="B554" s="36">
        <v>4654</v>
      </c>
      <c r="C554" s="40">
        <v>3498729</v>
      </c>
    </row>
    <row r="555" spans="1:3" x14ac:dyDescent="0.2">
      <c r="A555">
        <v>2019</v>
      </c>
      <c r="B555" s="36">
        <v>4662</v>
      </c>
      <c r="C555" s="40">
        <v>688045</v>
      </c>
    </row>
    <row r="556" spans="1:3" x14ac:dyDescent="0.2">
      <c r="A556">
        <v>2019</v>
      </c>
      <c r="B556" s="36">
        <v>4663</v>
      </c>
      <c r="C556" s="40">
        <v>852276</v>
      </c>
    </row>
    <row r="557" spans="1:3" x14ac:dyDescent="0.2">
      <c r="A557">
        <v>2019</v>
      </c>
      <c r="B557" s="36">
        <v>4679</v>
      </c>
      <c r="C557" s="40">
        <v>707320</v>
      </c>
    </row>
    <row r="558" spans="1:3" x14ac:dyDescent="0.2">
      <c r="A558">
        <v>2019</v>
      </c>
      <c r="B558" s="36">
        <v>4680</v>
      </c>
      <c r="C558" s="40">
        <v>547066</v>
      </c>
    </row>
    <row r="559" spans="1:3" x14ac:dyDescent="0.2">
      <c r="A559">
        <v>2019</v>
      </c>
      <c r="B559" s="36">
        <v>4701</v>
      </c>
      <c r="C559" s="40">
        <v>972233</v>
      </c>
    </row>
    <row r="560" spans="1:3" x14ac:dyDescent="0.2">
      <c r="A560">
        <v>2019</v>
      </c>
      <c r="B560" s="36">
        <v>4703</v>
      </c>
      <c r="C560" s="40">
        <v>796751</v>
      </c>
    </row>
    <row r="561" spans="1:3" x14ac:dyDescent="0.2">
      <c r="A561">
        <v>2019</v>
      </c>
      <c r="B561" s="36">
        <v>4704</v>
      </c>
      <c r="C561" s="40">
        <v>803303</v>
      </c>
    </row>
    <row r="562" spans="1:3" x14ac:dyDescent="0.2">
      <c r="A562">
        <v>2019</v>
      </c>
      <c r="B562" s="36">
        <v>4705</v>
      </c>
      <c r="C562" s="40">
        <v>1088877</v>
      </c>
    </row>
    <row r="563" spans="1:3" x14ac:dyDescent="0.2">
      <c r="A563">
        <v>2019</v>
      </c>
      <c r="B563" s="36">
        <v>4854</v>
      </c>
      <c r="C563" s="40">
        <v>1038266</v>
      </c>
    </row>
    <row r="564" spans="1:3" x14ac:dyDescent="0.2">
      <c r="A564">
        <v>2019</v>
      </c>
      <c r="B564" s="36">
        <v>4855</v>
      </c>
      <c r="C564" s="40">
        <v>321783</v>
      </c>
    </row>
    <row r="565" spans="1:3" x14ac:dyDescent="0.2">
      <c r="A565">
        <v>2019</v>
      </c>
      <c r="B565" s="36">
        <v>4857</v>
      </c>
      <c r="C565" s="40">
        <v>2116190</v>
      </c>
    </row>
    <row r="566" spans="1:3" x14ac:dyDescent="0.2">
      <c r="A566">
        <v>2019</v>
      </c>
      <c r="B566" s="36">
        <v>4862</v>
      </c>
      <c r="C566" s="40">
        <v>1888663</v>
      </c>
    </row>
    <row r="567" spans="1:3" x14ac:dyDescent="0.2">
      <c r="A567">
        <v>2019</v>
      </c>
      <c r="B567" s="36">
        <v>4863</v>
      </c>
      <c r="C567" s="40">
        <v>2303538</v>
      </c>
    </row>
    <row r="568" spans="1:3" x14ac:dyDescent="0.2">
      <c r="A568">
        <v>2019</v>
      </c>
      <c r="B568" s="36">
        <v>4877</v>
      </c>
      <c r="C568" s="40">
        <v>971053</v>
      </c>
    </row>
    <row r="569" spans="1:3" x14ac:dyDescent="0.2">
      <c r="A569">
        <v>2019</v>
      </c>
      <c r="B569" s="36">
        <v>4879</v>
      </c>
      <c r="C569" s="40">
        <v>704663</v>
      </c>
    </row>
    <row r="570" spans="1:3" x14ac:dyDescent="0.2">
      <c r="A570">
        <v>2019</v>
      </c>
      <c r="B570" s="36">
        <v>4883</v>
      </c>
      <c r="C570" s="40">
        <v>25219</v>
      </c>
    </row>
    <row r="571" spans="1:3" x14ac:dyDescent="0.2">
      <c r="A571">
        <v>2019</v>
      </c>
      <c r="B571" s="36">
        <v>4884</v>
      </c>
      <c r="C571" s="40">
        <v>310722</v>
      </c>
    </row>
    <row r="572" spans="1:3" x14ac:dyDescent="0.2">
      <c r="A572">
        <v>2019</v>
      </c>
      <c r="B572" s="36">
        <v>4885</v>
      </c>
      <c r="C572" s="40">
        <v>804345</v>
      </c>
    </row>
    <row r="573" spans="1:3" x14ac:dyDescent="0.2">
      <c r="A573">
        <v>2019</v>
      </c>
      <c r="B573" s="36">
        <v>4890</v>
      </c>
      <c r="C573" s="40">
        <v>1271252</v>
      </c>
    </row>
    <row r="574" spans="1:3" x14ac:dyDescent="0.2">
      <c r="A574">
        <v>2019</v>
      </c>
      <c r="B574" s="36">
        <v>4892</v>
      </c>
      <c r="C574" s="40">
        <v>1147031</v>
      </c>
    </row>
    <row r="575" spans="1:3" x14ac:dyDescent="0.2">
      <c r="A575">
        <v>2019</v>
      </c>
      <c r="B575" s="36">
        <v>4894</v>
      </c>
      <c r="C575" s="40">
        <v>1157058</v>
      </c>
    </row>
    <row r="576" spans="1:3" x14ac:dyDescent="0.2">
      <c r="A576">
        <v>2019</v>
      </c>
      <c r="B576" s="36">
        <v>4901</v>
      </c>
      <c r="C576" s="40">
        <v>765732</v>
      </c>
    </row>
    <row r="577" spans="1:3" x14ac:dyDescent="0.2">
      <c r="A577">
        <v>2019</v>
      </c>
      <c r="B577" s="36">
        <v>4905</v>
      </c>
      <c r="C577" s="40">
        <v>326445</v>
      </c>
    </row>
    <row r="578" spans="1:3" x14ac:dyDescent="0.2">
      <c r="A578">
        <v>2019</v>
      </c>
      <c r="B578" s="36">
        <v>4906</v>
      </c>
      <c r="C578" s="40">
        <v>1049858</v>
      </c>
    </row>
    <row r="579" spans="1:3" x14ac:dyDescent="0.2">
      <c r="A579">
        <v>2019</v>
      </c>
      <c r="B579" s="36">
        <v>4907</v>
      </c>
      <c r="C579" s="40">
        <v>1662559</v>
      </c>
    </row>
    <row r="580" spans="1:3" x14ac:dyDescent="0.2">
      <c r="A580">
        <v>2019</v>
      </c>
      <c r="B580" s="36">
        <v>4908</v>
      </c>
      <c r="C580" s="40">
        <v>454351</v>
      </c>
    </row>
    <row r="581" spans="1:3" x14ac:dyDescent="0.2">
      <c r="A581">
        <v>2019</v>
      </c>
      <c r="B581" s="36">
        <v>4909</v>
      </c>
      <c r="C581" s="40">
        <v>1228497</v>
      </c>
    </row>
    <row r="582" spans="1:3" x14ac:dyDescent="0.2">
      <c r="A582">
        <v>2019</v>
      </c>
      <c r="B582" s="36">
        <v>4910</v>
      </c>
      <c r="C582" s="40">
        <v>585559</v>
      </c>
    </row>
    <row r="583" spans="1:3" x14ac:dyDescent="0.2">
      <c r="A583">
        <v>2019</v>
      </c>
      <c r="B583" s="36">
        <v>4976</v>
      </c>
      <c r="C583" s="40">
        <v>280377</v>
      </c>
    </row>
    <row r="584" spans="1:3" x14ac:dyDescent="0.2">
      <c r="A584">
        <v>2019</v>
      </c>
      <c r="B584" s="36">
        <v>4978</v>
      </c>
      <c r="C584" s="40">
        <v>310152</v>
      </c>
    </row>
    <row r="585" spans="1:3" x14ac:dyDescent="0.2">
      <c r="A585">
        <v>2019</v>
      </c>
      <c r="B585" s="36">
        <v>4979</v>
      </c>
      <c r="C585" s="40">
        <v>428975</v>
      </c>
    </row>
    <row r="586" spans="1:3" x14ac:dyDescent="0.2">
      <c r="A586">
        <v>2019</v>
      </c>
      <c r="B586" s="36">
        <v>4980</v>
      </c>
      <c r="C586" s="40">
        <v>223473</v>
      </c>
    </row>
    <row r="587" spans="1:3" x14ac:dyDescent="0.2">
      <c r="A587">
        <v>2019</v>
      </c>
      <c r="B587" s="36">
        <v>4981</v>
      </c>
      <c r="C587" s="40">
        <v>281220</v>
      </c>
    </row>
    <row r="588" spans="1:3" x14ac:dyDescent="0.2">
      <c r="A588">
        <v>2019</v>
      </c>
      <c r="B588" s="36">
        <v>4982</v>
      </c>
      <c r="C588" s="40">
        <v>404107</v>
      </c>
    </row>
    <row r="589" spans="1:3" x14ac:dyDescent="0.2">
      <c r="A589">
        <v>2019</v>
      </c>
      <c r="B589" s="36">
        <v>4983</v>
      </c>
      <c r="C589" s="40">
        <v>320251</v>
      </c>
    </row>
    <row r="590" spans="1:3" x14ac:dyDescent="0.2">
      <c r="A590">
        <v>2019</v>
      </c>
      <c r="B590" s="36">
        <v>5001</v>
      </c>
      <c r="C590" s="40">
        <v>604447</v>
      </c>
    </row>
    <row r="591" spans="1:3" x14ac:dyDescent="0.2">
      <c r="A591">
        <v>2019</v>
      </c>
      <c r="B591" s="36">
        <v>5002</v>
      </c>
      <c r="C591" s="40">
        <v>402940</v>
      </c>
    </row>
    <row r="592" spans="1:3" x14ac:dyDescent="0.2">
      <c r="A592">
        <v>2019</v>
      </c>
      <c r="B592" s="36">
        <v>5003</v>
      </c>
      <c r="C592" s="40">
        <v>476197</v>
      </c>
    </row>
    <row r="593" spans="1:3" x14ac:dyDescent="0.2">
      <c r="A593">
        <v>2019</v>
      </c>
      <c r="B593" s="36">
        <v>5026</v>
      </c>
      <c r="C593" s="40">
        <v>363071</v>
      </c>
    </row>
    <row r="594" spans="1:3" x14ac:dyDescent="0.2">
      <c r="A594">
        <v>2019</v>
      </c>
      <c r="B594" s="36">
        <v>5027</v>
      </c>
      <c r="C594" s="40">
        <v>667054</v>
      </c>
    </row>
    <row r="595" spans="1:3" x14ac:dyDescent="0.2">
      <c r="A595">
        <v>2019</v>
      </c>
      <c r="B595" s="36">
        <v>5028</v>
      </c>
      <c r="C595" s="40">
        <v>309747</v>
      </c>
    </row>
    <row r="596" spans="1:3" x14ac:dyDescent="0.2">
      <c r="A596">
        <v>2019</v>
      </c>
      <c r="B596" s="36">
        <v>5076</v>
      </c>
      <c r="C596" s="40">
        <v>904903</v>
      </c>
    </row>
    <row r="597" spans="1:3" x14ac:dyDescent="0.2">
      <c r="A597">
        <v>2019</v>
      </c>
      <c r="B597" s="36">
        <v>5078</v>
      </c>
      <c r="C597" s="40">
        <v>694795</v>
      </c>
    </row>
    <row r="598" spans="1:3" x14ac:dyDescent="0.2">
      <c r="A598">
        <v>2019</v>
      </c>
      <c r="B598" s="36">
        <v>5102</v>
      </c>
      <c r="C598" s="40">
        <v>2302134</v>
      </c>
    </row>
    <row r="599" spans="1:3" x14ac:dyDescent="0.2">
      <c r="A599">
        <v>2019</v>
      </c>
      <c r="B599" s="36">
        <v>5103</v>
      </c>
      <c r="C599" s="40">
        <v>1216497</v>
      </c>
    </row>
    <row r="600" spans="1:3" x14ac:dyDescent="0.2">
      <c r="A600">
        <v>2019</v>
      </c>
      <c r="B600" s="36">
        <v>5107</v>
      </c>
      <c r="C600" s="40">
        <v>834094</v>
      </c>
    </row>
    <row r="601" spans="1:3" x14ac:dyDescent="0.2">
      <c r="A601">
        <v>2019</v>
      </c>
      <c r="B601" s="36">
        <v>5108</v>
      </c>
      <c r="C601" s="40">
        <v>741013</v>
      </c>
    </row>
    <row r="602" spans="1:3" x14ac:dyDescent="0.2">
      <c r="A602">
        <v>2019</v>
      </c>
      <c r="B602" s="36">
        <v>5251</v>
      </c>
      <c r="C602" s="40">
        <v>569220</v>
      </c>
    </row>
    <row r="603" spans="1:3" x14ac:dyDescent="0.2">
      <c r="A603">
        <v>2019</v>
      </c>
      <c r="B603" s="36">
        <v>5253</v>
      </c>
      <c r="C603" s="40">
        <v>773490</v>
      </c>
    </row>
    <row r="604" spans="1:3" x14ac:dyDescent="0.2">
      <c r="A604">
        <v>2019</v>
      </c>
      <c r="B604" s="36">
        <v>5276</v>
      </c>
      <c r="C604" s="40">
        <v>962788</v>
      </c>
    </row>
    <row r="605" spans="1:3" x14ac:dyDescent="0.2">
      <c r="A605">
        <v>2019</v>
      </c>
      <c r="B605" s="36">
        <v>5281</v>
      </c>
      <c r="C605" s="40">
        <v>335049</v>
      </c>
    </row>
    <row r="606" spans="1:3" x14ac:dyDescent="0.2">
      <c r="A606">
        <v>2019</v>
      </c>
      <c r="B606" s="36">
        <v>5282</v>
      </c>
      <c r="C606" s="40">
        <v>383825</v>
      </c>
    </row>
    <row r="607" spans="1:3" x14ac:dyDescent="0.2">
      <c r="A607">
        <v>2019</v>
      </c>
      <c r="B607" s="36">
        <v>5301</v>
      </c>
      <c r="C607" s="40">
        <v>420037</v>
      </c>
    </row>
    <row r="608" spans="1:3" x14ac:dyDescent="0.2">
      <c r="A608">
        <v>2019</v>
      </c>
      <c r="B608" s="36">
        <v>5303</v>
      </c>
      <c r="C608" s="40">
        <v>221455</v>
      </c>
    </row>
    <row r="609" spans="1:3" x14ac:dyDescent="0.2">
      <c r="A609">
        <v>2019</v>
      </c>
      <c r="B609" s="36">
        <v>5305</v>
      </c>
      <c r="C609" s="40">
        <v>293379</v>
      </c>
    </row>
    <row r="610" spans="1:3" x14ac:dyDescent="0.2">
      <c r="A610">
        <v>2019</v>
      </c>
      <c r="B610" s="36">
        <v>5306</v>
      </c>
      <c r="C610" s="40">
        <v>486130</v>
      </c>
    </row>
    <row r="611" spans="1:3" x14ac:dyDescent="0.2">
      <c r="A611">
        <v>2019</v>
      </c>
      <c r="B611" s="36">
        <v>5307</v>
      </c>
      <c r="C611" s="40">
        <v>664004</v>
      </c>
    </row>
    <row r="612" spans="1:3" x14ac:dyDescent="0.2">
      <c r="A612">
        <v>2019</v>
      </c>
      <c r="B612" s="36">
        <v>5308</v>
      </c>
      <c r="C612" s="40">
        <v>485530</v>
      </c>
    </row>
    <row r="613" spans="1:3" x14ac:dyDescent="0.2">
      <c r="A613">
        <v>2019</v>
      </c>
      <c r="B613" s="36">
        <v>5309</v>
      </c>
      <c r="C613" s="40">
        <v>200843</v>
      </c>
    </row>
    <row r="614" spans="1:3" x14ac:dyDescent="0.2">
      <c r="A614">
        <v>2019</v>
      </c>
      <c r="B614" s="36">
        <v>5351</v>
      </c>
      <c r="C614" s="40">
        <v>2917916</v>
      </c>
    </row>
    <row r="615" spans="1:3" x14ac:dyDescent="0.2">
      <c r="A615">
        <v>2019</v>
      </c>
      <c r="B615" s="36">
        <v>5352</v>
      </c>
      <c r="C615" s="40">
        <v>29647</v>
      </c>
    </row>
    <row r="616" spans="1:3" x14ac:dyDescent="0.2">
      <c r="A616">
        <v>2019</v>
      </c>
      <c r="B616" s="36">
        <v>5353</v>
      </c>
      <c r="C616" s="40">
        <v>316833</v>
      </c>
    </row>
    <row r="617" spans="1:3" x14ac:dyDescent="0.2">
      <c r="A617">
        <v>2019</v>
      </c>
      <c r="B617" s="36">
        <v>5354</v>
      </c>
      <c r="C617" s="40">
        <v>950674</v>
      </c>
    </row>
    <row r="618" spans="1:3" x14ac:dyDescent="0.2">
      <c r="A618">
        <v>2019</v>
      </c>
      <c r="B618" s="36">
        <v>5355</v>
      </c>
      <c r="C618" s="40">
        <v>1858683</v>
      </c>
    </row>
    <row r="619" spans="1:3" x14ac:dyDescent="0.2">
      <c r="A619">
        <v>2019</v>
      </c>
      <c r="B619" s="36">
        <v>5356</v>
      </c>
      <c r="C619" s="40">
        <v>597564</v>
      </c>
    </row>
    <row r="620" spans="1:3" x14ac:dyDescent="0.2">
      <c r="A620">
        <v>2019</v>
      </c>
      <c r="B620" s="36">
        <v>5357</v>
      </c>
      <c r="C620" s="40">
        <v>2708377</v>
      </c>
    </row>
    <row r="621" spans="1:3" x14ac:dyDescent="0.2">
      <c r="A621">
        <v>2019</v>
      </c>
      <c r="B621" s="36">
        <v>5358</v>
      </c>
      <c r="C621" s="40">
        <v>5476560</v>
      </c>
    </row>
    <row r="622" spans="1:3" x14ac:dyDescent="0.2">
      <c r="A622">
        <v>2019</v>
      </c>
      <c r="B622" s="36">
        <v>5359</v>
      </c>
      <c r="C622" s="40">
        <v>491766</v>
      </c>
    </row>
    <row r="623" spans="1:3" x14ac:dyDescent="0.2">
      <c r="A623">
        <v>2019</v>
      </c>
      <c r="B623" s="36">
        <v>5360</v>
      </c>
      <c r="C623" s="40">
        <v>329601</v>
      </c>
    </row>
    <row r="624" spans="1:3" x14ac:dyDescent="0.2">
      <c r="A624">
        <v>2019</v>
      </c>
      <c r="B624" s="36">
        <v>5361</v>
      </c>
      <c r="C624" s="40">
        <v>2560299</v>
      </c>
    </row>
    <row r="625" spans="1:3" x14ac:dyDescent="0.2">
      <c r="A625">
        <v>2019</v>
      </c>
      <c r="B625" s="36">
        <v>5362</v>
      </c>
      <c r="C625" s="40">
        <v>307823</v>
      </c>
    </row>
    <row r="626" spans="1:3" x14ac:dyDescent="0.2">
      <c r="A626">
        <v>2019</v>
      </c>
      <c r="B626" s="36">
        <v>5363</v>
      </c>
      <c r="C626" s="40">
        <v>2305663</v>
      </c>
    </row>
    <row r="627" spans="1:3" x14ac:dyDescent="0.2">
      <c r="A627">
        <v>2019</v>
      </c>
      <c r="B627" s="36">
        <v>5364</v>
      </c>
      <c r="C627" s="40">
        <v>636001</v>
      </c>
    </row>
    <row r="628" spans="1:3" x14ac:dyDescent="0.2">
      <c r="A628">
        <v>2019</v>
      </c>
      <c r="B628" s="36">
        <v>5365</v>
      </c>
      <c r="C628" s="40">
        <v>22453</v>
      </c>
    </row>
    <row r="629" spans="1:3" x14ac:dyDescent="0.2">
      <c r="A629">
        <v>2019</v>
      </c>
      <c r="B629" s="36">
        <v>5367</v>
      </c>
      <c r="C629" s="40">
        <v>617680</v>
      </c>
    </row>
    <row r="630" spans="1:3" x14ac:dyDescent="0.2">
      <c r="A630">
        <v>2019</v>
      </c>
      <c r="B630" s="36">
        <v>5368</v>
      </c>
      <c r="C630" s="40">
        <v>515771</v>
      </c>
    </row>
    <row r="631" spans="1:3" x14ac:dyDescent="0.2">
      <c r="A631">
        <v>2019</v>
      </c>
      <c r="B631" s="36">
        <v>5369</v>
      </c>
      <c r="C631" s="40">
        <v>158912</v>
      </c>
    </row>
    <row r="632" spans="1:3" x14ac:dyDescent="0.2">
      <c r="A632">
        <v>2019</v>
      </c>
      <c r="B632" s="36">
        <v>5371</v>
      </c>
      <c r="C632" s="40">
        <v>186502</v>
      </c>
    </row>
    <row r="633" spans="1:3" x14ac:dyDescent="0.2">
      <c r="A633">
        <v>2019</v>
      </c>
      <c r="B633" s="36">
        <v>5372</v>
      </c>
      <c r="C633" s="40">
        <v>1280652</v>
      </c>
    </row>
    <row r="634" spans="1:3" x14ac:dyDescent="0.2">
      <c r="A634">
        <v>2019</v>
      </c>
      <c r="B634" s="36">
        <v>5375</v>
      </c>
      <c r="C634" s="40">
        <v>1723180</v>
      </c>
    </row>
    <row r="635" spans="1:3" x14ac:dyDescent="0.2">
      <c r="A635">
        <v>2019</v>
      </c>
      <c r="B635" s="36">
        <v>5376</v>
      </c>
      <c r="C635" s="40">
        <v>762029</v>
      </c>
    </row>
    <row r="636" spans="1:3" x14ac:dyDescent="0.2">
      <c r="A636">
        <v>2019</v>
      </c>
      <c r="B636" s="36">
        <v>5379</v>
      </c>
      <c r="C636" s="40">
        <v>55215</v>
      </c>
    </row>
    <row r="637" spans="1:3" x14ac:dyDescent="0.2">
      <c r="A637">
        <v>2019</v>
      </c>
      <c r="B637" s="36">
        <v>5380</v>
      </c>
      <c r="C637" s="40">
        <v>358237</v>
      </c>
    </row>
    <row r="638" spans="1:3" x14ac:dyDescent="0.2">
      <c r="A638">
        <v>2019</v>
      </c>
      <c r="B638" s="36">
        <v>5403</v>
      </c>
      <c r="C638" s="40">
        <v>4077910</v>
      </c>
    </row>
    <row r="639" spans="1:3" x14ac:dyDescent="0.2">
      <c r="A639">
        <v>2019</v>
      </c>
      <c r="B639" s="36">
        <v>5406</v>
      </c>
      <c r="C639" s="40">
        <v>1761936</v>
      </c>
    </row>
    <row r="640" spans="1:3" x14ac:dyDescent="0.2">
      <c r="A640">
        <v>2019</v>
      </c>
      <c r="B640" s="36">
        <v>5407</v>
      </c>
      <c r="C640" s="40">
        <v>2665519</v>
      </c>
    </row>
    <row r="641" spans="1:3" x14ac:dyDescent="0.2">
      <c r="A641">
        <v>2019</v>
      </c>
      <c r="B641" s="36">
        <v>5408</v>
      </c>
      <c r="C641" s="40">
        <v>2791670</v>
      </c>
    </row>
    <row r="642" spans="1:3" x14ac:dyDescent="0.2">
      <c r="A642">
        <v>2019</v>
      </c>
      <c r="B642" s="36">
        <v>5409</v>
      </c>
      <c r="C642" s="40">
        <v>3415075</v>
      </c>
    </row>
    <row r="643" spans="1:3" x14ac:dyDescent="0.2">
      <c r="A643">
        <v>2019</v>
      </c>
      <c r="B643" s="36">
        <v>5415</v>
      </c>
      <c r="C643" s="40">
        <v>1877018</v>
      </c>
    </row>
    <row r="644" spans="1:3" x14ac:dyDescent="0.2">
      <c r="A644">
        <v>2019</v>
      </c>
      <c r="B644" s="36">
        <v>5416</v>
      </c>
      <c r="C644" s="40">
        <v>730312</v>
      </c>
    </row>
    <row r="645" spans="1:3" x14ac:dyDescent="0.2">
      <c r="A645">
        <v>2019</v>
      </c>
      <c r="B645" s="36">
        <v>5418</v>
      </c>
      <c r="C645" s="40">
        <v>3492401</v>
      </c>
    </row>
    <row r="646" spans="1:3" x14ac:dyDescent="0.2">
      <c r="A646">
        <v>2019</v>
      </c>
      <c r="B646" s="36">
        <v>5420</v>
      </c>
      <c r="C646" s="40">
        <v>3281534</v>
      </c>
    </row>
    <row r="647" spans="1:3" x14ac:dyDescent="0.2">
      <c r="A647">
        <v>2019</v>
      </c>
      <c r="B647" s="36">
        <v>5427</v>
      </c>
      <c r="C647" s="40">
        <v>165896</v>
      </c>
    </row>
    <row r="648" spans="1:3" x14ac:dyDescent="0.2">
      <c r="A648">
        <v>2019</v>
      </c>
      <c r="B648" s="36">
        <v>5457</v>
      </c>
      <c r="C648" s="40">
        <v>2953474</v>
      </c>
    </row>
    <row r="649" spans="1:3" x14ac:dyDescent="0.2">
      <c r="A649">
        <v>2019</v>
      </c>
      <c r="B649" s="36">
        <v>5458</v>
      </c>
      <c r="C649" s="40">
        <v>2774583</v>
      </c>
    </row>
    <row r="650" spans="1:3" x14ac:dyDescent="0.2">
      <c r="A650">
        <v>2019</v>
      </c>
      <c r="B650" s="36">
        <v>5501</v>
      </c>
      <c r="C650" s="40">
        <v>1097697</v>
      </c>
    </row>
    <row r="651" spans="1:3" x14ac:dyDescent="0.2">
      <c r="A651">
        <v>2019</v>
      </c>
      <c r="B651" s="36">
        <v>5504</v>
      </c>
      <c r="C651" s="40">
        <v>1040306</v>
      </c>
    </row>
    <row r="652" spans="1:3" x14ac:dyDescent="0.2">
      <c r="A652">
        <v>2019</v>
      </c>
      <c r="B652" s="36">
        <v>5505</v>
      </c>
      <c r="C652" s="40">
        <v>296259</v>
      </c>
    </row>
    <row r="653" spans="1:3" x14ac:dyDescent="0.2">
      <c r="A653">
        <v>2019</v>
      </c>
      <c r="B653" s="36">
        <v>5506</v>
      </c>
      <c r="C653" s="40">
        <v>504749</v>
      </c>
    </row>
    <row r="654" spans="1:3" x14ac:dyDescent="0.2">
      <c r="A654">
        <v>2019</v>
      </c>
      <c r="B654" s="36">
        <v>5507</v>
      </c>
      <c r="C654" s="40">
        <v>467613</v>
      </c>
    </row>
    <row r="655" spans="1:3" x14ac:dyDescent="0.2">
      <c r="A655">
        <v>2019</v>
      </c>
      <c r="B655" s="36">
        <v>5527</v>
      </c>
      <c r="C655" s="40">
        <v>618785</v>
      </c>
    </row>
    <row r="656" spans="1:3" x14ac:dyDescent="0.2">
      <c r="A656">
        <v>2019</v>
      </c>
      <c r="B656" s="36">
        <v>5528</v>
      </c>
      <c r="C656" s="40">
        <v>690023</v>
      </c>
    </row>
    <row r="657" spans="1:3" x14ac:dyDescent="0.2">
      <c r="A657">
        <v>2019</v>
      </c>
      <c r="B657" s="36">
        <v>5530</v>
      </c>
      <c r="C657" s="40">
        <v>915728</v>
      </c>
    </row>
    <row r="658" spans="1:3" x14ac:dyDescent="0.2">
      <c r="A658">
        <v>2019</v>
      </c>
      <c r="B658" s="36">
        <v>5533</v>
      </c>
      <c r="C658" s="40">
        <v>345831</v>
      </c>
    </row>
    <row r="659" spans="1:3" x14ac:dyDescent="0.2">
      <c r="A659">
        <v>2019</v>
      </c>
      <c r="B659" s="36">
        <v>5534</v>
      </c>
      <c r="C659" s="40">
        <v>632021</v>
      </c>
    </row>
    <row r="660" spans="1:3" x14ac:dyDescent="0.2">
      <c r="A660">
        <v>2019</v>
      </c>
      <c r="B660" s="36">
        <v>5535</v>
      </c>
      <c r="C660" s="40">
        <v>1066325</v>
      </c>
    </row>
    <row r="661" spans="1:3" x14ac:dyDescent="0.2">
      <c r="A661">
        <v>2019</v>
      </c>
      <c r="B661" s="36">
        <v>5541</v>
      </c>
      <c r="C661" s="40">
        <v>588297</v>
      </c>
    </row>
    <row r="662" spans="1:3" x14ac:dyDescent="0.2">
      <c r="A662">
        <v>2019</v>
      </c>
      <c r="B662" s="36">
        <v>5601</v>
      </c>
      <c r="C662" s="40">
        <v>1630616</v>
      </c>
    </row>
    <row r="663" spans="1:3" x14ac:dyDescent="0.2">
      <c r="A663">
        <v>2019</v>
      </c>
      <c r="B663" s="36">
        <v>5676</v>
      </c>
      <c r="C663" s="40">
        <v>427700</v>
      </c>
    </row>
    <row r="664" spans="1:3" x14ac:dyDescent="0.2">
      <c r="A664">
        <v>2019</v>
      </c>
      <c r="B664" s="36">
        <v>5677</v>
      </c>
      <c r="C664" s="40">
        <v>377766</v>
      </c>
    </row>
    <row r="665" spans="1:3" x14ac:dyDescent="0.2">
      <c r="A665">
        <v>2019</v>
      </c>
      <c r="B665" s="36">
        <v>5678</v>
      </c>
      <c r="C665" s="40">
        <v>461541</v>
      </c>
    </row>
    <row r="666" spans="1:3" x14ac:dyDescent="0.2">
      <c r="A666">
        <v>2019</v>
      </c>
      <c r="B666" s="36">
        <v>5679</v>
      </c>
      <c r="C666" s="40">
        <v>860281</v>
      </c>
    </row>
    <row r="667" spans="1:3" x14ac:dyDescent="0.2">
      <c r="A667">
        <v>2019</v>
      </c>
      <c r="B667" s="36">
        <v>5680</v>
      </c>
      <c r="C667" s="40">
        <v>803813</v>
      </c>
    </row>
    <row r="668" spans="1:3" x14ac:dyDescent="0.2">
      <c r="A668">
        <v>2019</v>
      </c>
      <c r="B668" s="36">
        <v>5681</v>
      </c>
      <c r="C668" s="40">
        <v>407870</v>
      </c>
    </row>
    <row r="669" spans="1:3" x14ac:dyDescent="0.2">
      <c r="A669">
        <v>2019</v>
      </c>
      <c r="B669" s="36">
        <v>5682</v>
      </c>
      <c r="C669" s="40">
        <v>490235</v>
      </c>
    </row>
    <row r="670" spans="1:3" x14ac:dyDescent="0.2">
      <c r="A670">
        <v>2019</v>
      </c>
      <c r="B670" s="36">
        <v>5683</v>
      </c>
      <c r="C670" s="40">
        <v>751875</v>
      </c>
    </row>
    <row r="671" spans="1:3" x14ac:dyDescent="0.2">
      <c r="A671">
        <v>2019</v>
      </c>
      <c r="B671" s="36">
        <v>5684</v>
      </c>
      <c r="C671" s="40">
        <v>310655</v>
      </c>
    </row>
    <row r="672" spans="1:3" x14ac:dyDescent="0.2">
      <c r="A672">
        <v>2019</v>
      </c>
      <c r="B672" s="36">
        <v>5685</v>
      </c>
      <c r="C672" s="40">
        <v>481934</v>
      </c>
    </row>
    <row r="673" spans="1:3" x14ac:dyDescent="0.2">
      <c r="A673">
        <v>2019</v>
      </c>
      <c r="B673" s="36">
        <v>5687</v>
      </c>
      <c r="C673" s="40">
        <v>905432</v>
      </c>
    </row>
    <row r="674" spans="1:3" x14ac:dyDescent="0.2">
      <c r="A674">
        <v>2019</v>
      </c>
      <c r="B674" s="36">
        <v>5688</v>
      </c>
      <c r="C674" s="40">
        <v>319036</v>
      </c>
    </row>
    <row r="675" spans="1:3" x14ac:dyDescent="0.2">
      <c r="A675">
        <v>2019</v>
      </c>
      <c r="B675" s="36">
        <v>5691</v>
      </c>
      <c r="C675" s="40">
        <v>147883</v>
      </c>
    </row>
    <row r="676" spans="1:3" x14ac:dyDescent="0.2">
      <c r="A676">
        <v>2019</v>
      </c>
      <c r="B676" s="36">
        <v>5692</v>
      </c>
      <c r="C676" s="40">
        <v>737267</v>
      </c>
    </row>
    <row r="677" spans="1:3" x14ac:dyDescent="0.2">
      <c r="A677">
        <v>2019</v>
      </c>
      <c r="B677" s="36">
        <v>5693</v>
      </c>
      <c r="C677" s="40">
        <v>219226</v>
      </c>
    </row>
    <row r="678" spans="1:3" x14ac:dyDescent="0.2">
      <c r="A678">
        <v>2019</v>
      </c>
      <c r="B678" s="36">
        <v>5694</v>
      </c>
      <c r="C678" s="40">
        <v>178373</v>
      </c>
    </row>
    <row r="679" spans="1:3" x14ac:dyDescent="0.2">
      <c r="A679">
        <v>2019</v>
      </c>
      <c r="B679" s="36">
        <v>5695</v>
      </c>
      <c r="C679" s="40">
        <v>193528</v>
      </c>
    </row>
    <row r="680" spans="1:3" x14ac:dyDescent="0.2">
      <c r="A680">
        <v>2019</v>
      </c>
      <c r="B680" s="36">
        <v>5801</v>
      </c>
      <c r="C680" s="40">
        <v>2578844</v>
      </c>
    </row>
    <row r="681" spans="1:3" x14ac:dyDescent="0.2">
      <c r="A681">
        <v>2019</v>
      </c>
      <c r="B681" s="36">
        <v>5806</v>
      </c>
      <c r="C681" s="40">
        <v>1509898</v>
      </c>
    </row>
    <row r="682" spans="1:3" x14ac:dyDescent="0.2">
      <c r="A682">
        <v>2019</v>
      </c>
      <c r="B682" s="36">
        <v>5807</v>
      </c>
      <c r="C682" s="40">
        <v>504354</v>
      </c>
    </row>
    <row r="683" spans="1:3" x14ac:dyDescent="0.2">
      <c r="A683">
        <v>2019</v>
      </c>
      <c r="B683" s="36">
        <v>5812</v>
      </c>
      <c r="C683" s="40">
        <v>617539</v>
      </c>
    </row>
    <row r="684" spans="1:3" x14ac:dyDescent="0.2">
      <c r="A684">
        <v>2019</v>
      </c>
      <c r="B684" s="36">
        <v>5813</v>
      </c>
      <c r="C684" s="40">
        <v>649176</v>
      </c>
    </row>
    <row r="685" spans="1:3" x14ac:dyDescent="0.2">
      <c r="A685">
        <v>2019</v>
      </c>
      <c r="B685" s="36">
        <v>5817</v>
      </c>
      <c r="C685" s="40">
        <v>2092928</v>
      </c>
    </row>
    <row r="686" spans="1:3" x14ac:dyDescent="0.2">
      <c r="A686">
        <v>2019</v>
      </c>
      <c r="B686" s="36">
        <v>5820</v>
      </c>
      <c r="C686" s="40">
        <v>614099</v>
      </c>
    </row>
    <row r="687" spans="1:3" x14ac:dyDescent="0.2">
      <c r="A687">
        <v>2019</v>
      </c>
      <c r="B687" s="36">
        <v>5821</v>
      </c>
      <c r="C687" s="40">
        <v>1114226</v>
      </c>
    </row>
    <row r="688" spans="1:3" x14ac:dyDescent="0.2">
      <c r="A688">
        <v>2019</v>
      </c>
      <c r="B688" s="36">
        <v>5822</v>
      </c>
      <c r="C688" s="40">
        <v>1104536</v>
      </c>
    </row>
    <row r="689" spans="1:3" x14ac:dyDescent="0.2">
      <c r="A689">
        <v>2019</v>
      </c>
      <c r="B689" s="36">
        <v>5823</v>
      </c>
      <c r="C689" s="40">
        <v>321449</v>
      </c>
    </row>
    <row r="690" spans="1:3" x14ac:dyDescent="0.2">
      <c r="A690">
        <v>2019</v>
      </c>
      <c r="B690" s="36">
        <v>6001</v>
      </c>
      <c r="C690" s="40">
        <v>2779262</v>
      </c>
    </row>
    <row r="691" spans="1:3" x14ac:dyDescent="0.2">
      <c r="A691">
        <v>2019</v>
      </c>
      <c r="B691" s="36">
        <v>6005</v>
      </c>
      <c r="C691" s="40">
        <v>2192637</v>
      </c>
    </row>
    <row r="692" spans="1:3" x14ac:dyDescent="0.2">
      <c r="A692">
        <v>2019</v>
      </c>
      <c r="B692" s="36">
        <v>6008</v>
      </c>
      <c r="C692" s="40">
        <v>2141049</v>
      </c>
    </row>
    <row r="693" spans="1:3" x14ac:dyDescent="0.2">
      <c r="A693">
        <v>2019</v>
      </c>
      <c r="B693" s="36">
        <v>6011</v>
      </c>
      <c r="C693" s="40">
        <v>1115817</v>
      </c>
    </row>
    <row r="694" spans="1:3" x14ac:dyDescent="0.2">
      <c r="A694">
        <v>2019</v>
      </c>
      <c r="B694" s="36">
        <v>6018</v>
      </c>
      <c r="C694" s="40">
        <v>1033338</v>
      </c>
    </row>
    <row r="695" spans="1:3" x14ac:dyDescent="0.2">
      <c r="A695">
        <v>2019</v>
      </c>
      <c r="B695" s="36">
        <v>6022</v>
      </c>
      <c r="C695" s="40">
        <v>1067667</v>
      </c>
    </row>
    <row r="696" spans="1:3" x14ac:dyDescent="0.2">
      <c r="A696">
        <v>2019</v>
      </c>
      <c r="B696" s="36">
        <v>6026</v>
      </c>
      <c r="C696" s="40">
        <v>2045989</v>
      </c>
    </row>
    <row r="697" spans="1:3" x14ac:dyDescent="0.2">
      <c r="A697">
        <v>2019</v>
      </c>
      <c r="B697" s="36">
        <v>6027</v>
      </c>
      <c r="C697" s="40">
        <v>2966240</v>
      </c>
    </row>
    <row r="698" spans="1:3" x14ac:dyDescent="0.2">
      <c r="A698">
        <v>2019</v>
      </c>
      <c r="B698" s="36">
        <v>6028</v>
      </c>
      <c r="C698" s="40">
        <v>2540774</v>
      </c>
    </row>
    <row r="699" spans="1:3" x14ac:dyDescent="0.2">
      <c r="A699">
        <v>2019</v>
      </c>
      <c r="B699" s="36">
        <v>6036</v>
      </c>
      <c r="C699" s="40">
        <v>485684</v>
      </c>
    </row>
    <row r="700" spans="1:3" x14ac:dyDescent="0.2">
      <c r="A700">
        <v>2019</v>
      </c>
      <c r="B700" s="36">
        <v>6040</v>
      </c>
      <c r="C700" s="40">
        <v>768955</v>
      </c>
    </row>
    <row r="701" spans="1:3" x14ac:dyDescent="0.2">
      <c r="A701">
        <v>2019</v>
      </c>
      <c r="B701" s="36">
        <v>6041</v>
      </c>
      <c r="C701" s="40">
        <v>1107844</v>
      </c>
    </row>
    <row r="702" spans="1:3" x14ac:dyDescent="0.2">
      <c r="A702">
        <v>2019</v>
      </c>
      <c r="B702" s="36">
        <v>6042</v>
      </c>
      <c r="C702" s="40">
        <v>1012811</v>
      </c>
    </row>
    <row r="703" spans="1:3" x14ac:dyDescent="0.2">
      <c r="A703">
        <v>2019</v>
      </c>
      <c r="B703" s="36">
        <v>6044</v>
      </c>
      <c r="C703" s="40">
        <v>1543048</v>
      </c>
    </row>
    <row r="704" spans="1:3" x14ac:dyDescent="0.2">
      <c r="A704">
        <v>2019</v>
      </c>
      <c r="B704" s="36">
        <v>6048</v>
      </c>
      <c r="C704" s="40">
        <v>1251647</v>
      </c>
    </row>
    <row r="705" spans="1:3" x14ac:dyDescent="0.2">
      <c r="A705">
        <v>2019</v>
      </c>
      <c r="B705" s="36">
        <v>6050</v>
      </c>
      <c r="C705" s="40">
        <v>1460733</v>
      </c>
    </row>
    <row r="706" spans="1:3" x14ac:dyDescent="0.2">
      <c r="A706">
        <v>2019</v>
      </c>
      <c r="B706" s="36">
        <v>6051</v>
      </c>
      <c r="C706" s="40">
        <v>3507365</v>
      </c>
    </row>
    <row r="707" spans="1:3" x14ac:dyDescent="0.2">
      <c r="A707">
        <v>2019</v>
      </c>
      <c r="B707" s="36">
        <v>6052</v>
      </c>
      <c r="C707" s="40">
        <v>2344383</v>
      </c>
    </row>
    <row r="708" spans="1:3" x14ac:dyDescent="0.2">
      <c r="A708">
        <v>2019</v>
      </c>
      <c r="B708" s="36">
        <v>6056</v>
      </c>
      <c r="C708" s="40">
        <v>10175594</v>
      </c>
    </row>
    <row r="709" spans="1:3" x14ac:dyDescent="0.2">
      <c r="A709">
        <v>2019</v>
      </c>
      <c r="B709" s="36">
        <v>6057</v>
      </c>
      <c r="C709" s="40">
        <v>2030844</v>
      </c>
    </row>
    <row r="710" spans="1:3" x14ac:dyDescent="0.2">
      <c r="A710">
        <v>2019</v>
      </c>
      <c r="B710" s="36">
        <v>6061</v>
      </c>
      <c r="C710" s="40">
        <v>3689406</v>
      </c>
    </row>
    <row r="711" spans="1:3" x14ac:dyDescent="0.2">
      <c r="A711">
        <v>2019</v>
      </c>
      <c r="B711" s="36">
        <v>6065</v>
      </c>
      <c r="C711" s="40">
        <v>4242238</v>
      </c>
    </row>
    <row r="712" spans="1:3" x14ac:dyDescent="0.2">
      <c r="A712">
        <v>2019</v>
      </c>
      <c r="B712" s="36">
        <v>6067</v>
      </c>
      <c r="C712" s="40">
        <v>2217253</v>
      </c>
    </row>
    <row r="713" spans="1:3" x14ac:dyDescent="0.2">
      <c r="A713">
        <v>2019</v>
      </c>
      <c r="B713" s="36">
        <v>6068</v>
      </c>
      <c r="C713" s="40">
        <v>1807995</v>
      </c>
    </row>
    <row r="714" spans="1:3" x14ac:dyDescent="0.2">
      <c r="A714">
        <v>2019</v>
      </c>
      <c r="B714" s="36">
        <v>6074</v>
      </c>
      <c r="C714" s="40">
        <v>2456387</v>
      </c>
    </row>
    <row r="715" spans="1:3" x14ac:dyDescent="0.2">
      <c r="A715">
        <v>2019</v>
      </c>
      <c r="B715" s="36">
        <v>6075</v>
      </c>
      <c r="C715" s="40">
        <v>1835618</v>
      </c>
    </row>
    <row r="716" spans="1:3" x14ac:dyDescent="0.2">
      <c r="A716">
        <v>2019</v>
      </c>
      <c r="B716" s="36">
        <v>6078</v>
      </c>
      <c r="C716" s="40">
        <v>4887540</v>
      </c>
    </row>
    <row r="717" spans="1:3" x14ac:dyDescent="0.2">
      <c r="A717">
        <v>2019</v>
      </c>
      <c r="B717" s="36">
        <v>6079</v>
      </c>
      <c r="C717" s="40">
        <v>2043352</v>
      </c>
    </row>
    <row r="718" spans="1:3" x14ac:dyDescent="0.2">
      <c r="A718">
        <v>2019</v>
      </c>
      <c r="B718" s="36">
        <v>6091</v>
      </c>
      <c r="C718" s="40">
        <v>9460223</v>
      </c>
    </row>
    <row r="719" spans="1:3" x14ac:dyDescent="0.2">
      <c r="A719">
        <v>2019</v>
      </c>
      <c r="B719" s="36">
        <v>6093</v>
      </c>
      <c r="C719" s="40">
        <v>4619334</v>
      </c>
    </row>
    <row r="720" spans="1:3" x14ac:dyDescent="0.2">
      <c r="A720">
        <v>2019</v>
      </c>
      <c r="B720" s="36">
        <v>6094</v>
      </c>
      <c r="C720" s="40">
        <v>2950206</v>
      </c>
    </row>
    <row r="721" spans="1:3" x14ac:dyDescent="0.2">
      <c r="A721">
        <v>2019</v>
      </c>
      <c r="B721" s="36">
        <v>6095</v>
      </c>
      <c r="C721" s="40">
        <v>1134085</v>
      </c>
    </row>
    <row r="722" spans="1:3" x14ac:dyDescent="0.2">
      <c r="A722">
        <v>2019</v>
      </c>
      <c r="B722" s="36">
        <v>6097</v>
      </c>
      <c r="C722" s="40">
        <v>971358</v>
      </c>
    </row>
    <row r="723" spans="1:3" x14ac:dyDescent="0.2">
      <c r="A723">
        <v>2019</v>
      </c>
      <c r="B723" s="36">
        <v>6099</v>
      </c>
      <c r="C723" s="40">
        <v>1275465</v>
      </c>
    </row>
    <row r="724" spans="1:3" x14ac:dyDescent="0.2">
      <c r="A724">
        <v>2019</v>
      </c>
      <c r="B724" s="36">
        <v>6104</v>
      </c>
      <c r="C724" s="40">
        <v>1973567</v>
      </c>
    </row>
    <row r="725" spans="1:3" x14ac:dyDescent="0.2">
      <c r="A725">
        <v>2019</v>
      </c>
      <c r="B725" s="36">
        <v>6105</v>
      </c>
      <c r="C725" s="40">
        <v>3407907</v>
      </c>
    </row>
    <row r="726" spans="1:3" x14ac:dyDescent="0.2">
      <c r="A726">
        <v>2019</v>
      </c>
      <c r="B726" s="36">
        <v>6109</v>
      </c>
      <c r="C726" s="40">
        <v>3116186</v>
      </c>
    </row>
    <row r="727" spans="1:3" x14ac:dyDescent="0.2">
      <c r="A727">
        <v>2019</v>
      </c>
      <c r="B727" s="36">
        <v>6507</v>
      </c>
      <c r="C727" s="40">
        <v>96330</v>
      </c>
    </row>
    <row r="728" spans="1:3" x14ac:dyDescent="0.2">
      <c r="A728">
        <v>2019</v>
      </c>
      <c r="B728" s="36">
        <v>6511</v>
      </c>
      <c r="C728" s="40">
        <v>49649</v>
      </c>
    </row>
    <row r="729" spans="1:3" x14ac:dyDescent="0.2">
      <c r="A729">
        <v>2019</v>
      </c>
      <c r="B729" s="36">
        <v>7000</v>
      </c>
      <c r="C729" s="40">
        <v>15408208</v>
      </c>
    </row>
    <row r="730" spans="1:3" x14ac:dyDescent="0.2">
      <c r="A730">
        <v>2019</v>
      </c>
      <c r="B730" s="36">
        <v>7500</v>
      </c>
      <c r="C730" s="40">
        <v>119827</v>
      </c>
    </row>
    <row r="731" spans="1:3" x14ac:dyDescent="0.2">
      <c r="A731">
        <v>2019</v>
      </c>
      <c r="B731" s="36">
        <v>7501</v>
      </c>
      <c r="C731" s="40">
        <v>253930</v>
      </c>
    </row>
    <row r="732" spans="1:3" x14ac:dyDescent="0.2">
      <c r="A732">
        <v>2019</v>
      </c>
      <c r="B732" s="36">
        <v>7502</v>
      </c>
      <c r="C732" s="40">
        <v>53569</v>
      </c>
    </row>
    <row r="733" spans="1:3" x14ac:dyDescent="0.2">
      <c r="A733">
        <v>2019</v>
      </c>
      <c r="B733" s="36">
        <v>8000</v>
      </c>
      <c r="C733" s="40">
        <v>1710243</v>
      </c>
    </row>
    <row r="734" spans="1:3" x14ac:dyDescent="0.2">
      <c r="A734">
        <v>2019</v>
      </c>
      <c r="B734" s="36">
        <v>8102</v>
      </c>
      <c r="C734" s="40">
        <v>376287</v>
      </c>
    </row>
    <row r="735" spans="1:3" x14ac:dyDescent="0.2">
      <c r="A735">
        <v>2019</v>
      </c>
      <c r="B735" s="36">
        <v>8105</v>
      </c>
      <c r="C735" s="40">
        <v>419304</v>
      </c>
    </row>
    <row r="736" spans="1:3" x14ac:dyDescent="0.2">
      <c r="A736">
        <v>2019</v>
      </c>
      <c r="B736" s="36">
        <v>8110</v>
      </c>
      <c r="C736" s="40">
        <v>789386</v>
      </c>
    </row>
    <row r="737" spans="1:3" x14ac:dyDescent="0.2">
      <c r="A737">
        <v>2019</v>
      </c>
      <c r="B737" s="36">
        <v>8112</v>
      </c>
      <c r="C737" s="40">
        <v>141632</v>
      </c>
    </row>
    <row r="738" spans="1:3" x14ac:dyDescent="0.2">
      <c r="A738">
        <v>2019</v>
      </c>
      <c r="B738" s="36">
        <v>8113</v>
      </c>
      <c r="C738" s="40">
        <v>193138</v>
      </c>
    </row>
    <row r="739" spans="1:3" x14ac:dyDescent="0.2">
      <c r="A739">
        <v>2019</v>
      </c>
      <c r="B739" s="36">
        <v>8115</v>
      </c>
      <c r="C739" s="40">
        <v>206393</v>
      </c>
    </row>
    <row r="740" spans="1:3" x14ac:dyDescent="0.2">
      <c r="A740">
        <v>2019</v>
      </c>
      <c r="B740" s="36">
        <v>8120</v>
      </c>
      <c r="C740" s="40">
        <v>733706</v>
      </c>
    </row>
    <row r="741" spans="1:3" x14ac:dyDescent="0.2">
      <c r="A741">
        <v>2019</v>
      </c>
      <c r="B741" s="36">
        <v>8124</v>
      </c>
      <c r="C741" s="40">
        <v>1770836</v>
      </c>
    </row>
    <row r="742" spans="1:3" x14ac:dyDescent="0.2">
      <c r="A742">
        <v>2019</v>
      </c>
      <c r="B742" s="36">
        <v>8129</v>
      </c>
      <c r="C742" s="40">
        <v>511833</v>
      </c>
    </row>
    <row r="743" spans="1:3" x14ac:dyDescent="0.2">
      <c r="A743">
        <v>2019</v>
      </c>
      <c r="B743" s="36">
        <v>8130</v>
      </c>
      <c r="C743" s="40">
        <v>2256095</v>
      </c>
    </row>
    <row r="744" spans="1:3" x14ac:dyDescent="0.2">
      <c r="A744">
        <v>2019</v>
      </c>
      <c r="B744" s="36">
        <v>8131</v>
      </c>
      <c r="C744" s="40">
        <v>335293</v>
      </c>
    </row>
    <row r="745" spans="1:3" x14ac:dyDescent="0.2">
      <c r="A745">
        <v>2019</v>
      </c>
      <c r="B745" s="36">
        <v>8133</v>
      </c>
      <c r="C745" s="40">
        <v>456130</v>
      </c>
    </row>
    <row r="746" spans="1:3" x14ac:dyDescent="0.2">
      <c r="A746">
        <v>2019</v>
      </c>
      <c r="B746" s="36">
        <v>8134</v>
      </c>
      <c r="C746" s="40">
        <v>180679</v>
      </c>
    </row>
    <row r="747" spans="1:3" x14ac:dyDescent="0.2">
      <c r="A747">
        <v>2019</v>
      </c>
      <c r="B747" s="36">
        <v>8135</v>
      </c>
      <c r="C747" s="40">
        <v>1061880</v>
      </c>
    </row>
    <row r="748" spans="1:3" x14ac:dyDescent="0.2">
      <c r="A748">
        <v>2019</v>
      </c>
      <c r="B748" s="36">
        <v>8140</v>
      </c>
      <c r="C748" s="40">
        <v>258548</v>
      </c>
    </row>
    <row r="749" spans="1:3" x14ac:dyDescent="0.2">
      <c r="A749">
        <v>2019</v>
      </c>
      <c r="B749" s="36">
        <v>8142</v>
      </c>
      <c r="C749" s="40">
        <v>486121</v>
      </c>
    </row>
    <row r="750" spans="1:3" x14ac:dyDescent="0.2">
      <c r="A750">
        <v>2019</v>
      </c>
      <c r="B750" s="36">
        <v>8145</v>
      </c>
      <c r="C750" s="40">
        <v>491124</v>
      </c>
    </row>
    <row r="751" spans="1:3" x14ac:dyDescent="0.2">
      <c r="A751">
        <v>2019</v>
      </c>
      <c r="B751" s="36">
        <v>8146</v>
      </c>
      <c r="C751" s="40">
        <v>1112835</v>
      </c>
    </row>
    <row r="752" spans="1:3" x14ac:dyDescent="0.2">
      <c r="A752">
        <v>2019</v>
      </c>
      <c r="B752" s="36">
        <v>8149</v>
      </c>
      <c r="C752" s="40">
        <v>161678</v>
      </c>
    </row>
    <row r="753" spans="1:3" x14ac:dyDescent="0.2">
      <c r="A753">
        <v>2019</v>
      </c>
      <c r="B753" s="36">
        <v>8150</v>
      </c>
      <c r="C753" s="40">
        <v>2334502</v>
      </c>
    </row>
    <row r="754" spans="1:3" x14ac:dyDescent="0.2">
      <c r="A754">
        <v>2019</v>
      </c>
      <c r="B754" s="36">
        <v>8151</v>
      </c>
      <c r="C754" s="40">
        <v>966994</v>
      </c>
    </row>
    <row r="755" spans="1:3" x14ac:dyDescent="0.2">
      <c r="A755">
        <v>2019</v>
      </c>
      <c r="B755" s="36">
        <v>8153</v>
      </c>
      <c r="C755" s="40">
        <v>395887</v>
      </c>
    </row>
    <row r="756" spans="1:3" x14ac:dyDescent="0.2">
      <c r="A756">
        <v>2019</v>
      </c>
      <c r="B756" s="36">
        <v>8155</v>
      </c>
      <c r="C756" s="40">
        <v>636570</v>
      </c>
    </row>
    <row r="757" spans="1:3" x14ac:dyDescent="0.2">
      <c r="A757">
        <v>2019</v>
      </c>
      <c r="B757" s="36">
        <v>8160</v>
      </c>
      <c r="C757" s="40">
        <v>737265</v>
      </c>
    </row>
    <row r="758" spans="1:3" x14ac:dyDescent="0.2">
      <c r="A758">
        <v>2019</v>
      </c>
      <c r="B758" s="36">
        <v>8162</v>
      </c>
      <c r="C758" s="40">
        <v>207362</v>
      </c>
    </row>
    <row r="759" spans="1:3" x14ac:dyDescent="0.2">
      <c r="A759">
        <v>2019</v>
      </c>
      <c r="B759" s="36">
        <v>8166</v>
      </c>
      <c r="C759" s="40">
        <v>3074857</v>
      </c>
    </row>
    <row r="760" spans="1:3" x14ac:dyDescent="0.2">
      <c r="A760">
        <v>2019</v>
      </c>
      <c r="B760" s="36">
        <v>8167</v>
      </c>
      <c r="C760" s="40">
        <v>127724</v>
      </c>
    </row>
    <row r="761" spans="1:3" x14ac:dyDescent="0.2">
      <c r="A761">
        <v>2019</v>
      </c>
      <c r="B761" s="36">
        <v>8168</v>
      </c>
      <c r="C761" s="40">
        <v>203402</v>
      </c>
    </row>
    <row r="762" spans="1:3" x14ac:dyDescent="0.2">
      <c r="A762">
        <v>2019</v>
      </c>
      <c r="B762" s="36">
        <v>8169</v>
      </c>
      <c r="C762" s="40">
        <v>215675</v>
      </c>
    </row>
    <row r="763" spans="1:3" x14ac:dyDescent="0.2">
      <c r="A763">
        <v>2019</v>
      </c>
      <c r="B763" s="36">
        <v>8170</v>
      </c>
      <c r="C763" s="40">
        <v>1349114</v>
      </c>
    </row>
    <row r="764" spans="1:3" x14ac:dyDescent="0.2">
      <c r="A764">
        <v>2019</v>
      </c>
      <c r="B764" s="36">
        <v>8400</v>
      </c>
      <c r="C764" s="40">
        <v>497470</v>
      </c>
    </row>
    <row r="765" spans="1:3" x14ac:dyDescent="0.2">
      <c r="A765">
        <v>2019</v>
      </c>
      <c r="B765" s="36">
        <v>8402</v>
      </c>
      <c r="C765" s="40">
        <v>344673</v>
      </c>
    </row>
    <row r="766" spans="1:3" x14ac:dyDescent="0.2">
      <c r="A766">
        <v>2019</v>
      </c>
      <c r="B766" s="36">
        <v>8403</v>
      </c>
      <c r="C766" s="40">
        <v>335074</v>
      </c>
    </row>
    <row r="767" spans="1:3" x14ac:dyDescent="0.2">
      <c r="A767">
        <v>2019</v>
      </c>
      <c r="B767" s="36">
        <v>8406</v>
      </c>
      <c r="C767" s="40">
        <v>176655</v>
      </c>
    </row>
    <row r="768" spans="1:3" x14ac:dyDescent="0.2">
      <c r="A768">
        <v>2019</v>
      </c>
      <c r="B768" s="36">
        <v>8407</v>
      </c>
      <c r="C768" s="40">
        <v>1180460</v>
      </c>
    </row>
    <row r="769" spans="1:3" x14ac:dyDescent="0.2">
      <c r="A769">
        <v>2019</v>
      </c>
      <c r="B769" s="36">
        <v>8409</v>
      </c>
      <c r="C769" s="40">
        <v>701951</v>
      </c>
    </row>
    <row r="770" spans="1:3" x14ac:dyDescent="0.2">
      <c r="A770">
        <v>2019</v>
      </c>
      <c r="B770" s="36">
        <v>8410</v>
      </c>
      <c r="C770" s="40">
        <v>372735</v>
      </c>
    </row>
    <row r="771" spans="1:3" x14ac:dyDescent="0.2">
      <c r="A771">
        <v>2019</v>
      </c>
      <c r="B771" s="36">
        <v>8412</v>
      </c>
      <c r="C771" s="40">
        <v>637913</v>
      </c>
    </row>
    <row r="772" spans="1:3" x14ac:dyDescent="0.2">
      <c r="A772">
        <v>2019</v>
      </c>
      <c r="B772" s="36">
        <v>8415</v>
      </c>
      <c r="C772" s="40">
        <v>613957</v>
      </c>
    </row>
    <row r="773" spans="1:3" x14ac:dyDescent="0.2">
      <c r="A773">
        <v>2019</v>
      </c>
      <c r="B773" s="36">
        <v>8416</v>
      </c>
      <c r="C773" s="40">
        <v>248831</v>
      </c>
    </row>
    <row r="774" spans="1:3" x14ac:dyDescent="0.2">
      <c r="A774">
        <v>2019</v>
      </c>
      <c r="B774" s="36">
        <v>8419</v>
      </c>
      <c r="C774" s="40">
        <v>435008</v>
      </c>
    </row>
    <row r="775" spans="1:3" x14ac:dyDescent="0.2">
      <c r="A775">
        <v>2019</v>
      </c>
      <c r="B775" s="36">
        <v>8420</v>
      </c>
      <c r="C775" s="40">
        <v>375004</v>
      </c>
    </row>
    <row r="776" spans="1:3" x14ac:dyDescent="0.2">
      <c r="A776">
        <v>2019</v>
      </c>
      <c r="B776" s="36">
        <v>8421</v>
      </c>
      <c r="C776" s="40">
        <v>298794</v>
      </c>
    </row>
    <row r="777" spans="1:3" x14ac:dyDescent="0.2">
      <c r="A777">
        <v>2019</v>
      </c>
      <c r="B777" s="36">
        <v>8423</v>
      </c>
      <c r="C777" s="40">
        <v>186009</v>
      </c>
    </row>
    <row r="778" spans="1:3" x14ac:dyDescent="0.2">
      <c r="A778">
        <v>2019</v>
      </c>
      <c r="B778" s="36">
        <v>8424</v>
      </c>
      <c r="C778" s="40">
        <v>136376</v>
      </c>
    </row>
    <row r="779" spans="1:3" x14ac:dyDescent="0.2">
      <c r="A779">
        <v>2019</v>
      </c>
      <c r="B779" s="36">
        <v>8425</v>
      </c>
      <c r="C779" s="40">
        <v>333749</v>
      </c>
    </row>
    <row r="780" spans="1:3" x14ac:dyDescent="0.2">
      <c r="A780">
        <v>2019</v>
      </c>
      <c r="B780" s="36">
        <v>8426</v>
      </c>
      <c r="C780" s="40">
        <v>124702</v>
      </c>
    </row>
    <row r="781" spans="1:3" x14ac:dyDescent="0.2">
      <c r="A781">
        <v>2019</v>
      </c>
      <c r="B781" s="36">
        <v>8427</v>
      </c>
      <c r="C781" s="40">
        <v>81029</v>
      </c>
    </row>
    <row r="782" spans="1:3" x14ac:dyDescent="0.2">
      <c r="A782">
        <v>2019</v>
      </c>
      <c r="B782" s="36">
        <v>8428</v>
      </c>
      <c r="C782" s="40">
        <v>427475</v>
      </c>
    </row>
    <row r="783" spans="1:3" x14ac:dyDescent="0.2">
      <c r="A783">
        <v>2019</v>
      </c>
      <c r="B783" s="36">
        <v>8429</v>
      </c>
      <c r="C783" s="40">
        <v>250756</v>
      </c>
    </row>
    <row r="784" spans="1:3" x14ac:dyDescent="0.2">
      <c r="A784">
        <v>2019</v>
      </c>
      <c r="B784" s="36">
        <v>8430</v>
      </c>
      <c r="C784" s="40">
        <v>263291</v>
      </c>
    </row>
    <row r="785" spans="1:3" x14ac:dyDescent="0.2">
      <c r="A785">
        <v>2019</v>
      </c>
      <c r="B785" s="36">
        <v>8431</v>
      </c>
      <c r="C785" s="40">
        <v>277533</v>
      </c>
    </row>
    <row r="786" spans="1:3" x14ac:dyDescent="0.2">
      <c r="A786">
        <v>2019</v>
      </c>
      <c r="B786" s="36">
        <v>8432</v>
      </c>
      <c r="C786" s="40">
        <v>280812</v>
      </c>
    </row>
    <row r="787" spans="1:3" x14ac:dyDescent="0.2">
      <c r="A787">
        <v>2019</v>
      </c>
      <c r="B787" s="36">
        <v>8433</v>
      </c>
      <c r="C787" s="40">
        <v>78931</v>
      </c>
    </row>
    <row r="788" spans="1:3" x14ac:dyDescent="0.2">
      <c r="A788">
        <v>2019</v>
      </c>
      <c r="B788" s="36">
        <v>8434</v>
      </c>
      <c r="C788" s="40">
        <v>165048</v>
      </c>
    </row>
    <row r="789" spans="1:3" x14ac:dyDescent="0.2">
      <c r="A789">
        <v>2019</v>
      </c>
      <c r="B789" s="36">
        <v>8435</v>
      </c>
      <c r="C789" s="40">
        <v>125786</v>
      </c>
    </row>
    <row r="790" spans="1:3" x14ac:dyDescent="0.2">
      <c r="A790">
        <v>2019</v>
      </c>
      <c r="B790" s="36">
        <v>8436</v>
      </c>
      <c r="C790" s="40">
        <v>454672</v>
      </c>
    </row>
    <row r="792" spans="1:3" x14ac:dyDescent="0.2">
      <c r="B792" s="10" t="s">
        <v>3</v>
      </c>
      <c r="C792" s="42">
        <f>SUM(C2:C790)</f>
        <v>1772650712</v>
      </c>
    </row>
    <row r="793" spans="1:3" x14ac:dyDescent="0.2">
      <c r="B793" s="10"/>
    </row>
    <row r="794" spans="1:3" x14ac:dyDescent="0.2">
      <c r="B794" s="10" t="s">
        <v>2</v>
      </c>
      <c r="C794" s="43">
        <v>1772650717</v>
      </c>
    </row>
    <row r="795" spans="1:3" x14ac:dyDescent="0.2">
      <c r="B795" s="10"/>
    </row>
    <row r="796" spans="1:3" x14ac:dyDescent="0.2">
      <c r="B796" s="19" t="s">
        <v>4</v>
      </c>
      <c r="C796" s="44">
        <f>C792-C794</f>
        <v>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87EB-E8BC-3040-A576-8ACDF89891DC}">
  <sheetPr>
    <tabColor rgb="FFFFFF00"/>
  </sheetPr>
  <dimension ref="A1:C795"/>
  <sheetViews>
    <sheetView workbookViewId="0">
      <selection activeCell="A2" sqref="A2:C789"/>
    </sheetView>
  </sheetViews>
  <sheetFormatPr baseColWidth="10" defaultRowHeight="16" x14ac:dyDescent="0.2"/>
  <cols>
    <col min="2" max="2" width="16" style="39" bestFit="1" customWidth="1"/>
    <col min="3" max="3" width="16.6640625" style="41" bestFit="1" customWidth="1"/>
  </cols>
  <sheetData>
    <row r="1" spans="1:3" x14ac:dyDescent="0.2">
      <c r="A1" t="s">
        <v>5</v>
      </c>
      <c r="B1" s="34" t="s">
        <v>0</v>
      </c>
      <c r="C1" s="35" t="s">
        <v>1</v>
      </c>
    </row>
    <row r="2" spans="1:3" x14ac:dyDescent="0.2">
      <c r="A2">
        <v>2020</v>
      </c>
      <c r="B2" s="36">
        <v>1005</v>
      </c>
      <c r="C2" s="40">
        <v>8349598</v>
      </c>
    </row>
    <row r="3" spans="1:3" x14ac:dyDescent="0.2">
      <c r="A3">
        <v>2020</v>
      </c>
      <c r="B3" s="36">
        <v>1010</v>
      </c>
      <c r="C3" s="40">
        <v>2314373</v>
      </c>
    </row>
    <row r="4" spans="1:3" x14ac:dyDescent="0.2">
      <c r="A4">
        <v>2020</v>
      </c>
      <c r="B4" s="36">
        <v>1015</v>
      </c>
      <c r="C4" s="40">
        <v>2485086</v>
      </c>
    </row>
    <row r="5" spans="1:3" x14ac:dyDescent="0.2">
      <c r="A5">
        <v>2020</v>
      </c>
      <c r="B5" s="36">
        <v>1020</v>
      </c>
      <c r="C5" s="40">
        <v>1582591</v>
      </c>
    </row>
    <row r="6" spans="1:3" x14ac:dyDescent="0.2">
      <c r="A6">
        <v>2020</v>
      </c>
      <c r="B6" s="36">
        <v>1025</v>
      </c>
      <c r="C6" s="40">
        <v>2536580</v>
      </c>
    </row>
    <row r="7" spans="1:3" x14ac:dyDescent="0.2">
      <c r="A7">
        <v>2020</v>
      </c>
      <c r="B7" s="36">
        <v>1030</v>
      </c>
      <c r="C7" s="40">
        <v>3959255</v>
      </c>
    </row>
    <row r="8" spans="1:3" x14ac:dyDescent="0.2">
      <c r="A8">
        <v>2020</v>
      </c>
      <c r="B8" s="36">
        <v>1035</v>
      </c>
      <c r="C8" s="40">
        <v>27346681</v>
      </c>
    </row>
    <row r="9" spans="1:3" x14ac:dyDescent="0.2">
      <c r="A9">
        <v>2020</v>
      </c>
      <c r="B9" s="36">
        <v>1040</v>
      </c>
      <c r="C9" s="40">
        <v>2403079</v>
      </c>
    </row>
    <row r="10" spans="1:3" x14ac:dyDescent="0.2">
      <c r="A10">
        <v>2020</v>
      </c>
      <c r="B10" s="36">
        <v>1045</v>
      </c>
      <c r="C10" s="40">
        <v>1406580</v>
      </c>
    </row>
    <row r="11" spans="1:3" x14ac:dyDescent="0.2">
      <c r="A11">
        <v>2020</v>
      </c>
      <c r="B11" s="36">
        <v>1050</v>
      </c>
      <c r="C11" s="40">
        <v>3547095</v>
      </c>
    </row>
    <row r="12" spans="1:3" x14ac:dyDescent="0.2">
      <c r="A12">
        <v>2020</v>
      </c>
      <c r="B12" s="36">
        <v>1055</v>
      </c>
      <c r="C12" s="40">
        <v>1539122</v>
      </c>
    </row>
    <row r="13" spans="1:3" x14ac:dyDescent="0.2">
      <c r="A13">
        <v>2020</v>
      </c>
      <c r="B13" s="36">
        <v>1060</v>
      </c>
      <c r="C13" s="40">
        <v>1614834</v>
      </c>
    </row>
    <row r="14" spans="1:3" x14ac:dyDescent="0.2">
      <c r="A14">
        <v>2020</v>
      </c>
      <c r="B14" s="36">
        <v>1065</v>
      </c>
      <c r="C14" s="40">
        <v>3208633</v>
      </c>
    </row>
    <row r="15" spans="1:3" x14ac:dyDescent="0.2">
      <c r="A15">
        <v>2020</v>
      </c>
      <c r="B15" s="36">
        <v>1070</v>
      </c>
      <c r="C15" s="40">
        <v>2323560</v>
      </c>
    </row>
    <row r="16" spans="1:3" x14ac:dyDescent="0.2">
      <c r="A16">
        <v>2020</v>
      </c>
      <c r="B16" s="36">
        <v>1075</v>
      </c>
      <c r="C16" s="40">
        <v>1596767</v>
      </c>
    </row>
    <row r="17" spans="1:3" x14ac:dyDescent="0.2">
      <c r="A17">
        <v>2020</v>
      </c>
      <c r="B17" s="36">
        <v>1080</v>
      </c>
      <c r="C17" s="40">
        <v>3199165</v>
      </c>
    </row>
    <row r="18" spans="1:3" x14ac:dyDescent="0.2">
      <c r="A18">
        <v>2020</v>
      </c>
      <c r="B18" s="36">
        <v>1085</v>
      </c>
      <c r="C18" s="40">
        <v>1432904</v>
      </c>
    </row>
    <row r="19" spans="1:3" x14ac:dyDescent="0.2">
      <c r="A19">
        <v>2020</v>
      </c>
      <c r="B19" s="36">
        <v>1090</v>
      </c>
      <c r="C19" s="40">
        <v>1833627</v>
      </c>
    </row>
    <row r="20" spans="1:3" x14ac:dyDescent="0.2">
      <c r="A20">
        <v>2020</v>
      </c>
      <c r="B20" s="36">
        <v>1095</v>
      </c>
      <c r="C20" s="40">
        <v>1051690</v>
      </c>
    </row>
    <row r="21" spans="1:3" x14ac:dyDescent="0.2">
      <c r="A21">
        <v>2020</v>
      </c>
      <c r="B21" s="36">
        <v>1100</v>
      </c>
      <c r="C21" s="40">
        <v>1526295</v>
      </c>
    </row>
    <row r="22" spans="1:3" x14ac:dyDescent="0.2">
      <c r="A22">
        <v>2020</v>
      </c>
      <c r="B22" s="36">
        <v>1105</v>
      </c>
      <c r="C22" s="40">
        <v>3829669</v>
      </c>
    </row>
    <row r="23" spans="1:3" x14ac:dyDescent="0.2">
      <c r="A23">
        <v>2020</v>
      </c>
      <c r="B23" s="36">
        <v>1110</v>
      </c>
      <c r="C23" s="40">
        <v>3006631</v>
      </c>
    </row>
    <row r="24" spans="1:3" x14ac:dyDescent="0.2">
      <c r="A24">
        <v>2020</v>
      </c>
      <c r="B24" s="36">
        <v>1115</v>
      </c>
      <c r="C24" s="40">
        <v>847869</v>
      </c>
    </row>
    <row r="25" spans="1:3" x14ac:dyDescent="0.2">
      <c r="A25">
        <v>2020</v>
      </c>
      <c r="B25" s="36">
        <v>1120</v>
      </c>
      <c r="C25" s="40">
        <v>6054018</v>
      </c>
    </row>
    <row r="26" spans="1:3" x14ac:dyDescent="0.2">
      <c r="A26">
        <v>2020</v>
      </c>
      <c r="B26" s="36">
        <v>1125</v>
      </c>
      <c r="C26" s="40">
        <v>1482353</v>
      </c>
    </row>
    <row r="27" spans="1:3" x14ac:dyDescent="0.2">
      <c r="A27">
        <v>2020</v>
      </c>
      <c r="B27" s="36">
        <v>1130</v>
      </c>
      <c r="C27" s="40">
        <v>688565</v>
      </c>
    </row>
    <row r="28" spans="1:3" x14ac:dyDescent="0.2">
      <c r="A28">
        <v>2020</v>
      </c>
      <c r="B28" s="36">
        <v>1135</v>
      </c>
      <c r="C28" s="40">
        <v>3346186</v>
      </c>
    </row>
    <row r="29" spans="1:3" x14ac:dyDescent="0.2">
      <c r="A29">
        <v>2020</v>
      </c>
      <c r="B29" s="36">
        <v>1140</v>
      </c>
      <c r="C29" s="40">
        <v>5016663</v>
      </c>
    </row>
    <row r="30" spans="1:3" x14ac:dyDescent="0.2">
      <c r="A30">
        <v>2020</v>
      </c>
      <c r="B30" s="36">
        <v>1145</v>
      </c>
      <c r="C30" s="40">
        <v>806613</v>
      </c>
    </row>
    <row r="31" spans="1:3" x14ac:dyDescent="0.2">
      <c r="A31">
        <v>2020</v>
      </c>
      <c r="B31" s="36">
        <v>1150</v>
      </c>
      <c r="C31" s="40">
        <v>6158482</v>
      </c>
    </row>
    <row r="32" spans="1:3" x14ac:dyDescent="0.2">
      <c r="A32">
        <v>2020</v>
      </c>
      <c r="B32" s="36">
        <v>1155</v>
      </c>
      <c r="C32" s="40">
        <v>9072459</v>
      </c>
    </row>
    <row r="33" spans="1:3" x14ac:dyDescent="0.2">
      <c r="A33">
        <v>2020</v>
      </c>
      <c r="B33" s="36">
        <v>1160</v>
      </c>
      <c r="C33" s="40">
        <v>10807715</v>
      </c>
    </row>
    <row r="34" spans="1:3" x14ac:dyDescent="0.2">
      <c r="A34">
        <v>2020</v>
      </c>
      <c r="B34" s="36">
        <v>1165</v>
      </c>
      <c r="C34" s="40">
        <v>10637086</v>
      </c>
    </row>
    <row r="35" spans="1:3" x14ac:dyDescent="0.2">
      <c r="A35">
        <v>2020</v>
      </c>
      <c r="B35" s="36">
        <v>1170</v>
      </c>
      <c r="C35" s="40">
        <v>4791858</v>
      </c>
    </row>
    <row r="36" spans="1:3" x14ac:dyDescent="0.2">
      <c r="A36">
        <v>2020</v>
      </c>
      <c r="B36" s="36">
        <v>1175</v>
      </c>
      <c r="C36" s="40">
        <v>2397118</v>
      </c>
    </row>
    <row r="37" spans="1:3" x14ac:dyDescent="0.2">
      <c r="A37">
        <v>2020</v>
      </c>
      <c r="B37" s="36">
        <v>1180</v>
      </c>
      <c r="C37" s="40">
        <v>1032826</v>
      </c>
    </row>
    <row r="38" spans="1:3" x14ac:dyDescent="0.2">
      <c r="A38">
        <v>2020</v>
      </c>
      <c r="B38" s="36">
        <v>1185</v>
      </c>
      <c r="C38" s="40">
        <v>1099177</v>
      </c>
    </row>
    <row r="39" spans="1:3" x14ac:dyDescent="0.2">
      <c r="A39">
        <v>2020</v>
      </c>
      <c r="B39" s="36">
        <v>1190</v>
      </c>
      <c r="C39" s="40">
        <v>1335345</v>
      </c>
    </row>
    <row r="40" spans="1:3" x14ac:dyDescent="0.2">
      <c r="A40">
        <v>2020</v>
      </c>
      <c r="B40" s="36">
        <v>1195</v>
      </c>
      <c r="C40" s="40">
        <v>1330767</v>
      </c>
    </row>
    <row r="41" spans="1:3" x14ac:dyDescent="0.2">
      <c r="A41">
        <v>2020</v>
      </c>
      <c r="B41" s="36">
        <v>1200</v>
      </c>
      <c r="C41" s="40">
        <v>1302658</v>
      </c>
    </row>
    <row r="42" spans="1:3" x14ac:dyDescent="0.2">
      <c r="A42">
        <v>2020</v>
      </c>
      <c r="B42" s="36">
        <v>1205</v>
      </c>
      <c r="C42" s="40">
        <v>2747132</v>
      </c>
    </row>
    <row r="43" spans="1:3" x14ac:dyDescent="0.2">
      <c r="A43">
        <v>2020</v>
      </c>
      <c r="B43" s="36">
        <v>1210</v>
      </c>
      <c r="C43" s="40">
        <v>3342092</v>
      </c>
    </row>
    <row r="44" spans="1:3" x14ac:dyDescent="0.2">
      <c r="A44">
        <v>2020</v>
      </c>
      <c r="B44" s="36">
        <v>1215</v>
      </c>
      <c r="C44" s="40">
        <v>1511929</v>
      </c>
    </row>
    <row r="45" spans="1:3" x14ac:dyDescent="0.2">
      <c r="A45">
        <v>2020</v>
      </c>
      <c r="B45" s="36">
        <v>1220</v>
      </c>
      <c r="C45" s="40">
        <v>2216796</v>
      </c>
    </row>
    <row r="46" spans="1:3" x14ac:dyDescent="0.2">
      <c r="A46">
        <v>2020</v>
      </c>
      <c r="B46" s="36">
        <v>1225</v>
      </c>
      <c r="C46" s="40">
        <v>3526280</v>
      </c>
    </row>
    <row r="47" spans="1:3" x14ac:dyDescent="0.2">
      <c r="A47">
        <v>2020</v>
      </c>
      <c r="B47" s="36">
        <v>1230</v>
      </c>
      <c r="C47" s="40">
        <v>748968</v>
      </c>
    </row>
    <row r="48" spans="1:3" x14ac:dyDescent="0.2">
      <c r="A48">
        <v>2020</v>
      </c>
      <c r="B48" s="36">
        <v>1235</v>
      </c>
      <c r="C48" s="40">
        <v>23761757</v>
      </c>
    </row>
    <row r="49" spans="1:3" x14ac:dyDescent="0.2">
      <c r="A49">
        <v>2020</v>
      </c>
      <c r="B49" s="36">
        <v>1240</v>
      </c>
      <c r="C49" s="40">
        <v>3409514</v>
      </c>
    </row>
    <row r="50" spans="1:3" x14ac:dyDescent="0.2">
      <c r="A50">
        <v>2020</v>
      </c>
      <c r="B50" s="36">
        <v>1245</v>
      </c>
      <c r="C50" s="40">
        <v>3745390</v>
      </c>
    </row>
    <row r="51" spans="1:3" x14ac:dyDescent="0.2">
      <c r="A51">
        <v>2020</v>
      </c>
      <c r="B51" s="36">
        <v>1250</v>
      </c>
      <c r="C51" s="40">
        <v>1205121</v>
      </c>
    </row>
    <row r="52" spans="1:3" x14ac:dyDescent="0.2">
      <c r="A52">
        <v>2020</v>
      </c>
      <c r="B52" s="36">
        <v>1255</v>
      </c>
      <c r="C52" s="40">
        <v>4086087</v>
      </c>
    </row>
    <row r="53" spans="1:3" x14ac:dyDescent="0.2">
      <c r="A53">
        <v>2020</v>
      </c>
      <c r="B53" s="36">
        <v>1260</v>
      </c>
      <c r="C53" s="40">
        <v>7159112</v>
      </c>
    </row>
    <row r="54" spans="1:3" x14ac:dyDescent="0.2">
      <c r="A54">
        <v>2020</v>
      </c>
      <c r="B54" s="36">
        <v>1265</v>
      </c>
      <c r="C54" s="40">
        <v>1309710</v>
      </c>
    </row>
    <row r="55" spans="1:3" x14ac:dyDescent="0.2">
      <c r="A55">
        <v>2020</v>
      </c>
      <c r="B55" s="36">
        <v>1270</v>
      </c>
      <c r="C55" s="40">
        <v>17250303</v>
      </c>
    </row>
    <row r="56" spans="1:3" x14ac:dyDescent="0.2">
      <c r="A56">
        <v>2020</v>
      </c>
      <c r="B56" s="36">
        <v>1275</v>
      </c>
      <c r="C56" s="40">
        <v>1217624</v>
      </c>
    </row>
    <row r="57" spans="1:3" x14ac:dyDescent="0.2">
      <c r="A57">
        <v>2020</v>
      </c>
      <c r="B57" s="36">
        <v>1280</v>
      </c>
      <c r="C57" s="40">
        <v>3122467</v>
      </c>
    </row>
    <row r="58" spans="1:3" x14ac:dyDescent="0.2">
      <c r="A58">
        <v>2020</v>
      </c>
      <c r="B58" s="36">
        <v>1285</v>
      </c>
      <c r="C58" s="40">
        <v>5522343</v>
      </c>
    </row>
    <row r="59" spans="1:3" x14ac:dyDescent="0.2">
      <c r="A59">
        <v>2020</v>
      </c>
      <c r="B59" s="36">
        <v>1290</v>
      </c>
      <c r="C59" s="40">
        <v>2280302</v>
      </c>
    </row>
    <row r="60" spans="1:3" x14ac:dyDescent="0.2">
      <c r="A60">
        <v>2020</v>
      </c>
      <c r="B60" s="36">
        <v>1295</v>
      </c>
      <c r="C60" s="40">
        <v>848173</v>
      </c>
    </row>
    <row r="61" spans="1:3" x14ac:dyDescent="0.2">
      <c r="A61">
        <v>2020</v>
      </c>
      <c r="B61" s="36">
        <v>1300</v>
      </c>
      <c r="C61" s="40">
        <v>8486725</v>
      </c>
    </row>
    <row r="62" spans="1:3" x14ac:dyDescent="0.2">
      <c r="A62">
        <v>2020</v>
      </c>
      <c r="B62" s="36">
        <v>1305</v>
      </c>
      <c r="C62" s="40">
        <v>23094249</v>
      </c>
    </row>
    <row r="63" spans="1:3" x14ac:dyDescent="0.2">
      <c r="A63">
        <v>2020</v>
      </c>
      <c r="B63" s="36">
        <v>2005</v>
      </c>
      <c r="C63" s="40">
        <v>1171093</v>
      </c>
    </row>
    <row r="64" spans="1:3" x14ac:dyDescent="0.2">
      <c r="A64">
        <v>2020</v>
      </c>
      <c r="B64" s="36">
        <v>2006</v>
      </c>
      <c r="C64" s="40">
        <v>1109512</v>
      </c>
    </row>
    <row r="65" spans="1:3" x14ac:dyDescent="0.2">
      <c r="A65">
        <v>2020</v>
      </c>
      <c r="B65" s="36">
        <v>2007</v>
      </c>
      <c r="C65" s="40">
        <v>2971649</v>
      </c>
    </row>
    <row r="66" spans="1:3" x14ac:dyDescent="0.2">
      <c r="A66">
        <v>2020</v>
      </c>
      <c r="B66" s="36">
        <v>2008</v>
      </c>
      <c r="C66" s="40">
        <v>2861867</v>
      </c>
    </row>
    <row r="67" spans="1:3" x14ac:dyDescent="0.2">
      <c r="A67">
        <v>2020</v>
      </c>
      <c r="B67" s="36">
        <v>2009</v>
      </c>
      <c r="C67" s="40">
        <v>2142583</v>
      </c>
    </row>
    <row r="68" spans="1:3" x14ac:dyDescent="0.2">
      <c r="A68">
        <v>2020</v>
      </c>
      <c r="B68" s="36">
        <v>2010</v>
      </c>
      <c r="C68" s="40">
        <v>7071370</v>
      </c>
    </row>
    <row r="69" spans="1:3" x14ac:dyDescent="0.2">
      <c r="A69">
        <v>2020</v>
      </c>
      <c r="B69" s="36">
        <v>2014</v>
      </c>
      <c r="C69" s="40">
        <v>903084</v>
      </c>
    </row>
    <row r="70" spans="1:3" x14ac:dyDescent="0.2">
      <c r="A70">
        <v>2020</v>
      </c>
      <c r="B70" s="36">
        <v>2015</v>
      </c>
      <c r="C70" s="40">
        <v>2012092</v>
      </c>
    </row>
    <row r="71" spans="1:3" x14ac:dyDescent="0.2">
      <c r="A71">
        <v>2020</v>
      </c>
      <c r="B71" s="36">
        <v>2016</v>
      </c>
      <c r="C71" s="40">
        <v>768453</v>
      </c>
    </row>
    <row r="72" spans="1:3" x14ac:dyDescent="0.2">
      <c r="A72">
        <v>2020</v>
      </c>
      <c r="B72" s="36">
        <v>2018</v>
      </c>
      <c r="C72" s="40">
        <v>1897377</v>
      </c>
    </row>
    <row r="73" spans="1:3" x14ac:dyDescent="0.2">
      <c r="A73">
        <v>2020</v>
      </c>
      <c r="B73" s="36">
        <v>2020</v>
      </c>
      <c r="C73" s="40">
        <v>4935930</v>
      </c>
    </row>
    <row r="74" spans="1:3" x14ac:dyDescent="0.2">
      <c r="A74">
        <v>2020</v>
      </c>
      <c r="B74" s="36">
        <v>2025</v>
      </c>
      <c r="C74" s="40">
        <v>3828940</v>
      </c>
    </row>
    <row r="75" spans="1:3" x14ac:dyDescent="0.2">
      <c r="A75">
        <v>2020</v>
      </c>
      <c r="B75" s="36">
        <v>2030</v>
      </c>
      <c r="C75" s="40">
        <v>3265962</v>
      </c>
    </row>
    <row r="76" spans="1:3" x14ac:dyDescent="0.2">
      <c r="A76">
        <v>2020</v>
      </c>
      <c r="B76" s="36">
        <v>2035</v>
      </c>
      <c r="C76" s="40">
        <v>1077729</v>
      </c>
    </row>
    <row r="77" spans="1:3" x14ac:dyDescent="0.2">
      <c r="A77">
        <v>2020</v>
      </c>
      <c r="B77" s="36">
        <v>2040</v>
      </c>
      <c r="C77" s="40">
        <v>6326050</v>
      </c>
    </row>
    <row r="78" spans="1:3" x14ac:dyDescent="0.2">
      <c r="A78">
        <v>2020</v>
      </c>
      <c r="B78" s="36">
        <v>2044</v>
      </c>
      <c r="C78" s="40">
        <v>1499882</v>
      </c>
    </row>
    <row r="79" spans="1:3" x14ac:dyDescent="0.2">
      <c r="A79">
        <v>2020</v>
      </c>
      <c r="B79" s="36">
        <v>2045</v>
      </c>
      <c r="C79" s="40">
        <v>3617541</v>
      </c>
    </row>
    <row r="80" spans="1:3" x14ac:dyDescent="0.2">
      <c r="A80">
        <v>2020</v>
      </c>
      <c r="B80" s="36">
        <v>2046</v>
      </c>
      <c r="C80" s="40">
        <v>2907459</v>
      </c>
    </row>
    <row r="81" spans="1:3" x14ac:dyDescent="0.2">
      <c r="A81">
        <v>2020</v>
      </c>
      <c r="B81" s="36">
        <v>2047</v>
      </c>
      <c r="C81" s="40">
        <v>15156306</v>
      </c>
    </row>
    <row r="82" spans="1:3" x14ac:dyDescent="0.2">
      <c r="A82">
        <v>2020</v>
      </c>
      <c r="B82" s="36">
        <v>2048</v>
      </c>
      <c r="C82" s="40">
        <v>3366928</v>
      </c>
    </row>
    <row r="83" spans="1:3" x14ac:dyDescent="0.2">
      <c r="A83">
        <v>2020</v>
      </c>
      <c r="B83" s="36">
        <v>2050</v>
      </c>
      <c r="C83" s="40">
        <v>2585283</v>
      </c>
    </row>
    <row r="84" spans="1:3" x14ac:dyDescent="0.2">
      <c r="A84">
        <v>2020</v>
      </c>
      <c r="B84" s="36">
        <v>2052</v>
      </c>
      <c r="C84" s="40">
        <v>2173528</v>
      </c>
    </row>
    <row r="85" spans="1:3" x14ac:dyDescent="0.2">
      <c r="A85">
        <v>2020</v>
      </c>
      <c r="B85" s="36">
        <v>2055</v>
      </c>
      <c r="C85" s="40">
        <v>1901077</v>
      </c>
    </row>
    <row r="86" spans="1:3" x14ac:dyDescent="0.2">
      <c r="A86">
        <v>2020</v>
      </c>
      <c r="B86" s="36">
        <v>2056</v>
      </c>
      <c r="C86" s="40">
        <v>2474628</v>
      </c>
    </row>
    <row r="87" spans="1:3" x14ac:dyDescent="0.2">
      <c r="A87">
        <v>2020</v>
      </c>
      <c r="B87" s="36">
        <v>2057</v>
      </c>
      <c r="C87" s="40">
        <v>3128714</v>
      </c>
    </row>
    <row r="88" spans="1:3" x14ac:dyDescent="0.2">
      <c r="A88">
        <v>2020</v>
      </c>
      <c r="B88" s="36">
        <v>2058</v>
      </c>
      <c r="C88" s="40">
        <v>1923837</v>
      </c>
    </row>
    <row r="89" spans="1:3" x14ac:dyDescent="0.2">
      <c r="A89">
        <v>2020</v>
      </c>
      <c r="B89" s="36">
        <v>2059</v>
      </c>
      <c r="C89" s="40">
        <v>3426397</v>
      </c>
    </row>
    <row r="90" spans="1:3" x14ac:dyDescent="0.2">
      <c r="A90">
        <v>2020</v>
      </c>
      <c r="B90" s="36">
        <v>2060</v>
      </c>
      <c r="C90" s="40">
        <v>803506</v>
      </c>
    </row>
    <row r="91" spans="1:3" x14ac:dyDescent="0.2">
      <c r="A91">
        <v>2020</v>
      </c>
      <c r="B91" s="36">
        <v>2061</v>
      </c>
      <c r="C91" s="40">
        <v>930104</v>
      </c>
    </row>
    <row r="92" spans="1:3" x14ac:dyDescent="0.2">
      <c r="A92">
        <v>2020</v>
      </c>
      <c r="B92" s="36">
        <v>2062</v>
      </c>
      <c r="C92" s="40">
        <v>1519563</v>
      </c>
    </row>
    <row r="93" spans="1:3" x14ac:dyDescent="0.2">
      <c r="A93">
        <v>2020</v>
      </c>
      <c r="B93" s="36">
        <v>2063</v>
      </c>
      <c r="C93" s="40">
        <v>778829</v>
      </c>
    </row>
    <row r="94" spans="1:3" x14ac:dyDescent="0.2">
      <c r="A94">
        <v>2020</v>
      </c>
      <c r="B94" s="36">
        <v>2064</v>
      </c>
      <c r="C94" s="40">
        <v>2297925</v>
      </c>
    </row>
    <row r="95" spans="1:3" x14ac:dyDescent="0.2">
      <c r="A95">
        <v>2020</v>
      </c>
      <c r="B95" s="36">
        <v>2065</v>
      </c>
      <c r="C95" s="40">
        <v>1943299</v>
      </c>
    </row>
    <row r="96" spans="1:3" x14ac:dyDescent="0.2">
      <c r="A96">
        <v>2020</v>
      </c>
      <c r="B96" s="36">
        <v>2066</v>
      </c>
      <c r="C96" s="40">
        <v>4817946</v>
      </c>
    </row>
    <row r="97" spans="1:3" x14ac:dyDescent="0.2">
      <c r="A97">
        <v>2020</v>
      </c>
      <c r="B97" s="36">
        <v>2067</v>
      </c>
      <c r="C97" s="40">
        <v>7451054</v>
      </c>
    </row>
    <row r="98" spans="1:3" x14ac:dyDescent="0.2">
      <c r="A98">
        <v>2020</v>
      </c>
      <c r="B98" s="36">
        <v>2068</v>
      </c>
      <c r="C98" s="40">
        <v>6673649</v>
      </c>
    </row>
    <row r="99" spans="1:3" x14ac:dyDescent="0.2">
      <c r="A99">
        <v>2020</v>
      </c>
      <c r="B99" s="36">
        <v>2069</v>
      </c>
      <c r="C99" s="40">
        <v>897604</v>
      </c>
    </row>
    <row r="100" spans="1:3" x14ac:dyDescent="0.2">
      <c r="A100">
        <v>2020</v>
      </c>
      <c r="B100" s="36">
        <v>2070</v>
      </c>
      <c r="C100" s="40">
        <v>1225496</v>
      </c>
    </row>
    <row r="101" spans="1:3" x14ac:dyDescent="0.2">
      <c r="A101">
        <v>2020</v>
      </c>
      <c r="B101" s="36">
        <v>2071</v>
      </c>
      <c r="C101" s="40">
        <v>995693</v>
      </c>
    </row>
    <row r="102" spans="1:3" x14ac:dyDescent="0.2">
      <c r="A102">
        <v>2020</v>
      </c>
      <c r="B102" s="36">
        <v>2072</v>
      </c>
      <c r="C102" s="40">
        <v>1190390</v>
      </c>
    </row>
    <row r="103" spans="1:3" x14ac:dyDescent="0.2">
      <c r="A103">
        <v>2020</v>
      </c>
      <c r="B103" s="36">
        <v>2073</v>
      </c>
      <c r="C103" s="40">
        <v>2479454</v>
      </c>
    </row>
    <row r="104" spans="1:3" x14ac:dyDescent="0.2">
      <c r="A104">
        <v>2020</v>
      </c>
      <c r="B104" s="36">
        <v>2074</v>
      </c>
      <c r="C104" s="40">
        <v>2372679</v>
      </c>
    </row>
    <row r="105" spans="1:3" x14ac:dyDescent="0.2">
      <c r="A105">
        <v>2020</v>
      </c>
      <c r="B105" s="36">
        <v>2075</v>
      </c>
      <c r="C105" s="40">
        <v>4669697</v>
      </c>
    </row>
    <row r="106" spans="1:3" x14ac:dyDescent="0.2">
      <c r="A106">
        <v>2020</v>
      </c>
      <c r="B106" s="36">
        <v>2076</v>
      </c>
      <c r="C106" s="40">
        <v>2891166</v>
      </c>
    </row>
    <row r="107" spans="1:3" x14ac:dyDescent="0.2">
      <c r="A107">
        <v>2020</v>
      </c>
      <c r="B107" s="36">
        <v>2077</v>
      </c>
      <c r="C107" s="40">
        <v>840286</v>
      </c>
    </row>
    <row r="108" spans="1:3" x14ac:dyDescent="0.2">
      <c r="A108">
        <v>2020</v>
      </c>
      <c r="B108" s="36">
        <v>2078</v>
      </c>
      <c r="C108" s="40">
        <v>7214698</v>
      </c>
    </row>
    <row r="109" spans="1:3" x14ac:dyDescent="0.2">
      <c r="A109">
        <v>2020</v>
      </c>
      <c r="B109" s="36">
        <v>2079</v>
      </c>
      <c r="C109" s="40">
        <v>4394480</v>
      </c>
    </row>
    <row r="110" spans="1:3" x14ac:dyDescent="0.2">
      <c r="A110">
        <v>2020</v>
      </c>
      <c r="B110" s="36">
        <v>2080</v>
      </c>
      <c r="C110" s="40">
        <v>913694</v>
      </c>
    </row>
    <row r="111" spans="1:3" x14ac:dyDescent="0.2">
      <c r="A111">
        <v>2020</v>
      </c>
      <c r="B111" s="36">
        <v>2081</v>
      </c>
      <c r="C111" s="40">
        <v>1226056</v>
      </c>
    </row>
    <row r="112" spans="1:3" x14ac:dyDescent="0.2">
      <c r="A112">
        <v>2020</v>
      </c>
      <c r="B112" s="36">
        <v>2082</v>
      </c>
      <c r="C112" s="40">
        <v>669673</v>
      </c>
    </row>
    <row r="113" spans="1:3" x14ac:dyDescent="0.2">
      <c r="A113">
        <v>2020</v>
      </c>
      <c r="B113" s="36">
        <v>2083</v>
      </c>
      <c r="C113" s="40">
        <v>1636792</v>
      </c>
    </row>
    <row r="114" spans="1:3" x14ac:dyDescent="0.2">
      <c r="A114">
        <v>2020</v>
      </c>
      <c r="B114" s="36">
        <v>2084</v>
      </c>
      <c r="C114" s="40">
        <v>2667281</v>
      </c>
    </row>
    <row r="115" spans="1:3" x14ac:dyDescent="0.2">
      <c r="A115">
        <v>2020</v>
      </c>
      <c r="B115" s="36">
        <v>2085</v>
      </c>
      <c r="C115" s="40">
        <v>1348355</v>
      </c>
    </row>
    <row r="116" spans="1:3" x14ac:dyDescent="0.2">
      <c r="A116">
        <v>2020</v>
      </c>
      <c r="B116" s="36">
        <v>2086</v>
      </c>
      <c r="C116" s="40">
        <v>4455128</v>
      </c>
    </row>
    <row r="117" spans="1:3" x14ac:dyDescent="0.2">
      <c r="A117">
        <v>2020</v>
      </c>
      <c r="B117" s="36">
        <v>2090</v>
      </c>
      <c r="C117" s="40">
        <v>1981049</v>
      </c>
    </row>
    <row r="118" spans="1:3" x14ac:dyDescent="0.2">
      <c r="A118">
        <v>2020</v>
      </c>
      <c r="B118" s="36">
        <v>2095</v>
      </c>
      <c r="C118" s="40">
        <v>2044384</v>
      </c>
    </row>
    <row r="119" spans="1:3" x14ac:dyDescent="0.2">
      <c r="A119">
        <v>2020</v>
      </c>
      <c r="B119" s="36">
        <v>2104</v>
      </c>
      <c r="C119" s="40">
        <v>1158702</v>
      </c>
    </row>
    <row r="120" spans="1:3" x14ac:dyDescent="0.2">
      <c r="A120">
        <v>2020</v>
      </c>
      <c r="B120" s="36">
        <v>2105</v>
      </c>
      <c r="C120" s="40">
        <v>1072206</v>
      </c>
    </row>
    <row r="121" spans="1:3" x14ac:dyDescent="0.2">
      <c r="A121">
        <v>2020</v>
      </c>
      <c r="B121" s="36">
        <v>2110</v>
      </c>
      <c r="C121" s="40">
        <v>3026269</v>
      </c>
    </row>
    <row r="122" spans="1:3" x14ac:dyDescent="0.2">
      <c r="A122">
        <v>2020</v>
      </c>
      <c r="B122" s="36">
        <v>2112</v>
      </c>
      <c r="C122" s="40">
        <v>2094734</v>
      </c>
    </row>
    <row r="123" spans="1:3" x14ac:dyDescent="0.2">
      <c r="A123">
        <v>2020</v>
      </c>
      <c r="B123" s="36">
        <v>2115</v>
      </c>
      <c r="C123" s="40">
        <v>3959218</v>
      </c>
    </row>
    <row r="124" spans="1:3" x14ac:dyDescent="0.2">
      <c r="A124">
        <v>2020</v>
      </c>
      <c r="B124" s="36">
        <v>2120</v>
      </c>
      <c r="C124" s="40">
        <v>7823406</v>
      </c>
    </row>
    <row r="125" spans="1:3" x14ac:dyDescent="0.2">
      <c r="A125">
        <v>2020</v>
      </c>
      <c r="B125" s="36">
        <v>2125</v>
      </c>
      <c r="C125" s="40">
        <v>763268</v>
      </c>
    </row>
    <row r="126" spans="1:3" x14ac:dyDescent="0.2">
      <c r="A126">
        <v>2020</v>
      </c>
      <c r="B126" s="36">
        <v>2130</v>
      </c>
      <c r="C126" s="40">
        <v>1418915</v>
      </c>
    </row>
    <row r="127" spans="1:3" x14ac:dyDescent="0.2">
      <c r="A127">
        <v>2020</v>
      </c>
      <c r="B127" s="36">
        <v>2135</v>
      </c>
      <c r="C127" s="40">
        <v>2821901</v>
      </c>
    </row>
    <row r="128" spans="1:3" x14ac:dyDescent="0.2">
      <c r="A128">
        <v>2020</v>
      </c>
      <c r="B128" s="36">
        <v>2140</v>
      </c>
      <c r="C128" s="40">
        <v>2454499</v>
      </c>
    </row>
    <row r="129" spans="1:3" x14ac:dyDescent="0.2">
      <c r="A129">
        <v>2020</v>
      </c>
      <c r="B129" s="36">
        <v>2145</v>
      </c>
      <c r="C129" s="40">
        <v>3506896</v>
      </c>
    </row>
    <row r="130" spans="1:3" x14ac:dyDescent="0.2">
      <c r="A130">
        <v>2020</v>
      </c>
      <c r="B130" s="36">
        <v>2146</v>
      </c>
      <c r="C130" s="40">
        <v>3249225</v>
      </c>
    </row>
    <row r="131" spans="1:3" x14ac:dyDescent="0.2">
      <c r="A131">
        <v>2020</v>
      </c>
      <c r="B131" s="36">
        <v>2147</v>
      </c>
      <c r="C131" s="40">
        <v>906106</v>
      </c>
    </row>
    <row r="132" spans="1:3" x14ac:dyDescent="0.2">
      <c r="A132">
        <v>2020</v>
      </c>
      <c r="B132" s="36">
        <v>2148</v>
      </c>
      <c r="C132" s="40">
        <v>2326050</v>
      </c>
    </row>
    <row r="133" spans="1:3" x14ac:dyDescent="0.2">
      <c r="A133">
        <v>2020</v>
      </c>
      <c r="B133" s="36">
        <v>2149</v>
      </c>
      <c r="C133" s="40">
        <v>1506029</v>
      </c>
    </row>
    <row r="134" spans="1:3" x14ac:dyDescent="0.2">
      <c r="A134">
        <v>2020</v>
      </c>
      <c r="B134" s="36">
        <v>2150</v>
      </c>
      <c r="C134" s="40">
        <v>616517</v>
      </c>
    </row>
    <row r="135" spans="1:3" x14ac:dyDescent="0.2">
      <c r="A135">
        <v>2020</v>
      </c>
      <c r="B135" s="36">
        <v>2155</v>
      </c>
      <c r="C135" s="40">
        <v>2301639</v>
      </c>
    </row>
    <row r="136" spans="1:3" x14ac:dyDescent="0.2">
      <c r="A136">
        <v>2020</v>
      </c>
      <c r="B136" s="36">
        <v>2160</v>
      </c>
      <c r="C136" s="40">
        <v>3999382</v>
      </c>
    </row>
    <row r="137" spans="1:3" x14ac:dyDescent="0.2">
      <c r="A137">
        <v>2020</v>
      </c>
      <c r="B137" s="36">
        <v>2165</v>
      </c>
      <c r="C137" s="40">
        <v>1367653</v>
      </c>
    </row>
    <row r="138" spans="1:3" x14ac:dyDescent="0.2">
      <c r="A138">
        <v>2020</v>
      </c>
      <c r="B138" s="36">
        <v>2170</v>
      </c>
      <c r="C138" s="40">
        <v>6008370</v>
      </c>
    </row>
    <row r="139" spans="1:3" x14ac:dyDescent="0.2">
      <c r="A139">
        <v>2020</v>
      </c>
      <c r="B139" s="36">
        <v>2175</v>
      </c>
      <c r="C139" s="40">
        <v>555591</v>
      </c>
    </row>
    <row r="140" spans="1:3" x14ac:dyDescent="0.2">
      <c r="A140">
        <v>2020</v>
      </c>
      <c r="B140" s="36">
        <v>2180</v>
      </c>
      <c r="C140" s="40">
        <v>1151076</v>
      </c>
    </row>
    <row r="141" spans="1:3" x14ac:dyDescent="0.2">
      <c r="A141">
        <v>2020</v>
      </c>
      <c r="B141" s="36">
        <v>2185</v>
      </c>
      <c r="C141" s="40">
        <v>6336437</v>
      </c>
    </row>
    <row r="142" spans="1:3" x14ac:dyDescent="0.2">
      <c r="A142">
        <v>2020</v>
      </c>
      <c r="B142" s="36">
        <v>2187</v>
      </c>
      <c r="C142" s="40">
        <v>3135594</v>
      </c>
    </row>
    <row r="143" spans="1:3" x14ac:dyDescent="0.2">
      <c r="A143">
        <v>2020</v>
      </c>
      <c r="B143" s="36">
        <v>2190</v>
      </c>
      <c r="C143" s="40">
        <v>4027273</v>
      </c>
    </row>
    <row r="144" spans="1:3" x14ac:dyDescent="0.2">
      <c r="A144">
        <v>2020</v>
      </c>
      <c r="B144" s="36">
        <v>2191</v>
      </c>
      <c r="C144" s="40">
        <v>2903327</v>
      </c>
    </row>
    <row r="145" spans="1:3" x14ac:dyDescent="0.2">
      <c r="A145">
        <v>2020</v>
      </c>
      <c r="B145" s="36">
        <v>2195</v>
      </c>
      <c r="C145" s="40">
        <v>883323</v>
      </c>
    </row>
    <row r="146" spans="1:3" x14ac:dyDescent="0.2">
      <c r="A146">
        <v>2020</v>
      </c>
      <c r="B146" s="36">
        <v>2196</v>
      </c>
      <c r="C146" s="40">
        <v>1026024</v>
      </c>
    </row>
    <row r="147" spans="1:3" x14ac:dyDescent="0.2">
      <c r="A147">
        <v>2020</v>
      </c>
      <c r="B147" s="36">
        <v>2198</v>
      </c>
      <c r="C147" s="40">
        <v>2119908</v>
      </c>
    </row>
    <row r="148" spans="1:3" x14ac:dyDescent="0.2">
      <c r="A148">
        <v>2020</v>
      </c>
      <c r="B148" s="36">
        <v>2200</v>
      </c>
      <c r="C148" s="40">
        <v>9001274</v>
      </c>
    </row>
    <row r="149" spans="1:3" x14ac:dyDescent="0.2">
      <c r="A149">
        <v>2020</v>
      </c>
      <c r="B149" s="36">
        <v>2204</v>
      </c>
      <c r="C149" s="40">
        <v>7855723</v>
      </c>
    </row>
    <row r="150" spans="1:3" x14ac:dyDescent="0.2">
      <c r="A150">
        <v>2020</v>
      </c>
      <c r="B150" s="36">
        <v>2205</v>
      </c>
      <c r="C150" s="40">
        <v>257923</v>
      </c>
    </row>
    <row r="151" spans="1:3" x14ac:dyDescent="0.2">
      <c r="A151">
        <v>2020</v>
      </c>
      <c r="B151" s="36">
        <v>2206</v>
      </c>
      <c r="C151" s="40">
        <v>1216776</v>
      </c>
    </row>
    <row r="152" spans="1:3" x14ac:dyDescent="0.2">
      <c r="A152">
        <v>2020</v>
      </c>
      <c r="B152" s="36">
        <v>2207</v>
      </c>
      <c r="C152" s="40">
        <v>2188456</v>
      </c>
    </row>
    <row r="153" spans="1:3" x14ac:dyDescent="0.2">
      <c r="A153">
        <v>2020</v>
      </c>
      <c r="B153" s="36">
        <v>2208</v>
      </c>
      <c r="C153" s="40">
        <v>3921554</v>
      </c>
    </row>
    <row r="154" spans="1:3" x14ac:dyDescent="0.2">
      <c r="A154">
        <v>2020</v>
      </c>
      <c r="B154" s="36">
        <v>2209</v>
      </c>
      <c r="C154" s="40">
        <v>8756183</v>
      </c>
    </row>
    <row r="155" spans="1:3" x14ac:dyDescent="0.2">
      <c r="A155">
        <v>2020</v>
      </c>
      <c r="B155" s="36">
        <v>2210</v>
      </c>
      <c r="C155" s="40">
        <v>2507600</v>
      </c>
    </row>
    <row r="156" spans="1:3" x14ac:dyDescent="0.2">
      <c r="A156">
        <v>2020</v>
      </c>
      <c r="B156" s="36">
        <v>2212</v>
      </c>
      <c r="C156" s="40">
        <v>3144396</v>
      </c>
    </row>
    <row r="157" spans="1:3" x14ac:dyDescent="0.2">
      <c r="A157">
        <v>2020</v>
      </c>
      <c r="B157" s="36">
        <v>2215</v>
      </c>
      <c r="C157" s="40">
        <v>4789897</v>
      </c>
    </row>
    <row r="158" spans="1:3" x14ac:dyDescent="0.2">
      <c r="A158">
        <v>2020</v>
      </c>
      <c r="B158" s="36">
        <v>2220</v>
      </c>
      <c r="C158" s="40">
        <v>2054416</v>
      </c>
    </row>
    <row r="159" spans="1:3" x14ac:dyDescent="0.2">
      <c r="A159">
        <v>2020</v>
      </c>
      <c r="B159" s="36">
        <v>2224</v>
      </c>
      <c r="C159" s="40">
        <v>4182029</v>
      </c>
    </row>
    <row r="160" spans="1:3" x14ac:dyDescent="0.2">
      <c r="A160">
        <v>2020</v>
      </c>
      <c r="B160" s="36">
        <v>2225</v>
      </c>
      <c r="C160" s="40">
        <v>7364500</v>
      </c>
    </row>
    <row r="161" spans="1:3" x14ac:dyDescent="0.2">
      <c r="A161">
        <v>2020</v>
      </c>
      <c r="B161" s="36">
        <v>2230</v>
      </c>
      <c r="C161" s="40">
        <v>5770119</v>
      </c>
    </row>
    <row r="162" spans="1:3" x14ac:dyDescent="0.2">
      <c r="A162">
        <v>2020</v>
      </c>
      <c r="B162" s="36">
        <v>2231</v>
      </c>
      <c r="C162" s="40">
        <v>2880747</v>
      </c>
    </row>
    <row r="163" spans="1:3" x14ac:dyDescent="0.2">
      <c r="A163">
        <v>2020</v>
      </c>
      <c r="B163" s="36">
        <v>2235</v>
      </c>
      <c r="C163" s="40">
        <v>633817</v>
      </c>
    </row>
    <row r="164" spans="1:3" x14ac:dyDescent="0.2">
      <c r="A164">
        <v>2020</v>
      </c>
      <c r="B164" s="36">
        <v>2239</v>
      </c>
      <c r="C164" s="40">
        <v>2717074</v>
      </c>
    </row>
    <row r="165" spans="1:3" x14ac:dyDescent="0.2">
      <c r="A165">
        <v>2020</v>
      </c>
      <c r="B165" s="36">
        <v>2240</v>
      </c>
      <c r="C165" s="40">
        <v>5358425</v>
      </c>
    </row>
    <row r="166" spans="1:3" x14ac:dyDescent="0.2">
      <c r="A166">
        <v>2020</v>
      </c>
      <c r="B166" s="36">
        <v>2241</v>
      </c>
      <c r="C166" s="40">
        <v>811242</v>
      </c>
    </row>
    <row r="167" spans="1:3" x14ac:dyDescent="0.2">
      <c r="A167">
        <v>2020</v>
      </c>
      <c r="B167" s="36">
        <v>2242</v>
      </c>
      <c r="C167" s="40">
        <v>1394381</v>
      </c>
    </row>
    <row r="168" spans="1:3" x14ac:dyDescent="0.2">
      <c r="A168">
        <v>2020</v>
      </c>
      <c r="B168" s="36">
        <v>2243</v>
      </c>
      <c r="C168" s="40">
        <v>1421594</v>
      </c>
    </row>
    <row r="169" spans="1:3" x14ac:dyDescent="0.2">
      <c r="A169">
        <v>2020</v>
      </c>
      <c r="B169" s="36">
        <v>2244</v>
      </c>
      <c r="C169" s="40">
        <v>880751</v>
      </c>
    </row>
    <row r="170" spans="1:3" x14ac:dyDescent="0.2">
      <c r="A170">
        <v>2020</v>
      </c>
      <c r="B170" s="36">
        <v>2245</v>
      </c>
      <c r="C170" s="40">
        <v>2347671</v>
      </c>
    </row>
    <row r="171" spans="1:3" x14ac:dyDescent="0.2">
      <c r="A171">
        <v>2020</v>
      </c>
      <c r="B171" s="36">
        <v>2250</v>
      </c>
      <c r="C171" s="40">
        <v>1336255</v>
      </c>
    </row>
    <row r="172" spans="1:3" x14ac:dyDescent="0.2">
      <c r="A172">
        <v>2020</v>
      </c>
      <c r="B172" s="36">
        <v>2255</v>
      </c>
      <c r="C172" s="40">
        <v>4270139</v>
      </c>
    </row>
    <row r="173" spans="1:3" x14ac:dyDescent="0.2">
      <c r="A173">
        <v>2020</v>
      </c>
      <c r="B173" s="36">
        <v>2260</v>
      </c>
      <c r="C173" s="40">
        <v>2934750</v>
      </c>
    </row>
    <row r="174" spans="1:3" x14ac:dyDescent="0.2">
      <c r="A174">
        <v>2020</v>
      </c>
      <c r="B174" s="36">
        <v>2266</v>
      </c>
      <c r="C174" s="40">
        <v>2428649</v>
      </c>
    </row>
    <row r="175" spans="1:3" x14ac:dyDescent="0.2">
      <c r="A175">
        <v>2020</v>
      </c>
      <c r="B175" s="36">
        <v>2268</v>
      </c>
      <c r="C175" s="40">
        <v>1298794</v>
      </c>
    </row>
    <row r="176" spans="1:3" x14ac:dyDescent="0.2">
      <c r="A176">
        <v>2020</v>
      </c>
      <c r="B176" s="36">
        <v>2270</v>
      </c>
      <c r="C176" s="40">
        <v>2389443</v>
      </c>
    </row>
    <row r="177" spans="1:3" x14ac:dyDescent="0.2">
      <c r="A177">
        <v>2020</v>
      </c>
      <c r="B177" s="36">
        <v>2271</v>
      </c>
      <c r="C177" s="40">
        <v>1647203</v>
      </c>
    </row>
    <row r="178" spans="1:3" x14ac:dyDescent="0.2">
      <c r="A178">
        <v>2020</v>
      </c>
      <c r="B178" s="36">
        <v>2272</v>
      </c>
      <c r="C178" s="40">
        <v>2428840</v>
      </c>
    </row>
    <row r="179" spans="1:3" x14ac:dyDescent="0.2">
      <c r="A179">
        <v>2020</v>
      </c>
      <c r="B179" s="36">
        <v>2275</v>
      </c>
      <c r="C179" s="40">
        <v>4636993</v>
      </c>
    </row>
    <row r="180" spans="1:3" x14ac:dyDescent="0.2">
      <c r="A180">
        <v>2020</v>
      </c>
      <c r="B180" s="36">
        <v>2280</v>
      </c>
      <c r="C180" s="40">
        <v>1502330</v>
      </c>
    </row>
    <row r="181" spans="1:3" x14ac:dyDescent="0.2">
      <c r="A181">
        <v>2020</v>
      </c>
      <c r="B181" s="36">
        <v>2281</v>
      </c>
      <c r="C181" s="40">
        <v>897051</v>
      </c>
    </row>
    <row r="182" spans="1:3" x14ac:dyDescent="0.2">
      <c r="A182">
        <v>2020</v>
      </c>
      <c r="B182" s="36">
        <v>2282</v>
      </c>
      <c r="C182" s="40">
        <v>3956743</v>
      </c>
    </row>
    <row r="183" spans="1:3" x14ac:dyDescent="0.2">
      <c r="A183">
        <v>2020</v>
      </c>
      <c r="B183" s="36">
        <v>2285</v>
      </c>
      <c r="C183" s="40">
        <v>5928746</v>
      </c>
    </row>
    <row r="184" spans="1:3" x14ac:dyDescent="0.2">
      <c r="A184">
        <v>2020</v>
      </c>
      <c r="B184" s="36">
        <v>2286</v>
      </c>
      <c r="C184" s="40">
        <v>3153686</v>
      </c>
    </row>
    <row r="185" spans="1:3" x14ac:dyDescent="0.2">
      <c r="A185">
        <v>2020</v>
      </c>
      <c r="B185" s="36">
        <v>2288</v>
      </c>
      <c r="C185" s="40">
        <v>1828183</v>
      </c>
    </row>
    <row r="186" spans="1:3" x14ac:dyDescent="0.2">
      <c r="A186">
        <v>2020</v>
      </c>
      <c r="B186" s="36">
        <v>2289</v>
      </c>
      <c r="C186" s="40">
        <v>5981209</v>
      </c>
    </row>
    <row r="187" spans="1:3" x14ac:dyDescent="0.2">
      <c r="A187">
        <v>2020</v>
      </c>
      <c r="B187" s="36">
        <v>2290</v>
      </c>
      <c r="C187" s="40">
        <v>3441428</v>
      </c>
    </row>
    <row r="188" spans="1:3" x14ac:dyDescent="0.2">
      <c r="A188">
        <v>2020</v>
      </c>
      <c r="B188" s="36">
        <v>2295</v>
      </c>
      <c r="C188" s="40">
        <v>1632443</v>
      </c>
    </row>
    <row r="189" spans="1:3" x14ac:dyDescent="0.2">
      <c r="A189">
        <v>2020</v>
      </c>
      <c r="B189" s="36">
        <v>2300</v>
      </c>
      <c r="C189" s="40">
        <v>2979963</v>
      </c>
    </row>
    <row r="190" spans="1:3" x14ac:dyDescent="0.2">
      <c r="A190">
        <v>2020</v>
      </c>
      <c r="B190" s="36">
        <v>2305</v>
      </c>
      <c r="C190" s="40">
        <v>807603</v>
      </c>
    </row>
    <row r="191" spans="1:3" x14ac:dyDescent="0.2">
      <c r="A191">
        <v>2020</v>
      </c>
      <c r="B191" s="36">
        <v>2310</v>
      </c>
      <c r="C191" s="40">
        <v>8443927</v>
      </c>
    </row>
    <row r="192" spans="1:3" x14ac:dyDescent="0.2">
      <c r="A192">
        <v>2020</v>
      </c>
      <c r="B192" s="36">
        <v>2315</v>
      </c>
      <c r="C192" s="40">
        <v>1471310</v>
      </c>
    </row>
    <row r="193" spans="1:3" x14ac:dyDescent="0.2">
      <c r="A193">
        <v>2020</v>
      </c>
      <c r="B193" s="36">
        <v>2317</v>
      </c>
      <c r="C193" s="40">
        <v>1446582</v>
      </c>
    </row>
    <row r="194" spans="1:3" x14ac:dyDescent="0.2">
      <c r="A194">
        <v>2020</v>
      </c>
      <c r="B194" s="36">
        <v>2320</v>
      </c>
      <c r="C194" s="40">
        <v>5820453</v>
      </c>
    </row>
    <row r="195" spans="1:3" x14ac:dyDescent="0.2">
      <c r="A195">
        <v>2020</v>
      </c>
      <c r="B195" s="36">
        <v>2325</v>
      </c>
      <c r="C195" s="40">
        <v>5299149</v>
      </c>
    </row>
    <row r="196" spans="1:3" x14ac:dyDescent="0.2">
      <c r="A196">
        <v>2020</v>
      </c>
      <c r="B196" s="36">
        <v>2328</v>
      </c>
      <c r="C196" s="40">
        <v>1134330</v>
      </c>
    </row>
    <row r="197" spans="1:3" x14ac:dyDescent="0.2">
      <c r="A197">
        <v>2020</v>
      </c>
      <c r="B197" s="36">
        <v>2330</v>
      </c>
      <c r="C197" s="40">
        <v>3051898</v>
      </c>
    </row>
    <row r="198" spans="1:3" x14ac:dyDescent="0.2">
      <c r="A198">
        <v>2020</v>
      </c>
      <c r="B198" s="36">
        <v>2335</v>
      </c>
      <c r="C198" s="40">
        <v>3479836</v>
      </c>
    </row>
    <row r="199" spans="1:3" x14ac:dyDescent="0.2">
      <c r="A199">
        <v>2020</v>
      </c>
      <c r="B199" s="36">
        <v>2338</v>
      </c>
      <c r="C199" s="40">
        <v>4727858</v>
      </c>
    </row>
    <row r="200" spans="1:3" x14ac:dyDescent="0.2">
      <c r="A200">
        <v>2020</v>
      </c>
      <c r="B200" s="36">
        <v>2339</v>
      </c>
      <c r="C200" s="40">
        <v>1340623</v>
      </c>
    </row>
    <row r="201" spans="1:3" x14ac:dyDescent="0.2">
      <c r="A201">
        <v>2020</v>
      </c>
      <c r="B201" s="36">
        <v>2340</v>
      </c>
      <c r="C201" s="40">
        <v>1611159</v>
      </c>
    </row>
    <row r="202" spans="1:3" x14ac:dyDescent="0.2">
      <c r="A202">
        <v>2020</v>
      </c>
      <c r="B202" s="36">
        <v>2345</v>
      </c>
      <c r="C202" s="40">
        <v>1968055</v>
      </c>
    </row>
    <row r="203" spans="1:3" x14ac:dyDescent="0.2">
      <c r="A203">
        <v>2020</v>
      </c>
      <c r="B203" s="36">
        <v>2350</v>
      </c>
      <c r="C203" s="40">
        <v>5586168</v>
      </c>
    </row>
    <row r="204" spans="1:3" x14ac:dyDescent="0.2">
      <c r="A204">
        <v>2020</v>
      </c>
      <c r="B204" s="36">
        <v>2355</v>
      </c>
      <c r="C204" s="40">
        <v>3768389</v>
      </c>
    </row>
    <row r="205" spans="1:3" x14ac:dyDescent="0.2">
      <c r="A205">
        <v>2020</v>
      </c>
      <c r="B205" s="36">
        <v>2360</v>
      </c>
      <c r="C205" s="40">
        <v>2807092</v>
      </c>
    </row>
    <row r="206" spans="1:3" x14ac:dyDescent="0.2">
      <c r="A206">
        <v>2020</v>
      </c>
      <c r="B206" s="36">
        <v>2361</v>
      </c>
      <c r="C206" s="40">
        <v>1206998</v>
      </c>
    </row>
    <row r="207" spans="1:3" x14ac:dyDescent="0.2">
      <c r="A207">
        <v>2020</v>
      </c>
      <c r="B207" s="36">
        <v>2362</v>
      </c>
      <c r="C207" s="40">
        <v>1457224</v>
      </c>
    </row>
    <row r="208" spans="1:3" x14ac:dyDescent="0.2">
      <c r="A208">
        <v>2020</v>
      </c>
      <c r="B208" s="36">
        <v>2363</v>
      </c>
      <c r="C208" s="40">
        <v>873329</v>
      </c>
    </row>
    <row r="209" spans="1:3" x14ac:dyDescent="0.2">
      <c r="A209">
        <v>2020</v>
      </c>
      <c r="B209" s="36">
        <v>2364</v>
      </c>
      <c r="C209" s="40">
        <v>1773129</v>
      </c>
    </row>
    <row r="210" spans="1:3" x14ac:dyDescent="0.2">
      <c r="A210">
        <v>2020</v>
      </c>
      <c r="B210" s="36">
        <v>2365</v>
      </c>
      <c r="C210" s="40">
        <v>8371577</v>
      </c>
    </row>
    <row r="211" spans="1:3" x14ac:dyDescent="0.2">
      <c r="A211">
        <v>2020</v>
      </c>
      <c r="B211" s="36">
        <v>2370</v>
      </c>
      <c r="C211" s="40">
        <v>1398549</v>
      </c>
    </row>
    <row r="212" spans="1:3" x14ac:dyDescent="0.2">
      <c r="A212">
        <v>2020</v>
      </c>
      <c r="B212" s="36">
        <v>2375</v>
      </c>
      <c r="C212" s="40">
        <v>1103896</v>
      </c>
    </row>
    <row r="213" spans="1:3" x14ac:dyDescent="0.2">
      <c r="A213">
        <v>2020</v>
      </c>
      <c r="B213" s="36">
        <v>2377</v>
      </c>
      <c r="C213" s="40">
        <v>1704841</v>
      </c>
    </row>
    <row r="214" spans="1:3" x14ac:dyDescent="0.2">
      <c r="A214">
        <v>2020</v>
      </c>
      <c r="B214" s="36">
        <v>2378</v>
      </c>
      <c r="C214" s="40">
        <v>8798639</v>
      </c>
    </row>
    <row r="215" spans="1:3" x14ac:dyDescent="0.2">
      <c r="A215">
        <v>2020</v>
      </c>
      <c r="B215" s="36">
        <v>2379</v>
      </c>
      <c r="C215" s="40">
        <v>9069775</v>
      </c>
    </row>
    <row r="216" spans="1:3" x14ac:dyDescent="0.2">
      <c r="A216">
        <v>2020</v>
      </c>
      <c r="B216" s="36">
        <v>2380</v>
      </c>
      <c r="C216" s="40">
        <v>3436176</v>
      </c>
    </row>
    <row r="217" spans="1:3" x14ac:dyDescent="0.2">
      <c r="A217">
        <v>2020</v>
      </c>
      <c r="B217" s="36">
        <v>2381</v>
      </c>
      <c r="C217" s="40">
        <v>1791908</v>
      </c>
    </row>
    <row r="218" spans="1:3" x14ac:dyDescent="0.2">
      <c r="A218">
        <v>2020</v>
      </c>
      <c r="B218" s="36">
        <v>2383</v>
      </c>
      <c r="C218" s="40">
        <v>6371183</v>
      </c>
    </row>
    <row r="219" spans="1:3" x14ac:dyDescent="0.2">
      <c r="A219">
        <v>2020</v>
      </c>
      <c r="B219" s="36">
        <v>2384</v>
      </c>
      <c r="C219" s="40">
        <v>3994208</v>
      </c>
    </row>
    <row r="220" spans="1:3" x14ac:dyDescent="0.2">
      <c r="A220">
        <v>2020</v>
      </c>
      <c r="B220" s="36">
        <v>2385</v>
      </c>
      <c r="C220" s="40">
        <v>2567495</v>
      </c>
    </row>
    <row r="221" spans="1:3" x14ac:dyDescent="0.2">
      <c r="A221">
        <v>2020</v>
      </c>
      <c r="B221" s="36">
        <v>2389</v>
      </c>
      <c r="C221" s="40">
        <v>2393005</v>
      </c>
    </row>
    <row r="222" spans="1:3" x14ac:dyDescent="0.2">
      <c r="A222">
        <v>2020</v>
      </c>
      <c r="B222" s="36">
        <v>2390</v>
      </c>
      <c r="C222" s="40">
        <v>4811140</v>
      </c>
    </row>
    <row r="223" spans="1:3" x14ac:dyDescent="0.2">
      <c r="A223">
        <v>2020</v>
      </c>
      <c r="B223" s="36">
        <v>2391</v>
      </c>
      <c r="C223" s="40">
        <v>2450249</v>
      </c>
    </row>
    <row r="224" spans="1:3" x14ac:dyDescent="0.2">
      <c r="A224">
        <v>2020</v>
      </c>
      <c r="B224" s="36">
        <v>2394</v>
      </c>
      <c r="C224" s="40">
        <v>1677568</v>
      </c>
    </row>
    <row r="225" spans="1:3" x14ac:dyDescent="0.2">
      <c r="A225">
        <v>2020</v>
      </c>
      <c r="B225" s="36">
        <v>2395</v>
      </c>
      <c r="C225" s="40">
        <v>1423950</v>
      </c>
    </row>
    <row r="226" spans="1:3" x14ac:dyDescent="0.2">
      <c r="A226">
        <v>2020</v>
      </c>
      <c r="B226" s="36">
        <v>2396</v>
      </c>
      <c r="C226" s="40">
        <v>1017342</v>
      </c>
    </row>
    <row r="227" spans="1:3" x14ac:dyDescent="0.2">
      <c r="A227">
        <v>2020</v>
      </c>
      <c r="B227" s="36">
        <v>2400</v>
      </c>
      <c r="C227" s="40">
        <v>8633615</v>
      </c>
    </row>
    <row r="228" spans="1:3" x14ac:dyDescent="0.2">
      <c r="A228">
        <v>2020</v>
      </c>
      <c r="B228" s="36">
        <v>2401</v>
      </c>
      <c r="C228" s="40">
        <v>2015977</v>
      </c>
    </row>
    <row r="229" spans="1:3" x14ac:dyDescent="0.2">
      <c r="A229">
        <v>2020</v>
      </c>
      <c r="B229" s="36">
        <v>2402</v>
      </c>
      <c r="C229" s="40">
        <v>4776045</v>
      </c>
    </row>
    <row r="230" spans="1:3" x14ac:dyDescent="0.2">
      <c r="A230">
        <v>2020</v>
      </c>
      <c r="B230" s="36">
        <v>2403</v>
      </c>
      <c r="C230" s="40">
        <v>2306037</v>
      </c>
    </row>
    <row r="231" spans="1:3" x14ac:dyDescent="0.2">
      <c r="A231">
        <v>2020</v>
      </c>
      <c r="B231" s="36">
        <v>2405</v>
      </c>
      <c r="C231" s="40">
        <v>3107240</v>
      </c>
    </row>
    <row r="232" spans="1:3" x14ac:dyDescent="0.2">
      <c r="A232">
        <v>2020</v>
      </c>
      <c r="B232" s="36">
        <v>2406</v>
      </c>
      <c r="C232" s="40">
        <v>4084350</v>
      </c>
    </row>
    <row r="233" spans="1:3" x14ac:dyDescent="0.2">
      <c r="A233">
        <v>2020</v>
      </c>
      <c r="B233" s="36">
        <v>2408</v>
      </c>
      <c r="C233" s="40">
        <v>4462360</v>
      </c>
    </row>
    <row r="234" spans="1:3" x14ac:dyDescent="0.2">
      <c r="A234">
        <v>2020</v>
      </c>
      <c r="B234" s="36">
        <v>2409</v>
      </c>
      <c r="C234" s="40">
        <v>912918</v>
      </c>
    </row>
    <row r="235" spans="1:3" x14ac:dyDescent="0.2">
      <c r="A235">
        <v>2020</v>
      </c>
      <c r="B235" s="36">
        <v>2410</v>
      </c>
      <c r="C235" s="40">
        <v>5824124</v>
      </c>
    </row>
    <row r="236" spans="1:3" x14ac:dyDescent="0.2">
      <c r="A236">
        <v>2020</v>
      </c>
      <c r="B236" s="36">
        <v>2415</v>
      </c>
      <c r="C236" s="40">
        <v>6228523</v>
      </c>
    </row>
    <row r="237" spans="1:3" x14ac:dyDescent="0.2">
      <c r="A237">
        <v>2020</v>
      </c>
      <c r="B237" s="36">
        <v>2420</v>
      </c>
      <c r="C237" s="40">
        <v>3237151</v>
      </c>
    </row>
    <row r="238" spans="1:3" x14ac:dyDescent="0.2">
      <c r="A238">
        <v>2020</v>
      </c>
      <c r="B238" s="36">
        <v>2425</v>
      </c>
      <c r="C238" s="40">
        <v>5896607</v>
      </c>
    </row>
    <row r="239" spans="1:3" x14ac:dyDescent="0.2">
      <c r="A239">
        <v>2020</v>
      </c>
      <c r="B239" s="36">
        <v>2426</v>
      </c>
      <c r="C239" s="40">
        <v>1653853</v>
      </c>
    </row>
    <row r="240" spans="1:3" x14ac:dyDescent="0.2">
      <c r="A240">
        <v>2020</v>
      </c>
      <c r="B240" s="36">
        <v>2428</v>
      </c>
      <c r="C240" s="40">
        <v>3413902</v>
      </c>
    </row>
    <row r="241" spans="1:3" x14ac:dyDescent="0.2">
      <c r="A241">
        <v>2020</v>
      </c>
      <c r="B241" s="36">
        <v>2430</v>
      </c>
      <c r="C241" s="40">
        <v>5069642</v>
      </c>
    </row>
    <row r="242" spans="1:3" x14ac:dyDescent="0.2">
      <c r="A242">
        <v>2020</v>
      </c>
      <c r="B242" s="36">
        <v>2435</v>
      </c>
      <c r="C242" s="40">
        <v>1293624</v>
      </c>
    </row>
    <row r="243" spans="1:3" x14ac:dyDescent="0.2">
      <c r="A243">
        <v>2020</v>
      </c>
      <c r="B243" s="36">
        <v>2440</v>
      </c>
      <c r="C243" s="40">
        <v>2187076</v>
      </c>
    </row>
    <row r="244" spans="1:3" x14ac:dyDescent="0.2">
      <c r="A244">
        <v>2020</v>
      </c>
      <c r="B244" s="36">
        <v>2441</v>
      </c>
      <c r="C244" s="40">
        <v>1304855</v>
      </c>
    </row>
    <row r="245" spans="1:3" x14ac:dyDescent="0.2">
      <c r="A245">
        <v>2020</v>
      </c>
      <c r="B245" s="36">
        <v>2445</v>
      </c>
      <c r="C245" s="40">
        <v>6660287</v>
      </c>
    </row>
    <row r="246" spans="1:3" x14ac:dyDescent="0.2">
      <c r="A246">
        <v>2020</v>
      </c>
      <c r="B246" s="36">
        <v>2450</v>
      </c>
      <c r="C246" s="40">
        <v>2564816</v>
      </c>
    </row>
    <row r="247" spans="1:3" x14ac:dyDescent="0.2">
      <c r="A247">
        <v>2020</v>
      </c>
      <c r="B247" s="36">
        <v>2455</v>
      </c>
      <c r="C247" s="40">
        <v>3152994</v>
      </c>
    </row>
    <row r="248" spans="1:3" x14ac:dyDescent="0.2">
      <c r="A248">
        <v>2020</v>
      </c>
      <c r="B248" s="36">
        <v>2458</v>
      </c>
      <c r="C248" s="40">
        <v>3070461</v>
      </c>
    </row>
    <row r="249" spans="1:3" x14ac:dyDescent="0.2">
      <c r="A249">
        <v>2020</v>
      </c>
      <c r="B249" s="36">
        <v>2460</v>
      </c>
      <c r="C249" s="40">
        <v>1146743</v>
      </c>
    </row>
    <row r="250" spans="1:3" x14ac:dyDescent="0.2">
      <c r="A250">
        <v>2020</v>
      </c>
      <c r="B250" s="36">
        <v>2464</v>
      </c>
      <c r="C250" s="40">
        <v>1012440</v>
      </c>
    </row>
    <row r="251" spans="1:3" x14ac:dyDescent="0.2">
      <c r="A251">
        <v>2020</v>
      </c>
      <c r="B251" s="36">
        <v>2465</v>
      </c>
      <c r="C251" s="40">
        <v>538092</v>
      </c>
    </row>
    <row r="252" spans="1:3" x14ac:dyDescent="0.2">
      <c r="A252">
        <v>2020</v>
      </c>
      <c r="B252" s="36">
        <v>2466</v>
      </c>
      <c r="C252" s="40">
        <v>1252033</v>
      </c>
    </row>
    <row r="253" spans="1:3" x14ac:dyDescent="0.2">
      <c r="A253">
        <v>2020</v>
      </c>
      <c r="B253" s="36">
        <v>2467</v>
      </c>
      <c r="C253" s="40">
        <v>1771668</v>
      </c>
    </row>
    <row r="254" spans="1:3" x14ac:dyDescent="0.2">
      <c r="A254">
        <v>2020</v>
      </c>
      <c r="B254" s="36">
        <v>2468</v>
      </c>
      <c r="C254" s="40">
        <v>1374746</v>
      </c>
    </row>
    <row r="255" spans="1:3" x14ac:dyDescent="0.2">
      <c r="A255">
        <v>2020</v>
      </c>
      <c r="B255" s="36">
        <v>2469</v>
      </c>
      <c r="C255" s="40">
        <v>4134559</v>
      </c>
    </row>
    <row r="256" spans="1:3" x14ac:dyDescent="0.2">
      <c r="A256">
        <v>2020</v>
      </c>
      <c r="B256" s="36">
        <v>2470</v>
      </c>
      <c r="C256" s="40">
        <v>3511781</v>
      </c>
    </row>
    <row r="257" spans="1:3" x14ac:dyDescent="0.2">
      <c r="A257">
        <v>2020</v>
      </c>
      <c r="B257" s="36">
        <v>2471</v>
      </c>
      <c r="C257" s="40">
        <v>3854563</v>
      </c>
    </row>
    <row r="258" spans="1:3" x14ac:dyDescent="0.2">
      <c r="A258">
        <v>2020</v>
      </c>
      <c r="B258" s="36">
        <v>2475</v>
      </c>
      <c r="C258" s="40">
        <v>5786070</v>
      </c>
    </row>
    <row r="259" spans="1:3" x14ac:dyDescent="0.2">
      <c r="A259">
        <v>2020</v>
      </c>
      <c r="B259" s="36">
        <v>2480</v>
      </c>
      <c r="C259" s="40">
        <v>1833997</v>
      </c>
    </row>
    <row r="260" spans="1:3" x14ac:dyDescent="0.2">
      <c r="A260">
        <v>2020</v>
      </c>
      <c r="B260" s="36">
        <v>2485</v>
      </c>
      <c r="C260" s="40">
        <v>4091207</v>
      </c>
    </row>
    <row r="261" spans="1:3" x14ac:dyDescent="0.2">
      <c r="A261">
        <v>2020</v>
      </c>
      <c r="B261" s="36">
        <v>2490</v>
      </c>
      <c r="C261" s="40">
        <v>5995287</v>
      </c>
    </row>
    <row r="262" spans="1:3" x14ac:dyDescent="0.2">
      <c r="A262">
        <v>2020</v>
      </c>
      <c r="B262" s="36">
        <v>2495</v>
      </c>
      <c r="C262" s="40">
        <v>778908</v>
      </c>
    </row>
    <row r="263" spans="1:3" x14ac:dyDescent="0.2">
      <c r="A263">
        <v>2020</v>
      </c>
      <c r="B263" s="36">
        <v>2497</v>
      </c>
      <c r="C263" s="40">
        <v>1908298</v>
      </c>
    </row>
    <row r="264" spans="1:3" x14ac:dyDescent="0.2">
      <c r="A264">
        <v>2020</v>
      </c>
      <c r="B264" s="36">
        <v>2498</v>
      </c>
      <c r="C264" s="40">
        <v>1665712</v>
      </c>
    </row>
    <row r="265" spans="1:3" x14ac:dyDescent="0.2">
      <c r="A265">
        <v>2020</v>
      </c>
      <c r="B265" s="36">
        <v>2500</v>
      </c>
      <c r="C265" s="40">
        <v>4864440</v>
      </c>
    </row>
    <row r="266" spans="1:3" x14ac:dyDescent="0.2">
      <c r="A266">
        <v>2020</v>
      </c>
      <c r="B266" s="36">
        <v>2504</v>
      </c>
      <c r="C266" s="40">
        <v>2957118</v>
      </c>
    </row>
    <row r="267" spans="1:3" x14ac:dyDescent="0.2">
      <c r="A267">
        <v>2020</v>
      </c>
      <c r="B267" s="36">
        <v>2505</v>
      </c>
      <c r="C267" s="40">
        <v>3969898</v>
      </c>
    </row>
    <row r="268" spans="1:3" x14ac:dyDescent="0.2">
      <c r="A268">
        <v>2020</v>
      </c>
      <c r="B268" s="36">
        <v>2507</v>
      </c>
      <c r="C268" s="40">
        <v>791089</v>
      </c>
    </row>
    <row r="269" spans="1:3" x14ac:dyDescent="0.2">
      <c r="A269">
        <v>2020</v>
      </c>
      <c r="B269" s="36">
        <v>2508</v>
      </c>
      <c r="C269" s="40">
        <v>2124456</v>
      </c>
    </row>
    <row r="270" spans="1:3" x14ac:dyDescent="0.2">
      <c r="A270">
        <v>2020</v>
      </c>
      <c r="B270" s="36">
        <v>2509</v>
      </c>
      <c r="C270" s="40">
        <v>3912670</v>
      </c>
    </row>
    <row r="271" spans="1:3" x14ac:dyDescent="0.2">
      <c r="A271">
        <v>2020</v>
      </c>
      <c r="B271" s="36">
        <v>2510</v>
      </c>
      <c r="C271" s="40">
        <v>1623813</v>
      </c>
    </row>
    <row r="272" spans="1:3" x14ac:dyDescent="0.2">
      <c r="A272">
        <v>2020</v>
      </c>
      <c r="B272" s="36">
        <v>2512</v>
      </c>
      <c r="C272" s="40">
        <v>11398220</v>
      </c>
    </row>
    <row r="273" spans="1:3" x14ac:dyDescent="0.2">
      <c r="A273">
        <v>2020</v>
      </c>
      <c r="B273" s="36">
        <v>2514</v>
      </c>
      <c r="C273" s="40">
        <v>1092551</v>
      </c>
    </row>
    <row r="274" spans="1:3" x14ac:dyDescent="0.2">
      <c r="A274">
        <v>2020</v>
      </c>
      <c r="B274" s="36">
        <v>2515</v>
      </c>
      <c r="C274" s="40">
        <v>974544</v>
      </c>
    </row>
    <row r="275" spans="1:3" x14ac:dyDescent="0.2">
      <c r="A275">
        <v>2020</v>
      </c>
      <c r="B275" s="36">
        <v>2520</v>
      </c>
      <c r="C275" s="40">
        <v>2183139</v>
      </c>
    </row>
    <row r="276" spans="1:3" x14ac:dyDescent="0.2">
      <c r="A276">
        <v>2020</v>
      </c>
      <c r="B276" s="36">
        <v>2525</v>
      </c>
      <c r="C276" s="40">
        <v>3134585</v>
      </c>
    </row>
    <row r="277" spans="1:3" x14ac:dyDescent="0.2">
      <c r="A277">
        <v>2020</v>
      </c>
      <c r="B277" s="36">
        <v>2530</v>
      </c>
      <c r="C277" s="40">
        <v>6079523</v>
      </c>
    </row>
    <row r="278" spans="1:3" x14ac:dyDescent="0.2">
      <c r="A278">
        <v>2020</v>
      </c>
      <c r="B278" s="36">
        <v>2533</v>
      </c>
      <c r="C278" s="40">
        <v>1491235</v>
      </c>
    </row>
    <row r="279" spans="1:3" x14ac:dyDescent="0.2">
      <c r="A279">
        <v>2020</v>
      </c>
      <c r="B279" s="36">
        <v>2535</v>
      </c>
      <c r="C279" s="40">
        <v>1803688</v>
      </c>
    </row>
    <row r="280" spans="1:3" x14ac:dyDescent="0.2">
      <c r="A280">
        <v>2020</v>
      </c>
      <c r="B280" s="36">
        <v>2540</v>
      </c>
      <c r="C280" s="40">
        <v>4195329</v>
      </c>
    </row>
    <row r="281" spans="1:3" x14ac:dyDescent="0.2">
      <c r="A281">
        <v>2020</v>
      </c>
      <c r="B281" s="36">
        <v>2541</v>
      </c>
      <c r="C281" s="40">
        <v>2583639</v>
      </c>
    </row>
    <row r="282" spans="1:3" x14ac:dyDescent="0.2">
      <c r="A282">
        <v>2020</v>
      </c>
      <c r="B282" s="36">
        <v>2542</v>
      </c>
      <c r="C282" s="40">
        <v>1511334</v>
      </c>
    </row>
    <row r="283" spans="1:3" x14ac:dyDescent="0.2">
      <c r="A283">
        <v>2020</v>
      </c>
      <c r="B283" s="36">
        <v>2545</v>
      </c>
      <c r="C283" s="40">
        <v>783802</v>
      </c>
    </row>
    <row r="284" spans="1:3" x14ac:dyDescent="0.2">
      <c r="A284">
        <v>2020</v>
      </c>
      <c r="B284" s="36">
        <v>2547</v>
      </c>
      <c r="C284" s="40">
        <v>6080676</v>
      </c>
    </row>
    <row r="285" spans="1:3" x14ac:dyDescent="0.2">
      <c r="A285">
        <v>2020</v>
      </c>
      <c r="B285" s="36">
        <v>2550</v>
      </c>
      <c r="C285" s="40">
        <v>649459</v>
      </c>
    </row>
    <row r="286" spans="1:3" x14ac:dyDescent="0.2">
      <c r="A286">
        <v>2020</v>
      </c>
      <c r="B286" s="36">
        <v>2551</v>
      </c>
      <c r="C286" s="40">
        <v>1025916</v>
      </c>
    </row>
    <row r="287" spans="1:3" x14ac:dyDescent="0.2">
      <c r="A287">
        <v>2020</v>
      </c>
      <c r="B287" s="36">
        <v>2555</v>
      </c>
      <c r="C287" s="40">
        <v>1021055</v>
      </c>
    </row>
    <row r="288" spans="1:3" x14ac:dyDescent="0.2">
      <c r="A288">
        <v>2020</v>
      </c>
      <c r="B288" s="36">
        <v>2557</v>
      </c>
      <c r="C288" s="40">
        <v>8907408</v>
      </c>
    </row>
    <row r="289" spans="1:3" x14ac:dyDescent="0.2">
      <c r="A289">
        <v>2020</v>
      </c>
      <c r="B289" s="36">
        <v>2559</v>
      </c>
      <c r="C289" s="40">
        <v>856886</v>
      </c>
    </row>
    <row r="290" spans="1:3" x14ac:dyDescent="0.2">
      <c r="A290">
        <v>2020</v>
      </c>
      <c r="B290" s="36">
        <v>2560</v>
      </c>
      <c r="C290" s="40">
        <v>1077844</v>
      </c>
    </row>
    <row r="291" spans="1:3" x14ac:dyDescent="0.2">
      <c r="A291">
        <v>2020</v>
      </c>
      <c r="B291" s="36">
        <v>2561</v>
      </c>
      <c r="C291" s="40">
        <v>3490976</v>
      </c>
    </row>
    <row r="292" spans="1:3" x14ac:dyDescent="0.2">
      <c r="A292">
        <v>2020</v>
      </c>
      <c r="B292" s="36">
        <v>2562</v>
      </c>
      <c r="C292" s="40">
        <v>4267142</v>
      </c>
    </row>
    <row r="293" spans="1:3" x14ac:dyDescent="0.2">
      <c r="A293">
        <v>2020</v>
      </c>
      <c r="B293" s="36">
        <v>2563</v>
      </c>
      <c r="C293" s="40">
        <v>4551675</v>
      </c>
    </row>
    <row r="294" spans="1:3" x14ac:dyDescent="0.2">
      <c r="A294">
        <v>2020</v>
      </c>
      <c r="B294" s="36">
        <v>2564</v>
      </c>
      <c r="C294" s="40">
        <v>6279139</v>
      </c>
    </row>
    <row r="295" spans="1:3" x14ac:dyDescent="0.2">
      <c r="A295">
        <v>2020</v>
      </c>
      <c r="B295" s="36">
        <v>2565</v>
      </c>
      <c r="C295" s="40">
        <v>3457555</v>
      </c>
    </row>
    <row r="296" spans="1:3" x14ac:dyDescent="0.2">
      <c r="A296">
        <v>2020</v>
      </c>
      <c r="B296" s="36">
        <v>2570</v>
      </c>
      <c r="C296" s="40">
        <v>2445483</v>
      </c>
    </row>
    <row r="297" spans="1:3" x14ac:dyDescent="0.2">
      <c r="A297">
        <v>2020</v>
      </c>
      <c r="B297" s="36">
        <v>2573</v>
      </c>
      <c r="C297" s="40">
        <v>2572731</v>
      </c>
    </row>
    <row r="298" spans="1:3" x14ac:dyDescent="0.2">
      <c r="A298">
        <v>2020</v>
      </c>
      <c r="B298" s="36">
        <v>2574</v>
      </c>
      <c r="C298" s="40">
        <v>834425</v>
      </c>
    </row>
    <row r="299" spans="1:3" x14ac:dyDescent="0.2">
      <c r="A299">
        <v>2020</v>
      </c>
      <c r="B299" s="36">
        <v>2575</v>
      </c>
      <c r="C299" s="40">
        <v>9040301</v>
      </c>
    </row>
    <row r="300" spans="1:3" x14ac:dyDescent="0.2">
      <c r="A300">
        <v>2020</v>
      </c>
      <c r="B300" s="36">
        <v>2576</v>
      </c>
      <c r="C300" s="40">
        <v>1803503</v>
      </c>
    </row>
    <row r="301" spans="1:3" x14ac:dyDescent="0.2">
      <c r="A301">
        <v>2020</v>
      </c>
      <c r="B301" s="36">
        <v>2580</v>
      </c>
      <c r="C301" s="40">
        <v>4779212</v>
      </c>
    </row>
    <row r="302" spans="1:3" x14ac:dyDescent="0.2">
      <c r="A302">
        <v>2020</v>
      </c>
      <c r="B302" s="36">
        <v>2582</v>
      </c>
      <c r="C302" s="40">
        <v>1028020</v>
      </c>
    </row>
    <row r="303" spans="1:3" x14ac:dyDescent="0.2">
      <c r="A303">
        <v>2020</v>
      </c>
      <c r="B303" s="36">
        <v>2584</v>
      </c>
      <c r="C303" s="40">
        <v>2840890</v>
      </c>
    </row>
    <row r="304" spans="1:3" x14ac:dyDescent="0.2">
      <c r="A304">
        <v>2020</v>
      </c>
      <c r="B304" s="36">
        <v>2585</v>
      </c>
      <c r="C304" s="40">
        <v>9391502</v>
      </c>
    </row>
    <row r="305" spans="1:3" x14ac:dyDescent="0.2">
      <c r="A305">
        <v>2020</v>
      </c>
      <c r="B305" s="36">
        <v>2590</v>
      </c>
      <c r="C305" s="40">
        <v>3205591</v>
      </c>
    </row>
    <row r="306" spans="1:3" x14ac:dyDescent="0.2">
      <c r="A306">
        <v>2020</v>
      </c>
      <c r="B306" s="36">
        <v>2593</v>
      </c>
      <c r="C306" s="40">
        <v>7799597</v>
      </c>
    </row>
    <row r="307" spans="1:3" x14ac:dyDescent="0.2">
      <c r="A307">
        <v>2020</v>
      </c>
      <c r="B307" s="36">
        <v>2595</v>
      </c>
      <c r="C307" s="40">
        <v>606010</v>
      </c>
    </row>
    <row r="308" spans="1:3" x14ac:dyDescent="0.2">
      <c r="A308">
        <v>2020</v>
      </c>
      <c r="B308" s="36">
        <v>2600</v>
      </c>
      <c r="C308" s="40">
        <v>1228849</v>
      </c>
    </row>
    <row r="309" spans="1:3" x14ac:dyDescent="0.2">
      <c r="A309">
        <v>2020</v>
      </c>
      <c r="B309" s="36">
        <v>2605</v>
      </c>
      <c r="C309" s="40">
        <v>558238</v>
      </c>
    </row>
    <row r="310" spans="1:3" x14ac:dyDescent="0.2">
      <c r="A310">
        <v>2020</v>
      </c>
      <c r="B310" s="36">
        <v>2610</v>
      </c>
      <c r="C310" s="40">
        <v>7992083</v>
      </c>
    </row>
    <row r="311" spans="1:3" x14ac:dyDescent="0.2">
      <c r="A311">
        <v>2020</v>
      </c>
      <c r="B311" s="36">
        <v>2611</v>
      </c>
      <c r="C311" s="40">
        <v>2203966</v>
      </c>
    </row>
    <row r="312" spans="1:3" x14ac:dyDescent="0.2">
      <c r="A312">
        <v>2020</v>
      </c>
      <c r="B312" s="36">
        <v>2612</v>
      </c>
      <c r="C312" s="40">
        <v>2452815</v>
      </c>
    </row>
    <row r="313" spans="1:3" x14ac:dyDescent="0.2">
      <c r="A313">
        <v>2020</v>
      </c>
      <c r="B313" s="36">
        <v>2613</v>
      </c>
      <c r="C313" s="40">
        <v>2543529</v>
      </c>
    </row>
    <row r="314" spans="1:3" x14ac:dyDescent="0.2">
      <c r="A314">
        <v>2020</v>
      </c>
      <c r="B314" s="36">
        <v>2614</v>
      </c>
      <c r="C314" s="40">
        <v>3095068</v>
      </c>
    </row>
    <row r="315" spans="1:3" x14ac:dyDescent="0.2">
      <c r="A315">
        <v>2020</v>
      </c>
      <c r="B315" s="36">
        <v>2615</v>
      </c>
      <c r="C315" s="40">
        <v>8818647</v>
      </c>
    </row>
    <row r="316" spans="1:3" x14ac:dyDescent="0.2">
      <c r="A316">
        <v>2020</v>
      </c>
      <c r="B316" s="36">
        <v>2616</v>
      </c>
      <c r="C316" s="40">
        <v>2944335</v>
      </c>
    </row>
    <row r="317" spans="1:3" x14ac:dyDescent="0.2">
      <c r="A317">
        <v>2020</v>
      </c>
      <c r="B317" s="36">
        <v>2617</v>
      </c>
      <c r="C317" s="40">
        <v>3294241</v>
      </c>
    </row>
    <row r="318" spans="1:3" x14ac:dyDescent="0.2">
      <c r="A318">
        <v>2020</v>
      </c>
      <c r="B318" s="36">
        <v>2618</v>
      </c>
      <c r="C318" s="40">
        <v>801689</v>
      </c>
    </row>
    <row r="319" spans="1:3" x14ac:dyDescent="0.2">
      <c r="A319">
        <v>2020</v>
      </c>
      <c r="B319" s="36">
        <v>2619</v>
      </c>
      <c r="C319" s="40">
        <v>1724129</v>
      </c>
    </row>
    <row r="320" spans="1:3" x14ac:dyDescent="0.2">
      <c r="A320">
        <v>2020</v>
      </c>
      <c r="B320" s="36">
        <v>2620</v>
      </c>
      <c r="C320" s="40">
        <v>615827</v>
      </c>
    </row>
    <row r="321" spans="1:3" x14ac:dyDescent="0.2">
      <c r="A321">
        <v>2020</v>
      </c>
      <c r="B321" s="36">
        <v>2625</v>
      </c>
      <c r="C321" s="40">
        <v>1044710</v>
      </c>
    </row>
    <row r="322" spans="1:3" x14ac:dyDescent="0.2">
      <c r="A322">
        <v>2020</v>
      </c>
      <c r="B322" s="36">
        <v>2626</v>
      </c>
      <c r="C322" s="40">
        <v>695326</v>
      </c>
    </row>
    <row r="323" spans="1:3" x14ac:dyDescent="0.2">
      <c r="A323">
        <v>2020</v>
      </c>
      <c r="B323" s="36">
        <v>2630</v>
      </c>
      <c r="C323" s="40">
        <v>868438</v>
      </c>
    </row>
    <row r="324" spans="1:3" x14ac:dyDescent="0.2">
      <c r="A324">
        <v>2020</v>
      </c>
      <c r="B324" s="36">
        <v>2632</v>
      </c>
      <c r="C324" s="40">
        <v>1534831</v>
      </c>
    </row>
    <row r="325" spans="1:3" x14ac:dyDescent="0.2">
      <c r="A325">
        <v>2020</v>
      </c>
      <c r="B325" s="36">
        <v>2633</v>
      </c>
      <c r="C325" s="40">
        <v>5912660</v>
      </c>
    </row>
    <row r="326" spans="1:3" x14ac:dyDescent="0.2">
      <c r="A326">
        <v>2020</v>
      </c>
      <c r="B326" s="36">
        <v>2635</v>
      </c>
      <c r="C326" s="40">
        <v>772661</v>
      </c>
    </row>
    <row r="327" spans="1:3" x14ac:dyDescent="0.2">
      <c r="A327">
        <v>2020</v>
      </c>
      <c r="B327" s="36">
        <v>2640</v>
      </c>
      <c r="C327" s="40">
        <v>1974623</v>
      </c>
    </row>
    <row r="328" spans="1:3" x14ac:dyDescent="0.2">
      <c r="A328">
        <v>2020</v>
      </c>
      <c r="B328" s="36">
        <v>2641</v>
      </c>
      <c r="C328" s="40">
        <v>1189042</v>
      </c>
    </row>
    <row r="329" spans="1:3" x14ac:dyDescent="0.2">
      <c r="A329">
        <v>2020</v>
      </c>
      <c r="B329" s="36">
        <v>2642</v>
      </c>
      <c r="C329" s="40">
        <v>4558627</v>
      </c>
    </row>
    <row r="330" spans="1:3" x14ac:dyDescent="0.2">
      <c r="A330">
        <v>2020</v>
      </c>
      <c r="B330" s="36">
        <v>2643</v>
      </c>
      <c r="C330" s="40">
        <v>4415616</v>
      </c>
    </row>
    <row r="331" spans="1:3" x14ac:dyDescent="0.2">
      <c r="A331">
        <v>2020</v>
      </c>
      <c r="B331" s="36">
        <v>2644</v>
      </c>
      <c r="C331" s="40">
        <v>3949019</v>
      </c>
    </row>
    <row r="332" spans="1:3" x14ac:dyDescent="0.2">
      <c r="A332">
        <v>2020</v>
      </c>
      <c r="B332" s="36">
        <v>2645</v>
      </c>
      <c r="C332" s="40">
        <v>5115692</v>
      </c>
    </row>
    <row r="333" spans="1:3" x14ac:dyDescent="0.2">
      <c r="A333">
        <v>2020</v>
      </c>
      <c r="B333" s="36">
        <v>2648</v>
      </c>
      <c r="C333" s="40">
        <v>930495</v>
      </c>
    </row>
    <row r="334" spans="1:3" x14ac:dyDescent="0.2">
      <c r="A334">
        <v>2020</v>
      </c>
      <c r="B334" s="36">
        <v>2649</v>
      </c>
      <c r="C334" s="40">
        <v>2089059</v>
      </c>
    </row>
    <row r="335" spans="1:3" x14ac:dyDescent="0.2">
      <c r="A335">
        <v>2020</v>
      </c>
      <c r="B335" s="36">
        <v>2650</v>
      </c>
      <c r="C335" s="40">
        <v>476353</v>
      </c>
    </row>
    <row r="336" spans="1:3" x14ac:dyDescent="0.2">
      <c r="A336">
        <v>2020</v>
      </c>
      <c r="B336" s="36">
        <v>2651</v>
      </c>
      <c r="C336" s="40">
        <v>7526043</v>
      </c>
    </row>
    <row r="337" spans="1:3" x14ac:dyDescent="0.2">
      <c r="A337">
        <v>2020</v>
      </c>
      <c r="B337" s="36">
        <v>2652</v>
      </c>
      <c r="C337" s="40">
        <v>821454</v>
      </c>
    </row>
    <row r="338" spans="1:3" x14ac:dyDescent="0.2">
      <c r="A338">
        <v>2020</v>
      </c>
      <c r="B338" s="36">
        <v>2653</v>
      </c>
      <c r="C338" s="40">
        <v>1207753</v>
      </c>
    </row>
    <row r="339" spans="1:3" x14ac:dyDescent="0.2">
      <c r="A339">
        <v>2020</v>
      </c>
      <c r="B339" s="36">
        <v>2654</v>
      </c>
      <c r="C339" s="40">
        <v>8022493</v>
      </c>
    </row>
    <row r="340" spans="1:3" x14ac:dyDescent="0.2">
      <c r="A340">
        <v>2020</v>
      </c>
      <c r="B340" s="36">
        <v>2655</v>
      </c>
      <c r="C340" s="40">
        <v>4291533</v>
      </c>
    </row>
    <row r="341" spans="1:3" x14ac:dyDescent="0.2">
      <c r="A341">
        <v>2020</v>
      </c>
      <c r="B341" s="36">
        <v>2656</v>
      </c>
      <c r="C341" s="40">
        <v>4049962</v>
      </c>
    </row>
    <row r="342" spans="1:3" x14ac:dyDescent="0.2">
      <c r="A342">
        <v>2020</v>
      </c>
      <c r="B342" s="36">
        <v>3032</v>
      </c>
      <c r="C342" s="40">
        <v>608760</v>
      </c>
    </row>
    <row r="343" spans="1:3" x14ac:dyDescent="0.2">
      <c r="A343">
        <v>2020</v>
      </c>
      <c r="B343" s="36">
        <v>3041</v>
      </c>
      <c r="C343" s="40">
        <v>234156</v>
      </c>
    </row>
    <row r="344" spans="1:3" x14ac:dyDescent="0.2">
      <c r="A344">
        <v>2020</v>
      </c>
      <c r="B344" s="36">
        <v>3042</v>
      </c>
      <c r="C344" s="40">
        <v>625891</v>
      </c>
    </row>
    <row r="345" spans="1:3" x14ac:dyDescent="0.2">
      <c r="A345">
        <v>2020</v>
      </c>
      <c r="B345" s="36">
        <v>3043</v>
      </c>
      <c r="C345" s="40">
        <v>663028</v>
      </c>
    </row>
    <row r="346" spans="1:3" x14ac:dyDescent="0.2">
      <c r="A346">
        <v>2020</v>
      </c>
      <c r="B346" s="36">
        <v>3044</v>
      </c>
      <c r="C346" s="40">
        <v>456777</v>
      </c>
    </row>
    <row r="347" spans="1:3" x14ac:dyDescent="0.2">
      <c r="A347">
        <v>2020</v>
      </c>
      <c r="B347" s="36">
        <v>3048</v>
      </c>
      <c r="C347" s="40">
        <v>217503</v>
      </c>
    </row>
    <row r="348" spans="1:3" x14ac:dyDescent="0.2">
      <c r="A348">
        <v>2020</v>
      </c>
      <c r="B348" s="36">
        <v>3077</v>
      </c>
      <c r="C348" s="40">
        <v>570467</v>
      </c>
    </row>
    <row r="349" spans="1:3" x14ac:dyDescent="0.2">
      <c r="A349">
        <v>2020</v>
      </c>
      <c r="B349" s="36">
        <v>3078</v>
      </c>
      <c r="C349" s="40">
        <v>249043</v>
      </c>
    </row>
    <row r="350" spans="1:3" x14ac:dyDescent="0.2">
      <c r="A350">
        <v>2020</v>
      </c>
      <c r="B350" s="36">
        <v>3079</v>
      </c>
      <c r="C350" s="40">
        <v>148583</v>
      </c>
    </row>
    <row r="351" spans="1:3" x14ac:dyDescent="0.2">
      <c r="A351">
        <v>2020</v>
      </c>
      <c r="B351" s="36">
        <v>3081</v>
      </c>
      <c r="C351" s="40">
        <v>266941</v>
      </c>
    </row>
    <row r="352" spans="1:3" x14ac:dyDescent="0.2">
      <c r="A352">
        <v>2020</v>
      </c>
      <c r="B352" s="36">
        <v>3082</v>
      </c>
      <c r="C352" s="40">
        <v>514575</v>
      </c>
    </row>
    <row r="353" spans="1:3" x14ac:dyDescent="0.2">
      <c r="A353">
        <v>2020</v>
      </c>
      <c r="B353" s="36">
        <v>3101</v>
      </c>
      <c r="C353" s="40">
        <v>244424</v>
      </c>
    </row>
    <row r="354" spans="1:3" x14ac:dyDescent="0.2">
      <c r="A354">
        <v>2020</v>
      </c>
      <c r="B354" s="36">
        <v>3105</v>
      </c>
      <c r="C354" s="40">
        <v>239429</v>
      </c>
    </row>
    <row r="355" spans="1:3" x14ac:dyDescent="0.2">
      <c r="A355">
        <v>2020</v>
      </c>
      <c r="B355" s="36">
        <v>3106</v>
      </c>
      <c r="C355" s="40">
        <v>434989</v>
      </c>
    </row>
    <row r="356" spans="1:3" x14ac:dyDescent="0.2">
      <c r="A356">
        <v>2020</v>
      </c>
      <c r="B356" s="36">
        <v>3107</v>
      </c>
      <c r="C356" s="40">
        <v>403068</v>
      </c>
    </row>
    <row r="357" spans="1:3" x14ac:dyDescent="0.2">
      <c r="A357">
        <v>2020</v>
      </c>
      <c r="B357" s="36">
        <v>3126</v>
      </c>
      <c r="C357" s="40">
        <v>433326</v>
      </c>
    </row>
    <row r="358" spans="1:3" x14ac:dyDescent="0.2">
      <c r="A358">
        <v>2020</v>
      </c>
      <c r="B358" s="36">
        <v>3128</v>
      </c>
      <c r="C358" s="40">
        <v>392215</v>
      </c>
    </row>
    <row r="359" spans="1:3" x14ac:dyDescent="0.2">
      <c r="A359">
        <v>2020</v>
      </c>
      <c r="B359" s="36">
        <v>3178</v>
      </c>
      <c r="C359" s="40">
        <v>705512</v>
      </c>
    </row>
    <row r="360" spans="1:3" x14ac:dyDescent="0.2">
      <c r="A360">
        <v>2020</v>
      </c>
      <c r="B360" s="36">
        <v>3179</v>
      </c>
      <c r="C360" s="40">
        <v>534685</v>
      </c>
    </row>
    <row r="361" spans="1:3" x14ac:dyDescent="0.2">
      <c r="A361">
        <v>2020</v>
      </c>
      <c r="B361" s="36">
        <v>3201</v>
      </c>
      <c r="C361" s="40">
        <v>269688</v>
      </c>
    </row>
    <row r="362" spans="1:3" x14ac:dyDescent="0.2">
      <c r="A362">
        <v>2020</v>
      </c>
      <c r="B362" s="36">
        <v>3202</v>
      </c>
      <c r="C362" s="40">
        <v>509721</v>
      </c>
    </row>
    <row r="363" spans="1:3" x14ac:dyDescent="0.2">
      <c r="A363">
        <v>2020</v>
      </c>
      <c r="B363" s="36">
        <v>3204</v>
      </c>
      <c r="C363" s="40">
        <v>510947</v>
      </c>
    </row>
    <row r="364" spans="1:3" x14ac:dyDescent="0.2">
      <c r="A364">
        <v>2020</v>
      </c>
      <c r="B364" s="36">
        <v>3206</v>
      </c>
      <c r="C364" s="40">
        <v>594231</v>
      </c>
    </row>
    <row r="365" spans="1:3" x14ac:dyDescent="0.2">
      <c r="A365">
        <v>2020</v>
      </c>
      <c r="B365" s="36">
        <v>3208</v>
      </c>
      <c r="C365" s="40">
        <v>243835</v>
      </c>
    </row>
    <row r="366" spans="1:3" x14ac:dyDescent="0.2">
      <c r="A366">
        <v>2020</v>
      </c>
      <c r="B366" s="36">
        <v>3226</v>
      </c>
      <c r="C366" s="40">
        <v>662220</v>
      </c>
    </row>
    <row r="367" spans="1:3" x14ac:dyDescent="0.2">
      <c r="A367">
        <v>2020</v>
      </c>
      <c r="B367" s="36">
        <v>3229</v>
      </c>
      <c r="C367" s="40">
        <v>419844</v>
      </c>
    </row>
    <row r="368" spans="1:3" x14ac:dyDescent="0.2">
      <c r="A368">
        <v>2020</v>
      </c>
      <c r="B368" s="36">
        <v>3231</v>
      </c>
      <c r="C368" s="40">
        <v>615994</v>
      </c>
    </row>
    <row r="369" spans="1:3" x14ac:dyDescent="0.2">
      <c r="A369">
        <v>2020</v>
      </c>
      <c r="B369" s="36">
        <v>3232</v>
      </c>
      <c r="C369" s="40">
        <v>298290</v>
      </c>
    </row>
    <row r="370" spans="1:3" x14ac:dyDescent="0.2">
      <c r="A370">
        <v>2020</v>
      </c>
      <c r="B370" s="36">
        <v>3276</v>
      </c>
      <c r="C370" s="40">
        <v>629122</v>
      </c>
    </row>
    <row r="371" spans="1:3" x14ac:dyDescent="0.2">
      <c r="A371">
        <v>2020</v>
      </c>
      <c r="B371" s="36">
        <v>3277</v>
      </c>
      <c r="C371" s="40">
        <v>685801</v>
      </c>
    </row>
    <row r="372" spans="1:3" x14ac:dyDescent="0.2">
      <c r="A372">
        <v>2020</v>
      </c>
      <c r="B372" s="36">
        <v>3278</v>
      </c>
      <c r="C372" s="40">
        <v>491406</v>
      </c>
    </row>
    <row r="373" spans="1:3" x14ac:dyDescent="0.2">
      <c r="A373">
        <v>2020</v>
      </c>
      <c r="B373" s="36">
        <v>3280</v>
      </c>
      <c r="C373" s="40">
        <v>524966</v>
      </c>
    </row>
    <row r="374" spans="1:3" x14ac:dyDescent="0.2">
      <c r="A374">
        <v>2020</v>
      </c>
      <c r="B374" s="36">
        <v>3281</v>
      </c>
      <c r="C374" s="40">
        <v>626193</v>
      </c>
    </row>
    <row r="375" spans="1:3" x14ac:dyDescent="0.2">
      <c r="A375">
        <v>2020</v>
      </c>
      <c r="B375" s="36">
        <v>3284</v>
      </c>
      <c r="C375" s="40">
        <v>625903</v>
      </c>
    </row>
    <row r="376" spans="1:3" x14ac:dyDescent="0.2">
      <c r="A376">
        <v>2020</v>
      </c>
      <c r="B376" s="36">
        <v>3303</v>
      </c>
      <c r="C376" s="40">
        <v>628388</v>
      </c>
    </row>
    <row r="377" spans="1:3" x14ac:dyDescent="0.2">
      <c r="A377">
        <v>2020</v>
      </c>
      <c r="B377" s="36">
        <v>3304</v>
      </c>
      <c r="C377" s="40">
        <v>315753</v>
      </c>
    </row>
    <row r="378" spans="1:3" x14ac:dyDescent="0.2">
      <c r="A378">
        <v>2020</v>
      </c>
      <c r="B378" s="36">
        <v>3305</v>
      </c>
      <c r="C378" s="40">
        <v>418906</v>
      </c>
    </row>
    <row r="379" spans="1:3" x14ac:dyDescent="0.2">
      <c r="A379">
        <v>2020</v>
      </c>
      <c r="B379" s="36">
        <v>3306</v>
      </c>
      <c r="C379" s="40">
        <v>416431</v>
      </c>
    </row>
    <row r="380" spans="1:3" x14ac:dyDescent="0.2">
      <c r="A380">
        <v>2020</v>
      </c>
      <c r="B380" s="36">
        <v>3307</v>
      </c>
      <c r="C380" s="40">
        <v>143608</v>
      </c>
    </row>
    <row r="381" spans="1:3" x14ac:dyDescent="0.2">
      <c r="A381">
        <v>2020</v>
      </c>
      <c r="B381" s="36">
        <v>3308</v>
      </c>
      <c r="C381" s="40">
        <v>340718</v>
      </c>
    </row>
    <row r="382" spans="1:3" x14ac:dyDescent="0.2">
      <c r="A382">
        <v>2020</v>
      </c>
      <c r="B382" s="36">
        <v>3309</v>
      </c>
      <c r="C382" s="40">
        <v>589454</v>
      </c>
    </row>
    <row r="383" spans="1:3" x14ac:dyDescent="0.2">
      <c r="A383">
        <v>2020</v>
      </c>
      <c r="B383" s="36">
        <v>3326</v>
      </c>
      <c r="C383" s="40">
        <v>521158</v>
      </c>
    </row>
    <row r="384" spans="1:3" x14ac:dyDescent="0.2">
      <c r="A384">
        <v>2020</v>
      </c>
      <c r="B384" s="36">
        <v>3327</v>
      </c>
      <c r="C384" s="40">
        <v>665209</v>
      </c>
    </row>
    <row r="385" spans="1:3" x14ac:dyDescent="0.2">
      <c r="A385">
        <v>2020</v>
      </c>
      <c r="B385" s="36">
        <v>3328</v>
      </c>
      <c r="C385" s="40">
        <v>371640</v>
      </c>
    </row>
    <row r="386" spans="1:3" x14ac:dyDescent="0.2">
      <c r="A386">
        <v>2020</v>
      </c>
      <c r="B386" s="36">
        <v>3329</v>
      </c>
      <c r="C386" s="40">
        <v>462684</v>
      </c>
    </row>
    <row r="387" spans="1:3" x14ac:dyDescent="0.2">
      <c r="A387">
        <v>2020</v>
      </c>
      <c r="B387" s="36">
        <v>3330</v>
      </c>
      <c r="C387" s="40">
        <v>705694</v>
      </c>
    </row>
    <row r="388" spans="1:3" x14ac:dyDescent="0.2">
      <c r="A388">
        <v>2020</v>
      </c>
      <c r="B388" s="36">
        <v>3331</v>
      </c>
      <c r="C388" s="40">
        <v>787737</v>
      </c>
    </row>
    <row r="389" spans="1:3" x14ac:dyDescent="0.2">
      <c r="A389">
        <v>2020</v>
      </c>
      <c r="B389" s="36">
        <v>3332</v>
      </c>
      <c r="C389" s="40">
        <v>344661</v>
      </c>
    </row>
    <row r="390" spans="1:3" x14ac:dyDescent="0.2">
      <c r="A390">
        <v>2020</v>
      </c>
      <c r="B390" s="36">
        <v>3452</v>
      </c>
      <c r="C390" s="40">
        <v>860453</v>
      </c>
    </row>
    <row r="391" spans="1:3" x14ac:dyDescent="0.2">
      <c r="A391">
        <v>2020</v>
      </c>
      <c r="B391" s="36">
        <v>3453</v>
      </c>
      <c r="C391" s="40">
        <v>284583</v>
      </c>
    </row>
    <row r="392" spans="1:3" x14ac:dyDescent="0.2">
      <c r="A392">
        <v>2020</v>
      </c>
      <c r="B392" s="36">
        <v>3458</v>
      </c>
      <c r="C392" s="40">
        <v>608619</v>
      </c>
    </row>
    <row r="393" spans="1:3" x14ac:dyDescent="0.2">
      <c r="A393">
        <v>2020</v>
      </c>
      <c r="B393" s="36">
        <v>3460</v>
      </c>
      <c r="C393" s="40">
        <v>859873</v>
      </c>
    </row>
    <row r="394" spans="1:3" x14ac:dyDescent="0.2">
      <c r="A394">
        <v>2020</v>
      </c>
      <c r="B394" s="36">
        <v>3464</v>
      </c>
      <c r="C394" s="40">
        <v>239422</v>
      </c>
    </row>
    <row r="395" spans="1:3" x14ac:dyDescent="0.2">
      <c r="A395">
        <v>2020</v>
      </c>
      <c r="B395" s="36">
        <v>3465</v>
      </c>
      <c r="C395" s="40">
        <v>172790</v>
      </c>
    </row>
    <row r="396" spans="1:3" x14ac:dyDescent="0.2">
      <c r="A396">
        <v>2020</v>
      </c>
      <c r="B396" s="36">
        <v>3466</v>
      </c>
      <c r="C396" s="40">
        <v>486920</v>
      </c>
    </row>
    <row r="397" spans="1:3" x14ac:dyDescent="0.2">
      <c r="A397">
        <v>2020</v>
      </c>
      <c r="B397" s="36">
        <v>3467</v>
      </c>
      <c r="C397" s="40">
        <v>268424</v>
      </c>
    </row>
    <row r="398" spans="1:3" x14ac:dyDescent="0.2">
      <c r="A398">
        <v>2020</v>
      </c>
      <c r="B398" s="36">
        <v>3468</v>
      </c>
      <c r="C398" s="40">
        <v>49880</v>
      </c>
    </row>
    <row r="399" spans="1:3" x14ac:dyDescent="0.2">
      <c r="A399">
        <v>2020</v>
      </c>
      <c r="B399" s="36">
        <v>3471</v>
      </c>
      <c r="C399" s="40">
        <v>205866</v>
      </c>
    </row>
    <row r="400" spans="1:3" x14ac:dyDescent="0.2">
      <c r="A400">
        <v>2020</v>
      </c>
      <c r="B400" s="36">
        <v>3473</v>
      </c>
      <c r="C400" s="40">
        <v>391360</v>
      </c>
    </row>
    <row r="401" spans="1:3" x14ac:dyDescent="0.2">
      <c r="A401">
        <v>2020</v>
      </c>
      <c r="B401" s="36">
        <v>3526</v>
      </c>
      <c r="C401" s="40">
        <v>435310</v>
      </c>
    </row>
    <row r="402" spans="1:3" x14ac:dyDescent="0.2">
      <c r="A402">
        <v>2020</v>
      </c>
      <c r="B402" s="36">
        <v>3527</v>
      </c>
      <c r="C402" s="40">
        <v>394335</v>
      </c>
    </row>
    <row r="403" spans="1:3" x14ac:dyDescent="0.2">
      <c r="A403">
        <v>2020</v>
      </c>
      <c r="B403" s="36">
        <v>3528</v>
      </c>
      <c r="C403" s="40">
        <v>352428</v>
      </c>
    </row>
    <row r="404" spans="1:3" x14ac:dyDescent="0.2">
      <c r="A404">
        <v>2020</v>
      </c>
      <c r="B404" s="36">
        <v>3531</v>
      </c>
      <c r="C404" s="40">
        <v>553810</v>
      </c>
    </row>
    <row r="405" spans="1:3" x14ac:dyDescent="0.2">
      <c r="A405">
        <v>2020</v>
      </c>
      <c r="B405" s="36">
        <v>3552</v>
      </c>
      <c r="C405" s="40">
        <v>170018</v>
      </c>
    </row>
    <row r="406" spans="1:3" x14ac:dyDescent="0.2">
      <c r="A406">
        <v>2020</v>
      </c>
      <c r="B406" s="36">
        <v>3559</v>
      </c>
      <c r="C406" s="40">
        <v>399149</v>
      </c>
    </row>
    <row r="407" spans="1:3" x14ac:dyDescent="0.2">
      <c r="A407">
        <v>2020</v>
      </c>
      <c r="B407" s="36">
        <v>3560</v>
      </c>
      <c r="C407" s="40">
        <v>508526</v>
      </c>
    </row>
    <row r="408" spans="1:3" x14ac:dyDescent="0.2">
      <c r="A408">
        <v>2020</v>
      </c>
      <c r="B408" s="36">
        <v>3561</v>
      </c>
      <c r="C408" s="40">
        <v>572592</v>
      </c>
    </row>
    <row r="409" spans="1:3" x14ac:dyDescent="0.2">
      <c r="A409">
        <v>2020</v>
      </c>
      <c r="B409" s="36">
        <v>3576</v>
      </c>
      <c r="C409" s="40">
        <v>224293</v>
      </c>
    </row>
    <row r="410" spans="1:3" x14ac:dyDescent="0.2">
      <c r="A410">
        <v>2020</v>
      </c>
      <c r="B410" s="36">
        <v>3577</v>
      </c>
      <c r="C410" s="40">
        <v>514166</v>
      </c>
    </row>
    <row r="411" spans="1:3" x14ac:dyDescent="0.2">
      <c r="A411">
        <v>2020</v>
      </c>
      <c r="B411" s="36">
        <v>3579</v>
      </c>
      <c r="C411" s="40">
        <v>265561</v>
      </c>
    </row>
    <row r="412" spans="1:3" x14ac:dyDescent="0.2">
      <c r="A412">
        <v>2020</v>
      </c>
      <c r="B412" s="36">
        <v>3585</v>
      </c>
      <c r="C412" s="40">
        <v>571499</v>
      </c>
    </row>
    <row r="413" spans="1:3" x14ac:dyDescent="0.2">
      <c r="A413">
        <v>2020</v>
      </c>
      <c r="B413" s="36">
        <v>3586</v>
      </c>
      <c r="C413" s="40">
        <v>658532</v>
      </c>
    </row>
    <row r="414" spans="1:3" x14ac:dyDescent="0.2">
      <c r="A414">
        <v>2020</v>
      </c>
      <c r="B414" s="36">
        <v>3589</v>
      </c>
      <c r="C414" s="40">
        <v>545004</v>
      </c>
    </row>
    <row r="415" spans="1:3" x14ac:dyDescent="0.2">
      <c r="A415">
        <v>2020</v>
      </c>
      <c r="B415" s="36">
        <v>3591</v>
      </c>
      <c r="C415" s="40">
        <v>225238</v>
      </c>
    </row>
    <row r="416" spans="1:3" x14ac:dyDescent="0.2">
      <c r="A416">
        <v>2020</v>
      </c>
      <c r="B416" s="36">
        <v>3592</v>
      </c>
      <c r="C416" s="40">
        <v>529063</v>
      </c>
    </row>
    <row r="417" spans="1:3" x14ac:dyDescent="0.2">
      <c r="A417">
        <v>2020</v>
      </c>
      <c r="B417" s="36">
        <v>3593</v>
      </c>
      <c r="C417" s="40">
        <v>994252</v>
      </c>
    </row>
    <row r="418" spans="1:3" x14ac:dyDescent="0.2">
      <c r="A418">
        <v>2020</v>
      </c>
      <c r="B418" s="36">
        <v>3594</v>
      </c>
      <c r="C418" s="40">
        <v>230849</v>
      </c>
    </row>
    <row r="419" spans="1:3" x14ac:dyDescent="0.2">
      <c r="A419">
        <v>2020</v>
      </c>
      <c r="B419" s="36">
        <v>3626</v>
      </c>
      <c r="C419" s="40">
        <v>1129839</v>
      </c>
    </row>
    <row r="420" spans="1:3" x14ac:dyDescent="0.2">
      <c r="A420">
        <v>2020</v>
      </c>
      <c r="B420" s="36">
        <v>3629</v>
      </c>
      <c r="C420" s="40">
        <v>654616</v>
      </c>
    </row>
    <row r="421" spans="1:3" x14ac:dyDescent="0.2">
      <c r="A421">
        <v>2020</v>
      </c>
      <c r="B421" s="36">
        <v>3630</v>
      </c>
      <c r="C421" s="40">
        <v>1073765</v>
      </c>
    </row>
    <row r="422" spans="1:3" x14ac:dyDescent="0.2">
      <c r="A422">
        <v>2020</v>
      </c>
      <c r="B422" s="36">
        <v>3631</v>
      </c>
      <c r="C422" s="40">
        <v>912363</v>
      </c>
    </row>
    <row r="423" spans="1:3" x14ac:dyDescent="0.2">
      <c r="A423">
        <v>2020</v>
      </c>
      <c r="B423" s="36">
        <v>3632</v>
      </c>
      <c r="C423" s="40">
        <v>1656786</v>
      </c>
    </row>
    <row r="424" spans="1:3" x14ac:dyDescent="0.2">
      <c r="A424">
        <v>2020</v>
      </c>
      <c r="B424" s="36">
        <v>3635</v>
      </c>
      <c r="C424" s="40">
        <v>1069852</v>
      </c>
    </row>
    <row r="425" spans="1:3" x14ac:dyDescent="0.2">
      <c r="A425">
        <v>2020</v>
      </c>
      <c r="B425" s="36">
        <v>3636</v>
      </c>
      <c r="C425" s="40">
        <v>891557</v>
      </c>
    </row>
    <row r="426" spans="1:3" x14ac:dyDescent="0.2">
      <c r="A426">
        <v>2020</v>
      </c>
      <c r="B426" s="36">
        <v>3658</v>
      </c>
      <c r="C426" s="40">
        <v>947874</v>
      </c>
    </row>
    <row r="427" spans="1:3" x14ac:dyDescent="0.2">
      <c r="A427">
        <v>2020</v>
      </c>
      <c r="B427" s="36">
        <v>3679</v>
      </c>
      <c r="C427" s="40">
        <v>1042345</v>
      </c>
    </row>
    <row r="428" spans="1:3" x14ac:dyDescent="0.2">
      <c r="A428">
        <v>2020</v>
      </c>
      <c r="B428" s="36">
        <v>3702</v>
      </c>
      <c r="C428" s="40">
        <v>582553</v>
      </c>
    </row>
    <row r="429" spans="1:3" x14ac:dyDescent="0.2">
      <c r="A429">
        <v>2020</v>
      </c>
      <c r="B429" s="36">
        <v>3709</v>
      </c>
      <c r="C429" s="40">
        <v>457298</v>
      </c>
    </row>
    <row r="430" spans="1:3" x14ac:dyDescent="0.2">
      <c r="A430">
        <v>2020</v>
      </c>
      <c r="B430" s="36">
        <v>3805</v>
      </c>
      <c r="C430" s="40">
        <v>383336</v>
      </c>
    </row>
    <row r="431" spans="1:3" x14ac:dyDescent="0.2">
      <c r="A431">
        <v>2020</v>
      </c>
      <c r="B431" s="36">
        <v>3821</v>
      </c>
      <c r="C431" s="40">
        <v>531892</v>
      </c>
    </row>
    <row r="432" spans="1:3" x14ac:dyDescent="0.2">
      <c r="A432">
        <v>2020</v>
      </c>
      <c r="B432" s="36">
        <v>3822</v>
      </c>
      <c r="C432" s="40">
        <v>230602</v>
      </c>
    </row>
    <row r="433" spans="1:3" x14ac:dyDescent="0.2">
      <c r="A433">
        <v>2020</v>
      </c>
      <c r="B433" s="36">
        <v>3854</v>
      </c>
      <c r="C433" s="40">
        <v>1114357</v>
      </c>
    </row>
    <row r="434" spans="1:3" x14ac:dyDescent="0.2">
      <c r="A434">
        <v>2020</v>
      </c>
      <c r="B434" s="36">
        <v>3855</v>
      </c>
      <c r="C434" s="40">
        <v>598463</v>
      </c>
    </row>
    <row r="435" spans="1:3" x14ac:dyDescent="0.2">
      <c r="A435">
        <v>2020</v>
      </c>
      <c r="B435" s="36">
        <v>3856</v>
      </c>
      <c r="C435" s="40">
        <v>111428</v>
      </c>
    </row>
    <row r="436" spans="1:3" x14ac:dyDescent="0.2">
      <c r="A436">
        <v>2020</v>
      </c>
      <c r="B436" s="36">
        <v>3927</v>
      </c>
      <c r="C436" s="40">
        <v>670394</v>
      </c>
    </row>
    <row r="437" spans="1:3" x14ac:dyDescent="0.2">
      <c r="A437">
        <v>2020</v>
      </c>
      <c r="B437" s="36">
        <v>3928</v>
      </c>
      <c r="C437" s="40">
        <v>298338</v>
      </c>
    </row>
    <row r="438" spans="1:3" x14ac:dyDescent="0.2">
      <c r="A438">
        <v>2020</v>
      </c>
      <c r="B438" s="36">
        <v>3929</v>
      </c>
      <c r="C438" s="40">
        <v>589523</v>
      </c>
    </row>
    <row r="439" spans="1:3" x14ac:dyDescent="0.2">
      <c r="A439">
        <v>2020</v>
      </c>
      <c r="B439" s="36">
        <v>3930</v>
      </c>
      <c r="C439" s="40">
        <v>551905</v>
      </c>
    </row>
    <row r="440" spans="1:3" x14ac:dyDescent="0.2">
      <c r="A440">
        <v>2020</v>
      </c>
      <c r="B440" s="36">
        <v>3931</v>
      </c>
      <c r="C440" s="40">
        <v>736145</v>
      </c>
    </row>
    <row r="441" spans="1:3" x14ac:dyDescent="0.2">
      <c r="A441">
        <v>2020</v>
      </c>
      <c r="B441" s="36">
        <v>3932</v>
      </c>
      <c r="C441" s="40">
        <v>575922</v>
      </c>
    </row>
    <row r="442" spans="1:3" x14ac:dyDescent="0.2">
      <c r="A442">
        <v>2020</v>
      </c>
      <c r="B442" s="36">
        <v>3934</v>
      </c>
      <c r="C442" s="40">
        <v>107643</v>
      </c>
    </row>
    <row r="443" spans="1:3" x14ac:dyDescent="0.2">
      <c r="A443">
        <v>2020</v>
      </c>
      <c r="B443" s="36">
        <v>3979</v>
      </c>
      <c r="C443" s="40">
        <v>396234</v>
      </c>
    </row>
    <row r="444" spans="1:3" x14ac:dyDescent="0.2">
      <c r="A444">
        <v>2020</v>
      </c>
      <c r="B444" s="36">
        <v>3980</v>
      </c>
      <c r="C444" s="40">
        <v>322480</v>
      </c>
    </row>
    <row r="445" spans="1:3" x14ac:dyDescent="0.2">
      <c r="A445">
        <v>2020</v>
      </c>
      <c r="B445" s="36">
        <v>3981</v>
      </c>
      <c r="C445" s="40">
        <v>275969</v>
      </c>
    </row>
    <row r="446" spans="1:3" x14ac:dyDescent="0.2">
      <c r="A446">
        <v>2020</v>
      </c>
      <c r="B446" s="36">
        <v>3982</v>
      </c>
      <c r="C446" s="40">
        <v>121273</v>
      </c>
    </row>
    <row r="447" spans="1:3" x14ac:dyDescent="0.2">
      <c r="A447">
        <v>2020</v>
      </c>
      <c r="B447" s="36">
        <v>3983</v>
      </c>
      <c r="C447" s="40">
        <v>259146</v>
      </c>
    </row>
    <row r="448" spans="1:3" x14ac:dyDescent="0.2">
      <c r="A448">
        <v>2020</v>
      </c>
      <c r="B448" s="36">
        <v>3986</v>
      </c>
      <c r="C448" s="40">
        <v>289499</v>
      </c>
    </row>
    <row r="449" spans="1:3" x14ac:dyDescent="0.2">
      <c r="A449">
        <v>2020</v>
      </c>
      <c r="B449" s="36">
        <v>3987</v>
      </c>
      <c r="C449" s="40">
        <v>202212</v>
      </c>
    </row>
    <row r="450" spans="1:3" x14ac:dyDescent="0.2">
      <c r="A450">
        <v>2020</v>
      </c>
      <c r="B450" s="36">
        <v>3988</v>
      </c>
      <c r="C450" s="40">
        <v>236010</v>
      </c>
    </row>
    <row r="451" spans="1:3" x14ac:dyDescent="0.2">
      <c r="A451">
        <v>2020</v>
      </c>
      <c r="B451" s="36">
        <v>3989</v>
      </c>
      <c r="C451" s="40">
        <v>184872</v>
      </c>
    </row>
    <row r="452" spans="1:3" x14ac:dyDescent="0.2">
      <c r="A452">
        <v>2020</v>
      </c>
      <c r="B452" s="36">
        <v>3990</v>
      </c>
      <c r="C452" s="40">
        <v>264760</v>
      </c>
    </row>
    <row r="453" spans="1:3" x14ac:dyDescent="0.2">
      <c r="A453">
        <v>2020</v>
      </c>
      <c r="B453" s="36">
        <v>3991</v>
      </c>
      <c r="C453" s="40">
        <v>311523</v>
      </c>
    </row>
    <row r="454" spans="1:3" x14ac:dyDescent="0.2">
      <c r="A454">
        <v>2020</v>
      </c>
      <c r="B454" s="36">
        <v>3992</v>
      </c>
      <c r="C454" s="40">
        <v>282147</v>
      </c>
    </row>
    <row r="455" spans="1:3" x14ac:dyDescent="0.2">
      <c r="A455">
        <v>2020</v>
      </c>
      <c r="B455" s="36">
        <v>3994</v>
      </c>
      <c r="C455" s="40">
        <v>535150</v>
      </c>
    </row>
    <row r="456" spans="1:3" x14ac:dyDescent="0.2">
      <c r="A456">
        <v>2020</v>
      </c>
      <c r="B456" s="36">
        <v>3995</v>
      </c>
      <c r="C456" s="40">
        <v>281617</v>
      </c>
    </row>
    <row r="457" spans="1:3" x14ac:dyDescent="0.2">
      <c r="A457">
        <v>2020</v>
      </c>
      <c r="B457" s="36">
        <v>3996</v>
      </c>
      <c r="C457" s="40">
        <v>221748</v>
      </c>
    </row>
    <row r="458" spans="1:3" x14ac:dyDescent="0.2">
      <c r="A458">
        <v>2020</v>
      </c>
      <c r="B458" s="36">
        <v>3997</v>
      </c>
      <c r="C458" s="40">
        <v>248854</v>
      </c>
    </row>
    <row r="459" spans="1:3" x14ac:dyDescent="0.2">
      <c r="A459">
        <v>2020</v>
      </c>
      <c r="B459" s="36">
        <v>3998</v>
      </c>
      <c r="C459" s="40">
        <v>234056</v>
      </c>
    </row>
    <row r="460" spans="1:3" x14ac:dyDescent="0.2">
      <c r="A460">
        <v>2020</v>
      </c>
      <c r="B460" s="36">
        <v>3999</v>
      </c>
      <c r="C460" s="40">
        <v>200432</v>
      </c>
    </row>
    <row r="461" spans="1:3" x14ac:dyDescent="0.2">
      <c r="A461">
        <v>2020</v>
      </c>
      <c r="B461" s="36">
        <v>4004</v>
      </c>
      <c r="C461" s="40">
        <v>128433</v>
      </c>
    </row>
    <row r="462" spans="1:3" x14ac:dyDescent="0.2">
      <c r="A462">
        <v>2020</v>
      </c>
      <c r="B462" s="36">
        <v>4007</v>
      </c>
      <c r="C462" s="40">
        <v>193490</v>
      </c>
    </row>
    <row r="463" spans="1:3" x14ac:dyDescent="0.2">
      <c r="A463">
        <v>2020</v>
      </c>
      <c r="B463" s="36">
        <v>4008</v>
      </c>
      <c r="C463" s="40">
        <v>75149</v>
      </c>
    </row>
    <row r="464" spans="1:3" x14ac:dyDescent="0.2">
      <c r="A464">
        <v>2020</v>
      </c>
      <c r="B464" s="36">
        <v>4009</v>
      </c>
      <c r="C464" s="40">
        <v>1109556</v>
      </c>
    </row>
    <row r="465" spans="1:3" x14ac:dyDescent="0.2">
      <c r="A465">
        <v>2020</v>
      </c>
      <c r="B465" s="36">
        <v>4010</v>
      </c>
      <c r="C465" s="40">
        <v>109622</v>
      </c>
    </row>
    <row r="466" spans="1:3" x14ac:dyDescent="0.2">
      <c r="A466">
        <v>2020</v>
      </c>
      <c r="B466" s="36">
        <v>4014</v>
      </c>
      <c r="C466" s="40">
        <v>513553</v>
      </c>
    </row>
    <row r="467" spans="1:3" x14ac:dyDescent="0.2">
      <c r="A467">
        <v>2020</v>
      </c>
      <c r="B467" s="36">
        <v>4015</v>
      </c>
      <c r="C467" s="40">
        <v>309534</v>
      </c>
    </row>
    <row r="468" spans="1:3" x14ac:dyDescent="0.2">
      <c r="A468">
        <v>2020</v>
      </c>
      <c r="B468" s="36">
        <v>4020</v>
      </c>
      <c r="C468" s="40">
        <v>606550</v>
      </c>
    </row>
    <row r="469" spans="1:3" x14ac:dyDescent="0.2">
      <c r="A469">
        <v>2020</v>
      </c>
      <c r="B469" s="36">
        <v>4021</v>
      </c>
      <c r="C469" s="40">
        <v>896820</v>
      </c>
    </row>
    <row r="470" spans="1:3" x14ac:dyDescent="0.2">
      <c r="A470">
        <v>2020</v>
      </c>
      <c r="B470" s="36">
        <v>4022</v>
      </c>
      <c r="C470" s="40">
        <v>648599</v>
      </c>
    </row>
    <row r="471" spans="1:3" x14ac:dyDescent="0.2">
      <c r="A471">
        <v>2020</v>
      </c>
      <c r="B471" s="36">
        <v>4027</v>
      </c>
      <c r="C471" s="40">
        <v>552277</v>
      </c>
    </row>
    <row r="472" spans="1:3" x14ac:dyDescent="0.2">
      <c r="A472">
        <v>2020</v>
      </c>
      <c r="B472" s="36">
        <v>4028</v>
      </c>
      <c r="C472" s="40">
        <v>121007</v>
      </c>
    </row>
    <row r="473" spans="1:3" x14ac:dyDescent="0.2">
      <c r="A473">
        <v>2020</v>
      </c>
      <c r="B473" s="36">
        <v>4029</v>
      </c>
      <c r="C473" s="40">
        <v>709190</v>
      </c>
    </row>
    <row r="474" spans="1:3" x14ac:dyDescent="0.2">
      <c r="A474">
        <v>2020</v>
      </c>
      <c r="B474" s="36">
        <v>4030</v>
      </c>
      <c r="C474" s="40">
        <v>432594</v>
      </c>
    </row>
    <row r="475" spans="1:3" x14ac:dyDescent="0.2">
      <c r="A475">
        <v>2020</v>
      </c>
      <c r="B475" s="36">
        <v>4031</v>
      </c>
      <c r="C475" s="40">
        <v>378786</v>
      </c>
    </row>
    <row r="476" spans="1:3" x14ac:dyDescent="0.2">
      <c r="A476">
        <v>2020</v>
      </c>
      <c r="B476" s="36">
        <v>4034</v>
      </c>
      <c r="C476" s="40">
        <v>327878</v>
      </c>
    </row>
    <row r="477" spans="1:3" x14ac:dyDescent="0.2">
      <c r="A477">
        <v>2020</v>
      </c>
      <c r="B477" s="36">
        <v>4036</v>
      </c>
      <c r="C477" s="40">
        <v>483171</v>
      </c>
    </row>
    <row r="478" spans="1:3" x14ac:dyDescent="0.2">
      <c r="A478">
        <v>2020</v>
      </c>
      <c r="B478" s="36">
        <v>4101</v>
      </c>
      <c r="C478" s="40">
        <v>348527</v>
      </c>
    </row>
    <row r="479" spans="1:3" x14ac:dyDescent="0.2">
      <c r="A479">
        <v>2020</v>
      </c>
      <c r="B479" s="36">
        <v>4104</v>
      </c>
      <c r="C479" s="40">
        <v>302789</v>
      </c>
    </row>
    <row r="480" spans="1:3" x14ac:dyDescent="0.2">
      <c r="A480">
        <v>2020</v>
      </c>
      <c r="B480" s="36">
        <v>4124</v>
      </c>
      <c r="C480" s="40">
        <v>1734</v>
      </c>
    </row>
    <row r="481" spans="1:3" x14ac:dyDescent="0.2">
      <c r="A481">
        <v>2020</v>
      </c>
      <c r="B481" s="36">
        <v>4126</v>
      </c>
      <c r="C481" s="40">
        <v>1009686</v>
      </c>
    </row>
    <row r="482" spans="1:3" x14ac:dyDescent="0.2">
      <c r="A482">
        <v>2020</v>
      </c>
      <c r="B482" s="36">
        <v>4128</v>
      </c>
      <c r="C482" s="40">
        <v>668811</v>
      </c>
    </row>
    <row r="483" spans="1:3" x14ac:dyDescent="0.2">
      <c r="A483">
        <v>2020</v>
      </c>
      <c r="B483" s="36">
        <v>4130</v>
      </c>
      <c r="C483" s="40">
        <v>552377</v>
      </c>
    </row>
    <row r="484" spans="1:3" x14ac:dyDescent="0.2">
      <c r="A484">
        <v>2020</v>
      </c>
      <c r="B484" s="36">
        <v>4132</v>
      </c>
      <c r="C484" s="40">
        <v>257676</v>
      </c>
    </row>
    <row r="485" spans="1:3" x14ac:dyDescent="0.2">
      <c r="A485">
        <v>2020</v>
      </c>
      <c r="B485" s="36">
        <v>4134</v>
      </c>
      <c r="C485" s="40">
        <v>244630</v>
      </c>
    </row>
    <row r="486" spans="1:3" x14ac:dyDescent="0.2">
      <c r="A486">
        <v>2020</v>
      </c>
      <c r="B486" s="36">
        <v>4135</v>
      </c>
      <c r="C486" s="40">
        <v>212151</v>
      </c>
    </row>
    <row r="487" spans="1:3" x14ac:dyDescent="0.2">
      <c r="A487">
        <v>2020</v>
      </c>
      <c r="B487" s="36">
        <v>4137</v>
      </c>
      <c r="C487" s="40">
        <v>286924</v>
      </c>
    </row>
    <row r="488" spans="1:3" x14ac:dyDescent="0.2">
      <c r="A488">
        <v>2020</v>
      </c>
      <c r="B488" s="36">
        <v>4142</v>
      </c>
      <c r="C488" s="40">
        <v>914447</v>
      </c>
    </row>
    <row r="489" spans="1:3" x14ac:dyDescent="0.2">
      <c r="A489">
        <v>2020</v>
      </c>
      <c r="B489" s="36">
        <v>4143</v>
      </c>
      <c r="C489" s="40">
        <v>711573</v>
      </c>
    </row>
    <row r="490" spans="1:3" x14ac:dyDescent="0.2">
      <c r="A490">
        <v>2020</v>
      </c>
      <c r="B490" s="36">
        <v>4144</v>
      </c>
      <c r="C490" s="40">
        <v>453492</v>
      </c>
    </row>
    <row r="491" spans="1:3" x14ac:dyDescent="0.2">
      <c r="A491">
        <v>2020</v>
      </c>
      <c r="B491" s="36">
        <v>4149</v>
      </c>
      <c r="C491" s="40">
        <v>244474</v>
      </c>
    </row>
    <row r="492" spans="1:3" x14ac:dyDescent="0.2">
      <c r="A492">
        <v>2020</v>
      </c>
      <c r="B492" s="36">
        <v>4151</v>
      </c>
      <c r="C492" s="40">
        <v>642821</v>
      </c>
    </row>
    <row r="493" spans="1:3" x14ac:dyDescent="0.2">
      <c r="A493">
        <v>2020</v>
      </c>
      <c r="B493" s="36">
        <v>4152</v>
      </c>
      <c r="C493" s="40">
        <v>552256</v>
      </c>
    </row>
    <row r="494" spans="1:3" x14ac:dyDescent="0.2">
      <c r="A494">
        <v>2020</v>
      </c>
      <c r="B494" s="36">
        <v>4153</v>
      </c>
      <c r="C494" s="40">
        <v>653883</v>
      </c>
    </row>
    <row r="495" spans="1:3" x14ac:dyDescent="0.2">
      <c r="A495">
        <v>2020</v>
      </c>
      <c r="B495" s="36">
        <v>4154</v>
      </c>
      <c r="C495" s="40">
        <v>396124</v>
      </c>
    </row>
    <row r="496" spans="1:3" x14ac:dyDescent="0.2">
      <c r="A496">
        <v>2020</v>
      </c>
      <c r="B496" s="36">
        <v>4155</v>
      </c>
      <c r="C496" s="40">
        <v>508356</v>
      </c>
    </row>
    <row r="497" spans="1:3" x14ac:dyDescent="0.2">
      <c r="A497">
        <v>2020</v>
      </c>
      <c r="B497" s="36">
        <v>4178</v>
      </c>
      <c r="C497" s="40">
        <v>467141</v>
      </c>
    </row>
    <row r="498" spans="1:3" x14ac:dyDescent="0.2">
      <c r="A498">
        <v>2020</v>
      </c>
      <c r="B498" s="36">
        <v>4180</v>
      </c>
      <c r="C498" s="40">
        <v>961545</v>
      </c>
    </row>
    <row r="499" spans="1:3" x14ac:dyDescent="0.2">
      <c r="A499">
        <v>2020</v>
      </c>
      <c r="B499" s="36">
        <v>4183</v>
      </c>
      <c r="C499" s="40">
        <v>635630</v>
      </c>
    </row>
    <row r="500" spans="1:3" x14ac:dyDescent="0.2">
      <c r="A500">
        <v>2020</v>
      </c>
      <c r="B500" s="36">
        <v>4184</v>
      </c>
      <c r="C500" s="40">
        <v>617304</v>
      </c>
    </row>
    <row r="501" spans="1:3" x14ac:dyDescent="0.2">
      <c r="A501">
        <v>2020</v>
      </c>
      <c r="B501" s="36">
        <v>4202</v>
      </c>
      <c r="C501" s="40">
        <v>414835</v>
      </c>
    </row>
    <row r="502" spans="1:3" x14ac:dyDescent="0.2">
      <c r="A502">
        <v>2020</v>
      </c>
      <c r="B502" s="36">
        <v>4203</v>
      </c>
      <c r="C502" s="40">
        <v>417264</v>
      </c>
    </row>
    <row r="503" spans="1:3" x14ac:dyDescent="0.2">
      <c r="A503">
        <v>2020</v>
      </c>
      <c r="B503" s="36">
        <v>4205</v>
      </c>
      <c r="C503" s="40">
        <v>283531</v>
      </c>
    </row>
    <row r="504" spans="1:3" x14ac:dyDescent="0.2">
      <c r="A504">
        <v>2020</v>
      </c>
      <c r="B504" s="36">
        <v>4206</v>
      </c>
      <c r="C504" s="40">
        <v>272879</v>
      </c>
    </row>
    <row r="505" spans="1:3" x14ac:dyDescent="0.2">
      <c r="A505">
        <v>2020</v>
      </c>
      <c r="B505" s="36">
        <v>4208</v>
      </c>
      <c r="C505" s="40">
        <v>1404471</v>
      </c>
    </row>
    <row r="506" spans="1:3" x14ac:dyDescent="0.2">
      <c r="A506">
        <v>2020</v>
      </c>
      <c r="B506" s="36">
        <v>4258</v>
      </c>
      <c r="C506" s="40">
        <v>554903</v>
      </c>
    </row>
    <row r="507" spans="1:3" x14ac:dyDescent="0.2">
      <c r="A507">
        <v>2020</v>
      </c>
      <c r="B507" s="36">
        <v>4259</v>
      </c>
      <c r="C507" s="40">
        <v>452708</v>
      </c>
    </row>
    <row r="508" spans="1:3" x14ac:dyDescent="0.2">
      <c r="A508">
        <v>2020</v>
      </c>
      <c r="B508" s="36">
        <v>4260</v>
      </c>
      <c r="C508" s="40">
        <v>724000</v>
      </c>
    </row>
    <row r="509" spans="1:3" x14ac:dyDescent="0.2">
      <c r="A509">
        <v>2020</v>
      </c>
      <c r="B509" s="36">
        <v>4301</v>
      </c>
      <c r="C509" s="40">
        <v>1461439</v>
      </c>
    </row>
    <row r="510" spans="1:3" x14ac:dyDescent="0.2">
      <c r="A510">
        <v>2020</v>
      </c>
      <c r="B510" s="36">
        <v>4351</v>
      </c>
      <c r="C510" s="40">
        <v>2006080</v>
      </c>
    </row>
    <row r="511" spans="1:3" x14ac:dyDescent="0.2">
      <c r="A511">
        <v>2020</v>
      </c>
      <c r="B511" s="36">
        <v>4353</v>
      </c>
      <c r="C511" s="40">
        <v>1266277</v>
      </c>
    </row>
    <row r="512" spans="1:3" x14ac:dyDescent="0.2">
      <c r="A512">
        <v>2020</v>
      </c>
      <c r="B512" s="36">
        <v>4355</v>
      </c>
      <c r="C512" s="40">
        <v>2102142</v>
      </c>
    </row>
    <row r="513" spans="1:3" x14ac:dyDescent="0.2">
      <c r="A513">
        <v>2020</v>
      </c>
      <c r="B513" s="36">
        <v>4356</v>
      </c>
      <c r="C513" s="40">
        <v>3410725</v>
      </c>
    </row>
    <row r="514" spans="1:3" x14ac:dyDescent="0.2">
      <c r="A514">
        <v>2020</v>
      </c>
      <c r="B514" s="36">
        <v>4357</v>
      </c>
      <c r="C514" s="40">
        <v>1529875</v>
      </c>
    </row>
    <row r="515" spans="1:3" x14ac:dyDescent="0.2">
      <c r="A515">
        <v>2020</v>
      </c>
      <c r="B515" s="36">
        <v>4358</v>
      </c>
      <c r="C515" s="40">
        <v>1175582</v>
      </c>
    </row>
    <row r="516" spans="1:3" x14ac:dyDescent="0.2">
      <c r="A516">
        <v>2020</v>
      </c>
      <c r="B516" s="36">
        <v>4360</v>
      </c>
      <c r="C516" s="40">
        <v>1273461</v>
      </c>
    </row>
    <row r="517" spans="1:3" x14ac:dyDescent="0.2">
      <c r="A517">
        <v>2020</v>
      </c>
      <c r="B517" s="36">
        <v>4361</v>
      </c>
      <c r="C517" s="40">
        <v>2266744</v>
      </c>
    </row>
    <row r="518" spans="1:3" x14ac:dyDescent="0.2">
      <c r="A518">
        <v>2020</v>
      </c>
      <c r="B518" s="36">
        <v>4363</v>
      </c>
      <c r="C518" s="40">
        <v>1264088</v>
      </c>
    </row>
    <row r="519" spans="1:3" x14ac:dyDescent="0.2">
      <c r="A519">
        <v>2020</v>
      </c>
      <c r="B519" s="36">
        <v>4364</v>
      </c>
      <c r="C519" s="40">
        <v>1346737</v>
      </c>
    </row>
    <row r="520" spans="1:3" x14ac:dyDescent="0.2">
      <c r="A520">
        <v>2020</v>
      </c>
      <c r="B520" s="36">
        <v>4365</v>
      </c>
      <c r="C520" s="40">
        <v>978923</v>
      </c>
    </row>
    <row r="521" spans="1:3" x14ac:dyDescent="0.2">
      <c r="A521">
        <v>2020</v>
      </c>
      <c r="B521" s="36">
        <v>4366</v>
      </c>
      <c r="C521" s="40">
        <v>4715505</v>
      </c>
    </row>
    <row r="522" spans="1:3" x14ac:dyDescent="0.2">
      <c r="A522">
        <v>2020</v>
      </c>
      <c r="B522" s="36">
        <v>4367</v>
      </c>
      <c r="C522" s="40">
        <v>7934200</v>
      </c>
    </row>
    <row r="523" spans="1:3" x14ac:dyDescent="0.2">
      <c r="A523">
        <v>2020</v>
      </c>
      <c r="B523" s="36">
        <v>4368</v>
      </c>
      <c r="C523" s="40">
        <v>6226658</v>
      </c>
    </row>
    <row r="524" spans="1:3" x14ac:dyDescent="0.2">
      <c r="A524">
        <v>2020</v>
      </c>
      <c r="B524" s="36">
        <v>4428</v>
      </c>
      <c r="C524" s="40">
        <v>368746</v>
      </c>
    </row>
    <row r="525" spans="1:3" x14ac:dyDescent="0.2">
      <c r="A525">
        <v>2020</v>
      </c>
      <c r="B525" s="36">
        <v>4430</v>
      </c>
      <c r="C525" s="40">
        <v>421469</v>
      </c>
    </row>
    <row r="526" spans="1:3" x14ac:dyDescent="0.2">
      <c r="A526">
        <v>2020</v>
      </c>
      <c r="B526" s="36">
        <v>4434</v>
      </c>
      <c r="C526" s="40">
        <v>157094</v>
      </c>
    </row>
    <row r="527" spans="1:3" x14ac:dyDescent="0.2">
      <c r="A527">
        <v>2020</v>
      </c>
      <c r="B527" s="36">
        <v>4437</v>
      </c>
      <c r="C527" s="40">
        <v>580970</v>
      </c>
    </row>
    <row r="528" spans="1:3" x14ac:dyDescent="0.2">
      <c r="A528">
        <v>2020</v>
      </c>
      <c r="B528" s="36">
        <v>4438</v>
      </c>
      <c r="C528" s="40">
        <v>461100</v>
      </c>
    </row>
    <row r="529" spans="1:3" x14ac:dyDescent="0.2">
      <c r="A529">
        <v>2020</v>
      </c>
      <c r="B529" s="36">
        <v>4439</v>
      </c>
      <c r="C529" s="40">
        <v>568964</v>
      </c>
    </row>
    <row r="530" spans="1:3" x14ac:dyDescent="0.2">
      <c r="A530">
        <v>2020</v>
      </c>
      <c r="B530" s="36">
        <v>4504</v>
      </c>
      <c r="C530" s="40">
        <v>399797</v>
      </c>
    </row>
    <row r="531" spans="1:3" x14ac:dyDescent="0.2">
      <c r="A531">
        <v>2020</v>
      </c>
      <c r="B531" s="36">
        <v>4531</v>
      </c>
      <c r="C531" s="40">
        <v>547259</v>
      </c>
    </row>
    <row r="532" spans="1:3" x14ac:dyDescent="0.2">
      <c r="A532">
        <v>2020</v>
      </c>
      <c r="B532" s="36">
        <v>4532</v>
      </c>
      <c r="C532" s="40">
        <v>891644</v>
      </c>
    </row>
    <row r="533" spans="1:3" x14ac:dyDescent="0.2">
      <c r="A533">
        <v>2020</v>
      </c>
      <c r="B533" s="36">
        <v>4533</v>
      </c>
      <c r="C533" s="40">
        <v>636225</v>
      </c>
    </row>
    <row r="534" spans="1:3" x14ac:dyDescent="0.2">
      <c r="A534">
        <v>2020</v>
      </c>
      <c r="B534" s="36">
        <v>4534</v>
      </c>
      <c r="C534" s="40">
        <v>614079</v>
      </c>
    </row>
    <row r="535" spans="1:3" x14ac:dyDescent="0.2">
      <c r="A535">
        <v>2020</v>
      </c>
      <c r="B535" s="36">
        <v>4557</v>
      </c>
      <c r="C535" s="40">
        <v>330544</v>
      </c>
    </row>
    <row r="536" spans="1:3" x14ac:dyDescent="0.2">
      <c r="A536">
        <v>2020</v>
      </c>
      <c r="B536" s="36">
        <v>4582</v>
      </c>
      <c r="C536" s="40">
        <v>641229</v>
      </c>
    </row>
    <row r="537" spans="1:3" x14ac:dyDescent="0.2">
      <c r="A537">
        <v>2020</v>
      </c>
      <c r="B537" s="36">
        <v>4583</v>
      </c>
      <c r="C537" s="40">
        <v>500705</v>
      </c>
    </row>
    <row r="538" spans="1:3" x14ac:dyDescent="0.2">
      <c r="A538">
        <v>2020</v>
      </c>
      <c r="B538" s="36">
        <v>4586</v>
      </c>
      <c r="C538" s="40">
        <v>560260</v>
      </c>
    </row>
    <row r="539" spans="1:3" x14ac:dyDescent="0.2">
      <c r="A539">
        <v>2020</v>
      </c>
      <c r="B539" s="36">
        <v>4588</v>
      </c>
      <c r="C539" s="40">
        <v>499795</v>
      </c>
    </row>
    <row r="540" spans="1:3" x14ac:dyDescent="0.2">
      <c r="A540">
        <v>2020</v>
      </c>
      <c r="B540" s="36">
        <v>4590</v>
      </c>
      <c r="C540" s="40">
        <v>539182</v>
      </c>
    </row>
    <row r="541" spans="1:3" x14ac:dyDescent="0.2">
      <c r="A541">
        <v>2020</v>
      </c>
      <c r="B541" s="36">
        <v>4592</v>
      </c>
      <c r="C541" s="40">
        <v>328866</v>
      </c>
    </row>
    <row r="542" spans="1:3" x14ac:dyDescent="0.2">
      <c r="A542">
        <v>2020</v>
      </c>
      <c r="B542" s="36">
        <v>4593</v>
      </c>
      <c r="C542" s="40">
        <v>607473</v>
      </c>
    </row>
    <row r="543" spans="1:3" x14ac:dyDescent="0.2">
      <c r="A543">
        <v>2020</v>
      </c>
      <c r="B543" s="36">
        <v>4594</v>
      </c>
      <c r="C543" s="40">
        <v>628444</v>
      </c>
    </row>
    <row r="544" spans="1:3" x14ac:dyDescent="0.2">
      <c r="A544">
        <v>2020</v>
      </c>
      <c r="B544" s="36">
        <v>4595</v>
      </c>
      <c r="C544" s="40">
        <v>646405</v>
      </c>
    </row>
    <row r="545" spans="1:3" x14ac:dyDescent="0.2">
      <c r="A545">
        <v>2020</v>
      </c>
      <c r="B545" s="36">
        <v>4596</v>
      </c>
      <c r="C545" s="40">
        <v>524247</v>
      </c>
    </row>
    <row r="546" spans="1:3" x14ac:dyDescent="0.2">
      <c r="A546">
        <v>2020</v>
      </c>
      <c r="B546" s="36">
        <v>4597</v>
      </c>
      <c r="C546" s="40">
        <v>765126</v>
      </c>
    </row>
    <row r="547" spans="1:3" x14ac:dyDescent="0.2">
      <c r="A547">
        <v>2020</v>
      </c>
      <c r="B547" s="36">
        <v>4598</v>
      </c>
      <c r="C547" s="40">
        <v>700491</v>
      </c>
    </row>
    <row r="548" spans="1:3" x14ac:dyDescent="0.2">
      <c r="A548">
        <v>2020</v>
      </c>
      <c r="B548" s="36">
        <v>4604</v>
      </c>
      <c r="C548" s="40">
        <v>919233</v>
      </c>
    </row>
    <row r="549" spans="1:3" x14ac:dyDescent="0.2">
      <c r="A549">
        <v>2020</v>
      </c>
      <c r="B549" s="36">
        <v>4617</v>
      </c>
      <c r="C549" s="40">
        <v>349890</v>
      </c>
    </row>
    <row r="550" spans="1:3" x14ac:dyDescent="0.2">
      <c r="A550">
        <v>2020</v>
      </c>
      <c r="B550" s="36">
        <v>4620</v>
      </c>
      <c r="C550" s="40">
        <v>717072</v>
      </c>
    </row>
    <row r="551" spans="1:3" x14ac:dyDescent="0.2">
      <c r="A551">
        <v>2020</v>
      </c>
      <c r="B551" s="36">
        <v>4651</v>
      </c>
      <c r="C551" s="40">
        <v>787035</v>
      </c>
    </row>
    <row r="552" spans="1:3" x14ac:dyDescent="0.2">
      <c r="A552">
        <v>2020</v>
      </c>
      <c r="B552" s="36">
        <v>4653</v>
      </c>
      <c r="C552" s="40">
        <v>2598671</v>
      </c>
    </row>
    <row r="553" spans="1:3" x14ac:dyDescent="0.2">
      <c r="A553">
        <v>2020</v>
      </c>
      <c r="B553" s="36">
        <v>4654</v>
      </c>
      <c r="C553" s="40">
        <v>2831721</v>
      </c>
    </row>
    <row r="554" spans="1:3" x14ac:dyDescent="0.2">
      <c r="A554">
        <v>2020</v>
      </c>
      <c r="B554" s="36">
        <v>4662</v>
      </c>
      <c r="C554" s="40">
        <v>601586</v>
      </c>
    </row>
    <row r="555" spans="1:3" x14ac:dyDescent="0.2">
      <c r="A555">
        <v>2020</v>
      </c>
      <c r="B555" s="36">
        <v>4663</v>
      </c>
      <c r="C555" s="40">
        <v>724466</v>
      </c>
    </row>
    <row r="556" spans="1:3" x14ac:dyDescent="0.2">
      <c r="A556">
        <v>2020</v>
      </c>
      <c r="B556" s="36">
        <v>4679</v>
      </c>
      <c r="C556" s="40">
        <v>572556</v>
      </c>
    </row>
    <row r="557" spans="1:3" x14ac:dyDescent="0.2">
      <c r="A557">
        <v>2020</v>
      </c>
      <c r="B557" s="36">
        <v>4680</v>
      </c>
      <c r="C557" s="40">
        <v>464704</v>
      </c>
    </row>
    <row r="558" spans="1:3" x14ac:dyDescent="0.2">
      <c r="A558">
        <v>2020</v>
      </c>
      <c r="B558" s="36">
        <v>4701</v>
      </c>
      <c r="C558" s="40">
        <v>824905</v>
      </c>
    </row>
    <row r="559" spans="1:3" x14ac:dyDescent="0.2">
      <c r="A559">
        <v>2020</v>
      </c>
      <c r="B559" s="36">
        <v>4703</v>
      </c>
      <c r="C559" s="40">
        <v>693221</v>
      </c>
    </row>
    <row r="560" spans="1:3" x14ac:dyDescent="0.2">
      <c r="A560">
        <v>2020</v>
      </c>
      <c r="B560" s="36">
        <v>4704</v>
      </c>
      <c r="C560" s="40">
        <v>661629</v>
      </c>
    </row>
    <row r="561" spans="1:3" x14ac:dyDescent="0.2">
      <c r="A561">
        <v>2020</v>
      </c>
      <c r="B561" s="36">
        <v>4705</v>
      </c>
      <c r="C561" s="40">
        <v>906082</v>
      </c>
    </row>
    <row r="562" spans="1:3" x14ac:dyDescent="0.2">
      <c r="A562">
        <v>2020</v>
      </c>
      <c r="B562" s="36">
        <v>4854</v>
      </c>
      <c r="C562" s="40">
        <v>884630</v>
      </c>
    </row>
    <row r="563" spans="1:3" x14ac:dyDescent="0.2">
      <c r="A563">
        <v>2020</v>
      </c>
      <c r="B563" s="36">
        <v>4855</v>
      </c>
      <c r="C563" s="40">
        <v>276110</v>
      </c>
    </row>
    <row r="564" spans="1:3" x14ac:dyDescent="0.2">
      <c r="A564">
        <v>2020</v>
      </c>
      <c r="B564" s="36">
        <v>4857</v>
      </c>
      <c r="C564" s="40">
        <v>1764710</v>
      </c>
    </row>
    <row r="565" spans="1:3" x14ac:dyDescent="0.2">
      <c r="A565">
        <v>2020</v>
      </c>
      <c r="B565" s="36">
        <v>4862</v>
      </c>
      <c r="C565" s="40">
        <v>1584124</v>
      </c>
    </row>
    <row r="566" spans="1:3" x14ac:dyDescent="0.2">
      <c r="A566">
        <v>2020</v>
      </c>
      <c r="B566" s="36">
        <v>4863</v>
      </c>
      <c r="C566" s="40">
        <v>1925216</v>
      </c>
    </row>
    <row r="567" spans="1:3" x14ac:dyDescent="0.2">
      <c r="A567">
        <v>2020</v>
      </c>
      <c r="B567" s="36">
        <v>4877</v>
      </c>
      <c r="C567" s="40">
        <v>815508</v>
      </c>
    </row>
    <row r="568" spans="1:3" x14ac:dyDescent="0.2">
      <c r="A568">
        <v>2020</v>
      </c>
      <c r="B568" s="36">
        <v>4879</v>
      </c>
      <c r="C568" s="40">
        <v>612575</v>
      </c>
    </row>
    <row r="569" spans="1:3" x14ac:dyDescent="0.2">
      <c r="A569">
        <v>2020</v>
      </c>
      <c r="B569" s="36">
        <v>4883</v>
      </c>
      <c r="C569" s="40">
        <v>21011</v>
      </c>
    </row>
    <row r="570" spans="1:3" x14ac:dyDescent="0.2">
      <c r="A570">
        <v>2020</v>
      </c>
      <c r="B570" s="36">
        <v>4884</v>
      </c>
      <c r="C570" s="40">
        <v>268197</v>
      </c>
    </row>
    <row r="571" spans="1:3" x14ac:dyDescent="0.2">
      <c r="A571">
        <v>2020</v>
      </c>
      <c r="B571" s="36">
        <v>4885</v>
      </c>
      <c r="C571" s="40">
        <v>684020</v>
      </c>
    </row>
    <row r="572" spans="1:3" x14ac:dyDescent="0.2">
      <c r="A572">
        <v>2020</v>
      </c>
      <c r="B572" s="36">
        <v>4890</v>
      </c>
      <c r="C572" s="40">
        <v>1071415</v>
      </c>
    </row>
    <row r="573" spans="1:3" x14ac:dyDescent="0.2">
      <c r="A573">
        <v>2020</v>
      </c>
      <c r="B573" s="36">
        <v>4892</v>
      </c>
      <c r="C573" s="40">
        <v>981643</v>
      </c>
    </row>
    <row r="574" spans="1:3" x14ac:dyDescent="0.2">
      <c r="A574">
        <v>2020</v>
      </c>
      <c r="B574" s="36">
        <v>4894</v>
      </c>
      <c r="C574" s="40">
        <v>990977</v>
      </c>
    </row>
    <row r="575" spans="1:3" x14ac:dyDescent="0.2">
      <c r="A575">
        <v>2020</v>
      </c>
      <c r="B575" s="36">
        <v>4901</v>
      </c>
      <c r="C575" s="40">
        <v>664068</v>
      </c>
    </row>
    <row r="576" spans="1:3" x14ac:dyDescent="0.2">
      <c r="A576">
        <v>2020</v>
      </c>
      <c r="B576" s="36">
        <v>4905</v>
      </c>
      <c r="C576" s="40">
        <v>172413</v>
      </c>
    </row>
    <row r="577" spans="1:3" x14ac:dyDescent="0.2">
      <c r="A577">
        <v>2020</v>
      </c>
      <c r="B577" s="36">
        <v>4906</v>
      </c>
      <c r="C577" s="40">
        <v>890366</v>
      </c>
    </row>
    <row r="578" spans="1:3" x14ac:dyDescent="0.2">
      <c r="A578">
        <v>2020</v>
      </c>
      <c r="B578" s="36">
        <v>4907</v>
      </c>
      <c r="C578" s="40">
        <v>1377131</v>
      </c>
    </row>
    <row r="579" spans="1:3" x14ac:dyDescent="0.2">
      <c r="A579">
        <v>2020</v>
      </c>
      <c r="B579" s="36">
        <v>4908</v>
      </c>
      <c r="C579" s="40">
        <v>387608</v>
      </c>
    </row>
    <row r="580" spans="1:3" x14ac:dyDescent="0.2">
      <c r="A580">
        <v>2020</v>
      </c>
      <c r="B580" s="36">
        <v>4909</v>
      </c>
      <c r="C580" s="40">
        <v>1048775</v>
      </c>
    </row>
    <row r="581" spans="1:3" x14ac:dyDescent="0.2">
      <c r="A581">
        <v>2020</v>
      </c>
      <c r="B581" s="36">
        <v>4910</v>
      </c>
      <c r="C581" s="40">
        <v>500291</v>
      </c>
    </row>
    <row r="582" spans="1:3" x14ac:dyDescent="0.2">
      <c r="A582">
        <v>2020</v>
      </c>
      <c r="B582" s="36">
        <v>4976</v>
      </c>
      <c r="C582" s="40">
        <v>237091</v>
      </c>
    </row>
    <row r="583" spans="1:3" x14ac:dyDescent="0.2">
      <c r="A583">
        <v>2020</v>
      </c>
      <c r="B583" s="36">
        <v>4978</v>
      </c>
      <c r="C583" s="40">
        <v>271887</v>
      </c>
    </row>
    <row r="584" spans="1:3" x14ac:dyDescent="0.2">
      <c r="A584">
        <v>2020</v>
      </c>
      <c r="B584" s="36">
        <v>4979</v>
      </c>
      <c r="C584" s="40">
        <v>367204</v>
      </c>
    </row>
    <row r="585" spans="1:3" x14ac:dyDescent="0.2">
      <c r="A585">
        <v>2020</v>
      </c>
      <c r="B585" s="36">
        <v>4980</v>
      </c>
      <c r="C585" s="40">
        <v>194406</v>
      </c>
    </row>
    <row r="586" spans="1:3" x14ac:dyDescent="0.2">
      <c r="A586">
        <v>2020</v>
      </c>
      <c r="B586" s="36">
        <v>4981</v>
      </c>
      <c r="C586" s="40">
        <v>224478</v>
      </c>
    </row>
    <row r="587" spans="1:3" x14ac:dyDescent="0.2">
      <c r="A587">
        <v>2020</v>
      </c>
      <c r="B587" s="36">
        <v>4982</v>
      </c>
      <c r="C587" s="40">
        <v>341355</v>
      </c>
    </row>
    <row r="588" spans="1:3" x14ac:dyDescent="0.2">
      <c r="A588">
        <v>2020</v>
      </c>
      <c r="B588" s="36">
        <v>4983</v>
      </c>
      <c r="C588" s="40">
        <v>270876</v>
      </c>
    </row>
    <row r="589" spans="1:3" x14ac:dyDescent="0.2">
      <c r="A589">
        <v>2020</v>
      </c>
      <c r="B589" s="36">
        <v>5001</v>
      </c>
      <c r="C589" s="40">
        <v>547456</v>
      </c>
    </row>
    <row r="590" spans="1:3" x14ac:dyDescent="0.2">
      <c r="A590">
        <v>2020</v>
      </c>
      <c r="B590" s="36">
        <v>5002</v>
      </c>
      <c r="C590" s="40">
        <v>340798</v>
      </c>
    </row>
    <row r="591" spans="1:3" x14ac:dyDescent="0.2">
      <c r="A591">
        <v>2020</v>
      </c>
      <c r="B591" s="36">
        <v>5003</v>
      </c>
      <c r="C591" s="40">
        <v>429116</v>
      </c>
    </row>
    <row r="592" spans="1:3" x14ac:dyDescent="0.2">
      <c r="A592">
        <v>2020</v>
      </c>
      <c r="B592" s="36">
        <v>5026</v>
      </c>
      <c r="C592" s="40">
        <v>303941</v>
      </c>
    </row>
    <row r="593" spans="1:3" x14ac:dyDescent="0.2">
      <c r="A593">
        <v>2020</v>
      </c>
      <c r="B593" s="36">
        <v>5027</v>
      </c>
      <c r="C593" s="40">
        <v>569282</v>
      </c>
    </row>
    <row r="594" spans="1:3" x14ac:dyDescent="0.2">
      <c r="A594">
        <v>2020</v>
      </c>
      <c r="B594" s="36">
        <v>5028</v>
      </c>
      <c r="C594" s="40">
        <v>272972</v>
      </c>
    </row>
    <row r="595" spans="1:3" x14ac:dyDescent="0.2">
      <c r="A595">
        <v>2020</v>
      </c>
      <c r="B595" s="36">
        <v>5076</v>
      </c>
      <c r="C595" s="40">
        <v>771764</v>
      </c>
    </row>
    <row r="596" spans="1:3" x14ac:dyDescent="0.2">
      <c r="A596">
        <v>2020</v>
      </c>
      <c r="B596" s="36">
        <v>5078</v>
      </c>
      <c r="C596" s="40">
        <v>587958</v>
      </c>
    </row>
    <row r="597" spans="1:3" x14ac:dyDescent="0.2">
      <c r="A597">
        <v>2020</v>
      </c>
      <c r="B597" s="36">
        <v>5102</v>
      </c>
      <c r="C597" s="40">
        <v>1957214</v>
      </c>
    </row>
    <row r="598" spans="1:3" x14ac:dyDescent="0.2">
      <c r="A598">
        <v>2020</v>
      </c>
      <c r="B598" s="36">
        <v>5103</v>
      </c>
      <c r="C598" s="40">
        <v>992667</v>
      </c>
    </row>
    <row r="599" spans="1:3" x14ac:dyDescent="0.2">
      <c r="A599">
        <v>2020</v>
      </c>
      <c r="B599" s="36">
        <v>5107</v>
      </c>
      <c r="C599" s="40">
        <v>729521</v>
      </c>
    </row>
    <row r="600" spans="1:3" x14ac:dyDescent="0.2">
      <c r="A600">
        <v>2020</v>
      </c>
      <c r="B600" s="36">
        <v>5108</v>
      </c>
      <c r="C600" s="40">
        <v>615001</v>
      </c>
    </row>
    <row r="601" spans="1:3" x14ac:dyDescent="0.2">
      <c r="A601">
        <v>2020</v>
      </c>
      <c r="B601" s="36">
        <v>5251</v>
      </c>
      <c r="C601" s="40">
        <v>488516</v>
      </c>
    </row>
    <row r="602" spans="1:3" x14ac:dyDescent="0.2">
      <c r="A602">
        <v>2020</v>
      </c>
      <c r="B602" s="36">
        <v>5253</v>
      </c>
      <c r="C602" s="40">
        <v>666211</v>
      </c>
    </row>
    <row r="603" spans="1:3" x14ac:dyDescent="0.2">
      <c r="A603">
        <v>2020</v>
      </c>
      <c r="B603" s="36">
        <v>5276</v>
      </c>
      <c r="C603" s="40">
        <v>855486</v>
      </c>
    </row>
    <row r="604" spans="1:3" x14ac:dyDescent="0.2">
      <c r="A604">
        <v>2020</v>
      </c>
      <c r="B604" s="36">
        <v>5281</v>
      </c>
      <c r="C604" s="40">
        <v>294652</v>
      </c>
    </row>
    <row r="605" spans="1:3" x14ac:dyDescent="0.2">
      <c r="A605">
        <v>2020</v>
      </c>
      <c r="B605" s="36">
        <v>5282</v>
      </c>
      <c r="C605" s="40">
        <v>305593</v>
      </c>
    </row>
    <row r="606" spans="1:3" x14ac:dyDescent="0.2">
      <c r="A606">
        <v>2020</v>
      </c>
      <c r="B606" s="36">
        <v>5301</v>
      </c>
      <c r="C606" s="40">
        <v>343219</v>
      </c>
    </row>
    <row r="607" spans="1:3" x14ac:dyDescent="0.2">
      <c r="A607">
        <v>2020</v>
      </c>
      <c r="B607" s="36">
        <v>5303</v>
      </c>
      <c r="C607" s="40">
        <v>179213</v>
      </c>
    </row>
    <row r="608" spans="1:3" x14ac:dyDescent="0.2">
      <c r="A608">
        <v>2020</v>
      </c>
      <c r="B608" s="36">
        <v>5305</v>
      </c>
      <c r="C608" s="40">
        <v>259828</v>
      </c>
    </row>
    <row r="609" spans="1:3" x14ac:dyDescent="0.2">
      <c r="A609">
        <v>2020</v>
      </c>
      <c r="B609" s="36">
        <v>5306</v>
      </c>
      <c r="C609" s="40">
        <v>431982</v>
      </c>
    </row>
    <row r="610" spans="1:3" x14ac:dyDescent="0.2">
      <c r="A610">
        <v>2020</v>
      </c>
      <c r="B610" s="36">
        <v>5307</v>
      </c>
      <c r="C610" s="40">
        <v>565085</v>
      </c>
    </row>
    <row r="611" spans="1:3" x14ac:dyDescent="0.2">
      <c r="A611">
        <v>2020</v>
      </c>
      <c r="B611" s="36">
        <v>5308</v>
      </c>
      <c r="C611" s="40">
        <v>418883</v>
      </c>
    </row>
    <row r="612" spans="1:3" x14ac:dyDescent="0.2">
      <c r="A612">
        <v>2020</v>
      </c>
      <c r="B612" s="36">
        <v>5309</v>
      </c>
      <c r="C612" s="40">
        <v>174189</v>
      </c>
    </row>
    <row r="613" spans="1:3" x14ac:dyDescent="0.2">
      <c r="A613">
        <v>2020</v>
      </c>
      <c r="B613" s="36">
        <v>5351</v>
      </c>
      <c r="C613" s="40">
        <v>2451253</v>
      </c>
    </row>
    <row r="614" spans="1:3" x14ac:dyDescent="0.2">
      <c r="A614">
        <v>2020</v>
      </c>
      <c r="B614" s="36">
        <v>5352</v>
      </c>
      <c r="C614" s="40">
        <v>27005</v>
      </c>
    </row>
    <row r="615" spans="1:3" x14ac:dyDescent="0.2">
      <c r="A615">
        <v>2020</v>
      </c>
      <c r="B615" s="36">
        <v>5353</v>
      </c>
      <c r="C615" s="40">
        <v>281604</v>
      </c>
    </row>
    <row r="616" spans="1:3" x14ac:dyDescent="0.2">
      <c r="A616">
        <v>2020</v>
      </c>
      <c r="B616" s="36">
        <v>5354</v>
      </c>
      <c r="C616" s="40">
        <v>805429</v>
      </c>
    </row>
    <row r="617" spans="1:3" x14ac:dyDescent="0.2">
      <c r="A617">
        <v>2020</v>
      </c>
      <c r="B617" s="36">
        <v>5355</v>
      </c>
      <c r="C617" s="40">
        <v>1551138</v>
      </c>
    </row>
    <row r="618" spans="1:3" x14ac:dyDescent="0.2">
      <c r="A618">
        <v>2020</v>
      </c>
      <c r="B618" s="36">
        <v>5356</v>
      </c>
      <c r="C618" s="40">
        <v>491464</v>
      </c>
    </row>
    <row r="619" spans="1:3" x14ac:dyDescent="0.2">
      <c r="A619">
        <v>2020</v>
      </c>
      <c r="B619" s="36">
        <v>5357</v>
      </c>
      <c r="C619" s="40">
        <v>2228144</v>
      </c>
    </row>
    <row r="620" spans="1:3" x14ac:dyDescent="0.2">
      <c r="A620">
        <v>2020</v>
      </c>
      <c r="B620" s="36">
        <v>5358</v>
      </c>
      <c r="C620" s="40">
        <v>4636853</v>
      </c>
    </row>
    <row r="621" spans="1:3" x14ac:dyDescent="0.2">
      <c r="A621">
        <v>2020</v>
      </c>
      <c r="B621" s="36">
        <v>5359</v>
      </c>
      <c r="C621" s="40">
        <v>412537</v>
      </c>
    </row>
    <row r="622" spans="1:3" x14ac:dyDescent="0.2">
      <c r="A622">
        <v>2020</v>
      </c>
      <c r="B622" s="36">
        <v>5360</v>
      </c>
      <c r="C622" s="40">
        <v>287081</v>
      </c>
    </row>
    <row r="623" spans="1:3" x14ac:dyDescent="0.2">
      <c r="A623">
        <v>2020</v>
      </c>
      <c r="B623" s="36">
        <v>5361</v>
      </c>
      <c r="C623" s="40">
        <v>2138367</v>
      </c>
    </row>
    <row r="624" spans="1:3" x14ac:dyDescent="0.2">
      <c r="A624">
        <v>2020</v>
      </c>
      <c r="B624" s="36">
        <v>5362</v>
      </c>
      <c r="C624" s="40">
        <v>260455</v>
      </c>
    </row>
    <row r="625" spans="1:3" x14ac:dyDescent="0.2">
      <c r="A625">
        <v>2020</v>
      </c>
      <c r="B625" s="36">
        <v>5363</v>
      </c>
      <c r="C625" s="40">
        <v>1945941</v>
      </c>
    </row>
    <row r="626" spans="1:3" x14ac:dyDescent="0.2">
      <c r="A626">
        <v>2020</v>
      </c>
      <c r="B626" s="36">
        <v>5364</v>
      </c>
      <c r="C626" s="40">
        <v>577978</v>
      </c>
    </row>
    <row r="627" spans="1:3" x14ac:dyDescent="0.2">
      <c r="A627">
        <v>2020</v>
      </c>
      <c r="B627" s="36">
        <v>5365</v>
      </c>
      <c r="C627" s="40">
        <v>19514</v>
      </c>
    </row>
    <row r="628" spans="1:3" x14ac:dyDescent="0.2">
      <c r="A628">
        <v>2020</v>
      </c>
      <c r="B628" s="36">
        <v>5367</v>
      </c>
      <c r="C628" s="40">
        <v>517390</v>
      </c>
    </row>
    <row r="629" spans="1:3" x14ac:dyDescent="0.2">
      <c r="A629">
        <v>2020</v>
      </c>
      <c r="B629" s="36">
        <v>5368</v>
      </c>
      <c r="C629" s="40">
        <v>447988</v>
      </c>
    </row>
    <row r="630" spans="1:3" x14ac:dyDescent="0.2">
      <c r="A630">
        <v>2020</v>
      </c>
      <c r="B630" s="36">
        <v>5369</v>
      </c>
      <c r="C630" s="40">
        <v>135937</v>
      </c>
    </row>
    <row r="631" spans="1:3" x14ac:dyDescent="0.2">
      <c r="A631">
        <v>2020</v>
      </c>
      <c r="B631" s="36">
        <v>5371</v>
      </c>
      <c r="C631" s="40">
        <v>150700</v>
      </c>
    </row>
    <row r="632" spans="1:3" x14ac:dyDescent="0.2">
      <c r="A632">
        <v>2020</v>
      </c>
      <c r="B632" s="36">
        <v>5372</v>
      </c>
      <c r="C632" s="40">
        <v>1103999</v>
      </c>
    </row>
    <row r="633" spans="1:3" x14ac:dyDescent="0.2">
      <c r="A633">
        <v>2020</v>
      </c>
      <c r="B633" s="36">
        <v>5375</v>
      </c>
      <c r="C633" s="40">
        <v>1427243</v>
      </c>
    </row>
    <row r="634" spans="1:3" x14ac:dyDescent="0.2">
      <c r="A634">
        <v>2020</v>
      </c>
      <c r="B634" s="36">
        <v>5376</v>
      </c>
      <c r="C634" s="40">
        <v>651687</v>
      </c>
    </row>
    <row r="635" spans="1:3" x14ac:dyDescent="0.2">
      <c r="A635">
        <v>2020</v>
      </c>
      <c r="B635" s="36">
        <v>5379</v>
      </c>
      <c r="C635" s="40">
        <v>24454</v>
      </c>
    </row>
    <row r="636" spans="1:3" x14ac:dyDescent="0.2">
      <c r="A636">
        <v>2020</v>
      </c>
      <c r="B636" s="36">
        <v>5380</v>
      </c>
      <c r="C636" s="40">
        <v>304768</v>
      </c>
    </row>
    <row r="637" spans="1:3" x14ac:dyDescent="0.2">
      <c r="A637">
        <v>2020</v>
      </c>
      <c r="B637" s="36">
        <v>5403</v>
      </c>
      <c r="C637" s="40">
        <v>3463029</v>
      </c>
    </row>
    <row r="638" spans="1:3" x14ac:dyDescent="0.2">
      <c r="A638">
        <v>2020</v>
      </c>
      <c r="B638" s="36">
        <v>5406</v>
      </c>
      <c r="C638" s="40">
        <v>1446761</v>
      </c>
    </row>
    <row r="639" spans="1:3" x14ac:dyDescent="0.2">
      <c r="A639">
        <v>2020</v>
      </c>
      <c r="B639" s="36">
        <v>5407</v>
      </c>
      <c r="C639" s="40">
        <v>2240398</v>
      </c>
    </row>
    <row r="640" spans="1:3" x14ac:dyDescent="0.2">
      <c r="A640">
        <v>2020</v>
      </c>
      <c r="B640" s="36">
        <v>5408</v>
      </c>
      <c r="C640" s="40">
        <v>2357242</v>
      </c>
    </row>
    <row r="641" spans="1:3" x14ac:dyDescent="0.2">
      <c r="A641">
        <v>2020</v>
      </c>
      <c r="B641" s="36">
        <v>5409</v>
      </c>
      <c r="C641" s="40">
        <v>2864330</v>
      </c>
    </row>
    <row r="642" spans="1:3" x14ac:dyDescent="0.2">
      <c r="A642">
        <v>2020</v>
      </c>
      <c r="B642" s="36">
        <v>5415</v>
      </c>
      <c r="C642" s="40">
        <v>1581029</v>
      </c>
    </row>
    <row r="643" spans="1:3" x14ac:dyDescent="0.2">
      <c r="A643">
        <v>2020</v>
      </c>
      <c r="B643" s="36">
        <v>5416</v>
      </c>
      <c r="C643" s="40">
        <v>626678</v>
      </c>
    </row>
    <row r="644" spans="1:3" x14ac:dyDescent="0.2">
      <c r="A644">
        <v>2020</v>
      </c>
      <c r="B644" s="36">
        <v>5418</v>
      </c>
      <c r="C644" s="40">
        <v>2905010</v>
      </c>
    </row>
    <row r="645" spans="1:3" x14ac:dyDescent="0.2">
      <c r="A645">
        <v>2020</v>
      </c>
      <c r="B645" s="36">
        <v>5420</v>
      </c>
      <c r="C645" s="40">
        <v>2765386</v>
      </c>
    </row>
    <row r="646" spans="1:3" x14ac:dyDescent="0.2">
      <c r="A646">
        <v>2020</v>
      </c>
      <c r="B646" s="36">
        <v>5427</v>
      </c>
      <c r="C646" s="40">
        <v>143295</v>
      </c>
    </row>
    <row r="647" spans="1:3" x14ac:dyDescent="0.2">
      <c r="A647">
        <v>2020</v>
      </c>
      <c r="B647" s="36">
        <v>5457</v>
      </c>
      <c r="C647" s="40">
        <v>2036036</v>
      </c>
    </row>
    <row r="648" spans="1:3" x14ac:dyDescent="0.2">
      <c r="A648">
        <v>2020</v>
      </c>
      <c r="B648" s="36">
        <v>5458</v>
      </c>
      <c r="C648" s="40">
        <v>2295991</v>
      </c>
    </row>
    <row r="649" spans="1:3" x14ac:dyDescent="0.2">
      <c r="A649">
        <v>2020</v>
      </c>
      <c r="B649" s="36">
        <v>5501</v>
      </c>
      <c r="C649" s="40">
        <v>914920</v>
      </c>
    </row>
    <row r="650" spans="1:3" x14ac:dyDescent="0.2">
      <c r="A650">
        <v>2020</v>
      </c>
      <c r="B650" s="36">
        <v>5504</v>
      </c>
      <c r="C650" s="40">
        <v>880895</v>
      </c>
    </row>
    <row r="651" spans="1:3" x14ac:dyDescent="0.2">
      <c r="A651">
        <v>2020</v>
      </c>
      <c r="B651" s="36">
        <v>5505</v>
      </c>
      <c r="C651" s="40">
        <v>251581</v>
      </c>
    </row>
    <row r="652" spans="1:3" x14ac:dyDescent="0.2">
      <c r="A652">
        <v>2020</v>
      </c>
      <c r="B652" s="36">
        <v>5506</v>
      </c>
      <c r="C652" s="40">
        <v>430920</v>
      </c>
    </row>
    <row r="653" spans="1:3" x14ac:dyDescent="0.2">
      <c r="A653">
        <v>2020</v>
      </c>
      <c r="B653" s="36">
        <v>5507</v>
      </c>
      <c r="C653" s="40">
        <v>429853</v>
      </c>
    </row>
    <row r="654" spans="1:3" x14ac:dyDescent="0.2">
      <c r="A654">
        <v>2020</v>
      </c>
      <c r="B654" s="36">
        <v>5527</v>
      </c>
      <c r="C654" s="40">
        <v>546738</v>
      </c>
    </row>
    <row r="655" spans="1:3" x14ac:dyDescent="0.2">
      <c r="A655">
        <v>2020</v>
      </c>
      <c r="B655" s="36">
        <v>5528</v>
      </c>
      <c r="C655" s="40">
        <v>589082</v>
      </c>
    </row>
    <row r="656" spans="1:3" x14ac:dyDescent="0.2">
      <c r="A656">
        <v>2020</v>
      </c>
      <c r="B656" s="36">
        <v>5530</v>
      </c>
      <c r="C656" s="40">
        <v>772127</v>
      </c>
    </row>
    <row r="657" spans="1:3" x14ac:dyDescent="0.2">
      <c r="A657">
        <v>2020</v>
      </c>
      <c r="B657" s="36">
        <v>5533</v>
      </c>
      <c r="C657" s="40">
        <v>313123</v>
      </c>
    </row>
    <row r="658" spans="1:3" x14ac:dyDescent="0.2">
      <c r="A658">
        <v>2020</v>
      </c>
      <c r="B658" s="36">
        <v>5534</v>
      </c>
      <c r="C658" s="40">
        <v>576332</v>
      </c>
    </row>
    <row r="659" spans="1:3" x14ac:dyDescent="0.2">
      <c r="A659">
        <v>2020</v>
      </c>
      <c r="B659" s="36">
        <v>5535</v>
      </c>
      <c r="C659" s="40">
        <v>933469</v>
      </c>
    </row>
    <row r="660" spans="1:3" x14ac:dyDescent="0.2">
      <c r="A660">
        <v>2020</v>
      </c>
      <c r="B660" s="36">
        <v>5541</v>
      </c>
      <c r="C660" s="40">
        <v>524955</v>
      </c>
    </row>
    <row r="661" spans="1:3" x14ac:dyDescent="0.2">
      <c r="A661">
        <v>2020</v>
      </c>
      <c r="B661" s="36">
        <v>5601</v>
      </c>
      <c r="C661" s="40">
        <v>1371005</v>
      </c>
    </row>
    <row r="662" spans="1:3" x14ac:dyDescent="0.2">
      <c r="A662">
        <v>2020</v>
      </c>
      <c r="B662" s="36">
        <v>5676</v>
      </c>
      <c r="C662" s="40">
        <v>378138</v>
      </c>
    </row>
    <row r="663" spans="1:3" x14ac:dyDescent="0.2">
      <c r="A663">
        <v>2020</v>
      </c>
      <c r="B663" s="36">
        <v>5677</v>
      </c>
      <c r="C663" s="40">
        <v>326295</v>
      </c>
    </row>
    <row r="664" spans="1:3" x14ac:dyDescent="0.2">
      <c r="A664">
        <v>2020</v>
      </c>
      <c r="B664" s="36">
        <v>5678</v>
      </c>
      <c r="C664" s="40">
        <v>380844</v>
      </c>
    </row>
    <row r="665" spans="1:3" x14ac:dyDescent="0.2">
      <c r="A665">
        <v>2020</v>
      </c>
      <c r="B665" s="36">
        <v>5679</v>
      </c>
      <c r="C665" s="40">
        <v>736582</v>
      </c>
    </row>
    <row r="666" spans="1:3" x14ac:dyDescent="0.2">
      <c r="A666">
        <v>2020</v>
      </c>
      <c r="B666" s="36">
        <v>5680</v>
      </c>
      <c r="C666" s="40">
        <v>679074</v>
      </c>
    </row>
    <row r="667" spans="1:3" x14ac:dyDescent="0.2">
      <c r="A667">
        <v>2020</v>
      </c>
      <c r="B667" s="36">
        <v>5681</v>
      </c>
      <c r="C667" s="40">
        <v>336332</v>
      </c>
    </row>
    <row r="668" spans="1:3" x14ac:dyDescent="0.2">
      <c r="A668">
        <v>2020</v>
      </c>
      <c r="B668" s="36">
        <v>5682</v>
      </c>
      <c r="C668" s="40">
        <v>437531</v>
      </c>
    </row>
    <row r="669" spans="1:3" x14ac:dyDescent="0.2">
      <c r="A669">
        <v>2020</v>
      </c>
      <c r="B669" s="36">
        <v>5683</v>
      </c>
      <c r="C669" s="40">
        <v>637421</v>
      </c>
    </row>
    <row r="670" spans="1:3" x14ac:dyDescent="0.2">
      <c r="A670">
        <v>2020</v>
      </c>
      <c r="B670" s="36">
        <v>5684</v>
      </c>
      <c r="C670" s="40">
        <v>260462</v>
      </c>
    </row>
    <row r="671" spans="1:3" x14ac:dyDescent="0.2">
      <c r="A671">
        <v>2020</v>
      </c>
      <c r="B671" s="36">
        <v>5685</v>
      </c>
      <c r="C671" s="40">
        <v>399981</v>
      </c>
    </row>
    <row r="672" spans="1:3" x14ac:dyDescent="0.2">
      <c r="A672">
        <v>2020</v>
      </c>
      <c r="B672" s="36">
        <v>5687</v>
      </c>
      <c r="C672" s="40">
        <v>770573</v>
      </c>
    </row>
    <row r="673" spans="1:3" x14ac:dyDescent="0.2">
      <c r="A673">
        <v>2020</v>
      </c>
      <c r="B673" s="36">
        <v>5688</v>
      </c>
      <c r="C673" s="40">
        <v>265796</v>
      </c>
    </row>
    <row r="674" spans="1:3" x14ac:dyDescent="0.2">
      <c r="A674">
        <v>2020</v>
      </c>
      <c r="B674" s="36">
        <v>5691</v>
      </c>
      <c r="C674" s="40">
        <v>120319</v>
      </c>
    </row>
    <row r="675" spans="1:3" x14ac:dyDescent="0.2">
      <c r="A675">
        <v>2020</v>
      </c>
      <c r="B675" s="36">
        <v>5692</v>
      </c>
      <c r="C675" s="40">
        <v>623749</v>
      </c>
    </row>
    <row r="676" spans="1:3" x14ac:dyDescent="0.2">
      <c r="A676">
        <v>2020</v>
      </c>
      <c r="B676" s="36">
        <v>5693</v>
      </c>
      <c r="C676" s="40">
        <v>181573</v>
      </c>
    </row>
    <row r="677" spans="1:3" x14ac:dyDescent="0.2">
      <c r="A677">
        <v>2020</v>
      </c>
      <c r="B677" s="36">
        <v>5694</v>
      </c>
      <c r="C677" s="40">
        <v>156895</v>
      </c>
    </row>
    <row r="678" spans="1:3" x14ac:dyDescent="0.2">
      <c r="A678">
        <v>2020</v>
      </c>
      <c r="B678" s="36">
        <v>5695</v>
      </c>
      <c r="C678" s="40">
        <v>154122</v>
      </c>
    </row>
    <row r="679" spans="1:3" x14ac:dyDescent="0.2">
      <c r="A679">
        <v>2020</v>
      </c>
      <c r="B679" s="36">
        <v>5801</v>
      </c>
      <c r="C679" s="40">
        <v>2179164</v>
      </c>
    </row>
    <row r="680" spans="1:3" x14ac:dyDescent="0.2">
      <c r="A680">
        <v>2020</v>
      </c>
      <c r="B680" s="36">
        <v>5806</v>
      </c>
      <c r="C680" s="40">
        <v>1271634</v>
      </c>
    </row>
    <row r="681" spans="1:3" x14ac:dyDescent="0.2">
      <c r="A681">
        <v>2020</v>
      </c>
      <c r="B681" s="36">
        <v>5807</v>
      </c>
      <c r="C681" s="40">
        <v>385859</v>
      </c>
    </row>
    <row r="682" spans="1:3" x14ac:dyDescent="0.2">
      <c r="A682">
        <v>2020</v>
      </c>
      <c r="B682" s="36">
        <v>5812</v>
      </c>
      <c r="C682" s="40">
        <v>518324</v>
      </c>
    </row>
    <row r="683" spans="1:3" x14ac:dyDescent="0.2">
      <c r="A683">
        <v>2020</v>
      </c>
      <c r="B683" s="36">
        <v>5813</v>
      </c>
      <c r="C683" s="40">
        <v>532145</v>
      </c>
    </row>
    <row r="684" spans="1:3" x14ac:dyDescent="0.2">
      <c r="A684">
        <v>2020</v>
      </c>
      <c r="B684" s="36">
        <v>5817</v>
      </c>
      <c r="C684" s="40">
        <v>1755099</v>
      </c>
    </row>
    <row r="685" spans="1:3" x14ac:dyDescent="0.2">
      <c r="A685">
        <v>2020</v>
      </c>
      <c r="B685" s="36">
        <v>5820</v>
      </c>
      <c r="C685" s="40">
        <v>528040</v>
      </c>
    </row>
    <row r="686" spans="1:3" x14ac:dyDescent="0.2">
      <c r="A686">
        <v>2020</v>
      </c>
      <c r="B686" s="36">
        <v>5821</v>
      </c>
      <c r="C686" s="40">
        <v>828617</v>
      </c>
    </row>
    <row r="687" spans="1:3" x14ac:dyDescent="0.2">
      <c r="A687">
        <v>2020</v>
      </c>
      <c r="B687" s="36">
        <v>5822</v>
      </c>
      <c r="C687" s="40">
        <v>969708</v>
      </c>
    </row>
    <row r="688" spans="1:3" x14ac:dyDescent="0.2">
      <c r="A688">
        <v>2020</v>
      </c>
      <c r="B688" s="36">
        <v>5823</v>
      </c>
      <c r="C688" s="40">
        <v>265408</v>
      </c>
    </row>
    <row r="689" spans="1:3" x14ac:dyDescent="0.2">
      <c r="A689">
        <v>2020</v>
      </c>
      <c r="B689" s="36">
        <v>6001</v>
      </c>
      <c r="C689" s="40">
        <v>2274084</v>
      </c>
    </row>
    <row r="690" spans="1:3" x14ac:dyDescent="0.2">
      <c r="A690">
        <v>2020</v>
      </c>
      <c r="B690" s="36">
        <v>6005</v>
      </c>
      <c r="C690" s="40">
        <v>1927760</v>
      </c>
    </row>
    <row r="691" spans="1:3" x14ac:dyDescent="0.2">
      <c r="A691">
        <v>2020</v>
      </c>
      <c r="B691" s="36">
        <v>6008</v>
      </c>
      <c r="C691" s="40">
        <v>1773513</v>
      </c>
    </row>
    <row r="692" spans="1:3" x14ac:dyDescent="0.2">
      <c r="A692">
        <v>2020</v>
      </c>
      <c r="B692" s="36">
        <v>6011</v>
      </c>
      <c r="C692" s="40">
        <v>938614</v>
      </c>
    </row>
    <row r="693" spans="1:3" x14ac:dyDescent="0.2">
      <c r="A693">
        <v>2020</v>
      </c>
      <c r="B693" s="36">
        <v>6018</v>
      </c>
      <c r="C693" s="40">
        <v>845878</v>
      </c>
    </row>
    <row r="694" spans="1:3" x14ac:dyDescent="0.2">
      <c r="A694">
        <v>2020</v>
      </c>
      <c r="B694" s="36">
        <v>6022</v>
      </c>
      <c r="C694" s="40">
        <v>874387</v>
      </c>
    </row>
    <row r="695" spans="1:3" x14ac:dyDescent="0.2">
      <c r="A695">
        <v>2020</v>
      </c>
      <c r="B695" s="36">
        <v>6026</v>
      </c>
      <c r="C695" s="40">
        <v>1703501</v>
      </c>
    </row>
    <row r="696" spans="1:3" x14ac:dyDescent="0.2">
      <c r="A696">
        <v>2020</v>
      </c>
      <c r="B696" s="36">
        <v>6027</v>
      </c>
      <c r="C696" s="40">
        <v>2609594</v>
      </c>
    </row>
    <row r="697" spans="1:3" x14ac:dyDescent="0.2">
      <c r="A697">
        <v>2020</v>
      </c>
      <c r="B697" s="36">
        <v>6028</v>
      </c>
      <c r="C697" s="40">
        <v>2224845</v>
      </c>
    </row>
    <row r="698" spans="1:3" x14ac:dyDescent="0.2">
      <c r="A698">
        <v>2020</v>
      </c>
      <c r="B698" s="36">
        <v>6036</v>
      </c>
      <c r="C698" s="40">
        <v>372955</v>
      </c>
    </row>
    <row r="699" spans="1:3" x14ac:dyDescent="0.2">
      <c r="A699">
        <v>2020</v>
      </c>
      <c r="B699" s="36">
        <v>6040</v>
      </c>
      <c r="C699" s="40">
        <v>690941</v>
      </c>
    </row>
    <row r="700" spans="1:3" x14ac:dyDescent="0.2">
      <c r="A700">
        <v>2020</v>
      </c>
      <c r="B700" s="36">
        <v>6041</v>
      </c>
      <c r="C700" s="40">
        <v>981121</v>
      </c>
    </row>
    <row r="701" spans="1:3" x14ac:dyDescent="0.2">
      <c r="A701">
        <v>2020</v>
      </c>
      <c r="B701" s="36">
        <v>6042</v>
      </c>
      <c r="C701" s="40">
        <v>867869</v>
      </c>
    </row>
    <row r="702" spans="1:3" x14ac:dyDescent="0.2">
      <c r="A702">
        <v>2020</v>
      </c>
      <c r="B702" s="36">
        <v>6044</v>
      </c>
      <c r="C702" s="40">
        <v>1310310</v>
      </c>
    </row>
    <row r="703" spans="1:3" x14ac:dyDescent="0.2">
      <c r="A703">
        <v>2020</v>
      </c>
      <c r="B703" s="36">
        <v>6048</v>
      </c>
      <c r="C703" s="40">
        <v>1026274</v>
      </c>
    </row>
    <row r="704" spans="1:3" x14ac:dyDescent="0.2">
      <c r="A704">
        <v>2020</v>
      </c>
      <c r="B704" s="36">
        <v>6050</v>
      </c>
      <c r="C704" s="40">
        <v>1259550</v>
      </c>
    </row>
    <row r="705" spans="1:3" x14ac:dyDescent="0.2">
      <c r="A705">
        <v>2020</v>
      </c>
      <c r="B705" s="36">
        <v>6051</v>
      </c>
      <c r="C705" s="40">
        <v>3073207</v>
      </c>
    </row>
    <row r="706" spans="1:3" x14ac:dyDescent="0.2">
      <c r="A706">
        <v>2020</v>
      </c>
      <c r="B706" s="36">
        <v>6052</v>
      </c>
      <c r="C706" s="40">
        <v>1917188</v>
      </c>
    </row>
    <row r="707" spans="1:3" x14ac:dyDescent="0.2">
      <c r="A707">
        <v>2020</v>
      </c>
      <c r="B707" s="36">
        <v>6056</v>
      </c>
      <c r="C707" s="40">
        <v>8571616</v>
      </c>
    </row>
    <row r="708" spans="1:3" x14ac:dyDescent="0.2">
      <c r="A708">
        <v>2020</v>
      </c>
      <c r="B708" s="36">
        <v>6057</v>
      </c>
      <c r="C708" s="40">
        <v>1820508</v>
      </c>
    </row>
    <row r="709" spans="1:3" x14ac:dyDescent="0.2">
      <c r="A709">
        <v>2020</v>
      </c>
      <c r="B709" s="36">
        <v>6061</v>
      </c>
      <c r="C709" s="40">
        <v>3086526</v>
      </c>
    </row>
    <row r="710" spans="1:3" x14ac:dyDescent="0.2">
      <c r="A710">
        <v>2020</v>
      </c>
      <c r="B710" s="36">
        <v>6065</v>
      </c>
      <c r="C710" s="40">
        <v>3684346</v>
      </c>
    </row>
    <row r="711" spans="1:3" x14ac:dyDescent="0.2">
      <c r="A711">
        <v>2020</v>
      </c>
      <c r="B711" s="36">
        <v>6067</v>
      </c>
      <c r="C711" s="40">
        <v>1887315</v>
      </c>
    </row>
    <row r="712" spans="1:3" x14ac:dyDescent="0.2">
      <c r="A712">
        <v>2020</v>
      </c>
      <c r="B712" s="36">
        <v>6068</v>
      </c>
      <c r="C712" s="40">
        <v>1591299</v>
      </c>
    </row>
    <row r="713" spans="1:3" x14ac:dyDescent="0.2">
      <c r="A713">
        <v>2020</v>
      </c>
      <c r="B713" s="36">
        <v>6074</v>
      </c>
      <c r="C713" s="40">
        <v>2157330</v>
      </c>
    </row>
    <row r="714" spans="1:3" x14ac:dyDescent="0.2">
      <c r="A714">
        <v>2020</v>
      </c>
      <c r="B714" s="36">
        <v>6075</v>
      </c>
      <c r="C714" s="40">
        <v>1574081</v>
      </c>
    </row>
    <row r="715" spans="1:3" x14ac:dyDescent="0.2">
      <c r="A715">
        <v>2020</v>
      </c>
      <c r="B715" s="36">
        <v>6078</v>
      </c>
      <c r="C715" s="40">
        <v>4017795</v>
      </c>
    </row>
    <row r="716" spans="1:3" x14ac:dyDescent="0.2">
      <c r="A716">
        <v>2020</v>
      </c>
      <c r="B716" s="36">
        <v>6079</v>
      </c>
      <c r="C716" s="40">
        <v>1748103</v>
      </c>
    </row>
    <row r="717" spans="1:3" x14ac:dyDescent="0.2">
      <c r="A717">
        <v>2020</v>
      </c>
      <c r="B717" s="36">
        <v>6091</v>
      </c>
      <c r="C717" s="40">
        <v>7807597</v>
      </c>
    </row>
    <row r="718" spans="1:3" x14ac:dyDescent="0.2">
      <c r="A718">
        <v>2020</v>
      </c>
      <c r="B718" s="36">
        <v>6093</v>
      </c>
      <c r="C718" s="40">
        <v>3957610</v>
      </c>
    </row>
    <row r="719" spans="1:3" x14ac:dyDescent="0.2">
      <c r="A719">
        <v>2020</v>
      </c>
      <c r="B719" s="36">
        <v>6094</v>
      </c>
      <c r="C719" s="40">
        <v>2545244</v>
      </c>
    </row>
    <row r="720" spans="1:3" x14ac:dyDescent="0.2">
      <c r="A720">
        <v>2020</v>
      </c>
      <c r="B720" s="36">
        <v>6095</v>
      </c>
      <c r="C720" s="40">
        <v>968541</v>
      </c>
    </row>
    <row r="721" spans="1:3" x14ac:dyDescent="0.2">
      <c r="A721">
        <v>2020</v>
      </c>
      <c r="B721" s="36">
        <v>6097</v>
      </c>
      <c r="C721" s="40">
        <v>779088</v>
      </c>
    </row>
    <row r="722" spans="1:3" x14ac:dyDescent="0.2">
      <c r="A722">
        <v>2020</v>
      </c>
      <c r="B722" s="36">
        <v>6099</v>
      </c>
      <c r="C722" s="40">
        <v>1180713</v>
      </c>
    </row>
    <row r="723" spans="1:3" x14ac:dyDescent="0.2">
      <c r="A723">
        <v>2020</v>
      </c>
      <c r="B723" s="36">
        <v>6104</v>
      </c>
      <c r="C723" s="40">
        <v>1607687</v>
      </c>
    </row>
    <row r="724" spans="1:3" x14ac:dyDescent="0.2">
      <c r="A724">
        <v>2020</v>
      </c>
      <c r="B724" s="36">
        <v>6105</v>
      </c>
      <c r="C724" s="40">
        <v>2802306</v>
      </c>
    </row>
    <row r="725" spans="1:3" x14ac:dyDescent="0.2">
      <c r="A725">
        <v>2020</v>
      </c>
      <c r="B725" s="36">
        <v>6109</v>
      </c>
      <c r="C725" s="40">
        <v>2478848</v>
      </c>
    </row>
    <row r="726" spans="1:3" x14ac:dyDescent="0.2">
      <c r="A726">
        <v>2020</v>
      </c>
      <c r="B726" s="36">
        <v>6507</v>
      </c>
      <c r="C726" s="40">
        <v>79232</v>
      </c>
    </row>
    <row r="727" spans="1:3" x14ac:dyDescent="0.2">
      <c r="A727">
        <v>2020</v>
      </c>
      <c r="B727" s="36">
        <v>6511</v>
      </c>
      <c r="C727" s="40">
        <v>38473</v>
      </c>
    </row>
    <row r="728" spans="1:3" x14ac:dyDescent="0.2">
      <c r="A728">
        <v>2020</v>
      </c>
      <c r="B728" s="36">
        <v>7000</v>
      </c>
      <c r="C728" s="40">
        <v>13451233</v>
      </c>
    </row>
    <row r="729" spans="1:3" x14ac:dyDescent="0.2">
      <c r="A729">
        <v>2020</v>
      </c>
      <c r="B729" s="36">
        <v>7500</v>
      </c>
      <c r="C729" s="40">
        <v>83120</v>
      </c>
    </row>
    <row r="730" spans="1:3" x14ac:dyDescent="0.2">
      <c r="A730">
        <v>2020</v>
      </c>
      <c r="B730" s="36">
        <v>7501</v>
      </c>
      <c r="C730" s="40">
        <v>208275</v>
      </c>
    </row>
    <row r="731" spans="1:3" x14ac:dyDescent="0.2">
      <c r="A731">
        <v>2020</v>
      </c>
      <c r="B731" s="36">
        <v>7502</v>
      </c>
      <c r="C731" s="40">
        <v>41378</v>
      </c>
    </row>
    <row r="732" spans="1:3" x14ac:dyDescent="0.2">
      <c r="A732">
        <v>2020</v>
      </c>
      <c r="B732" s="36">
        <v>8000</v>
      </c>
      <c r="C732" s="40">
        <v>1416656</v>
      </c>
    </row>
    <row r="733" spans="1:3" x14ac:dyDescent="0.2">
      <c r="A733">
        <v>2020</v>
      </c>
      <c r="B733" s="36">
        <v>8102</v>
      </c>
      <c r="C733" s="40">
        <v>321296</v>
      </c>
    </row>
    <row r="734" spans="1:3" x14ac:dyDescent="0.2">
      <c r="A734">
        <v>2020</v>
      </c>
      <c r="B734" s="36">
        <v>8105</v>
      </c>
      <c r="C734" s="40">
        <v>353066</v>
      </c>
    </row>
    <row r="735" spans="1:3" x14ac:dyDescent="0.2">
      <c r="A735">
        <v>2020</v>
      </c>
      <c r="B735" s="36">
        <v>8110</v>
      </c>
      <c r="C735" s="40">
        <v>661524</v>
      </c>
    </row>
    <row r="736" spans="1:3" x14ac:dyDescent="0.2">
      <c r="A736">
        <v>2020</v>
      </c>
      <c r="B736" s="36">
        <v>8112</v>
      </c>
      <c r="C736" s="40">
        <v>105102</v>
      </c>
    </row>
    <row r="737" spans="1:3" x14ac:dyDescent="0.2">
      <c r="A737">
        <v>2020</v>
      </c>
      <c r="B737" s="36">
        <v>8113</v>
      </c>
      <c r="C737" s="40">
        <v>156771</v>
      </c>
    </row>
    <row r="738" spans="1:3" x14ac:dyDescent="0.2">
      <c r="A738">
        <v>2020</v>
      </c>
      <c r="B738" s="36">
        <v>8115</v>
      </c>
      <c r="C738" s="40">
        <v>166522</v>
      </c>
    </row>
    <row r="739" spans="1:3" x14ac:dyDescent="0.2">
      <c r="A739">
        <v>2020</v>
      </c>
      <c r="B739" s="36">
        <v>8120</v>
      </c>
      <c r="C739" s="40">
        <v>640128</v>
      </c>
    </row>
    <row r="740" spans="1:3" x14ac:dyDescent="0.2">
      <c r="A740">
        <v>2020</v>
      </c>
      <c r="B740" s="36">
        <v>8124</v>
      </c>
      <c r="C740" s="40">
        <v>1510652</v>
      </c>
    </row>
    <row r="741" spans="1:3" x14ac:dyDescent="0.2">
      <c r="A741">
        <v>2020</v>
      </c>
      <c r="B741" s="36">
        <v>8129</v>
      </c>
      <c r="C741" s="40">
        <v>455650</v>
      </c>
    </row>
    <row r="742" spans="1:3" x14ac:dyDescent="0.2">
      <c r="A742">
        <v>2020</v>
      </c>
      <c r="B742" s="36">
        <v>8130</v>
      </c>
      <c r="C742" s="40">
        <v>1857859</v>
      </c>
    </row>
    <row r="743" spans="1:3" x14ac:dyDescent="0.2">
      <c r="A743">
        <v>2020</v>
      </c>
      <c r="B743" s="36">
        <v>8131</v>
      </c>
      <c r="C743" s="40">
        <v>256299</v>
      </c>
    </row>
    <row r="744" spans="1:3" x14ac:dyDescent="0.2">
      <c r="A744">
        <v>2020</v>
      </c>
      <c r="B744" s="36">
        <v>8133</v>
      </c>
      <c r="C744" s="40">
        <v>375281</v>
      </c>
    </row>
    <row r="745" spans="1:3" x14ac:dyDescent="0.2">
      <c r="A745">
        <v>2020</v>
      </c>
      <c r="B745" s="36">
        <v>8134</v>
      </c>
      <c r="C745" s="40">
        <v>130566</v>
      </c>
    </row>
    <row r="746" spans="1:3" x14ac:dyDescent="0.2">
      <c r="A746">
        <v>2020</v>
      </c>
      <c r="B746" s="36">
        <v>8135</v>
      </c>
      <c r="C746" s="40">
        <v>943356</v>
      </c>
    </row>
    <row r="747" spans="1:3" x14ac:dyDescent="0.2">
      <c r="A747">
        <v>2020</v>
      </c>
      <c r="B747" s="36">
        <v>8140</v>
      </c>
      <c r="C747" s="40">
        <v>224916</v>
      </c>
    </row>
    <row r="748" spans="1:3" x14ac:dyDescent="0.2">
      <c r="A748">
        <v>2020</v>
      </c>
      <c r="B748" s="36">
        <v>8142</v>
      </c>
      <c r="C748" s="40">
        <v>390106</v>
      </c>
    </row>
    <row r="749" spans="1:3" x14ac:dyDescent="0.2">
      <c r="A749">
        <v>2020</v>
      </c>
      <c r="B749" s="36">
        <v>8145</v>
      </c>
      <c r="C749" s="40">
        <v>377576</v>
      </c>
    </row>
    <row r="750" spans="1:3" x14ac:dyDescent="0.2">
      <c r="A750">
        <v>2020</v>
      </c>
      <c r="B750" s="36">
        <v>8146</v>
      </c>
      <c r="C750" s="40">
        <v>916819</v>
      </c>
    </row>
    <row r="751" spans="1:3" x14ac:dyDescent="0.2">
      <c r="A751">
        <v>2020</v>
      </c>
      <c r="B751" s="36">
        <v>8149</v>
      </c>
      <c r="C751" s="40">
        <v>160166</v>
      </c>
    </row>
    <row r="752" spans="1:3" x14ac:dyDescent="0.2">
      <c r="A752">
        <v>2020</v>
      </c>
      <c r="B752" s="36">
        <v>8150</v>
      </c>
      <c r="C752" s="40">
        <v>2139278</v>
      </c>
    </row>
    <row r="753" spans="1:3" x14ac:dyDescent="0.2">
      <c r="A753">
        <v>2020</v>
      </c>
      <c r="B753" s="36">
        <v>8151</v>
      </c>
      <c r="C753" s="40">
        <v>863377</v>
      </c>
    </row>
    <row r="754" spans="1:3" x14ac:dyDescent="0.2">
      <c r="A754">
        <v>2020</v>
      </c>
      <c r="B754" s="36">
        <v>8153</v>
      </c>
      <c r="C754" s="40">
        <v>332636</v>
      </c>
    </row>
    <row r="755" spans="1:3" x14ac:dyDescent="0.2">
      <c r="A755">
        <v>2020</v>
      </c>
      <c r="B755" s="36">
        <v>8155</v>
      </c>
      <c r="C755" s="40">
        <v>537857</v>
      </c>
    </row>
    <row r="756" spans="1:3" x14ac:dyDescent="0.2">
      <c r="A756">
        <v>2020</v>
      </c>
      <c r="B756" s="36">
        <v>8160</v>
      </c>
      <c r="C756" s="40">
        <v>606281</v>
      </c>
    </row>
    <row r="757" spans="1:3" x14ac:dyDescent="0.2">
      <c r="A757">
        <v>2020</v>
      </c>
      <c r="B757" s="36">
        <v>8162</v>
      </c>
      <c r="C757" s="40">
        <v>179521</v>
      </c>
    </row>
    <row r="758" spans="1:3" x14ac:dyDescent="0.2">
      <c r="A758">
        <v>2020</v>
      </c>
      <c r="B758" s="36">
        <v>8166</v>
      </c>
      <c r="C758" s="40">
        <v>2595616</v>
      </c>
    </row>
    <row r="759" spans="1:3" x14ac:dyDescent="0.2">
      <c r="A759">
        <v>2020</v>
      </c>
      <c r="B759" s="36">
        <v>8167</v>
      </c>
      <c r="C759" s="40">
        <v>95803</v>
      </c>
    </row>
    <row r="760" spans="1:3" x14ac:dyDescent="0.2">
      <c r="A760">
        <v>2020</v>
      </c>
      <c r="B760" s="36">
        <v>8168</v>
      </c>
      <c r="C760" s="40">
        <v>176030</v>
      </c>
    </row>
    <row r="761" spans="1:3" x14ac:dyDescent="0.2">
      <c r="A761">
        <v>2020</v>
      </c>
      <c r="B761" s="36">
        <v>8169</v>
      </c>
      <c r="C761" s="40">
        <v>155123</v>
      </c>
    </row>
    <row r="762" spans="1:3" x14ac:dyDescent="0.2">
      <c r="A762">
        <v>2020</v>
      </c>
      <c r="B762" s="36">
        <v>8170</v>
      </c>
      <c r="C762" s="40">
        <v>1240231</v>
      </c>
    </row>
    <row r="763" spans="1:3" x14ac:dyDescent="0.2">
      <c r="A763">
        <v>2020</v>
      </c>
      <c r="B763" s="36">
        <v>8400</v>
      </c>
      <c r="C763" s="40">
        <v>422010</v>
      </c>
    </row>
    <row r="764" spans="1:3" x14ac:dyDescent="0.2">
      <c r="A764">
        <v>2020</v>
      </c>
      <c r="B764" s="36">
        <v>8402</v>
      </c>
      <c r="C764" s="40">
        <v>516791</v>
      </c>
    </row>
    <row r="765" spans="1:3" x14ac:dyDescent="0.2">
      <c r="A765">
        <v>2020</v>
      </c>
      <c r="B765" s="36">
        <v>8403</v>
      </c>
      <c r="C765" s="40">
        <v>305037</v>
      </c>
    </row>
    <row r="766" spans="1:3" x14ac:dyDescent="0.2">
      <c r="A766">
        <v>2020</v>
      </c>
      <c r="B766" s="36">
        <v>8406</v>
      </c>
      <c r="C766" s="40">
        <v>149171</v>
      </c>
    </row>
    <row r="767" spans="1:3" x14ac:dyDescent="0.2">
      <c r="A767">
        <v>2020</v>
      </c>
      <c r="B767" s="36">
        <v>8407</v>
      </c>
      <c r="C767" s="40">
        <v>1157185</v>
      </c>
    </row>
    <row r="768" spans="1:3" x14ac:dyDescent="0.2">
      <c r="A768">
        <v>2020</v>
      </c>
      <c r="B768" s="36">
        <v>8409</v>
      </c>
      <c r="C768" s="40">
        <v>627388</v>
      </c>
    </row>
    <row r="769" spans="1:3" x14ac:dyDescent="0.2">
      <c r="A769">
        <v>2020</v>
      </c>
      <c r="B769" s="36">
        <v>8410</v>
      </c>
      <c r="C769" s="40">
        <v>342452</v>
      </c>
    </row>
    <row r="770" spans="1:3" x14ac:dyDescent="0.2">
      <c r="A770">
        <v>2020</v>
      </c>
      <c r="B770" s="36">
        <v>8412</v>
      </c>
      <c r="C770" s="40">
        <v>496866</v>
      </c>
    </row>
    <row r="771" spans="1:3" x14ac:dyDescent="0.2">
      <c r="A771">
        <v>2020</v>
      </c>
      <c r="B771" s="36">
        <v>8415</v>
      </c>
      <c r="C771" s="40">
        <v>509344</v>
      </c>
    </row>
    <row r="772" spans="1:3" x14ac:dyDescent="0.2">
      <c r="A772">
        <v>2020</v>
      </c>
      <c r="B772" s="36">
        <v>8416</v>
      </c>
      <c r="C772" s="40">
        <v>181107</v>
      </c>
    </row>
    <row r="773" spans="1:3" x14ac:dyDescent="0.2">
      <c r="A773">
        <v>2020</v>
      </c>
      <c r="B773" s="36">
        <v>8419</v>
      </c>
      <c r="C773" s="40">
        <v>471036</v>
      </c>
    </row>
    <row r="774" spans="1:3" x14ac:dyDescent="0.2">
      <c r="A774">
        <v>2020</v>
      </c>
      <c r="B774" s="36">
        <v>8420</v>
      </c>
      <c r="C774" s="40">
        <v>333257</v>
      </c>
    </row>
    <row r="775" spans="1:3" x14ac:dyDescent="0.2">
      <c r="A775">
        <v>2020</v>
      </c>
      <c r="B775" s="36">
        <v>8421</v>
      </c>
      <c r="C775" s="40">
        <v>270545</v>
      </c>
    </row>
    <row r="776" spans="1:3" x14ac:dyDescent="0.2">
      <c r="A776">
        <v>2020</v>
      </c>
      <c r="B776" s="36">
        <v>8423</v>
      </c>
      <c r="C776" s="40">
        <v>142157</v>
      </c>
    </row>
    <row r="777" spans="1:3" x14ac:dyDescent="0.2">
      <c r="A777">
        <v>2020</v>
      </c>
      <c r="B777" s="36">
        <v>8424</v>
      </c>
      <c r="C777" s="40">
        <v>115887</v>
      </c>
    </row>
    <row r="778" spans="1:3" x14ac:dyDescent="0.2">
      <c r="A778">
        <v>2020</v>
      </c>
      <c r="B778" s="36">
        <v>8425</v>
      </c>
      <c r="C778" s="40">
        <v>332012</v>
      </c>
    </row>
    <row r="779" spans="1:3" x14ac:dyDescent="0.2">
      <c r="A779">
        <v>2020</v>
      </c>
      <c r="B779" s="36">
        <v>8427</v>
      </c>
      <c r="C779" s="40">
        <v>52708</v>
      </c>
    </row>
    <row r="780" spans="1:3" x14ac:dyDescent="0.2">
      <c r="A780">
        <v>2020</v>
      </c>
      <c r="B780" s="36">
        <v>8428</v>
      </c>
      <c r="C780" s="40">
        <v>424263</v>
      </c>
    </row>
    <row r="781" spans="1:3" x14ac:dyDescent="0.2">
      <c r="A781">
        <v>2020</v>
      </c>
      <c r="B781" s="36">
        <v>8429</v>
      </c>
      <c r="C781" s="40">
        <v>198475</v>
      </c>
    </row>
    <row r="782" spans="1:3" x14ac:dyDescent="0.2">
      <c r="A782">
        <v>2020</v>
      </c>
      <c r="B782" s="36">
        <v>8430</v>
      </c>
      <c r="C782" s="40">
        <v>236294</v>
      </c>
    </row>
    <row r="783" spans="1:3" x14ac:dyDescent="0.2">
      <c r="A783">
        <v>2020</v>
      </c>
      <c r="B783" s="36">
        <v>8431</v>
      </c>
      <c r="C783" s="40">
        <v>294599</v>
      </c>
    </row>
    <row r="784" spans="1:3" x14ac:dyDescent="0.2">
      <c r="A784">
        <v>2020</v>
      </c>
      <c r="B784" s="36">
        <v>8432</v>
      </c>
      <c r="C784" s="40">
        <v>234975</v>
      </c>
    </row>
    <row r="785" spans="1:3" x14ac:dyDescent="0.2">
      <c r="A785">
        <v>2020</v>
      </c>
      <c r="B785" s="36">
        <v>8433</v>
      </c>
      <c r="C785" s="40">
        <v>114596</v>
      </c>
    </row>
    <row r="786" spans="1:3" x14ac:dyDescent="0.2">
      <c r="A786">
        <v>2020</v>
      </c>
      <c r="B786" s="36">
        <v>8434</v>
      </c>
      <c r="C786" s="40">
        <v>226404</v>
      </c>
    </row>
    <row r="787" spans="1:3" x14ac:dyDescent="0.2">
      <c r="A787">
        <v>2020</v>
      </c>
      <c r="B787" s="36">
        <v>8435</v>
      </c>
      <c r="C787" s="40">
        <v>155018</v>
      </c>
    </row>
    <row r="788" spans="1:3" x14ac:dyDescent="0.2">
      <c r="A788">
        <v>2020</v>
      </c>
      <c r="B788" s="36">
        <v>8436</v>
      </c>
      <c r="C788" s="40">
        <v>428176</v>
      </c>
    </row>
    <row r="789" spans="1:3" x14ac:dyDescent="0.2">
      <c r="A789">
        <v>2020</v>
      </c>
      <c r="B789" s="36">
        <v>8437</v>
      </c>
      <c r="C789" s="40">
        <v>181360</v>
      </c>
    </row>
    <row r="791" spans="1:3" x14ac:dyDescent="0.2">
      <c r="B791" s="10" t="s">
        <v>3</v>
      </c>
      <c r="C791" s="42">
        <f>SUM(C2:C789)</f>
        <v>1503822933</v>
      </c>
    </row>
    <row r="792" spans="1:3" x14ac:dyDescent="0.2">
      <c r="B792" s="10"/>
    </row>
    <row r="793" spans="1:3" x14ac:dyDescent="0.2">
      <c r="B793" s="10" t="s">
        <v>2</v>
      </c>
      <c r="C793" s="43">
        <v>1503822923</v>
      </c>
    </row>
    <row r="794" spans="1:3" x14ac:dyDescent="0.2">
      <c r="B794" s="10"/>
    </row>
    <row r="795" spans="1:3" x14ac:dyDescent="0.2">
      <c r="B795" s="19" t="s">
        <v>4</v>
      </c>
      <c r="C795" s="44">
        <f>C791-C793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86D5-2C80-C340-9C10-9519DADAAD09}">
  <sheetPr>
    <tabColor rgb="FFFFFF00"/>
  </sheetPr>
  <dimension ref="A1:C795"/>
  <sheetViews>
    <sheetView workbookViewId="0">
      <selection activeCell="A2" sqref="A2:C789"/>
    </sheetView>
  </sheetViews>
  <sheetFormatPr baseColWidth="10" defaultRowHeight="16" x14ac:dyDescent="0.2"/>
  <cols>
    <col min="1" max="1" width="10.83203125" style="10"/>
    <col min="2" max="2" width="16" style="10" bestFit="1" customWidth="1"/>
    <col min="3" max="3" width="16.6640625" style="10" bestFit="1" customWidth="1"/>
  </cols>
  <sheetData>
    <row r="1" spans="1:3" x14ac:dyDescent="0.2">
      <c r="A1" s="10" t="s">
        <v>5</v>
      </c>
      <c r="B1" s="34" t="s">
        <v>0</v>
      </c>
      <c r="C1" s="35" t="s">
        <v>1</v>
      </c>
    </row>
    <row r="2" spans="1:3" x14ac:dyDescent="0.2">
      <c r="A2" s="10">
        <v>2021</v>
      </c>
      <c r="B2" s="52">
        <v>1005</v>
      </c>
      <c r="C2" s="53">
        <v>8019213</v>
      </c>
    </row>
    <row r="3" spans="1:3" x14ac:dyDescent="0.2">
      <c r="A3" s="10">
        <v>2021</v>
      </c>
      <c r="B3" s="52">
        <v>1010</v>
      </c>
      <c r="C3" s="53">
        <v>2432559</v>
      </c>
    </row>
    <row r="4" spans="1:3" x14ac:dyDescent="0.2">
      <c r="A4" s="10">
        <v>2021</v>
      </c>
      <c r="B4" s="52">
        <v>1015</v>
      </c>
      <c r="C4" s="53">
        <v>2787398</v>
      </c>
    </row>
    <row r="5" spans="1:3" x14ac:dyDescent="0.2">
      <c r="A5" s="10">
        <v>2021</v>
      </c>
      <c r="B5" s="52">
        <v>1020</v>
      </c>
      <c r="C5" s="54">
        <v>1666430</v>
      </c>
    </row>
    <row r="6" spans="1:3" x14ac:dyDescent="0.2">
      <c r="A6" s="10">
        <v>2021</v>
      </c>
      <c r="B6" s="52">
        <v>1025</v>
      </c>
      <c r="C6" s="53">
        <v>2760166</v>
      </c>
    </row>
    <row r="7" spans="1:3" x14ac:dyDescent="0.2">
      <c r="A7" s="10">
        <v>2021</v>
      </c>
      <c r="B7" s="52">
        <v>1030</v>
      </c>
      <c r="C7" s="53">
        <v>3993385</v>
      </c>
    </row>
    <row r="8" spans="1:3" x14ac:dyDescent="0.2">
      <c r="A8" s="10">
        <v>2021</v>
      </c>
      <c r="B8" s="52">
        <v>1035</v>
      </c>
      <c r="C8" s="54">
        <v>28800016</v>
      </c>
    </row>
    <row r="9" spans="1:3" x14ac:dyDescent="0.2">
      <c r="A9" s="10">
        <v>2021</v>
      </c>
      <c r="B9" s="52">
        <v>1040</v>
      </c>
      <c r="C9" s="54">
        <v>2595093</v>
      </c>
    </row>
    <row r="10" spans="1:3" x14ac:dyDescent="0.2">
      <c r="A10" s="10">
        <v>2021</v>
      </c>
      <c r="B10" s="52">
        <v>1045</v>
      </c>
      <c r="C10" s="54">
        <v>1430894</v>
      </c>
    </row>
    <row r="11" spans="1:3" x14ac:dyDescent="0.2">
      <c r="A11" s="10">
        <v>2021</v>
      </c>
      <c r="B11" s="52">
        <v>1050</v>
      </c>
      <c r="C11" s="54">
        <v>3873302</v>
      </c>
    </row>
    <row r="12" spans="1:3" x14ac:dyDescent="0.2">
      <c r="A12" s="10">
        <v>2021</v>
      </c>
      <c r="B12" s="52">
        <v>1055</v>
      </c>
      <c r="C12" s="54">
        <v>1553195</v>
      </c>
    </row>
    <row r="13" spans="1:3" x14ac:dyDescent="0.2">
      <c r="A13" s="10">
        <v>2021</v>
      </c>
      <c r="B13" s="52">
        <v>1060</v>
      </c>
      <c r="C13" s="54">
        <v>1746223</v>
      </c>
    </row>
    <row r="14" spans="1:3" x14ac:dyDescent="0.2">
      <c r="A14" s="10">
        <v>2021</v>
      </c>
      <c r="B14" s="52">
        <v>1065</v>
      </c>
      <c r="C14" s="54">
        <v>3434860</v>
      </c>
    </row>
    <row r="15" spans="1:3" x14ac:dyDescent="0.2">
      <c r="A15" s="10">
        <v>2021</v>
      </c>
      <c r="B15" s="52">
        <v>1070</v>
      </c>
      <c r="C15" s="53">
        <v>2470588</v>
      </c>
    </row>
    <row r="16" spans="1:3" x14ac:dyDescent="0.2">
      <c r="A16" s="10">
        <v>2021</v>
      </c>
      <c r="B16" s="52">
        <v>1075</v>
      </c>
      <c r="C16" s="54">
        <v>1772073</v>
      </c>
    </row>
    <row r="17" spans="1:3" x14ac:dyDescent="0.2">
      <c r="A17" s="10">
        <v>2021</v>
      </c>
      <c r="B17" s="55">
        <v>1080</v>
      </c>
      <c r="C17" s="53">
        <v>3489821</v>
      </c>
    </row>
    <row r="18" spans="1:3" x14ac:dyDescent="0.2">
      <c r="A18" s="10">
        <v>2021</v>
      </c>
      <c r="B18" s="52">
        <v>1085</v>
      </c>
      <c r="C18" s="53">
        <v>1552451</v>
      </c>
    </row>
    <row r="19" spans="1:3" x14ac:dyDescent="0.2">
      <c r="A19" s="10">
        <v>2021</v>
      </c>
      <c r="B19" s="55">
        <v>1090</v>
      </c>
      <c r="C19" s="54">
        <v>1935026</v>
      </c>
    </row>
    <row r="20" spans="1:3" x14ac:dyDescent="0.2">
      <c r="A20" s="10">
        <v>2021</v>
      </c>
      <c r="B20" s="52">
        <v>1095</v>
      </c>
      <c r="C20" s="54">
        <v>1106466</v>
      </c>
    </row>
    <row r="21" spans="1:3" x14ac:dyDescent="0.2">
      <c r="A21" s="10">
        <v>2021</v>
      </c>
      <c r="B21" s="52">
        <v>1100</v>
      </c>
      <c r="C21" s="54">
        <v>1664982</v>
      </c>
    </row>
    <row r="22" spans="1:3" x14ac:dyDescent="0.2">
      <c r="A22" s="10">
        <v>2021</v>
      </c>
      <c r="B22" s="52">
        <v>1105</v>
      </c>
      <c r="C22" s="54">
        <v>4143262</v>
      </c>
    </row>
    <row r="23" spans="1:3" x14ac:dyDescent="0.2">
      <c r="A23" s="10">
        <v>2021</v>
      </c>
      <c r="B23" s="52">
        <v>1110</v>
      </c>
      <c r="C23" s="53">
        <v>3166918</v>
      </c>
    </row>
    <row r="24" spans="1:3" x14ac:dyDescent="0.2">
      <c r="A24" s="10">
        <v>2021</v>
      </c>
      <c r="B24" s="52">
        <v>1115</v>
      </c>
      <c r="C24" s="54">
        <v>939090</v>
      </c>
    </row>
    <row r="25" spans="1:3" x14ac:dyDescent="0.2">
      <c r="A25" s="10">
        <v>2021</v>
      </c>
      <c r="B25" s="52">
        <v>1120</v>
      </c>
      <c r="C25" s="53">
        <v>6348876</v>
      </c>
    </row>
    <row r="26" spans="1:3" x14ac:dyDescent="0.2">
      <c r="A26" s="10">
        <v>2021</v>
      </c>
      <c r="B26" s="52">
        <v>1125</v>
      </c>
      <c r="C26" s="54">
        <v>1571370</v>
      </c>
    </row>
    <row r="27" spans="1:3" x14ac:dyDescent="0.2">
      <c r="A27" s="10">
        <v>2021</v>
      </c>
      <c r="B27" s="52">
        <v>1130</v>
      </c>
      <c r="C27" s="54">
        <v>711092</v>
      </c>
    </row>
    <row r="28" spans="1:3" x14ac:dyDescent="0.2">
      <c r="A28" s="10">
        <v>2021</v>
      </c>
      <c r="B28" s="52">
        <v>1135</v>
      </c>
      <c r="C28" s="53">
        <v>3665126</v>
      </c>
    </row>
    <row r="29" spans="1:3" x14ac:dyDescent="0.2">
      <c r="A29" s="10">
        <v>2021</v>
      </c>
      <c r="B29" s="52">
        <v>1140</v>
      </c>
      <c r="C29" s="54">
        <v>5597190</v>
      </c>
    </row>
    <row r="30" spans="1:3" x14ac:dyDescent="0.2">
      <c r="A30" s="10">
        <v>2021</v>
      </c>
      <c r="B30" s="52">
        <v>1145</v>
      </c>
      <c r="C30" s="53">
        <v>837321</v>
      </c>
    </row>
    <row r="31" spans="1:3" x14ac:dyDescent="0.2">
      <c r="A31" s="10">
        <v>2021</v>
      </c>
      <c r="B31" s="52">
        <v>1150</v>
      </c>
      <c r="C31" s="54">
        <v>6892129</v>
      </c>
    </row>
    <row r="32" spans="1:3" x14ac:dyDescent="0.2">
      <c r="A32" s="10">
        <v>2021</v>
      </c>
      <c r="B32" s="52">
        <v>1155</v>
      </c>
      <c r="C32" s="54">
        <v>9278296</v>
      </c>
    </row>
    <row r="33" spans="1:3" x14ac:dyDescent="0.2">
      <c r="A33" s="10">
        <v>2021</v>
      </c>
      <c r="B33" s="52">
        <v>1160</v>
      </c>
      <c r="C33" s="54">
        <v>11842282</v>
      </c>
    </row>
    <row r="34" spans="1:3" x14ac:dyDescent="0.2">
      <c r="A34" s="10">
        <v>2021</v>
      </c>
      <c r="B34" s="52">
        <v>1165</v>
      </c>
      <c r="C34" s="54">
        <v>11112336</v>
      </c>
    </row>
    <row r="35" spans="1:3" x14ac:dyDescent="0.2">
      <c r="A35" s="10">
        <v>2021</v>
      </c>
      <c r="B35" s="52">
        <v>1170</v>
      </c>
      <c r="C35" s="53">
        <v>5119385</v>
      </c>
    </row>
    <row r="36" spans="1:3" x14ac:dyDescent="0.2">
      <c r="A36" s="10">
        <v>2021</v>
      </c>
      <c r="B36" s="52">
        <v>1175</v>
      </c>
      <c r="C36" s="53">
        <v>2605106</v>
      </c>
    </row>
    <row r="37" spans="1:3" x14ac:dyDescent="0.2">
      <c r="A37" s="10">
        <v>2021</v>
      </c>
      <c r="B37" s="52">
        <v>1180</v>
      </c>
      <c r="C37" s="54">
        <v>1054253</v>
      </c>
    </row>
    <row r="38" spans="1:3" x14ac:dyDescent="0.2">
      <c r="A38" s="10">
        <v>2021</v>
      </c>
      <c r="B38" s="52">
        <v>1185</v>
      </c>
      <c r="C38" s="54">
        <v>1187600</v>
      </c>
    </row>
    <row r="39" spans="1:3" x14ac:dyDescent="0.2">
      <c r="A39" s="10">
        <v>2021</v>
      </c>
      <c r="B39" s="52">
        <v>1190</v>
      </c>
      <c r="C39" s="54">
        <v>1411384</v>
      </c>
    </row>
    <row r="40" spans="1:3" x14ac:dyDescent="0.2">
      <c r="A40" s="10">
        <v>2021</v>
      </c>
      <c r="B40" s="52">
        <v>1195</v>
      </c>
      <c r="C40" s="53">
        <v>1443563</v>
      </c>
    </row>
    <row r="41" spans="1:3" x14ac:dyDescent="0.2">
      <c r="A41" s="10">
        <v>2021</v>
      </c>
      <c r="B41" s="52">
        <v>1200</v>
      </c>
      <c r="C41" s="54">
        <v>1371224</v>
      </c>
    </row>
    <row r="42" spans="1:3" x14ac:dyDescent="0.2">
      <c r="A42" s="10">
        <v>2021</v>
      </c>
      <c r="B42" s="52">
        <v>1205</v>
      </c>
      <c r="C42" s="53">
        <v>3034394</v>
      </c>
    </row>
    <row r="43" spans="1:3" x14ac:dyDescent="0.2">
      <c r="A43" s="10">
        <v>2021</v>
      </c>
      <c r="B43" s="52">
        <v>1210</v>
      </c>
      <c r="C43" s="53">
        <v>3718227</v>
      </c>
    </row>
    <row r="44" spans="1:3" x14ac:dyDescent="0.2">
      <c r="A44" s="10">
        <v>2021</v>
      </c>
      <c r="B44" s="55">
        <v>1215</v>
      </c>
      <c r="C44" s="53">
        <v>1598456</v>
      </c>
    </row>
    <row r="45" spans="1:3" x14ac:dyDescent="0.2">
      <c r="A45" s="10">
        <v>2021</v>
      </c>
      <c r="B45" s="52">
        <v>1220</v>
      </c>
      <c r="C45" s="53">
        <v>2318358</v>
      </c>
    </row>
    <row r="46" spans="1:3" x14ac:dyDescent="0.2">
      <c r="A46" s="10">
        <v>2021</v>
      </c>
      <c r="B46" s="56">
        <v>1225</v>
      </c>
      <c r="C46" s="57">
        <v>3566275</v>
      </c>
    </row>
    <row r="47" spans="1:3" x14ac:dyDescent="0.2">
      <c r="A47" s="10">
        <v>2021</v>
      </c>
      <c r="B47" s="56">
        <v>1230</v>
      </c>
      <c r="C47" s="54">
        <v>764151</v>
      </c>
    </row>
    <row r="48" spans="1:3" x14ac:dyDescent="0.2">
      <c r="A48" s="10">
        <v>2021</v>
      </c>
      <c r="B48" s="58">
        <v>1235</v>
      </c>
      <c r="C48" s="54">
        <v>23367927</v>
      </c>
    </row>
    <row r="49" spans="1:3" x14ac:dyDescent="0.2">
      <c r="A49" s="10">
        <v>2021</v>
      </c>
      <c r="B49" s="56">
        <v>1240</v>
      </c>
      <c r="C49" s="54">
        <v>3679759</v>
      </c>
    </row>
    <row r="50" spans="1:3" x14ac:dyDescent="0.2">
      <c r="A50" s="10">
        <v>2021</v>
      </c>
      <c r="B50" s="56">
        <v>1245</v>
      </c>
      <c r="C50" s="54">
        <v>4050679</v>
      </c>
    </row>
    <row r="51" spans="1:3" x14ac:dyDescent="0.2">
      <c r="A51" s="10">
        <v>2021</v>
      </c>
      <c r="B51" s="56">
        <v>1250</v>
      </c>
      <c r="C51" s="54">
        <v>1353758</v>
      </c>
    </row>
    <row r="52" spans="1:3" x14ac:dyDescent="0.2">
      <c r="A52" s="10">
        <v>2021</v>
      </c>
      <c r="B52" s="56">
        <v>1255</v>
      </c>
      <c r="C52" s="54">
        <v>4412350</v>
      </c>
    </row>
    <row r="53" spans="1:3" x14ac:dyDescent="0.2">
      <c r="A53" s="10">
        <v>2021</v>
      </c>
      <c r="B53" s="56">
        <v>1260</v>
      </c>
      <c r="C53" s="54">
        <v>7098051</v>
      </c>
    </row>
    <row r="54" spans="1:3" x14ac:dyDescent="0.2">
      <c r="A54" s="10">
        <v>2021</v>
      </c>
      <c r="B54" s="56">
        <v>1265</v>
      </c>
      <c r="C54" s="54">
        <v>1415174</v>
      </c>
    </row>
    <row r="55" spans="1:3" x14ac:dyDescent="0.2">
      <c r="A55" s="10">
        <v>2021</v>
      </c>
      <c r="B55" s="56">
        <v>1270</v>
      </c>
      <c r="C55" s="54">
        <v>17487327</v>
      </c>
    </row>
    <row r="56" spans="1:3" x14ac:dyDescent="0.2">
      <c r="A56" s="10">
        <v>2021</v>
      </c>
      <c r="B56" s="56">
        <v>1275</v>
      </c>
      <c r="C56" s="54">
        <v>1291703</v>
      </c>
    </row>
    <row r="57" spans="1:3" x14ac:dyDescent="0.2">
      <c r="A57" s="10">
        <v>2021</v>
      </c>
      <c r="B57" s="56">
        <v>1280</v>
      </c>
      <c r="C57" s="54">
        <v>3140728</v>
      </c>
    </row>
    <row r="58" spans="1:3" x14ac:dyDescent="0.2">
      <c r="A58" s="10">
        <v>2021</v>
      </c>
      <c r="B58" s="56">
        <v>1285</v>
      </c>
      <c r="C58" s="54">
        <v>5895149</v>
      </c>
    </row>
    <row r="59" spans="1:3" x14ac:dyDescent="0.2">
      <c r="A59" s="10">
        <v>2021</v>
      </c>
      <c r="B59" s="56">
        <v>1290</v>
      </c>
      <c r="C59" s="54">
        <v>2479833</v>
      </c>
    </row>
    <row r="60" spans="1:3" x14ac:dyDescent="0.2">
      <c r="A60" s="10">
        <v>2021</v>
      </c>
      <c r="B60" s="56">
        <v>1295</v>
      </c>
      <c r="C60" s="53">
        <v>914947</v>
      </c>
    </row>
    <row r="61" spans="1:3" x14ac:dyDescent="0.2">
      <c r="A61" s="10">
        <v>2021</v>
      </c>
      <c r="B61" s="56">
        <v>1300</v>
      </c>
      <c r="C61" s="53">
        <v>9154440</v>
      </c>
    </row>
    <row r="62" spans="1:3" x14ac:dyDescent="0.2">
      <c r="A62" s="10">
        <v>2021</v>
      </c>
      <c r="B62" s="58">
        <v>1305</v>
      </c>
      <c r="C62" s="53">
        <v>24721849</v>
      </c>
    </row>
    <row r="63" spans="1:3" x14ac:dyDescent="0.2">
      <c r="A63" s="10">
        <v>2021</v>
      </c>
      <c r="B63" s="56">
        <v>2005</v>
      </c>
      <c r="C63" s="53">
        <v>1282225</v>
      </c>
    </row>
    <row r="64" spans="1:3" x14ac:dyDescent="0.2">
      <c r="A64" s="10">
        <v>2021</v>
      </c>
      <c r="B64" s="56">
        <v>2006</v>
      </c>
      <c r="C64" s="54">
        <v>1167623</v>
      </c>
    </row>
    <row r="65" spans="1:3" x14ac:dyDescent="0.2">
      <c r="A65" s="10">
        <v>2021</v>
      </c>
      <c r="B65" s="56">
        <v>2007</v>
      </c>
      <c r="C65" s="53">
        <v>3215923</v>
      </c>
    </row>
    <row r="66" spans="1:3" x14ac:dyDescent="0.2">
      <c r="A66" s="10">
        <v>2021</v>
      </c>
      <c r="B66" s="56">
        <v>2008</v>
      </c>
      <c r="C66" s="53">
        <v>3059171</v>
      </c>
    </row>
    <row r="67" spans="1:3" x14ac:dyDescent="0.2">
      <c r="A67" s="10">
        <v>2021</v>
      </c>
      <c r="B67" s="58">
        <v>2009</v>
      </c>
      <c r="C67" s="53">
        <v>2362387</v>
      </c>
    </row>
    <row r="68" spans="1:3" x14ac:dyDescent="0.2">
      <c r="A68" s="10">
        <v>2021</v>
      </c>
      <c r="B68" s="56">
        <v>2010</v>
      </c>
      <c r="C68" s="54">
        <v>7750650</v>
      </c>
    </row>
    <row r="69" spans="1:3" x14ac:dyDescent="0.2">
      <c r="A69" s="10">
        <v>2021</v>
      </c>
      <c r="B69" s="58">
        <v>2014</v>
      </c>
      <c r="C69" s="54">
        <v>1008970</v>
      </c>
    </row>
    <row r="70" spans="1:3" x14ac:dyDescent="0.2">
      <c r="A70" s="10">
        <v>2021</v>
      </c>
      <c r="B70" s="56">
        <v>2015</v>
      </c>
      <c r="C70" s="53">
        <v>2200250</v>
      </c>
    </row>
    <row r="71" spans="1:3" x14ac:dyDescent="0.2">
      <c r="A71" s="10">
        <v>2021</v>
      </c>
      <c r="B71" s="56">
        <v>2016</v>
      </c>
      <c r="C71" s="53">
        <v>798123</v>
      </c>
    </row>
    <row r="72" spans="1:3" x14ac:dyDescent="0.2">
      <c r="A72" s="10">
        <v>2021</v>
      </c>
      <c r="B72" s="56">
        <v>2018</v>
      </c>
      <c r="C72" s="54">
        <v>2091455</v>
      </c>
    </row>
    <row r="73" spans="1:3" x14ac:dyDescent="0.2">
      <c r="A73" s="10">
        <v>2021</v>
      </c>
      <c r="B73" s="58">
        <v>2020</v>
      </c>
      <c r="C73" s="54">
        <v>5295779</v>
      </c>
    </row>
    <row r="74" spans="1:3" x14ac:dyDescent="0.2">
      <c r="A74" s="10">
        <v>2021</v>
      </c>
      <c r="B74" s="56">
        <v>2025</v>
      </c>
      <c r="C74" s="53">
        <v>4159379</v>
      </c>
    </row>
    <row r="75" spans="1:3" x14ac:dyDescent="0.2">
      <c r="A75" s="10">
        <v>2021</v>
      </c>
      <c r="B75" s="58">
        <v>2030</v>
      </c>
      <c r="C75" s="54">
        <v>3470926</v>
      </c>
    </row>
    <row r="76" spans="1:3" x14ac:dyDescent="0.2">
      <c r="A76" s="10">
        <v>2021</v>
      </c>
      <c r="B76" s="56">
        <v>2035</v>
      </c>
      <c r="C76" s="54">
        <v>1126663</v>
      </c>
    </row>
    <row r="77" spans="1:3" x14ac:dyDescent="0.2">
      <c r="A77" s="10">
        <v>2021</v>
      </c>
      <c r="B77" s="58">
        <v>2040</v>
      </c>
      <c r="C77" s="53">
        <v>6765638</v>
      </c>
    </row>
    <row r="78" spans="1:3" x14ac:dyDescent="0.2">
      <c r="A78" s="10">
        <v>2021</v>
      </c>
      <c r="B78" s="58">
        <v>2044</v>
      </c>
      <c r="C78" s="53">
        <v>1384615</v>
      </c>
    </row>
    <row r="79" spans="1:3" x14ac:dyDescent="0.2">
      <c r="A79" s="10">
        <v>2021</v>
      </c>
      <c r="B79" s="56">
        <v>2045</v>
      </c>
      <c r="C79" s="53">
        <v>3953366</v>
      </c>
    </row>
    <row r="80" spans="1:3" x14ac:dyDescent="0.2">
      <c r="A80" s="10">
        <v>2021</v>
      </c>
      <c r="B80" s="59">
        <v>2046</v>
      </c>
      <c r="C80" s="60">
        <v>3258467</v>
      </c>
    </row>
    <row r="81" spans="1:3" x14ac:dyDescent="0.2">
      <c r="A81" s="10">
        <v>2021</v>
      </c>
      <c r="B81" s="56">
        <v>2047</v>
      </c>
      <c r="C81" s="53">
        <v>15863709</v>
      </c>
    </row>
    <row r="82" spans="1:3" x14ac:dyDescent="0.2">
      <c r="A82" s="10">
        <v>2021</v>
      </c>
      <c r="B82" s="58">
        <v>2048</v>
      </c>
      <c r="C82" s="53">
        <v>3621791</v>
      </c>
    </row>
    <row r="83" spans="1:3" x14ac:dyDescent="0.2">
      <c r="A83" s="10">
        <v>2021</v>
      </c>
      <c r="B83" s="56">
        <v>2050</v>
      </c>
      <c r="C83" s="53">
        <v>2680863</v>
      </c>
    </row>
    <row r="84" spans="1:3" x14ac:dyDescent="0.2">
      <c r="A84" s="10">
        <v>2021</v>
      </c>
      <c r="B84" s="58">
        <v>2052</v>
      </c>
      <c r="C84" s="53">
        <v>2300292</v>
      </c>
    </row>
    <row r="85" spans="1:3" x14ac:dyDescent="0.2">
      <c r="A85" s="10">
        <v>2021</v>
      </c>
      <c r="B85" s="56">
        <v>2055</v>
      </c>
      <c r="C85" s="53">
        <v>2062149</v>
      </c>
    </row>
    <row r="86" spans="1:3" x14ac:dyDescent="0.2">
      <c r="A86" s="10">
        <v>2021</v>
      </c>
      <c r="B86" s="58">
        <v>2056</v>
      </c>
      <c r="C86" s="53">
        <v>2692717</v>
      </c>
    </row>
    <row r="87" spans="1:3" x14ac:dyDescent="0.2">
      <c r="A87" s="10">
        <v>2021</v>
      </c>
      <c r="B87" s="58">
        <v>2057</v>
      </c>
      <c r="C87" s="53">
        <v>3485209</v>
      </c>
    </row>
    <row r="88" spans="1:3" x14ac:dyDescent="0.2">
      <c r="A88" s="10">
        <v>2021</v>
      </c>
      <c r="B88" s="56">
        <v>2058</v>
      </c>
      <c r="C88" s="53">
        <v>2092305</v>
      </c>
    </row>
    <row r="89" spans="1:3" x14ac:dyDescent="0.2">
      <c r="A89" s="10">
        <v>2021</v>
      </c>
      <c r="B89" s="59">
        <v>2059</v>
      </c>
      <c r="C89" s="60">
        <v>3696661</v>
      </c>
    </row>
    <row r="90" spans="1:3" x14ac:dyDescent="0.2">
      <c r="A90" s="10">
        <v>2021</v>
      </c>
      <c r="B90" s="58">
        <v>2060</v>
      </c>
      <c r="C90" s="54">
        <v>902813</v>
      </c>
    </row>
    <row r="91" spans="1:3" x14ac:dyDescent="0.2">
      <c r="A91" s="10">
        <v>2021</v>
      </c>
      <c r="B91" s="58">
        <v>2061</v>
      </c>
      <c r="C91" s="53">
        <v>1016255</v>
      </c>
    </row>
    <row r="92" spans="1:3" x14ac:dyDescent="0.2">
      <c r="A92" s="10">
        <v>2021</v>
      </c>
      <c r="B92" s="56">
        <v>2062</v>
      </c>
      <c r="C92" s="57">
        <v>1515483</v>
      </c>
    </row>
    <row r="93" spans="1:3" x14ac:dyDescent="0.2">
      <c r="A93" s="10">
        <v>2021</v>
      </c>
      <c r="B93" s="56">
        <v>2063</v>
      </c>
      <c r="C93" s="54">
        <v>866729</v>
      </c>
    </row>
    <row r="94" spans="1:3" x14ac:dyDescent="0.2">
      <c r="A94" s="10">
        <v>2021</v>
      </c>
      <c r="B94" s="56">
        <v>2064</v>
      </c>
      <c r="C94" s="53">
        <v>2507468</v>
      </c>
    </row>
    <row r="95" spans="1:3" x14ac:dyDescent="0.2">
      <c r="A95" s="10">
        <v>2021</v>
      </c>
      <c r="B95" s="56">
        <v>2065</v>
      </c>
      <c r="C95" s="54">
        <v>2180274</v>
      </c>
    </row>
    <row r="96" spans="1:3" x14ac:dyDescent="0.2">
      <c r="A96" s="10">
        <v>2021</v>
      </c>
      <c r="B96" s="56">
        <v>2066</v>
      </c>
      <c r="C96" s="53">
        <v>5253345</v>
      </c>
    </row>
    <row r="97" spans="1:3" x14ac:dyDescent="0.2">
      <c r="A97" s="10">
        <v>2021</v>
      </c>
      <c r="B97" s="56">
        <v>2067</v>
      </c>
      <c r="C97" s="54">
        <v>7902239</v>
      </c>
    </row>
    <row r="98" spans="1:3" x14ac:dyDescent="0.2">
      <c r="A98" s="10">
        <v>2021</v>
      </c>
      <c r="B98" s="56">
        <v>2068</v>
      </c>
      <c r="C98" s="54">
        <v>7360257</v>
      </c>
    </row>
    <row r="99" spans="1:3" x14ac:dyDescent="0.2">
      <c r="A99" s="10">
        <v>2021</v>
      </c>
      <c r="B99" s="58">
        <v>2069</v>
      </c>
      <c r="C99" s="54">
        <v>962818</v>
      </c>
    </row>
    <row r="100" spans="1:3" x14ac:dyDescent="0.2">
      <c r="A100" s="10">
        <v>2021</v>
      </c>
      <c r="B100" s="56">
        <v>2070</v>
      </c>
      <c r="C100" s="54">
        <v>1319149</v>
      </c>
    </row>
    <row r="101" spans="1:3" x14ac:dyDescent="0.2">
      <c r="A101" s="10">
        <v>2021</v>
      </c>
      <c r="B101" s="56">
        <v>2071</v>
      </c>
      <c r="C101" s="54">
        <v>1030411</v>
      </c>
    </row>
    <row r="102" spans="1:3" x14ac:dyDescent="0.2">
      <c r="A102" s="10">
        <v>2021</v>
      </c>
      <c r="B102" s="56">
        <v>2072</v>
      </c>
      <c r="C102" s="54">
        <v>1307409</v>
      </c>
    </row>
    <row r="103" spans="1:3" x14ac:dyDescent="0.2">
      <c r="A103" s="10">
        <v>2021</v>
      </c>
      <c r="B103" s="56">
        <v>2073</v>
      </c>
      <c r="C103" s="54">
        <v>2622301</v>
      </c>
    </row>
    <row r="104" spans="1:3" x14ac:dyDescent="0.2">
      <c r="A104" s="10">
        <v>2021</v>
      </c>
      <c r="B104" s="58">
        <v>2074</v>
      </c>
      <c r="C104" s="54">
        <v>2524869</v>
      </c>
    </row>
    <row r="105" spans="1:3" x14ac:dyDescent="0.2">
      <c r="A105" s="10">
        <v>2021</v>
      </c>
      <c r="B105" s="56">
        <v>2075</v>
      </c>
      <c r="C105" s="54">
        <v>5112294</v>
      </c>
    </row>
    <row r="106" spans="1:3" x14ac:dyDescent="0.2">
      <c r="A106" s="10">
        <v>2021</v>
      </c>
      <c r="B106" s="56">
        <v>2076</v>
      </c>
      <c r="C106" s="53">
        <v>3180397</v>
      </c>
    </row>
    <row r="107" spans="1:3" x14ac:dyDescent="0.2">
      <c r="A107" s="10">
        <v>2021</v>
      </c>
      <c r="B107" s="56">
        <v>2077</v>
      </c>
      <c r="C107" s="53">
        <v>934072</v>
      </c>
    </row>
    <row r="108" spans="1:3" x14ac:dyDescent="0.2">
      <c r="A108" s="10">
        <v>2021</v>
      </c>
      <c r="B108" s="56">
        <v>2078</v>
      </c>
      <c r="C108" s="54">
        <v>7765568</v>
      </c>
    </row>
    <row r="109" spans="1:3" x14ac:dyDescent="0.2">
      <c r="A109" s="10">
        <v>2021</v>
      </c>
      <c r="B109" s="56">
        <v>2079</v>
      </c>
      <c r="C109" s="54">
        <v>4401362</v>
      </c>
    </row>
    <row r="110" spans="1:3" x14ac:dyDescent="0.2">
      <c r="A110" s="10">
        <v>2021</v>
      </c>
      <c r="B110" s="56">
        <v>2080</v>
      </c>
      <c r="C110" s="54">
        <v>977063</v>
      </c>
    </row>
    <row r="111" spans="1:3" x14ac:dyDescent="0.2">
      <c r="A111" s="10">
        <v>2021</v>
      </c>
      <c r="B111" s="56">
        <v>2081</v>
      </c>
      <c r="C111" s="54">
        <v>1307827</v>
      </c>
    </row>
    <row r="112" spans="1:3" x14ac:dyDescent="0.2">
      <c r="A112" s="10">
        <v>2021</v>
      </c>
      <c r="B112" s="56">
        <v>2082</v>
      </c>
      <c r="C112" s="54">
        <v>712432</v>
      </c>
    </row>
    <row r="113" spans="1:3" x14ac:dyDescent="0.2">
      <c r="A113" s="10">
        <v>2021</v>
      </c>
      <c r="B113" s="58">
        <v>2083</v>
      </c>
      <c r="C113" s="54">
        <v>1781554</v>
      </c>
    </row>
    <row r="114" spans="1:3" x14ac:dyDescent="0.2">
      <c r="A114" s="10">
        <v>2021</v>
      </c>
      <c r="B114" s="56">
        <v>2084</v>
      </c>
      <c r="C114" s="53">
        <v>2909280</v>
      </c>
    </row>
    <row r="115" spans="1:3" x14ac:dyDescent="0.2">
      <c r="A115" s="10">
        <v>2021</v>
      </c>
      <c r="B115" s="58">
        <v>2085</v>
      </c>
      <c r="C115" s="54">
        <v>1479404</v>
      </c>
    </row>
    <row r="116" spans="1:3" x14ac:dyDescent="0.2">
      <c r="A116" s="10">
        <v>2021</v>
      </c>
      <c r="B116" s="56">
        <v>2086</v>
      </c>
      <c r="C116" s="54">
        <v>4782449</v>
      </c>
    </row>
    <row r="117" spans="1:3" x14ac:dyDescent="0.2">
      <c r="A117" s="10">
        <v>2021</v>
      </c>
      <c r="B117" s="56">
        <v>2090</v>
      </c>
      <c r="C117" s="54">
        <v>2188193</v>
      </c>
    </row>
    <row r="118" spans="1:3" x14ac:dyDescent="0.2">
      <c r="A118" s="10">
        <v>2021</v>
      </c>
      <c r="B118" s="56">
        <v>2095</v>
      </c>
      <c r="C118" s="54">
        <v>2207006</v>
      </c>
    </row>
    <row r="119" spans="1:3" x14ac:dyDescent="0.2">
      <c r="A119" s="10">
        <v>2021</v>
      </c>
      <c r="B119" s="58">
        <v>2104</v>
      </c>
      <c r="C119" s="54">
        <v>1273493</v>
      </c>
    </row>
    <row r="120" spans="1:3" x14ac:dyDescent="0.2">
      <c r="A120" s="10">
        <v>2021</v>
      </c>
      <c r="B120" s="56">
        <v>2105</v>
      </c>
      <c r="C120" s="53">
        <v>1185127</v>
      </c>
    </row>
    <row r="121" spans="1:3" x14ac:dyDescent="0.2">
      <c r="A121" s="10">
        <v>2021</v>
      </c>
      <c r="B121" s="56">
        <v>2110</v>
      </c>
      <c r="C121" s="54">
        <v>3459835</v>
      </c>
    </row>
    <row r="122" spans="1:3" x14ac:dyDescent="0.2">
      <c r="A122" s="10">
        <v>2021</v>
      </c>
      <c r="B122" s="58">
        <v>2112</v>
      </c>
      <c r="C122" s="54">
        <v>2244925</v>
      </c>
    </row>
    <row r="123" spans="1:3" x14ac:dyDescent="0.2">
      <c r="A123" s="10">
        <v>2021</v>
      </c>
      <c r="B123" s="58">
        <v>2115</v>
      </c>
      <c r="C123" s="54">
        <v>4364782</v>
      </c>
    </row>
    <row r="124" spans="1:3" x14ac:dyDescent="0.2">
      <c r="A124" s="10">
        <v>2021</v>
      </c>
      <c r="B124" s="58">
        <v>2120</v>
      </c>
      <c r="C124" s="53">
        <v>8402518</v>
      </c>
    </row>
    <row r="125" spans="1:3" x14ac:dyDescent="0.2">
      <c r="A125" s="10">
        <v>2021</v>
      </c>
      <c r="B125" s="56">
        <v>2125</v>
      </c>
      <c r="C125" s="54">
        <v>799009</v>
      </c>
    </row>
    <row r="126" spans="1:3" x14ac:dyDescent="0.2">
      <c r="A126" s="10">
        <v>2021</v>
      </c>
      <c r="B126" s="61">
        <v>2130</v>
      </c>
      <c r="C126" s="54">
        <v>1571597</v>
      </c>
    </row>
    <row r="127" spans="1:3" x14ac:dyDescent="0.2">
      <c r="A127" s="10">
        <v>2021</v>
      </c>
      <c r="B127" s="56">
        <v>2135</v>
      </c>
      <c r="C127" s="53">
        <v>3060569</v>
      </c>
    </row>
    <row r="128" spans="1:3" x14ac:dyDescent="0.2">
      <c r="A128" s="10">
        <v>2021</v>
      </c>
      <c r="B128" s="58">
        <v>2140</v>
      </c>
      <c r="C128" s="53">
        <v>2866439</v>
      </c>
    </row>
    <row r="129" spans="1:3" x14ac:dyDescent="0.2">
      <c r="A129" s="10">
        <v>2021</v>
      </c>
      <c r="B129" s="56">
        <v>2145</v>
      </c>
      <c r="C129" s="53">
        <v>3730087</v>
      </c>
    </row>
    <row r="130" spans="1:3" x14ac:dyDescent="0.2">
      <c r="A130" s="10">
        <v>2021</v>
      </c>
      <c r="B130" s="58">
        <v>2146</v>
      </c>
      <c r="C130" s="53">
        <v>3478947</v>
      </c>
    </row>
    <row r="131" spans="1:3" x14ac:dyDescent="0.2">
      <c r="A131" s="10">
        <v>2021</v>
      </c>
      <c r="B131" s="56">
        <v>2147</v>
      </c>
      <c r="C131" s="54">
        <v>992077</v>
      </c>
    </row>
    <row r="132" spans="1:3" x14ac:dyDescent="0.2">
      <c r="A132" s="10">
        <v>2021</v>
      </c>
      <c r="B132" s="58">
        <v>2148</v>
      </c>
      <c r="C132" s="53">
        <v>2558920</v>
      </c>
    </row>
    <row r="133" spans="1:3" x14ac:dyDescent="0.2">
      <c r="A133" s="10">
        <v>2021</v>
      </c>
      <c r="B133" s="58">
        <v>2149</v>
      </c>
      <c r="C133" s="54">
        <v>1467604</v>
      </c>
    </row>
    <row r="134" spans="1:3" x14ac:dyDescent="0.2">
      <c r="A134" s="10">
        <v>2021</v>
      </c>
      <c r="B134" s="56">
        <v>2150</v>
      </c>
      <c r="C134" s="53">
        <v>652154</v>
      </c>
    </row>
    <row r="135" spans="1:3" x14ac:dyDescent="0.2">
      <c r="A135" s="10">
        <v>2021</v>
      </c>
      <c r="B135" s="62">
        <v>2155</v>
      </c>
      <c r="C135" s="63">
        <v>2452393</v>
      </c>
    </row>
    <row r="136" spans="1:3" x14ac:dyDescent="0.2">
      <c r="A136" s="10">
        <v>2021</v>
      </c>
      <c r="B136" s="58">
        <v>2160</v>
      </c>
      <c r="C136" s="53">
        <v>4323048</v>
      </c>
    </row>
    <row r="137" spans="1:3" x14ac:dyDescent="0.2">
      <c r="A137" s="10">
        <v>2021</v>
      </c>
      <c r="B137" s="58">
        <v>2165</v>
      </c>
      <c r="C137" s="53">
        <v>1417364</v>
      </c>
    </row>
    <row r="138" spans="1:3" x14ac:dyDescent="0.2">
      <c r="A138" s="10">
        <v>2021</v>
      </c>
      <c r="B138" s="56">
        <v>2170</v>
      </c>
      <c r="C138" s="57">
        <v>6575235</v>
      </c>
    </row>
    <row r="139" spans="1:3" x14ac:dyDescent="0.2">
      <c r="A139" s="10">
        <v>2021</v>
      </c>
      <c r="B139" s="56">
        <v>2175</v>
      </c>
      <c r="C139" s="54">
        <v>593794</v>
      </c>
    </row>
    <row r="140" spans="1:3" x14ac:dyDescent="0.2">
      <c r="A140" s="10">
        <v>2021</v>
      </c>
      <c r="B140" s="56">
        <v>2180</v>
      </c>
      <c r="C140" s="54">
        <v>1228036</v>
      </c>
    </row>
    <row r="141" spans="1:3" x14ac:dyDescent="0.2">
      <c r="A141" s="10">
        <v>2021</v>
      </c>
      <c r="B141" s="56">
        <v>2185</v>
      </c>
      <c r="C141" s="54">
        <v>6826729</v>
      </c>
    </row>
    <row r="142" spans="1:3" x14ac:dyDescent="0.2">
      <c r="A142" s="10">
        <v>2021</v>
      </c>
      <c r="B142" s="56">
        <v>2187</v>
      </c>
      <c r="C142" s="53">
        <v>3419755</v>
      </c>
    </row>
    <row r="143" spans="1:3" x14ac:dyDescent="0.2">
      <c r="A143" s="10">
        <v>2021</v>
      </c>
      <c r="B143" s="56">
        <v>2190</v>
      </c>
      <c r="C143" s="54">
        <v>4503527</v>
      </c>
    </row>
    <row r="144" spans="1:3" x14ac:dyDescent="0.2">
      <c r="A144" s="10">
        <v>2021</v>
      </c>
      <c r="B144" s="56">
        <v>2191</v>
      </c>
      <c r="C144" s="53">
        <v>3215559</v>
      </c>
    </row>
    <row r="145" spans="1:3" x14ac:dyDescent="0.2">
      <c r="A145" s="10">
        <v>2021</v>
      </c>
      <c r="B145" s="58">
        <v>2195</v>
      </c>
      <c r="C145" s="54">
        <v>938600</v>
      </c>
    </row>
    <row r="146" spans="1:3" x14ac:dyDescent="0.2">
      <c r="A146" s="10">
        <v>2021</v>
      </c>
      <c r="B146" s="56">
        <v>2196</v>
      </c>
      <c r="C146" s="54">
        <v>1054799</v>
      </c>
    </row>
    <row r="147" spans="1:3" x14ac:dyDescent="0.2">
      <c r="A147" s="10">
        <v>2021</v>
      </c>
      <c r="B147" s="56">
        <v>2198</v>
      </c>
      <c r="C147" s="54">
        <v>2279075</v>
      </c>
    </row>
    <row r="148" spans="1:3" x14ac:dyDescent="0.2">
      <c r="A148" s="10">
        <v>2021</v>
      </c>
      <c r="B148" s="56">
        <v>2200</v>
      </c>
      <c r="C148" s="54">
        <v>10134385</v>
      </c>
    </row>
    <row r="149" spans="1:3" x14ac:dyDescent="0.2">
      <c r="A149" s="10">
        <v>2021</v>
      </c>
      <c r="B149" s="56">
        <v>2204</v>
      </c>
      <c r="C149" s="54">
        <v>8499094</v>
      </c>
    </row>
    <row r="150" spans="1:3" x14ac:dyDescent="0.2">
      <c r="A150" s="10">
        <v>2021</v>
      </c>
      <c r="B150" s="58">
        <v>2205</v>
      </c>
      <c r="C150" s="53">
        <v>262082</v>
      </c>
    </row>
    <row r="151" spans="1:3" x14ac:dyDescent="0.2">
      <c r="A151" s="10">
        <v>2021</v>
      </c>
      <c r="B151" s="56">
        <v>2206</v>
      </c>
      <c r="C151" s="54">
        <v>1330140</v>
      </c>
    </row>
    <row r="152" spans="1:3" x14ac:dyDescent="0.2">
      <c r="A152" s="10">
        <v>2021</v>
      </c>
      <c r="B152" s="56">
        <v>2207</v>
      </c>
      <c r="C152" s="53">
        <v>2325844</v>
      </c>
    </row>
    <row r="153" spans="1:3" x14ac:dyDescent="0.2">
      <c r="A153" s="10">
        <v>2021</v>
      </c>
      <c r="B153" s="56">
        <v>2208</v>
      </c>
      <c r="C153" s="54">
        <v>4302591</v>
      </c>
    </row>
    <row r="154" spans="1:3" x14ac:dyDescent="0.2">
      <c r="A154" s="10">
        <v>2021</v>
      </c>
      <c r="B154" s="56">
        <v>2209</v>
      </c>
      <c r="C154" s="54">
        <v>9769699</v>
      </c>
    </row>
    <row r="155" spans="1:3" x14ac:dyDescent="0.2">
      <c r="A155" s="10">
        <v>2021</v>
      </c>
      <c r="B155" s="56">
        <v>2210</v>
      </c>
      <c r="C155" s="54">
        <v>2793858</v>
      </c>
    </row>
    <row r="156" spans="1:3" x14ac:dyDescent="0.2">
      <c r="A156" s="10">
        <v>2021</v>
      </c>
      <c r="B156" s="56">
        <v>2212</v>
      </c>
      <c r="C156" s="53">
        <v>3382030</v>
      </c>
    </row>
    <row r="157" spans="1:3" x14ac:dyDescent="0.2">
      <c r="A157" s="10">
        <v>2021</v>
      </c>
      <c r="B157" s="56">
        <v>2215</v>
      </c>
      <c r="C157" s="54">
        <v>5345283</v>
      </c>
    </row>
    <row r="158" spans="1:3" x14ac:dyDescent="0.2">
      <c r="A158" s="10">
        <v>2021</v>
      </c>
      <c r="B158" s="56">
        <v>2220</v>
      </c>
      <c r="C158" s="53">
        <v>2186801</v>
      </c>
    </row>
    <row r="159" spans="1:3" x14ac:dyDescent="0.2">
      <c r="A159" s="10">
        <v>2021</v>
      </c>
      <c r="B159" s="58">
        <v>2224</v>
      </c>
      <c r="C159" s="54">
        <v>4454025</v>
      </c>
    </row>
    <row r="160" spans="1:3" x14ac:dyDescent="0.2">
      <c r="A160" s="10">
        <v>2021</v>
      </c>
      <c r="B160" s="56">
        <v>2225</v>
      </c>
      <c r="C160" s="53">
        <v>8119565</v>
      </c>
    </row>
    <row r="161" spans="1:3" x14ac:dyDescent="0.2">
      <c r="A161" s="10">
        <v>2021</v>
      </c>
      <c r="B161" s="58">
        <v>2230</v>
      </c>
      <c r="C161" s="54">
        <v>5776409</v>
      </c>
    </row>
    <row r="162" spans="1:3" x14ac:dyDescent="0.2">
      <c r="A162" s="10">
        <v>2021</v>
      </c>
      <c r="B162" s="56">
        <v>2231</v>
      </c>
      <c r="C162" s="53">
        <v>3076212</v>
      </c>
    </row>
    <row r="163" spans="1:3" x14ac:dyDescent="0.2">
      <c r="A163" s="10">
        <v>2021</v>
      </c>
      <c r="B163" s="56">
        <v>2235</v>
      </c>
      <c r="C163" s="53">
        <v>649532</v>
      </c>
    </row>
    <row r="164" spans="1:3" x14ac:dyDescent="0.2">
      <c r="A164" s="10">
        <v>2021</v>
      </c>
      <c r="B164" s="56">
        <v>2239</v>
      </c>
      <c r="C164" s="54">
        <v>2953396</v>
      </c>
    </row>
    <row r="165" spans="1:3" x14ac:dyDescent="0.2">
      <c r="A165" s="10">
        <v>2021</v>
      </c>
      <c r="B165" s="58">
        <v>2240</v>
      </c>
      <c r="C165" s="54">
        <v>5878214</v>
      </c>
    </row>
    <row r="166" spans="1:3" x14ac:dyDescent="0.2">
      <c r="A166" s="10">
        <v>2021</v>
      </c>
      <c r="B166" s="56">
        <v>2241</v>
      </c>
      <c r="C166" s="53">
        <v>838559</v>
      </c>
    </row>
    <row r="167" spans="1:3" x14ac:dyDescent="0.2">
      <c r="A167" s="10">
        <v>2021</v>
      </c>
      <c r="B167" s="58">
        <v>2242</v>
      </c>
      <c r="C167" s="54">
        <v>1502596</v>
      </c>
    </row>
    <row r="168" spans="1:3" x14ac:dyDescent="0.2">
      <c r="A168" s="10">
        <v>2021</v>
      </c>
      <c r="B168" s="56">
        <v>2243</v>
      </c>
      <c r="C168" s="54">
        <v>1550007</v>
      </c>
    </row>
    <row r="169" spans="1:3" x14ac:dyDescent="0.2">
      <c r="A169" s="10">
        <v>2021</v>
      </c>
      <c r="B169" s="58">
        <v>2244</v>
      </c>
      <c r="C169" s="53">
        <v>939324</v>
      </c>
    </row>
    <row r="170" spans="1:3" x14ac:dyDescent="0.2">
      <c r="A170" s="10">
        <v>2021</v>
      </c>
      <c r="B170" s="58">
        <v>2245</v>
      </c>
      <c r="C170" s="53">
        <v>2571740</v>
      </c>
    </row>
    <row r="171" spans="1:3" x14ac:dyDescent="0.2">
      <c r="A171" s="10">
        <v>2021</v>
      </c>
      <c r="B171" s="56">
        <v>2250</v>
      </c>
      <c r="C171" s="54">
        <v>1439511</v>
      </c>
    </row>
    <row r="172" spans="1:3" x14ac:dyDescent="0.2">
      <c r="A172" s="10">
        <v>2021</v>
      </c>
      <c r="B172" s="64">
        <v>2255</v>
      </c>
      <c r="C172" s="53">
        <v>4604351</v>
      </c>
    </row>
    <row r="173" spans="1:3" x14ac:dyDescent="0.2">
      <c r="A173" s="10">
        <v>2021</v>
      </c>
      <c r="B173" s="56">
        <v>2260</v>
      </c>
      <c r="C173" s="53">
        <v>3134908</v>
      </c>
    </row>
    <row r="174" spans="1:3" x14ac:dyDescent="0.2">
      <c r="A174" s="10">
        <v>2021</v>
      </c>
      <c r="B174" s="58">
        <v>2266</v>
      </c>
      <c r="C174" s="53">
        <v>2595318</v>
      </c>
    </row>
    <row r="175" spans="1:3" x14ac:dyDescent="0.2">
      <c r="A175" s="10">
        <v>2021</v>
      </c>
      <c r="B175" s="58">
        <v>2268</v>
      </c>
      <c r="C175" s="54">
        <v>1316823</v>
      </c>
    </row>
    <row r="176" spans="1:3" x14ac:dyDescent="0.2">
      <c r="A176" s="10">
        <v>2021</v>
      </c>
      <c r="B176" s="58">
        <v>2270</v>
      </c>
      <c r="C176" s="53">
        <v>2578514</v>
      </c>
    </row>
    <row r="177" spans="1:3" x14ac:dyDescent="0.2">
      <c r="A177" s="10">
        <v>2021</v>
      </c>
      <c r="B177" s="56">
        <v>2271</v>
      </c>
      <c r="C177" s="53">
        <v>1807734</v>
      </c>
    </row>
    <row r="178" spans="1:3" x14ac:dyDescent="0.2">
      <c r="A178" s="10">
        <v>2021</v>
      </c>
      <c r="B178" s="58">
        <v>2272</v>
      </c>
      <c r="C178" s="53">
        <v>2608730</v>
      </c>
    </row>
    <row r="179" spans="1:3" x14ac:dyDescent="0.2">
      <c r="A179" s="10">
        <v>2021</v>
      </c>
      <c r="B179" s="58">
        <v>2275</v>
      </c>
      <c r="C179" s="54">
        <v>5089351</v>
      </c>
    </row>
    <row r="180" spans="1:3" x14ac:dyDescent="0.2">
      <c r="A180" s="10">
        <v>2021</v>
      </c>
      <c r="B180" s="56">
        <v>2280</v>
      </c>
      <c r="C180" s="54">
        <v>1580435</v>
      </c>
    </row>
    <row r="181" spans="1:3" x14ac:dyDescent="0.2">
      <c r="A181" s="10">
        <v>2021</v>
      </c>
      <c r="B181" s="62">
        <v>2281</v>
      </c>
      <c r="C181" s="65">
        <v>923650</v>
      </c>
    </row>
    <row r="182" spans="1:3" x14ac:dyDescent="0.2">
      <c r="A182" s="10">
        <v>2021</v>
      </c>
      <c r="B182" s="58">
        <v>2282</v>
      </c>
      <c r="C182" s="53">
        <v>4220224</v>
      </c>
    </row>
    <row r="183" spans="1:3" x14ac:dyDescent="0.2">
      <c r="A183" s="10">
        <v>2021</v>
      </c>
      <c r="B183" s="58">
        <v>2285</v>
      </c>
      <c r="C183" s="53">
        <v>6355704</v>
      </c>
    </row>
    <row r="184" spans="1:3" x14ac:dyDescent="0.2">
      <c r="A184" s="10">
        <v>2021</v>
      </c>
      <c r="B184" s="56">
        <v>2286</v>
      </c>
      <c r="C184" s="57">
        <v>3440413</v>
      </c>
    </row>
    <row r="185" spans="1:3" x14ac:dyDescent="0.2">
      <c r="A185" s="10">
        <v>2021</v>
      </c>
      <c r="B185" s="56">
        <v>2288</v>
      </c>
      <c r="C185" s="54">
        <v>1918672</v>
      </c>
    </row>
    <row r="186" spans="1:3" x14ac:dyDescent="0.2">
      <c r="A186" s="10">
        <v>2021</v>
      </c>
      <c r="B186" s="56">
        <v>2289</v>
      </c>
      <c r="C186" s="53">
        <v>6558014</v>
      </c>
    </row>
    <row r="187" spans="1:3" x14ac:dyDescent="0.2">
      <c r="A187" s="10">
        <v>2021</v>
      </c>
      <c r="B187" s="56">
        <v>2290</v>
      </c>
      <c r="C187" s="54">
        <v>3754145</v>
      </c>
    </row>
    <row r="188" spans="1:3" x14ac:dyDescent="0.2">
      <c r="A188" s="10">
        <v>2021</v>
      </c>
      <c r="B188" s="56">
        <v>2295</v>
      </c>
      <c r="C188" s="54">
        <v>1775305</v>
      </c>
    </row>
    <row r="189" spans="1:3" x14ac:dyDescent="0.2">
      <c r="A189" s="10">
        <v>2021</v>
      </c>
      <c r="B189" s="56">
        <v>2300</v>
      </c>
      <c r="C189" s="53">
        <v>2998712</v>
      </c>
    </row>
    <row r="190" spans="1:3" x14ac:dyDescent="0.2">
      <c r="A190" s="10">
        <v>2021</v>
      </c>
      <c r="B190" s="56">
        <v>2305</v>
      </c>
      <c r="C190" s="54">
        <v>858769</v>
      </c>
    </row>
    <row r="191" spans="1:3" x14ac:dyDescent="0.2">
      <c r="A191" s="10">
        <v>2021</v>
      </c>
      <c r="B191" s="58">
        <v>2310</v>
      </c>
      <c r="C191" s="54">
        <v>8911786</v>
      </c>
    </row>
    <row r="192" spans="1:3" x14ac:dyDescent="0.2">
      <c r="A192" s="10">
        <v>2021</v>
      </c>
      <c r="B192" s="56">
        <v>2315</v>
      </c>
      <c r="C192" s="54">
        <v>1606012</v>
      </c>
    </row>
    <row r="193" spans="1:3" x14ac:dyDescent="0.2">
      <c r="A193" s="10">
        <v>2021</v>
      </c>
      <c r="B193" s="56">
        <v>2317</v>
      </c>
      <c r="C193" s="54">
        <v>1541509</v>
      </c>
    </row>
    <row r="194" spans="1:3" x14ac:dyDescent="0.2">
      <c r="A194" s="10">
        <v>2021</v>
      </c>
      <c r="B194" s="56">
        <v>2320</v>
      </c>
      <c r="C194" s="54">
        <v>6416335</v>
      </c>
    </row>
    <row r="195" spans="1:3" x14ac:dyDescent="0.2">
      <c r="A195" s="10">
        <v>2021</v>
      </c>
      <c r="B195" s="56">
        <v>2325</v>
      </c>
      <c r="C195" s="54">
        <v>5773850</v>
      </c>
    </row>
    <row r="196" spans="1:3" x14ac:dyDescent="0.2">
      <c r="A196" s="10">
        <v>2021</v>
      </c>
      <c r="B196" s="58">
        <v>2328</v>
      </c>
      <c r="C196" s="54">
        <v>1081467</v>
      </c>
    </row>
    <row r="197" spans="1:3" x14ac:dyDescent="0.2">
      <c r="A197" s="10">
        <v>2021</v>
      </c>
      <c r="B197" s="56">
        <v>2330</v>
      </c>
      <c r="C197" s="54">
        <v>3357722</v>
      </c>
    </row>
    <row r="198" spans="1:3" x14ac:dyDescent="0.2">
      <c r="A198" s="10">
        <v>2021</v>
      </c>
      <c r="B198" s="56">
        <v>2335</v>
      </c>
      <c r="C198" s="53">
        <v>3825086</v>
      </c>
    </row>
    <row r="199" spans="1:3" x14ac:dyDescent="0.2">
      <c r="A199" s="10">
        <v>2021</v>
      </c>
      <c r="B199" s="56">
        <v>2338</v>
      </c>
      <c r="C199" s="54">
        <v>5182837</v>
      </c>
    </row>
    <row r="200" spans="1:3" x14ac:dyDescent="0.2">
      <c r="A200" s="10">
        <v>2021</v>
      </c>
      <c r="B200" s="56">
        <v>2339</v>
      </c>
      <c r="C200" s="54">
        <v>1377059</v>
      </c>
    </row>
    <row r="201" spans="1:3" x14ac:dyDescent="0.2">
      <c r="A201" s="10">
        <v>2021</v>
      </c>
      <c r="B201" s="56">
        <v>2340</v>
      </c>
      <c r="C201" s="53">
        <v>1750889</v>
      </c>
    </row>
    <row r="202" spans="1:3" x14ac:dyDescent="0.2">
      <c r="A202" s="10">
        <v>2021</v>
      </c>
      <c r="B202" s="56">
        <v>2345</v>
      </c>
      <c r="C202" s="53">
        <v>2150340</v>
      </c>
    </row>
    <row r="203" spans="1:3" x14ac:dyDescent="0.2">
      <c r="A203" s="10">
        <v>2021</v>
      </c>
      <c r="B203" s="56">
        <v>2350</v>
      </c>
      <c r="C203" s="54">
        <v>5945604</v>
      </c>
    </row>
    <row r="204" spans="1:3" x14ac:dyDescent="0.2">
      <c r="A204" s="10">
        <v>2021</v>
      </c>
      <c r="B204" s="56">
        <v>2355</v>
      </c>
      <c r="C204" s="54">
        <v>4202768</v>
      </c>
    </row>
    <row r="205" spans="1:3" x14ac:dyDescent="0.2">
      <c r="A205" s="10">
        <v>2021</v>
      </c>
      <c r="B205" s="58">
        <v>2360</v>
      </c>
      <c r="C205" s="54">
        <v>3119386</v>
      </c>
    </row>
    <row r="206" spans="1:3" x14ac:dyDescent="0.2">
      <c r="A206" s="10">
        <v>2021</v>
      </c>
      <c r="B206" s="56">
        <v>2361</v>
      </c>
      <c r="C206" s="54">
        <v>1285431</v>
      </c>
    </row>
    <row r="207" spans="1:3" x14ac:dyDescent="0.2">
      <c r="A207" s="10">
        <v>2021</v>
      </c>
      <c r="B207" s="58">
        <v>2362</v>
      </c>
      <c r="C207" s="54">
        <v>1567873</v>
      </c>
    </row>
    <row r="208" spans="1:3" x14ac:dyDescent="0.2">
      <c r="A208" s="10">
        <v>2021</v>
      </c>
      <c r="B208" s="56">
        <v>2363</v>
      </c>
      <c r="C208" s="54">
        <v>952047</v>
      </c>
    </row>
    <row r="209" spans="1:3" x14ac:dyDescent="0.2">
      <c r="A209" s="10">
        <v>2021</v>
      </c>
      <c r="B209" s="56">
        <v>2364</v>
      </c>
      <c r="C209" s="54">
        <v>1969259</v>
      </c>
    </row>
    <row r="210" spans="1:3" x14ac:dyDescent="0.2">
      <c r="A210" s="10">
        <v>2021</v>
      </c>
      <c r="B210" s="56">
        <v>2365</v>
      </c>
      <c r="C210" s="54">
        <v>9098166</v>
      </c>
    </row>
    <row r="211" spans="1:3" x14ac:dyDescent="0.2">
      <c r="A211" s="10">
        <v>2021</v>
      </c>
      <c r="B211" s="58">
        <v>2370</v>
      </c>
      <c r="C211" s="54">
        <v>1542426</v>
      </c>
    </row>
    <row r="212" spans="1:3" x14ac:dyDescent="0.2">
      <c r="A212" s="10">
        <v>2021</v>
      </c>
      <c r="B212" s="56">
        <v>2375</v>
      </c>
      <c r="C212" s="53">
        <v>1202818</v>
      </c>
    </row>
    <row r="213" spans="1:3" x14ac:dyDescent="0.2">
      <c r="A213" s="10">
        <v>2021</v>
      </c>
      <c r="B213" s="58">
        <v>2377</v>
      </c>
      <c r="C213" s="54">
        <v>1740328</v>
      </c>
    </row>
    <row r="214" spans="1:3" x14ac:dyDescent="0.2">
      <c r="A214" s="10">
        <v>2021</v>
      </c>
      <c r="B214" s="56">
        <v>2378</v>
      </c>
      <c r="C214" s="53">
        <v>9658600</v>
      </c>
    </row>
    <row r="215" spans="1:3" x14ac:dyDescent="0.2">
      <c r="A215" s="10">
        <v>2021</v>
      </c>
      <c r="B215" s="58">
        <v>2379</v>
      </c>
      <c r="C215" s="54">
        <v>10235879</v>
      </c>
    </row>
    <row r="216" spans="1:3" x14ac:dyDescent="0.2">
      <c r="A216" s="10">
        <v>2021</v>
      </c>
      <c r="B216" s="58">
        <v>2380</v>
      </c>
      <c r="C216" s="53">
        <v>3766485</v>
      </c>
    </row>
    <row r="217" spans="1:3" x14ac:dyDescent="0.2">
      <c r="A217" s="10">
        <v>2021</v>
      </c>
      <c r="B217" s="58">
        <v>2381</v>
      </c>
      <c r="C217" s="54">
        <v>1943910</v>
      </c>
    </row>
    <row r="218" spans="1:3" x14ac:dyDescent="0.2">
      <c r="A218" s="10">
        <v>2021</v>
      </c>
      <c r="B218" s="64">
        <v>2383</v>
      </c>
      <c r="C218" s="53">
        <v>6923805</v>
      </c>
    </row>
    <row r="219" spans="1:3" x14ac:dyDescent="0.2">
      <c r="A219" s="10">
        <v>2021</v>
      </c>
      <c r="B219" s="56">
        <v>2384</v>
      </c>
      <c r="C219" s="54">
        <v>4271745</v>
      </c>
    </row>
    <row r="220" spans="1:3" x14ac:dyDescent="0.2">
      <c r="A220" s="10">
        <v>2021</v>
      </c>
      <c r="B220" s="58">
        <v>2385</v>
      </c>
      <c r="C220" s="53">
        <v>2757822</v>
      </c>
    </row>
    <row r="221" spans="1:3" x14ac:dyDescent="0.2">
      <c r="A221" s="10">
        <v>2021</v>
      </c>
      <c r="B221" s="56">
        <v>2389</v>
      </c>
      <c r="C221" s="53">
        <v>2560235</v>
      </c>
    </row>
    <row r="222" spans="1:3" x14ac:dyDescent="0.2">
      <c r="A222" s="10">
        <v>2021</v>
      </c>
      <c r="B222" s="58">
        <v>2390</v>
      </c>
      <c r="C222" s="54">
        <v>5052386</v>
      </c>
    </row>
    <row r="223" spans="1:3" x14ac:dyDescent="0.2">
      <c r="A223" s="10">
        <v>2021</v>
      </c>
      <c r="B223" s="56">
        <v>2391</v>
      </c>
      <c r="C223" s="53">
        <v>2654315</v>
      </c>
    </row>
    <row r="224" spans="1:3" x14ac:dyDescent="0.2">
      <c r="A224" s="10">
        <v>2021</v>
      </c>
      <c r="B224" s="58">
        <v>2394</v>
      </c>
      <c r="C224" s="54">
        <v>1903151</v>
      </c>
    </row>
    <row r="225" spans="1:3" x14ac:dyDescent="0.2">
      <c r="A225" s="10">
        <v>2021</v>
      </c>
      <c r="B225" s="58">
        <v>2395</v>
      </c>
      <c r="C225" s="54">
        <v>1532744</v>
      </c>
    </row>
    <row r="226" spans="1:3" x14ac:dyDescent="0.2">
      <c r="A226" s="10">
        <v>2021</v>
      </c>
      <c r="B226" s="56">
        <v>2396</v>
      </c>
      <c r="C226" s="54">
        <v>1076753</v>
      </c>
    </row>
    <row r="227" spans="1:3" x14ac:dyDescent="0.2">
      <c r="A227" s="10">
        <v>2021</v>
      </c>
      <c r="B227" s="64">
        <v>2400</v>
      </c>
      <c r="C227" s="65">
        <v>9476162</v>
      </c>
    </row>
    <row r="228" spans="1:3" x14ac:dyDescent="0.2">
      <c r="A228" s="10">
        <v>2021</v>
      </c>
      <c r="B228" s="58">
        <v>2401</v>
      </c>
      <c r="C228" s="53">
        <v>2199743</v>
      </c>
    </row>
    <row r="229" spans="1:3" x14ac:dyDescent="0.2">
      <c r="A229" s="10">
        <v>2021</v>
      </c>
      <c r="B229" s="58">
        <v>2402</v>
      </c>
      <c r="C229" s="53">
        <v>5412359</v>
      </c>
    </row>
    <row r="230" spans="1:3" x14ac:dyDescent="0.2">
      <c r="A230" s="10">
        <v>2021</v>
      </c>
      <c r="B230" s="56">
        <v>2403</v>
      </c>
      <c r="C230" s="57">
        <v>2572970</v>
      </c>
    </row>
    <row r="231" spans="1:3" x14ac:dyDescent="0.2">
      <c r="A231" s="10">
        <v>2021</v>
      </c>
      <c r="B231" s="56">
        <v>2405</v>
      </c>
      <c r="C231" s="53">
        <v>3355945</v>
      </c>
    </row>
    <row r="232" spans="1:3" x14ac:dyDescent="0.2">
      <c r="A232" s="10">
        <v>2021</v>
      </c>
      <c r="B232" s="56">
        <v>2406</v>
      </c>
      <c r="C232" s="54">
        <v>4407500</v>
      </c>
    </row>
    <row r="233" spans="1:3" x14ac:dyDescent="0.2">
      <c r="A233" s="10">
        <v>2021</v>
      </c>
      <c r="B233" s="56">
        <v>2408</v>
      </c>
      <c r="C233" s="54">
        <v>4825307</v>
      </c>
    </row>
    <row r="234" spans="1:3" x14ac:dyDescent="0.2">
      <c r="A234" s="10">
        <v>2021</v>
      </c>
      <c r="B234" s="56">
        <v>2409</v>
      </c>
      <c r="C234" s="54">
        <v>933969</v>
      </c>
    </row>
    <row r="235" spans="1:3" x14ac:dyDescent="0.2">
      <c r="A235" s="10">
        <v>2021</v>
      </c>
      <c r="B235" s="56">
        <v>2410</v>
      </c>
      <c r="C235" s="54">
        <v>6295022</v>
      </c>
    </row>
    <row r="236" spans="1:3" x14ac:dyDescent="0.2">
      <c r="A236" s="10">
        <v>2021</v>
      </c>
      <c r="B236" s="56">
        <v>2415</v>
      </c>
      <c r="C236" s="53">
        <v>6869568</v>
      </c>
    </row>
    <row r="237" spans="1:3" x14ac:dyDescent="0.2">
      <c r="A237" s="10">
        <v>2021</v>
      </c>
      <c r="B237" s="58">
        <v>2420</v>
      </c>
      <c r="C237" s="54">
        <v>3537916</v>
      </c>
    </row>
    <row r="238" spans="1:3" x14ac:dyDescent="0.2">
      <c r="A238" s="10">
        <v>2021</v>
      </c>
      <c r="B238" s="56">
        <v>2425</v>
      </c>
      <c r="C238" s="53">
        <v>6481991</v>
      </c>
    </row>
    <row r="239" spans="1:3" x14ac:dyDescent="0.2">
      <c r="A239" s="10">
        <v>2021</v>
      </c>
      <c r="B239" s="56">
        <v>2426</v>
      </c>
      <c r="C239" s="54">
        <v>1754350</v>
      </c>
    </row>
    <row r="240" spans="1:3" x14ac:dyDescent="0.2">
      <c r="A240" s="10">
        <v>2021</v>
      </c>
      <c r="B240" s="56">
        <v>2428</v>
      </c>
      <c r="C240" s="54">
        <v>3822923</v>
      </c>
    </row>
    <row r="241" spans="1:3" x14ac:dyDescent="0.2">
      <c r="A241" s="10">
        <v>2021</v>
      </c>
      <c r="B241" s="56">
        <v>2430</v>
      </c>
      <c r="C241" s="54">
        <v>5479390</v>
      </c>
    </row>
    <row r="242" spans="1:3" x14ac:dyDescent="0.2">
      <c r="A242" s="10">
        <v>2021</v>
      </c>
      <c r="B242" s="58">
        <v>2435</v>
      </c>
      <c r="C242" s="54">
        <v>1348089</v>
      </c>
    </row>
    <row r="243" spans="1:3" x14ac:dyDescent="0.2">
      <c r="A243" s="10">
        <v>2021</v>
      </c>
      <c r="B243" s="56">
        <v>2440</v>
      </c>
      <c r="C243" s="54">
        <v>2429950</v>
      </c>
    </row>
    <row r="244" spans="1:3" x14ac:dyDescent="0.2">
      <c r="A244" s="10">
        <v>2021</v>
      </c>
      <c r="B244" s="56">
        <v>2441</v>
      </c>
      <c r="C244" s="54">
        <v>1434165</v>
      </c>
    </row>
    <row r="245" spans="1:3" x14ac:dyDescent="0.2">
      <c r="A245" s="10">
        <v>2021</v>
      </c>
      <c r="B245" s="56">
        <v>2445</v>
      </c>
      <c r="C245" s="54">
        <v>7330773</v>
      </c>
    </row>
    <row r="246" spans="1:3" x14ac:dyDescent="0.2">
      <c r="A246" s="10">
        <v>2021</v>
      </c>
      <c r="B246" s="56">
        <v>2450</v>
      </c>
      <c r="C246" s="53">
        <v>2856207</v>
      </c>
    </row>
    <row r="247" spans="1:3" x14ac:dyDescent="0.2">
      <c r="A247" s="10">
        <v>2021</v>
      </c>
      <c r="B247" s="56">
        <v>2455</v>
      </c>
      <c r="C247" s="54">
        <v>3392381</v>
      </c>
    </row>
    <row r="248" spans="1:3" x14ac:dyDescent="0.2">
      <c r="A248" s="10">
        <v>2021</v>
      </c>
      <c r="B248" s="56">
        <v>2458</v>
      </c>
      <c r="C248" s="53">
        <v>3305611</v>
      </c>
    </row>
    <row r="249" spans="1:3" x14ac:dyDescent="0.2">
      <c r="A249" s="10">
        <v>2021</v>
      </c>
      <c r="B249" s="56">
        <v>2460</v>
      </c>
      <c r="C249" s="54">
        <v>1223875</v>
      </c>
    </row>
    <row r="250" spans="1:3" x14ac:dyDescent="0.2">
      <c r="A250" s="10">
        <v>2021</v>
      </c>
      <c r="B250" s="56">
        <v>2464</v>
      </c>
      <c r="C250" s="54">
        <v>1093672</v>
      </c>
    </row>
    <row r="251" spans="1:3" x14ac:dyDescent="0.2">
      <c r="A251" s="10">
        <v>2021</v>
      </c>
      <c r="B251" s="58">
        <v>2465</v>
      </c>
      <c r="C251" s="54">
        <v>542099</v>
      </c>
    </row>
    <row r="252" spans="1:3" x14ac:dyDescent="0.2">
      <c r="A252" s="10">
        <v>2021</v>
      </c>
      <c r="B252" s="56">
        <v>2466</v>
      </c>
      <c r="C252" s="54">
        <v>1360744</v>
      </c>
    </row>
    <row r="253" spans="1:3" x14ac:dyDescent="0.2">
      <c r="A253" s="10">
        <v>2021</v>
      </c>
      <c r="B253" s="58">
        <v>2467</v>
      </c>
      <c r="C253" s="54">
        <v>1923598</v>
      </c>
    </row>
    <row r="254" spans="1:3" x14ac:dyDescent="0.2">
      <c r="A254" s="10">
        <v>2021</v>
      </c>
      <c r="B254" s="56">
        <v>2468</v>
      </c>
      <c r="C254" s="54">
        <v>1464272</v>
      </c>
    </row>
    <row r="255" spans="1:3" x14ac:dyDescent="0.2">
      <c r="A255" s="10">
        <v>2021</v>
      </c>
      <c r="B255" s="56">
        <v>2469</v>
      </c>
      <c r="C255" s="54">
        <v>4601350</v>
      </c>
    </row>
    <row r="256" spans="1:3" x14ac:dyDescent="0.2">
      <c r="A256" s="10">
        <v>2021</v>
      </c>
      <c r="B256" s="56">
        <v>2470</v>
      </c>
      <c r="C256" s="54">
        <v>3887549</v>
      </c>
    </row>
    <row r="257" spans="1:3" x14ac:dyDescent="0.2">
      <c r="A257" s="10">
        <v>2021</v>
      </c>
      <c r="B257" s="58">
        <v>2471</v>
      </c>
      <c r="C257" s="54">
        <v>4108841</v>
      </c>
    </row>
    <row r="258" spans="1:3" x14ac:dyDescent="0.2">
      <c r="A258" s="10">
        <v>2021</v>
      </c>
      <c r="B258" s="56">
        <v>2475</v>
      </c>
      <c r="C258" s="54">
        <v>6639421</v>
      </c>
    </row>
    <row r="259" spans="1:3" x14ac:dyDescent="0.2">
      <c r="A259" s="10">
        <v>2021</v>
      </c>
      <c r="B259" s="58">
        <v>2480</v>
      </c>
      <c r="C259" s="54">
        <v>1973533</v>
      </c>
    </row>
    <row r="260" spans="1:3" x14ac:dyDescent="0.2">
      <c r="A260" s="10">
        <v>2021</v>
      </c>
      <c r="B260" s="56">
        <v>2485</v>
      </c>
      <c r="C260" s="53">
        <v>4440052</v>
      </c>
    </row>
    <row r="261" spans="1:3" x14ac:dyDescent="0.2">
      <c r="A261" s="10">
        <v>2021</v>
      </c>
      <c r="B261" s="58">
        <v>2490</v>
      </c>
      <c r="C261" s="53">
        <v>6488954</v>
      </c>
    </row>
    <row r="262" spans="1:3" x14ac:dyDescent="0.2">
      <c r="A262" s="10">
        <v>2021</v>
      </c>
      <c r="B262" s="58">
        <v>2495</v>
      </c>
      <c r="C262" s="53">
        <v>858894</v>
      </c>
    </row>
    <row r="263" spans="1:3" x14ac:dyDescent="0.2">
      <c r="A263" s="10">
        <v>2021</v>
      </c>
      <c r="B263" s="56">
        <v>2497</v>
      </c>
      <c r="C263" s="53">
        <v>2082169</v>
      </c>
    </row>
    <row r="264" spans="1:3" x14ac:dyDescent="0.2">
      <c r="A264" s="10">
        <v>2021</v>
      </c>
      <c r="B264" s="61">
        <v>2498</v>
      </c>
      <c r="C264" s="54">
        <v>1798467</v>
      </c>
    </row>
    <row r="265" spans="1:3" x14ac:dyDescent="0.2">
      <c r="A265" s="10">
        <v>2021</v>
      </c>
      <c r="B265" s="56">
        <v>2500</v>
      </c>
      <c r="C265" s="54">
        <v>5266353</v>
      </c>
    </row>
    <row r="266" spans="1:3" x14ac:dyDescent="0.2">
      <c r="A266" s="10">
        <v>2021</v>
      </c>
      <c r="B266" s="58">
        <v>2504</v>
      </c>
      <c r="C266" s="53">
        <v>3275085</v>
      </c>
    </row>
    <row r="267" spans="1:3" x14ac:dyDescent="0.2">
      <c r="A267" s="10">
        <v>2021</v>
      </c>
      <c r="B267" s="56">
        <v>2505</v>
      </c>
      <c r="C267" s="54">
        <v>4232182</v>
      </c>
    </row>
    <row r="268" spans="1:3" x14ac:dyDescent="0.2">
      <c r="A268" s="10">
        <v>2021</v>
      </c>
      <c r="B268" s="58">
        <v>2507</v>
      </c>
      <c r="C268" s="53">
        <v>863593</v>
      </c>
    </row>
    <row r="269" spans="1:3" x14ac:dyDescent="0.2">
      <c r="A269" s="10">
        <v>2021</v>
      </c>
      <c r="B269" s="56">
        <v>2508</v>
      </c>
      <c r="C269" s="53">
        <v>2163585</v>
      </c>
    </row>
    <row r="270" spans="1:3" x14ac:dyDescent="0.2">
      <c r="A270" s="10">
        <v>2021</v>
      </c>
      <c r="B270" s="58">
        <v>2509</v>
      </c>
      <c r="C270" s="54">
        <v>4197288</v>
      </c>
    </row>
    <row r="271" spans="1:3" x14ac:dyDescent="0.2">
      <c r="A271" s="10">
        <v>2021</v>
      </c>
      <c r="B271" s="58">
        <v>2510</v>
      </c>
      <c r="C271" s="54">
        <v>1773095</v>
      </c>
    </row>
    <row r="272" spans="1:3" x14ac:dyDescent="0.2">
      <c r="A272" s="10">
        <v>2021</v>
      </c>
      <c r="B272" s="56">
        <v>2512</v>
      </c>
      <c r="C272" s="53">
        <v>12419741</v>
      </c>
    </row>
    <row r="273" spans="1:3" x14ac:dyDescent="0.2">
      <c r="A273" s="10">
        <v>2021</v>
      </c>
      <c r="B273" s="62">
        <v>2514</v>
      </c>
      <c r="C273" s="53">
        <v>1129826</v>
      </c>
    </row>
    <row r="274" spans="1:3" x14ac:dyDescent="0.2">
      <c r="A274" s="10">
        <v>2021</v>
      </c>
      <c r="B274" s="58">
        <v>2515</v>
      </c>
      <c r="C274" s="54">
        <v>1035811</v>
      </c>
    </row>
    <row r="275" spans="1:3" x14ac:dyDescent="0.2">
      <c r="A275" s="10">
        <v>2021</v>
      </c>
      <c r="B275" s="58">
        <v>2520</v>
      </c>
      <c r="C275" s="66">
        <v>2334489</v>
      </c>
    </row>
    <row r="276" spans="1:3" x14ac:dyDescent="0.2">
      <c r="A276" s="10">
        <v>2021</v>
      </c>
      <c r="B276" s="56">
        <v>2525</v>
      </c>
      <c r="C276" s="57">
        <v>3444538</v>
      </c>
    </row>
    <row r="277" spans="1:3" x14ac:dyDescent="0.2">
      <c r="A277" s="10">
        <v>2021</v>
      </c>
      <c r="B277" s="56">
        <v>2530</v>
      </c>
      <c r="C277" s="54">
        <v>6801674</v>
      </c>
    </row>
    <row r="278" spans="1:3" x14ac:dyDescent="0.2">
      <c r="A278" s="10">
        <v>2021</v>
      </c>
      <c r="B278" s="56">
        <v>2533</v>
      </c>
      <c r="C278" s="54">
        <v>1632543</v>
      </c>
    </row>
    <row r="279" spans="1:3" x14ac:dyDescent="0.2">
      <c r="A279" s="10">
        <v>2021</v>
      </c>
      <c r="B279" s="56">
        <v>2535</v>
      </c>
      <c r="C279" s="54">
        <v>1979403</v>
      </c>
    </row>
    <row r="280" spans="1:3" x14ac:dyDescent="0.2">
      <c r="A280" s="10">
        <v>2021</v>
      </c>
      <c r="B280" s="56">
        <v>2540</v>
      </c>
      <c r="C280" s="54">
        <v>4846086</v>
      </c>
    </row>
    <row r="281" spans="1:3" x14ac:dyDescent="0.2">
      <c r="A281" s="10">
        <v>2021</v>
      </c>
      <c r="B281" s="56">
        <v>2541</v>
      </c>
      <c r="C281" s="53">
        <v>2802691</v>
      </c>
    </row>
    <row r="282" spans="1:3" x14ac:dyDescent="0.2">
      <c r="A282" s="10">
        <v>2021</v>
      </c>
      <c r="B282" s="56">
        <v>2542</v>
      </c>
      <c r="C282" s="54">
        <v>1619156</v>
      </c>
    </row>
    <row r="283" spans="1:3" x14ac:dyDescent="0.2">
      <c r="A283" s="10">
        <v>2021</v>
      </c>
      <c r="B283" s="58">
        <v>2545</v>
      </c>
      <c r="C283" s="54">
        <v>847619</v>
      </c>
    </row>
    <row r="284" spans="1:3" x14ac:dyDescent="0.2">
      <c r="A284" s="10">
        <v>2021</v>
      </c>
      <c r="B284" s="56">
        <v>2547</v>
      </c>
      <c r="C284" s="53">
        <v>6533609</v>
      </c>
    </row>
    <row r="285" spans="1:3" x14ac:dyDescent="0.2">
      <c r="A285" s="10">
        <v>2021</v>
      </c>
      <c r="B285" s="56">
        <v>2550</v>
      </c>
      <c r="C285" s="54">
        <v>695767</v>
      </c>
    </row>
    <row r="286" spans="1:3" x14ac:dyDescent="0.2">
      <c r="A286" s="10">
        <v>2021</v>
      </c>
      <c r="B286" s="56">
        <v>2551</v>
      </c>
      <c r="C286" s="54">
        <v>1175666</v>
      </c>
    </row>
    <row r="287" spans="1:3" x14ac:dyDescent="0.2">
      <c r="A287" s="10">
        <v>2021</v>
      </c>
      <c r="B287" s="56">
        <v>2555</v>
      </c>
      <c r="C287" s="54">
        <v>1088552</v>
      </c>
    </row>
    <row r="288" spans="1:3" x14ac:dyDescent="0.2">
      <c r="A288" s="10">
        <v>2021</v>
      </c>
      <c r="B288" s="58">
        <v>2557</v>
      </c>
      <c r="C288" s="54">
        <v>9845630</v>
      </c>
    </row>
    <row r="289" spans="1:3" x14ac:dyDescent="0.2">
      <c r="A289" s="10">
        <v>2021</v>
      </c>
      <c r="B289" s="56">
        <v>2559</v>
      </c>
      <c r="C289" s="54">
        <v>925248</v>
      </c>
    </row>
    <row r="290" spans="1:3" x14ac:dyDescent="0.2">
      <c r="A290" s="10">
        <v>2021</v>
      </c>
      <c r="B290" s="56">
        <v>2560</v>
      </c>
      <c r="C290" s="54">
        <v>1163448</v>
      </c>
    </row>
    <row r="291" spans="1:3" x14ac:dyDescent="0.2">
      <c r="A291" s="10">
        <v>2021</v>
      </c>
      <c r="B291" s="56">
        <v>2561</v>
      </c>
      <c r="C291" s="54">
        <v>3810015</v>
      </c>
    </row>
    <row r="292" spans="1:3" x14ac:dyDescent="0.2">
      <c r="A292" s="10">
        <v>2021</v>
      </c>
      <c r="B292" s="56">
        <v>2562</v>
      </c>
      <c r="C292" s="53">
        <v>4604970</v>
      </c>
    </row>
    <row r="293" spans="1:3" x14ac:dyDescent="0.2">
      <c r="A293" s="10">
        <v>2021</v>
      </c>
      <c r="B293" s="56">
        <v>2563</v>
      </c>
      <c r="C293" s="54">
        <v>4839470</v>
      </c>
    </row>
    <row r="294" spans="1:3" x14ac:dyDescent="0.2">
      <c r="A294" s="10">
        <v>2021</v>
      </c>
      <c r="B294" s="56">
        <v>2564</v>
      </c>
      <c r="C294" s="54">
        <v>6758692</v>
      </c>
    </row>
    <row r="295" spans="1:3" x14ac:dyDescent="0.2">
      <c r="A295" s="10">
        <v>2021</v>
      </c>
      <c r="B295" s="56">
        <v>2565</v>
      </c>
      <c r="C295" s="53">
        <v>3841657</v>
      </c>
    </row>
    <row r="296" spans="1:3" x14ac:dyDescent="0.2">
      <c r="A296" s="10">
        <v>2021</v>
      </c>
      <c r="B296" s="56">
        <v>2570</v>
      </c>
      <c r="C296" s="53">
        <v>2621242</v>
      </c>
    </row>
    <row r="297" spans="1:3" x14ac:dyDescent="0.2">
      <c r="A297" s="10">
        <v>2021</v>
      </c>
      <c r="B297" s="58">
        <v>2573</v>
      </c>
      <c r="C297" s="53">
        <v>2765681</v>
      </c>
    </row>
    <row r="298" spans="1:3" x14ac:dyDescent="0.2">
      <c r="A298" s="10">
        <v>2021</v>
      </c>
      <c r="B298" s="56">
        <v>2574</v>
      </c>
      <c r="C298" s="54">
        <v>882495</v>
      </c>
    </row>
    <row r="299" spans="1:3" x14ac:dyDescent="0.2">
      <c r="A299" s="10">
        <v>2021</v>
      </c>
      <c r="B299" s="58">
        <v>2575</v>
      </c>
      <c r="C299" s="53">
        <v>9790115</v>
      </c>
    </row>
    <row r="300" spans="1:3" x14ac:dyDescent="0.2">
      <c r="A300" s="10">
        <v>2021</v>
      </c>
      <c r="B300" s="56">
        <v>2576</v>
      </c>
      <c r="C300" s="54">
        <v>1968221</v>
      </c>
    </row>
    <row r="301" spans="1:3" x14ac:dyDescent="0.2">
      <c r="A301" s="10">
        <v>2021</v>
      </c>
      <c r="B301" s="56">
        <v>2580</v>
      </c>
      <c r="C301" s="54">
        <v>5259700</v>
      </c>
    </row>
    <row r="302" spans="1:3" x14ac:dyDescent="0.2">
      <c r="A302" s="10">
        <v>2021</v>
      </c>
      <c r="B302" s="56">
        <v>2582</v>
      </c>
      <c r="C302" s="54">
        <v>1104684</v>
      </c>
    </row>
    <row r="303" spans="1:3" x14ac:dyDescent="0.2">
      <c r="A303" s="10">
        <v>2021</v>
      </c>
      <c r="B303" s="58">
        <v>2584</v>
      </c>
      <c r="C303" s="54">
        <v>3162247</v>
      </c>
    </row>
    <row r="304" spans="1:3" x14ac:dyDescent="0.2">
      <c r="A304" s="10">
        <v>2021</v>
      </c>
      <c r="B304" s="56">
        <v>2585</v>
      </c>
      <c r="C304" s="54">
        <v>10077398</v>
      </c>
    </row>
    <row r="305" spans="1:3" x14ac:dyDescent="0.2">
      <c r="A305" s="10">
        <v>2021</v>
      </c>
      <c r="B305" s="58">
        <v>2590</v>
      </c>
      <c r="C305" s="54">
        <v>3471266</v>
      </c>
    </row>
    <row r="306" spans="1:3" x14ac:dyDescent="0.2">
      <c r="A306" s="10">
        <v>2021</v>
      </c>
      <c r="B306" s="56">
        <v>2593</v>
      </c>
      <c r="C306" s="53">
        <v>8707519</v>
      </c>
    </row>
    <row r="307" spans="1:3" x14ac:dyDescent="0.2">
      <c r="A307" s="10">
        <v>2021</v>
      </c>
      <c r="B307" s="58">
        <v>2595</v>
      </c>
      <c r="C307" s="53">
        <v>600329</v>
      </c>
    </row>
    <row r="308" spans="1:3" x14ac:dyDescent="0.2">
      <c r="A308" s="10">
        <v>2021</v>
      </c>
      <c r="B308" s="58">
        <v>2600</v>
      </c>
      <c r="C308" s="53">
        <v>1366005</v>
      </c>
    </row>
    <row r="309" spans="1:3" x14ac:dyDescent="0.2">
      <c r="A309" s="10">
        <v>2021</v>
      </c>
      <c r="B309" s="56">
        <v>2605</v>
      </c>
      <c r="C309" s="54">
        <v>579469</v>
      </c>
    </row>
    <row r="310" spans="1:3" x14ac:dyDescent="0.2">
      <c r="A310" s="10">
        <v>2021</v>
      </c>
      <c r="B310" s="64">
        <v>2610</v>
      </c>
      <c r="C310" s="53">
        <v>8755793</v>
      </c>
    </row>
    <row r="311" spans="1:3" x14ac:dyDescent="0.2">
      <c r="A311" s="10">
        <v>2021</v>
      </c>
      <c r="B311" s="56">
        <v>2611</v>
      </c>
      <c r="C311" s="53">
        <v>2382688</v>
      </c>
    </row>
    <row r="312" spans="1:3" x14ac:dyDescent="0.2">
      <c r="A312" s="10">
        <v>2021</v>
      </c>
      <c r="B312" s="58">
        <v>2612</v>
      </c>
      <c r="C312" s="53">
        <v>2721634</v>
      </c>
    </row>
    <row r="313" spans="1:3" x14ac:dyDescent="0.2">
      <c r="A313" s="10">
        <v>2021</v>
      </c>
      <c r="B313" s="56">
        <v>2613</v>
      </c>
      <c r="C313" s="53">
        <v>2788763</v>
      </c>
    </row>
    <row r="314" spans="1:3" x14ac:dyDescent="0.2">
      <c r="A314" s="10">
        <v>2021</v>
      </c>
      <c r="B314" s="58">
        <v>2614</v>
      </c>
      <c r="C314" s="53">
        <v>3329523</v>
      </c>
    </row>
    <row r="315" spans="1:3" x14ac:dyDescent="0.2">
      <c r="A315" s="10">
        <v>2021</v>
      </c>
      <c r="B315" s="56">
        <v>2615</v>
      </c>
      <c r="C315" s="53">
        <v>9531241</v>
      </c>
    </row>
    <row r="316" spans="1:3" x14ac:dyDescent="0.2">
      <c r="A316" s="10">
        <v>2021</v>
      </c>
      <c r="B316" s="58">
        <v>2616</v>
      </c>
      <c r="C316" s="53">
        <v>3150036</v>
      </c>
    </row>
    <row r="317" spans="1:3" x14ac:dyDescent="0.2">
      <c r="A317" s="10">
        <v>2021</v>
      </c>
      <c r="B317" s="58">
        <v>2617</v>
      </c>
      <c r="C317" s="53">
        <v>3248574</v>
      </c>
    </row>
    <row r="318" spans="1:3" x14ac:dyDescent="0.2">
      <c r="A318" s="10">
        <v>2021</v>
      </c>
      <c r="B318" s="56">
        <v>2618</v>
      </c>
      <c r="C318" s="53">
        <v>890954</v>
      </c>
    </row>
    <row r="319" spans="1:3" x14ac:dyDescent="0.2">
      <c r="A319" s="10">
        <v>2021</v>
      </c>
      <c r="B319" s="64">
        <v>2619</v>
      </c>
      <c r="C319" s="53">
        <v>1890618</v>
      </c>
    </row>
    <row r="320" spans="1:3" x14ac:dyDescent="0.2">
      <c r="A320" s="10">
        <v>2021</v>
      </c>
      <c r="B320" s="58">
        <v>2620</v>
      </c>
      <c r="C320" s="54">
        <v>647657</v>
      </c>
    </row>
    <row r="321" spans="1:3" x14ac:dyDescent="0.2">
      <c r="A321" s="10">
        <v>2021</v>
      </c>
      <c r="B321" s="58">
        <v>2625</v>
      </c>
      <c r="C321" s="53">
        <v>1166457</v>
      </c>
    </row>
    <row r="322" spans="1:3" x14ac:dyDescent="0.2">
      <c r="A322" s="10">
        <v>2021</v>
      </c>
      <c r="B322" s="56">
        <v>2626</v>
      </c>
      <c r="C322" s="57">
        <v>666587</v>
      </c>
    </row>
    <row r="323" spans="1:3" x14ac:dyDescent="0.2">
      <c r="A323" s="10">
        <v>2021</v>
      </c>
      <c r="B323" s="56">
        <v>2630</v>
      </c>
      <c r="C323" s="54">
        <v>912048</v>
      </c>
    </row>
    <row r="324" spans="1:3" x14ac:dyDescent="0.2">
      <c r="A324" s="10">
        <v>2021</v>
      </c>
      <c r="B324" s="56">
        <v>2632</v>
      </c>
      <c r="C324" s="54">
        <v>1669251</v>
      </c>
    </row>
    <row r="325" spans="1:3" x14ac:dyDescent="0.2">
      <c r="A325" s="10">
        <v>2021</v>
      </c>
      <c r="B325" s="56">
        <v>2633</v>
      </c>
      <c r="C325" s="54">
        <v>6678052</v>
      </c>
    </row>
    <row r="326" spans="1:3" x14ac:dyDescent="0.2">
      <c r="A326" s="10">
        <v>2021</v>
      </c>
      <c r="B326" s="56">
        <v>2635</v>
      </c>
      <c r="C326" s="54">
        <v>846552</v>
      </c>
    </row>
    <row r="327" spans="1:3" x14ac:dyDescent="0.2">
      <c r="A327" s="10">
        <v>2021</v>
      </c>
      <c r="B327" s="56">
        <v>2640</v>
      </c>
      <c r="C327" s="53">
        <v>2172361</v>
      </c>
    </row>
    <row r="328" spans="1:3" x14ac:dyDescent="0.2">
      <c r="A328" s="10">
        <v>2021</v>
      </c>
      <c r="B328" s="56">
        <v>2641</v>
      </c>
      <c r="C328" s="54">
        <v>1307535</v>
      </c>
    </row>
    <row r="329" spans="1:3" x14ac:dyDescent="0.2">
      <c r="A329" s="10">
        <v>2021</v>
      </c>
      <c r="B329" s="58">
        <v>2642</v>
      </c>
      <c r="C329" s="54">
        <v>4977036</v>
      </c>
    </row>
    <row r="330" spans="1:3" x14ac:dyDescent="0.2">
      <c r="A330" s="10">
        <v>2021</v>
      </c>
      <c r="B330" s="56">
        <v>2643</v>
      </c>
      <c r="C330" s="54">
        <v>4859261</v>
      </c>
    </row>
    <row r="331" spans="1:3" x14ac:dyDescent="0.2">
      <c r="A331" s="10">
        <v>2021</v>
      </c>
      <c r="B331" s="56">
        <v>2644</v>
      </c>
      <c r="C331" s="54">
        <v>4231360</v>
      </c>
    </row>
    <row r="332" spans="1:3" x14ac:dyDescent="0.2">
      <c r="A332" s="10">
        <v>2021</v>
      </c>
      <c r="B332" s="56">
        <v>2645</v>
      </c>
      <c r="C332" s="54">
        <v>5577885</v>
      </c>
    </row>
    <row r="333" spans="1:3" x14ac:dyDescent="0.2">
      <c r="A333" s="10">
        <v>2021</v>
      </c>
      <c r="B333" s="56">
        <v>2648</v>
      </c>
      <c r="C333" s="54">
        <v>973859</v>
      </c>
    </row>
    <row r="334" spans="1:3" x14ac:dyDescent="0.2">
      <c r="A334" s="10">
        <v>2021</v>
      </c>
      <c r="B334" s="58">
        <v>2649</v>
      </c>
      <c r="C334" s="54">
        <v>2246472</v>
      </c>
    </row>
    <row r="335" spans="1:3" x14ac:dyDescent="0.2">
      <c r="A335" s="10">
        <v>2021</v>
      </c>
      <c r="B335" s="56">
        <v>2650</v>
      </c>
      <c r="C335" s="54">
        <v>516986</v>
      </c>
    </row>
    <row r="336" spans="1:3" x14ac:dyDescent="0.2">
      <c r="A336" s="10">
        <v>2021</v>
      </c>
      <c r="B336" s="56">
        <v>2651</v>
      </c>
      <c r="C336" s="53">
        <v>8353612</v>
      </c>
    </row>
    <row r="337" spans="1:3" x14ac:dyDescent="0.2">
      <c r="A337" s="10">
        <v>2021</v>
      </c>
      <c r="B337" s="56">
        <v>2652</v>
      </c>
      <c r="C337" s="53">
        <v>892877</v>
      </c>
    </row>
    <row r="338" spans="1:3" x14ac:dyDescent="0.2">
      <c r="A338" s="10">
        <v>2021</v>
      </c>
      <c r="B338" s="56">
        <v>2653</v>
      </c>
      <c r="C338" s="54">
        <v>1274798</v>
      </c>
    </row>
    <row r="339" spans="1:3" x14ac:dyDescent="0.2">
      <c r="A339" s="10">
        <v>2021</v>
      </c>
      <c r="B339" s="56">
        <v>2654</v>
      </c>
      <c r="C339" s="54">
        <v>8540174</v>
      </c>
    </row>
    <row r="340" spans="1:3" x14ac:dyDescent="0.2">
      <c r="A340" s="10">
        <v>2021</v>
      </c>
      <c r="B340" s="56">
        <v>2655</v>
      </c>
      <c r="C340" s="53">
        <v>4721683</v>
      </c>
    </row>
    <row r="341" spans="1:3" x14ac:dyDescent="0.2">
      <c r="A341" s="10">
        <v>2021</v>
      </c>
      <c r="B341" s="56">
        <v>2656</v>
      </c>
      <c r="C341" s="54">
        <v>4424405</v>
      </c>
    </row>
    <row r="342" spans="1:3" x14ac:dyDescent="0.2">
      <c r="A342" s="10">
        <v>2021</v>
      </c>
      <c r="B342" s="56">
        <v>3032</v>
      </c>
      <c r="C342" s="54">
        <v>676246</v>
      </c>
    </row>
    <row r="343" spans="1:3" x14ac:dyDescent="0.2">
      <c r="A343" s="10">
        <v>2021</v>
      </c>
      <c r="B343" s="56">
        <v>3041</v>
      </c>
      <c r="C343" s="54">
        <v>243057</v>
      </c>
    </row>
    <row r="344" spans="1:3" x14ac:dyDescent="0.2">
      <c r="A344" s="10">
        <v>2021</v>
      </c>
      <c r="B344" s="56">
        <v>3042</v>
      </c>
      <c r="C344" s="54">
        <v>644695</v>
      </c>
    </row>
    <row r="345" spans="1:3" x14ac:dyDescent="0.2">
      <c r="A345" s="10">
        <v>2021</v>
      </c>
      <c r="B345" s="56">
        <v>3043</v>
      </c>
      <c r="C345" s="54">
        <v>637018</v>
      </c>
    </row>
    <row r="346" spans="1:3" x14ac:dyDescent="0.2">
      <c r="A346" s="10">
        <v>2021</v>
      </c>
      <c r="B346" s="58">
        <v>3044</v>
      </c>
      <c r="C346" s="54">
        <v>466378</v>
      </c>
    </row>
    <row r="347" spans="1:3" x14ac:dyDescent="0.2">
      <c r="A347" s="10">
        <v>2021</v>
      </c>
      <c r="B347" s="56">
        <v>3048</v>
      </c>
      <c r="C347" s="53">
        <v>240258</v>
      </c>
    </row>
    <row r="348" spans="1:3" x14ac:dyDescent="0.2">
      <c r="A348" s="10">
        <v>2021</v>
      </c>
      <c r="B348" s="56">
        <v>3077</v>
      </c>
      <c r="C348" s="53">
        <v>612758</v>
      </c>
    </row>
    <row r="349" spans="1:3" x14ac:dyDescent="0.2">
      <c r="A349" s="10">
        <v>2021</v>
      </c>
      <c r="B349" s="58">
        <v>3078</v>
      </c>
      <c r="C349" s="53">
        <v>275414</v>
      </c>
    </row>
    <row r="350" spans="1:3" x14ac:dyDescent="0.2">
      <c r="A350" s="10">
        <v>2021</v>
      </c>
      <c r="B350" s="56">
        <v>3079</v>
      </c>
      <c r="C350" s="66">
        <v>130437</v>
      </c>
    </row>
    <row r="351" spans="1:3" x14ac:dyDescent="0.2">
      <c r="A351" s="10">
        <v>2021</v>
      </c>
      <c r="B351" s="58">
        <v>3081</v>
      </c>
      <c r="C351" s="53">
        <v>266228</v>
      </c>
    </row>
    <row r="352" spans="1:3" x14ac:dyDescent="0.2">
      <c r="A352" s="10">
        <v>2021</v>
      </c>
      <c r="B352" s="56">
        <v>3082</v>
      </c>
      <c r="C352" s="54">
        <v>552941</v>
      </c>
    </row>
    <row r="353" spans="1:3" x14ac:dyDescent="0.2">
      <c r="A353" s="10">
        <v>2021</v>
      </c>
      <c r="B353" s="61">
        <v>3101</v>
      </c>
      <c r="C353" s="53">
        <v>251851</v>
      </c>
    </row>
    <row r="354" spans="1:3" x14ac:dyDescent="0.2">
      <c r="A354" s="10">
        <v>2021</v>
      </c>
      <c r="B354" s="58">
        <v>3105</v>
      </c>
      <c r="C354" s="53">
        <v>258264</v>
      </c>
    </row>
    <row r="355" spans="1:3" x14ac:dyDescent="0.2">
      <c r="A355" s="10">
        <v>2021</v>
      </c>
      <c r="B355" s="58">
        <v>3106</v>
      </c>
      <c r="C355" s="53">
        <v>458322</v>
      </c>
    </row>
    <row r="356" spans="1:3" x14ac:dyDescent="0.2">
      <c r="A356" s="10">
        <v>2021</v>
      </c>
      <c r="B356" s="61">
        <v>3107</v>
      </c>
      <c r="C356" s="54">
        <v>434677</v>
      </c>
    </row>
    <row r="357" spans="1:3" x14ac:dyDescent="0.2">
      <c r="A357" s="10">
        <v>2021</v>
      </c>
      <c r="B357" s="58">
        <v>3126</v>
      </c>
      <c r="C357" s="54">
        <v>472028</v>
      </c>
    </row>
    <row r="358" spans="1:3" x14ac:dyDescent="0.2">
      <c r="A358" s="10">
        <v>2021</v>
      </c>
      <c r="B358" s="58">
        <v>3128</v>
      </c>
      <c r="C358" s="54">
        <v>424995</v>
      </c>
    </row>
    <row r="359" spans="1:3" x14ac:dyDescent="0.2">
      <c r="A359" s="10">
        <v>2021</v>
      </c>
      <c r="B359" s="56">
        <v>3178</v>
      </c>
      <c r="C359" s="54">
        <v>742878</v>
      </c>
    </row>
    <row r="360" spans="1:3" x14ac:dyDescent="0.2">
      <c r="A360" s="10">
        <v>2021</v>
      </c>
      <c r="B360" s="58">
        <v>3179</v>
      </c>
      <c r="C360" s="54">
        <v>548232</v>
      </c>
    </row>
    <row r="361" spans="1:3" x14ac:dyDescent="0.2">
      <c r="A361" s="10">
        <v>2021</v>
      </c>
      <c r="B361" s="56">
        <v>3201</v>
      </c>
      <c r="C361" s="53">
        <v>279901</v>
      </c>
    </row>
    <row r="362" spans="1:3" x14ac:dyDescent="0.2">
      <c r="A362" s="10">
        <v>2021</v>
      </c>
      <c r="B362" s="58">
        <v>3202</v>
      </c>
      <c r="C362" s="54">
        <v>556968</v>
      </c>
    </row>
    <row r="363" spans="1:3" x14ac:dyDescent="0.2">
      <c r="A363" s="10">
        <v>2021</v>
      </c>
      <c r="B363" s="58">
        <v>3204</v>
      </c>
      <c r="C363" s="54">
        <v>551918</v>
      </c>
    </row>
    <row r="364" spans="1:3" x14ac:dyDescent="0.2">
      <c r="A364" s="10">
        <v>2021</v>
      </c>
      <c r="B364" s="58">
        <v>3206</v>
      </c>
      <c r="C364" s="53">
        <v>644962</v>
      </c>
    </row>
    <row r="365" spans="1:3" x14ac:dyDescent="0.2">
      <c r="A365" s="10">
        <v>2021</v>
      </c>
      <c r="B365" s="61">
        <v>3208</v>
      </c>
      <c r="C365" s="66">
        <v>251865</v>
      </c>
    </row>
    <row r="366" spans="1:3" x14ac:dyDescent="0.2">
      <c r="A366" s="10">
        <v>2021</v>
      </c>
      <c r="B366" s="58">
        <v>3226</v>
      </c>
      <c r="C366" s="53">
        <v>734660</v>
      </c>
    </row>
    <row r="367" spans="1:3" x14ac:dyDescent="0.2">
      <c r="A367" s="10">
        <v>2021</v>
      </c>
      <c r="B367" s="61">
        <v>3229</v>
      </c>
      <c r="C367" s="54">
        <v>439631</v>
      </c>
    </row>
    <row r="368" spans="1:3" x14ac:dyDescent="0.2">
      <c r="A368" s="10">
        <v>2021</v>
      </c>
      <c r="B368" s="56">
        <v>3231</v>
      </c>
      <c r="C368" s="57">
        <v>659719</v>
      </c>
    </row>
    <row r="369" spans="1:3" x14ac:dyDescent="0.2">
      <c r="A369" s="10">
        <v>2021</v>
      </c>
      <c r="B369" s="56">
        <v>3232</v>
      </c>
      <c r="C369" s="54">
        <v>309193</v>
      </c>
    </row>
    <row r="370" spans="1:3" x14ac:dyDescent="0.2">
      <c r="A370" s="10">
        <v>2021</v>
      </c>
      <c r="B370" s="56">
        <v>3276</v>
      </c>
      <c r="C370" s="54">
        <v>611963</v>
      </c>
    </row>
    <row r="371" spans="1:3" x14ac:dyDescent="0.2">
      <c r="A371" s="10">
        <v>2021</v>
      </c>
      <c r="B371" s="56">
        <v>3277</v>
      </c>
      <c r="C371" s="54">
        <v>683489</v>
      </c>
    </row>
    <row r="372" spans="1:3" x14ac:dyDescent="0.2">
      <c r="A372" s="10">
        <v>2021</v>
      </c>
      <c r="B372" s="56">
        <v>3278</v>
      </c>
      <c r="C372" s="54">
        <v>489009</v>
      </c>
    </row>
    <row r="373" spans="1:3" x14ac:dyDescent="0.2">
      <c r="A373" s="10">
        <v>2021</v>
      </c>
      <c r="B373" s="56">
        <v>3280</v>
      </c>
      <c r="C373" s="54">
        <v>557214</v>
      </c>
    </row>
    <row r="374" spans="1:3" x14ac:dyDescent="0.2">
      <c r="A374" s="10">
        <v>2021</v>
      </c>
      <c r="B374" s="56">
        <v>3281</v>
      </c>
      <c r="C374" s="54">
        <v>669541</v>
      </c>
    </row>
    <row r="375" spans="1:3" x14ac:dyDescent="0.2">
      <c r="A375" s="10">
        <v>2021</v>
      </c>
      <c r="B375" s="56">
        <v>3284</v>
      </c>
      <c r="C375" s="53">
        <v>635301</v>
      </c>
    </row>
    <row r="376" spans="1:3" x14ac:dyDescent="0.2">
      <c r="A376" s="10">
        <v>2021</v>
      </c>
      <c r="B376" s="56">
        <v>3303</v>
      </c>
      <c r="C376" s="54">
        <v>666816</v>
      </c>
    </row>
    <row r="377" spans="1:3" x14ac:dyDescent="0.2">
      <c r="A377" s="10">
        <v>2021</v>
      </c>
      <c r="B377" s="58">
        <v>3304</v>
      </c>
      <c r="C377" s="53">
        <v>293493</v>
      </c>
    </row>
    <row r="378" spans="1:3" x14ac:dyDescent="0.2">
      <c r="A378" s="10">
        <v>2021</v>
      </c>
      <c r="B378" s="56">
        <v>3305</v>
      </c>
      <c r="C378" s="54">
        <v>445155</v>
      </c>
    </row>
    <row r="379" spans="1:3" x14ac:dyDescent="0.2">
      <c r="A379" s="10">
        <v>2021</v>
      </c>
      <c r="B379" s="56">
        <v>3306</v>
      </c>
      <c r="C379" s="54">
        <v>463105</v>
      </c>
    </row>
    <row r="380" spans="1:3" x14ac:dyDescent="0.2">
      <c r="A380" s="10">
        <v>2021</v>
      </c>
      <c r="B380" s="56">
        <v>3307</v>
      </c>
      <c r="C380" s="54">
        <v>165326</v>
      </c>
    </row>
    <row r="381" spans="1:3" x14ac:dyDescent="0.2">
      <c r="A381" s="10">
        <v>2021</v>
      </c>
      <c r="B381" s="56">
        <v>3308</v>
      </c>
      <c r="C381" s="54">
        <v>362515</v>
      </c>
    </row>
    <row r="382" spans="1:3" x14ac:dyDescent="0.2">
      <c r="A382" s="10">
        <v>2021</v>
      </c>
      <c r="B382" s="56">
        <v>3309</v>
      </c>
      <c r="C382" s="54">
        <v>633738</v>
      </c>
    </row>
    <row r="383" spans="1:3" x14ac:dyDescent="0.2">
      <c r="A383" s="10">
        <v>2021</v>
      </c>
      <c r="B383" s="56">
        <v>3326</v>
      </c>
      <c r="C383" s="54">
        <v>568172</v>
      </c>
    </row>
    <row r="384" spans="1:3" x14ac:dyDescent="0.2">
      <c r="A384" s="10">
        <v>2021</v>
      </c>
      <c r="B384" s="56">
        <v>3327</v>
      </c>
      <c r="C384" s="54">
        <v>667982</v>
      </c>
    </row>
    <row r="385" spans="1:3" x14ac:dyDescent="0.2">
      <c r="A385" s="10">
        <v>2021</v>
      </c>
      <c r="B385" s="56">
        <v>3328</v>
      </c>
      <c r="C385" s="54">
        <v>386023</v>
      </c>
    </row>
    <row r="386" spans="1:3" x14ac:dyDescent="0.2">
      <c r="A386" s="10">
        <v>2021</v>
      </c>
      <c r="B386" s="56">
        <v>3329</v>
      </c>
      <c r="C386" s="54">
        <v>482952</v>
      </c>
    </row>
    <row r="387" spans="1:3" x14ac:dyDescent="0.2">
      <c r="A387" s="10">
        <v>2021</v>
      </c>
      <c r="B387" s="56">
        <v>3330</v>
      </c>
      <c r="C387" s="54">
        <v>785089</v>
      </c>
    </row>
    <row r="388" spans="1:3" x14ac:dyDescent="0.2">
      <c r="A388" s="10">
        <v>2021</v>
      </c>
      <c r="B388" s="56">
        <v>3331</v>
      </c>
      <c r="C388" s="54">
        <v>846442</v>
      </c>
    </row>
    <row r="389" spans="1:3" x14ac:dyDescent="0.2">
      <c r="A389" s="10">
        <v>2021</v>
      </c>
      <c r="B389" s="56">
        <v>3332</v>
      </c>
      <c r="C389" s="54">
        <v>354214</v>
      </c>
    </row>
    <row r="390" spans="1:3" x14ac:dyDescent="0.2">
      <c r="A390" s="10">
        <v>2021</v>
      </c>
      <c r="B390" s="56">
        <v>3452</v>
      </c>
      <c r="C390" s="54">
        <v>915019</v>
      </c>
    </row>
    <row r="391" spans="1:3" x14ac:dyDescent="0.2">
      <c r="A391" s="10">
        <v>2021</v>
      </c>
      <c r="B391" s="56">
        <v>3453</v>
      </c>
      <c r="C391" s="54">
        <v>317181</v>
      </c>
    </row>
    <row r="392" spans="1:3" x14ac:dyDescent="0.2">
      <c r="A392" s="10">
        <v>2021</v>
      </c>
      <c r="B392" s="56">
        <v>3458</v>
      </c>
      <c r="C392" s="54">
        <v>680132</v>
      </c>
    </row>
    <row r="393" spans="1:3" x14ac:dyDescent="0.2">
      <c r="A393" s="10">
        <v>2021</v>
      </c>
      <c r="B393" s="56">
        <v>3460</v>
      </c>
      <c r="C393" s="54">
        <v>921906</v>
      </c>
    </row>
    <row r="394" spans="1:3" x14ac:dyDescent="0.2">
      <c r="A394" s="10">
        <v>2021</v>
      </c>
      <c r="B394" s="56">
        <v>3464</v>
      </c>
      <c r="C394" s="54">
        <v>239570</v>
      </c>
    </row>
    <row r="395" spans="1:3" x14ac:dyDescent="0.2">
      <c r="A395" s="10">
        <v>2021</v>
      </c>
      <c r="B395" s="58">
        <v>3465</v>
      </c>
      <c r="C395" s="54">
        <v>157330</v>
      </c>
    </row>
    <row r="396" spans="1:3" x14ac:dyDescent="0.2">
      <c r="A396" s="10">
        <v>2021</v>
      </c>
      <c r="B396" s="56">
        <v>3466</v>
      </c>
      <c r="C396" s="54">
        <v>536385</v>
      </c>
    </row>
    <row r="397" spans="1:3" x14ac:dyDescent="0.2">
      <c r="A397" s="10">
        <v>2021</v>
      </c>
      <c r="B397" s="58">
        <v>3467</v>
      </c>
      <c r="C397" s="53">
        <v>272899</v>
      </c>
    </row>
    <row r="398" spans="1:3" x14ac:dyDescent="0.2">
      <c r="A398" s="10">
        <v>2021</v>
      </c>
      <c r="B398" s="56">
        <v>3468</v>
      </c>
      <c r="C398" s="54">
        <v>58552</v>
      </c>
    </row>
    <row r="399" spans="1:3" x14ac:dyDescent="0.2">
      <c r="A399" s="10">
        <v>2021</v>
      </c>
      <c r="B399" s="61">
        <v>3471</v>
      </c>
      <c r="C399" s="53">
        <v>226769</v>
      </c>
    </row>
    <row r="400" spans="1:3" x14ac:dyDescent="0.2">
      <c r="A400" s="10">
        <v>2021</v>
      </c>
      <c r="B400" s="58">
        <v>3473</v>
      </c>
      <c r="C400" s="54">
        <v>439338</v>
      </c>
    </row>
    <row r="401" spans="1:3" x14ac:dyDescent="0.2">
      <c r="A401" s="10">
        <v>2021</v>
      </c>
      <c r="B401" s="58">
        <v>3526</v>
      </c>
      <c r="C401" s="53">
        <v>463014</v>
      </c>
    </row>
    <row r="402" spans="1:3" x14ac:dyDescent="0.2">
      <c r="A402" s="10">
        <v>2021</v>
      </c>
      <c r="B402" s="61">
        <v>3527</v>
      </c>
      <c r="C402" s="54">
        <v>424773</v>
      </c>
    </row>
    <row r="403" spans="1:3" x14ac:dyDescent="0.2">
      <c r="A403" s="10">
        <v>2021</v>
      </c>
      <c r="B403" s="58">
        <v>3528</v>
      </c>
      <c r="C403" s="53">
        <v>388071</v>
      </c>
    </row>
    <row r="404" spans="1:3" x14ac:dyDescent="0.2">
      <c r="A404" s="10">
        <v>2021</v>
      </c>
      <c r="B404" s="58">
        <v>3531</v>
      </c>
      <c r="C404" s="53">
        <v>602047</v>
      </c>
    </row>
    <row r="405" spans="1:3" x14ac:dyDescent="0.2">
      <c r="A405" s="10">
        <v>2021</v>
      </c>
      <c r="B405" s="56">
        <v>3552</v>
      </c>
      <c r="C405" s="54">
        <v>173481</v>
      </c>
    </row>
    <row r="406" spans="1:3" x14ac:dyDescent="0.2">
      <c r="A406" s="10">
        <v>2021</v>
      </c>
      <c r="B406" s="58">
        <v>3559</v>
      </c>
      <c r="C406" s="54">
        <v>419616</v>
      </c>
    </row>
    <row r="407" spans="1:3" x14ac:dyDescent="0.2">
      <c r="A407" s="10">
        <v>2021</v>
      </c>
      <c r="B407" s="56">
        <v>3560</v>
      </c>
      <c r="C407" s="54">
        <v>537148</v>
      </c>
    </row>
    <row r="408" spans="1:3" x14ac:dyDescent="0.2">
      <c r="A408" s="10">
        <v>2021</v>
      </c>
      <c r="B408" s="58">
        <v>3561</v>
      </c>
      <c r="C408" s="54">
        <v>595531</v>
      </c>
    </row>
    <row r="409" spans="1:3" x14ac:dyDescent="0.2">
      <c r="A409" s="10">
        <v>2021</v>
      </c>
      <c r="B409" s="58">
        <v>3576</v>
      </c>
      <c r="C409" s="53">
        <v>244022</v>
      </c>
    </row>
    <row r="410" spans="1:3" x14ac:dyDescent="0.2">
      <c r="A410" s="10">
        <v>2021</v>
      </c>
      <c r="B410" s="58">
        <v>3577</v>
      </c>
      <c r="C410" s="54">
        <v>575913</v>
      </c>
    </row>
    <row r="411" spans="1:3" x14ac:dyDescent="0.2">
      <c r="A411" s="10">
        <v>2021</v>
      </c>
      <c r="B411" s="61">
        <v>3579</v>
      </c>
      <c r="C411" s="66">
        <v>267635</v>
      </c>
    </row>
    <row r="412" spans="1:3" x14ac:dyDescent="0.2">
      <c r="A412" s="10">
        <v>2021</v>
      </c>
      <c r="B412" s="58">
        <v>3585</v>
      </c>
      <c r="C412" s="54">
        <v>633205</v>
      </c>
    </row>
    <row r="413" spans="1:3" x14ac:dyDescent="0.2">
      <c r="A413" s="10">
        <v>2021</v>
      </c>
      <c r="B413" s="61">
        <v>3586</v>
      </c>
      <c r="C413" s="53">
        <v>709546</v>
      </c>
    </row>
    <row r="414" spans="1:3" x14ac:dyDescent="0.2">
      <c r="A414" s="10">
        <v>2021</v>
      </c>
      <c r="B414" s="56">
        <v>3589</v>
      </c>
      <c r="C414" s="57">
        <v>539423</v>
      </c>
    </row>
    <row r="415" spans="1:3" x14ac:dyDescent="0.2">
      <c r="A415" s="10">
        <v>2021</v>
      </c>
      <c r="B415" s="56">
        <v>3591</v>
      </c>
      <c r="C415" s="54">
        <v>276838</v>
      </c>
    </row>
    <row r="416" spans="1:3" x14ac:dyDescent="0.2">
      <c r="A416" s="10">
        <v>2021</v>
      </c>
      <c r="B416" s="56">
        <v>3592</v>
      </c>
      <c r="C416" s="54">
        <v>563495</v>
      </c>
    </row>
    <row r="417" spans="1:3" x14ac:dyDescent="0.2">
      <c r="A417" s="10">
        <v>2021</v>
      </c>
      <c r="B417" s="56">
        <v>3593</v>
      </c>
      <c r="C417" s="54">
        <v>1026922</v>
      </c>
    </row>
    <row r="418" spans="1:3" x14ac:dyDescent="0.2">
      <c r="A418" s="10">
        <v>2021</v>
      </c>
      <c r="B418" s="56">
        <v>3594</v>
      </c>
      <c r="C418" s="54">
        <v>223844</v>
      </c>
    </row>
    <row r="419" spans="1:3" x14ac:dyDescent="0.2">
      <c r="A419" s="10">
        <v>2021</v>
      </c>
      <c r="B419" s="56">
        <v>3626</v>
      </c>
      <c r="C419" s="54">
        <v>1240950</v>
      </c>
    </row>
    <row r="420" spans="1:3" x14ac:dyDescent="0.2">
      <c r="A420" s="10">
        <v>2021</v>
      </c>
      <c r="B420" s="56">
        <v>3629</v>
      </c>
      <c r="C420" s="54">
        <v>728037</v>
      </c>
    </row>
    <row r="421" spans="1:3" x14ac:dyDescent="0.2">
      <c r="A421" s="10">
        <v>2021</v>
      </c>
      <c r="B421" s="56">
        <v>3630</v>
      </c>
      <c r="C421" s="54">
        <v>1182414</v>
      </c>
    </row>
    <row r="422" spans="1:3" x14ac:dyDescent="0.2">
      <c r="A422" s="10">
        <v>2021</v>
      </c>
      <c r="B422" s="56">
        <v>3631</v>
      </c>
      <c r="C422" s="54">
        <v>992631</v>
      </c>
    </row>
    <row r="423" spans="1:3" x14ac:dyDescent="0.2">
      <c r="A423" s="10">
        <v>2021</v>
      </c>
      <c r="B423" s="58">
        <v>3632</v>
      </c>
      <c r="C423" s="54">
        <v>1801402</v>
      </c>
    </row>
    <row r="424" spans="1:3" x14ac:dyDescent="0.2">
      <c r="A424" s="10">
        <v>2021</v>
      </c>
      <c r="B424" s="56">
        <v>3635</v>
      </c>
      <c r="C424" s="54">
        <v>1156502</v>
      </c>
    </row>
    <row r="425" spans="1:3" x14ac:dyDescent="0.2">
      <c r="A425" s="10">
        <v>2021</v>
      </c>
      <c r="B425" s="56">
        <v>3636</v>
      </c>
      <c r="C425" s="54">
        <v>967611</v>
      </c>
    </row>
    <row r="426" spans="1:3" x14ac:dyDescent="0.2">
      <c r="A426" s="10">
        <v>2021</v>
      </c>
      <c r="B426" s="56">
        <v>3658</v>
      </c>
      <c r="C426" s="54">
        <v>1015914</v>
      </c>
    </row>
    <row r="427" spans="1:3" x14ac:dyDescent="0.2">
      <c r="A427" s="10">
        <v>2021</v>
      </c>
      <c r="B427" s="56">
        <v>3679</v>
      </c>
      <c r="C427" s="54">
        <v>1129471</v>
      </c>
    </row>
    <row r="428" spans="1:3" x14ac:dyDescent="0.2">
      <c r="A428" s="10">
        <v>2021</v>
      </c>
      <c r="B428" s="56">
        <v>3702</v>
      </c>
      <c r="C428" s="54">
        <v>646300</v>
      </c>
    </row>
    <row r="429" spans="1:3" x14ac:dyDescent="0.2">
      <c r="A429" s="10">
        <v>2021</v>
      </c>
      <c r="B429" s="56">
        <v>3709</v>
      </c>
      <c r="C429" s="54">
        <v>505261</v>
      </c>
    </row>
    <row r="430" spans="1:3" x14ac:dyDescent="0.2">
      <c r="A430" s="10">
        <v>2021</v>
      </c>
      <c r="B430" s="56">
        <v>3805</v>
      </c>
      <c r="C430" s="53">
        <v>419477</v>
      </c>
    </row>
    <row r="431" spans="1:3" x14ac:dyDescent="0.2">
      <c r="A431" s="10">
        <v>2021</v>
      </c>
      <c r="B431" s="56">
        <v>3821</v>
      </c>
      <c r="C431" s="54">
        <v>566844</v>
      </c>
    </row>
    <row r="432" spans="1:3" x14ac:dyDescent="0.2">
      <c r="A432" s="10">
        <v>2021</v>
      </c>
      <c r="B432" s="56">
        <v>3822</v>
      </c>
      <c r="C432" s="54">
        <v>239793</v>
      </c>
    </row>
    <row r="433" spans="1:3" x14ac:dyDescent="0.2">
      <c r="A433" s="10">
        <v>2021</v>
      </c>
      <c r="B433" s="56">
        <v>3854</v>
      </c>
      <c r="C433" s="54">
        <v>1237628</v>
      </c>
    </row>
    <row r="434" spans="1:3" x14ac:dyDescent="0.2">
      <c r="A434" s="10">
        <v>2021</v>
      </c>
      <c r="B434" s="56">
        <v>3855</v>
      </c>
      <c r="C434" s="53">
        <v>641131</v>
      </c>
    </row>
    <row r="435" spans="1:3" x14ac:dyDescent="0.2">
      <c r="A435" s="10">
        <v>2021</v>
      </c>
      <c r="B435" s="56">
        <v>3856</v>
      </c>
      <c r="C435" s="53">
        <v>121224</v>
      </c>
    </row>
    <row r="436" spans="1:3" x14ac:dyDescent="0.2">
      <c r="A436" s="10">
        <v>2021</v>
      </c>
      <c r="B436" s="56">
        <v>3927</v>
      </c>
      <c r="C436" s="54">
        <v>682043</v>
      </c>
    </row>
    <row r="437" spans="1:3" x14ac:dyDescent="0.2">
      <c r="A437" s="10">
        <v>2021</v>
      </c>
      <c r="B437" s="56">
        <v>3928</v>
      </c>
      <c r="C437" s="54">
        <v>323201</v>
      </c>
    </row>
    <row r="438" spans="1:3" x14ac:dyDescent="0.2">
      <c r="A438" s="10">
        <v>2021</v>
      </c>
      <c r="B438" s="58">
        <v>3929</v>
      </c>
      <c r="C438" s="54">
        <v>634685</v>
      </c>
    </row>
    <row r="439" spans="1:3" x14ac:dyDescent="0.2">
      <c r="A439" s="10">
        <v>2021</v>
      </c>
      <c r="B439" s="56">
        <v>3930</v>
      </c>
      <c r="C439" s="54">
        <v>586817</v>
      </c>
    </row>
    <row r="440" spans="1:3" x14ac:dyDescent="0.2">
      <c r="A440" s="10">
        <v>2021</v>
      </c>
      <c r="B440" s="56">
        <v>3931</v>
      </c>
      <c r="C440" s="54">
        <v>762701</v>
      </c>
    </row>
    <row r="441" spans="1:3" x14ac:dyDescent="0.2">
      <c r="A441" s="10">
        <v>2021</v>
      </c>
      <c r="B441" s="58">
        <v>3932</v>
      </c>
      <c r="C441" s="53">
        <v>604407</v>
      </c>
    </row>
    <row r="442" spans="1:3" x14ac:dyDescent="0.2">
      <c r="A442" s="10">
        <v>2021</v>
      </c>
      <c r="B442" s="56">
        <v>3934</v>
      </c>
      <c r="C442" s="66">
        <v>112539</v>
      </c>
    </row>
    <row r="443" spans="1:3" x14ac:dyDescent="0.2">
      <c r="A443" s="10">
        <v>2021</v>
      </c>
      <c r="B443" s="58">
        <v>3979</v>
      </c>
      <c r="C443" s="54">
        <v>437128</v>
      </c>
    </row>
    <row r="444" spans="1:3" x14ac:dyDescent="0.2">
      <c r="A444" s="10">
        <v>2021</v>
      </c>
      <c r="B444" s="56">
        <v>3980</v>
      </c>
      <c r="C444" s="54">
        <v>327073</v>
      </c>
    </row>
    <row r="445" spans="1:3" x14ac:dyDescent="0.2">
      <c r="A445" s="10">
        <v>2021</v>
      </c>
      <c r="B445" s="58">
        <v>3981</v>
      </c>
      <c r="C445" s="54">
        <v>314639</v>
      </c>
    </row>
    <row r="446" spans="1:3" x14ac:dyDescent="0.2">
      <c r="A446" s="10">
        <v>2021</v>
      </c>
      <c r="B446" s="58">
        <v>3982</v>
      </c>
      <c r="C446" s="54">
        <v>122283</v>
      </c>
    </row>
    <row r="447" spans="1:3" x14ac:dyDescent="0.2">
      <c r="A447" s="10">
        <v>2021</v>
      </c>
      <c r="B447" s="58">
        <v>3983</v>
      </c>
      <c r="C447" s="53">
        <v>287665</v>
      </c>
    </row>
    <row r="448" spans="1:3" x14ac:dyDescent="0.2">
      <c r="A448" s="10">
        <v>2021</v>
      </c>
      <c r="B448" s="61">
        <v>3986</v>
      </c>
      <c r="C448" s="66">
        <v>280177</v>
      </c>
    </row>
    <row r="449" spans="1:3" x14ac:dyDescent="0.2">
      <c r="A449" s="10">
        <v>2021</v>
      </c>
      <c r="B449" s="58">
        <v>3987</v>
      </c>
      <c r="C449" s="53">
        <v>205819</v>
      </c>
    </row>
    <row r="450" spans="1:3" x14ac:dyDescent="0.2">
      <c r="A450" s="10">
        <v>2021</v>
      </c>
      <c r="B450" s="58">
        <v>3988</v>
      </c>
      <c r="C450" s="53">
        <v>247590</v>
      </c>
    </row>
    <row r="451" spans="1:3" x14ac:dyDescent="0.2">
      <c r="A451" s="10">
        <v>2021</v>
      </c>
      <c r="B451" s="56">
        <v>3989</v>
      </c>
      <c r="C451" s="54">
        <v>172947</v>
      </c>
    </row>
    <row r="452" spans="1:3" x14ac:dyDescent="0.2">
      <c r="A452" s="10">
        <v>2021</v>
      </c>
      <c r="B452" s="58">
        <v>3990</v>
      </c>
      <c r="C452" s="53">
        <v>280689</v>
      </c>
    </row>
    <row r="453" spans="1:3" x14ac:dyDescent="0.2">
      <c r="A453" s="10">
        <v>2021</v>
      </c>
      <c r="B453" s="56">
        <v>3991</v>
      </c>
      <c r="C453" s="54">
        <v>332727</v>
      </c>
    </row>
    <row r="454" spans="1:3" x14ac:dyDescent="0.2">
      <c r="A454" s="10">
        <v>2021</v>
      </c>
      <c r="B454" s="58">
        <v>3992</v>
      </c>
      <c r="C454" s="53">
        <v>303005</v>
      </c>
    </row>
    <row r="455" spans="1:3" x14ac:dyDescent="0.2">
      <c r="A455" s="10">
        <v>2021</v>
      </c>
      <c r="B455" s="58">
        <v>3994</v>
      </c>
      <c r="C455" s="54">
        <v>549173</v>
      </c>
    </row>
    <row r="456" spans="1:3" x14ac:dyDescent="0.2">
      <c r="A456" s="10">
        <v>2021</v>
      </c>
      <c r="B456" s="58">
        <v>3995</v>
      </c>
      <c r="C456" s="53">
        <v>280978</v>
      </c>
    </row>
    <row r="457" spans="1:3" x14ac:dyDescent="0.2">
      <c r="A457" s="10">
        <v>2021</v>
      </c>
      <c r="B457" s="61">
        <v>3996</v>
      </c>
      <c r="C457" s="66">
        <v>221078</v>
      </c>
    </row>
    <row r="458" spans="1:3" x14ac:dyDescent="0.2">
      <c r="A458" s="10">
        <v>2021</v>
      </c>
      <c r="B458" s="58">
        <v>3997</v>
      </c>
      <c r="C458" s="53">
        <v>264993</v>
      </c>
    </row>
    <row r="459" spans="1:3" x14ac:dyDescent="0.2">
      <c r="A459" s="10">
        <v>2021</v>
      </c>
      <c r="B459" s="61">
        <v>3998</v>
      </c>
      <c r="C459" s="53">
        <v>241617</v>
      </c>
    </row>
    <row r="460" spans="1:3" x14ac:dyDescent="0.2">
      <c r="A460" s="10">
        <v>2021</v>
      </c>
      <c r="B460" s="56">
        <v>3999</v>
      </c>
      <c r="C460" s="57">
        <v>196860</v>
      </c>
    </row>
    <row r="461" spans="1:3" x14ac:dyDescent="0.2">
      <c r="A461" s="10">
        <v>2021</v>
      </c>
      <c r="B461" s="56">
        <v>4004</v>
      </c>
      <c r="C461" s="53">
        <v>140361</v>
      </c>
    </row>
    <row r="462" spans="1:3" x14ac:dyDescent="0.2">
      <c r="A462" s="10">
        <v>2021</v>
      </c>
      <c r="B462" s="56">
        <v>4007</v>
      </c>
      <c r="C462" s="54">
        <v>211481</v>
      </c>
    </row>
    <row r="463" spans="1:3" x14ac:dyDescent="0.2">
      <c r="A463" s="10">
        <v>2021</v>
      </c>
      <c r="B463" s="56">
        <v>4008</v>
      </c>
      <c r="C463" s="54">
        <v>64099</v>
      </c>
    </row>
    <row r="464" spans="1:3" x14ac:dyDescent="0.2">
      <c r="A464" s="10">
        <v>2021</v>
      </c>
      <c r="B464" s="56">
        <v>4009</v>
      </c>
      <c r="C464" s="54">
        <v>1173330</v>
      </c>
    </row>
    <row r="465" spans="1:3" x14ac:dyDescent="0.2">
      <c r="A465" s="10">
        <v>2021</v>
      </c>
      <c r="B465" s="56">
        <v>4010</v>
      </c>
      <c r="C465" s="54">
        <v>107177</v>
      </c>
    </row>
    <row r="466" spans="1:3" x14ac:dyDescent="0.2">
      <c r="A466" s="10">
        <v>2021</v>
      </c>
      <c r="B466" s="56">
        <v>4014</v>
      </c>
      <c r="C466" s="54">
        <v>561132</v>
      </c>
    </row>
    <row r="467" spans="1:3" x14ac:dyDescent="0.2">
      <c r="A467" s="10">
        <v>2021</v>
      </c>
      <c r="B467" s="56">
        <v>4015</v>
      </c>
      <c r="C467" s="53">
        <v>336260</v>
      </c>
    </row>
    <row r="468" spans="1:3" x14ac:dyDescent="0.2">
      <c r="A468" s="10">
        <v>2021</v>
      </c>
      <c r="B468" s="56">
        <v>4020</v>
      </c>
      <c r="C468" s="54">
        <v>678967</v>
      </c>
    </row>
    <row r="469" spans="1:3" x14ac:dyDescent="0.2">
      <c r="A469" s="10">
        <v>2021</v>
      </c>
      <c r="B469" s="56">
        <v>4021</v>
      </c>
      <c r="C469" s="54">
        <v>911467</v>
      </c>
    </row>
    <row r="470" spans="1:3" x14ac:dyDescent="0.2">
      <c r="A470" s="10">
        <v>2021</v>
      </c>
      <c r="B470" s="56">
        <v>4022</v>
      </c>
      <c r="C470" s="54">
        <v>694096</v>
      </c>
    </row>
    <row r="471" spans="1:3" x14ac:dyDescent="0.2">
      <c r="A471" s="10">
        <v>2021</v>
      </c>
      <c r="B471" s="56">
        <v>4027</v>
      </c>
      <c r="C471" s="54">
        <v>571362</v>
      </c>
    </row>
    <row r="472" spans="1:3" x14ac:dyDescent="0.2">
      <c r="A472" s="10">
        <v>2021</v>
      </c>
      <c r="B472" s="56">
        <v>4028</v>
      </c>
      <c r="C472" s="54">
        <v>135804</v>
      </c>
    </row>
    <row r="473" spans="1:3" x14ac:dyDescent="0.2">
      <c r="A473" s="10">
        <v>2021</v>
      </c>
      <c r="B473" s="56">
        <v>4029</v>
      </c>
      <c r="C473" s="54">
        <v>787552</v>
      </c>
    </row>
    <row r="474" spans="1:3" x14ac:dyDescent="0.2">
      <c r="A474" s="10">
        <v>2021</v>
      </c>
      <c r="B474" s="56">
        <v>4030</v>
      </c>
      <c r="C474" s="54">
        <v>466986</v>
      </c>
    </row>
    <row r="475" spans="1:3" x14ac:dyDescent="0.2">
      <c r="A475" s="10">
        <v>2021</v>
      </c>
      <c r="B475" s="56">
        <v>4031</v>
      </c>
      <c r="C475" s="54">
        <v>407814</v>
      </c>
    </row>
    <row r="476" spans="1:3" x14ac:dyDescent="0.2">
      <c r="A476" s="10">
        <v>2021</v>
      </c>
      <c r="B476" s="56">
        <v>4034</v>
      </c>
      <c r="C476" s="53">
        <v>355940</v>
      </c>
    </row>
    <row r="477" spans="1:3" x14ac:dyDescent="0.2">
      <c r="A477" s="10">
        <v>2021</v>
      </c>
      <c r="B477" s="56">
        <v>4036</v>
      </c>
      <c r="C477" s="54">
        <v>518218</v>
      </c>
    </row>
    <row r="478" spans="1:3" x14ac:dyDescent="0.2">
      <c r="A478" s="10">
        <v>2021</v>
      </c>
      <c r="B478" s="56">
        <v>4101</v>
      </c>
      <c r="C478" s="54">
        <v>359547</v>
      </c>
    </row>
    <row r="479" spans="1:3" x14ac:dyDescent="0.2">
      <c r="A479" s="10">
        <v>2021</v>
      </c>
      <c r="B479" s="56">
        <v>4104</v>
      </c>
      <c r="C479" s="54">
        <v>320047</v>
      </c>
    </row>
    <row r="480" spans="1:3" x14ac:dyDescent="0.2">
      <c r="A480" s="10">
        <v>2021</v>
      </c>
      <c r="B480" s="56">
        <v>4124</v>
      </c>
      <c r="C480" s="54">
        <v>1982</v>
      </c>
    </row>
    <row r="481" spans="1:3" x14ac:dyDescent="0.2">
      <c r="A481" s="10">
        <v>2021</v>
      </c>
      <c r="B481" s="56">
        <v>4126</v>
      </c>
      <c r="C481" s="54">
        <v>1031565</v>
      </c>
    </row>
    <row r="482" spans="1:3" x14ac:dyDescent="0.2">
      <c r="A482" s="10">
        <v>2021</v>
      </c>
      <c r="B482" s="56">
        <v>4128</v>
      </c>
      <c r="C482" s="54">
        <v>723672</v>
      </c>
    </row>
    <row r="483" spans="1:3" x14ac:dyDescent="0.2">
      <c r="A483" s="10">
        <v>2021</v>
      </c>
      <c r="B483" s="56">
        <v>4130</v>
      </c>
      <c r="C483" s="54">
        <v>585824</v>
      </c>
    </row>
    <row r="484" spans="1:3" x14ac:dyDescent="0.2">
      <c r="A484" s="10">
        <v>2021</v>
      </c>
      <c r="B484" s="56">
        <v>4132</v>
      </c>
      <c r="C484" s="53">
        <v>291050</v>
      </c>
    </row>
    <row r="485" spans="1:3" x14ac:dyDescent="0.2">
      <c r="A485" s="10">
        <v>2021</v>
      </c>
      <c r="B485" s="56">
        <v>4134</v>
      </c>
      <c r="C485" s="53">
        <v>265171</v>
      </c>
    </row>
    <row r="486" spans="1:3" x14ac:dyDescent="0.2">
      <c r="A486" s="10">
        <v>2021</v>
      </c>
      <c r="B486" s="56">
        <v>4135</v>
      </c>
      <c r="C486" s="54">
        <v>229290</v>
      </c>
    </row>
    <row r="487" spans="1:3" x14ac:dyDescent="0.2">
      <c r="A487" s="10">
        <v>2021</v>
      </c>
      <c r="B487" s="56">
        <v>4137</v>
      </c>
      <c r="C487" s="53">
        <v>327086</v>
      </c>
    </row>
    <row r="488" spans="1:3" x14ac:dyDescent="0.2">
      <c r="A488" s="10">
        <v>2021</v>
      </c>
      <c r="B488" s="56">
        <v>4142</v>
      </c>
      <c r="C488" s="54">
        <v>982644</v>
      </c>
    </row>
    <row r="489" spans="1:3" x14ac:dyDescent="0.2">
      <c r="A489" s="10">
        <v>2021</v>
      </c>
      <c r="B489" s="56">
        <v>4143</v>
      </c>
      <c r="C489" s="54">
        <v>755391</v>
      </c>
    </row>
    <row r="490" spans="1:3" x14ac:dyDescent="0.2">
      <c r="A490" s="10">
        <v>2021</v>
      </c>
      <c r="B490" s="58">
        <v>4144</v>
      </c>
      <c r="C490" s="53">
        <v>490431</v>
      </c>
    </row>
    <row r="491" spans="1:3" x14ac:dyDescent="0.2">
      <c r="A491" s="10">
        <v>2021</v>
      </c>
      <c r="B491" s="56">
        <v>4149</v>
      </c>
      <c r="C491" s="53">
        <v>273066</v>
      </c>
    </row>
    <row r="492" spans="1:3" x14ac:dyDescent="0.2">
      <c r="A492" s="10">
        <v>2021</v>
      </c>
      <c r="B492" s="56">
        <v>4151</v>
      </c>
      <c r="C492" s="53">
        <v>717616</v>
      </c>
    </row>
    <row r="493" spans="1:3" x14ac:dyDescent="0.2">
      <c r="A493" s="10">
        <v>2021</v>
      </c>
      <c r="B493" s="56">
        <v>4152</v>
      </c>
      <c r="C493" s="54">
        <v>576215</v>
      </c>
    </row>
    <row r="494" spans="1:3" x14ac:dyDescent="0.2">
      <c r="A494" s="10">
        <v>2021</v>
      </c>
      <c r="B494" s="56">
        <v>4153</v>
      </c>
      <c r="C494" s="54">
        <v>710470</v>
      </c>
    </row>
    <row r="495" spans="1:3" x14ac:dyDescent="0.2">
      <c r="A495" s="10">
        <v>2021</v>
      </c>
      <c r="B495" s="56">
        <v>4154</v>
      </c>
      <c r="C495" s="54">
        <v>411028</v>
      </c>
    </row>
    <row r="496" spans="1:3" x14ac:dyDescent="0.2">
      <c r="A496" s="10">
        <v>2021</v>
      </c>
      <c r="B496" s="56">
        <v>4155</v>
      </c>
      <c r="C496" s="53">
        <v>545844</v>
      </c>
    </row>
    <row r="497" spans="1:3" x14ac:dyDescent="0.2">
      <c r="A497" s="10">
        <v>2021</v>
      </c>
      <c r="B497" s="56">
        <v>4178</v>
      </c>
      <c r="C497" s="54">
        <v>509390</v>
      </c>
    </row>
    <row r="498" spans="1:3" x14ac:dyDescent="0.2">
      <c r="A498" s="10">
        <v>2021</v>
      </c>
      <c r="B498" s="56">
        <v>4180</v>
      </c>
      <c r="C498" s="54">
        <v>1053192</v>
      </c>
    </row>
    <row r="499" spans="1:3" x14ac:dyDescent="0.2">
      <c r="A499" s="10">
        <v>2021</v>
      </c>
      <c r="B499" s="56">
        <v>4183</v>
      </c>
      <c r="C499" s="53">
        <v>682432</v>
      </c>
    </row>
    <row r="500" spans="1:3" x14ac:dyDescent="0.2">
      <c r="A500" s="10">
        <v>2021</v>
      </c>
      <c r="B500" s="56">
        <v>4184</v>
      </c>
      <c r="C500" s="53">
        <v>655751</v>
      </c>
    </row>
    <row r="501" spans="1:3" x14ac:dyDescent="0.2">
      <c r="A501" s="10">
        <v>2021</v>
      </c>
      <c r="B501" s="56">
        <v>4202</v>
      </c>
      <c r="C501" s="54">
        <v>418851</v>
      </c>
    </row>
    <row r="502" spans="1:3" x14ac:dyDescent="0.2">
      <c r="A502" s="10">
        <v>2021</v>
      </c>
      <c r="B502" s="56">
        <v>4203</v>
      </c>
      <c r="C502" s="54">
        <v>446313</v>
      </c>
    </row>
    <row r="503" spans="1:3" x14ac:dyDescent="0.2">
      <c r="A503" s="10">
        <v>2021</v>
      </c>
      <c r="B503" s="58">
        <v>4205</v>
      </c>
      <c r="C503" s="65">
        <v>322012</v>
      </c>
    </row>
    <row r="504" spans="1:3" x14ac:dyDescent="0.2">
      <c r="A504" s="10">
        <v>2021</v>
      </c>
      <c r="B504" s="58">
        <v>4206</v>
      </c>
      <c r="C504" s="53">
        <v>334198</v>
      </c>
    </row>
    <row r="505" spans="1:3" x14ac:dyDescent="0.2">
      <c r="A505" s="10">
        <v>2021</v>
      </c>
      <c r="B505" s="56">
        <v>4208</v>
      </c>
      <c r="C505" s="53">
        <v>1571715</v>
      </c>
    </row>
    <row r="506" spans="1:3" x14ac:dyDescent="0.2">
      <c r="A506" s="10">
        <v>2021</v>
      </c>
      <c r="B506" s="56">
        <v>4258</v>
      </c>
      <c r="C506" s="57">
        <v>595029</v>
      </c>
    </row>
    <row r="507" spans="1:3" x14ac:dyDescent="0.2">
      <c r="A507" s="10">
        <v>2021</v>
      </c>
      <c r="B507" s="56">
        <v>4259</v>
      </c>
      <c r="C507" s="54">
        <v>490515</v>
      </c>
    </row>
    <row r="508" spans="1:3" x14ac:dyDescent="0.2">
      <c r="A508" s="10">
        <v>2021</v>
      </c>
      <c r="B508" s="56">
        <v>4260</v>
      </c>
      <c r="C508" s="54">
        <v>789589</v>
      </c>
    </row>
    <row r="509" spans="1:3" x14ac:dyDescent="0.2">
      <c r="A509" s="10">
        <v>2021</v>
      </c>
      <c r="B509" s="56">
        <v>4301</v>
      </c>
      <c r="C509" s="54">
        <v>1491175</v>
      </c>
    </row>
    <row r="510" spans="1:3" x14ac:dyDescent="0.2">
      <c r="A510" s="10">
        <v>2021</v>
      </c>
      <c r="B510" s="56">
        <v>4351</v>
      </c>
      <c r="C510" s="53">
        <v>2068942</v>
      </c>
    </row>
    <row r="511" spans="1:3" x14ac:dyDescent="0.2">
      <c r="A511" s="10">
        <v>2021</v>
      </c>
      <c r="B511" s="56">
        <v>4353</v>
      </c>
      <c r="C511" s="54">
        <v>1392375</v>
      </c>
    </row>
    <row r="512" spans="1:3" x14ac:dyDescent="0.2">
      <c r="A512" s="10">
        <v>2021</v>
      </c>
      <c r="B512" s="56">
        <v>4355</v>
      </c>
      <c r="C512" s="53">
        <v>2321809</v>
      </c>
    </row>
    <row r="513" spans="1:3" x14ac:dyDescent="0.2">
      <c r="A513" s="10">
        <v>2021</v>
      </c>
      <c r="B513" s="56">
        <v>4356</v>
      </c>
      <c r="C513" s="54">
        <v>3588575</v>
      </c>
    </row>
    <row r="514" spans="1:3" x14ac:dyDescent="0.2">
      <c r="A514" s="10">
        <v>2021</v>
      </c>
      <c r="B514" s="56">
        <v>4357</v>
      </c>
      <c r="C514" s="54">
        <v>1596163</v>
      </c>
    </row>
    <row r="515" spans="1:3" x14ac:dyDescent="0.2">
      <c r="A515" s="10">
        <v>2021</v>
      </c>
      <c r="B515" s="56">
        <v>4358</v>
      </c>
      <c r="C515" s="54">
        <v>1256752</v>
      </c>
    </row>
    <row r="516" spans="1:3" x14ac:dyDescent="0.2">
      <c r="A516" s="10">
        <v>2021</v>
      </c>
      <c r="B516" s="56">
        <v>4360</v>
      </c>
      <c r="C516" s="54">
        <v>1322408</v>
      </c>
    </row>
    <row r="517" spans="1:3" x14ac:dyDescent="0.2">
      <c r="A517" s="10">
        <v>2021</v>
      </c>
      <c r="B517" s="56">
        <v>4361</v>
      </c>
      <c r="C517" s="54">
        <v>2586521</v>
      </c>
    </row>
    <row r="518" spans="1:3" x14ac:dyDescent="0.2">
      <c r="A518" s="10">
        <v>2021</v>
      </c>
      <c r="B518" s="56">
        <v>4363</v>
      </c>
      <c r="C518" s="54">
        <v>1430140</v>
      </c>
    </row>
    <row r="519" spans="1:3" x14ac:dyDescent="0.2">
      <c r="A519" s="10">
        <v>2021</v>
      </c>
      <c r="B519" s="56">
        <v>4364</v>
      </c>
      <c r="C519" s="54">
        <v>1498802</v>
      </c>
    </row>
    <row r="520" spans="1:3" x14ac:dyDescent="0.2">
      <c r="A520" s="10">
        <v>2021</v>
      </c>
      <c r="B520" s="56">
        <v>4365</v>
      </c>
      <c r="C520" s="54">
        <v>1049547</v>
      </c>
    </row>
    <row r="521" spans="1:3" x14ac:dyDescent="0.2">
      <c r="A521" s="10">
        <v>2021</v>
      </c>
      <c r="B521" s="56">
        <v>4366</v>
      </c>
      <c r="C521" s="54">
        <v>5230300</v>
      </c>
    </row>
    <row r="522" spans="1:3" x14ac:dyDescent="0.2">
      <c r="A522" s="10">
        <v>2021</v>
      </c>
      <c r="B522" s="56">
        <v>4367</v>
      </c>
      <c r="C522" s="53">
        <v>8973061</v>
      </c>
    </row>
    <row r="523" spans="1:3" x14ac:dyDescent="0.2">
      <c r="A523" s="10">
        <v>2021</v>
      </c>
      <c r="B523" s="56">
        <v>4368</v>
      </c>
      <c r="C523" s="54">
        <v>6954917</v>
      </c>
    </row>
    <row r="524" spans="1:3" x14ac:dyDescent="0.2">
      <c r="A524" s="10">
        <v>2021</v>
      </c>
      <c r="B524" s="56">
        <v>4428</v>
      </c>
      <c r="C524" s="54">
        <v>396896</v>
      </c>
    </row>
    <row r="525" spans="1:3" x14ac:dyDescent="0.2">
      <c r="A525" s="10">
        <v>2021</v>
      </c>
      <c r="B525" s="56">
        <v>4430</v>
      </c>
      <c r="C525" s="54">
        <v>453182</v>
      </c>
    </row>
    <row r="526" spans="1:3" x14ac:dyDescent="0.2">
      <c r="A526" s="10">
        <v>2021</v>
      </c>
      <c r="B526" s="56">
        <v>4434</v>
      </c>
      <c r="C526" s="53">
        <v>173869</v>
      </c>
    </row>
    <row r="527" spans="1:3" x14ac:dyDescent="0.2">
      <c r="A527" s="10">
        <v>2021</v>
      </c>
      <c r="B527" s="56">
        <v>4437</v>
      </c>
      <c r="C527" s="54">
        <v>635320</v>
      </c>
    </row>
    <row r="528" spans="1:3" x14ac:dyDescent="0.2">
      <c r="A528" s="10">
        <v>2021</v>
      </c>
      <c r="B528" s="56">
        <v>4438</v>
      </c>
      <c r="C528" s="54">
        <v>444564</v>
      </c>
    </row>
    <row r="529" spans="1:3" x14ac:dyDescent="0.2">
      <c r="A529" s="10">
        <v>2021</v>
      </c>
      <c r="B529" s="56">
        <v>4439</v>
      </c>
      <c r="C529" s="54">
        <v>613068</v>
      </c>
    </row>
    <row r="530" spans="1:3" x14ac:dyDescent="0.2">
      <c r="A530" s="10">
        <v>2021</v>
      </c>
      <c r="B530" s="56">
        <v>4504</v>
      </c>
      <c r="C530" s="54">
        <v>404357</v>
      </c>
    </row>
    <row r="531" spans="1:3" x14ac:dyDescent="0.2">
      <c r="A531" s="10">
        <v>2021</v>
      </c>
      <c r="B531" s="56">
        <v>4531</v>
      </c>
      <c r="C531" s="54">
        <v>593013</v>
      </c>
    </row>
    <row r="532" spans="1:3" x14ac:dyDescent="0.2">
      <c r="A532" s="10">
        <v>2021</v>
      </c>
      <c r="B532" s="56">
        <v>4532</v>
      </c>
      <c r="C532" s="54">
        <v>949249</v>
      </c>
    </row>
    <row r="533" spans="1:3" x14ac:dyDescent="0.2">
      <c r="A533" s="10">
        <v>2021</v>
      </c>
      <c r="B533" s="56">
        <v>4533</v>
      </c>
      <c r="C533" s="54">
        <v>706392</v>
      </c>
    </row>
    <row r="534" spans="1:3" x14ac:dyDescent="0.2">
      <c r="A534" s="10">
        <v>2021</v>
      </c>
      <c r="B534" s="56">
        <v>4534</v>
      </c>
      <c r="C534" s="53">
        <v>690674</v>
      </c>
    </row>
    <row r="535" spans="1:3" x14ac:dyDescent="0.2">
      <c r="A535" s="10">
        <v>2021</v>
      </c>
      <c r="B535" s="56">
        <v>4557</v>
      </c>
      <c r="C535" s="53">
        <v>370296</v>
      </c>
    </row>
    <row r="536" spans="1:3" x14ac:dyDescent="0.2">
      <c r="A536" s="10">
        <v>2021</v>
      </c>
      <c r="B536" s="58">
        <v>4582</v>
      </c>
      <c r="C536" s="54">
        <v>691466</v>
      </c>
    </row>
    <row r="537" spans="1:3" x14ac:dyDescent="0.2">
      <c r="A537" s="10">
        <v>2021</v>
      </c>
      <c r="B537" s="56">
        <v>4583</v>
      </c>
      <c r="C537" s="53">
        <v>519481</v>
      </c>
    </row>
    <row r="538" spans="1:3" x14ac:dyDescent="0.2">
      <c r="A538" s="10">
        <v>2021</v>
      </c>
      <c r="B538" s="56">
        <v>4586</v>
      </c>
      <c r="C538" s="54">
        <v>583645</v>
      </c>
    </row>
    <row r="539" spans="1:3" x14ac:dyDescent="0.2">
      <c r="A539" s="10">
        <v>2021</v>
      </c>
      <c r="B539" s="56">
        <v>4588</v>
      </c>
      <c r="C539" s="54">
        <v>557709</v>
      </c>
    </row>
    <row r="540" spans="1:3" x14ac:dyDescent="0.2">
      <c r="A540" s="10">
        <v>2021</v>
      </c>
      <c r="B540" s="56">
        <v>4590</v>
      </c>
      <c r="C540" s="53">
        <v>584405</v>
      </c>
    </row>
    <row r="541" spans="1:3" x14ac:dyDescent="0.2">
      <c r="A541" s="10">
        <v>2021</v>
      </c>
      <c r="B541" s="56">
        <v>4592</v>
      </c>
      <c r="C541" s="53">
        <v>345640</v>
      </c>
    </row>
    <row r="542" spans="1:3" x14ac:dyDescent="0.2">
      <c r="A542" s="10">
        <v>2021</v>
      </c>
      <c r="B542" s="56">
        <v>4593</v>
      </c>
      <c r="C542" s="53">
        <v>592226</v>
      </c>
    </row>
    <row r="543" spans="1:3" x14ac:dyDescent="0.2">
      <c r="A543" s="10">
        <v>2021</v>
      </c>
      <c r="B543" s="56">
        <v>4594</v>
      </c>
      <c r="C543" s="54">
        <v>633267</v>
      </c>
    </row>
    <row r="544" spans="1:3" x14ac:dyDescent="0.2">
      <c r="A544" s="10">
        <v>2021</v>
      </c>
      <c r="B544" s="56">
        <v>4595</v>
      </c>
      <c r="C544" s="53">
        <v>659466</v>
      </c>
    </row>
    <row r="545" spans="1:3" x14ac:dyDescent="0.2">
      <c r="A545" s="10">
        <v>2021</v>
      </c>
      <c r="B545" s="56">
        <v>4596</v>
      </c>
      <c r="C545" s="54">
        <v>572507</v>
      </c>
    </row>
    <row r="546" spans="1:3" x14ac:dyDescent="0.2">
      <c r="A546" s="10">
        <v>2021</v>
      </c>
      <c r="B546" s="56">
        <v>4597</v>
      </c>
      <c r="C546" s="53">
        <v>813151</v>
      </c>
    </row>
    <row r="547" spans="1:3" x14ac:dyDescent="0.2">
      <c r="A547" s="10">
        <v>2021</v>
      </c>
      <c r="B547" s="56">
        <v>4598</v>
      </c>
      <c r="C547" s="54">
        <v>764115</v>
      </c>
    </row>
    <row r="548" spans="1:3" x14ac:dyDescent="0.2">
      <c r="A548" s="10">
        <v>2021</v>
      </c>
      <c r="B548" s="56">
        <v>4604</v>
      </c>
      <c r="C548" s="53">
        <v>982943</v>
      </c>
    </row>
    <row r="549" spans="1:3" x14ac:dyDescent="0.2">
      <c r="A549" s="10">
        <v>2021</v>
      </c>
      <c r="B549" s="58">
        <v>4617</v>
      </c>
      <c r="C549" s="65">
        <v>379565</v>
      </c>
    </row>
    <row r="550" spans="1:3" x14ac:dyDescent="0.2">
      <c r="A550" s="10">
        <v>2021</v>
      </c>
      <c r="B550" s="58">
        <v>4620</v>
      </c>
      <c r="C550" s="53">
        <v>749898</v>
      </c>
    </row>
    <row r="551" spans="1:3" x14ac:dyDescent="0.2">
      <c r="A551" s="10">
        <v>2021</v>
      </c>
      <c r="B551" s="56">
        <v>4651</v>
      </c>
      <c r="C551" s="53">
        <v>822731</v>
      </c>
    </row>
    <row r="552" spans="1:3" x14ac:dyDescent="0.2">
      <c r="A552" s="10">
        <v>2021</v>
      </c>
      <c r="B552" s="56">
        <v>4653</v>
      </c>
      <c r="C552" s="57">
        <v>2816583</v>
      </c>
    </row>
    <row r="553" spans="1:3" x14ac:dyDescent="0.2">
      <c r="A553" s="10">
        <v>2021</v>
      </c>
      <c r="B553" s="56">
        <v>4654</v>
      </c>
      <c r="C553" s="53">
        <v>3044493</v>
      </c>
    </row>
    <row r="554" spans="1:3" x14ac:dyDescent="0.2">
      <c r="A554" s="10">
        <v>2021</v>
      </c>
      <c r="B554" s="56">
        <v>4662</v>
      </c>
      <c r="C554" s="54">
        <v>664109</v>
      </c>
    </row>
    <row r="555" spans="1:3" x14ac:dyDescent="0.2">
      <c r="A555" s="10">
        <v>2021</v>
      </c>
      <c r="B555" s="56">
        <v>4663</v>
      </c>
      <c r="C555" s="54">
        <v>780572</v>
      </c>
    </row>
    <row r="556" spans="1:3" x14ac:dyDescent="0.2">
      <c r="A556" s="10">
        <v>2021</v>
      </c>
      <c r="B556" s="56">
        <v>4679</v>
      </c>
      <c r="C556" s="54">
        <v>601463</v>
      </c>
    </row>
    <row r="557" spans="1:3" x14ac:dyDescent="0.2">
      <c r="A557" s="10">
        <v>2021</v>
      </c>
      <c r="B557" s="56">
        <v>4680</v>
      </c>
      <c r="C557" s="54">
        <v>518875</v>
      </c>
    </row>
    <row r="558" spans="1:3" x14ac:dyDescent="0.2">
      <c r="A558" s="10">
        <v>2021</v>
      </c>
      <c r="B558" s="56">
        <v>4701</v>
      </c>
      <c r="C558" s="54">
        <v>908445</v>
      </c>
    </row>
    <row r="559" spans="1:3" x14ac:dyDescent="0.2">
      <c r="A559" s="10">
        <v>2021</v>
      </c>
      <c r="B559" s="56">
        <v>4703</v>
      </c>
      <c r="C559" s="54">
        <v>742825</v>
      </c>
    </row>
    <row r="560" spans="1:3" x14ac:dyDescent="0.2">
      <c r="A560" s="10">
        <v>2021</v>
      </c>
      <c r="B560" s="56">
        <v>4704</v>
      </c>
      <c r="C560" s="54">
        <v>643950</v>
      </c>
    </row>
    <row r="561" spans="1:3" x14ac:dyDescent="0.2">
      <c r="A561" s="10">
        <v>2021</v>
      </c>
      <c r="B561" s="56">
        <v>4705</v>
      </c>
      <c r="C561" s="54">
        <v>955589</v>
      </c>
    </row>
    <row r="562" spans="1:3" x14ac:dyDescent="0.2">
      <c r="A562" s="10">
        <v>2021</v>
      </c>
      <c r="B562" s="56">
        <v>4854</v>
      </c>
      <c r="C562" s="54">
        <v>948480</v>
      </c>
    </row>
    <row r="563" spans="1:3" x14ac:dyDescent="0.2">
      <c r="A563" s="10">
        <v>2021</v>
      </c>
      <c r="B563" s="56">
        <v>4855</v>
      </c>
      <c r="C563" s="54">
        <v>321850</v>
      </c>
    </row>
    <row r="564" spans="1:3" x14ac:dyDescent="0.2">
      <c r="A564" s="10">
        <v>2021</v>
      </c>
      <c r="B564" s="56">
        <v>4857</v>
      </c>
      <c r="C564" s="54">
        <v>1883828</v>
      </c>
    </row>
    <row r="565" spans="1:3" x14ac:dyDescent="0.2">
      <c r="A565" s="10">
        <v>2021</v>
      </c>
      <c r="B565" s="56">
        <v>4862</v>
      </c>
      <c r="C565" s="54">
        <v>1785250</v>
      </c>
    </row>
    <row r="566" spans="1:3" x14ac:dyDescent="0.2">
      <c r="A566" s="10">
        <v>2021</v>
      </c>
      <c r="B566" s="56">
        <v>4863</v>
      </c>
      <c r="C566" s="53">
        <v>2130117</v>
      </c>
    </row>
    <row r="567" spans="1:3" x14ac:dyDescent="0.2">
      <c r="A567" s="10">
        <v>2021</v>
      </c>
      <c r="B567" s="56">
        <v>4877</v>
      </c>
      <c r="C567" s="53">
        <v>852243</v>
      </c>
    </row>
    <row r="568" spans="1:3" x14ac:dyDescent="0.2">
      <c r="A568" s="10">
        <v>2021</v>
      </c>
      <c r="B568" s="56">
        <v>4879</v>
      </c>
      <c r="C568" s="54">
        <v>665714</v>
      </c>
    </row>
    <row r="569" spans="1:3" x14ac:dyDescent="0.2">
      <c r="A569" s="10">
        <v>2021</v>
      </c>
      <c r="B569" s="56">
        <v>4883</v>
      </c>
      <c r="C569" s="54">
        <v>21625</v>
      </c>
    </row>
    <row r="570" spans="1:3" x14ac:dyDescent="0.2">
      <c r="A570" s="10">
        <v>2021</v>
      </c>
      <c r="B570" s="56">
        <v>4884</v>
      </c>
      <c r="C570" s="54">
        <v>287522</v>
      </c>
    </row>
    <row r="571" spans="1:3" x14ac:dyDescent="0.2">
      <c r="A571" s="10">
        <v>2021</v>
      </c>
      <c r="B571" s="56">
        <v>4885</v>
      </c>
      <c r="C571" s="54">
        <v>751085</v>
      </c>
    </row>
    <row r="572" spans="1:3" x14ac:dyDescent="0.2">
      <c r="A572" s="10">
        <v>2021</v>
      </c>
      <c r="B572" s="56">
        <v>4890</v>
      </c>
      <c r="C572" s="54">
        <v>1151695</v>
      </c>
    </row>
    <row r="573" spans="1:3" x14ac:dyDescent="0.2">
      <c r="A573" s="10">
        <v>2021</v>
      </c>
      <c r="B573" s="56">
        <v>4892</v>
      </c>
      <c r="C573" s="54">
        <v>1078560</v>
      </c>
    </row>
    <row r="574" spans="1:3" x14ac:dyDescent="0.2">
      <c r="A574" s="10">
        <v>2021</v>
      </c>
      <c r="B574" s="56">
        <v>4894</v>
      </c>
      <c r="C574" s="54">
        <v>1098739</v>
      </c>
    </row>
    <row r="575" spans="1:3" x14ac:dyDescent="0.2">
      <c r="A575" s="10">
        <v>2021</v>
      </c>
      <c r="B575" s="56">
        <v>4901</v>
      </c>
      <c r="C575" s="54">
        <v>715703</v>
      </c>
    </row>
    <row r="576" spans="1:3" x14ac:dyDescent="0.2">
      <c r="A576" s="10">
        <v>2021</v>
      </c>
      <c r="B576" s="56">
        <v>4905</v>
      </c>
      <c r="C576" s="54">
        <v>6111</v>
      </c>
    </row>
    <row r="577" spans="1:3" x14ac:dyDescent="0.2">
      <c r="A577" s="10">
        <v>2021</v>
      </c>
      <c r="B577" s="56">
        <v>4906</v>
      </c>
      <c r="C577" s="54">
        <v>986779</v>
      </c>
    </row>
    <row r="578" spans="1:3" x14ac:dyDescent="0.2">
      <c r="A578" s="10">
        <v>2021</v>
      </c>
      <c r="B578" s="56">
        <v>4907</v>
      </c>
      <c r="C578" s="54">
        <v>1546136</v>
      </c>
    </row>
    <row r="579" spans="1:3" x14ac:dyDescent="0.2">
      <c r="A579" s="10">
        <v>2021</v>
      </c>
      <c r="B579" s="56">
        <v>4908</v>
      </c>
      <c r="C579" s="54">
        <v>425425</v>
      </c>
    </row>
    <row r="580" spans="1:3" x14ac:dyDescent="0.2">
      <c r="A580" s="10">
        <v>2021</v>
      </c>
      <c r="B580" s="56">
        <v>4909</v>
      </c>
      <c r="C580" s="53">
        <v>1139449</v>
      </c>
    </row>
    <row r="581" spans="1:3" x14ac:dyDescent="0.2">
      <c r="A581" s="10">
        <v>2021</v>
      </c>
      <c r="B581" s="56">
        <v>4910</v>
      </c>
      <c r="C581" s="54">
        <v>507314</v>
      </c>
    </row>
    <row r="582" spans="1:3" x14ac:dyDescent="0.2">
      <c r="A582" s="10">
        <v>2021</v>
      </c>
      <c r="B582" s="58">
        <v>4976</v>
      </c>
      <c r="C582" s="53">
        <v>245394</v>
      </c>
    </row>
    <row r="583" spans="1:3" x14ac:dyDescent="0.2">
      <c r="A583" s="10">
        <v>2021</v>
      </c>
      <c r="B583" s="56">
        <v>4978</v>
      </c>
      <c r="C583" s="54">
        <v>301994</v>
      </c>
    </row>
    <row r="584" spans="1:3" x14ac:dyDescent="0.2">
      <c r="A584" s="10">
        <v>2021</v>
      </c>
      <c r="B584" s="56">
        <v>4979</v>
      </c>
      <c r="C584" s="53">
        <v>398238</v>
      </c>
    </row>
    <row r="585" spans="1:3" x14ac:dyDescent="0.2">
      <c r="A585" s="10">
        <v>2021</v>
      </c>
      <c r="B585" s="56">
        <v>4980</v>
      </c>
      <c r="C585" s="53">
        <v>206392</v>
      </c>
    </row>
    <row r="586" spans="1:3" x14ac:dyDescent="0.2">
      <c r="A586" s="10">
        <v>2021</v>
      </c>
      <c r="B586" s="56">
        <v>4981</v>
      </c>
      <c r="C586" s="65">
        <v>247189</v>
      </c>
    </row>
    <row r="587" spans="1:3" x14ac:dyDescent="0.2">
      <c r="A587" s="10">
        <v>2021</v>
      </c>
      <c r="B587" s="56">
        <v>4982</v>
      </c>
      <c r="C587" s="53">
        <v>381700</v>
      </c>
    </row>
    <row r="588" spans="1:3" x14ac:dyDescent="0.2">
      <c r="A588" s="10">
        <v>2021</v>
      </c>
      <c r="B588" s="56">
        <v>4983</v>
      </c>
      <c r="C588" s="53">
        <v>268761</v>
      </c>
    </row>
    <row r="589" spans="1:3" x14ac:dyDescent="0.2">
      <c r="A589" s="10">
        <v>2021</v>
      </c>
      <c r="B589" s="56">
        <v>5001</v>
      </c>
      <c r="C589" s="54">
        <v>606691</v>
      </c>
    </row>
    <row r="590" spans="1:3" x14ac:dyDescent="0.2">
      <c r="A590" s="10">
        <v>2021</v>
      </c>
      <c r="B590" s="56">
        <v>5002</v>
      </c>
      <c r="C590" s="53">
        <v>374316</v>
      </c>
    </row>
    <row r="591" spans="1:3" x14ac:dyDescent="0.2">
      <c r="A591" s="10">
        <v>2021</v>
      </c>
      <c r="B591" s="56">
        <v>5003</v>
      </c>
      <c r="C591" s="54">
        <v>467594</v>
      </c>
    </row>
    <row r="592" spans="1:3" x14ac:dyDescent="0.2">
      <c r="A592" s="10">
        <v>2021</v>
      </c>
      <c r="B592" s="56">
        <v>5026</v>
      </c>
      <c r="C592" s="53">
        <v>312916</v>
      </c>
    </row>
    <row r="593" spans="1:3" x14ac:dyDescent="0.2">
      <c r="A593" s="10">
        <v>2021</v>
      </c>
      <c r="B593" s="56">
        <v>5027</v>
      </c>
      <c r="C593" s="54">
        <v>576413</v>
      </c>
    </row>
    <row r="594" spans="1:3" x14ac:dyDescent="0.2">
      <c r="A594" s="10">
        <v>2021</v>
      </c>
      <c r="B594" s="56">
        <v>5028</v>
      </c>
      <c r="C594" s="53">
        <v>289402</v>
      </c>
    </row>
    <row r="595" spans="1:3" x14ac:dyDescent="0.2">
      <c r="A595" s="10">
        <v>2021</v>
      </c>
      <c r="B595" s="58">
        <v>5076</v>
      </c>
      <c r="C595" s="53">
        <v>824762</v>
      </c>
    </row>
    <row r="596" spans="1:3" x14ac:dyDescent="0.2">
      <c r="A596" s="10">
        <v>2021</v>
      </c>
      <c r="B596" s="56">
        <v>5078</v>
      </c>
      <c r="C596" s="54">
        <v>656562</v>
      </c>
    </row>
    <row r="597" spans="1:3" x14ac:dyDescent="0.2">
      <c r="A597" s="10">
        <v>2021</v>
      </c>
      <c r="B597" s="58">
        <v>5102</v>
      </c>
      <c r="C597" s="65">
        <v>2201842</v>
      </c>
    </row>
    <row r="598" spans="1:3" x14ac:dyDescent="0.2">
      <c r="A598" s="10">
        <v>2021</v>
      </c>
      <c r="B598" s="56">
        <v>5103</v>
      </c>
      <c r="C598" s="57">
        <v>1089119</v>
      </c>
    </row>
    <row r="599" spans="1:3" x14ac:dyDescent="0.2">
      <c r="A599" s="10">
        <v>2021</v>
      </c>
      <c r="B599" s="56">
        <v>5107</v>
      </c>
      <c r="C599" s="54">
        <v>791263</v>
      </c>
    </row>
    <row r="600" spans="1:3" x14ac:dyDescent="0.2">
      <c r="A600" s="10">
        <v>2021</v>
      </c>
      <c r="B600" s="56">
        <v>5108</v>
      </c>
      <c r="C600" s="54">
        <v>666519</v>
      </c>
    </row>
    <row r="601" spans="1:3" x14ac:dyDescent="0.2">
      <c r="A601" s="10">
        <v>2021</v>
      </c>
      <c r="B601" s="56">
        <v>5251</v>
      </c>
      <c r="C601" s="54">
        <v>503802</v>
      </c>
    </row>
    <row r="602" spans="1:3" x14ac:dyDescent="0.2">
      <c r="A602" s="10">
        <v>2021</v>
      </c>
      <c r="B602" s="56">
        <v>5253</v>
      </c>
      <c r="C602" s="54">
        <v>641013</v>
      </c>
    </row>
    <row r="603" spans="1:3" x14ac:dyDescent="0.2">
      <c r="A603" s="10">
        <v>2021</v>
      </c>
      <c r="B603" s="56">
        <v>5276</v>
      </c>
      <c r="C603" s="54">
        <v>918485</v>
      </c>
    </row>
    <row r="604" spans="1:3" x14ac:dyDescent="0.2">
      <c r="A604" s="10">
        <v>2021</v>
      </c>
      <c r="B604" s="56">
        <v>5281</v>
      </c>
      <c r="C604" s="54">
        <v>316705</v>
      </c>
    </row>
    <row r="605" spans="1:3" x14ac:dyDescent="0.2">
      <c r="A605" s="10">
        <v>2021</v>
      </c>
      <c r="B605" s="56">
        <v>5282</v>
      </c>
      <c r="C605" s="53">
        <v>362135</v>
      </c>
    </row>
    <row r="606" spans="1:3" x14ac:dyDescent="0.2">
      <c r="A606" s="10">
        <v>2021</v>
      </c>
      <c r="B606" s="56">
        <v>5301</v>
      </c>
      <c r="C606" s="53">
        <v>366740</v>
      </c>
    </row>
    <row r="607" spans="1:3" x14ac:dyDescent="0.2">
      <c r="A607" s="10">
        <v>2021</v>
      </c>
      <c r="B607" s="56">
        <v>5303</v>
      </c>
      <c r="C607" s="53">
        <v>200680</v>
      </c>
    </row>
    <row r="608" spans="1:3" x14ac:dyDescent="0.2">
      <c r="A608" s="10">
        <v>2021</v>
      </c>
      <c r="B608" s="56">
        <v>5305</v>
      </c>
      <c r="C608" s="53">
        <v>275747</v>
      </c>
    </row>
    <row r="609" spans="1:3" x14ac:dyDescent="0.2">
      <c r="A609" s="10">
        <v>2021</v>
      </c>
      <c r="B609" s="56">
        <v>5306</v>
      </c>
      <c r="C609" s="54">
        <v>457974</v>
      </c>
    </row>
    <row r="610" spans="1:3" x14ac:dyDescent="0.2">
      <c r="A610" s="10">
        <v>2021</v>
      </c>
      <c r="B610" s="56">
        <v>5307</v>
      </c>
      <c r="C610" s="54">
        <v>633127</v>
      </c>
    </row>
    <row r="611" spans="1:3" x14ac:dyDescent="0.2">
      <c r="A611" s="10">
        <v>2021</v>
      </c>
      <c r="B611" s="56">
        <v>5308</v>
      </c>
      <c r="C611" s="54">
        <v>442420</v>
      </c>
    </row>
    <row r="612" spans="1:3" x14ac:dyDescent="0.2">
      <c r="A612" s="10">
        <v>2021</v>
      </c>
      <c r="B612" s="56">
        <v>5309</v>
      </c>
      <c r="C612" s="53">
        <v>179343</v>
      </c>
    </row>
    <row r="613" spans="1:3" x14ac:dyDescent="0.2">
      <c r="A613" s="10">
        <v>2021</v>
      </c>
      <c r="B613" s="56">
        <v>5351</v>
      </c>
      <c r="C613" s="54">
        <v>2631569</v>
      </c>
    </row>
    <row r="614" spans="1:3" x14ac:dyDescent="0.2">
      <c r="A614" s="10">
        <v>2021</v>
      </c>
      <c r="B614" s="56">
        <v>5352</v>
      </c>
      <c r="C614" s="54">
        <v>30438</v>
      </c>
    </row>
    <row r="615" spans="1:3" x14ac:dyDescent="0.2">
      <c r="A615" s="10">
        <v>2021</v>
      </c>
      <c r="B615" s="56">
        <v>5353</v>
      </c>
      <c r="C615" s="54">
        <v>322050</v>
      </c>
    </row>
    <row r="616" spans="1:3" x14ac:dyDescent="0.2">
      <c r="A616" s="10">
        <v>2021</v>
      </c>
      <c r="B616" s="56">
        <v>5354</v>
      </c>
      <c r="C616" s="53">
        <v>888814</v>
      </c>
    </row>
    <row r="617" spans="1:3" x14ac:dyDescent="0.2">
      <c r="A617" s="10">
        <v>2021</v>
      </c>
      <c r="B617" s="56">
        <v>5355</v>
      </c>
      <c r="C617" s="54">
        <v>1722156</v>
      </c>
    </row>
    <row r="618" spans="1:3" x14ac:dyDescent="0.2">
      <c r="A618" s="10">
        <v>2021</v>
      </c>
      <c r="B618" s="56">
        <v>5356</v>
      </c>
      <c r="C618" s="54">
        <v>487590</v>
      </c>
    </row>
    <row r="619" spans="1:3" x14ac:dyDescent="0.2">
      <c r="A619" s="10">
        <v>2021</v>
      </c>
      <c r="B619" s="56">
        <v>5357</v>
      </c>
      <c r="C619" s="53">
        <v>2616890</v>
      </c>
    </row>
    <row r="620" spans="1:3" x14ac:dyDescent="0.2">
      <c r="A620" s="10">
        <v>2021</v>
      </c>
      <c r="B620" s="56">
        <v>5358</v>
      </c>
      <c r="C620" s="54">
        <v>4930085</v>
      </c>
    </row>
    <row r="621" spans="1:3" x14ac:dyDescent="0.2">
      <c r="A621" s="10">
        <v>2021</v>
      </c>
      <c r="B621" s="56">
        <v>5359</v>
      </c>
      <c r="C621" s="54">
        <v>452327</v>
      </c>
    </row>
    <row r="622" spans="1:3" x14ac:dyDescent="0.2">
      <c r="A622" s="10">
        <v>2021</v>
      </c>
      <c r="B622" s="56">
        <v>5360</v>
      </c>
      <c r="C622" s="53">
        <v>300981</v>
      </c>
    </row>
    <row r="623" spans="1:3" x14ac:dyDescent="0.2">
      <c r="A623" s="10">
        <v>2021</v>
      </c>
      <c r="B623" s="56">
        <v>5361</v>
      </c>
      <c r="C623" s="54">
        <v>2354475</v>
      </c>
    </row>
    <row r="624" spans="1:3" x14ac:dyDescent="0.2">
      <c r="A624" s="10">
        <v>2021</v>
      </c>
      <c r="B624" s="56">
        <v>5362</v>
      </c>
      <c r="C624" s="54">
        <v>304718</v>
      </c>
    </row>
    <row r="625" spans="1:3" x14ac:dyDescent="0.2">
      <c r="A625" s="10">
        <v>2021</v>
      </c>
      <c r="B625" s="56">
        <v>5363</v>
      </c>
      <c r="C625" s="53">
        <v>2170501</v>
      </c>
    </row>
    <row r="626" spans="1:3" x14ac:dyDescent="0.2">
      <c r="A626" s="10">
        <v>2021</v>
      </c>
      <c r="B626" s="56">
        <v>5364</v>
      </c>
      <c r="C626" s="53">
        <v>667318</v>
      </c>
    </row>
    <row r="627" spans="1:3" x14ac:dyDescent="0.2">
      <c r="A627" s="10">
        <v>2021</v>
      </c>
      <c r="B627" s="56">
        <v>5365</v>
      </c>
      <c r="C627" s="53">
        <v>22095</v>
      </c>
    </row>
    <row r="628" spans="1:3" x14ac:dyDescent="0.2">
      <c r="A628" s="10">
        <v>2021</v>
      </c>
      <c r="B628" s="56">
        <v>5367</v>
      </c>
      <c r="C628" s="54">
        <v>590804</v>
      </c>
    </row>
    <row r="629" spans="1:3" x14ac:dyDescent="0.2">
      <c r="A629" s="10">
        <v>2021</v>
      </c>
      <c r="B629" s="58">
        <v>5368</v>
      </c>
      <c r="C629" s="54">
        <v>484706</v>
      </c>
    </row>
    <row r="630" spans="1:3" x14ac:dyDescent="0.2">
      <c r="A630" s="10">
        <v>2021</v>
      </c>
      <c r="B630" s="56">
        <v>5369</v>
      </c>
      <c r="C630" s="54">
        <v>136433</v>
      </c>
    </row>
    <row r="631" spans="1:3" x14ac:dyDescent="0.2">
      <c r="A631" s="10">
        <v>2021</v>
      </c>
      <c r="B631" s="56">
        <v>5371</v>
      </c>
      <c r="C631" s="54">
        <v>177732</v>
      </c>
    </row>
    <row r="632" spans="1:3" x14ac:dyDescent="0.2">
      <c r="A632" s="10">
        <v>2021</v>
      </c>
      <c r="B632" s="56">
        <v>5372</v>
      </c>
      <c r="C632" s="54">
        <v>1224846</v>
      </c>
    </row>
    <row r="633" spans="1:3" x14ac:dyDescent="0.2">
      <c r="A633" s="10">
        <v>2021</v>
      </c>
      <c r="B633" s="56">
        <v>5375</v>
      </c>
      <c r="C633" s="54">
        <v>1573769</v>
      </c>
    </row>
    <row r="634" spans="1:3" x14ac:dyDescent="0.2">
      <c r="A634" s="10">
        <v>2021</v>
      </c>
      <c r="B634" s="58">
        <v>5376</v>
      </c>
      <c r="C634" s="54">
        <v>710261</v>
      </c>
    </row>
    <row r="635" spans="1:3" x14ac:dyDescent="0.2">
      <c r="A635" s="10">
        <v>2021</v>
      </c>
      <c r="B635" s="56">
        <v>5379</v>
      </c>
      <c r="C635" s="53">
        <v>26916</v>
      </c>
    </row>
    <row r="636" spans="1:3" x14ac:dyDescent="0.2">
      <c r="A636" s="10">
        <v>2021</v>
      </c>
      <c r="B636" s="56">
        <v>5380</v>
      </c>
      <c r="C636" s="53">
        <v>298885</v>
      </c>
    </row>
    <row r="637" spans="1:3" x14ac:dyDescent="0.2">
      <c r="A637" s="10">
        <v>2021</v>
      </c>
      <c r="B637" s="56">
        <v>5403</v>
      </c>
      <c r="C637" s="53">
        <v>3792062</v>
      </c>
    </row>
    <row r="638" spans="1:3" x14ac:dyDescent="0.2">
      <c r="A638" s="10">
        <v>2021</v>
      </c>
      <c r="B638" s="56">
        <v>5406</v>
      </c>
      <c r="C638" s="54">
        <v>1617031</v>
      </c>
    </row>
    <row r="639" spans="1:3" x14ac:dyDescent="0.2">
      <c r="A639" s="10">
        <v>2021</v>
      </c>
      <c r="B639" s="56">
        <v>5407</v>
      </c>
      <c r="C639" s="53">
        <v>2474557</v>
      </c>
    </row>
    <row r="640" spans="1:3" x14ac:dyDescent="0.2">
      <c r="A640" s="10">
        <v>2021</v>
      </c>
      <c r="B640" s="56">
        <v>5408</v>
      </c>
      <c r="C640" s="53">
        <v>2724441</v>
      </c>
    </row>
    <row r="641" spans="1:3" x14ac:dyDescent="0.2">
      <c r="A641" s="10">
        <v>2021</v>
      </c>
      <c r="B641" s="58">
        <v>5409</v>
      </c>
      <c r="C641" s="65">
        <v>3123204</v>
      </c>
    </row>
    <row r="642" spans="1:3" x14ac:dyDescent="0.2">
      <c r="A642" s="10">
        <v>2021</v>
      </c>
      <c r="B642" s="56">
        <v>5415</v>
      </c>
      <c r="C642" s="54">
        <v>1739328</v>
      </c>
    </row>
    <row r="643" spans="1:3" x14ac:dyDescent="0.2">
      <c r="A643" s="10">
        <v>2021</v>
      </c>
      <c r="B643" s="58">
        <v>5416</v>
      </c>
      <c r="C643" s="53">
        <v>705863</v>
      </c>
    </row>
    <row r="644" spans="1:3" x14ac:dyDescent="0.2">
      <c r="A644" s="10">
        <v>2021</v>
      </c>
      <c r="B644" s="56">
        <v>5418</v>
      </c>
      <c r="C644" s="57">
        <v>3250220</v>
      </c>
    </row>
    <row r="645" spans="1:3" x14ac:dyDescent="0.2">
      <c r="A645" s="10">
        <v>2021</v>
      </c>
      <c r="B645" s="56">
        <v>5420</v>
      </c>
      <c r="C645" s="53">
        <v>3079852</v>
      </c>
    </row>
    <row r="646" spans="1:3" x14ac:dyDescent="0.2">
      <c r="A646" s="10">
        <v>2021</v>
      </c>
      <c r="B646" s="56">
        <v>5427</v>
      </c>
      <c r="C646" s="54">
        <v>157721</v>
      </c>
    </row>
    <row r="647" spans="1:3" x14ac:dyDescent="0.2">
      <c r="A647" s="10">
        <v>2021</v>
      </c>
      <c r="B647" s="56">
        <v>5457</v>
      </c>
      <c r="C647" s="54">
        <v>2113701</v>
      </c>
    </row>
    <row r="648" spans="1:3" x14ac:dyDescent="0.2">
      <c r="A648" s="10">
        <v>2021</v>
      </c>
      <c r="B648" s="56">
        <v>5458</v>
      </c>
      <c r="C648" s="53">
        <v>2417891</v>
      </c>
    </row>
    <row r="649" spans="1:3" x14ac:dyDescent="0.2">
      <c r="A649" s="10">
        <v>2021</v>
      </c>
      <c r="B649" s="56">
        <v>5501</v>
      </c>
      <c r="C649" s="54">
        <v>980359</v>
      </c>
    </row>
    <row r="650" spans="1:3" x14ac:dyDescent="0.2">
      <c r="A650" s="10">
        <v>2021</v>
      </c>
      <c r="B650" s="56">
        <v>5504</v>
      </c>
      <c r="C650" s="54">
        <v>961933</v>
      </c>
    </row>
    <row r="651" spans="1:3" x14ac:dyDescent="0.2">
      <c r="A651" s="10">
        <v>2021</v>
      </c>
      <c r="B651" s="56">
        <v>5505</v>
      </c>
      <c r="C651" s="53">
        <v>315189</v>
      </c>
    </row>
    <row r="652" spans="1:3" x14ac:dyDescent="0.2">
      <c r="A652" s="10">
        <v>2021</v>
      </c>
      <c r="B652" s="56">
        <v>5506</v>
      </c>
      <c r="C652" s="54">
        <v>459517</v>
      </c>
    </row>
    <row r="653" spans="1:3" x14ac:dyDescent="0.2">
      <c r="A653" s="10">
        <v>2021</v>
      </c>
      <c r="B653" s="56">
        <v>5507</v>
      </c>
      <c r="C653" s="54">
        <v>484690</v>
      </c>
    </row>
    <row r="654" spans="1:3" x14ac:dyDescent="0.2">
      <c r="A654" s="10">
        <v>2021</v>
      </c>
      <c r="B654" s="56">
        <v>5527</v>
      </c>
      <c r="C654" s="54">
        <v>534914</v>
      </c>
    </row>
    <row r="655" spans="1:3" x14ac:dyDescent="0.2">
      <c r="A655" s="10">
        <v>2021</v>
      </c>
      <c r="B655" s="56">
        <v>5528</v>
      </c>
      <c r="C655" s="53">
        <v>680281</v>
      </c>
    </row>
    <row r="656" spans="1:3" x14ac:dyDescent="0.2">
      <c r="A656" s="10">
        <v>2021</v>
      </c>
      <c r="B656" s="56">
        <v>5530</v>
      </c>
      <c r="C656" s="53">
        <v>851441</v>
      </c>
    </row>
    <row r="657" spans="1:3" x14ac:dyDescent="0.2">
      <c r="A657" s="10">
        <v>2021</v>
      </c>
      <c r="B657" s="56">
        <v>5533</v>
      </c>
      <c r="C657" s="54">
        <v>322047</v>
      </c>
    </row>
    <row r="658" spans="1:3" x14ac:dyDescent="0.2">
      <c r="A658" s="10">
        <v>2021</v>
      </c>
      <c r="B658" s="56">
        <v>5534</v>
      </c>
      <c r="C658" s="54">
        <v>612980</v>
      </c>
    </row>
    <row r="659" spans="1:3" x14ac:dyDescent="0.2">
      <c r="A659" s="10">
        <v>2021</v>
      </c>
      <c r="B659" s="56">
        <v>5535</v>
      </c>
      <c r="C659" s="53">
        <v>979478</v>
      </c>
    </row>
    <row r="660" spans="1:3" x14ac:dyDescent="0.2">
      <c r="A660" s="10">
        <v>2021</v>
      </c>
      <c r="B660" s="56">
        <v>5541</v>
      </c>
      <c r="C660" s="54">
        <v>534002</v>
      </c>
    </row>
    <row r="661" spans="1:3" x14ac:dyDescent="0.2">
      <c r="A661" s="10">
        <v>2021</v>
      </c>
      <c r="B661" s="56">
        <v>5601</v>
      </c>
      <c r="C661" s="53">
        <v>1478760</v>
      </c>
    </row>
    <row r="662" spans="1:3" x14ac:dyDescent="0.2">
      <c r="A662" s="10">
        <v>2021</v>
      </c>
      <c r="B662" s="56">
        <v>5676</v>
      </c>
      <c r="C662" s="54">
        <v>396684</v>
      </c>
    </row>
    <row r="663" spans="1:3" x14ac:dyDescent="0.2">
      <c r="A663" s="10">
        <v>2021</v>
      </c>
      <c r="B663" s="56">
        <v>5677</v>
      </c>
      <c r="C663" s="54">
        <v>357026</v>
      </c>
    </row>
    <row r="664" spans="1:3" x14ac:dyDescent="0.2">
      <c r="A664" s="10">
        <v>2021</v>
      </c>
      <c r="B664" s="56">
        <v>5678</v>
      </c>
      <c r="C664" s="53">
        <v>330904</v>
      </c>
    </row>
    <row r="665" spans="1:3" x14ac:dyDescent="0.2">
      <c r="A665" s="10">
        <v>2021</v>
      </c>
      <c r="B665" s="56">
        <v>5679</v>
      </c>
      <c r="C665" s="54">
        <v>747390</v>
      </c>
    </row>
    <row r="666" spans="1:3" x14ac:dyDescent="0.2">
      <c r="A666" s="10">
        <v>2021</v>
      </c>
      <c r="B666" s="56">
        <v>5680</v>
      </c>
      <c r="C666" s="54">
        <v>713377</v>
      </c>
    </row>
    <row r="667" spans="1:3" x14ac:dyDescent="0.2">
      <c r="A667" s="10">
        <v>2021</v>
      </c>
      <c r="B667" s="56">
        <v>5681</v>
      </c>
      <c r="C667" s="54">
        <v>342795</v>
      </c>
    </row>
    <row r="668" spans="1:3" x14ac:dyDescent="0.2">
      <c r="A668" s="10">
        <v>2021</v>
      </c>
      <c r="B668" s="56">
        <v>5682</v>
      </c>
      <c r="C668" s="54">
        <v>479994</v>
      </c>
    </row>
    <row r="669" spans="1:3" x14ac:dyDescent="0.2">
      <c r="A669" s="10">
        <v>2021</v>
      </c>
      <c r="B669" s="56">
        <v>5683</v>
      </c>
      <c r="C669" s="53">
        <v>648506</v>
      </c>
    </row>
    <row r="670" spans="1:3" x14ac:dyDescent="0.2">
      <c r="A670" s="10">
        <v>2021</v>
      </c>
      <c r="B670" s="56">
        <v>5684</v>
      </c>
      <c r="C670" s="54">
        <v>286142</v>
      </c>
    </row>
    <row r="671" spans="1:3" x14ac:dyDescent="0.2">
      <c r="A671" s="10">
        <v>2021</v>
      </c>
      <c r="B671" s="56">
        <v>5685</v>
      </c>
      <c r="C671" s="54">
        <v>445941</v>
      </c>
    </row>
    <row r="672" spans="1:3" x14ac:dyDescent="0.2">
      <c r="A672" s="10">
        <v>2021</v>
      </c>
      <c r="B672" s="56">
        <v>5687</v>
      </c>
      <c r="C672" s="53">
        <v>867145</v>
      </c>
    </row>
    <row r="673" spans="1:3" x14ac:dyDescent="0.2">
      <c r="A673" s="10">
        <v>2021</v>
      </c>
      <c r="B673" s="56">
        <v>5688</v>
      </c>
      <c r="C673" s="53">
        <v>291229</v>
      </c>
    </row>
    <row r="674" spans="1:3" x14ac:dyDescent="0.2">
      <c r="A674" s="10">
        <v>2021</v>
      </c>
      <c r="B674" s="56">
        <v>5691</v>
      </c>
      <c r="C674" s="53">
        <v>116660</v>
      </c>
    </row>
    <row r="675" spans="1:3" x14ac:dyDescent="0.2">
      <c r="A675" s="10">
        <v>2021</v>
      </c>
      <c r="B675" s="58">
        <v>5692</v>
      </c>
      <c r="C675" s="53">
        <v>678189</v>
      </c>
    </row>
    <row r="676" spans="1:3" x14ac:dyDescent="0.2">
      <c r="A676" s="10">
        <v>2021</v>
      </c>
      <c r="B676" s="56">
        <v>5693</v>
      </c>
      <c r="C676" s="53">
        <v>202860</v>
      </c>
    </row>
    <row r="677" spans="1:3" x14ac:dyDescent="0.2">
      <c r="A677" s="10">
        <v>2021</v>
      </c>
      <c r="B677" s="56">
        <v>5694</v>
      </c>
      <c r="C677" s="54">
        <v>170668</v>
      </c>
    </row>
    <row r="678" spans="1:3" x14ac:dyDescent="0.2">
      <c r="A678" s="10">
        <v>2021</v>
      </c>
      <c r="B678" s="56">
        <v>5695</v>
      </c>
      <c r="C678" s="53">
        <v>178138</v>
      </c>
    </row>
    <row r="679" spans="1:3" x14ac:dyDescent="0.2">
      <c r="A679" s="10">
        <v>2021</v>
      </c>
      <c r="B679" s="56">
        <v>5801</v>
      </c>
      <c r="C679" s="53">
        <v>2372060</v>
      </c>
    </row>
    <row r="680" spans="1:3" x14ac:dyDescent="0.2">
      <c r="A680" s="10">
        <v>2021</v>
      </c>
      <c r="B680" s="58">
        <v>5806</v>
      </c>
      <c r="C680" s="54">
        <v>1382815</v>
      </c>
    </row>
    <row r="681" spans="1:3" x14ac:dyDescent="0.2">
      <c r="A681" s="10">
        <v>2021</v>
      </c>
      <c r="B681" s="56">
        <v>5807</v>
      </c>
      <c r="C681" s="54">
        <v>466523</v>
      </c>
    </row>
    <row r="682" spans="1:3" x14ac:dyDescent="0.2">
      <c r="A682" s="10">
        <v>2021</v>
      </c>
      <c r="B682" s="56">
        <v>5812</v>
      </c>
      <c r="C682" s="54">
        <v>580714</v>
      </c>
    </row>
    <row r="683" spans="1:3" x14ac:dyDescent="0.2">
      <c r="A683" s="10">
        <v>2021</v>
      </c>
      <c r="B683" s="56">
        <v>5813</v>
      </c>
      <c r="C683" s="54">
        <v>530021</v>
      </c>
    </row>
    <row r="684" spans="1:3" x14ac:dyDescent="0.2">
      <c r="A684" s="10">
        <v>2021</v>
      </c>
      <c r="B684" s="56">
        <v>5817</v>
      </c>
      <c r="C684" s="54">
        <v>1907388</v>
      </c>
    </row>
    <row r="685" spans="1:3" x14ac:dyDescent="0.2">
      <c r="A685" s="10">
        <v>2021</v>
      </c>
      <c r="B685" s="56">
        <v>5820</v>
      </c>
      <c r="C685" s="54">
        <v>582025</v>
      </c>
    </row>
    <row r="686" spans="1:3" x14ac:dyDescent="0.2">
      <c r="A686" s="10">
        <v>2021</v>
      </c>
      <c r="B686" s="56">
        <v>5821</v>
      </c>
      <c r="C686" s="54">
        <v>844292</v>
      </c>
    </row>
    <row r="687" spans="1:3" x14ac:dyDescent="0.2">
      <c r="A687" s="10">
        <v>2021</v>
      </c>
      <c r="B687" s="58">
        <v>5822</v>
      </c>
      <c r="C687" s="53">
        <v>1065115</v>
      </c>
    </row>
    <row r="688" spans="1:3" x14ac:dyDescent="0.2">
      <c r="A688" s="10">
        <v>2021</v>
      </c>
      <c r="B688" s="56">
        <v>5823</v>
      </c>
      <c r="C688" s="53">
        <v>289612</v>
      </c>
    </row>
    <row r="689" spans="1:3" x14ac:dyDescent="0.2">
      <c r="A689" s="10">
        <v>2021</v>
      </c>
      <c r="B689" s="58">
        <v>6001</v>
      </c>
      <c r="C689" s="65">
        <v>2238111</v>
      </c>
    </row>
    <row r="690" spans="1:3" x14ac:dyDescent="0.2">
      <c r="A690" s="10">
        <v>2021</v>
      </c>
      <c r="B690" s="56">
        <v>6005</v>
      </c>
      <c r="C690" s="57">
        <v>2153126</v>
      </c>
    </row>
    <row r="691" spans="1:3" x14ac:dyDescent="0.2">
      <c r="A691" s="10">
        <v>2021</v>
      </c>
      <c r="B691" s="56">
        <v>6008</v>
      </c>
      <c r="C691" s="54">
        <v>1955211</v>
      </c>
    </row>
    <row r="692" spans="1:3" x14ac:dyDescent="0.2">
      <c r="A692" s="10">
        <v>2021</v>
      </c>
      <c r="B692" s="56">
        <v>6011</v>
      </c>
      <c r="C692" s="54">
        <v>968415</v>
      </c>
    </row>
    <row r="693" spans="1:3" x14ac:dyDescent="0.2">
      <c r="A693" s="10">
        <v>2021</v>
      </c>
      <c r="B693" s="56">
        <v>6018</v>
      </c>
      <c r="C693" s="54">
        <v>909712</v>
      </c>
    </row>
    <row r="694" spans="1:3" x14ac:dyDescent="0.2">
      <c r="A694" s="10">
        <v>2021</v>
      </c>
      <c r="B694" s="56">
        <v>6022</v>
      </c>
      <c r="C694" s="54">
        <v>922966</v>
      </c>
    </row>
    <row r="695" spans="1:3" x14ac:dyDescent="0.2">
      <c r="A695" s="10">
        <v>2021</v>
      </c>
      <c r="B695" s="56">
        <v>6026</v>
      </c>
      <c r="C695" s="54">
        <v>1748621</v>
      </c>
    </row>
    <row r="696" spans="1:3" x14ac:dyDescent="0.2">
      <c r="A696" s="10">
        <v>2021</v>
      </c>
      <c r="B696" s="56">
        <v>6027</v>
      </c>
      <c r="C696" s="54">
        <v>2807123</v>
      </c>
    </row>
    <row r="697" spans="1:3" x14ac:dyDescent="0.2">
      <c r="A697" s="10">
        <v>2021</v>
      </c>
      <c r="B697" s="56">
        <v>6028</v>
      </c>
      <c r="C697" s="54">
        <v>2459727</v>
      </c>
    </row>
    <row r="698" spans="1:3" x14ac:dyDescent="0.2">
      <c r="A698" s="10">
        <v>2021</v>
      </c>
      <c r="B698" s="56">
        <v>6036</v>
      </c>
      <c r="C698" s="54">
        <v>381060</v>
      </c>
    </row>
    <row r="699" spans="1:3" x14ac:dyDescent="0.2">
      <c r="A699" s="10">
        <v>2021</v>
      </c>
      <c r="B699" s="58">
        <v>6040</v>
      </c>
      <c r="C699" s="54">
        <v>735726</v>
      </c>
    </row>
    <row r="700" spans="1:3" x14ac:dyDescent="0.2">
      <c r="A700" s="10">
        <v>2021</v>
      </c>
      <c r="B700" s="56">
        <v>6041</v>
      </c>
      <c r="C700" s="54">
        <v>1057021</v>
      </c>
    </row>
    <row r="701" spans="1:3" x14ac:dyDescent="0.2">
      <c r="A701" s="10">
        <v>2021</v>
      </c>
      <c r="B701" s="58">
        <v>6042</v>
      </c>
      <c r="C701" s="54">
        <v>957586</v>
      </c>
    </row>
    <row r="702" spans="1:3" x14ac:dyDescent="0.2">
      <c r="A702" s="10">
        <v>2021</v>
      </c>
      <c r="B702" s="56">
        <v>6044</v>
      </c>
      <c r="C702" s="54">
        <v>1411162</v>
      </c>
    </row>
    <row r="703" spans="1:3" x14ac:dyDescent="0.2">
      <c r="A703" s="10">
        <v>2021</v>
      </c>
      <c r="B703" s="56">
        <v>6048</v>
      </c>
      <c r="C703" s="54">
        <v>1062941</v>
      </c>
    </row>
    <row r="704" spans="1:3" x14ac:dyDescent="0.2">
      <c r="A704" s="10">
        <v>2021</v>
      </c>
      <c r="B704" s="56">
        <v>6050</v>
      </c>
      <c r="C704" s="54">
        <v>1296933</v>
      </c>
    </row>
    <row r="705" spans="1:3" x14ac:dyDescent="0.2">
      <c r="A705" s="10">
        <v>2021</v>
      </c>
      <c r="B705" s="56">
        <v>6051</v>
      </c>
      <c r="C705" s="54">
        <v>3077082</v>
      </c>
    </row>
    <row r="706" spans="1:3" x14ac:dyDescent="0.2">
      <c r="A706" s="10">
        <v>2021</v>
      </c>
      <c r="B706" s="56">
        <v>6052</v>
      </c>
      <c r="C706" s="53">
        <v>2053155</v>
      </c>
    </row>
    <row r="707" spans="1:3" x14ac:dyDescent="0.2">
      <c r="A707" s="10">
        <v>2021</v>
      </c>
      <c r="B707" s="56">
        <v>6056</v>
      </c>
      <c r="C707" s="54">
        <v>9205551</v>
      </c>
    </row>
    <row r="708" spans="1:3" x14ac:dyDescent="0.2">
      <c r="A708" s="10">
        <v>2021</v>
      </c>
      <c r="B708" s="56">
        <v>6057</v>
      </c>
      <c r="C708" s="53">
        <v>2016780</v>
      </c>
    </row>
    <row r="709" spans="1:3" x14ac:dyDescent="0.2">
      <c r="A709" s="10">
        <v>2021</v>
      </c>
      <c r="B709" s="56">
        <v>6061</v>
      </c>
      <c r="C709" s="53">
        <v>3163226</v>
      </c>
    </row>
    <row r="710" spans="1:3" x14ac:dyDescent="0.2">
      <c r="A710" s="10">
        <v>2021</v>
      </c>
      <c r="B710" s="56">
        <v>6065</v>
      </c>
      <c r="C710" s="53">
        <v>3897438</v>
      </c>
    </row>
    <row r="711" spans="1:3" x14ac:dyDescent="0.2">
      <c r="A711" s="10">
        <v>2021</v>
      </c>
      <c r="B711" s="56">
        <v>6067</v>
      </c>
      <c r="C711" s="54">
        <v>1962688</v>
      </c>
    </row>
    <row r="712" spans="1:3" x14ac:dyDescent="0.2">
      <c r="A712" s="10">
        <v>2021</v>
      </c>
      <c r="B712" s="56">
        <v>6068</v>
      </c>
      <c r="C712" s="54">
        <v>1686735</v>
      </c>
    </row>
    <row r="713" spans="1:3" x14ac:dyDescent="0.2">
      <c r="A713" s="10">
        <v>2021</v>
      </c>
      <c r="B713" s="58">
        <v>6074</v>
      </c>
      <c r="C713" s="54">
        <v>2317658</v>
      </c>
    </row>
    <row r="714" spans="1:3" x14ac:dyDescent="0.2">
      <c r="A714" s="10">
        <v>2021</v>
      </c>
      <c r="B714" s="56">
        <v>6075</v>
      </c>
      <c r="C714" s="54">
        <v>1753495</v>
      </c>
    </row>
    <row r="715" spans="1:3" x14ac:dyDescent="0.2">
      <c r="A715" s="10">
        <v>2021</v>
      </c>
      <c r="B715" s="58">
        <v>6078</v>
      </c>
      <c r="C715" s="54">
        <v>4364228</v>
      </c>
    </row>
    <row r="716" spans="1:3" x14ac:dyDescent="0.2">
      <c r="A716" s="10">
        <v>2021</v>
      </c>
      <c r="B716" s="58">
        <v>6079</v>
      </c>
      <c r="C716" s="54">
        <v>1678096</v>
      </c>
    </row>
    <row r="717" spans="1:3" x14ac:dyDescent="0.2">
      <c r="A717" s="10">
        <v>2021</v>
      </c>
      <c r="B717" s="58">
        <v>6091</v>
      </c>
      <c r="C717" s="53">
        <v>8260783</v>
      </c>
    </row>
    <row r="718" spans="1:3" x14ac:dyDescent="0.2">
      <c r="A718" s="10">
        <v>2021</v>
      </c>
      <c r="B718" s="56">
        <v>6093</v>
      </c>
      <c r="C718" s="53">
        <v>4317474</v>
      </c>
    </row>
    <row r="719" spans="1:3" x14ac:dyDescent="0.2">
      <c r="A719" s="10">
        <v>2021</v>
      </c>
      <c r="B719" s="56">
        <v>6094</v>
      </c>
      <c r="C719" s="53">
        <v>2675635</v>
      </c>
    </row>
    <row r="720" spans="1:3" x14ac:dyDescent="0.2">
      <c r="A720" s="10">
        <v>2021</v>
      </c>
      <c r="B720" s="56">
        <v>6095</v>
      </c>
      <c r="C720" s="54">
        <v>1012709</v>
      </c>
    </row>
    <row r="721" spans="1:3" x14ac:dyDescent="0.2">
      <c r="A721" s="10">
        <v>2021</v>
      </c>
      <c r="B721" s="58">
        <v>6097</v>
      </c>
      <c r="C721" s="53">
        <v>825894</v>
      </c>
    </row>
    <row r="722" spans="1:3" x14ac:dyDescent="0.2">
      <c r="A722" s="10">
        <v>2021</v>
      </c>
      <c r="B722" s="56">
        <v>6099</v>
      </c>
      <c r="C722" s="53">
        <v>1356671</v>
      </c>
    </row>
    <row r="723" spans="1:3" x14ac:dyDescent="0.2">
      <c r="A723" s="10">
        <v>2021</v>
      </c>
      <c r="B723" s="58">
        <v>6104</v>
      </c>
      <c r="C723" s="54">
        <v>1663996</v>
      </c>
    </row>
    <row r="724" spans="1:3" x14ac:dyDescent="0.2">
      <c r="A724" s="10">
        <v>2021</v>
      </c>
      <c r="B724" s="58">
        <v>6105</v>
      </c>
      <c r="C724" s="66">
        <v>2728347</v>
      </c>
    </row>
    <row r="725" spans="1:3" x14ac:dyDescent="0.2">
      <c r="A725" s="10">
        <v>2021</v>
      </c>
      <c r="B725" s="56">
        <v>6109</v>
      </c>
      <c r="C725" s="53">
        <v>2584516</v>
      </c>
    </row>
    <row r="726" spans="1:3" x14ac:dyDescent="0.2">
      <c r="A726" s="10">
        <v>2021</v>
      </c>
      <c r="B726" s="58">
        <v>6507</v>
      </c>
      <c r="C726" s="54">
        <v>77265</v>
      </c>
    </row>
    <row r="727" spans="1:3" x14ac:dyDescent="0.2">
      <c r="A727" s="10">
        <v>2021</v>
      </c>
      <c r="B727" s="56">
        <v>6511</v>
      </c>
      <c r="C727" s="54">
        <v>45925</v>
      </c>
    </row>
    <row r="728" spans="1:3" x14ac:dyDescent="0.2">
      <c r="A728" s="10">
        <v>2021</v>
      </c>
      <c r="B728" s="56">
        <v>7000</v>
      </c>
      <c r="C728" s="54">
        <v>14334821</v>
      </c>
    </row>
    <row r="729" spans="1:3" x14ac:dyDescent="0.2">
      <c r="A729" s="10">
        <v>2021</v>
      </c>
      <c r="B729" s="56">
        <v>7500</v>
      </c>
      <c r="C729" s="53">
        <v>79114</v>
      </c>
    </row>
    <row r="730" spans="1:3" x14ac:dyDescent="0.2">
      <c r="A730" s="10">
        <v>2021</v>
      </c>
      <c r="B730" s="56">
        <v>7501</v>
      </c>
      <c r="C730" s="53">
        <v>213268</v>
      </c>
    </row>
    <row r="731" spans="1:3" x14ac:dyDescent="0.2">
      <c r="A731" s="10">
        <v>2021</v>
      </c>
      <c r="B731" s="56">
        <v>7502</v>
      </c>
      <c r="C731" s="54">
        <v>41776</v>
      </c>
    </row>
    <row r="732" spans="1:3" x14ac:dyDescent="0.2">
      <c r="A732" s="10">
        <v>2021</v>
      </c>
      <c r="B732" s="58">
        <v>8000</v>
      </c>
      <c r="C732" s="54">
        <v>1520472</v>
      </c>
    </row>
    <row r="733" spans="1:3" x14ac:dyDescent="0.2">
      <c r="A733" s="10">
        <v>2021</v>
      </c>
      <c r="B733" s="58">
        <v>8102</v>
      </c>
      <c r="C733" s="66">
        <v>332543</v>
      </c>
    </row>
    <row r="734" spans="1:3" x14ac:dyDescent="0.2">
      <c r="A734" s="10">
        <v>2021</v>
      </c>
      <c r="B734" s="58">
        <v>8105</v>
      </c>
      <c r="C734" s="53">
        <v>335562</v>
      </c>
    </row>
    <row r="735" spans="1:3" x14ac:dyDescent="0.2">
      <c r="A735" s="10">
        <v>2021</v>
      </c>
      <c r="B735" s="58">
        <v>8110</v>
      </c>
      <c r="C735" s="53">
        <v>674554</v>
      </c>
    </row>
    <row r="736" spans="1:3" x14ac:dyDescent="0.2">
      <c r="A736" s="10">
        <v>2021</v>
      </c>
      <c r="B736" s="56">
        <v>8112</v>
      </c>
      <c r="C736" s="57">
        <v>92664</v>
      </c>
    </row>
    <row r="737" spans="1:3" x14ac:dyDescent="0.2">
      <c r="A737" s="10">
        <v>2021</v>
      </c>
      <c r="B737" s="56">
        <v>8113</v>
      </c>
      <c r="C737" s="53">
        <v>161606</v>
      </c>
    </row>
    <row r="738" spans="1:3" x14ac:dyDescent="0.2">
      <c r="A738" s="10">
        <v>2021</v>
      </c>
      <c r="B738" s="58">
        <v>8115</v>
      </c>
      <c r="C738" s="54">
        <v>145400</v>
      </c>
    </row>
    <row r="739" spans="1:3" x14ac:dyDescent="0.2">
      <c r="A739" s="10">
        <v>2021</v>
      </c>
      <c r="B739" s="56">
        <v>8120</v>
      </c>
      <c r="C739" s="54">
        <v>632635</v>
      </c>
    </row>
    <row r="740" spans="1:3" x14ac:dyDescent="0.2">
      <c r="A740" s="10">
        <v>2021</v>
      </c>
      <c r="B740" s="56">
        <v>8124</v>
      </c>
      <c r="C740" s="54">
        <v>1638519</v>
      </c>
    </row>
    <row r="741" spans="1:3" x14ac:dyDescent="0.2">
      <c r="A741" s="10">
        <v>2021</v>
      </c>
      <c r="B741" s="56">
        <v>8129</v>
      </c>
      <c r="C741" s="54">
        <v>438152</v>
      </c>
    </row>
    <row r="742" spans="1:3" x14ac:dyDescent="0.2">
      <c r="A742" s="10">
        <v>2021</v>
      </c>
      <c r="B742" s="56">
        <v>8130</v>
      </c>
      <c r="C742" s="54">
        <v>1896974</v>
      </c>
    </row>
    <row r="743" spans="1:3" x14ac:dyDescent="0.2">
      <c r="A743" s="10">
        <v>2021</v>
      </c>
      <c r="B743" s="56">
        <v>8131</v>
      </c>
      <c r="C743" s="53">
        <v>248840</v>
      </c>
    </row>
    <row r="744" spans="1:3" x14ac:dyDescent="0.2">
      <c r="A744" s="10">
        <v>2021</v>
      </c>
      <c r="B744" s="56">
        <v>8133</v>
      </c>
      <c r="C744" s="54">
        <v>350559</v>
      </c>
    </row>
    <row r="745" spans="1:3" x14ac:dyDescent="0.2">
      <c r="A745" s="10">
        <v>2021</v>
      </c>
      <c r="B745" s="56">
        <v>8134</v>
      </c>
      <c r="C745" s="54">
        <v>140695</v>
      </c>
    </row>
    <row r="746" spans="1:3" x14ac:dyDescent="0.2">
      <c r="A746" s="10">
        <v>2021</v>
      </c>
      <c r="B746" s="56">
        <v>8135</v>
      </c>
      <c r="C746" s="54">
        <v>973018</v>
      </c>
    </row>
    <row r="747" spans="1:3" x14ac:dyDescent="0.2">
      <c r="A747" s="10">
        <v>2021</v>
      </c>
      <c r="B747" s="56">
        <v>8140</v>
      </c>
      <c r="C747" s="53">
        <v>217919</v>
      </c>
    </row>
    <row r="748" spans="1:3" x14ac:dyDescent="0.2">
      <c r="A748" s="10">
        <v>2021</v>
      </c>
      <c r="B748" s="56">
        <v>8142</v>
      </c>
      <c r="C748" s="54">
        <v>379912</v>
      </c>
    </row>
    <row r="749" spans="1:3" x14ac:dyDescent="0.2">
      <c r="A749" s="10">
        <v>2021</v>
      </c>
      <c r="B749" s="58">
        <v>8145</v>
      </c>
      <c r="C749" s="54">
        <v>326392</v>
      </c>
    </row>
    <row r="750" spans="1:3" x14ac:dyDescent="0.2">
      <c r="A750" s="10">
        <v>2021</v>
      </c>
      <c r="B750" s="56">
        <v>8146</v>
      </c>
      <c r="C750" s="54">
        <v>877006</v>
      </c>
    </row>
    <row r="751" spans="1:3" x14ac:dyDescent="0.2">
      <c r="A751" s="10">
        <v>2021</v>
      </c>
      <c r="B751" s="56">
        <v>8149</v>
      </c>
      <c r="C751" s="54">
        <v>169534</v>
      </c>
    </row>
    <row r="752" spans="1:3" x14ac:dyDescent="0.2">
      <c r="A752" s="10">
        <v>2021</v>
      </c>
      <c r="B752" s="58">
        <v>8150</v>
      </c>
      <c r="C752" s="53">
        <v>2009078</v>
      </c>
    </row>
    <row r="753" spans="1:3" x14ac:dyDescent="0.2">
      <c r="A753" s="10">
        <v>2021</v>
      </c>
      <c r="B753" s="56">
        <v>8151</v>
      </c>
      <c r="C753" s="53">
        <v>894878</v>
      </c>
    </row>
    <row r="754" spans="1:3" x14ac:dyDescent="0.2">
      <c r="A754" s="10">
        <v>2021</v>
      </c>
      <c r="B754" s="56">
        <v>8153</v>
      </c>
      <c r="C754" s="54">
        <v>333306</v>
      </c>
    </row>
    <row r="755" spans="1:3" x14ac:dyDescent="0.2">
      <c r="A755" s="10">
        <v>2021</v>
      </c>
      <c r="B755" s="56">
        <v>8155</v>
      </c>
      <c r="C755" s="54">
        <v>577028</v>
      </c>
    </row>
    <row r="756" spans="1:3" x14ac:dyDescent="0.2">
      <c r="A756" s="10">
        <v>2021</v>
      </c>
      <c r="B756" s="56">
        <v>8160</v>
      </c>
      <c r="C756" s="54">
        <v>634704</v>
      </c>
    </row>
    <row r="757" spans="1:3" x14ac:dyDescent="0.2">
      <c r="A757" s="10">
        <v>2021</v>
      </c>
      <c r="B757" s="56">
        <v>8162</v>
      </c>
      <c r="C757" s="53">
        <v>173455</v>
      </c>
    </row>
    <row r="758" spans="1:3" x14ac:dyDescent="0.2">
      <c r="A758" s="10">
        <v>2021</v>
      </c>
      <c r="B758" s="56">
        <v>8166</v>
      </c>
      <c r="C758" s="53">
        <v>2560269</v>
      </c>
    </row>
    <row r="759" spans="1:3" x14ac:dyDescent="0.2">
      <c r="A759" s="10">
        <v>2021</v>
      </c>
      <c r="B759" s="56">
        <v>8167</v>
      </c>
      <c r="C759" s="53">
        <v>105177</v>
      </c>
    </row>
    <row r="760" spans="1:3" x14ac:dyDescent="0.2">
      <c r="A760" s="10">
        <v>2021</v>
      </c>
      <c r="B760" s="56">
        <v>8168</v>
      </c>
      <c r="C760" s="54">
        <v>179122</v>
      </c>
    </row>
    <row r="761" spans="1:3" x14ac:dyDescent="0.2">
      <c r="A761" s="10">
        <v>2021</v>
      </c>
      <c r="B761" s="58">
        <v>8169</v>
      </c>
      <c r="C761" s="53">
        <v>141629</v>
      </c>
    </row>
    <row r="762" spans="1:3" x14ac:dyDescent="0.2">
      <c r="A762" s="10">
        <v>2021</v>
      </c>
      <c r="B762" s="58">
        <v>8170</v>
      </c>
      <c r="C762" s="54">
        <v>1335482</v>
      </c>
    </row>
    <row r="763" spans="1:3" x14ac:dyDescent="0.2">
      <c r="A763" s="10">
        <v>2021</v>
      </c>
      <c r="B763" s="58">
        <v>8400</v>
      </c>
      <c r="C763" s="54">
        <v>448052</v>
      </c>
    </row>
    <row r="764" spans="1:3" x14ac:dyDescent="0.2">
      <c r="A764" s="10">
        <v>2021</v>
      </c>
      <c r="B764" s="56">
        <v>8402</v>
      </c>
      <c r="C764" s="53">
        <v>621146</v>
      </c>
    </row>
    <row r="765" spans="1:3" x14ac:dyDescent="0.2">
      <c r="A765" s="10">
        <v>2021</v>
      </c>
      <c r="B765" s="58">
        <v>8403</v>
      </c>
      <c r="C765" s="53">
        <v>319688</v>
      </c>
    </row>
    <row r="766" spans="1:3" x14ac:dyDescent="0.2">
      <c r="A766" s="10">
        <v>2021</v>
      </c>
      <c r="B766" s="58">
        <v>8406</v>
      </c>
      <c r="C766" s="53">
        <v>150201</v>
      </c>
    </row>
    <row r="767" spans="1:3" x14ac:dyDescent="0.2">
      <c r="A767" s="10">
        <v>2021</v>
      </c>
      <c r="B767" s="56">
        <v>8407</v>
      </c>
      <c r="C767" s="54">
        <v>1286985</v>
      </c>
    </row>
    <row r="768" spans="1:3" x14ac:dyDescent="0.2">
      <c r="A768" s="10">
        <v>2021</v>
      </c>
      <c r="B768" s="56">
        <v>8409</v>
      </c>
      <c r="C768" s="53">
        <v>678082</v>
      </c>
    </row>
    <row r="769" spans="1:3" x14ac:dyDescent="0.2">
      <c r="A769" s="10">
        <v>2021</v>
      </c>
      <c r="B769" s="58">
        <v>8410</v>
      </c>
      <c r="C769" s="53">
        <v>383375</v>
      </c>
    </row>
    <row r="770" spans="1:3" x14ac:dyDescent="0.2">
      <c r="A770" s="10">
        <v>2021</v>
      </c>
      <c r="B770" s="58">
        <v>8412</v>
      </c>
      <c r="C770" s="53">
        <v>571538</v>
      </c>
    </row>
    <row r="771" spans="1:3" x14ac:dyDescent="0.2">
      <c r="A771" s="10">
        <v>2021</v>
      </c>
      <c r="B771" s="56">
        <v>8415</v>
      </c>
      <c r="C771" s="54">
        <v>526805</v>
      </c>
    </row>
    <row r="772" spans="1:3" x14ac:dyDescent="0.2">
      <c r="A772" s="10">
        <v>2021</v>
      </c>
      <c r="B772" s="58">
        <v>8416</v>
      </c>
      <c r="C772" s="53">
        <v>186240</v>
      </c>
    </row>
    <row r="773" spans="1:3" x14ac:dyDescent="0.2">
      <c r="A773" s="10">
        <v>2021</v>
      </c>
      <c r="B773" s="58">
        <v>8419</v>
      </c>
      <c r="C773" s="54">
        <v>526070</v>
      </c>
    </row>
    <row r="774" spans="1:3" x14ac:dyDescent="0.2">
      <c r="A774" s="10">
        <v>2021</v>
      </c>
      <c r="B774" s="58">
        <v>8420</v>
      </c>
      <c r="C774" s="54">
        <v>161037</v>
      </c>
    </row>
    <row r="775" spans="1:3" x14ac:dyDescent="0.2">
      <c r="A775" s="10">
        <v>2021</v>
      </c>
      <c r="B775" s="58">
        <v>8421</v>
      </c>
      <c r="C775" s="54">
        <v>312437</v>
      </c>
    </row>
    <row r="776" spans="1:3" x14ac:dyDescent="0.2">
      <c r="A776" s="10">
        <v>2021</v>
      </c>
      <c r="B776" s="58">
        <v>8423</v>
      </c>
      <c r="C776" s="54">
        <v>174004</v>
      </c>
    </row>
    <row r="777" spans="1:3" x14ac:dyDescent="0.2">
      <c r="A777" s="10">
        <v>2021</v>
      </c>
      <c r="B777" s="58">
        <v>8424</v>
      </c>
      <c r="C777" s="54">
        <v>123689</v>
      </c>
    </row>
    <row r="778" spans="1:3" x14ac:dyDescent="0.2">
      <c r="A778" s="10">
        <v>2021</v>
      </c>
      <c r="B778" s="58">
        <v>8425</v>
      </c>
      <c r="C778" s="54">
        <v>409665</v>
      </c>
    </row>
    <row r="779" spans="1:3" x14ac:dyDescent="0.2">
      <c r="A779" s="10">
        <v>2021</v>
      </c>
      <c r="B779" s="58">
        <v>8427</v>
      </c>
      <c r="C779" s="53">
        <v>45201</v>
      </c>
    </row>
    <row r="780" spans="1:3" x14ac:dyDescent="0.2">
      <c r="A780" s="10">
        <v>2021</v>
      </c>
      <c r="B780" s="58">
        <v>8428</v>
      </c>
      <c r="C780" s="54">
        <v>557132</v>
      </c>
    </row>
    <row r="781" spans="1:3" x14ac:dyDescent="0.2">
      <c r="A781" s="10">
        <v>2021</v>
      </c>
      <c r="B781" s="58">
        <v>8429</v>
      </c>
      <c r="C781" s="53">
        <v>188321</v>
      </c>
    </row>
    <row r="782" spans="1:3" x14ac:dyDescent="0.2">
      <c r="A782" s="10">
        <v>2021</v>
      </c>
      <c r="B782" s="67">
        <v>8430</v>
      </c>
      <c r="C782" s="68">
        <v>253950</v>
      </c>
    </row>
    <row r="783" spans="1:3" x14ac:dyDescent="0.2">
      <c r="A783" s="10">
        <v>2021</v>
      </c>
      <c r="B783" s="67">
        <v>8431</v>
      </c>
      <c r="C783" s="69">
        <v>292843</v>
      </c>
    </row>
    <row r="784" spans="1:3" x14ac:dyDescent="0.2">
      <c r="A784" s="10">
        <v>2021</v>
      </c>
      <c r="B784" s="67">
        <v>8432</v>
      </c>
      <c r="C784" s="69">
        <v>252085</v>
      </c>
    </row>
    <row r="785" spans="1:3" x14ac:dyDescent="0.2">
      <c r="A785" s="10">
        <v>2021</v>
      </c>
      <c r="B785" s="67">
        <v>8433</v>
      </c>
      <c r="C785" s="69">
        <v>138838</v>
      </c>
    </row>
    <row r="786" spans="1:3" x14ac:dyDescent="0.2">
      <c r="A786" s="10">
        <v>2021</v>
      </c>
      <c r="B786" s="67">
        <v>8434</v>
      </c>
      <c r="C786" s="69">
        <v>314454</v>
      </c>
    </row>
    <row r="787" spans="1:3" x14ac:dyDescent="0.2">
      <c r="A787" s="10">
        <v>2021</v>
      </c>
      <c r="B787" s="67">
        <v>8435</v>
      </c>
      <c r="C787" s="69">
        <v>165145</v>
      </c>
    </row>
    <row r="788" spans="1:3" x14ac:dyDescent="0.2">
      <c r="A788" s="10">
        <v>2021</v>
      </c>
      <c r="B788" s="67">
        <v>8436</v>
      </c>
      <c r="C788" s="69">
        <v>511738</v>
      </c>
    </row>
    <row r="789" spans="1:3" x14ac:dyDescent="0.2">
      <c r="A789" s="10">
        <v>2021</v>
      </c>
      <c r="B789" s="67">
        <v>8437</v>
      </c>
      <c r="C789" s="69">
        <v>212239</v>
      </c>
    </row>
    <row r="791" spans="1:3" x14ac:dyDescent="0.2">
      <c r="B791" s="10" t="s">
        <v>3</v>
      </c>
      <c r="C791" s="20">
        <f>SUM(C2:C789)</f>
        <v>1617546594</v>
      </c>
    </row>
    <row r="793" spans="1:3" x14ac:dyDescent="0.2">
      <c r="B793" s="10" t="s">
        <v>2</v>
      </c>
      <c r="C793" s="27">
        <v>1617546595</v>
      </c>
    </row>
    <row r="795" spans="1:3" x14ac:dyDescent="0.2">
      <c r="B795" s="19" t="s">
        <v>4</v>
      </c>
      <c r="C795" s="45">
        <f>C791-C793</f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C9B2-E023-D84D-9028-1F847115A694}">
  <sheetPr>
    <tabColor rgb="FFFFFF00"/>
  </sheetPr>
  <dimension ref="A1:C795"/>
  <sheetViews>
    <sheetView workbookViewId="0">
      <selection activeCell="A2" sqref="A2:C789"/>
    </sheetView>
  </sheetViews>
  <sheetFormatPr baseColWidth="10" defaultRowHeight="16" x14ac:dyDescent="0.2"/>
  <cols>
    <col min="2" max="2" width="16" style="39" bestFit="1" customWidth="1"/>
    <col min="3" max="3" width="16.33203125" style="46" bestFit="1" customWidth="1"/>
  </cols>
  <sheetData>
    <row r="1" spans="1:3" x14ac:dyDescent="0.2">
      <c r="A1" t="s">
        <v>5</v>
      </c>
      <c r="B1" s="34" t="s">
        <v>0</v>
      </c>
      <c r="C1" s="35" t="s">
        <v>1</v>
      </c>
    </row>
    <row r="2" spans="1:3" x14ac:dyDescent="0.2">
      <c r="A2">
        <v>2022</v>
      </c>
      <c r="B2" s="36">
        <v>1005</v>
      </c>
      <c r="C2" s="49">
        <v>9227330</v>
      </c>
    </row>
    <row r="3" spans="1:3" x14ac:dyDescent="0.2">
      <c r="A3">
        <v>2022</v>
      </c>
      <c r="B3" s="36">
        <v>1010</v>
      </c>
      <c r="C3" s="49">
        <v>2648498</v>
      </c>
    </row>
    <row r="4" spans="1:3" x14ac:dyDescent="0.2">
      <c r="A4">
        <v>2022</v>
      </c>
      <c r="B4" s="36">
        <v>1015</v>
      </c>
      <c r="C4" s="49">
        <v>3162536</v>
      </c>
    </row>
    <row r="5" spans="1:3" x14ac:dyDescent="0.2">
      <c r="A5">
        <v>2022</v>
      </c>
      <c r="B5" s="36">
        <v>1020</v>
      </c>
      <c r="C5" s="49">
        <v>1771675</v>
      </c>
    </row>
    <row r="6" spans="1:3" x14ac:dyDescent="0.2">
      <c r="A6">
        <v>2022</v>
      </c>
      <c r="B6" s="36">
        <v>1025</v>
      </c>
      <c r="C6" s="49">
        <v>2923690</v>
      </c>
    </row>
    <row r="7" spans="1:3" x14ac:dyDescent="0.2">
      <c r="A7">
        <v>2022</v>
      </c>
      <c r="B7" s="36">
        <v>1030</v>
      </c>
      <c r="C7" s="49">
        <v>4564482</v>
      </c>
    </row>
    <row r="8" spans="1:3" x14ac:dyDescent="0.2">
      <c r="A8">
        <v>2022</v>
      </c>
      <c r="B8" s="36">
        <v>1035</v>
      </c>
      <c r="C8" s="49">
        <v>31173702</v>
      </c>
    </row>
    <row r="9" spans="1:3" x14ac:dyDescent="0.2">
      <c r="A9">
        <v>2022</v>
      </c>
      <c r="B9" s="36">
        <v>1040</v>
      </c>
      <c r="C9" s="49">
        <v>2806692</v>
      </c>
    </row>
    <row r="10" spans="1:3" x14ac:dyDescent="0.2">
      <c r="A10">
        <v>2022</v>
      </c>
      <c r="B10" s="36">
        <v>1045</v>
      </c>
      <c r="C10" s="49">
        <v>1550759</v>
      </c>
    </row>
    <row r="11" spans="1:3" x14ac:dyDescent="0.2">
      <c r="A11">
        <v>2022</v>
      </c>
      <c r="B11" s="36">
        <v>1050</v>
      </c>
      <c r="C11" s="49">
        <v>4051696</v>
      </c>
    </row>
    <row r="12" spans="1:3" x14ac:dyDescent="0.2">
      <c r="A12">
        <v>2022</v>
      </c>
      <c r="B12" s="36">
        <v>1055</v>
      </c>
      <c r="C12" s="49">
        <v>1625898</v>
      </c>
    </row>
    <row r="13" spans="1:3" x14ac:dyDescent="0.2">
      <c r="A13">
        <v>2022</v>
      </c>
      <c r="B13" s="36">
        <v>1060</v>
      </c>
      <c r="C13" s="49">
        <v>1936370</v>
      </c>
    </row>
    <row r="14" spans="1:3" x14ac:dyDescent="0.2">
      <c r="A14">
        <v>2022</v>
      </c>
      <c r="B14" s="36">
        <v>1065</v>
      </c>
      <c r="C14" s="49">
        <v>3742044</v>
      </c>
    </row>
    <row r="15" spans="1:3" x14ac:dyDescent="0.2">
      <c r="A15">
        <v>2022</v>
      </c>
      <c r="B15" s="36">
        <v>1070</v>
      </c>
      <c r="C15" s="49">
        <v>2777114</v>
      </c>
    </row>
    <row r="16" spans="1:3" x14ac:dyDescent="0.2">
      <c r="A16">
        <v>2022</v>
      </c>
      <c r="B16" s="36">
        <v>1075</v>
      </c>
      <c r="C16" s="49">
        <v>1729565</v>
      </c>
    </row>
    <row r="17" spans="1:3" x14ac:dyDescent="0.2">
      <c r="A17">
        <v>2022</v>
      </c>
      <c r="B17" s="36">
        <v>1080</v>
      </c>
      <c r="C17" s="49">
        <v>3832906</v>
      </c>
    </row>
    <row r="18" spans="1:3" x14ac:dyDescent="0.2">
      <c r="A18">
        <v>2022</v>
      </c>
      <c r="B18" s="36">
        <v>1085</v>
      </c>
      <c r="C18" s="49">
        <v>1684283</v>
      </c>
    </row>
    <row r="19" spans="1:3" x14ac:dyDescent="0.2">
      <c r="A19">
        <v>2022</v>
      </c>
      <c r="B19" s="36">
        <v>1090</v>
      </c>
      <c r="C19" s="49">
        <v>2097082</v>
      </c>
    </row>
    <row r="20" spans="1:3" x14ac:dyDescent="0.2">
      <c r="A20">
        <v>2022</v>
      </c>
      <c r="B20" s="36">
        <v>1095</v>
      </c>
      <c r="C20" s="49">
        <v>1194017</v>
      </c>
    </row>
    <row r="21" spans="1:3" x14ac:dyDescent="0.2">
      <c r="A21">
        <v>2022</v>
      </c>
      <c r="B21" s="36">
        <v>1100</v>
      </c>
      <c r="C21" s="49">
        <v>1710000</v>
      </c>
    </row>
    <row r="22" spans="1:3" x14ac:dyDescent="0.2">
      <c r="A22">
        <v>2022</v>
      </c>
      <c r="B22" s="36">
        <v>1105</v>
      </c>
      <c r="C22" s="49">
        <v>4485260</v>
      </c>
    </row>
    <row r="23" spans="1:3" x14ac:dyDescent="0.2">
      <c r="A23">
        <v>2022</v>
      </c>
      <c r="B23" s="36">
        <v>1110</v>
      </c>
      <c r="C23" s="49">
        <v>3422089</v>
      </c>
    </row>
    <row r="24" spans="1:3" x14ac:dyDescent="0.2">
      <c r="A24">
        <v>2022</v>
      </c>
      <c r="B24" s="36">
        <v>1115</v>
      </c>
      <c r="C24" s="49">
        <v>1055903</v>
      </c>
    </row>
    <row r="25" spans="1:3" x14ac:dyDescent="0.2">
      <c r="A25">
        <v>2022</v>
      </c>
      <c r="B25" s="36">
        <v>1120</v>
      </c>
      <c r="C25" s="49">
        <v>7018267</v>
      </c>
    </row>
    <row r="26" spans="1:3" x14ac:dyDescent="0.2">
      <c r="A26">
        <v>2022</v>
      </c>
      <c r="B26" s="36">
        <v>1125</v>
      </c>
      <c r="C26" s="49">
        <v>1731874</v>
      </c>
    </row>
    <row r="27" spans="1:3" x14ac:dyDescent="0.2">
      <c r="A27">
        <v>2022</v>
      </c>
      <c r="B27" s="36">
        <v>1130</v>
      </c>
      <c r="C27" s="49">
        <v>802511</v>
      </c>
    </row>
    <row r="28" spans="1:3" x14ac:dyDescent="0.2">
      <c r="A28">
        <v>2022</v>
      </c>
      <c r="B28" s="36">
        <v>1135</v>
      </c>
      <c r="C28" s="49">
        <v>4035378</v>
      </c>
    </row>
    <row r="29" spans="1:3" x14ac:dyDescent="0.2">
      <c r="A29">
        <v>2022</v>
      </c>
      <c r="B29" s="36">
        <v>1140</v>
      </c>
      <c r="C29" s="49">
        <v>5762463</v>
      </c>
    </row>
    <row r="30" spans="1:3" x14ac:dyDescent="0.2">
      <c r="A30">
        <v>2022</v>
      </c>
      <c r="B30" s="36">
        <v>1145</v>
      </c>
      <c r="C30" s="49">
        <v>1005119</v>
      </c>
    </row>
    <row r="31" spans="1:3" x14ac:dyDescent="0.2">
      <c r="A31">
        <v>2022</v>
      </c>
      <c r="B31" s="36">
        <v>1150</v>
      </c>
      <c r="C31" s="49">
        <v>7524470</v>
      </c>
    </row>
    <row r="32" spans="1:3" x14ac:dyDescent="0.2">
      <c r="A32">
        <v>2022</v>
      </c>
      <c r="B32" s="36">
        <v>1155</v>
      </c>
      <c r="C32" s="49">
        <v>9377981</v>
      </c>
    </row>
    <row r="33" spans="1:3" x14ac:dyDescent="0.2">
      <c r="A33">
        <v>2022</v>
      </c>
      <c r="B33" s="36">
        <v>1160</v>
      </c>
      <c r="C33" s="49">
        <v>12828261</v>
      </c>
    </row>
    <row r="34" spans="1:3" x14ac:dyDescent="0.2">
      <c r="A34">
        <v>2022</v>
      </c>
      <c r="B34" s="36">
        <v>1165</v>
      </c>
      <c r="C34" s="49">
        <v>12035366</v>
      </c>
    </row>
    <row r="35" spans="1:3" x14ac:dyDescent="0.2">
      <c r="A35">
        <v>2022</v>
      </c>
      <c r="B35" s="36">
        <v>1170</v>
      </c>
      <c r="C35" s="49">
        <v>5758439</v>
      </c>
    </row>
    <row r="36" spans="1:3" x14ac:dyDescent="0.2">
      <c r="A36">
        <v>2022</v>
      </c>
      <c r="B36" s="36">
        <v>1175</v>
      </c>
      <c r="C36" s="49">
        <v>2678237</v>
      </c>
    </row>
    <row r="37" spans="1:3" x14ac:dyDescent="0.2">
      <c r="A37">
        <v>2022</v>
      </c>
      <c r="B37" s="36">
        <v>1180</v>
      </c>
      <c r="C37" s="49">
        <v>1294476</v>
      </c>
    </row>
    <row r="38" spans="1:3" x14ac:dyDescent="0.2">
      <c r="A38">
        <v>2022</v>
      </c>
      <c r="B38" s="36">
        <v>1185</v>
      </c>
      <c r="C38" s="49">
        <v>1316522</v>
      </c>
    </row>
    <row r="39" spans="1:3" x14ac:dyDescent="0.2">
      <c r="A39">
        <v>2022</v>
      </c>
      <c r="B39" s="36">
        <v>1190</v>
      </c>
      <c r="C39" s="49">
        <v>1586555</v>
      </c>
    </row>
    <row r="40" spans="1:3" x14ac:dyDescent="0.2">
      <c r="A40">
        <v>2022</v>
      </c>
      <c r="B40" s="36">
        <v>1195</v>
      </c>
      <c r="C40" s="49">
        <v>1554140</v>
      </c>
    </row>
    <row r="41" spans="1:3" x14ac:dyDescent="0.2">
      <c r="A41">
        <v>2022</v>
      </c>
      <c r="B41" s="36">
        <v>1200</v>
      </c>
      <c r="C41" s="49">
        <v>1474599</v>
      </c>
    </row>
    <row r="42" spans="1:3" x14ac:dyDescent="0.2">
      <c r="A42">
        <v>2022</v>
      </c>
      <c r="B42" s="36">
        <v>1205</v>
      </c>
      <c r="C42" s="49">
        <v>3523079</v>
      </c>
    </row>
    <row r="43" spans="1:3" x14ac:dyDescent="0.2">
      <c r="A43">
        <v>2022</v>
      </c>
      <c r="B43" s="36">
        <v>1210</v>
      </c>
      <c r="C43" s="49">
        <v>4166243</v>
      </c>
    </row>
    <row r="44" spans="1:3" x14ac:dyDescent="0.2">
      <c r="A44">
        <v>2022</v>
      </c>
      <c r="B44" s="36">
        <v>1215</v>
      </c>
      <c r="C44" s="49">
        <v>1751368</v>
      </c>
    </row>
    <row r="45" spans="1:3" x14ac:dyDescent="0.2">
      <c r="A45">
        <v>2022</v>
      </c>
      <c r="B45" s="36">
        <v>1220</v>
      </c>
      <c r="C45" s="49">
        <v>2594989</v>
      </c>
    </row>
    <row r="46" spans="1:3" x14ac:dyDescent="0.2">
      <c r="A46">
        <v>2022</v>
      </c>
      <c r="B46" s="36">
        <v>1225</v>
      </c>
      <c r="C46" s="49">
        <v>3845344</v>
      </c>
    </row>
    <row r="47" spans="1:3" x14ac:dyDescent="0.2">
      <c r="A47">
        <v>2022</v>
      </c>
      <c r="B47" s="36">
        <v>1230</v>
      </c>
      <c r="C47" s="49">
        <v>872435</v>
      </c>
    </row>
    <row r="48" spans="1:3" x14ac:dyDescent="0.2">
      <c r="A48">
        <v>2022</v>
      </c>
      <c r="B48" s="36">
        <v>1235</v>
      </c>
      <c r="C48" s="49">
        <v>24726931</v>
      </c>
    </row>
    <row r="49" spans="1:3" x14ac:dyDescent="0.2">
      <c r="A49">
        <v>2022</v>
      </c>
      <c r="B49" s="36">
        <v>1240</v>
      </c>
      <c r="C49" s="49">
        <v>4074595</v>
      </c>
    </row>
    <row r="50" spans="1:3" x14ac:dyDescent="0.2">
      <c r="A50">
        <v>2022</v>
      </c>
      <c r="B50" s="36">
        <v>1245</v>
      </c>
      <c r="C50" s="49">
        <v>4368474</v>
      </c>
    </row>
    <row r="51" spans="1:3" x14ac:dyDescent="0.2">
      <c r="A51">
        <v>2022</v>
      </c>
      <c r="B51" s="36">
        <v>1250</v>
      </c>
      <c r="C51" s="49">
        <v>1509915</v>
      </c>
    </row>
    <row r="52" spans="1:3" x14ac:dyDescent="0.2">
      <c r="A52">
        <v>2022</v>
      </c>
      <c r="B52" s="36">
        <v>1255</v>
      </c>
      <c r="C52" s="49">
        <v>4684909</v>
      </c>
    </row>
    <row r="53" spans="1:3" x14ac:dyDescent="0.2">
      <c r="A53">
        <v>2022</v>
      </c>
      <c r="B53" s="36">
        <v>1260</v>
      </c>
      <c r="C53" s="49">
        <v>7988851</v>
      </c>
    </row>
    <row r="54" spans="1:3" x14ac:dyDescent="0.2">
      <c r="A54">
        <v>2022</v>
      </c>
      <c r="B54" s="36">
        <v>1265</v>
      </c>
      <c r="C54" s="49">
        <v>1539918</v>
      </c>
    </row>
    <row r="55" spans="1:3" x14ac:dyDescent="0.2">
      <c r="A55">
        <v>2022</v>
      </c>
      <c r="B55" s="36">
        <v>1270</v>
      </c>
      <c r="C55" s="49">
        <v>20209748</v>
      </c>
    </row>
    <row r="56" spans="1:3" x14ac:dyDescent="0.2">
      <c r="A56">
        <v>2022</v>
      </c>
      <c r="B56" s="36">
        <v>1275</v>
      </c>
      <c r="C56" s="49">
        <v>1368272</v>
      </c>
    </row>
    <row r="57" spans="1:3" x14ac:dyDescent="0.2">
      <c r="A57">
        <v>2022</v>
      </c>
      <c r="B57" s="36">
        <v>1280</v>
      </c>
      <c r="C57" s="49">
        <v>3514688</v>
      </c>
    </row>
    <row r="58" spans="1:3" x14ac:dyDescent="0.2">
      <c r="A58">
        <v>2022</v>
      </c>
      <c r="B58" s="36">
        <v>1285</v>
      </c>
      <c r="C58" s="49">
        <v>5987665</v>
      </c>
    </row>
    <row r="59" spans="1:3" x14ac:dyDescent="0.2">
      <c r="A59">
        <v>2022</v>
      </c>
      <c r="B59" s="36">
        <v>1290</v>
      </c>
      <c r="C59" s="49">
        <v>2655325</v>
      </c>
    </row>
    <row r="60" spans="1:3" x14ac:dyDescent="0.2">
      <c r="A60">
        <v>2022</v>
      </c>
      <c r="B60" s="36">
        <v>1295</v>
      </c>
      <c r="C60" s="49">
        <v>1024217</v>
      </c>
    </row>
    <row r="61" spans="1:3" x14ac:dyDescent="0.2">
      <c r="A61">
        <v>2022</v>
      </c>
      <c r="B61" s="36">
        <v>1300</v>
      </c>
      <c r="C61" s="49">
        <v>9752251</v>
      </c>
    </row>
    <row r="62" spans="1:3" x14ac:dyDescent="0.2">
      <c r="A62">
        <v>2022</v>
      </c>
      <c r="B62" s="36">
        <v>1305</v>
      </c>
      <c r="C62" s="49">
        <v>26509513</v>
      </c>
    </row>
    <row r="63" spans="1:3" x14ac:dyDescent="0.2">
      <c r="A63">
        <v>2022</v>
      </c>
      <c r="B63" s="36">
        <v>2005</v>
      </c>
      <c r="C63" s="49">
        <v>1383586</v>
      </c>
    </row>
    <row r="64" spans="1:3" x14ac:dyDescent="0.2">
      <c r="A64">
        <v>2022</v>
      </c>
      <c r="B64" s="36">
        <v>2006</v>
      </c>
      <c r="C64" s="49">
        <v>1262656</v>
      </c>
    </row>
    <row r="65" spans="1:3" x14ac:dyDescent="0.2">
      <c r="A65">
        <v>2022</v>
      </c>
      <c r="B65" s="36">
        <v>2007</v>
      </c>
      <c r="C65" s="49">
        <v>3472741</v>
      </c>
    </row>
    <row r="66" spans="1:3" x14ac:dyDescent="0.2">
      <c r="A66">
        <v>2022</v>
      </c>
      <c r="B66" s="36">
        <v>2008</v>
      </c>
      <c r="C66" s="49">
        <v>3279816</v>
      </c>
    </row>
    <row r="67" spans="1:3" x14ac:dyDescent="0.2">
      <c r="A67">
        <v>2022</v>
      </c>
      <c r="B67" s="36">
        <v>2009</v>
      </c>
      <c r="C67" s="49">
        <v>2599147</v>
      </c>
    </row>
    <row r="68" spans="1:3" x14ac:dyDescent="0.2">
      <c r="A68">
        <v>2022</v>
      </c>
      <c r="B68" s="36">
        <v>2010</v>
      </c>
      <c r="C68" s="49">
        <v>8401499</v>
      </c>
    </row>
    <row r="69" spans="1:3" x14ac:dyDescent="0.2">
      <c r="A69">
        <v>2022</v>
      </c>
      <c r="B69" s="36">
        <v>2014</v>
      </c>
      <c r="C69" s="49">
        <v>1083354</v>
      </c>
    </row>
    <row r="70" spans="1:3" x14ac:dyDescent="0.2">
      <c r="A70">
        <v>2022</v>
      </c>
      <c r="B70" s="36">
        <v>2015</v>
      </c>
      <c r="C70" s="49">
        <v>2361774</v>
      </c>
    </row>
    <row r="71" spans="1:3" x14ac:dyDescent="0.2">
      <c r="A71">
        <v>2022</v>
      </c>
      <c r="B71" s="36">
        <v>2016</v>
      </c>
      <c r="C71" s="49">
        <v>880113</v>
      </c>
    </row>
    <row r="72" spans="1:3" x14ac:dyDescent="0.2">
      <c r="A72">
        <v>2022</v>
      </c>
      <c r="B72" s="36">
        <v>2018</v>
      </c>
      <c r="C72" s="49">
        <v>2226998</v>
      </c>
    </row>
    <row r="73" spans="1:3" x14ac:dyDescent="0.2">
      <c r="A73">
        <v>2022</v>
      </c>
      <c r="B73" s="36">
        <v>2020</v>
      </c>
      <c r="C73" s="49">
        <v>5567531</v>
      </c>
    </row>
    <row r="74" spans="1:3" x14ac:dyDescent="0.2">
      <c r="A74">
        <v>2022</v>
      </c>
      <c r="B74" s="36">
        <v>2025</v>
      </c>
      <c r="C74" s="49">
        <v>4493761</v>
      </c>
    </row>
    <row r="75" spans="1:3" x14ac:dyDescent="0.2">
      <c r="A75">
        <v>2022</v>
      </c>
      <c r="B75" s="36">
        <v>2030</v>
      </c>
      <c r="C75" s="49">
        <v>3882802</v>
      </c>
    </row>
    <row r="76" spans="1:3" x14ac:dyDescent="0.2">
      <c r="A76">
        <v>2022</v>
      </c>
      <c r="B76" s="36">
        <v>2035</v>
      </c>
      <c r="C76" s="49">
        <v>1241761</v>
      </c>
    </row>
    <row r="77" spans="1:3" x14ac:dyDescent="0.2">
      <c r="A77">
        <v>2022</v>
      </c>
      <c r="B77" s="36">
        <v>2040</v>
      </c>
      <c r="C77" s="49">
        <v>7543478</v>
      </c>
    </row>
    <row r="78" spans="1:3" x14ac:dyDescent="0.2">
      <c r="A78">
        <v>2022</v>
      </c>
      <c r="B78" s="36">
        <v>2044</v>
      </c>
      <c r="C78" s="49">
        <v>1549481</v>
      </c>
    </row>
    <row r="79" spans="1:3" x14ac:dyDescent="0.2">
      <c r="A79">
        <v>2022</v>
      </c>
      <c r="B79" s="36">
        <v>2045</v>
      </c>
      <c r="C79" s="49">
        <v>4104567</v>
      </c>
    </row>
    <row r="80" spans="1:3" x14ac:dyDescent="0.2">
      <c r="A80">
        <v>2022</v>
      </c>
      <c r="B80" s="36">
        <v>2046</v>
      </c>
      <c r="C80" s="49">
        <v>3457282</v>
      </c>
    </row>
    <row r="81" spans="1:3" x14ac:dyDescent="0.2">
      <c r="A81">
        <v>2022</v>
      </c>
      <c r="B81" s="36">
        <v>2047</v>
      </c>
      <c r="C81" s="49">
        <v>17417141</v>
      </c>
    </row>
    <row r="82" spans="1:3" x14ac:dyDescent="0.2">
      <c r="A82">
        <v>2022</v>
      </c>
      <c r="B82" s="36">
        <v>2048</v>
      </c>
      <c r="C82" s="49">
        <v>3893306</v>
      </c>
    </row>
    <row r="83" spans="1:3" x14ac:dyDescent="0.2">
      <c r="A83">
        <v>2022</v>
      </c>
      <c r="B83" s="36">
        <v>2050</v>
      </c>
      <c r="C83" s="49">
        <v>2990766</v>
      </c>
    </row>
    <row r="84" spans="1:3" x14ac:dyDescent="0.2">
      <c r="A84">
        <v>2022</v>
      </c>
      <c r="B84" s="36">
        <v>2052</v>
      </c>
      <c r="C84" s="49">
        <v>2397035</v>
      </c>
    </row>
    <row r="85" spans="1:3" x14ac:dyDescent="0.2">
      <c r="A85">
        <v>2022</v>
      </c>
      <c r="B85" s="36">
        <v>2055</v>
      </c>
      <c r="C85" s="49">
        <v>2134446</v>
      </c>
    </row>
    <row r="86" spans="1:3" x14ac:dyDescent="0.2">
      <c r="A86">
        <v>2022</v>
      </c>
      <c r="B86" s="36">
        <v>2056</v>
      </c>
      <c r="C86" s="49">
        <v>2897814</v>
      </c>
    </row>
    <row r="87" spans="1:3" x14ac:dyDescent="0.2">
      <c r="A87">
        <v>2022</v>
      </c>
      <c r="B87" s="36">
        <v>2057</v>
      </c>
      <c r="C87" s="49">
        <v>3565390</v>
      </c>
    </row>
    <row r="88" spans="1:3" x14ac:dyDescent="0.2">
      <c r="A88">
        <v>2022</v>
      </c>
      <c r="B88" s="36">
        <v>2058</v>
      </c>
      <c r="C88" s="49">
        <v>2245106</v>
      </c>
    </row>
    <row r="89" spans="1:3" x14ac:dyDescent="0.2">
      <c r="A89">
        <v>2022</v>
      </c>
      <c r="B89" s="36">
        <v>2059</v>
      </c>
      <c r="C89" s="49">
        <v>3891885</v>
      </c>
    </row>
    <row r="90" spans="1:3" x14ac:dyDescent="0.2">
      <c r="A90">
        <v>2022</v>
      </c>
      <c r="B90" s="36">
        <v>2060</v>
      </c>
      <c r="C90" s="49">
        <v>1033904</v>
      </c>
    </row>
    <row r="91" spans="1:3" x14ac:dyDescent="0.2">
      <c r="A91">
        <v>2022</v>
      </c>
      <c r="B91" s="36">
        <v>2061</v>
      </c>
      <c r="C91" s="49">
        <v>1101703</v>
      </c>
    </row>
    <row r="92" spans="1:3" x14ac:dyDescent="0.2">
      <c r="A92">
        <v>2022</v>
      </c>
      <c r="B92" s="36">
        <v>2062</v>
      </c>
      <c r="C92" s="49">
        <v>1667074</v>
      </c>
    </row>
    <row r="93" spans="1:3" x14ac:dyDescent="0.2">
      <c r="A93">
        <v>2022</v>
      </c>
      <c r="B93" s="36">
        <v>2063</v>
      </c>
      <c r="C93" s="49">
        <v>1004041</v>
      </c>
    </row>
    <row r="94" spans="1:3" x14ac:dyDescent="0.2">
      <c r="A94">
        <v>2022</v>
      </c>
      <c r="B94" s="36">
        <v>2064</v>
      </c>
      <c r="C94" s="49">
        <v>2670204</v>
      </c>
    </row>
    <row r="95" spans="1:3" x14ac:dyDescent="0.2">
      <c r="A95">
        <v>2022</v>
      </c>
      <c r="B95" s="36">
        <v>2065</v>
      </c>
      <c r="C95" s="49">
        <v>2241792</v>
      </c>
    </row>
    <row r="96" spans="1:3" x14ac:dyDescent="0.2">
      <c r="A96">
        <v>2022</v>
      </c>
      <c r="B96" s="36">
        <v>2066</v>
      </c>
      <c r="C96" s="49">
        <v>5444088</v>
      </c>
    </row>
    <row r="97" spans="1:3" x14ac:dyDescent="0.2">
      <c r="A97">
        <v>2022</v>
      </c>
      <c r="B97" s="36">
        <v>2067</v>
      </c>
      <c r="C97" s="49">
        <v>8422500</v>
      </c>
    </row>
    <row r="98" spans="1:3" x14ac:dyDescent="0.2">
      <c r="A98">
        <v>2022</v>
      </c>
      <c r="B98" s="36">
        <v>2068</v>
      </c>
      <c r="C98" s="49">
        <v>7663574</v>
      </c>
    </row>
    <row r="99" spans="1:3" x14ac:dyDescent="0.2">
      <c r="A99">
        <v>2022</v>
      </c>
      <c r="B99" s="36">
        <v>2069</v>
      </c>
      <c r="C99" s="49">
        <v>1024884</v>
      </c>
    </row>
    <row r="100" spans="1:3" x14ac:dyDescent="0.2">
      <c r="A100">
        <v>2022</v>
      </c>
      <c r="B100" s="36">
        <v>2070</v>
      </c>
      <c r="C100" s="49">
        <v>1403896</v>
      </c>
    </row>
    <row r="101" spans="1:3" x14ac:dyDescent="0.2">
      <c r="A101">
        <v>2022</v>
      </c>
      <c r="B101" s="36">
        <v>2071</v>
      </c>
      <c r="C101" s="49">
        <v>1086270</v>
      </c>
    </row>
    <row r="102" spans="1:3" x14ac:dyDescent="0.2">
      <c r="A102">
        <v>2022</v>
      </c>
      <c r="B102" s="36">
        <v>2072</v>
      </c>
      <c r="C102" s="49">
        <v>1441033</v>
      </c>
    </row>
    <row r="103" spans="1:3" x14ac:dyDescent="0.2">
      <c r="A103">
        <v>2022</v>
      </c>
      <c r="B103" s="36">
        <v>2073</v>
      </c>
      <c r="C103" s="49">
        <v>2964095</v>
      </c>
    </row>
    <row r="104" spans="1:3" x14ac:dyDescent="0.2">
      <c r="A104">
        <v>2022</v>
      </c>
      <c r="B104" s="36">
        <v>2074</v>
      </c>
      <c r="C104" s="49">
        <v>2689465</v>
      </c>
    </row>
    <row r="105" spans="1:3" x14ac:dyDescent="0.2">
      <c r="A105">
        <v>2022</v>
      </c>
      <c r="B105" s="36">
        <v>2075</v>
      </c>
      <c r="C105" s="49">
        <v>5381848</v>
      </c>
    </row>
    <row r="106" spans="1:3" x14ac:dyDescent="0.2">
      <c r="A106">
        <v>2022</v>
      </c>
      <c r="B106" s="36">
        <v>2076</v>
      </c>
      <c r="C106" s="49">
        <v>3446370</v>
      </c>
    </row>
    <row r="107" spans="1:3" x14ac:dyDescent="0.2">
      <c r="A107">
        <v>2022</v>
      </c>
      <c r="B107" s="36">
        <v>2077</v>
      </c>
      <c r="C107" s="49">
        <v>1006911</v>
      </c>
    </row>
    <row r="108" spans="1:3" x14ac:dyDescent="0.2">
      <c r="A108">
        <v>2022</v>
      </c>
      <c r="B108" s="36">
        <v>2078</v>
      </c>
      <c r="C108" s="49">
        <v>8218104</v>
      </c>
    </row>
    <row r="109" spans="1:3" x14ac:dyDescent="0.2">
      <c r="A109">
        <v>2022</v>
      </c>
      <c r="B109" s="36">
        <v>2079</v>
      </c>
      <c r="C109" s="49">
        <v>5225798</v>
      </c>
    </row>
    <row r="110" spans="1:3" x14ac:dyDescent="0.2">
      <c r="A110">
        <v>2022</v>
      </c>
      <c r="B110" s="36">
        <v>2080</v>
      </c>
      <c r="C110" s="49">
        <v>1074178</v>
      </c>
    </row>
    <row r="111" spans="1:3" x14ac:dyDescent="0.2">
      <c r="A111">
        <v>2022</v>
      </c>
      <c r="B111" s="36">
        <v>2081</v>
      </c>
      <c r="C111" s="49">
        <v>1487850</v>
      </c>
    </row>
    <row r="112" spans="1:3" x14ac:dyDescent="0.2">
      <c r="A112">
        <v>2022</v>
      </c>
      <c r="B112" s="36">
        <v>2082</v>
      </c>
      <c r="C112" s="49">
        <v>773354</v>
      </c>
    </row>
    <row r="113" spans="1:3" x14ac:dyDescent="0.2">
      <c r="A113">
        <v>2022</v>
      </c>
      <c r="B113" s="36">
        <v>2083</v>
      </c>
      <c r="C113" s="49">
        <v>1856570</v>
      </c>
    </row>
    <row r="114" spans="1:3" x14ac:dyDescent="0.2">
      <c r="A114">
        <v>2022</v>
      </c>
      <c r="B114" s="36">
        <v>2084</v>
      </c>
      <c r="C114" s="49">
        <v>3121999</v>
      </c>
    </row>
    <row r="115" spans="1:3" x14ac:dyDescent="0.2">
      <c r="A115">
        <v>2022</v>
      </c>
      <c r="B115" s="36">
        <v>2085</v>
      </c>
      <c r="C115" s="49">
        <v>1557571</v>
      </c>
    </row>
    <row r="116" spans="1:3" x14ac:dyDescent="0.2">
      <c r="A116">
        <v>2022</v>
      </c>
      <c r="B116" s="36">
        <v>2086</v>
      </c>
      <c r="C116" s="49">
        <v>5131178</v>
      </c>
    </row>
    <row r="117" spans="1:3" x14ac:dyDescent="0.2">
      <c r="A117">
        <v>2022</v>
      </c>
      <c r="B117" s="36">
        <v>2090</v>
      </c>
      <c r="C117" s="49">
        <v>2376655</v>
      </c>
    </row>
    <row r="118" spans="1:3" x14ac:dyDescent="0.2">
      <c r="A118">
        <v>2022</v>
      </c>
      <c r="B118" s="36">
        <v>2095</v>
      </c>
      <c r="C118" s="49">
        <v>2387338</v>
      </c>
    </row>
    <row r="119" spans="1:3" x14ac:dyDescent="0.2">
      <c r="A119">
        <v>2022</v>
      </c>
      <c r="B119" s="36">
        <v>2104</v>
      </c>
      <c r="C119" s="49">
        <v>1315252</v>
      </c>
    </row>
    <row r="120" spans="1:3" x14ac:dyDescent="0.2">
      <c r="A120">
        <v>2022</v>
      </c>
      <c r="B120" s="36">
        <v>2105</v>
      </c>
      <c r="C120" s="49">
        <v>1362529</v>
      </c>
    </row>
    <row r="121" spans="1:3" x14ac:dyDescent="0.2">
      <c r="A121">
        <v>2022</v>
      </c>
      <c r="B121" s="36">
        <v>2110</v>
      </c>
      <c r="C121" s="49">
        <v>3707426</v>
      </c>
    </row>
    <row r="122" spans="1:3" x14ac:dyDescent="0.2">
      <c r="A122">
        <v>2022</v>
      </c>
      <c r="B122" s="36">
        <v>2112</v>
      </c>
      <c r="C122" s="49">
        <v>2519423</v>
      </c>
    </row>
    <row r="123" spans="1:3" x14ac:dyDescent="0.2">
      <c r="A123">
        <v>2022</v>
      </c>
      <c r="B123" s="36">
        <v>2115</v>
      </c>
      <c r="C123" s="49">
        <v>4558814</v>
      </c>
    </row>
    <row r="124" spans="1:3" x14ac:dyDescent="0.2">
      <c r="A124">
        <v>2022</v>
      </c>
      <c r="B124" s="36">
        <v>2120</v>
      </c>
      <c r="C124" s="49">
        <v>8911892</v>
      </c>
    </row>
    <row r="125" spans="1:3" x14ac:dyDescent="0.2">
      <c r="A125">
        <v>2022</v>
      </c>
      <c r="B125" s="36">
        <v>2125</v>
      </c>
      <c r="C125" s="49">
        <v>909437</v>
      </c>
    </row>
    <row r="126" spans="1:3" x14ac:dyDescent="0.2">
      <c r="A126">
        <v>2022</v>
      </c>
      <c r="B126" s="36">
        <v>2130</v>
      </c>
      <c r="C126" s="49">
        <v>1668249</v>
      </c>
    </row>
    <row r="127" spans="1:3" x14ac:dyDescent="0.2">
      <c r="A127">
        <v>2022</v>
      </c>
      <c r="B127" s="36">
        <v>2135</v>
      </c>
      <c r="C127" s="49">
        <v>3273315</v>
      </c>
    </row>
    <row r="128" spans="1:3" x14ac:dyDescent="0.2">
      <c r="A128">
        <v>2022</v>
      </c>
      <c r="B128" s="36">
        <v>2140</v>
      </c>
      <c r="C128" s="49">
        <v>2913882</v>
      </c>
    </row>
    <row r="129" spans="1:3" x14ac:dyDescent="0.2">
      <c r="A129">
        <v>2022</v>
      </c>
      <c r="B129" s="36">
        <v>2145</v>
      </c>
      <c r="C129" s="49">
        <v>3976074</v>
      </c>
    </row>
    <row r="130" spans="1:3" x14ac:dyDescent="0.2">
      <c r="A130">
        <v>2022</v>
      </c>
      <c r="B130" s="36">
        <v>2146</v>
      </c>
      <c r="C130" s="49">
        <v>3930298</v>
      </c>
    </row>
    <row r="131" spans="1:3" x14ac:dyDescent="0.2">
      <c r="A131">
        <v>2022</v>
      </c>
      <c r="B131" s="36">
        <v>2147</v>
      </c>
      <c r="C131" s="49">
        <v>1075407</v>
      </c>
    </row>
    <row r="132" spans="1:3" x14ac:dyDescent="0.2">
      <c r="A132">
        <v>2022</v>
      </c>
      <c r="B132" s="36">
        <v>2148</v>
      </c>
      <c r="C132" s="49">
        <v>2650463</v>
      </c>
    </row>
    <row r="133" spans="1:3" x14ac:dyDescent="0.2">
      <c r="A133">
        <v>2022</v>
      </c>
      <c r="B133" s="36">
        <v>2149</v>
      </c>
      <c r="C133" s="49">
        <v>1652357</v>
      </c>
    </row>
    <row r="134" spans="1:3" x14ac:dyDescent="0.2">
      <c r="A134">
        <v>2022</v>
      </c>
      <c r="B134" s="36">
        <v>2150</v>
      </c>
      <c r="C134" s="49">
        <v>748887</v>
      </c>
    </row>
    <row r="135" spans="1:3" x14ac:dyDescent="0.2">
      <c r="A135">
        <v>2022</v>
      </c>
      <c r="B135" s="36">
        <v>2155</v>
      </c>
      <c r="C135" s="49">
        <v>2636892</v>
      </c>
    </row>
    <row r="136" spans="1:3" x14ac:dyDescent="0.2">
      <c r="A136">
        <v>2022</v>
      </c>
      <c r="B136" s="36">
        <v>2160</v>
      </c>
      <c r="C136" s="49">
        <v>4670559</v>
      </c>
    </row>
    <row r="137" spans="1:3" x14ac:dyDescent="0.2">
      <c r="A137">
        <v>2022</v>
      </c>
      <c r="B137" s="36">
        <v>2165</v>
      </c>
      <c r="C137" s="49">
        <v>1587606</v>
      </c>
    </row>
    <row r="138" spans="1:3" x14ac:dyDescent="0.2">
      <c r="A138">
        <v>2022</v>
      </c>
      <c r="B138" s="36">
        <v>2170</v>
      </c>
      <c r="C138" s="49">
        <v>6949658</v>
      </c>
    </row>
    <row r="139" spans="1:3" x14ac:dyDescent="0.2">
      <c r="A139">
        <v>2022</v>
      </c>
      <c r="B139" s="36">
        <v>2175</v>
      </c>
      <c r="C139" s="49">
        <v>664661</v>
      </c>
    </row>
    <row r="140" spans="1:3" x14ac:dyDescent="0.2">
      <c r="A140">
        <v>2022</v>
      </c>
      <c r="B140" s="36">
        <v>2180</v>
      </c>
      <c r="C140" s="49">
        <v>1333997</v>
      </c>
    </row>
    <row r="141" spans="1:3" x14ac:dyDescent="0.2">
      <c r="A141">
        <v>2022</v>
      </c>
      <c r="B141" s="36">
        <v>2185</v>
      </c>
      <c r="C141" s="49">
        <v>7526201</v>
      </c>
    </row>
    <row r="142" spans="1:3" x14ac:dyDescent="0.2">
      <c r="A142">
        <v>2022</v>
      </c>
      <c r="B142" s="36">
        <v>2187</v>
      </c>
      <c r="C142" s="49">
        <v>3845636</v>
      </c>
    </row>
    <row r="143" spans="1:3" x14ac:dyDescent="0.2">
      <c r="A143">
        <v>2022</v>
      </c>
      <c r="B143" s="36">
        <v>2190</v>
      </c>
      <c r="C143" s="49">
        <v>4741086</v>
      </c>
    </row>
    <row r="144" spans="1:3" x14ac:dyDescent="0.2">
      <c r="A144">
        <v>2022</v>
      </c>
      <c r="B144" s="36">
        <v>2191</v>
      </c>
      <c r="C144" s="49">
        <v>3427011</v>
      </c>
    </row>
    <row r="145" spans="1:3" x14ac:dyDescent="0.2">
      <c r="A145">
        <v>2022</v>
      </c>
      <c r="B145" s="36">
        <v>2195</v>
      </c>
      <c r="C145" s="49">
        <v>1016368</v>
      </c>
    </row>
    <row r="146" spans="1:3" x14ac:dyDescent="0.2">
      <c r="A146">
        <v>2022</v>
      </c>
      <c r="B146" s="36">
        <v>2196</v>
      </c>
      <c r="C146" s="49">
        <v>1202368</v>
      </c>
    </row>
    <row r="147" spans="1:3" x14ac:dyDescent="0.2">
      <c r="A147">
        <v>2022</v>
      </c>
      <c r="B147" s="36">
        <v>2198</v>
      </c>
      <c r="C147" s="49">
        <v>2489273</v>
      </c>
    </row>
    <row r="148" spans="1:3" x14ac:dyDescent="0.2">
      <c r="A148">
        <v>2022</v>
      </c>
      <c r="B148" s="36">
        <v>2200</v>
      </c>
      <c r="C148" s="49">
        <v>10369333</v>
      </c>
    </row>
    <row r="149" spans="1:3" x14ac:dyDescent="0.2">
      <c r="A149">
        <v>2022</v>
      </c>
      <c r="B149" s="36">
        <v>2204</v>
      </c>
      <c r="C149" s="49">
        <v>9079952</v>
      </c>
    </row>
    <row r="150" spans="1:3" x14ac:dyDescent="0.2">
      <c r="A150">
        <v>2022</v>
      </c>
      <c r="B150" s="36">
        <v>2205</v>
      </c>
      <c r="C150" s="49">
        <v>317460</v>
      </c>
    </row>
    <row r="151" spans="1:3" x14ac:dyDescent="0.2">
      <c r="A151">
        <v>2022</v>
      </c>
      <c r="B151" s="36">
        <v>2206</v>
      </c>
      <c r="C151" s="49">
        <v>1464213</v>
      </c>
    </row>
    <row r="152" spans="1:3" x14ac:dyDescent="0.2">
      <c r="A152">
        <v>2022</v>
      </c>
      <c r="B152" s="36">
        <v>2207</v>
      </c>
      <c r="C152" s="49">
        <v>2475385</v>
      </c>
    </row>
    <row r="153" spans="1:3" x14ac:dyDescent="0.2">
      <c r="A153">
        <v>2022</v>
      </c>
      <c r="B153" s="36">
        <v>2208</v>
      </c>
      <c r="C153" s="49">
        <v>4559380</v>
      </c>
    </row>
    <row r="154" spans="1:3" x14ac:dyDescent="0.2">
      <c r="A154">
        <v>2022</v>
      </c>
      <c r="B154" s="36">
        <v>2209</v>
      </c>
      <c r="C154" s="49">
        <v>10415509</v>
      </c>
    </row>
    <row r="155" spans="1:3" x14ac:dyDescent="0.2">
      <c r="A155">
        <v>2022</v>
      </c>
      <c r="B155" s="36">
        <v>2210</v>
      </c>
      <c r="C155" s="49">
        <v>2948127</v>
      </c>
    </row>
    <row r="156" spans="1:3" x14ac:dyDescent="0.2">
      <c r="A156">
        <v>2022</v>
      </c>
      <c r="B156" s="36">
        <v>2212</v>
      </c>
      <c r="C156" s="49">
        <v>3541743</v>
      </c>
    </row>
    <row r="157" spans="1:3" x14ac:dyDescent="0.2">
      <c r="A157">
        <v>2022</v>
      </c>
      <c r="B157" s="36">
        <v>2215</v>
      </c>
      <c r="C157" s="49">
        <v>5555709</v>
      </c>
    </row>
    <row r="158" spans="1:3" x14ac:dyDescent="0.2">
      <c r="A158">
        <v>2022</v>
      </c>
      <c r="B158" s="36">
        <v>2220</v>
      </c>
      <c r="C158" s="49">
        <v>2304067</v>
      </c>
    </row>
    <row r="159" spans="1:3" x14ac:dyDescent="0.2">
      <c r="A159">
        <v>2022</v>
      </c>
      <c r="B159" s="36">
        <v>2224</v>
      </c>
      <c r="C159" s="49">
        <v>4766471</v>
      </c>
    </row>
    <row r="160" spans="1:3" x14ac:dyDescent="0.2">
      <c r="A160">
        <v>2022</v>
      </c>
      <c r="B160" s="36">
        <v>2225</v>
      </c>
      <c r="C160" s="49">
        <v>9181324</v>
      </c>
    </row>
    <row r="161" spans="1:3" x14ac:dyDescent="0.2">
      <c r="A161">
        <v>2022</v>
      </c>
      <c r="B161" s="36">
        <v>2230</v>
      </c>
      <c r="C161" s="49">
        <v>6302427</v>
      </c>
    </row>
    <row r="162" spans="1:3" x14ac:dyDescent="0.2">
      <c r="A162">
        <v>2022</v>
      </c>
      <c r="B162" s="36">
        <v>2231</v>
      </c>
      <c r="C162" s="49">
        <v>3351280</v>
      </c>
    </row>
    <row r="163" spans="1:3" x14ac:dyDescent="0.2">
      <c r="A163">
        <v>2022</v>
      </c>
      <c r="B163" s="36">
        <v>2235</v>
      </c>
      <c r="C163" s="49">
        <v>796939</v>
      </c>
    </row>
    <row r="164" spans="1:3" x14ac:dyDescent="0.2">
      <c r="A164">
        <v>2022</v>
      </c>
      <c r="B164" s="36">
        <v>2239</v>
      </c>
      <c r="C164" s="49">
        <v>3162903</v>
      </c>
    </row>
    <row r="165" spans="1:3" x14ac:dyDescent="0.2">
      <c r="A165">
        <v>2022</v>
      </c>
      <c r="B165" s="36">
        <v>2240</v>
      </c>
      <c r="C165" s="49">
        <v>6409961</v>
      </c>
    </row>
    <row r="166" spans="1:3" x14ac:dyDescent="0.2">
      <c r="A166">
        <v>2022</v>
      </c>
      <c r="B166" s="36">
        <v>2241</v>
      </c>
      <c r="C166" s="49">
        <v>1027549</v>
      </c>
    </row>
    <row r="167" spans="1:3" x14ac:dyDescent="0.2">
      <c r="A167">
        <v>2022</v>
      </c>
      <c r="B167" s="36">
        <v>2242</v>
      </c>
      <c r="C167" s="49">
        <v>1653869</v>
      </c>
    </row>
    <row r="168" spans="1:3" x14ac:dyDescent="0.2">
      <c r="A168">
        <v>2022</v>
      </c>
      <c r="B168" s="36">
        <v>2243</v>
      </c>
      <c r="C168" s="49">
        <v>1706921</v>
      </c>
    </row>
    <row r="169" spans="1:3" x14ac:dyDescent="0.2">
      <c r="A169">
        <v>2022</v>
      </c>
      <c r="B169" s="36">
        <v>2244</v>
      </c>
      <c r="C169" s="49">
        <v>1051978</v>
      </c>
    </row>
    <row r="170" spans="1:3" x14ac:dyDescent="0.2">
      <c r="A170">
        <v>2022</v>
      </c>
      <c r="B170" s="36">
        <v>2245</v>
      </c>
      <c r="C170" s="49">
        <v>2726233</v>
      </c>
    </row>
    <row r="171" spans="1:3" x14ac:dyDescent="0.2">
      <c r="A171">
        <v>2022</v>
      </c>
      <c r="B171" s="36">
        <v>2250</v>
      </c>
      <c r="C171" s="49">
        <v>1632082</v>
      </c>
    </row>
    <row r="172" spans="1:3" x14ac:dyDescent="0.2">
      <c r="A172">
        <v>2022</v>
      </c>
      <c r="B172" s="36">
        <v>2255</v>
      </c>
      <c r="C172" s="49">
        <v>4884355</v>
      </c>
    </row>
    <row r="173" spans="1:3" x14ac:dyDescent="0.2">
      <c r="A173">
        <v>2022</v>
      </c>
      <c r="B173" s="36">
        <v>2260</v>
      </c>
      <c r="C173" s="49">
        <v>3387152</v>
      </c>
    </row>
    <row r="174" spans="1:3" x14ac:dyDescent="0.2">
      <c r="A174">
        <v>2022</v>
      </c>
      <c r="B174" s="36">
        <v>2266</v>
      </c>
      <c r="C174" s="49">
        <v>2722438</v>
      </c>
    </row>
    <row r="175" spans="1:3" x14ac:dyDescent="0.2">
      <c r="A175">
        <v>2022</v>
      </c>
      <c r="B175" s="36">
        <v>2268</v>
      </c>
      <c r="C175" s="49">
        <v>1440137</v>
      </c>
    </row>
    <row r="176" spans="1:3" x14ac:dyDescent="0.2">
      <c r="A176">
        <v>2022</v>
      </c>
      <c r="B176" s="36">
        <v>2270</v>
      </c>
      <c r="C176" s="49">
        <v>2801860</v>
      </c>
    </row>
    <row r="177" spans="1:3" x14ac:dyDescent="0.2">
      <c r="A177">
        <v>2022</v>
      </c>
      <c r="B177" s="36">
        <v>2271</v>
      </c>
      <c r="C177" s="49">
        <v>1900145</v>
      </c>
    </row>
    <row r="178" spans="1:3" x14ac:dyDescent="0.2">
      <c r="A178">
        <v>2022</v>
      </c>
      <c r="B178" s="36">
        <v>2272</v>
      </c>
      <c r="C178" s="49">
        <v>2814982</v>
      </c>
    </row>
    <row r="179" spans="1:3" x14ac:dyDescent="0.2">
      <c r="A179">
        <v>2022</v>
      </c>
      <c r="B179" s="36">
        <v>2275</v>
      </c>
      <c r="C179" s="49">
        <v>5288647</v>
      </c>
    </row>
    <row r="180" spans="1:3" x14ac:dyDescent="0.2">
      <c r="A180">
        <v>2022</v>
      </c>
      <c r="B180" s="36">
        <v>2280</v>
      </c>
      <c r="C180" s="49">
        <v>1718598</v>
      </c>
    </row>
    <row r="181" spans="1:3" x14ac:dyDescent="0.2">
      <c r="A181">
        <v>2022</v>
      </c>
      <c r="B181" s="36">
        <v>2281</v>
      </c>
      <c r="C181" s="49">
        <v>1108473</v>
      </c>
    </row>
    <row r="182" spans="1:3" x14ac:dyDescent="0.2">
      <c r="A182">
        <v>2022</v>
      </c>
      <c r="B182" s="36">
        <v>2282</v>
      </c>
      <c r="C182" s="49">
        <v>4394848</v>
      </c>
    </row>
    <row r="183" spans="1:3" x14ac:dyDescent="0.2">
      <c r="A183">
        <v>2022</v>
      </c>
      <c r="B183" s="36">
        <v>2285</v>
      </c>
      <c r="C183" s="49">
        <v>6940498</v>
      </c>
    </row>
    <row r="184" spans="1:3" x14ac:dyDescent="0.2">
      <c r="A184">
        <v>2022</v>
      </c>
      <c r="B184" s="36">
        <v>2286</v>
      </c>
      <c r="C184" s="49">
        <v>3478359</v>
      </c>
    </row>
    <row r="185" spans="1:3" x14ac:dyDescent="0.2">
      <c r="A185">
        <v>2022</v>
      </c>
      <c r="B185" s="36">
        <v>2288</v>
      </c>
      <c r="C185" s="49">
        <v>2038219</v>
      </c>
    </row>
    <row r="186" spans="1:3" x14ac:dyDescent="0.2">
      <c r="A186">
        <v>2022</v>
      </c>
      <c r="B186" s="36">
        <v>2289</v>
      </c>
      <c r="C186" s="49">
        <v>7093690</v>
      </c>
    </row>
    <row r="187" spans="1:3" x14ac:dyDescent="0.2">
      <c r="A187">
        <v>2022</v>
      </c>
      <c r="B187" s="36">
        <v>2290</v>
      </c>
      <c r="C187" s="49">
        <v>3989743</v>
      </c>
    </row>
    <row r="188" spans="1:3" x14ac:dyDescent="0.2">
      <c r="A188">
        <v>2022</v>
      </c>
      <c r="B188" s="36">
        <v>2295</v>
      </c>
      <c r="C188" s="49">
        <v>2037379</v>
      </c>
    </row>
    <row r="189" spans="1:3" x14ac:dyDescent="0.2">
      <c r="A189">
        <v>2022</v>
      </c>
      <c r="B189" s="36">
        <v>2300</v>
      </c>
      <c r="C189" s="49">
        <v>3064651</v>
      </c>
    </row>
    <row r="190" spans="1:3" x14ac:dyDescent="0.2">
      <c r="A190">
        <v>2022</v>
      </c>
      <c r="B190" s="36">
        <v>2305</v>
      </c>
      <c r="C190" s="49">
        <v>946424</v>
      </c>
    </row>
    <row r="191" spans="1:3" x14ac:dyDescent="0.2">
      <c r="A191">
        <v>2022</v>
      </c>
      <c r="B191" s="36">
        <v>2310</v>
      </c>
      <c r="C191" s="49">
        <v>9102219</v>
      </c>
    </row>
    <row r="192" spans="1:3" x14ac:dyDescent="0.2">
      <c r="A192">
        <v>2022</v>
      </c>
      <c r="B192" s="36">
        <v>2315</v>
      </c>
      <c r="C192" s="49">
        <v>1738457</v>
      </c>
    </row>
    <row r="193" spans="1:3" x14ac:dyDescent="0.2">
      <c r="A193">
        <v>2022</v>
      </c>
      <c r="B193" s="36">
        <v>2317</v>
      </c>
      <c r="C193" s="49">
        <v>1655300</v>
      </c>
    </row>
    <row r="194" spans="1:3" x14ac:dyDescent="0.2">
      <c r="A194">
        <v>2022</v>
      </c>
      <c r="B194" s="36">
        <v>2320</v>
      </c>
      <c r="C194" s="49">
        <v>6897399</v>
      </c>
    </row>
    <row r="195" spans="1:3" x14ac:dyDescent="0.2">
      <c r="A195">
        <v>2022</v>
      </c>
      <c r="B195" s="36">
        <v>2325</v>
      </c>
      <c r="C195" s="49">
        <v>6202196</v>
      </c>
    </row>
    <row r="196" spans="1:3" x14ac:dyDescent="0.2">
      <c r="A196">
        <v>2022</v>
      </c>
      <c r="B196" s="36">
        <v>2328</v>
      </c>
      <c r="C196" s="49">
        <v>1170781</v>
      </c>
    </row>
    <row r="197" spans="1:3" x14ac:dyDescent="0.2">
      <c r="A197">
        <v>2022</v>
      </c>
      <c r="B197" s="36">
        <v>2330</v>
      </c>
      <c r="C197" s="49">
        <v>3516218</v>
      </c>
    </row>
    <row r="198" spans="1:3" x14ac:dyDescent="0.2">
      <c r="A198">
        <v>2022</v>
      </c>
      <c r="B198" s="36">
        <v>2335</v>
      </c>
      <c r="C198" s="49">
        <v>4017706</v>
      </c>
    </row>
    <row r="199" spans="1:3" x14ac:dyDescent="0.2">
      <c r="A199">
        <v>2022</v>
      </c>
      <c r="B199" s="36">
        <v>2338</v>
      </c>
      <c r="C199" s="49">
        <v>5529865</v>
      </c>
    </row>
    <row r="200" spans="1:3" x14ac:dyDescent="0.2">
      <c r="A200">
        <v>2022</v>
      </c>
      <c r="B200" s="36">
        <v>2339</v>
      </c>
      <c r="C200" s="49">
        <v>1562436</v>
      </c>
    </row>
    <row r="201" spans="1:3" x14ac:dyDescent="0.2">
      <c r="A201">
        <v>2022</v>
      </c>
      <c r="B201" s="36">
        <v>2340</v>
      </c>
      <c r="C201" s="49">
        <v>1998239</v>
      </c>
    </row>
    <row r="202" spans="1:3" x14ac:dyDescent="0.2">
      <c r="A202">
        <v>2022</v>
      </c>
      <c r="B202" s="36">
        <v>2345</v>
      </c>
      <c r="C202" s="49">
        <v>2365547</v>
      </c>
    </row>
    <row r="203" spans="1:3" x14ac:dyDescent="0.2">
      <c r="A203">
        <v>2022</v>
      </c>
      <c r="B203" s="36">
        <v>2350</v>
      </c>
      <c r="C203" s="49">
        <v>6288040</v>
      </c>
    </row>
    <row r="204" spans="1:3" x14ac:dyDescent="0.2">
      <c r="A204">
        <v>2022</v>
      </c>
      <c r="B204" s="36">
        <v>2355</v>
      </c>
      <c r="C204" s="49">
        <v>4344046</v>
      </c>
    </row>
    <row r="205" spans="1:3" x14ac:dyDescent="0.2">
      <c r="A205">
        <v>2022</v>
      </c>
      <c r="B205" s="36">
        <v>2360</v>
      </c>
      <c r="C205" s="49">
        <v>3316931</v>
      </c>
    </row>
    <row r="206" spans="1:3" x14ac:dyDescent="0.2">
      <c r="A206">
        <v>2022</v>
      </c>
      <c r="B206" s="36">
        <v>2361</v>
      </c>
      <c r="C206" s="49">
        <v>1419390</v>
      </c>
    </row>
    <row r="207" spans="1:3" x14ac:dyDescent="0.2">
      <c r="A207">
        <v>2022</v>
      </c>
      <c r="B207" s="36">
        <v>2362</v>
      </c>
      <c r="C207" s="49">
        <v>1717895</v>
      </c>
    </row>
    <row r="208" spans="1:3" x14ac:dyDescent="0.2">
      <c r="A208">
        <v>2022</v>
      </c>
      <c r="B208" s="36">
        <v>2363</v>
      </c>
      <c r="C208" s="49">
        <v>1003617</v>
      </c>
    </row>
    <row r="209" spans="1:3" x14ac:dyDescent="0.2">
      <c r="A209">
        <v>2022</v>
      </c>
      <c r="B209" s="36">
        <v>2364</v>
      </c>
      <c r="C209" s="49">
        <v>2152955</v>
      </c>
    </row>
    <row r="210" spans="1:3" x14ac:dyDescent="0.2">
      <c r="A210">
        <v>2022</v>
      </c>
      <c r="B210" s="36">
        <v>2365</v>
      </c>
      <c r="C210" s="49">
        <v>9408368</v>
      </c>
    </row>
    <row r="211" spans="1:3" x14ac:dyDescent="0.2">
      <c r="A211">
        <v>2022</v>
      </c>
      <c r="B211" s="36">
        <v>2370</v>
      </c>
      <c r="C211" s="49">
        <v>1728396</v>
      </c>
    </row>
    <row r="212" spans="1:3" x14ac:dyDescent="0.2">
      <c r="A212">
        <v>2022</v>
      </c>
      <c r="B212" s="36">
        <v>2375</v>
      </c>
      <c r="C212" s="49">
        <v>1289826</v>
      </c>
    </row>
    <row r="213" spans="1:3" x14ac:dyDescent="0.2">
      <c r="A213">
        <v>2022</v>
      </c>
      <c r="B213" s="36">
        <v>2377</v>
      </c>
      <c r="C213" s="49">
        <v>1832908</v>
      </c>
    </row>
    <row r="214" spans="1:3" x14ac:dyDescent="0.2">
      <c r="A214">
        <v>2022</v>
      </c>
      <c r="B214" s="36">
        <v>2378</v>
      </c>
      <c r="C214" s="49">
        <v>10304871</v>
      </c>
    </row>
    <row r="215" spans="1:3" x14ac:dyDescent="0.2">
      <c r="A215">
        <v>2022</v>
      </c>
      <c r="B215" s="36">
        <v>2379</v>
      </c>
      <c r="C215" s="49">
        <v>10575423</v>
      </c>
    </row>
    <row r="216" spans="1:3" x14ac:dyDescent="0.2">
      <c r="A216">
        <v>2022</v>
      </c>
      <c r="B216" s="36">
        <v>2380</v>
      </c>
      <c r="C216" s="49">
        <v>3858933</v>
      </c>
    </row>
    <row r="217" spans="1:3" x14ac:dyDescent="0.2">
      <c r="A217">
        <v>2022</v>
      </c>
      <c r="B217" s="36">
        <v>2381</v>
      </c>
      <c r="C217" s="49">
        <v>2160683</v>
      </c>
    </row>
    <row r="218" spans="1:3" x14ac:dyDescent="0.2">
      <c r="A218">
        <v>2022</v>
      </c>
      <c r="B218" s="36">
        <v>2383</v>
      </c>
      <c r="C218" s="49">
        <v>7535807</v>
      </c>
    </row>
    <row r="219" spans="1:3" x14ac:dyDescent="0.2">
      <c r="A219">
        <v>2022</v>
      </c>
      <c r="B219" s="36">
        <v>2384</v>
      </c>
      <c r="C219" s="49">
        <v>4552860</v>
      </c>
    </row>
    <row r="220" spans="1:3" x14ac:dyDescent="0.2">
      <c r="A220">
        <v>2022</v>
      </c>
      <c r="B220" s="36">
        <v>2385</v>
      </c>
      <c r="C220" s="49">
        <v>3037451</v>
      </c>
    </row>
    <row r="221" spans="1:3" x14ac:dyDescent="0.2">
      <c r="A221">
        <v>2022</v>
      </c>
      <c r="B221" s="36">
        <v>2389</v>
      </c>
      <c r="C221" s="49">
        <v>2742220</v>
      </c>
    </row>
    <row r="222" spans="1:3" x14ac:dyDescent="0.2">
      <c r="A222">
        <v>2022</v>
      </c>
      <c r="B222" s="36">
        <v>2390</v>
      </c>
      <c r="C222" s="49">
        <v>5571028</v>
      </c>
    </row>
    <row r="223" spans="1:3" x14ac:dyDescent="0.2">
      <c r="A223">
        <v>2022</v>
      </c>
      <c r="B223" s="36">
        <v>2391</v>
      </c>
      <c r="C223" s="49">
        <v>2886751</v>
      </c>
    </row>
    <row r="224" spans="1:3" x14ac:dyDescent="0.2">
      <c r="A224">
        <v>2022</v>
      </c>
      <c r="B224" s="36">
        <v>2394</v>
      </c>
      <c r="C224" s="49">
        <v>1957966</v>
      </c>
    </row>
    <row r="225" spans="1:3" x14ac:dyDescent="0.2">
      <c r="A225">
        <v>2022</v>
      </c>
      <c r="B225" s="36">
        <v>2395</v>
      </c>
      <c r="C225" s="49">
        <v>1621283</v>
      </c>
    </row>
    <row r="226" spans="1:3" x14ac:dyDescent="0.2">
      <c r="A226">
        <v>2022</v>
      </c>
      <c r="B226" s="36">
        <v>2396</v>
      </c>
      <c r="C226" s="49">
        <v>1145783</v>
      </c>
    </row>
    <row r="227" spans="1:3" x14ac:dyDescent="0.2">
      <c r="A227">
        <v>2022</v>
      </c>
      <c r="B227" s="36">
        <v>2400</v>
      </c>
      <c r="C227" s="49">
        <v>10253875</v>
      </c>
    </row>
    <row r="228" spans="1:3" x14ac:dyDescent="0.2">
      <c r="A228">
        <v>2022</v>
      </c>
      <c r="B228" s="36">
        <v>2401</v>
      </c>
      <c r="C228" s="49">
        <v>2379404</v>
      </c>
    </row>
    <row r="229" spans="1:3" x14ac:dyDescent="0.2">
      <c r="A229">
        <v>2022</v>
      </c>
      <c r="B229" s="36">
        <v>2402</v>
      </c>
      <c r="C229" s="49">
        <v>5608678</v>
      </c>
    </row>
    <row r="230" spans="1:3" x14ac:dyDescent="0.2">
      <c r="A230">
        <v>2022</v>
      </c>
      <c r="B230" s="36">
        <v>2403</v>
      </c>
      <c r="C230" s="49">
        <v>2826605</v>
      </c>
    </row>
    <row r="231" spans="1:3" x14ac:dyDescent="0.2">
      <c r="A231">
        <v>2022</v>
      </c>
      <c r="B231" s="36">
        <v>2405</v>
      </c>
      <c r="C231" s="49">
        <v>3487347</v>
      </c>
    </row>
    <row r="232" spans="1:3" x14ac:dyDescent="0.2">
      <c r="A232">
        <v>2022</v>
      </c>
      <c r="B232" s="36">
        <v>2406</v>
      </c>
      <c r="C232" s="49">
        <v>4707097</v>
      </c>
    </row>
    <row r="233" spans="1:3" x14ac:dyDescent="0.2">
      <c r="A233">
        <v>2022</v>
      </c>
      <c r="B233" s="36">
        <v>2408</v>
      </c>
      <c r="C233" s="49">
        <v>5378708</v>
      </c>
    </row>
    <row r="234" spans="1:3" x14ac:dyDescent="0.2">
      <c r="A234">
        <v>2022</v>
      </c>
      <c r="B234" s="36">
        <v>2409</v>
      </c>
      <c r="C234" s="49">
        <v>937962</v>
      </c>
    </row>
    <row r="235" spans="1:3" x14ac:dyDescent="0.2">
      <c r="A235">
        <v>2022</v>
      </c>
      <c r="B235" s="36">
        <v>2410</v>
      </c>
      <c r="C235" s="49">
        <v>6864879</v>
      </c>
    </row>
    <row r="236" spans="1:3" x14ac:dyDescent="0.2">
      <c r="A236">
        <v>2022</v>
      </c>
      <c r="B236" s="36">
        <v>2415</v>
      </c>
      <c r="C236" s="49">
        <v>6876653</v>
      </c>
    </row>
    <row r="237" spans="1:3" x14ac:dyDescent="0.2">
      <c r="A237">
        <v>2022</v>
      </c>
      <c r="B237" s="36">
        <v>2420</v>
      </c>
      <c r="C237" s="49">
        <v>3790041</v>
      </c>
    </row>
    <row r="238" spans="1:3" x14ac:dyDescent="0.2">
      <c r="A238">
        <v>2022</v>
      </c>
      <c r="B238" s="36">
        <v>2425</v>
      </c>
      <c r="C238" s="49">
        <v>6609568</v>
      </c>
    </row>
    <row r="239" spans="1:3" x14ac:dyDescent="0.2">
      <c r="A239">
        <v>2022</v>
      </c>
      <c r="B239" s="36">
        <v>2426</v>
      </c>
      <c r="C239" s="49">
        <v>1861633</v>
      </c>
    </row>
    <row r="240" spans="1:3" x14ac:dyDescent="0.2">
      <c r="A240">
        <v>2022</v>
      </c>
      <c r="B240" s="36">
        <v>2428</v>
      </c>
      <c r="C240" s="49">
        <v>4147215</v>
      </c>
    </row>
    <row r="241" spans="1:3" x14ac:dyDescent="0.2">
      <c r="A241">
        <v>2022</v>
      </c>
      <c r="B241" s="36">
        <v>2430</v>
      </c>
      <c r="C241" s="49">
        <v>5930166</v>
      </c>
    </row>
    <row r="242" spans="1:3" x14ac:dyDescent="0.2">
      <c r="A242">
        <v>2022</v>
      </c>
      <c r="B242" s="36">
        <v>2435</v>
      </c>
      <c r="C242" s="49">
        <v>1504213</v>
      </c>
    </row>
    <row r="243" spans="1:3" x14ac:dyDescent="0.2">
      <c r="A243">
        <v>2022</v>
      </c>
      <c r="B243" s="36">
        <v>2440</v>
      </c>
      <c r="C243" s="49">
        <v>2536565</v>
      </c>
    </row>
    <row r="244" spans="1:3" x14ac:dyDescent="0.2">
      <c r="A244">
        <v>2022</v>
      </c>
      <c r="B244" s="36">
        <v>2441</v>
      </c>
      <c r="C244" s="49">
        <v>1523963</v>
      </c>
    </row>
    <row r="245" spans="1:3" x14ac:dyDescent="0.2">
      <c r="A245">
        <v>2022</v>
      </c>
      <c r="B245" s="36">
        <v>2445</v>
      </c>
      <c r="C245" s="49">
        <v>8048361</v>
      </c>
    </row>
    <row r="246" spans="1:3" x14ac:dyDescent="0.2">
      <c r="A246">
        <v>2022</v>
      </c>
      <c r="B246" s="36">
        <v>2450</v>
      </c>
      <c r="C246" s="49">
        <v>3106791</v>
      </c>
    </row>
    <row r="247" spans="1:3" x14ac:dyDescent="0.2">
      <c r="A247">
        <v>2022</v>
      </c>
      <c r="B247" s="36">
        <v>2455</v>
      </c>
      <c r="C247" s="49">
        <v>3591920</v>
      </c>
    </row>
    <row r="248" spans="1:3" x14ac:dyDescent="0.2">
      <c r="A248">
        <v>2022</v>
      </c>
      <c r="B248" s="36">
        <v>2458</v>
      </c>
      <c r="C248" s="49">
        <v>3457750</v>
      </c>
    </row>
    <row r="249" spans="1:3" x14ac:dyDescent="0.2">
      <c r="A249">
        <v>2022</v>
      </c>
      <c r="B249" s="36">
        <v>2460</v>
      </c>
      <c r="C249" s="49">
        <v>1283968</v>
      </c>
    </row>
    <row r="250" spans="1:3" x14ac:dyDescent="0.2">
      <c r="A250">
        <v>2022</v>
      </c>
      <c r="B250" s="36">
        <v>2464</v>
      </c>
      <c r="C250" s="49">
        <v>1204447</v>
      </c>
    </row>
    <row r="251" spans="1:3" x14ac:dyDescent="0.2">
      <c r="A251">
        <v>2022</v>
      </c>
      <c r="B251" s="36">
        <v>2465</v>
      </c>
      <c r="C251" s="49">
        <v>601378</v>
      </c>
    </row>
    <row r="252" spans="1:3" x14ac:dyDescent="0.2">
      <c r="A252">
        <v>2022</v>
      </c>
      <c r="B252" s="36">
        <v>2466</v>
      </c>
      <c r="C252" s="49">
        <v>1571062</v>
      </c>
    </row>
    <row r="253" spans="1:3" x14ac:dyDescent="0.2">
      <c r="A253">
        <v>2022</v>
      </c>
      <c r="B253" s="36">
        <v>2467</v>
      </c>
      <c r="C253" s="49">
        <v>1993167</v>
      </c>
    </row>
    <row r="254" spans="1:3" x14ac:dyDescent="0.2">
      <c r="A254">
        <v>2022</v>
      </c>
      <c r="B254" s="36">
        <v>2468</v>
      </c>
      <c r="C254" s="49">
        <v>1597028</v>
      </c>
    </row>
    <row r="255" spans="1:3" x14ac:dyDescent="0.2">
      <c r="A255">
        <v>2022</v>
      </c>
      <c r="B255" s="36">
        <v>2469</v>
      </c>
      <c r="C255" s="49">
        <v>4862474</v>
      </c>
    </row>
    <row r="256" spans="1:3" x14ac:dyDescent="0.2">
      <c r="A256">
        <v>2022</v>
      </c>
      <c r="B256" s="36">
        <v>2470</v>
      </c>
      <c r="C256" s="49">
        <v>4030152</v>
      </c>
    </row>
    <row r="257" spans="1:3" x14ac:dyDescent="0.2">
      <c r="A257">
        <v>2022</v>
      </c>
      <c r="B257" s="36">
        <v>2471</v>
      </c>
      <c r="C257" s="49">
        <v>4399932</v>
      </c>
    </row>
    <row r="258" spans="1:3" x14ac:dyDescent="0.2">
      <c r="A258">
        <v>2022</v>
      </c>
      <c r="B258" s="36">
        <v>2475</v>
      </c>
      <c r="C258" s="49">
        <v>6847247</v>
      </c>
    </row>
    <row r="259" spans="1:3" x14ac:dyDescent="0.2">
      <c r="A259">
        <v>2022</v>
      </c>
      <c r="B259" s="36">
        <v>2480</v>
      </c>
      <c r="C259" s="49">
        <v>2091855</v>
      </c>
    </row>
    <row r="260" spans="1:3" x14ac:dyDescent="0.2">
      <c r="A260">
        <v>2022</v>
      </c>
      <c r="B260" s="36">
        <v>2485</v>
      </c>
      <c r="C260" s="49">
        <v>5097794</v>
      </c>
    </row>
    <row r="261" spans="1:3" x14ac:dyDescent="0.2">
      <c r="A261">
        <v>2022</v>
      </c>
      <c r="B261" s="36">
        <v>2490</v>
      </c>
      <c r="C261" s="49">
        <v>6825316</v>
      </c>
    </row>
    <row r="262" spans="1:3" x14ac:dyDescent="0.2">
      <c r="A262">
        <v>2022</v>
      </c>
      <c r="B262" s="36">
        <v>2495</v>
      </c>
      <c r="C262" s="49">
        <v>952396</v>
      </c>
    </row>
    <row r="263" spans="1:3" x14ac:dyDescent="0.2">
      <c r="A263">
        <v>2022</v>
      </c>
      <c r="B263" s="36">
        <v>2497</v>
      </c>
      <c r="C263" s="49">
        <v>2200544</v>
      </c>
    </row>
    <row r="264" spans="1:3" x14ac:dyDescent="0.2">
      <c r="A264">
        <v>2022</v>
      </c>
      <c r="B264" s="36">
        <v>2498</v>
      </c>
      <c r="C264" s="49">
        <v>1919521</v>
      </c>
    </row>
    <row r="265" spans="1:3" x14ac:dyDescent="0.2">
      <c r="A265">
        <v>2022</v>
      </c>
      <c r="B265" s="36">
        <v>2500</v>
      </c>
      <c r="C265" s="49">
        <v>5669066</v>
      </c>
    </row>
    <row r="266" spans="1:3" x14ac:dyDescent="0.2">
      <c r="A266">
        <v>2022</v>
      </c>
      <c r="B266" s="36">
        <v>2504</v>
      </c>
      <c r="C266" s="49">
        <v>3548801</v>
      </c>
    </row>
    <row r="267" spans="1:3" x14ac:dyDescent="0.2">
      <c r="A267">
        <v>2022</v>
      </c>
      <c r="B267" s="36">
        <v>2505</v>
      </c>
      <c r="C267" s="49">
        <v>4588407</v>
      </c>
    </row>
    <row r="268" spans="1:3" x14ac:dyDescent="0.2">
      <c r="A268">
        <v>2022</v>
      </c>
      <c r="B268" s="36">
        <v>2507</v>
      </c>
      <c r="C268" s="49">
        <v>932468</v>
      </c>
    </row>
    <row r="269" spans="1:3" x14ac:dyDescent="0.2">
      <c r="A269">
        <v>2022</v>
      </c>
      <c r="B269" s="36">
        <v>2508</v>
      </c>
      <c r="C269" s="49">
        <v>2400166</v>
      </c>
    </row>
    <row r="270" spans="1:3" x14ac:dyDescent="0.2">
      <c r="A270">
        <v>2022</v>
      </c>
      <c r="B270" s="36">
        <v>2509</v>
      </c>
      <c r="C270" s="49">
        <v>4450355</v>
      </c>
    </row>
    <row r="271" spans="1:3" x14ac:dyDescent="0.2">
      <c r="A271">
        <v>2022</v>
      </c>
      <c r="B271" s="36">
        <v>2510</v>
      </c>
      <c r="C271" s="49">
        <v>1922116</v>
      </c>
    </row>
    <row r="272" spans="1:3" x14ac:dyDescent="0.2">
      <c r="A272">
        <v>2022</v>
      </c>
      <c r="B272" s="36">
        <v>2512</v>
      </c>
      <c r="C272" s="49">
        <v>13240586</v>
      </c>
    </row>
    <row r="273" spans="1:3" x14ac:dyDescent="0.2">
      <c r="A273">
        <v>2022</v>
      </c>
      <c r="B273" s="36">
        <v>2514</v>
      </c>
      <c r="C273" s="49">
        <v>1276704</v>
      </c>
    </row>
    <row r="274" spans="1:3" x14ac:dyDescent="0.2">
      <c r="A274">
        <v>2022</v>
      </c>
      <c r="B274" s="36">
        <v>2515</v>
      </c>
      <c r="C274" s="49">
        <v>1107364</v>
      </c>
    </row>
    <row r="275" spans="1:3" x14ac:dyDescent="0.2">
      <c r="A275">
        <v>2022</v>
      </c>
      <c r="B275" s="36">
        <v>2520</v>
      </c>
      <c r="C275" s="49">
        <v>2605225</v>
      </c>
    </row>
    <row r="276" spans="1:3" x14ac:dyDescent="0.2">
      <c r="A276">
        <v>2022</v>
      </c>
      <c r="B276" s="36">
        <v>2525</v>
      </c>
      <c r="C276" s="49">
        <v>3689486</v>
      </c>
    </row>
    <row r="277" spans="1:3" x14ac:dyDescent="0.2">
      <c r="A277">
        <v>2022</v>
      </c>
      <c r="B277" s="36">
        <v>2530</v>
      </c>
      <c r="C277" s="49">
        <v>7225228</v>
      </c>
    </row>
    <row r="278" spans="1:3" x14ac:dyDescent="0.2">
      <c r="A278">
        <v>2022</v>
      </c>
      <c r="B278" s="36">
        <v>2533</v>
      </c>
      <c r="C278" s="49">
        <v>1606062</v>
      </c>
    </row>
    <row r="279" spans="1:3" x14ac:dyDescent="0.2">
      <c r="A279">
        <v>2022</v>
      </c>
      <c r="B279" s="36">
        <v>2535</v>
      </c>
      <c r="C279" s="49">
        <v>2088315</v>
      </c>
    </row>
    <row r="280" spans="1:3" x14ac:dyDescent="0.2">
      <c r="A280">
        <v>2022</v>
      </c>
      <c r="B280" s="36">
        <v>2540</v>
      </c>
      <c r="C280" s="49">
        <v>5032493</v>
      </c>
    </row>
    <row r="281" spans="1:3" x14ac:dyDescent="0.2">
      <c r="A281">
        <v>2022</v>
      </c>
      <c r="B281" s="36">
        <v>2541</v>
      </c>
      <c r="C281" s="49">
        <v>2993189</v>
      </c>
    </row>
    <row r="282" spans="1:3" x14ac:dyDescent="0.2">
      <c r="A282">
        <v>2022</v>
      </c>
      <c r="B282" s="36">
        <v>2542</v>
      </c>
      <c r="C282" s="49">
        <v>1740198</v>
      </c>
    </row>
    <row r="283" spans="1:3" x14ac:dyDescent="0.2">
      <c r="A283">
        <v>2022</v>
      </c>
      <c r="B283" s="36">
        <v>2545</v>
      </c>
      <c r="C283" s="49">
        <v>910270</v>
      </c>
    </row>
    <row r="284" spans="1:3" x14ac:dyDescent="0.2">
      <c r="A284">
        <v>2022</v>
      </c>
      <c r="B284" s="36">
        <v>2547</v>
      </c>
      <c r="C284" s="49">
        <v>6980748</v>
      </c>
    </row>
    <row r="285" spans="1:3" x14ac:dyDescent="0.2">
      <c r="A285">
        <v>2022</v>
      </c>
      <c r="B285" s="36">
        <v>2550</v>
      </c>
      <c r="C285" s="49">
        <v>714339</v>
      </c>
    </row>
    <row r="286" spans="1:3" x14ac:dyDescent="0.2">
      <c r="A286">
        <v>2022</v>
      </c>
      <c r="B286" s="36">
        <v>2551</v>
      </c>
      <c r="C286" s="49">
        <v>1268886</v>
      </c>
    </row>
    <row r="287" spans="1:3" x14ac:dyDescent="0.2">
      <c r="A287">
        <v>2022</v>
      </c>
      <c r="B287" s="36">
        <v>2555</v>
      </c>
      <c r="C287" s="49">
        <v>1169626</v>
      </c>
    </row>
    <row r="288" spans="1:3" x14ac:dyDescent="0.2">
      <c r="A288">
        <v>2022</v>
      </c>
      <c r="B288" s="36">
        <v>2557</v>
      </c>
      <c r="C288" s="49">
        <v>10598891</v>
      </c>
    </row>
    <row r="289" spans="1:3" x14ac:dyDescent="0.2">
      <c r="A289">
        <v>2022</v>
      </c>
      <c r="B289" s="36">
        <v>2559</v>
      </c>
      <c r="C289" s="49">
        <v>981912</v>
      </c>
    </row>
    <row r="290" spans="1:3" x14ac:dyDescent="0.2">
      <c r="A290">
        <v>2022</v>
      </c>
      <c r="B290" s="36">
        <v>2560</v>
      </c>
      <c r="C290" s="49">
        <v>1306553</v>
      </c>
    </row>
    <row r="291" spans="1:3" x14ac:dyDescent="0.2">
      <c r="A291">
        <v>2022</v>
      </c>
      <c r="B291" s="36">
        <v>2561</v>
      </c>
      <c r="C291" s="49">
        <v>3945453</v>
      </c>
    </row>
    <row r="292" spans="1:3" x14ac:dyDescent="0.2">
      <c r="A292">
        <v>2022</v>
      </c>
      <c r="B292" s="36">
        <v>2562</v>
      </c>
      <c r="C292" s="49">
        <v>4944101</v>
      </c>
    </row>
    <row r="293" spans="1:3" x14ac:dyDescent="0.2">
      <c r="A293">
        <v>2022</v>
      </c>
      <c r="B293" s="36">
        <v>2563</v>
      </c>
      <c r="C293" s="49">
        <v>5309488</v>
      </c>
    </row>
    <row r="294" spans="1:3" x14ac:dyDescent="0.2">
      <c r="A294">
        <v>2022</v>
      </c>
      <c r="B294" s="36">
        <v>2564</v>
      </c>
      <c r="C294" s="49">
        <v>7362812</v>
      </c>
    </row>
    <row r="295" spans="1:3" x14ac:dyDescent="0.2">
      <c r="A295">
        <v>2022</v>
      </c>
      <c r="B295" s="36">
        <v>2565</v>
      </c>
      <c r="C295" s="49">
        <v>4058515</v>
      </c>
    </row>
    <row r="296" spans="1:3" x14ac:dyDescent="0.2">
      <c r="A296">
        <v>2022</v>
      </c>
      <c r="B296" s="36">
        <v>2570</v>
      </c>
      <c r="C296" s="49">
        <v>2762416</v>
      </c>
    </row>
    <row r="297" spans="1:3" x14ac:dyDescent="0.2">
      <c r="A297">
        <v>2022</v>
      </c>
      <c r="B297" s="36">
        <v>2573</v>
      </c>
      <c r="C297" s="49">
        <v>3013892</v>
      </c>
    </row>
    <row r="298" spans="1:3" x14ac:dyDescent="0.2">
      <c r="A298">
        <v>2022</v>
      </c>
      <c r="B298" s="36">
        <v>2574</v>
      </c>
      <c r="C298" s="49">
        <v>933580</v>
      </c>
    </row>
    <row r="299" spans="1:3" x14ac:dyDescent="0.2">
      <c r="A299">
        <v>2022</v>
      </c>
      <c r="B299" s="36">
        <v>2575</v>
      </c>
      <c r="C299" s="49">
        <v>10208424</v>
      </c>
    </row>
    <row r="300" spans="1:3" x14ac:dyDescent="0.2">
      <c r="A300">
        <v>2022</v>
      </c>
      <c r="B300" s="36">
        <v>2576</v>
      </c>
      <c r="C300" s="49">
        <v>2162375</v>
      </c>
    </row>
    <row r="301" spans="1:3" x14ac:dyDescent="0.2">
      <c r="A301">
        <v>2022</v>
      </c>
      <c r="B301" s="36">
        <v>2580</v>
      </c>
      <c r="C301" s="49">
        <v>5467905</v>
      </c>
    </row>
    <row r="302" spans="1:3" x14ac:dyDescent="0.2">
      <c r="A302">
        <v>2022</v>
      </c>
      <c r="B302" s="36">
        <v>2582</v>
      </c>
      <c r="C302" s="49">
        <v>1196492</v>
      </c>
    </row>
    <row r="303" spans="1:3" x14ac:dyDescent="0.2">
      <c r="A303">
        <v>2022</v>
      </c>
      <c r="B303" s="36">
        <v>2584</v>
      </c>
      <c r="C303" s="49">
        <v>3459004</v>
      </c>
    </row>
    <row r="304" spans="1:3" x14ac:dyDescent="0.2">
      <c r="A304">
        <v>2022</v>
      </c>
      <c r="B304" s="36">
        <v>2585</v>
      </c>
      <c r="C304" s="49">
        <v>10812111</v>
      </c>
    </row>
    <row r="305" spans="1:3" x14ac:dyDescent="0.2">
      <c r="A305">
        <v>2022</v>
      </c>
      <c r="B305" s="36">
        <v>2590</v>
      </c>
      <c r="C305" s="49">
        <v>3665010</v>
      </c>
    </row>
    <row r="306" spans="1:3" x14ac:dyDescent="0.2">
      <c r="A306">
        <v>2022</v>
      </c>
      <c r="B306" s="36">
        <v>2593</v>
      </c>
      <c r="C306" s="49">
        <v>8969666</v>
      </c>
    </row>
    <row r="307" spans="1:3" x14ac:dyDescent="0.2">
      <c r="A307">
        <v>2022</v>
      </c>
      <c r="B307" s="36">
        <v>2595</v>
      </c>
      <c r="C307" s="49">
        <v>647008</v>
      </c>
    </row>
    <row r="308" spans="1:3" x14ac:dyDescent="0.2">
      <c r="A308">
        <v>2022</v>
      </c>
      <c r="B308" s="36">
        <v>2600</v>
      </c>
      <c r="C308" s="49">
        <v>1405345</v>
      </c>
    </row>
    <row r="309" spans="1:3" x14ac:dyDescent="0.2">
      <c r="A309">
        <v>2022</v>
      </c>
      <c r="B309" s="36">
        <v>2605</v>
      </c>
      <c r="C309" s="49">
        <v>613943</v>
      </c>
    </row>
    <row r="310" spans="1:3" x14ac:dyDescent="0.2">
      <c r="A310">
        <v>2022</v>
      </c>
      <c r="B310" s="36">
        <v>2610</v>
      </c>
      <c r="C310" s="49">
        <v>9202383</v>
      </c>
    </row>
    <row r="311" spans="1:3" x14ac:dyDescent="0.2">
      <c r="A311">
        <v>2022</v>
      </c>
      <c r="B311" s="36">
        <v>2611</v>
      </c>
      <c r="C311" s="49">
        <v>2593467</v>
      </c>
    </row>
    <row r="312" spans="1:3" x14ac:dyDescent="0.2">
      <c r="A312">
        <v>2022</v>
      </c>
      <c r="B312" s="36">
        <v>2612</v>
      </c>
      <c r="C312" s="49">
        <v>2801868</v>
      </c>
    </row>
    <row r="313" spans="1:3" x14ac:dyDescent="0.2">
      <c r="A313">
        <v>2022</v>
      </c>
      <c r="B313" s="36">
        <v>2613</v>
      </c>
      <c r="C313" s="49">
        <v>2960643</v>
      </c>
    </row>
    <row r="314" spans="1:3" x14ac:dyDescent="0.2">
      <c r="A314">
        <v>2022</v>
      </c>
      <c r="B314" s="36">
        <v>2614</v>
      </c>
      <c r="C314" s="49">
        <v>3379599</v>
      </c>
    </row>
    <row r="315" spans="1:3" x14ac:dyDescent="0.2">
      <c r="A315">
        <v>2022</v>
      </c>
      <c r="B315" s="36">
        <v>2615</v>
      </c>
      <c r="C315" s="49">
        <v>10259136</v>
      </c>
    </row>
    <row r="316" spans="1:3" x14ac:dyDescent="0.2">
      <c r="A316">
        <v>2022</v>
      </c>
      <c r="B316" s="36">
        <v>2616</v>
      </c>
      <c r="C316" s="49">
        <v>3510021</v>
      </c>
    </row>
    <row r="317" spans="1:3" x14ac:dyDescent="0.2">
      <c r="A317">
        <v>2022</v>
      </c>
      <c r="B317" s="36">
        <v>2617</v>
      </c>
      <c r="C317" s="49">
        <v>3526290</v>
      </c>
    </row>
    <row r="318" spans="1:3" x14ac:dyDescent="0.2">
      <c r="A318">
        <v>2022</v>
      </c>
      <c r="B318" s="36">
        <v>2618</v>
      </c>
      <c r="C318" s="49">
        <v>981620</v>
      </c>
    </row>
    <row r="319" spans="1:3" x14ac:dyDescent="0.2">
      <c r="A319">
        <v>2022</v>
      </c>
      <c r="B319" s="36">
        <v>2619</v>
      </c>
      <c r="C319" s="49">
        <v>1982548</v>
      </c>
    </row>
    <row r="320" spans="1:3" x14ac:dyDescent="0.2">
      <c r="A320">
        <v>2022</v>
      </c>
      <c r="B320" s="36">
        <v>2620</v>
      </c>
      <c r="C320" s="49">
        <v>717416</v>
      </c>
    </row>
    <row r="321" spans="1:3" x14ac:dyDescent="0.2">
      <c r="A321">
        <v>2022</v>
      </c>
      <c r="B321" s="36">
        <v>2625</v>
      </c>
      <c r="C321" s="49">
        <v>1307414</v>
      </c>
    </row>
    <row r="322" spans="1:3" x14ac:dyDescent="0.2">
      <c r="A322">
        <v>2022</v>
      </c>
      <c r="B322" s="36">
        <v>2626</v>
      </c>
      <c r="C322" s="49">
        <v>816267</v>
      </c>
    </row>
    <row r="323" spans="1:3" x14ac:dyDescent="0.2">
      <c r="A323">
        <v>2022</v>
      </c>
      <c r="B323" s="36">
        <v>2630</v>
      </c>
      <c r="C323" s="49">
        <v>1025107</v>
      </c>
    </row>
    <row r="324" spans="1:3" x14ac:dyDescent="0.2">
      <c r="A324">
        <v>2022</v>
      </c>
      <c r="B324" s="36">
        <v>2632</v>
      </c>
      <c r="C324" s="49">
        <v>1698299</v>
      </c>
    </row>
    <row r="325" spans="1:3" x14ac:dyDescent="0.2">
      <c r="A325">
        <v>2022</v>
      </c>
      <c r="B325" s="36">
        <v>2633</v>
      </c>
      <c r="C325" s="49">
        <v>7106222</v>
      </c>
    </row>
    <row r="326" spans="1:3" x14ac:dyDescent="0.2">
      <c r="A326">
        <v>2022</v>
      </c>
      <c r="B326" s="36">
        <v>2635</v>
      </c>
      <c r="C326" s="49">
        <v>884897</v>
      </c>
    </row>
    <row r="327" spans="1:3" x14ac:dyDescent="0.2">
      <c r="A327">
        <v>2022</v>
      </c>
      <c r="B327" s="36">
        <v>2640</v>
      </c>
      <c r="C327" s="49">
        <v>2310155</v>
      </c>
    </row>
    <row r="328" spans="1:3" x14ac:dyDescent="0.2">
      <c r="A328">
        <v>2022</v>
      </c>
      <c r="B328" s="36">
        <v>2641</v>
      </c>
      <c r="C328" s="49">
        <v>1439100</v>
      </c>
    </row>
    <row r="329" spans="1:3" x14ac:dyDescent="0.2">
      <c r="A329">
        <v>2022</v>
      </c>
      <c r="B329" s="36">
        <v>2642</v>
      </c>
      <c r="C329" s="49">
        <v>5228943</v>
      </c>
    </row>
    <row r="330" spans="1:3" x14ac:dyDescent="0.2">
      <c r="A330">
        <v>2022</v>
      </c>
      <c r="B330" s="36">
        <v>2643</v>
      </c>
      <c r="C330" s="49">
        <v>5206347</v>
      </c>
    </row>
    <row r="331" spans="1:3" x14ac:dyDescent="0.2">
      <c r="A331">
        <v>2022</v>
      </c>
      <c r="B331" s="36">
        <v>2644</v>
      </c>
      <c r="C331" s="49">
        <v>4564820</v>
      </c>
    </row>
    <row r="332" spans="1:3" x14ac:dyDescent="0.2">
      <c r="A332">
        <v>2022</v>
      </c>
      <c r="B332" s="36">
        <v>2645</v>
      </c>
      <c r="C332" s="49">
        <v>5902021</v>
      </c>
    </row>
    <row r="333" spans="1:3" x14ac:dyDescent="0.2">
      <c r="A333">
        <v>2022</v>
      </c>
      <c r="B333" s="36">
        <v>2648</v>
      </c>
      <c r="C333" s="49">
        <v>1063150</v>
      </c>
    </row>
    <row r="334" spans="1:3" x14ac:dyDescent="0.2">
      <c r="A334">
        <v>2022</v>
      </c>
      <c r="B334" s="36">
        <v>2649</v>
      </c>
      <c r="C334" s="49">
        <v>2416166</v>
      </c>
    </row>
    <row r="335" spans="1:3" x14ac:dyDescent="0.2">
      <c r="A335">
        <v>2022</v>
      </c>
      <c r="B335" s="36">
        <v>2650</v>
      </c>
      <c r="C335" s="49">
        <v>560846</v>
      </c>
    </row>
    <row r="336" spans="1:3" x14ac:dyDescent="0.2">
      <c r="A336">
        <v>2022</v>
      </c>
      <c r="B336" s="36">
        <v>2651</v>
      </c>
      <c r="C336" s="49">
        <v>8799750</v>
      </c>
    </row>
    <row r="337" spans="1:3" x14ac:dyDescent="0.2">
      <c r="A337">
        <v>2022</v>
      </c>
      <c r="B337" s="36">
        <v>2652</v>
      </c>
      <c r="C337" s="49">
        <v>961387</v>
      </c>
    </row>
    <row r="338" spans="1:3" x14ac:dyDescent="0.2">
      <c r="A338">
        <v>2022</v>
      </c>
      <c r="B338" s="36">
        <v>2653</v>
      </c>
      <c r="C338" s="49">
        <v>1364329</v>
      </c>
    </row>
    <row r="339" spans="1:3" x14ac:dyDescent="0.2">
      <c r="A339">
        <v>2022</v>
      </c>
      <c r="B339" s="36">
        <v>2654</v>
      </c>
      <c r="C339" s="49">
        <v>9526909</v>
      </c>
    </row>
    <row r="340" spans="1:3" x14ac:dyDescent="0.2">
      <c r="A340">
        <v>2022</v>
      </c>
      <c r="B340" s="36">
        <v>2655</v>
      </c>
      <c r="C340" s="49">
        <v>4918228</v>
      </c>
    </row>
    <row r="341" spans="1:3" x14ac:dyDescent="0.2">
      <c r="A341">
        <v>2022</v>
      </c>
      <c r="B341" s="36">
        <v>2656</v>
      </c>
      <c r="C341" s="49">
        <v>4627339</v>
      </c>
    </row>
    <row r="342" spans="1:3" x14ac:dyDescent="0.2">
      <c r="A342">
        <v>2022</v>
      </c>
      <c r="B342" s="36">
        <v>3032</v>
      </c>
      <c r="C342" s="49">
        <v>739453</v>
      </c>
    </row>
    <row r="343" spans="1:3" x14ac:dyDescent="0.2">
      <c r="A343">
        <v>2022</v>
      </c>
      <c r="B343" s="36">
        <v>3041</v>
      </c>
      <c r="C343" s="49">
        <v>257150</v>
      </c>
    </row>
    <row r="344" spans="1:3" x14ac:dyDescent="0.2">
      <c r="A344">
        <v>2022</v>
      </c>
      <c r="B344" s="36">
        <v>3042</v>
      </c>
      <c r="C344" s="49">
        <v>722376</v>
      </c>
    </row>
    <row r="345" spans="1:3" x14ac:dyDescent="0.2">
      <c r="A345">
        <v>2022</v>
      </c>
      <c r="B345" s="36">
        <v>3043</v>
      </c>
      <c r="C345" s="49">
        <v>682404</v>
      </c>
    </row>
    <row r="346" spans="1:3" x14ac:dyDescent="0.2">
      <c r="A346">
        <v>2022</v>
      </c>
      <c r="B346" s="36">
        <v>3044</v>
      </c>
      <c r="C346" s="49">
        <v>501865</v>
      </c>
    </row>
    <row r="347" spans="1:3" x14ac:dyDescent="0.2">
      <c r="A347">
        <v>2022</v>
      </c>
      <c r="B347" s="36">
        <v>3048</v>
      </c>
      <c r="C347" s="49">
        <v>269089</v>
      </c>
    </row>
    <row r="348" spans="1:3" x14ac:dyDescent="0.2">
      <c r="A348">
        <v>2022</v>
      </c>
      <c r="B348" s="36">
        <v>3077</v>
      </c>
      <c r="C348" s="49">
        <v>668947</v>
      </c>
    </row>
    <row r="349" spans="1:3" x14ac:dyDescent="0.2">
      <c r="A349">
        <v>2022</v>
      </c>
      <c r="B349" s="36">
        <v>3078</v>
      </c>
      <c r="C349" s="49">
        <v>287660</v>
      </c>
    </row>
    <row r="350" spans="1:3" x14ac:dyDescent="0.2">
      <c r="A350">
        <v>2022</v>
      </c>
      <c r="B350" s="36">
        <v>3079</v>
      </c>
      <c r="C350" s="49">
        <v>154066</v>
      </c>
    </row>
    <row r="351" spans="1:3" x14ac:dyDescent="0.2">
      <c r="A351">
        <v>2022</v>
      </c>
      <c r="B351" s="36">
        <v>3081</v>
      </c>
      <c r="C351" s="49">
        <v>293043</v>
      </c>
    </row>
    <row r="352" spans="1:3" x14ac:dyDescent="0.2">
      <c r="A352">
        <v>2022</v>
      </c>
      <c r="B352" s="36">
        <v>3082</v>
      </c>
      <c r="C352" s="49">
        <v>603849</v>
      </c>
    </row>
    <row r="353" spans="1:3" x14ac:dyDescent="0.2">
      <c r="A353">
        <v>2022</v>
      </c>
      <c r="B353" s="36">
        <v>3101</v>
      </c>
      <c r="C353" s="49">
        <v>271435</v>
      </c>
    </row>
    <row r="354" spans="1:3" x14ac:dyDescent="0.2">
      <c r="A354">
        <v>2022</v>
      </c>
      <c r="B354" s="36">
        <v>3105</v>
      </c>
      <c r="C354" s="49">
        <v>285387</v>
      </c>
    </row>
    <row r="355" spans="1:3" x14ac:dyDescent="0.2">
      <c r="A355">
        <v>2022</v>
      </c>
      <c r="B355" s="36">
        <v>3106</v>
      </c>
      <c r="C355" s="49">
        <v>494759</v>
      </c>
    </row>
    <row r="356" spans="1:3" x14ac:dyDescent="0.2">
      <c r="A356">
        <v>2022</v>
      </c>
      <c r="B356" s="36">
        <v>3107</v>
      </c>
      <c r="C356" s="49">
        <v>478110</v>
      </c>
    </row>
    <row r="357" spans="1:3" x14ac:dyDescent="0.2">
      <c r="A357">
        <v>2022</v>
      </c>
      <c r="B357" s="36">
        <v>3126</v>
      </c>
      <c r="C357" s="49">
        <v>501421</v>
      </c>
    </row>
    <row r="358" spans="1:3" x14ac:dyDescent="0.2">
      <c r="A358">
        <v>2022</v>
      </c>
      <c r="B358" s="36">
        <v>3128</v>
      </c>
      <c r="C358" s="49">
        <v>466055</v>
      </c>
    </row>
    <row r="359" spans="1:3" x14ac:dyDescent="0.2">
      <c r="A359">
        <v>2022</v>
      </c>
      <c r="B359" s="36">
        <v>3178</v>
      </c>
      <c r="C359" s="49">
        <v>822379</v>
      </c>
    </row>
    <row r="360" spans="1:3" x14ac:dyDescent="0.2">
      <c r="A360">
        <v>2022</v>
      </c>
      <c r="B360" s="36">
        <v>3179</v>
      </c>
      <c r="C360" s="49">
        <v>610310</v>
      </c>
    </row>
    <row r="361" spans="1:3" x14ac:dyDescent="0.2">
      <c r="A361">
        <v>2022</v>
      </c>
      <c r="B361" s="36">
        <v>3201</v>
      </c>
      <c r="C361" s="49">
        <v>324788</v>
      </c>
    </row>
    <row r="362" spans="1:3" x14ac:dyDescent="0.2">
      <c r="A362">
        <v>2022</v>
      </c>
      <c r="B362" s="36">
        <v>3202</v>
      </c>
      <c r="C362" s="49">
        <v>616356</v>
      </c>
    </row>
    <row r="363" spans="1:3" x14ac:dyDescent="0.2">
      <c r="A363">
        <v>2022</v>
      </c>
      <c r="B363" s="36">
        <v>3204</v>
      </c>
      <c r="C363" s="49">
        <v>545789</v>
      </c>
    </row>
    <row r="364" spans="1:3" x14ac:dyDescent="0.2">
      <c r="A364">
        <v>2022</v>
      </c>
      <c r="B364" s="36">
        <v>3206</v>
      </c>
      <c r="C364" s="49">
        <v>702011</v>
      </c>
    </row>
    <row r="365" spans="1:3" x14ac:dyDescent="0.2">
      <c r="A365">
        <v>2022</v>
      </c>
      <c r="B365" s="36">
        <v>3208</v>
      </c>
      <c r="C365" s="49">
        <v>268570</v>
      </c>
    </row>
    <row r="366" spans="1:3" x14ac:dyDescent="0.2">
      <c r="A366">
        <v>2022</v>
      </c>
      <c r="B366" s="36">
        <v>3226</v>
      </c>
      <c r="C366" s="49">
        <v>741431</v>
      </c>
    </row>
    <row r="367" spans="1:3" x14ac:dyDescent="0.2">
      <c r="A367">
        <v>2022</v>
      </c>
      <c r="B367" s="36">
        <v>3229</v>
      </c>
      <c r="C367" s="49">
        <v>485960</v>
      </c>
    </row>
    <row r="368" spans="1:3" x14ac:dyDescent="0.2">
      <c r="A368">
        <v>2022</v>
      </c>
      <c r="B368" s="36">
        <v>3231</v>
      </c>
      <c r="C368" s="49">
        <v>691794</v>
      </c>
    </row>
    <row r="369" spans="1:3" x14ac:dyDescent="0.2">
      <c r="A369">
        <v>2022</v>
      </c>
      <c r="B369" s="36">
        <v>3232</v>
      </c>
      <c r="C369" s="49">
        <v>300060</v>
      </c>
    </row>
    <row r="370" spans="1:3" x14ac:dyDescent="0.2">
      <c r="A370">
        <v>2022</v>
      </c>
      <c r="B370" s="36">
        <v>3276</v>
      </c>
      <c r="C370" s="49">
        <v>669707</v>
      </c>
    </row>
    <row r="371" spans="1:3" x14ac:dyDescent="0.2">
      <c r="A371">
        <v>2022</v>
      </c>
      <c r="B371" s="36">
        <v>3277</v>
      </c>
      <c r="C371" s="49">
        <v>752288</v>
      </c>
    </row>
    <row r="372" spans="1:3" x14ac:dyDescent="0.2">
      <c r="A372">
        <v>2022</v>
      </c>
      <c r="B372" s="36">
        <v>3278</v>
      </c>
      <c r="C372" s="49">
        <v>577294</v>
      </c>
    </row>
    <row r="373" spans="1:3" x14ac:dyDescent="0.2">
      <c r="A373">
        <v>2022</v>
      </c>
      <c r="B373" s="36">
        <v>3280</v>
      </c>
      <c r="C373" s="49">
        <v>609016</v>
      </c>
    </row>
    <row r="374" spans="1:3" x14ac:dyDescent="0.2">
      <c r="A374">
        <v>2022</v>
      </c>
      <c r="B374" s="36">
        <v>3281</v>
      </c>
      <c r="C374" s="49">
        <v>713866</v>
      </c>
    </row>
    <row r="375" spans="1:3" x14ac:dyDescent="0.2">
      <c r="A375">
        <v>2022</v>
      </c>
      <c r="B375" s="36">
        <v>3284</v>
      </c>
      <c r="C375" s="49">
        <v>695019</v>
      </c>
    </row>
    <row r="376" spans="1:3" x14ac:dyDescent="0.2">
      <c r="A376">
        <v>2022</v>
      </c>
      <c r="B376" s="36">
        <v>3303</v>
      </c>
      <c r="C376" s="49">
        <v>680199</v>
      </c>
    </row>
    <row r="377" spans="1:3" x14ac:dyDescent="0.2">
      <c r="A377">
        <v>2022</v>
      </c>
      <c r="B377" s="36">
        <v>3304</v>
      </c>
      <c r="C377" s="49">
        <v>356041</v>
      </c>
    </row>
    <row r="378" spans="1:3" x14ac:dyDescent="0.2">
      <c r="A378">
        <v>2022</v>
      </c>
      <c r="B378" s="36">
        <v>3305</v>
      </c>
      <c r="C378" s="49">
        <v>463490</v>
      </c>
    </row>
    <row r="379" spans="1:3" x14ac:dyDescent="0.2">
      <c r="A379">
        <v>2022</v>
      </c>
      <c r="B379" s="36">
        <v>3306</v>
      </c>
      <c r="C379" s="49">
        <v>491414</v>
      </c>
    </row>
    <row r="380" spans="1:3" x14ac:dyDescent="0.2">
      <c r="A380">
        <v>2022</v>
      </c>
      <c r="B380" s="36">
        <v>3307</v>
      </c>
      <c r="C380" s="49">
        <v>187297</v>
      </c>
    </row>
    <row r="381" spans="1:3" x14ac:dyDescent="0.2">
      <c r="A381">
        <v>2022</v>
      </c>
      <c r="B381" s="36">
        <v>3308</v>
      </c>
      <c r="C381" s="49">
        <v>400637</v>
      </c>
    </row>
    <row r="382" spans="1:3" x14ac:dyDescent="0.2">
      <c r="A382">
        <v>2022</v>
      </c>
      <c r="B382" s="36">
        <v>3309</v>
      </c>
      <c r="C382" s="49">
        <v>628780</v>
      </c>
    </row>
    <row r="383" spans="1:3" x14ac:dyDescent="0.2">
      <c r="A383">
        <v>2022</v>
      </c>
      <c r="B383" s="36">
        <v>3326</v>
      </c>
      <c r="C383" s="49">
        <v>618998</v>
      </c>
    </row>
    <row r="384" spans="1:3" x14ac:dyDescent="0.2">
      <c r="A384">
        <v>2022</v>
      </c>
      <c r="B384" s="36">
        <v>3327</v>
      </c>
      <c r="C384" s="49">
        <v>747742</v>
      </c>
    </row>
    <row r="385" spans="1:3" x14ac:dyDescent="0.2">
      <c r="A385">
        <v>2022</v>
      </c>
      <c r="B385" s="36">
        <v>3328</v>
      </c>
      <c r="C385" s="49">
        <v>427199</v>
      </c>
    </row>
    <row r="386" spans="1:3" x14ac:dyDescent="0.2">
      <c r="A386">
        <v>2022</v>
      </c>
      <c r="B386" s="36">
        <v>3329</v>
      </c>
      <c r="C386" s="49">
        <v>511985</v>
      </c>
    </row>
    <row r="387" spans="1:3" x14ac:dyDescent="0.2">
      <c r="A387">
        <v>2022</v>
      </c>
      <c r="B387" s="36">
        <v>3330</v>
      </c>
      <c r="C387" s="49">
        <v>867913</v>
      </c>
    </row>
    <row r="388" spans="1:3" x14ac:dyDescent="0.2">
      <c r="A388">
        <v>2022</v>
      </c>
      <c r="B388" s="36">
        <v>3331</v>
      </c>
      <c r="C388" s="49">
        <v>939919</v>
      </c>
    </row>
    <row r="389" spans="1:3" x14ac:dyDescent="0.2">
      <c r="A389">
        <v>2022</v>
      </c>
      <c r="B389" s="36">
        <v>3332</v>
      </c>
      <c r="C389" s="49">
        <v>373450</v>
      </c>
    </row>
    <row r="390" spans="1:3" x14ac:dyDescent="0.2">
      <c r="A390">
        <v>2022</v>
      </c>
      <c r="B390" s="36">
        <v>3452</v>
      </c>
      <c r="C390" s="49">
        <v>949600</v>
      </c>
    </row>
    <row r="391" spans="1:3" x14ac:dyDescent="0.2">
      <c r="A391">
        <v>2022</v>
      </c>
      <c r="B391" s="36">
        <v>3453</v>
      </c>
      <c r="C391" s="49">
        <v>329706</v>
      </c>
    </row>
    <row r="392" spans="1:3" x14ac:dyDescent="0.2">
      <c r="A392">
        <v>2022</v>
      </c>
      <c r="B392" s="36">
        <v>3458</v>
      </c>
      <c r="C392" s="49">
        <v>714073</v>
      </c>
    </row>
    <row r="393" spans="1:3" x14ac:dyDescent="0.2">
      <c r="A393">
        <v>2022</v>
      </c>
      <c r="B393" s="36">
        <v>3460</v>
      </c>
      <c r="C393" s="49">
        <v>1034664</v>
      </c>
    </row>
    <row r="394" spans="1:3" x14ac:dyDescent="0.2">
      <c r="A394">
        <v>2022</v>
      </c>
      <c r="B394" s="36">
        <v>3464</v>
      </c>
      <c r="C394" s="49">
        <v>234339</v>
      </c>
    </row>
    <row r="395" spans="1:3" x14ac:dyDescent="0.2">
      <c r="A395">
        <v>2022</v>
      </c>
      <c r="B395" s="36">
        <v>3465</v>
      </c>
      <c r="C395" s="49">
        <v>189425</v>
      </c>
    </row>
    <row r="396" spans="1:3" x14ac:dyDescent="0.2">
      <c r="A396">
        <v>2022</v>
      </c>
      <c r="B396" s="36">
        <v>3466</v>
      </c>
      <c r="C396" s="49">
        <v>584745</v>
      </c>
    </row>
    <row r="397" spans="1:3" x14ac:dyDescent="0.2">
      <c r="A397">
        <v>2022</v>
      </c>
      <c r="B397" s="36">
        <v>3467</v>
      </c>
      <c r="C397" s="49">
        <v>288994</v>
      </c>
    </row>
    <row r="398" spans="1:3" x14ac:dyDescent="0.2">
      <c r="A398">
        <v>2022</v>
      </c>
      <c r="B398" s="36">
        <v>3468</v>
      </c>
      <c r="C398" s="49">
        <v>61561</v>
      </c>
    </row>
    <row r="399" spans="1:3" x14ac:dyDescent="0.2">
      <c r="A399">
        <v>2022</v>
      </c>
      <c r="B399" s="36">
        <v>3471</v>
      </c>
      <c r="C399" s="49">
        <v>237793</v>
      </c>
    </row>
    <row r="400" spans="1:3" x14ac:dyDescent="0.2">
      <c r="A400">
        <v>2022</v>
      </c>
      <c r="B400" s="36">
        <v>3473</v>
      </c>
      <c r="C400" s="49">
        <v>469727</v>
      </c>
    </row>
    <row r="401" spans="1:3" x14ac:dyDescent="0.2">
      <c r="A401">
        <v>2022</v>
      </c>
      <c r="B401" s="36">
        <v>3526</v>
      </c>
      <c r="C401" s="49">
        <v>493748</v>
      </c>
    </row>
    <row r="402" spans="1:3" x14ac:dyDescent="0.2">
      <c r="A402">
        <v>2022</v>
      </c>
      <c r="B402" s="36">
        <v>3527</v>
      </c>
      <c r="C402" s="49">
        <v>503660</v>
      </c>
    </row>
    <row r="403" spans="1:3" x14ac:dyDescent="0.2">
      <c r="A403">
        <v>2022</v>
      </c>
      <c r="B403" s="36">
        <v>3528</v>
      </c>
      <c r="C403" s="49">
        <v>416502</v>
      </c>
    </row>
    <row r="404" spans="1:3" x14ac:dyDescent="0.2">
      <c r="A404">
        <v>2022</v>
      </c>
      <c r="B404" s="36">
        <v>3531</v>
      </c>
      <c r="C404" s="49">
        <v>637638</v>
      </c>
    </row>
    <row r="405" spans="1:3" x14ac:dyDescent="0.2">
      <c r="A405">
        <v>2022</v>
      </c>
      <c r="B405" s="36">
        <v>3552</v>
      </c>
      <c r="C405" s="49">
        <v>199438</v>
      </c>
    </row>
    <row r="406" spans="1:3" x14ac:dyDescent="0.2">
      <c r="A406">
        <v>2022</v>
      </c>
      <c r="B406" s="36">
        <v>3559</v>
      </c>
      <c r="C406" s="49">
        <v>450258</v>
      </c>
    </row>
    <row r="407" spans="1:3" x14ac:dyDescent="0.2">
      <c r="A407">
        <v>2022</v>
      </c>
      <c r="B407" s="36">
        <v>3560</v>
      </c>
      <c r="C407" s="49">
        <v>594542</v>
      </c>
    </row>
    <row r="408" spans="1:3" x14ac:dyDescent="0.2">
      <c r="A408">
        <v>2022</v>
      </c>
      <c r="B408" s="36">
        <v>3561</v>
      </c>
      <c r="C408" s="49">
        <v>632394</v>
      </c>
    </row>
    <row r="409" spans="1:3" x14ac:dyDescent="0.2">
      <c r="A409">
        <v>2022</v>
      </c>
      <c r="B409" s="36">
        <v>3576</v>
      </c>
      <c r="C409" s="49">
        <v>280752</v>
      </c>
    </row>
    <row r="410" spans="1:3" x14ac:dyDescent="0.2">
      <c r="A410">
        <v>2022</v>
      </c>
      <c r="B410" s="36">
        <v>3577</v>
      </c>
      <c r="C410" s="49">
        <v>591104</v>
      </c>
    </row>
    <row r="411" spans="1:3" x14ac:dyDescent="0.2">
      <c r="A411">
        <v>2022</v>
      </c>
      <c r="B411" s="36">
        <v>3579</v>
      </c>
      <c r="C411" s="49">
        <v>294545</v>
      </c>
    </row>
    <row r="412" spans="1:3" x14ac:dyDescent="0.2">
      <c r="A412">
        <v>2022</v>
      </c>
      <c r="B412" s="36">
        <v>3585</v>
      </c>
      <c r="C412" s="49">
        <v>675468</v>
      </c>
    </row>
    <row r="413" spans="1:3" x14ac:dyDescent="0.2">
      <c r="A413">
        <v>2022</v>
      </c>
      <c r="B413" s="36">
        <v>3586</v>
      </c>
      <c r="C413" s="49">
        <v>742140</v>
      </c>
    </row>
    <row r="414" spans="1:3" x14ac:dyDescent="0.2">
      <c r="A414">
        <v>2022</v>
      </c>
      <c r="B414" s="36">
        <v>3589</v>
      </c>
      <c r="C414" s="49">
        <v>579845</v>
      </c>
    </row>
    <row r="415" spans="1:3" x14ac:dyDescent="0.2">
      <c r="A415">
        <v>2022</v>
      </c>
      <c r="B415" s="36">
        <v>3591</v>
      </c>
      <c r="C415" s="49">
        <v>300005</v>
      </c>
    </row>
    <row r="416" spans="1:3" x14ac:dyDescent="0.2">
      <c r="A416">
        <v>2022</v>
      </c>
      <c r="B416" s="36">
        <v>3592</v>
      </c>
      <c r="C416" s="49">
        <v>610329</v>
      </c>
    </row>
    <row r="417" spans="1:3" x14ac:dyDescent="0.2">
      <c r="A417">
        <v>2022</v>
      </c>
      <c r="B417" s="36">
        <v>3593</v>
      </c>
      <c r="C417" s="49">
        <v>1078063</v>
      </c>
    </row>
    <row r="418" spans="1:3" x14ac:dyDescent="0.2">
      <c r="A418">
        <v>2022</v>
      </c>
      <c r="B418" s="36">
        <v>3594</v>
      </c>
      <c r="C418" s="49">
        <v>277831</v>
      </c>
    </row>
    <row r="419" spans="1:3" x14ac:dyDescent="0.2">
      <c r="A419">
        <v>2022</v>
      </c>
      <c r="B419" s="36">
        <v>3626</v>
      </c>
      <c r="C419" s="49">
        <v>1400485</v>
      </c>
    </row>
    <row r="420" spans="1:3" x14ac:dyDescent="0.2">
      <c r="A420">
        <v>2022</v>
      </c>
      <c r="B420" s="36">
        <v>3629</v>
      </c>
      <c r="C420" s="49">
        <v>778834</v>
      </c>
    </row>
    <row r="421" spans="1:3" x14ac:dyDescent="0.2">
      <c r="A421">
        <v>2022</v>
      </c>
      <c r="B421" s="36">
        <v>3630</v>
      </c>
      <c r="C421" s="49">
        <v>1261524</v>
      </c>
    </row>
    <row r="422" spans="1:3" x14ac:dyDescent="0.2">
      <c r="A422">
        <v>2022</v>
      </c>
      <c r="B422" s="36">
        <v>3631</v>
      </c>
      <c r="C422" s="49">
        <v>1095201</v>
      </c>
    </row>
    <row r="423" spans="1:3" x14ac:dyDescent="0.2">
      <c r="A423">
        <v>2022</v>
      </c>
      <c r="B423" s="36">
        <v>3632</v>
      </c>
      <c r="C423" s="49">
        <v>1941705</v>
      </c>
    </row>
    <row r="424" spans="1:3" x14ac:dyDescent="0.2">
      <c r="A424">
        <v>2022</v>
      </c>
      <c r="B424" s="36">
        <v>3635</v>
      </c>
      <c r="C424" s="49">
        <v>1234086</v>
      </c>
    </row>
    <row r="425" spans="1:3" x14ac:dyDescent="0.2">
      <c r="A425">
        <v>2022</v>
      </c>
      <c r="B425" s="36">
        <v>3636</v>
      </c>
      <c r="C425" s="49">
        <v>1044750</v>
      </c>
    </row>
    <row r="426" spans="1:3" x14ac:dyDescent="0.2">
      <c r="A426">
        <v>2022</v>
      </c>
      <c r="B426" s="36">
        <v>3658</v>
      </c>
      <c r="C426" s="49">
        <v>1120183</v>
      </c>
    </row>
    <row r="427" spans="1:3" x14ac:dyDescent="0.2">
      <c r="A427">
        <v>2022</v>
      </c>
      <c r="B427" s="36">
        <v>3679</v>
      </c>
      <c r="C427" s="49">
        <v>1245512</v>
      </c>
    </row>
    <row r="428" spans="1:3" x14ac:dyDescent="0.2">
      <c r="A428">
        <v>2022</v>
      </c>
      <c r="B428" s="36">
        <v>3702</v>
      </c>
      <c r="C428" s="49">
        <v>676939</v>
      </c>
    </row>
    <row r="429" spans="1:3" x14ac:dyDescent="0.2">
      <c r="A429">
        <v>2022</v>
      </c>
      <c r="B429" s="36">
        <v>3709</v>
      </c>
      <c r="C429" s="49">
        <v>528354</v>
      </c>
    </row>
    <row r="430" spans="1:3" x14ac:dyDescent="0.2">
      <c r="A430">
        <v>2022</v>
      </c>
      <c r="B430" s="36">
        <v>3805</v>
      </c>
      <c r="C430" s="49">
        <v>469330</v>
      </c>
    </row>
    <row r="431" spans="1:3" x14ac:dyDescent="0.2">
      <c r="A431">
        <v>2022</v>
      </c>
      <c r="B431" s="36">
        <v>3821</v>
      </c>
      <c r="C431" s="49">
        <v>652748</v>
      </c>
    </row>
    <row r="432" spans="1:3" x14ac:dyDescent="0.2">
      <c r="A432">
        <v>2022</v>
      </c>
      <c r="B432" s="36">
        <v>3822</v>
      </c>
      <c r="C432" s="49">
        <v>250510</v>
      </c>
    </row>
    <row r="433" spans="1:3" x14ac:dyDescent="0.2">
      <c r="A433">
        <v>2022</v>
      </c>
      <c r="B433" s="36">
        <v>3854</v>
      </c>
      <c r="C433" s="49">
        <v>1282853</v>
      </c>
    </row>
    <row r="434" spans="1:3" x14ac:dyDescent="0.2">
      <c r="A434">
        <v>2022</v>
      </c>
      <c r="B434" s="36">
        <v>3855</v>
      </c>
      <c r="C434" s="49">
        <v>698993</v>
      </c>
    </row>
    <row r="435" spans="1:3" x14ac:dyDescent="0.2">
      <c r="A435">
        <v>2022</v>
      </c>
      <c r="B435" s="36">
        <v>3856</v>
      </c>
      <c r="C435" s="49">
        <v>127088</v>
      </c>
    </row>
    <row r="436" spans="1:3" x14ac:dyDescent="0.2">
      <c r="A436">
        <v>2022</v>
      </c>
      <c r="B436" s="36">
        <v>3927</v>
      </c>
      <c r="C436" s="49">
        <v>770718</v>
      </c>
    </row>
    <row r="437" spans="1:3" x14ac:dyDescent="0.2">
      <c r="A437">
        <v>2022</v>
      </c>
      <c r="B437" s="36">
        <v>3928</v>
      </c>
      <c r="C437" s="49">
        <v>365740</v>
      </c>
    </row>
    <row r="438" spans="1:3" x14ac:dyDescent="0.2">
      <c r="A438">
        <v>2022</v>
      </c>
      <c r="B438" s="36">
        <v>3929</v>
      </c>
      <c r="C438" s="49">
        <v>699383</v>
      </c>
    </row>
    <row r="439" spans="1:3" x14ac:dyDescent="0.2">
      <c r="A439">
        <v>2022</v>
      </c>
      <c r="B439" s="36">
        <v>3930</v>
      </c>
      <c r="C439" s="49">
        <v>638146</v>
      </c>
    </row>
    <row r="440" spans="1:3" x14ac:dyDescent="0.2">
      <c r="A440">
        <v>2022</v>
      </c>
      <c r="B440" s="36">
        <v>3931</v>
      </c>
      <c r="C440" s="49">
        <v>846432</v>
      </c>
    </row>
    <row r="441" spans="1:3" x14ac:dyDescent="0.2">
      <c r="A441">
        <v>2022</v>
      </c>
      <c r="B441" s="36">
        <v>3932</v>
      </c>
      <c r="C441" s="49">
        <v>666493</v>
      </c>
    </row>
    <row r="442" spans="1:3" x14ac:dyDescent="0.2">
      <c r="A442">
        <v>2022</v>
      </c>
      <c r="B442" s="36">
        <v>3934</v>
      </c>
      <c r="C442" s="49">
        <v>128274</v>
      </c>
    </row>
    <row r="443" spans="1:3" x14ac:dyDescent="0.2">
      <c r="A443">
        <v>2022</v>
      </c>
      <c r="B443" s="36">
        <v>3979</v>
      </c>
      <c r="C443" s="49">
        <v>487281</v>
      </c>
    </row>
    <row r="444" spans="1:3" x14ac:dyDescent="0.2">
      <c r="A444">
        <v>2022</v>
      </c>
      <c r="B444" s="36">
        <v>3980</v>
      </c>
      <c r="C444" s="49">
        <v>343988</v>
      </c>
    </row>
    <row r="445" spans="1:3" x14ac:dyDescent="0.2">
      <c r="A445">
        <v>2022</v>
      </c>
      <c r="B445" s="36">
        <v>3981</v>
      </c>
      <c r="C445" s="49">
        <v>350010</v>
      </c>
    </row>
    <row r="446" spans="1:3" x14ac:dyDescent="0.2">
      <c r="A446">
        <v>2022</v>
      </c>
      <c r="B446" s="36">
        <v>3982</v>
      </c>
      <c r="C446" s="49">
        <v>134136</v>
      </c>
    </row>
    <row r="447" spans="1:3" x14ac:dyDescent="0.2">
      <c r="A447">
        <v>2022</v>
      </c>
      <c r="B447" s="36">
        <v>3983</v>
      </c>
      <c r="C447" s="49">
        <v>313859</v>
      </c>
    </row>
    <row r="448" spans="1:3" x14ac:dyDescent="0.2">
      <c r="A448">
        <v>2022</v>
      </c>
      <c r="B448" s="36">
        <v>3986</v>
      </c>
      <c r="C448" s="49">
        <v>293726</v>
      </c>
    </row>
    <row r="449" spans="1:3" x14ac:dyDescent="0.2">
      <c r="A449">
        <v>2022</v>
      </c>
      <c r="B449" s="36">
        <v>3987</v>
      </c>
      <c r="C449" s="49">
        <v>218395</v>
      </c>
    </row>
    <row r="450" spans="1:3" x14ac:dyDescent="0.2">
      <c r="A450">
        <v>2022</v>
      </c>
      <c r="B450" s="36">
        <v>3988</v>
      </c>
      <c r="C450" s="49">
        <v>273819</v>
      </c>
    </row>
    <row r="451" spans="1:3" x14ac:dyDescent="0.2">
      <c r="A451">
        <v>2022</v>
      </c>
      <c r="B451" s="36">
        <v>3989</v>
      </c>
      <c r="C451" s="49">
        <v>174703</v>
      </c>
    </row>
    <row r="452" spans="1:3" x14ac:dyDescent="0.2">
      <c r="A452">
        <v>2022</v>
      </c>
      <c r="B452" s="36">
        <v>3990</v>
      </c>
      <c r="C452" s="49">
        <v>289110</v>
      </c>
    </row>
    <row r="453" spans="1:3" x14ac:dyDescent="0.2">
      <c r="A453">
        <v>2022</v>
      </c>
      <c r="B453" s="36">
        <v>3991</v>
      </c>
      <c r="C453" s="49">
        <v>383382</v>
      </c>
    </row>
    <row r="454" spans="1:3" x14ac:dyDescent="0.2">
      <c r="A454">
        <v>2022</v>
      </c>
      <c r="B454" s="36">
        <v>3992</v>
      </c>
      <c r="C454" s="49">
        <v>328652</v>
      </c>
    </row>
    <row r="455" spans="1:3" x14ac:dyDescent="0.2">
      <c r="A455">
        <v>2022</v>
      </c>
      <c r="B455" s="36">
        <v>3994</v>
      </c>
      <c r="C455" s="49">
        <v>567388</v>
      </c>
    </row>
    <row r="456" spans="1:3" x14ac:dyDescent="0.2">
      <c r="A456">
        <v>2022</v>
      </c>
      <c r="B456" s="36">
        <v>3995</v>
      </c>
      <c r="C456" s="49">
        <v>297004</v>
      </c>
    </row>
    <row r="457" spans="1:3" x14ac:dyDescent="0.2">
      <c r="A457">
        <v>2022</v>
      </c>
      <c r="B457" s="36">
        <v>3996</v>
      </c>
      <c r="C457" s="49">
        <v>231048</v>
      </c>
    </row>
    <row r="458" spans="1:3" x14ac:dyDescent="0.2">
      <c r="A458">
        <v>2022</v>
      </c>
      <c r="B458" s="36">
        <v>3997</v>
      </c>
      <c r="C458" s="49">
        <v>276524</v>
      </c>
    </row>
    <row r="459" spans="1:3" x14ac:dyDescent="0.2">
      <c r="A459">
        <v>2022</v>
      </c>
      <c r="B459" s="36">
        <v>3998</v>
      </c>
      <c r="C459" s="49">
        <v>259992</v>
      </c>
    </row>
    <row r="460" spans="1:3" x14ac:dyDescent="0.2">
      <c r="A460">
        <v>2022</v>
      </c>
      <c r="B460" s="36">
        <v>3999</v>
      </c>
      <c r="C460" s="49">
        <v>239329</v>
      </c>
    </row>
    <row r="461" spans="1:3" x14ac:dyDescent="0.2">
      <c r="A461">
        <v>2022</v>
      </c>
      <c r="B461" s="36">
        <v>4004</v>
      </c>
      <c r="C461" s="49">
        <v>150215</v>
      </c>
    </row>
    <row r="462" spans="1:3" x14ac:dyDescent="0.2">
      <c r="A462">
        <v>2022</v>
      </c>
      <c r="B462" s="36">
        <v>4007</v>
      </c>
      <c r="C462" s="49">
        <v>215405</v>
      </c>
    </row>
    <row r="463" spans="1:3" x14ac:dyDescent="0.2">
      <c r="A463">
        <v>2022</v>
      </c>
      <c r="B463" s="36">
        <v>4008</v>
      </c>
      <c r="C463" s="49">
        <v>58263</v>
      </c>
    </row>
    <row r="464" spans="1:3" x14ac:dyDescent="0.2">
      <c r="A464">
        <v>2022</v>
      </c>
      <c r="B464" s="36">
        <v>4009</v>
      </c>
      <c r="C464" s="49">
        <v>1282722</v>
      </c>
    </row>
    <row r="465" spans="1:3" x14ac:dyDescent="0.2">
      <c r="A465">
        <v>2022</v>
      </c>
      <c r="B465" s="36">
        <v>4010</v>
      </c>
      <c r="C465" s="49">
        <v>111995</v>
      </c>
    </row>
    <row r="466" spans="1:3" x14ac:dyDescent="0.2">
      <c r="A466">
        <v>2022</v>
      </c>
      <c r="B466" s="36">
        <v>4014</v>
      </c>
      <c r="C466" s="49">
        <v>607305</v>
      </c>
    </row>
    <row r="467" spans="1:3" x14ac:dyDescent="0.2">
      <c r="A467">
        <v>2022</v>
      </c>
      <c r="B467" s="36">
        <v>4015</v>
      </c>
      <c r="C467" s="49">
        <v>399170</v>
      </c>
    </row>
    <row r="468" spans="1:3" x14ac:dyDescent="0.2">
      <c r="A468">
        <v>2022</v>
      </c>
      <c r="B468" s="36">
        <v>4020</v>
      </c>
      <c r="C468" s="49">
        <v>732542</v>
      </c>
    </row>
    <row r="469" spans="1:3" x14ac:dyDescent="0.2">
      <c r="A469">
        <v>2022</v>
      </c>
      <c r="B469" s="36">
        <v>4021</v>
      </c>
      <c r="C469" s="49">
        <v>984068</v>
      </c>
    </row>
    <row r="470" spans="1:3" x14ac:dyDescent="0.2">
      <c r="A470">
        <v>2022</v>
      </c>
      <c r="B470" s="36">
        <v>4022</v>
      </c>
      <c r="C470" s="49">
        <v>717016</v>
      </c>
    </row>
    <row r="471" spans="1:3" x14ac:dyDescent="0.2">
      <c r="A471">
        <v>2022</v>
      </c>
      <c r="B471" s="36">
        <v>4027</v>
      </c>
      <c r="C471" s="49">
        <v>646191</v>
      </c>
    </row>
    <row r="472" spans="1:3" x14ac:dyDescent="0.2">
      <c r="A472">
        <v>2022</v>
      </c>
      <c r="B472" s="36">
        <v>4028</v>
      </c>
      <c r="C472" s="49">
        <v>161452</v>
      </c>
    </row>
    <row r="473" spans="1:3" x14ac:dyDescent="0.2">
      <c r="A473">
        <v>2022</v>
      </c>
      <c r="B473" s="36">
        <v>4029</v>
      </c>
      <c r="C473" s="49">
        <v>867108</v>
      </c>
    </row>
    <row r="474" spans="1:3" x14ac:dyDescent="0.2">
      <c r="A474">
        <v>2022</v>
      </c>
      <c r="B474" s="36">
        <v>4030</v>
      </c>
      <c r="C474" s="49">
        <v>504757</v>
      </c>
    </row>
    <row r="475" spans="1:3" x14ac:dyDescent="0.2">
      <c r="A475">
        <v>2022</v>
      </c>
      <c r="B475" s="36">
        <v>4031</v>
      </c>
      <c r="C475" s="49">
        <v>402657</v>
      </c>
    </row>
    <row r="476" spans="1:3" x14ac:dyDescent="0.2">
      <c r="A476">
        <v>2022</v>
      </c>
      <c r="B476" s="36">
        <v>4034</v>
      </c>
      <c r="C476" s="49">
        <v>376524</v>
      </c>
    </row>
    <row r="477" spans="1:3" x14ac:dyDescent="0.2">
      <c r="A477">
        <v>2022</v>
      </c>
      <c r="B477" s="36">
        <v>4036</v>
      </c>
      <c r="C477" s="49">
        <v>558587</v>
      </c>
    </row>
    <row r="478" spans="1:3" x14ac:dyDescent="0.2">
      <c r="A478">
        <v>2022</v>
      </c>
      <c r="B478" s="36">
        <v>4101</v>
      </c>
      <c r="C478" s="49">
        <v>404369</v>
      </c>
    </row>
    <row r="479" spans="1:3" x14ac:dyDescent="0.2">
      <c r="A479">
        <v>2022</v>
      </c>
      <c r="B479" s="36">
        <v>4104</v>
      </c>
      <c r="C479" s="49">
        <v>349289</v>
      </c>
    </row>
    <row r="480" spans="1:3" x14ac:dyDescent="0.2">
      <c r="A480">
        <v>2022</v>
      </c>
      <c r="B480" s="36">
        <v>4124</v>
      </c>
      <c r="C480" s="49">
        <v>2019</v>
      </c>
    </row>
    <row r="481" spans="1:3" x14ac:dyDescent="0.2">
      <c r="A481">
        <v>2022</v>
      </c>
      <c r="B481" s="36">
        <v>4126</v>
      </c>
      <c r="C481" s="49">
        <v>1147606</v>
      </c>
    </row>
    <row r="482" spans="1:3" x14ac:dyDescent="0.2">
      <c r="A482">
        <v>2022</v>
      </c>
      <c r="B482" s="36">
        <v>4128</v>
      </c>
      <c r="C482" s="49">
        <v>799205</v>
      </c>
    </row>
    <row r="483" spans="1:3" x14ac:dyDescent="0.2">
      <c r="A483">
        <v>2022</v>
      </c>
      <c r="B483" s="36">
        <v>4130</v>
      </c>
      <c r="C483" s="49">
        <v>580360</v>
      </c>
    </row>
    <row r="484" spans="1:3" x14ac:dyDescent="0.2">
      <c r="A484">
        <v>2022</v>
      </c>
      <c r="B484" s="36">
        <v>4132</v>
      </c>
      <c r="C484" s="49">
        <v>324198</v>
      </c>
    </row>
    <row r="485" spans="1:3" x14ac:dyDescent="0.2">
      <c r="A485">
        <v>2022</v>
      </c>
      <c r="B485" s="36">
        <v>4134</v>
      </c>
      <c r="C485" s="49">
        <v>302277</v>
      </c>
    </row>
    <row r="486" spans="1:3" x14ac:dyDescent="0.2">
      <c r="A486">
        <v>2022</v>
      </c>
      <c r="B486" s="36">
        <v>4135</v>
      </c>
      <c r="C486" s="49">
        <v>245347</v>
      </c>
    </row>
    <row r="487" spans="1:3" x14ac:dyDescent="0.2">
      <c r="A487">
        <v>2022</v>
      </c>
      <c r="B487" s="36">
        <v>4137</v>
      </c>
      <c r="C487" s="49">
        <v>375935</v>
      </c>
    </row>
    <row r="488" spans="1:3" x14ac:dyDescent="0.2">
      <c r="A488">
        <v>2022</v>
      </c>
      <c r="B488" s="36">
        <v>4142</v>
      </c>
      <c r="C488" s="49">
        <v>1033047</v>
      </c>
    </row>
    <row r="489" spans="1:3" x14ac:dyDescent="0.2">
      <c r="A489">
        <v>2022</v>
      </c>
      <c r="B489" s="36">
        <v>4143</v>
      </c>
      <c r="C489" s="49">
        <v>806344</v>
      </c>
    </row>
    <row r="490" spans="1:3" x14ac:dyDescent="0.2">
      <c r="A490">
        <v>2022</v>
      </c>
      <c r="B490" s="36">
        <v>4144</v>
      </c>
      <c r="C490" s="49">
        <v>568847</v>
      </c>
    </row>
    <row r="491" spans="1:3" x14ac:dyDescent="0.2">
      <c r="A491">
        <v>2022</v>
      </c>
      <c r="B491" s="36">
        <v>4149</v>
      </c>
      <c r="C491" s="49">
        <v>282480</v>
      </c>
    </row>
    <row r="492" spans="1:3" x14ac:dyDescent="0.2">
      <c r="A492">
        <v>2022</v>
      </c>
      <c r="B492" s="36">
        <v>4151</v>
      </c>
      <c r="C492" s="49">
        <v>747322</v>
      </c>
    </row>
    <row r="493" spans="1:3" x14ac:dyDescent="0.2">
      <c r="A493">
        <v>2022</v>
      </c>
      <c r="B493" s="36">
        <v>4152</v>
      </c>
      <c r="C493" s="49">
        <v>636281</v>
      </c>
    </row>
    <row r="494" spans="1:3" x14ac:dyDescent="0.2">
      <c r="A494">
        <v>2022</v>
      </c>
      <c r="B494" s="36">
        <v>4153</v>
      </c>
      <c r="C494" s="49">
        <v>752201</v>
      </c>
    </row>
    <row r="495" spans="1:3" x14ac:dyDescent="0.2">
      <c r="A495">
        <v>2022</v>
      </c>
      <c r="B495" s="36">
        <v>4154</v>
      </c>
      <c r="C495" s="49">
        <v>469918</v>
      </c>
    </row>
    <row r="496" spans="1:3" x14ac:dyDescent="0.2">
      <c r="A496">
        <v>2022</v>
      </c>
      <c r="B496" s="36">
        <v>4155</v>
      </c>
      <c r="C496" s="49">
        <v>591344</v>
      </c>
    </row>
    <row r="497" spans="1:3" x14ac:dyDescent="0.2">
      <c r="A497">
        <v>2022</v>
      </c>
      <c r="B497" s="36">
        <v>4178</v>
      </c>
      <c r="C497" s="49">
        <v>543231</v>
      </c>
    </row>
    <row r="498" spans="1:3" x14ac:dyDescent="0.2">
      <c r="A498">
        <v>2022</v>
      </c>
      <c r="B498" s="36">
        <v>4180</v>
      </c>
      <c r="C498" s="49">
        <v>1140689</v>
      </c>
    </row>
    <row r="499" spans="1:3" x14ac:dyDescent="0.2">
      <c r="A499">
        <v>2022</v>
      </c>
      <c r="B499" s="36">
        <v>4183</v>
      </c>
      <c r="C499" s="49">
        <v>717458</v>
      </c>
    </row>
    <row r="500" spans="1:3" x14ac:dyDescent="0.2">
      <c r="A500">
        <v>2022</v>
      </c>
      <c r="B500" s="36">
        <v>4184</v>
      </c>
      <c r="C500" s="49">
        <v>693802</v>
      </c>
    </row>
    <row r="501" spans="1:3" x14ac:dyDescent="0.2">
      <c r="A501">
        <v>2022</v>
      </c>
      <c r="B501" s="36">
        <v>4202</v>
      </c>
      <c r="C501" s="49">
        <v>447762</v>
      </c>
    </row>
    <row r="502" spans="1:3" x14ac:dyDescent="0.2">
      <c r="A502">
        <v>2022</v>
      </c>
      <c r="B502" s="36">
        <v>4203</v>
      </c>
      <c r="C502" s="49">
        <v>461841</v>
      </c>
    </row>
    <row r="503" spans="1:3" x14ac:dyDescent="0.2">
      <c r="A503">
        <v>2022</v>
      </c>
      <c r="B503" s="36">
        <v>4205</v>
      </c>
      <c r="C503" s="49">
        <v>355386</v>
      </c>
    </row>
    <row r="504" spans="1:3" x14ac:dyDescent="0.2">
      <c r="A504">
        <v>2022</v>
      </c>
      <c r="B504" s="36">
        <v>4206</v>
      </c>
      <c r="C504" s="49">
        <v>330902</v>
      </c>
    </row>
    <row r="505" spans="1:3" x14ac:dyDescent="0.2">
      <c r="A505">
        <v>2022</v>
      </c>
      <c r="B505" s="36">
        <v>4208</v>
      </c>
      <c r="C505" s="49">
        <v>1690502</v>
      </c>
    </row>
    <row r="506" spans="1:3" x14ac:dyDescent="0.2">
      <c r="A506">
        <v>2022</v>
      </c>
      <c r="B506" s="36">
        <v>4258</v>
      </c>
      <c r="C506" s="49">
        <v>628027</v>
      </c>
    </row>
    <row r="507" spans="1:3" x14ac:dyDescent="0.2">
      <c r="A507">
        <v>2022</v>
      </c>
      <c r="B507" s="36">
        <v>4259</v>
      </c>
      <c r="C507" s="49">
        <v>514284</v>
      </c>
    </row>
    <row r="508" spans="1:3" x14ac:dyDescent="0.2">
      <c r="A508">
        <v>2022</v>
      </c>
      <c r="B508" s="36">
        <v>4260</v>
      </c>
      <c r="C508" s="49">
        <v>838514</v>
      </c>
    </row>
    <row r="509" spans="1:3" x14ac:dyDescent="0.2">
      <c r="A509">
        <v>2022</v>
      </c>
      <c r="B509" s="36">
        <v>4301</v>
      </c>
      <c r="C509" s="49">
        <v>1595768</v>
      </c>
    </row>
    <row r="510" spans="1:3" x14ac:dyDescent="0.2">
      <c r="A510">
        <v>2022</v>
      </c>
      <c r="B510" s="36">
        <v>4351</v>
      </c>
      <c r="C510" s="49">
        <v>2353921</v>
      </c>
    </row>
    <row r="511" spans="1:3" x14ac:dyDescent="0.2">
      <c r="A511">
        <v>2022</v>
      </c>
      <c r="B511" s="36">
        <v>4353</v>
      </c>
      <c r="C511" s="49">
        <v>1409755</v>
      </c>
    </row>
    <row r="512" spans="1:3" x14ac:dyDescent="0.2">
      <c r="A512">
        <v>2022</v>
      </c>
      <c r="B512" s="36">
        <v>4355</v>
      </c>
      <c r="C512" s="49">
        <v>2464221</v>
      </c>
    </row>
    <row r="513" spans="1:3" x14ac:dyDescent="0.2">
      <c r="A513">
        <v>2022</v>
      </c>
      <c r="B513" s="36">
        <v>4356</v>
      </c>
      <c r="C513" s="49">
        <v>3905286</v>
      </c>
    </row>
    <row r="514" spans="1:3" x14ac:dyDescent="0.2">
      <c r="A514">
        <v>2022</v>
      </c>
      <c r="B514" s="36">
        <v>4357</v>
      </c>
      <c r="C514" s="49">
        <v>1753180</v>
      </c>
    </row>
    <row r="515" spans="1:3" x14ac:dyDescent="0.2">
      <c r="A515">
        <v>2022</v>
      </c>
      <c r="B515" s="36">
        <v>4358</v>
      </c>
      <c r="C515" s="49">
        <v>1322147</v>
      </c>
    </row>
    <row r="516" spans="1:3" x14ac:dyDescent="0.2">
      <c r="A516">
        <v>2022</v>
      </c>
      <c r="B516" s="36">
        <v>4360</v>
      </c>
      <c r="C516" s="49">
        <v>1398432</v>
      </c>
    </row>
    <row r="517" spans="1:3" x14ac:dyDescent="0.2">
      <c r="A517">
        <v>2022</v>
      </c>
      <c r="B517" s="36">
        <v>4361</v>
      </c>
      <c r="C517" s="49">
        <v>2634522</v>
      </c>
    </row>
    <row r="518" spans="1:3" x14ac:dyDescent="0.2">
      <c r="A518">
        <v>2022</v>
      </c>
      <c r="B518" s="36">
        <v>4363</v>
      </c>
      <c r="C518" s="49">
        <v>1495274</v>
      </c>
    </row>
    <row r="519" spans="1:3" x14ac:dyDescent="0.2">
      <c r="A519">
        <v>2022</v>
      </c>
      <c r="B519" s="36">
        <v>4364</v>
      </c>
      <c r="C519" s="49">
        <v>1615948</v>
      </c>
    </row>
    <row r="520" spans="1:3" x14ac:dyDescent="0.2">
      <c r="A520">
        <v>2022</v>
      </c>
      <c r="B520" s="36">
        <v>4365</v>
      </c>
      <c r="C520" s="49">
        <v>1075669</v>
      </c>
    </row>
    <row r="521" spans="1:3" x14ac:dyDescent="0.2">
      <c r="A521">
        <v>2022</v>
      </c>
      <c r="B521" s="36">
        <v>4366</v>
      </c>
      <c r="C521" s="49">
        <v>5623831</v>
      </c>
    </row>
    <row r="522" spans="1:3" x14ac:dyDescent="0.2">
      <c r="A522">
        <v>2022</v>
      </c>
      <c r="B522" s="36">
        <v>4367</v>
      </c>
      <c r="C522" s="49">
        <v>9654501</v>
      </c>
    </row>
    <row r="523" spans="1:3" x14ac:dyDescent="0.2">
      <c r="A523">
        <v>2022</v>
      </c>
      <c r="B523" s="36">
        <v>4368</v>
      </c>
      <c r="C523" s="49">
        <v>7302852</v>
      </c>
    </row>
    <row r="524" spans="1:3" x14ac:dyDescent="0.2">
      <c r="A524">
        <v>2022</v>
      </c>
      <c r="B524" s="36">
        <v>4428</v>
      </c>
      <c r="C524" s="49">
        <v>427567</v>
      </c>
    </row>
    <row r="525" spans="1:3" x14ac:dyDescent="0.2">
      <c r="A525">
        <v>2022</v>
      </c>
      <c r="B525" s="36">
        <v>4430</v>
      </c>
      <c r="C525" s="49">
        <v>482932</v>
      </c>
    </row>
    <row r="526" spans="1:3" x14ac:dyDescent="0.2">
      <c r="A526">
        <v>2022</v>
      </c>
      <c r="B526" s="36">
        <v>4434</v>
      </c>
      <c r="C526" s="49">
        <v>194721</v>
      </c>
    </row>
    <row r="527" spans="1:3" x14ac:dyDescent="0.2">
      <c r="A527">
        <v>2022</v>
      </c>
      <c r="B527" s="36">
        <v>4437</v>
      </c>
      <c r="C527" s="49">
        <v>692592</v>
      </c>
    </row>
    <row r="528" spans="1:3" x14ac:dyDescent="0.2">
      <c r="A528">
        <v>2022</v>
      </c>
      <c r="B528" s="36">
        <v>4438</v>
      </c>
      <c r="C528" s="49">
        <v>479590</v>
      </c>
    </row>
    <row r="529" spans="1:3" x14ac:dyDescent="0.2">
      <c r="A529">
        <v>2022</v>
      </c>
      <c r="B529" s="36">
        <v>4439</v>
      </c>
      <c r="C529" s="49">
        <v>691192</v>
      </c>
    </row>
    <row r="530" spans="1:3" x14ac:dyDescent="0.2">
      <c r="A530">
        <v>2022</v>
      </c>
      <c r="B530" s="36">
        <v>4504</v>
      </c>
      <c r="C530" s="49">
        <v>447387</v>
      </c>
    </row>
    <row r="531" spans="1:3" x14ac:dyDescent="0.2">
      <c r="A531">
        <v>2022</v>
      </c>
      <c r="B531" s="36">
        <v>4531</v>
      </c>
      <c r="C531" s="49">
        <v>623186</v>
      </c>
    </row>
    <row r="532" spans="1:3" x14ac:dyDescent="0.2">
      <c r="A532">
        <v>2022</v>
      </c>
      <c r="B532" s="36">
        <v>4532</v>
      </c>
      <c r="C532" s="49">
        <v>1015230</v>
      </c>
    </row>
    <row r="533" spans="1:3" x14ac:dyDescent="0.2">
      <c r="A533">
        <v>2022</v>
      </c>
      <c r="B533" s="36">
        <v>4533</v>
      </c>
      <c r="C533" s="49">
        <v>778837</v>
      </c>
    </row>
    <row r="534" spans="1:3" x14ac:dyDescent="0.2">
      <c r="A534">
        <v>2022</v>
      </c>
      <c r="B534" s="36">
        <v>4534</v>
      </c>
      <c r="C534" s="49">
        <v>736033</v>
      </c>
    </row>
    <row r="535" spans="1:3" x14ac:dyDescent="0.2">
      <c r="A535">
        <v>2022</v>
      </c>
      <c r="B535" s="36">
        <v>4557</v>
      </c>
      <c r="C535" s="49">
        <v>406008</v>
      </c>
    </row>
    <row r="536" spans="1:3" x14ac:dyDescent="0.2">
      <c r="A536">
        <v>2022</v>
      </c>
      <c r="B536" s="36">
        <v>4582</v>
      </c>
      <c r="C536" s="49">
        <v>717877</v>
      </c>
    </row>
    <row r="537" spans="1:3" x14ac:dyDescent="0.2">
      <c r="A537">
        <v>2022</v>
      </c>
      <c r="B537" s="36">
        <v>4583</v>
      </c>
      <c r="C537" s="49">
        <v>605503</v>
      </c>
    </row>
    <row r="538" spans="1:3" x14ac:dyDescent="0.2">
      <c r="A538">
        <v>2022</v>
      </c>
      <c r="B538" s="36">
        <v>4586</v>
      </c>
      <c r="C538" s="49">
        <v>599572</v>
      </c>
    </row>
    <row r="539" spans="1:3" x14ac:dyDescent="0.2">
      <c r="A539">
        <v>2022</v>
      </c>
      <c r="B539" s="36">
        <v>4588</v>
      </c>
      <c r="C539" s="49">
        <v>566693</v>
      </c>
    </row>
    <row r="540" spans="1:3" x14ac:dyDescent="0.2">
      <c r="A540">
        <v>2022</v>
      </c>
      <c r="B540" s="36">
        <v>4590</v>
      </c>
      <c r="C540" s="49">
        <v>634471</v>
      </c>
    </row>
    <row r="541" spans="1:3" x14ac:dyDescent="0.2">
      <c r="A541">
        <v>2022</v>
      </c>
      <c r="B541" s="36">
        <v>4592</v>
      </c>
      <c r="C541" s="49">
        <v>386004</v>
      </c>
    </row>
    <row r="542" spans="1:3" x14ac:dyDescent="0.2">
      <c r="A542">
        <v>2022</v>
      </c>
      <c r="B542" s="36">
        <v>4593</v>
      </c>
      <c r="C542" s="49">
        <v>636160</v>
      </c>
    </row>
    <row r="543" spans="1:3" x14ac:dyDescent="0.2">
      <c r="A543">
        <v>2022</v>
      </c>
      <c r="B543" s="36">
        <v>4594</v>
      </c>
      <c r="C543" s="49">
        <v>747181</v>
      </c>
    </row>
    <row r="544" spans="1:3" x14ac:dyDescent="0.2">
      <c r="A544">
        <v>2022</v>
      </c>
      <c r="B544" s="36">
        <v>4595</v>
      </c>
      <c r="C544" s="49">
        <v>694975</v>
      </c>
    </row>
    <row r="545" spans="1:3" x14ac:dyDescent="0.2">
      <c r="A545">
        <v>2022</v>
      </c>
      <c r="B545" s="36">
        <v>4596</v>
      </c>
      <c r="C545" s="49">
        <v>648229</v>
      </c>
    </row>
    <row r="546" spans="1:3" x14ac:dyDescent="0.2">
      <c r="A546">
        <v>2022</v>
      </c>
      <c r="B546" s="36">
        <v>4597</v>
      </c>
      <c r="C546" s="49">
        <v>868374</v>
      </c>
    </row>
    <row r="547" spans="1:3" x14ac:dyDescent="0.2">
      <c r="A547">
        <v>2022</v>
      </c>
      <c r="B547" s="36">
        <v>4598</v>
      </c>
      <c r="C547" s="49">
        <v>857230</v>
      </c>
    </row>
    <row r="548" spans="1:3" x14ac:dyDescent="0.2">
      <c r="A548">
        <v>2022</v>
      </c>
      <c r="B548" s="36">
        <v>4604</v>
      </c>
      <c r="C548" s="49">
        <v>1142825</v>
      </c>
    </row>
    <row r="549" spans="1:3" x14ac:dyDescent="0.2">
      <c r="A549">
        <v>2022</v>
      </c>
      <c r="B549" s="36">
        <v>4617</v>
      </c>
      <c r="C549" s="49">
        <v>387237</v>
      </c>
    </row>
    <row r="550" spans="1:3" x14ac:dyDescent="0.2">
      <c r="A550">
        <v>2022</v>
      </c>
      <c r="B550" s="36">
        <v>4620</v>
      </c>
      <c r="C550" s="49">
        <v>818947</v>
      </c>
    </row>
    <row r="551" spans="1:3" x14ac:dyDescent="0.2">
      <c r="A551">
        <v>2022</v>
      </c>
      <c r="B551" s="36">
        <v>4651</v>
      </c>
      <c r="C551" s="49">
        <v>952558</v>
      </c>
    </row>
    <row r="552" spans="1:3" x14ac:dyDescent="0.2">
      <c r="A552">
        <v>2022</v>
      </c>
      <c r="B552" s="36">
        <v>4653</v>
      </c>
      <c r="C552" s="49">
        <v>2945940</v>
      </c>
    </row>
    <row r="553" spans="1:3" x14ac:dyDescent="0.2">
      <c r="A553">
        <v>2022</v>
      </c>
      <c r="B553" s="36">
        <v>4654</v>
      </c>
      <c r="C553" s="49">
        <v>3183680</v>
      </c>
    </row>
    <row r="554" spans="1:3" x14ac:dyDescent="0.2">
      <c r="A554">
        <v>2022</v>
      </c>
      <c r="B554" s="36">
        <v>4662</v>
      </c>
      <c r="C554" s="49">
        <v>733821</v>
      </c>
    </row>
    <row r="555" spans="1:3" x14ac:dyDescent="0.2">
      <c r="A555">
        <v>2022</v>
      </c>
      <c r="B555" s="36">
        <v>4663</v>
      </c>
      <c r="C555" s="49">
        <v>843768</v>
      </c>
    </row>
    <row r="556" spans="1:3" x14ac:dyDescent="0.2">
      <c r="A556">
        <v>2022</v>
      </c>
      <c r="B556" s="36">
        <v>4679</v>
      </c>
      <c r="C556" s="49">
        <v>624355</v>
      </c>
    </row>
    <row r="557" spans="1:3" x14ac:dyDescent="0.2">
      <c r="A557">
        <v>2022</v>
      </c>
      <c r="B557" s="36">
        <v>4680</v>
      </c>
      <c r="C557" s="49">
        <v>586457</v>
      </c>
    </row>
    <row r="558" spans="1:3" x14ac:dyDescent="0.2">
      <c r="A558">
        <v>2022</v>
      </c>
      <c r="B558" s="36">
        <v>4701</v>
      </c>
      <c r="C558" s="49">
        <v>1009713</v>
      </c>
    </row>
    <row r="559" spans="1:3" x14ac:dyDescent="0.2">
      <c r="A559">
        <v>2022</v>
      </c>
      <c r="B559" s="36">
        <v>4703</v>
      </c>
      <c r="C559" s="49">
        <v>821824</v>
      </c>
    </row>
    <row r="560" spans="1:3" x14ac:dyDescent="0.2">
      <c r="A560">
        <v>2022</v>
      </c>
      <c r="B560" s="36">
        <v>4704</v>
      </c>
      <c r="C560" s="49">
        <v>705848</v>
      </c>
    </row>
    <row r="561" spans="1:3" x14ac:dyDescent="0.2">
      <c r="A561">
        <v>2022</v>
      </c>
      <c r="B561" s="36">
        <v>4705</v>
      </c>
      <c r="C561" s="49">
        <v>1060217</v>
      </c>
    </row>
    <row r="562" spans="1:3" x14ac:dyDescent="0.2">
      <c r="A562">
        <v>2022</v>
      </c>
      <c r="B562" s="36">
        <v>4854</v>
      </c>
      <c r="C562" s="49">
        <v>1014262</v>
      </c>
    </row>
    <row r="563" spans="1:3" x14ac:dyDescent="0.2">
      <c r="A563">
        <v>2022</v>
      </c>
      <c r="B563" s="36">
        <v>4855</v>
      </c>
      <c r="C563" s="49">
        <v>326880</v>
      </c>
    </row>
    <row r="564" spans="1:3" x14ac:dyDescent="0.2">
      <c r="A564">
        <v>2022</v>
      </c>
      <c r="B564" s="36">
        <v>4857</v>
      </c>
      <c r="C564" s="49">
        <v>1969906</v>
      </c>
    </row>
    <row r="565" spans="1:3" x14ac:dyDescent="0.2">
      <c r="A565">
        <v>2022</v>
      </c>
      <c r="B565" s="36">
        <v>4862</v>
      </c>
      <c r="C565" s="49">
        <v>1872406</v>
      </c>
    </row>
    <row r="566" spans="1:3" x14ac:dyDescent="0.2">
      <c r="A566">
        <v>2022</v>
      </c>
      <c r="B566" s="36">
        <v>4863</v>
      </c>
      <c r="C566" s="49">
        <v>2162574</v>
      </c>
    </row>
    <row r="567" spans="1:3" x14ac:dyDescent="0.2">
      <c r="A567">
        <v>2022</v>
      </c>
      <c r="B567" s="36">
        <v>4877</v>
      </c>
      <c r="C567" s="49">
        <v>873578</v>
      </c>
    </row>
    <row r="568" spans="1:3" x14ac:dyDescent="0.2">
      <c r="A568">
        <v>2022</v>
      </c>
      <c r="B568" s="36">
        <v>4879</v>
      </c>
      <c r="C568" s="49">
        <v>743696</v>
      </c>
    </row>
    <row r="569" spans="1:3" x14ac:dyDescent="0.2">
      <c r="A569">
        <v>2022</v>
      </c>
      <c r="B569" s="36">
        <v>4883</v>
      </c>
      <c r="C569" s="49">
        <v>24159</v>
      </c>
    </row>
    <row r="570" spans="1:3" x14ac:dyDescent="0.2">
      <c r="A570">
        <v>2022</v>
      </c>
      <c r="B570" s="36">
        <v>4884</v>
      </c>
      <c r="C570" s="49">
        <v>315397</v>
      </c>
    </row>
    <row r="571" spans="1:3" x14ac:dyDescent="0.2">
      <c r="A571">
        <v>2022</v>
      </c>
      <c r="B571" s="36">
        <v>4885</v>
      </c>
      <c r="C571" s="49">
        <v>815500</v>
      </c>
    </row>
    <row r="572" spans="1:3" x14ac:dyDescent="0.2">
      <c r="A572">
        <v>2022</v>
      </c>
      <c r="B572" s="36">
        <v>4890</v>
      </c>
      <c r="C572" s="49">
        <v>1233707</v>
      </c>
    </row>
    <row r="573" spans="1:3" x14ac:dyDescent="0.2">
      <c r="A573">
        <v>2022</v>
      </c>
      <c r="B573" s="36">
        <v>4892</v>
      </c>
      <c r="C573" s="49">
        <v>1170578</v>
      </c>
    </row>
    <row r="574" spans="1:3" x14ac:dyDescent="0.2">
      <c r="A574">
        <v>2022</v>
      </c>
      <c r="B574" s="36">
        <v>4894</v>
      </c>
      <c r="C574" s="49">
        <v>1211701</v>
      </c>
    </row>
    <row r="575" spans="1:3" x14ac:dyDescent="0.2">
      <c r="A575">
        <v>2022</v>
      </c>
      <c r="B575" s="36">
        <v>4901</v>
      </c>
      <c r="C575" s="49">
        <v>796488</v>
      </c>
    </row>
    <row r="576" spans="1:3" x14ac:dyDescent="0.2">
      <c r="A576">
        <v>2022</v>
      </c>
      <c r="B576" s="36">
        <v>4906</v>
      </c>
      <c r="C576" s="49">
        <v>1044959</v>
      </c>
    </row>
    <row r="577" spans="1:3" x14ac:dyDescent="0.2">
      <c r="A577">
        <v>2022</v>
      </c>
      <c r="B577" s="36">
        <v>4907</v>
      </c>
      <c r="C577" s="49">
        <v>1662360</v>
      </c>
    </row>
    <row r="578" spans="1:3" x14ac:dyDescent="0.2">
      <c r="A578">
        <v>2022</v>
      </c>
      <c r="B578" s="36">
        <v>4908</v>
      </c>
      <c r="C578" s="49">
        <v>452119</v>
      </c>
    </row>
    <row r="579" spans="1:3" x14ac:dyDescent="0.2">
      <c r="A579">
        <v>2022</v>
      </c>
      <c r="B579" s="36">
        <v>4909</v>
      </c>
      <c r="C579" s="49">
        <v>1189335</v>
      </c>
    </row>
    <row r="580" spans="1:3" x14ac:dyDescent="0.2">
      <c r="A580">
        <v>2022</v>
      </c>
      <c r="B580" s="36">
        <v>4910</v>
      </c>
      <c r="C580" s="49">
        <v>586012</v>
      </c>
    </row>
    <row r="581" spans="1:3" x14ac:dyDescent="0.2">
      <c r="A581">
        <v>2022</v>
      </c>
      <c r="B581" s="36">
        <v>4976</v>
      </c>
      <c r="C581" s="49">
        <v>268169</v>
      </c>
    </row>
    <row r="582" spans="1:3" x14ac:dyDescent="0.2">
      <c r="A582">
        <v>2022</v>
      </c>
      <c r="B582" s="36">
        <v>4978</v>
      </c>
      <c r="C582" s="49">
        <v>327698</v>
      </c>
    </row>
    <row r="583" spans="1:3" x14ac:dyDescent="0.2">
      <c r="A583">
        <v>2022</v>
      </c>
      <c r="B583" s="36">
        <v>4979</v>
      </c>
      <c r="C583" s="49">
        <v>428965</v>
      </c>
    </row>
    <row r="584" spans="1:3" x14ac:dyDescent="0.2">
      <c r="A584">
        <v>2022</v>
      </c>
      <c r="B584" s="36">
        <v>4980</v>
      </c>
      <c r="C584" s="49">
        <v>223037</v>
      </c>
    </row>
    <row r="585" spans="1:3" x14ac:dyDescent="0.2">
      <c r="A585">
        <v>2022</v>
      </c>
      <c r="B585" s="36">
        <v>4981</v>
      </c>
      <c r="C585" s="49">
        <v>263171</v>
      </c>
    </row>
    <row r="586" spans="1:3" x14ac:dyDescent="0.2">
      <c r="A586">
        <v>2022</v>
      </c>
      <c r="B586" s="36">
        <v>4982</v>
      </c>
      <c r="C586" s="49">
        <v>458334</v>
      </c>
    </row>
    <row r="587" spans="1:3" x14ac:dyDescent="0.2">
      <c r="A587">
        <v>2022</v>
      </c>
      <c r="B587" s="36">
        <v>4983</v>
      </c>
      <c r="C587" s="49">
        <v>314149</v>
      </c>
    </row>
    <row r="588" spans="1:3" x14ac:dyDescent="0.2">
      <c r="A588">
        <v>2022</v>
      </c>
      <c r="B588" s="36">
        <v>5001</v>
      </c>
      <c r="C588" s="49">
        <v>677295</v>
      </c>
    </row>
    <row r="589" spans="1:3" x14ac:dyDescent="0.2">
      <c r="A589">
        <v>2022</v>
      </c>
      <c r="B589" s="36">
        <v>5002</v>
      </c>
      <c r="C589" s="49">
        <v>406075</v>
      </c>
    </row>
    <row r="590" spans="1:3" x14ac:dyDescent="0.2">
      <c r="A590">
        <v>2022</v>
      </c>
      <c r="B590" s="36">
        <v>5003</v>
      </c>
      <c r="C590" s="49">
        <v>519927</v>
      </c>
    </row>
    <row r="591" spans="1:3" x14ac:dyDescent="0.2">
      <c r="A591">
        <v>2022</v>
      </c>
      <c r="B591" s="36">
        <v>5026</v>
      </c>
      <c r="C591" s="49">
        <v>343057</v>
      </c>
    </row>
    <row r="592" spans="1:3" x14ac:dyDescent="0.2">
      <c r="A592">
        <v>2022</v>
      </c>
      <c r="B592" s="36">
        <v>5027</v>
      </c>
      <c r="C592" s="49">
        <v>645555</v>
      </c>
    </row>
    <row r="593" spans="1:3" x14ac:dyDescent="0.2">
      <c r="A593">
        <v>2022</v>
      </c>
      <c r="B593" s="36">
        <v>5028</v>
      </c>
      <c r="C593" s="49">
        <v>330139</v>
      </c>
    </row>
    <row r="594" spans="1:3" x14ac:dyDescent="0.2">
      <c r="A594">
        <v>2022</v>
      </c>
      <c r="B594" s="36">
        <v>5076</v>
      </c>
      <c r="C594" s="49">
        <v>939223</v>
      </c>
    </row>
    <row r="595" spans="1:3" x14ac:dyDescent="0.2">
      <c r="A595">
        <v>2022</v>
      </c>
      <c r="B595" s="36">
        <v>5078</v>
      </c>
      <c r="C595" s="49">
        <v>733118</v>
      </c>
    </row>
    <row r="596" spans="1:3" x14ac:dyDescent="0.2">
      <c r="A596">
        <v>2022</v>
      </c>
      <c r="B596" s="36">
        <v>5102</v>
      </c>
      <c r="C596" s="49">
        <v>2317284</v>
      </c>
    </row>
    <row r="597" spans="1:3" x14ac:dyDescent="0.2">
      <c r="A597">
        <v>2022</v>
      </c>
      <c r="B597" s="36">
        <v>5103</v>
      </c>
      <c r="C597" s="49">
        <v>1230917</v>
      </c>
    </row>
    <row r="598" spans="1:3" x14ac:dyDescent="0.2">
      <c r="A598">
        <v>2022</v>
      </c>
      <c r="B598" s="36">
        <v>5107</v>
      </c>
      <c r="C598" s="49">
        <v>890090</v>
      </c>
    </row>
    <row r="599" spans="1:3" x14ac:dyDescent="0.2">
      <c r="A599">
        <v>2022</v>
      </c>
      <c r="B599" s="36">
        <v>5108</v>
      </c>
      <c r="C599" s="49">
        <v>732938</v>
      </c>
    </row>
    <row r="600" spans="1:3" x14ac:dyDescent="0.2">
      <c r="A600">
        <v>2022</v>
      </c>
      <c r="B600" s="36">
        <v>5251</v>
      </c>
      <c r="C600" s="49">
        <v>585521</v>
      </c>
    </row>
    <row r="601" spans="1:3" x14ac:dyDescent="0.2">
      <c r="A601">
        <v>2022</v>
      </c>
      <c r="B601" s="36">
        <v>5253</v>
      </c>
      <c r="C601" s="49">
        <v>671963</v>
      </c>
    </row>
    <row r="602" spans="1:3" x14ac:dyDescent="0.2">
      <c r="A602">
        <v>2022</v>
      </c>
      <c r="B602" s="36">
        <v>5276</v>
      </c>
      <c r="C602" s="49">
        <v>959125</v>
      </c>
    </row>
    <row r="603" spans="1:3" x14ac:dyDescent="0.2">
      <c r="A603">
        <v>2022</v>
      </c>
      <c r="B603" s="36">
        <v>5281</v>
      </c>
      <c r="C603" s="49">
        <v>395064</v>
      </c>
    </row>
    <row r="604" spans="1:3" x14ac:dyDescent="0.2">
      <c r="A604">
        <v>2022</v>
      </c>
      <c r="B604" s="36">
        <v>5282</v>
      </c>
      <c r="C604" s="49">
        <v>358340</v>
      </c>
    </row>
    <row r="605" spans="1:3" x14ac:dyDescent="0.2">
      <c r="A605">
        <v>2022</v>
      </c>
      <c r="B605" s="36">
        <v>5301</v>
      </c>
      <c r="C605" s="49">
        <v>396444</v>
      </c>
    </row>
    <row r="606" spans="1:3" x14ac:dyDescent="0.2">
      <c r="A606">
        <v>2022</v>
      </c>
      <c r="B606" s="36">
        <v>5303</v>
      </c>
      <c r="C606" s="49">
        <v>221489</v>
      </c>
    </row>
    <row r="607" spans="1:3" x14ac:dyDescent="0.2">
      <c r="A607">
        <v>2022</v>
      </c>
      <c r="B607" s="36">
        <v>5305</v>
      </c>
      <c r="C607" s="49">
        <v>305336</v>
      </c>
    </row>
    <row r="608" spans="1:3" x14ac:dyDescent="0.2">
      <c r="A608">
        <v>2022</v>
      </c>
      <c r="B608" s="36">
        <v>5306</v>
      </c>
      <c r="C608" s="49">
        <v>505172</v>
      </c>
    </row>
    <row r="609" spans="1:3" x14ac:dyDescent="0.2">
      <c r="A609">
        <v>2022</v>
      </c>
      <c r="B609" s="36">
        <v>5307</v>
      </c>
      <c r="C609" s="49">
        <v>704798</v>
      </c>
    </row>
    <row r="610" spans="1:3" x14ac:dyDescent="0.2">
      <c r="A610">
        <v>2022</v>
      </c>
      <c r="B610" s="36">
        <v>5308</v>
      </c>
      <c r="C610" s="49">
        <v>464557</v>
      </c>
    </row>
    <row r="611" spans="1:3" x14ac:dyDescent="0.2">
      <c r="A611">
        <v>2022</v>
      </c>
      <c r="B611" s="36">
        <v>5309</v>
      </c>
      <c r="C611" s="49">
        <v>208025</v>
      </c>
    </row>
    <row r="612" spans="1:3" x14ac:dyDescent="0.2">
      <c r="A612">
        <v>2022</v>
      </c>
      <c r="B612" s="36">
        <v>5351</v>
      </c>
      <c r="C612" s="49">
        <v>2870322</v>
      </c>
    </row>
    <row r="613" spans="1:3" x14ac:dyDescent="0.2">
      <c r="A613">
        <v>2022</v>
      </c>
      <c r="B613" s="36">
        <v>5352</v>
      </c>
      <c r="C613" s="49">
        <v>43711</v>
      </c>
    </row>
    <row r="614" spans="1:3" x14ac:dyDescent="0.2">
      <c r="A614">
        <v>2022</v>
      </c>
      <c r="B614" s="36">
        <v>5353</v>
      </c>
      <c r="C614" s="49">
        <v>344732</v>
      </c>
    </row>
    <row r="615" spans="1:3" x14ac:dyDescent="0.2">
      <c r="A615">
        <v>2022</v>
      </c>
      <c r="B615" s="36">
        <v>5354</v>
      </c>
      <c r="C615" s="49">
        <v>917069</v>
      </c>
    </row>
    <row r="616" spans="1:3" x14ac:dyDescent="0.2">
      <c r="A616">
        <v>2022</v>
      </c>
      <c r="B616" s="36">
        <v>5355</v>
      </c>
      <c r="C616" s="49">
        <v>1827354</v>
      </c>
    </row>
    <row r="617" spans="1:3" x14ac:dyDescent="0.2">
      <c r="A617">
        <v>2022</v>
      </c>
      <c r="B617" s="36">
        <v>5356</v>
      </c>
      <c r="C617" s="49">
        <v>552435</v>
      </c>
    </row>
    <row r="618" spans="1:3" x14ac:dyDescent="0.2">
      <c r="A618">
        <v>2022</v>
      </c>
      <c r="B618" s="36">
        <v>5357</v>
      </c>
      <c r="C618" s="49">
        <v>2732713</v>
      </c>
    </row>
    <row r="619" spans="1:3" x14ac:dyDescent="0.2">
      <c r="A619">
        <v>2022</v>
      </c>
      <c r="B619" s="36">
        <v>5358</v>
      </c>
      <c r="C619" s="49">
        <v>5619147</v>
      </c>
    </row>
    <row r="620" spans="1:3" x14ac:dyDescent="0.2">
      <c r="A620">
        <v>2022</v>
      </c>
      <c r="B620" s="36">
        <v>5359</v>
      </c>
      <c r="C620" s="49">
        <v>462686</v>
      </c>
    </row>
    <row r="621" spans="1:3" x14ac:dyDescent="0.2">
      <c r="A621">
        <v>2022</v>
      </c>
      <c r="B621" s="36">
        <v>5360</v>
      </c>
      <c r="C621" s="49">
        <v>329137</v>
      </c>
    </row>
    <row r="622" spans="1:3" x14ac:dyDescent="0.2">
      <c r="A622">
        <v>2022</v>
      </c>
      <c r="B622" s="36">
        <v>5361</v>
      </c>
      <c r="C622" s="49">
        <v>2495584</v>
      </c>
    </row>
    <row r="623" spans="1:3" x14ac:dyDescent="0.2">
      <c r="A623">
        <v>2022</v>
      </c>
      <c r="B623" s="36">
        <v>5362</v>
      </c>
      <c r="C623" s="49">
        <v>303041</v>
      </c>
    </row>
    <row r="624" spans="1:3" x14ac:dyDescent="0.2">
      <c r="A624">
        <v>2022</v>
      </c>
      <c r="B624" s="36">
        <v>5363</v>
      </c>
      <c r="C624" s="49">
        <v>2294599</v>
      </c>
    </row>
    <row r="625" spans="1:3" x14ac:dyDescent="0.2">
      <c r="A625">
        <v>2022</v>
      </c>
      <c r="B625" s="36">
        <v>5364</v>
      </c>
      <c r="C625" s="49">
        <v>687160</v>
      </c>
    </row>
    <row r="626" spans="1:3" x14ac:dyDescent="0.2">
      <c r="A626">
        <v>2022</v>
      </c>
      <c r="B626" s="36">
        <v>5365</v>
      </c>
      <c r="C626" s="49">
        <v>24906</v>
      </c>
    </row>
    <row r="627" spans="1:3" x14ac:dyDescent="0.2">
      <c r="A627">
        <v>2022</v>
      </c>
      <c r="B627" s="36">
        <v>5367</v>
      </c>
      <c r="C627" s="49">
        <v>618538</v>
      </c>
    </row>
    <row r="628" spans="1:3" x14ac:dyDescent="0.2">
      <c r="A628">
        <v>2022</v>
      </c>
      <c r="B628" s="36">
        <v>5368</v>
      </c>
      <c r="C628" s="49">
        <v>514310</v>
      </c>
    </row>
    <row r="629" spans="1:3" x14ac:dyDescent="0.2">
      <c r="A629">
        <v>2022</v>
      </c>
      <c r="B629" s="36">
        <v>5369</v>
      </c>
      <c r="C629" s="49">
        <v>141329</v>
      </c>
    </row>
    <row r="630" spans="1:3" x14ac:dyDescent="0.2">
      <c r="A630">
        <v>2022</v>
      </c>
      <c r="B630" s="36">
        <v>5371</v>
      </c>
      <c r="C630" s="49">
        <v>191085</v>
      </c>
    </row>
    <row r="631" spans="1:3" x14ac:dyDescent="0.2">
      <c r="A631">
        <v>2022</v>
      </c>
      <c r="B631" s="36">
        <v>5372</v>
      </c>
      <c r="C631" s="49">
        <v>1286178</v>
      </c>
    </row>
    <row r="632" spans="1:3" x14ac:dyDescent="0.2">
      <c r="A632">
        <v>2022</v>
      </c>
      <c r="B632" s="36">
        <v>5375</v>
      </c>
      <c r="C632" s="49">
        <v>1642227</v>
      </c>
    </row>
    <row r="633" spans="1:3" x14ac:dyDescent="0.2">
      <c r="A633">
        <v>2022</v>
      </c>
      <c r="B633" s="36">
        <v>5376</v>
      </c>
      <c r="C633" s="49">
        <v>734593</v>
      </c>
    </row>
    <row r="634" spans="1:3" x14ac:dyDescent="0.2">
      <c r="A634">
        <v>2022</v>
      </c>
      <c r="B634" s="36">
        <v>5379</v>
      </c>
      <c r="C634" s="49">
        <v>27376</v>
      </c>
    </row>
    <row r="635" spans="1:3" x14ac:dyDescent="0.2">
      <c r="A635">
        <v>2022</v>
      </c>
      <c r="B635" s="36">
        <v>5380</v>
      </c>
      <c r="C635" s="49">
        <v>329899</v>
      </c>
    </row>
    <row r="636" spans="1:3" x14ac:dyDescent="0.2">
      <c r="A636">
        <v>2022</v>
      </c>
      <c r="B636" s="36">
        <v>5403</v>
      </c>
      <c r="C636" s="49">
        <v>3994896</v>
      </c>
    </row>
    <row r="637" spans="1:3" x14ac:dyDescent="0.2">
      <c r="A637">
        <v>2022</v>
      </c>
      <c r="B637" s="36">
        <v>5406</v>
      </c>
      <c r="C637" s="49">
        <v>1650075</v>
      </c>
    </row>
    <row r="638" spans="1:3" x14ac:dyDescent="0.2">
      <c r="A638">
        <v>2022</v>
      </c>
      <c r="B638" s="36">
        <v>5407</v>
      </c>
      <c r="C638" s="49">
        <v>2605617</v>
      </c>
    </row>
    <row r="639" spans="1:3" x14ac:dyDescent="0.2">
      <c r="A639">
        <v>2022</v>
      </c>
      <c r="B639" s="36">
        <v>5408</v>
      </c>
      <c r="C639" s="49">
        <v>2862867</v>
      </c>
    </row>
    <row r="640" spans="1:3" x14ac:dyDescent="0.2">
      <c r="A640">
        <v>2022</v>
      </c>
      <c r="B640" s="36">
        <v>5409</v>
      </c>
      <c r="C640" s="49">
        <v>3318724</v>
      </c>
    </row>
    <row r="641" spans="1:3" x14ac:dyDescent="0.2">
      <c r="A641">
        <v>2022</v>
      </c>
      <c r="B641" s="36">
        <v>5415</v>
      </c>
      <c r="C641" s="49">
        <v>1850316</v>
      </c>
    </row>
    <row r="642" spans="1:3" x14ac:dyDescent="0.2">
      <c r="A642">
        <v>2022</v>
      </c>
      <c r="B642" s="36">
        <v>5416</v>
      </c>
      <c r="C642" s="49">
        <v>752455</v>
      </c>
    </row>
    <row r="643" spans="1:3" x14ac:dyDescent="0.2">
      <c r="A643">
        <v>2022</v>
      </c>
      <c r="B643" s="36">
        <v>5418</v>
      </c>
      <c r="C643" s="49">
        <v>3352736</v>
      </c>
    </row>
    <row r="644" spans="1:3" x14ac:dyDescent="0.2">
      <c r="A644">
        <v>2022</v>
      </c>
      <c r="B644" s="36">
        <v>5420</v>
      </c>
      <c r="C644" s="49">
        <v>3228251</v>
      </c>
    </row>
    <row r="645" spans="1:3" x14ac:dyDescent="0.2">
      <c r="A645">
        <v>2022</v>
      </c>
      <c r="B645" s="36">
        <v>5427</v>
      </c>
      <c r="C645" s="49">
        <v>147317</v>
      </c>
    </row>
    <row r="646" spans="1:3" x14ac:dyDescent="0.2">
      <c r="A646">
        <v>2022</v>
      </c>
      <c r="B646" s="36">
        <v>5457</v>
      </c>
      <c r="C646" s="49">
        <v>2451999</v>
      </c>
    </row>
    <row r="647" spans="1:3" x14ac:dyDescent="0.2">
      <c r="A647">
        <v>2022</v>
      </c>
      <c r="B647" s="36">
        <v>5458</v>
      </c>
      <c r="C647" s="49">
        <v>2610620</v>
      </c>
    </row>
    <row r="648" spans="1:3" x14ac:dyDescent="0.2">
      <c r="A648">
        <v>2022</v>
      </c>
      <c r="B648" s="36">
        <v>5501</v>
      </c>
      <c r="C648" s="49">
        <v>1042741</v>
      </c>
    </row>
    <row r="649" spans="1:3" x14ac:dyDescent="0.2">
      <c r="A649">
        <v>2022</v>
      </c>
      <c r="B649" s="36">
        <v>5504</v>
      </c>
      <c r="C649" s="49">
        <v>1037491</v>
      </c>
    </row>
    <row r="650" spans="1:3" x14ac:dyDescent="0.2">
      <c r="A650">
        <v>2022</v>
      </c>
      <c r="B650" s="36">
        <v>5505</v>
      </c>
      <c r="C650" s="49">
        <v>347460</v>
      </c>
    </row>
    <row r="651" spans="1:3" x14ac:dyDescent="0.2">
      <c r="A651">
        <v>2022</v>
      </c>
      <c r="B651" s="36">
        <v>5506</v>
      </c>
      <c r="C651" s="49">
        <v>510576</v>
      </c>
    </row>
    <row r="652" spans="1:3" x14ac:dyDescent="0.2">
      <c r="A652">
        <v>2022</v>
      </c>
      <c r="B652" s="36">
        <v>5507</v>
      </c>
      <c r="C652" s="49">
        <v>593773</v>
      </c>
    </row>
    <row r="653" spans="1:3" x14ac:dyDescent="0.2">
      <c r="A653">
        <v>2022</v>
      </c>
      <c r="B653" s="36">
        <v>5527</v>
      </c>
      <c r="C653" s="49">
        <v>564178</v>
      </c>
    </row>
    <row r="654" spans="1:3" x14ac:dyDescent="0.2">
      <c r="A654">
        <v>2022</v>
      </c>
      <c r="B654" s="36">
        <v>5528</v>
      </c>
      <c r="C654" s="49">
        <v>674117</v>
      </c>
    </row>
    <row r="655" spans="1:3" x14ac:dyDescent="0.2">
      <c r="A655">
        <v>2022</v>
      </c>
      <c r="B655" s="36">
        <v>5530</v>
      </c>
      <c r="C655" s="49">
        <v>950827</v>
      </c>
    </row>
    <row r="656" spans="1:3" x14ac:dyDescent="0.2">
      <c r="A656">
        <v>2022</v>
      </c>
      <c r="B656" s="36">
        <v>5533</v>
      </c>
      <c r="C656" s="49">
        <v>260920</v>
      </c>
    </row>
    <row r="657" spans="1:3" x14ac:dyDescent="0.2">
      <c r="A657">
        <v>2022</v>
      </c>
      <c r="B657" s="36">
        <v>5534</v>
      </c>
      <c r="C657" s="49">
        <v>664585</v>
      </c>
    </row>
    <row r="658" spans="1:3" x14ac:dyDescent="0.2">
      <c r="A658">
        <v>2022</v>
      </c>
      <c r="B658" s="36">
        <v>5535</v>
      </c>
      <c r="C658" s="49">
        <v>1084023</v>
      </c>
    </row>
    <row r="659" spans="1:3" x14ac:dyDescent="0.2">
      <c r="A659">
        <v>2022</v>
      </c>
      <c r="B659" s="36">
        <v>5541</v>
      </c>
      <c r="C659" s="49">
        <v>610452</v>
      </c>
    </row>
    <row r="660" spans="1:3" x14ac:dyDescent="0.2">
      <c r="A660">
        <v>2022</v>
      </c>
      <c r="B660" s="36">
        <v>5601</v>
      </c>
      <c r="C660" s="49">
        <v>1610423</v>
      </c>
    </row>
    <row r="661" spans="1:3" x14ac:dyDescent="0.2">
      <c r="A661">
        <v>2022</v>
      </c>
      <c r="B661" s="36">
        <v>5676</v>
      </c>
      <c r="C661" s="49">
        <v>438346</v>
      </c>
    </row>
    <row r="662" spans="1:3" x14ac:dyDescent="0.2">
      <c r="A662">
        <v>2022</v>
      </c>
      <c r="B662" s="36">
        <v>5677</v>
      </c>
      <c r="C662" s="49">
        <v>368345</v>
      </c>
    </row>
    <row r="663" spans="1:3" x14ac:dyDescent="0.2">
      <c r="A663">
        <v>2022</v>
      </c>
      <c r="B663" s="36">
        <v>5678</v>
      </c>
      <c r="C663" s="49">
        <v>367796</v>
      </c>
    </row>
    <row r="664" spans="1:3" x14ac:dyDescent="0.2">
      <c r="A664">
        <v>2022</v>
      </c>
      <c r="B664" s="36">
        <v>5679</v>
      </c>
      <c r="C664" s="49">
        <v>881358</v>
      </c>
    </row>
    <row r="665" spans="1:3" x14ac:dyDescent="0.2">
      <c r="A665">
        <v>2022</v>
      </c>
      <c r="B665" s="36">
        <v>5680</v>
      </c>
      <c r="C665" s="49">
        <v>787580</v>
      </c>
    </row>
    <row r="666" spans="1:3" x14ac:dyDescent="0.2">
      <c r="A666">
        <v>2022</v>
      </c>
      <c r="B666" s="36">
        <v>5681</v>
      </c>
      <c r="C666" s="49">
        <v>381333</v>
      </c>
    </row>
    <row r="667" spans="1:3" x14ac:dyDescent="0.2">
      <c r="A667">
        <v>2022</v>
      </c>
      <c r="B667" s="36">
        <v>5682</v>
      </c>
      <c r="C667" s="49">
        <v>529956</v>
      </c>
    </row>
    <row r="668" spans="1:3" x14ac:dyDescent="0.2">
      <c r="A668">
        <v>2022</v>
      </c>
      <c r="B668" s="36">
        <v>5683</v>
      </c>
      <c r="C668" s="49">
        <v>724712</v>
      </c>
    </row>
    <row r="669" spans="1:3" x14ac:dyDescent="0.2">
      <c r="A669">
        <v>2022</v>
      </c>
      <c r="B669" s="36">
        <v>5684</v>
      </c>
      <c r="C669" s="49">
        <v>296311</v>
      </c>
    </row>
    <row r="670" spans="1:3" x14ac:dyDescent="0.2">
      <c r="A670">
        <v>2022</v>
      </c>
      <c r="B670" s="36">
        <v>5685</v>
      </c>
      <c r="C670" s="49">
        <v>474054</v>
      </c>
    </row>
    <row r="671" spans="1:3" x14ac:dyDescent="0.2">
      <c r="A671">
        <v>2022</v>
      </c>
      <c r="B671" s="36">
        <v>5687</v>
      </c>
      <c r="C671" s="49">
        <v>849296</v>
      </c>
    </row>
    <row r="672" spans="1:3" x14ac:dyDescent="0.2">
      <c r="A672">
        <v>2022</v>
      </c>
      <c r="B672" s="36">
        <v>5688</v>
      </c>
      <c r="C672" s="49">
        <v>306278</v>
      </c>
    </row>
    <row r="673" spans="1:3" x14ac:dyDescent="0.2">
      <c r="A673">
        <v>2022</v>
      </c>
      <c r="B673" s="36">
        <v>5691</v>
      </c>
      <c r="C673" s="49">
        <v>122033</v>
      </c>
    </row>
    <row r="674" spans="1:3" x14ac:dyDescent="0.2">
      <c r="A674">
        <v>2022</v>
      </c>
      <c r="B674" s="36">
        <v>5692</v>
      </c>
      <c r="C674" s="49">
        <v>726023</v>
      </c>
    </row>
    <row r="675" spans="1:3" x14ac:dyDescent="0.2">
      <c r="A675">
        <v>2022</v>
      </c>
      <c r="B675" s="36">
        <v>5693</v>
      </c>
      <c r="C675" s="49">
        <v>228118</v>
      </c>
    </row>
    <row r="676" spans="1:3" x14ac:dyDescent="0.2">
      <c r="A676">
        <v>2022</v>
      </c>
      <c r="B676" s="36">
        <v>5694</v>
      </c>
      <c r="C676" s="49">
        <v>180865</v>
      </c>
    </row>
    <row r="677" spans="1:3" x14ac:dyDescent="0.2">
      <c r="A677">
        <v>2022</v>
      </c>
      <c r="B677" s="36">
        <v>5695</v>
      </c>
      <c r="C677" s="49">
        <v>182510</v>
      </c>
    </row>
    <row r="678" spans="1:3" x14ac:dyDescent="0.2">
      <c r="A678">
        <v>2022</v>
      </c>
      <c r="B678" s="36">
        <v>5801</v>
      </c>
      <c r="C678" s="49">
        <v>2509135</v>
      </c>
    </row>
    <row r="679" spans="1:3" x14ac:dyDescent="0.2">
      <c r="A679">
        <v>2022</v>
      </c>
      <c r="B679" s="36">
        <v>5806</v>
      </c>
      <c r="C679" s="49">
        <v>1471663</v>
      </c>
    </row>
    <row r="680" spans="1:3" x14ac:dyDescent="0.2">
      <c r="A680">
        <v>2022</v>
      </c>
      <c r="B680" s="36">
        <v>5807</v>
      </c>
      <c r="C680" s="49">
        <v>422914</v>
      </c>
    </row>
    <row r="681" spans="1:3" x14ac:dyDescent="0.2">
      <c r="A681">
        <v>2022</v>
      </c>
      <c r="B681" s="36">
        <v>5812</v>
      </c>
      <c r="C681" s="49">
        <v>617877</v>
      </c>
    </row>
    <row r="682" spans="1:3" x14ac:dyDescent="0.2">
      <c r="A682">
        <v>2022</v>
      </c>
      <c r="B682" s="36">
        <v>5813</v>
      </c>
      <c r="C682" s="49">
        <v>413310</v>
      </c>
    </row>
    <row r="683" spans="1:3" x14ac:dyDescent="0.2">
      <c r="A683">
        <v>2022</v>
      </c>
      <c r="B683" s="36">
        <v>5817</v>
      </c>
      <c r="C683" s="49">
        <v>2012343</v>
      </c>
    </row>
    <row r="684" spans="1:3" x14ac:dyDescent="0.2">
      <c r="A684">
        <v>2022</v>
      </c>
      <c r="B684" s="36">
        <v>5820</v>
      </c>
      <c r="C684" s="49">
        <v>645674</v>
      </c>
    </row>
    <row r="685" spans="1:3" x14ac:dyDescent="0.2">
      <c r="A685">
        <v>2022</v>
      </c>
      <c r="B685" s="36">
        <v>5821</v>
      </c>
      <c r="C685" s="49">
        <v>726088</v>
      </c>
    </row>
    <row r="686" spans="1:3" x14ac:dyDescent="0.2">
      <c r="A686">
        <v>2022</v>
      </c>
      <c r="B686" s="36">
        <v>5822</v>
      </c>
      <c r="C686" s="49">
        <v>1061278</v>
      </c>
    </row>
    <row r="687" spans="1:3" x14ac:dyDescent="0.2">
      <c r="A687">
        <v>2022</v>
      </c>
      <c r="B687" s="36">
        <v>5823</v>
      </c>
      <c r="C687" s="49">
        <v>299934</v>
      </c>
    </row>
    <row r="688" spans="1:3" x14ac:dyDescent="0.2">
      <c r="A688">
        <v>2022</v>
      </c>
      <c r="B688" s="36">
        <v>6001</v>
      </c>
      <c r="C688" s="49">
        <v>2301959</v>
      </c>
    </row>
    <row r="689" spans="1:3" x14ac:dyDescent="0.2">
      <c r="A689">
        <v>2022</v>
      </c>
      <c r="B689" s="36">
        <v>6005</v>
      </c>
      <c r="C689" s="49">
        <v>2341135</v>
      </c>
    </row>
    <row r="690" spans="1:3" x14ac:dyDescent="0.2">
      <c r="A690">
        <v>2022</v>
      </c>
      <c r="B690" s="36">
        <v>6008</v>
      </c>
      <c r="C690" s="49">
        <v>2058169</v>
      </c>
    </row>
    <row r="691" spans="1:3" x14ac:dyDescent="0.2">
      <c r="A691">
        <v>2022</v>
      </c>
      <c r="B691" s="36">
        <v>6011</v>
      </c>
      <c r="C691" s="49">
        <v>1031829</v>
      </c>
    </row>
    <row r="692" spans="1:3" x14ac:dyDescent="0.2">
      <c r="A692">
        <v>2022</v>
      </c>
      <c r="B692" s="36">
        <v>6018</v>
      </c>
      <c r="C692" s="49">
        <v>978163</v>
      </c>
    </row>
    <row r="693" spans="1:3" x14ac:dyDescent="0.2">
      <c r="A693">
        <v>2022</v>
      </c>
      <c r="B693" s="36">
        <v>6022</v>
      </c>
      <c r="C693" s="49">
        <v>992779</v>
      </c>
    </row>
    <row r="694" spans="1:3" x14ac:dyDescent="0.2">
      <c r="A694">
        <v>2022</v>
      </c>
      <c r="B694" s="36">
        <v>6026</v>
      </c>
      <c r="C694" s="49">
        <v>1684932</v>
      </c>
    </row>
    <row r="695" spans="1:3" x14ac:dyDescent="0.2">
      <c r="A695">
        <v>2022</v>
      </c>
      <c r="B695" s="36">
        <v>6027</v>
      </c>
      <c r="C695" s="49">
        <v>3110113</v>
      </c>
    </row>
    <row r="696" spans="1:3" x14ac:dyDescent="0.2">
      <c r="A696">
        <v>2022</v>
      </c>
      <c r="B696" s="36">
        <v>6028</v>
      </c>
      <c r="C696" s="49">
        <v>2410556</v>
      </c>
    </row>
    <row r="697" spans="1:3" x14ac:dyDescent="0.2">
      <c r="A697">
        <v>2022</v>
      </c>
      <c r="B697" s="36">
        <v>6036</v>
      </c>
      <c r="C697" s="49">
        <v>401577</v>
      </c>
    </row>
    <row r="698" spans="1:3" x14ac:dyDescent="0.2">
      <c r="A698">
        <v>2022</v>
      </c>
      <c r="B698" s="36">
        <v>6040</v>
      </c>
      <c r="C698" s="49">
        <v>735957</v>
      </c>
    </row>
    <row r="699" spans="1:3" x14ac:dyDescent="0.2">
      <c r="A699">
        <v>2022</v>
      </c>
      <c r="B699" s="36">
        <v>6041</v>
      </c>
      <c r="C699" s="49">
        <v>1091296</v>
      </c>
    </row>
    <row r="700" spans="1:3" x14ac:dyDescent="0.2">
      <c r="A700">
        <v>2022</v>
      </c>
      <c r="B700" s="36">
        <v>6042</v>
      </c>
      <c r="C700" s="49">
        <v>982616</v>
      </c>
    </row>
    <row r="701" spans="1:3" x14ac:dyDescent="0.2">
      <c r="A701">
        <v>2022</v>
      </c>
      <c r="B701" s="36">
        <v>6044</v>
      </c>
      <c r="C701" s="49">
        <v>1448701</v>
      </c>
    </row>
    <row r="702" spans="1:3" x14ac:dyDescent="0.2">
      <c r="A702">
        <v>2022</v>
      </c>
      <c r="B702" s="36">
        <v>6048</v>
      </c>
      <c r="C702" s="49">
        <v>1219952</v>
      </c>
    </row>
    <row r="703" spans="1:3" x14ac:dyDescent="0.2">
      <c r="A703">
        <v>2022</v>
      </c>
      <c r="B703" s="36">
        <v>6050</v>
      </c>
      <c r="C703" s="49">
        <v>1579700</v>
      </c>
    </row>
    <row r="704" spans="1:3" x14ac:dyDescent="0.2">
      <c r="A704">
        <v>2022</v>
      </c>
      <c r="B704" s="36">
        <v>6051</v>
      </c>
      <c r="C704" s="49">
        <v>3274071</v>
      </c>
    </row>
    <row r="705" spans="1:3" x14ac:dyDescent="0.2">
      <c r="A705">
        <v>2022</v>
      </c>
      <c r="B705" s="36">
        <v>6052</v>
      </c>
      <c r="C705" s="49">
        <v>2036090</v>
      </c>
    </row>
    <row r="706" spans="1:3" x14ac:dyDescent="0.2">
      <c r="A706">
        <v>2022</v>
      </c>
      <c r="B706" s="36">
        <v>6056</v>
      </c>
      <c r="C706" s="49">
        <v>10018568</v>
      </c>
    </row>
    <row r="707" spans="1:3" x14ac:dyDescent="0.2">
      <c r="A707">
        <v>2022</v>
      </c>
      <c r="B707" s="36">
        <v>6057</v>
      </c>
      <c r="C707" s="49">
        <v>2004505</v>
      </c>
    </row>
    <row r="708" spans="1:3" x14ac:dyDescent="0.2">
      <c r="A708">
        <v>2022</v>
      </c>
      <c r="B708" s="36">
        <v>6061</v>
      </c>
      <c r="C708" s="49">
        <v>3381941</v>
      </c>
    </row>
    <row r="709" spans="1:3" x14ac:dyDescent="0.2">
      <c r="A709">
        <v>2022</v>
      </c>
      <c r="B709" s="36">
        <v>6065</v>
      </c>
      <c r="C709" s="49">
        <v>4022067</v>
      </c>
    </row>
    <row r="710" spans="1:3" x14ac:dyDescent="0.2">
      <c r="A710">
        <v>2022</v>
      </c>
      <c r="B710" s="36">
        <v>6067</v>
      </c>
      <c r="C710" s="49">
        <v>1975140</v>
      </c>
    </row>
    <row r="711" spans="1:3" x14ac:dyDescent="0.2">
      <c r="A711">
        <v>2022</v>
      </c>
      <c r="B711" s="36">
        <v>6068</v>
      </c>
      <c r="C711" s="49">
        <v>1803635</v>
      </c>
    </row>
    <row r="712" spans="1:3" x14ac:dyDescent="0.2">
      <c r="A712">
        <v>2022</v>
      </c>
      <c r="B712" s="36">
        <v>6074</v>
      </c>
      <c r="C712" s="49">
        <v>2368110</v>
      </c>
    </row>
    <row r="713" spans="1:3" x14ac:dyDescent="0.2">
      <c r="A713">
        <v>2022</v>
      </c>
      <c r="B713" s="36">
        <v>6075</v>
      </c>
      <c r="C713" s="49">
        <v>1869548</v>
      </c>
    </row>
    <row r="714" spans="1:3" x14ac:dyDescent="0.2">
      <c r="A714">
        <v>2022</v>
      </c>
      <c r="B714" s="36">
        <v>6078</v>
      </c>
      <c r="C714" s="49">
        <v>4444349</v>
      </c>
    </row>
    <row r="715" spans="1:3" x14ac:dyDescent="0.2">
      <c r="A715">
        <v>2022</v>
      </c>
      <c r="B715" s="36">
        <v>6079</v>
      </c>
      <c r="C715" s="49">
        <v>1674908</v>
      </c>
    </row>
    <row r="716" spans="1:3" x14ac:dyDescent="0.2">
      <c r="A716">
        <v>2022</v>
      </c>
      <c r="B716" s="36">
        <v>6091</v>
      </c>
      <c r="C716" s="49">
        <v>8714345</v>
      </c>
    </row>
    <row r="717" spans="1:3" x14ac:dyDescent="0.2">
      <c r="A717">
        <v>2022</v>
      </c>
      <c r="B717" s="36">
        <v>6093</v>
      </c>
      <c r="C717" s="49">
        <v>4484441</v>
      </c>
    </row>
    <row r="718" spans="1:3" x14ac:dyDescent="0.2">
      <c r="A718">
        <v>2022</v>
      </c>
      <c r="B718" s="36">
        <v>6094</v>
      </c>
      <c r="C718" s="49">
        <v>2817097</v>
      </c>
    </row>
    <row r="719" spans="1:3" x14ac:dyDescent="0.2">
      <c r="A719">
        <v>2022</v>
      </c>
      <c r="B719" s="36">
        <v>6095</v>
      </c>
      <c r="C719" s="49">
        <v>957960</v>
      </c>
    </row>
    <row r="720" spans="1:3" x14ac:dyDescent="0.2">
      <c r="A720">
        <v>2022</v>
      </c>
      <c r="B720" s="36">
        <v>6097</v>
      </c>
      <c r="C720" s="49">
        <v>869761</v>
      </c>
    </row>
    <row r="721" spans="1:3" x14ac:dyDescent="0.2">
      <c r="A721">
        <v>2022</v>
      </c>
      <c r="B721" s="36">
        <v>6099</v>
      </c>
      <c r="C721" s="49">
        <v>1594478</v>
      </c>
    </row>
    <row r="722" spans="1:3" x14ac:dyDescent="0.2">
      <c r="A722">
        <v>2022</v>
      </c>
      <c r="B722" s="36">
        <v>6104</v>
      </c>
      <c r="C722" s="49">
        <v>1642888</v>
      </c>
    </row>
    <row r="723" spans="1:3" x14ac:dyDescent="0.2">
      <c r="A723">
        <v>2022</v>
      </c>
      <c r="B723" s="36">
        <v>6105</v>
      </c>
      <c r="C723" s="49">
        <v>2884360</v>
      </c>
    </row>
    <row r="724" spans="1:3" x14ac:dyDescent="0.2">
      <c r="A724">
        <v>2022</v>
      </c>
      <c r="B724" s="36">
        <v>6109</v>
      </c>
      <c r="C724" s="49">
        <v>2612751</v>
      </c>
    </row>
    <row r="725" spans="1:3" x14ac:dyDescent="0.2">
      <c r="A725">
        <v>2022</v>
      </c>
      <c r="B725" s="36">
        <v>6507</v>
      </c>
      <c r="C725" s="49">
        <v>86667</v>
      </c>
    </row>
    <row r="726" spans="1:3" x14ac:dyDescent="0.2">
      <c r="A726">
        <v>2022</v>
      </c>
      <c r="B726" s="36">
        <v>6511</v>
      </c>
      <c r="C726" s="49">
        <v>43359</v>
      </c>
    </row>
    <row r="727" spans="1:3" x14ac:dyDescent="0.2">
      <c r="A727">
        <v>2022</v>
      </c>
      <c r="B727" s="36">
        <v>7000</v>
      </c>
      <c r="C727" s="49">
        <v>15792315</v>
      </c>
    </row>
    <row r="728" spans="1:3" x14ac:dyDescent="0.2">
      <c r="A728">
        <v>2022</v>
      </c>
      <c r="B728" s="36">
        <v>7500</v>
      </c>
      <c r="C728" s="49">
        <v>84606</v>
      </c>
    </row>
    <row r="729" spans="1:3" x14ac:dyDescent="0.2">
      <c r="A729">
        <v>2022</v>
      </c>
      <c r="B729" s="36">
        <v>7501</v>
      </c>
      <c r="C729" s="49">
        <v>213949</v>
      </c>
    </row>
    <row r="730" spans="1:3" x14ac:dyDescent="0.2">
      <c r="A730">
        <v>2022</v>
      </c>
      <c r="B730" s="36">
        <v>7502</v>
      </c>
      <c r="C730" s="49">
        <v>50741</v>
      </c>
    </row>
    <row r="731" spans="1:3" x14ac:dyDescent="0.2">
      <c r="A731">
        <v>2022</v>
      </c>
      <c r="B731" s="36">
        <v>8000</v>
      </c>
      <c r="C731" s="49">
        <v>1802729</v>
      </c>
    </row>
    <row r="732" spans="1:3" x14ac:dyDescent="0.2">
      <c r="A732">
        <v>2022</v>
      </c>
      <c r="B732" s="36">
        <v>8102</v>
      </c>
      <c r="C732" s="49">
        <v>319791</v>
      </c>
    </row>
    <row r="733" spans="1:3" x14ac:dyDescent="0.2">
      <c r="A733">
        <v>2022</v>
      </c>
      <c r="B733" s="36">
        <v>8105</v>
      </c>
      <c r="C733" s="49">
        <v>344281</v>
      </c>
    </row>
    <row r="734" spans="1:3" x14ac:dyDescent="0.2">
      <c r="A734">
        <v>2022</v>
      </c>
      <c r="B734" s="36">
        <v>8110</v>
      </c>
      <c r="C734" s="49">
        <v>652411</v>
      </c>
    </row>
    <row r="735" spans="1:3" x14ac:dyDescent="0.2">
      <c r="A735">
        <v>2022</v>
      </c>
      <c r="B735" s="36">
        <v>8112</v>
      </c>
      <c r="C735" s="49">
        <v>95648</v>
      </c>
    </row>
    <row r="736" spans="1:3" x14ac:dyDescent="0.2">
      <c r="A736">
        <v>2022</v>
      </c>
      <c r="B736" s="36">
        <v>8113</v>
      </c>
      <c r="C736" s="49">
        <v>175660</v>
      </c>
    </row>
    <row r="737" spans="1:3" x14ac:dyDescent="0.2">
      <c r="A737">
        <v>2022</v>
      </c>
      <c r="B737" s="36">
        <v>8115</v>
      </c>
      <c r="C737" s="49">
        <v>153754</v>
      </c>
    </row>
    <row r="738" spans="1:3" x14ac:dyDescent="0.2">
      <c r="A738">
        <v>2022</v>
      </c>
      <c r="B738" s="36">
        <v>8120</v>
      </c>
      <c r="C738" s="49">
        <v>682865</v>
      </c>
    </row>
    <row r="739" spans="1:3" x14ac:dyDescent="0.2">
      <c r="A739">
        <v>2022</v>
      </c>
      <c r="B739" s="36">
        <v>8124</v>
      </c>
      <c r="C739" s="49">
        <v>1620139</v>
      </c>
    </row>
    <row r="740" spans="1:3" x14ac:dyDescent="0.2">
      <c r="A740">
        <v>2022</v>
      </c>
      <c r="B740" s="36">
        <v>8129</v>
      </c>
      <c r="C740" s="49">
        <v>468354</v>
      </c>
    </row>
    <row r="741" spans="1:3" x14ac:dyDescent="0.2">
      <c r="A741">
        <v>2022</v>
      </c>
      <c r="B741" s="36">
        <v>8130</v>
      </c>
      <c r="C741" s="49">
        <v>1819204</v>
      </c>
    </row>
    <row r="742" spans="1:3" x14ac:dyDescent="0.2">
      <c r="A742">
        <v>2022</v>
      </c>
      <c r="B742" s="36">
        <v>8131</v>
      </c>
      <c r="C742" s="49">
        <v>258334</v>
      </c>
    </row>
    <row r="743" spans="1:3" x14ac:dyDescent="0.2">
      <c r="A743">
        <v>2022</v>
      </c>
      <c r="B743" s="36">
        <v>8133</v>
      </c>
      <c r="C743" s="49">
        <v>361376</v>
      </c>
    </row>
    <row r="744" spans="1:3" x14ac:dyDescent="0.2">
      <c r="A744">
        <v>2022</v>
      </c>
      <c r="B744" s="36">
        <v>8134</v>
      </c>
      <c r="C744" s="49">
        <v>150593</v>
      </c>
    </row>
    <row r="745" spans="1:3" x14ac:dyDescent="0.2">
      <c r="A745">
        <v>2022</v>
      </c>
      <c r="B745" s="36">
        <v>8135</v>
      </c>
      <c r="C745" s="49">
        <v>991335</v>
      </c>
    </row>
    <row r="746" spans="1:3" x14ac:dyDescent="0.2">
      <c r="A746">
        <v>2022</v>
      </c>
      <c r="B746" s="36">
        <v>8140</v>
      </c>
      <c r="C746" s="49">
        <v>261654</v>
      </c>
    </row>
    <row r="747" spans="1:3" x14ac:dyDescent="0.2">
      <c r="A747">
        <v>2022</v>
      </c>
      <c r="B747" s="36">
        <v>8142</v>
      </c>
      <c r="C747" s="49">
        <v>391553</v>
      </c>
    </row>
    <row r="748" spans="1:3" x14ac:dyDescent="0.2">
      <c r="A748">
        <v>2022</v>
      </c>
      <c r="B748" s="36">
        <v>8145</v>
      </c>
      <c r="C748" s="49">
        <v>361238</v>
      </c>
    </row>
    <row r="749" spans="1:3" x14ac:dyDescent="0.2">
      <c r="A749">
        <v>2022</v>
      </c>
      <c r="B749" s="36">
        <v>8146</v>
      </c>
      <c r="C749" s="49">
        <v>960283</v>
      </c>
    </row>
    <row r="750" spans="1:3" x14ac:dyDescent="0.2">
      <c r="A750">
        <v>2022</v>
      </c>
      <c r="B750" s="36">
        <v>8149</v>
      </c>
      <c r="C750" s="49">
        <v>180787</v>
      </c>
    </row>
    <row r="751" spans="1:3" x14ac:dyDescent="0.2">
      <c r="A751">
        <v>2022</v>
      </c>
      <c r="B751" s="36">
        <v>8150</v>
      </c>
      <c r="C751" s="49">
        <v>2151077</v>
      </c>
    </row>
    <row r="752" spans="1:3" x14ac:dyDescent="0.2">
      <c r="A752">
        <v>2022</v>
      </c>
      <c r="B752" s="36">
        <v>8151</v>
      </c>
      <c r="C752" s="49">
        <v>903759</v>
      </c>
    </row>
    <row r="753" spans="1:3" x14ac:dyDescent="0.2">
      <c r="A753">
        <v>2022</v>
      </c>
      <c r="B753" s="36">
        <v>8153</v>
      </c>
      <c r="C753" s="49">
        <v>332148</v>
      </c>
    </row>
    <row r="754" spans="1:3" x14ac:dyDescent="0.2">
      <c r="A754">
        <v>2022</v>
      </c>
      <c r="B754" s="36">
        <v>8155</v>
      </c>
      <c r="C754" s="49">
        <v>577074</v>
      </c>
    </row>
    <row r="755" spans="1:3" x14ac:dyDescent="0.2">
      <c r="A755">
        <v>2022</v>
      </c>
      <c r="B755" s="36">
        <v>8160</v>
      </c>
      <c r="C755" s="49">
        <v>687982</v>
      </c>
    </row>
    <row r="756" spans="1:3" x14ac:dyDescent="0.2">
      <c r="A756">
        <v>2022</v>
      </c>
      <c r="B756" s="36">
        <v>8162</v>
      </c>
      <c r="C756" s="49">
        <v>181751</v>
      </c>
    </row>
    <row r="757" spans="1:3" x14ac:dyDescent="0.2">
      <c r="A757">
        <v>2022</v>
      </c>
      <c r="B757" s="36">
        <v>8166</v>
      </c>
      <c r="C757" s="49">
        <v>2799832</v>
      </c>
    </row>
    <row r="758" spans="1:3" x14ac:dyDescent="0.2">
      <c r="A758">
        <v>2022</v>
      </c>
      <c r="B758" s="36">
        <v>8167</v>
      </c>
      <c r="C758" s="49">
        <v>105924</v>
      </c>
    </row>
    <row r="759" spans="1:3" x14ac:dyDescent="0.2">
      <c r="A759">
        <v>2022</v>
      </c>
      <c r="B759" s="36">
        <v>8168</v>
      </c>
      <c r="C759" s="49">
        <v>191389</v>
      </c>
    </row>
    <row r="760" spans="1:3" x14ac:dyDescent="0.2">
      <c r="A760">
        <v>2022</v>
      </c>
      <c r="B760" s="36">
        <v>8169</v>
      </c>
      <c r="C760" s="49">
        <v>134838</v>
      </c>
    </row>
    <row r="761" spans="1:3" x14ac:dyDescent="0.2">
      <c r="A761">
        <v>2022</v>
      </c>
      <c r="B761" s="36">
        <v>8170</v>
      </c>
      <c r="C761" s="49">
        <v>1368447</v>
      </c>
    </row>
    <row r="762" spans="1:3" x14ac:dyDescent="0.2">
      <c r="A762">
        <v>2022</v>
      </c>
      <c r="B762" s="36">
        <v>8400</v>
      </c>
      <c r="C762" s="49">
        <v>492119</v>
      </c>
    </row>
    <row r="763" spans="1:3" x14ac:dyDescent="0.2">
      <c r="A763">
        <v>2022</v>
      </c>
      <c r="B763" s="36">
        <v>8402</v>
      </c>
      <c r="C763" s="49">
        <v>660733</v>
      </c>
    </row>
    <row r="764" spans="1:3" x14ac:dyDescent="0.2">
      <c r="A764">
        <v>2022</v>
      </c>
      <c r="B764" s="36">
        <v>8403</v>
      </c>
      <c r="C764" s="49">
        <v>348826</v>
      </c>
    </row>
    <row r="765" spans="1:3" x14ac:dyDescent="0.2">
      <c r="A765">
        <v>2022</v>
      </c>
      <c r="B765" s="36">
        <v>8406</v>
      </c>
      <c r="C765" s="49">
        <v>178463</v>
      </c>
    </row>
    <row r="766" spans="1:3" x14ac:dyDescent="0.2">
      <c r="A766">
        <v>2022</v>
      </c>
      <c r="B766" s="36">
        <v>8407</v>
      </c>
      <c r="C766" s="49">
        <v>1438219</v>
      </c>
    </row>
    <row r="767" spans="1:3" x14ac:dyDescent="0.2">
      <c r="A767">
        <v>2022</v>
      </c>
      <c r="B767" s="36">
        <v>8409</v>
      </c>
      <c r="C767" s="49">
        <v>836535</v>
      </c>
    </row>
    <row r="768" spans="1:3" x14ac:dyDescent="0.2">
      <c r="A768">
        <v>2022</v>
      </c>
      <c r="B768" s="36">
        <v>8410</v>
      </c>
      <c r="C768" s="49">
        <v>488938</v>
      </c>
    </row>
    <row r="769" spans="1:3" x14ac:dyDescent="0.2">
      <c r="A769">
        <v>2022</v>
      </c>
      <c r="B769" s="36">
        <v>8412</v>
      </c>
      <c r="C769" s="49">
        <v>593949</v>
      </c>
    </row>
    <row r="770" spans="1:3" x14ac:dyDescent="0.2">
      <c r="A770">
        <v>2022</v>
      </c>
      <c r="B770" s="36">
        <v>8415</v>
      </c>
      <c r="C770" s="49">
        <v>601167</v>
      </c>
    </row>
    <row r="771" spans="1:3" x14ac:dyDescent="0.2">
      <c r="A771">
        <v>2022</v>
      </c>
      <c r="B771" s="36">
        <v>8416</v>
      </c>
      <c r="C771" s="49">
        <v>221481</v>
      </c>
    </row>
    <row r="772" spans="1:3" x14ac:dyDescent="0.2">
      <c r="A772">
        <v>2022</v>
      </c>
      <c r="B772" s="36">
        <v>8419</v>
      </c>
      <c r="C772" s="49">
        <v>603923</v>
      </c>
    </row>
    <row r="773" spans="1:3" x14ac:dyDescent="0.2">
      <c r="A773">
        <v>2022</v>
      </c>
      <c r="B773" s="36">
        <v>8420</v>
      </c>
      <c r="C773" s="49">
        <v>377174</v>
      </c>
    </row>
    <row r="774" spans="1:3" x14ac:dyDescent="0.2">
      <c r="A774">
        <v>2022</v>
      </c>
      <c r="B774" s="36">
        <v>8421</v>
      </c>
      <c r="C774" s="49">
        <v>330883</v>
      </c>
    </row>
    <row r="775" spans="1:3" x14ac:dyDescent="0.2">
      <c r="A775">
        <v>2022</v>
      </c>
      <c r="B775" s="36">
        <v>8423</v>
      </c>
      <c r="C775" s="49">
        <v>168154</v>
      </c>
    </row>
    <row r="776" spans="1:3" x14ac:dyDescent="0.2">
      <c r="A776">
        <v>2022</v>
      </c>
      <c r="B776" s="36">
        <v>8424</v>
      </c>
      <c r="C776" s="49">
        <v>137246</v>
      </c>
    </row>
    <row r="777" spans="1:3" x14ac:dyDescent="0.2">
      <c r="A777">
        <v>2022</v>
      </c>
      <c r="B777" s="36">
        <v>8425</v>
      </c>
      <c r="C777" s="49">
        <v>497369</v>
      </c>
    </row>
    <row r="778" spans="1:3" x14ac:dyDescent="0.2">
      <c r="A778">
        <v>2022</v>
      </c>
      <c r="B778" s="36">
        <v>8427</v>
      </c>
      <c r="C778" s="49">
        <v>66823</v>
      </c>
    </row>
    <row r="779" spans="1:3" x14ac:dyDescent="0.2">
      <c r="A779">
        <v>2022</v>
      </c>
      <c r="B779" s="36">
        <v>8428</v>
      </c>
      <c r="C779" s="49">
        <v>603008</v>
      </c>
    </row>
    <row r="780" spans="1:3" x14ac:dyDescent="0.2">
      <c r="A780">
        <v>2022</v>
      </c>
      <c r="B780" s="36">
        <v>8429</v>
      </c>
      <c r="C780" s="49">
        <v>226392</v>
      </c>
    </row>
    <row r="781" spans="1:3" x14ac:dyDescent="0.2">
      <c r="A781">
        <v>2022</v>
      </c>
      <c r="B781" s="36">
        <v>8430</v>
      </c>
      <c r="C781" s="49">
        <v>303141</v>
      </c>
    </row>
    <row r="782" spans="1:3" x14ac:dyDescent="0.2">
      <c r="A782">
        <v>2022</v>
      </c>
      <c r="B782" s="36">
        <v>8431</v>
      </c>
      <c r="C782" s="49">
        <v>408755</v>
      </c>
    </row>
    <row r="783" spans="1:3" x14ac:dyDescent="0.2">
      <c r="A783">
        <v>2022</v>
      </c>
      <c r="B783" s="36">
        <v>8432</v>
      </c>
      <c r="C783" s="49">
        <v>281471</v>
      </c>
    </row>
    <row r="784" spans="1:3" x14ac:dyDescent="0.2">
      <c r="A784">
        <v>2022</v>
      </c>
      <c r="B784" s="36">
        <v>8433</v>
      </c>
      <c r="C784" s="49">
        <v>224508</v>
      </c>
    </row>
    <row r="785" spans="1:3" x14ac:dyDescent="0.2">
      <c r="A785">
        <v>2022</v>
      </c>
      <c r="B785" s="36">
        <v>8434</v>
      </c>
      <c r="C785" s="49">
        <v>345811</v>
      </c>
    </row>
    <row r="786" spans="1:3" x14ac:dyDescent="0.2">
      <c r="A786">
        <v>2022</v>
      </c>
      <c r="B786" s="36">
        <v>8435</v>
      </c>
      <c r="C786" s="49">
        <v>292396</v>
      </c>
    </row>
    <row r="787" spans="1:3" x14ac:dyDescent="0.2">
      <c r="A787">
        <v>2022</v>
      </c>
      <c r="B787" s="36">
        <v>8436</v>
      </c>
      <c r="C787" s="49">
        <v>586811</v>
      </c>
    </row>
    <row r="788" spans="1:3" x14ac:dyDescent="0.2">
      <c r="A788">
        <v>2022</v>
      </c>
      <c r="B788" s="36">
        <v>8437</v>
      </c>
      <c r="C788" s="49">
        <v>218441</v>
      </c>
    </row>
    <row r="789" spans="1:3" x14ac:dyDescent="0.2">
      <c r="A789">
        <v>2022</v>
      </c>
      <c r="B789" s="36">
        <v>8438</v>
      </c>
      <c r="C789" s="49">
        <v>29338</v>
      </c>
    </row>
    <row r="790" spans="1:3" x14ac:dyDescent="0.2">
      <c r="B790"/>
    </row>
    <row r="791" spans="1:3" x14ac:dyDescent="0.2">
      <c r="B791" s="10" t="s">
        <v>3</v>
      </c>
      <c r="C791" s="47">
        <f>SUM(C2:C789)</f>
        <v>1736096798</v>
      </c>
    </row>
    <row r="792" spans="1:3" x14ac:dyDescent="0.2">
      <c r="B792" s="10"/>
    </row>
    <row r="793" spans="1:3" x14ac:dyDescent="0.2">
      <c r="B793" s="10" t="s">
        <v>2</v>
      </c>
      <c r="C793" s="27">
        <v>1736096794</v>
      </c>
    </row>
    <row r="794" spans="1:3" x14ac:dyDescent="0.2">
      <c r="B794" s="10"/>
    </row>
    <row r="795" spans="1:3" x14ac:dyDescent="0.2">
      <c r="B795" s="19" t="s">
        <v>4</v>
      </c>
      <c r="C795" s="48">
        <f>C791-C793</f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76AD-9D35-EF4A-A0F2-E8A21447AE8C}">
  <sheetPr>
    <tabColor rgb="FFFFFF00"/>
  </sheetPr>
  <dimension ref="A1:C800"/>
  <sheetViews>
    <sheetView workbookViewId="0">
      <selection activeCell="A2" sqref="A2:C794"/>
    </sheetView>
  </sheetViews>
  <sheetFormatPr baseColWidth="10" defaultRowHeight="16" x14ac:dyDescent="0.2"/>
  <cols>
    <col min="2" max="2" width="16" style="39" bestFit="1" customWidth="1"/>
    <col min="3" max="3" width="18.83203125" style="39" bestFit="1" customWidth="1"/>
  </cols>
  <sheetData>
    <row r="1" spans="1:3" x14ac:dyDescent="0.2">
      <c r="A1" t="s">
        <v>5</v>
      </c>
      <c r="B1" s="34" t="s">
        <v>0</v>
      </c>
      <c r="C1" s="35" t="s">
        <v>1</v>
      </c>
    </row>
    <row r="2" spans="1:3" x14ac:dyDescent="0.2">
      <c r="A2">
        <v>2023</v>
      </c>
      <c r="B2" s="36">
        <v>1005</v>
      </c>
      <c r="C2" s="37">
        <v>9811542</v>
      </c>
    </row>
    <row r="3" spans="1:3" x14ac:dyDescent="0.2">
      <c r="A3">
        <v>2023</v>
      </c>
      <c r="B3" s="36">
        <v>1010</v>
      </c>
      <c r="C3" s="37">
        <v>2910710</v>
      </c>
    </row>
    <row r="4" spans="1:3" x14ac:dyDescent="0.2">
      <c r="A4">
        <v>2023</v>
      </c>
      <c r="B4" s="36">
        <v>1015</v>
      </c>
      <c r="C4" s="37">
        <v>3550600</v>
      </c>
    </row>
    <row r="5" spans="1:3" x14ac:dyDescent="0.2">
      <c r="A5">
        <v>2023</v>
      </c>
      <c r="B5" s="36">
        <v>1020</v>
      </c>
      <c r="C5" s="37">
        <v>2062575</v>
      </c>
    </row>
    <row r="6" spans="1:3" x14ac:dyDescent="0.2">
      <c r="A6">
        <v>2023</v>
      </c>
      <c r="B6" s="36">
        <v>1025</v>
      </c>
      <c r="C6" s="37">
        <v>3249320</v>
      </c>
    </row>
    <row r="7" spans="1:3" x14ac:dyDescent="0.2">
      <c r="A7">
        <v>2023</v>
      </c>
      <c r="B7" s="36">
        <v>1030</v>
      </c>
      <c r="C7" s="37">
        <v>5062869</v>
      </c>
    </row>
    <row r="8" spans="1:3" x14ac:dyDescent="0.2">
      <c r="A8">
        <v>2023</v>
      </c>
      <c r="B8" s="36">
        <v>1035</v>
      </c>
      <c r="C8" s="37">
        <v>37766211</v>
      </c>
    </row>
    <row r="9" spans="1:3" x14ac:dyDescent="0.2">
      <c r="A9">
        <v>2023</v>
      </c>
      <c r="B9" s="36">
        <v>1040</v>
      </c>
      <c r="C9" s="37">
        <v>3018595</v>
      </c>
    </row>
    <row r="10" spans="1:3" x14ac:dyDescent="0.2">
      <c r="A10">
        <v>2023</v>
      </c>
      <c r="B10" s="36">
        <v>1045</v>
      </c>
      <c r="C10" s="37">
        <v>1700236</v>
      </c>
    </row>
    <row r="11" spans="1:3" x14ac:dyDescent="0.2">
      <c r="A11">
        <v>2023</v>
      </c>
      <c r="B11" s="36">
        <v>1050</v>
      </c>
      <c r="C11" s="37">
        <v>4376803</v>
      </c>
    </row>
    <row r="12" spans="1:3" x14ac:dyDescent="0.2">
      <c r="A12">
        <v>2023</v>
      </c>
      <c r="B12" s="36">
        <v>1055</v>
      </c>
      <c r="C12" s="37">
        <v>1837060</v>
      </c>
    </row>
    <row r="13" spans="1:3" x14ac:dyDescent="0.2">
      <c r="A13">
        <v>2023</v>
      </c>
      <c r="B13" s="36">
        <v>1060</v>
      </c>
      <c r="C13" s="37">
        <v>2084118</v>
      </c>
    </row>
    <row r="14" spans="1:3" x14ac:dyDescent="0.2">
      <c r="A14">
        <v>2023</v>
      </c>
      <c r="B14" s="36">
        <v>1065</v>
      </c>
      <c r="C14" s="37">
        <v>4051186</v>
      </c>
    </row>
    <row r="15" spans="1:3" x14ac:dyDescent="0.2">
      <c r="A15">
        <v>2023</v>
      </c>
      <c r="B15" s="36">
        <v>1070</v>
      </c>
      <c r="C15" s="37">
        <v>3068115</v>
      </c>
    </row>
    <row r="16" spans="1:3" x14ac:dyDescent="0.2">
      <c r="A16">
        <v>2023</v>
      </c>
      <c r="B16" s="36">
        <v>1075</v>
      </c>
      <c r="C16" s="37">
        <v>1829165</v>
      </c>
    </row>
    <row r="17" spans="1:3" x14ac:dyDescent="0.2">
      <c r="A17">
        <v>2023</v>
      </c>
      <c r="B17" s="36">
        <v>1080</v>
      </c>
      <c r="C17" s="37">
        <v>4135737</v>
      </c>
    </row>
    <row r="18" spans="1:3" x14ac:dyDescent="0.2">
      <c r="A18">
        <v>2023</v>
      </c>
      <c r="B18" s="36">
        <v>1085</v>
      </c>
      <c r="C18" s="37">
        <v>1947456</v>
      </c>
    </row>
    <row r="19" spans="1:3" x14ac:dyDescent="0.2">
      <c r="A19">
        <v>2023</v>
      </c>
      <c r="B19" s="36">
        <v>1090</v>
      </c>
      <c r="C19" s="37">
        <v>2236356</v>
      </c>
    </row>
    <row r="20" spans="1:3" x14ac:dyDescent="0.2">
      <c r="A20">
        <v>2023</v>
      </c>
      <c r="B20" s="36">
        <v>1095</v>
      </c>
      <c r="C20" s="37">
        <v>1320982</v>
      </c>
    </row>
    <row r="21" spans="1:3" x14ac:dyDescent="0.2">
      <c r="A21">
        <v>2023</v>
      </c>
      <c r="B21" s="36">
        <v>1100</v>
      </c>
      <c r="C21" s="37">
        <v>1868851</v>
      </c>
    </row>
    <row r="22" spans="1:3" x14ac:dyDescent="0.2">
      <c r="A22">
        <v>2023</v>
      </c>
      <c r="B22" s="36">
        <v>1105</v>
      </c>
      <c r="C22" s="37">
        <v>4902494</v>
      </c>
    </row>
    <row r="23" spans="1:3" x14ac:dyDescent="0.2">
      <c r="A23">
        <v>2023</v>
      </c>
      <c r="B23" s="36">
        <v>1110</v>
      </c>
      <c r="C23" s="37">
        <v>3710460</v>
      </c>
    </row>
    <row r="24" spans="1:3" x14ac:dyDescent="0.2">
      <c r="A24">
        <v>2023</v>
      </c>
      <c r="B24" s="36">
        <v>1115</v>
      </c>
      <c r="C24" s="37">
        <v>1190215</v>
      </c>
    </row>
    <row r="25" spans="1:3" x14ac:dyDescent="0.2">
      <c r="A25">
        <v>2023</v>
      </c>
      <c r="B25" s="36">
        <v>1120</v>
      </c>
      <c r="C25" s="37">
        <v>7820521</v>
      </c>
    </row>
    <row r="26" spans="1:3" x14ac:dyDescent="0.2">
      <c r="A26">
        <v>2023</v>
      </c>
      <c r="B26" s="36">
        <v>1125</v>
      </c>
      <c r="C26" s="37">
        <v>1975848</v>
      </c>
    </row>
    <row r="27" spans="1:3" x14ac:dyDescent="0.2">
      <c r="A27">
        <v>2023</v>
      </c>
      <c r="B27" s="36">
        <v>1130</v>
      </c>
      <c r="C27" s="37">
        <v>855137</v>
      </c>
    </row>
    <row r="28" spans="1:3" x14ac:dyDescent="0.2">
      <c r="A28">
        <v>2023</v>
      </c>
      <c r="B28" s="36">
        <v>1135</v>
      </c>
      <c r="C28" s="37">
        <v>4426362</v>
      </c>
    </row>
    <row r="29" spans="1:3" x14ac:dyDescent="0.2">
      <c r="A29">
        <v>2023</v>
      </c>
      <c r="B29" s="36">
        <v>1140</v>
      </c>
      <c r="C29" s="37">
        <v>6193248</v>
      </c>
    </row>
    <row r="30" spans="1:3" x14ac:dyDescent="0.2">
      <c r="A30">
        <v>2023</v>
      </c>
      <c r="B30" s="36">
        <v>1145</v>
      </c>
      <c r="C30" s="37">
        <v>1095689</v>
      </c>
    </row>
    <row r="31" spans="1:3" x14ac:dyDescent="0.2">
      <c r="A31">
        <v>2023</v>
      </c>
      <c r="B31" s="36">
        <v>1150</v>
      </c>
      <c r="C31" s="37">
        <v>8840920</v>
      </c>
    </row>
    <row r="32" spans="1:3" x14ac:dyDescent="0.2">
      <c r="A32">
        <v>2023</v>
      </c>
      <c r="B32" s="36">
        <v>1155</v>
      </c>
      <c r="C32" s="37">
        <v>10337360</v>
      </c>
    </row>
    <row r="33" spans="1:3" x14ac:dyDescent="0.2">
      <c r="A33">
        <v>2023</v>
      </c>
      <c r="B33" s="36">
        <v>1160</v>
      </c>
      <c r="C33" s="37">
        <v>14079465</v>
      </c>
    </row>
    <row r="34" spans="1:3" x14ac:dyDescent="0.2">
      <c r="A34">
        <v>2023</v>
      </c>
      <c r="B34" s="36">
        <v>1165</v>
      </c>
      <c r="C34" s="37">
        <v>13297875</v>
      </c>
    </row>
    <row r="35" spans="1:3" x14ac:dyDescent="0.2">
      <c r="A35">
        <v>2023</v>
      </c>
      <c r="B35" s="36">
        <v>1170</v>
      </c>
      <c r="C35" s="37">
        <v>6321705</v>
      </c>
    </row>
    <row r="36" spans="1:3" x14ac:dyDescent="0.2">
      <c r="A36">
        <v>2023</v>
      </c>
      <c r="B36" s="36">
        <v>1175</v>
      </c>
      <c r="C36" s="37">
        <v>2906593</v>
      </c>
    </row>
    <row r="37" spans="1:3" x14ac:dyDescent="0.2">
      <c r="A37">
        <v>2023</v>
      </c>
      <c r="B37" s="36">
        <v>1180</v>
      </c>
      <c r="C37" s="37">
        <v>1437447</v>
      </c>
    </row>
    <row r="38" spans="1:3" x14ac:dyDescent="0.2">
      <c r="A38">
        <v>2023</v>
      </c>
      <c r="B38" s="36">
        <v>1185</v>
      </c>
      <c r="C38" s="37">
        <v>1594125</v>
      </c>
    </row>
    <row r="39" spans="1:3" x14ac:dyDescent="0.2">
      <c r="A39">
        <v>2023</v>
      </c>
      <c r="B39" s="36">
        <v>1190</v>
      </c>
      <c r="C39" s="37">
        <v>1614337</v>
      </c>
    </row>
    <row r="40" spans="1:3" x14ac:dyDescent="0.2">
      <c r="A40">
        <v>2023</v>
      </c>
      <c r="B40" s="36">
        <v>1195</v>
      </c>
      <c r="C40" s="37">
        <v>1755373</v>
      </c>
    </row>
    <row r="41" spans="1:3" x14ac:dyDescent="0.2">
      <c r="A41">
        <v>2023</v>
      </c>
      <c r="B41" s="36">
        <v>1200</v>
      </c>
      <c r="C41" s="37">
        <v>1575360</v>
      </c>
    </row>
    <row r="42" spans="1:3" x14ac:dyDescent="0.2">
      <c r="A42">
        <v>2023</v>
      </c>
      <c r="B42" s="36">
        <v>1205</v>
      </c>
      <c r="C42" s="37">
        <v>3839602</v>
      </c>
    </row>
    <row r="43" spans="1:3" x14ac:dyDescent="0.2">
      <c r="A43">
        <v>2023</v>
      </c>
      <c r="B43" s="36">
        <v>1210</v>
      </c>
      <c r="C43" s="37">
        <v>4614209</v>
      </c>
    </row>
    <row r="44" spans="1:3" x14ac:dyDescent="0.2">
      <c r="A44">
        <v>2023</v>
      </c>
      <c r="B44" s="36">
        <v>1215</v>
      </c>
      <c r="C44" s="37">
        <v>1911344</v>
      </c>
    </row>
    <row r="45" spans="1:3" x14ac:dyDescent="0.2">
      <c r="A45">
        <v>2023</v>
      </c>
      <c r="B45" s="36">
        <v>1220</v>
      </c>
      <c r="C45" s="37">
        <v>2753962</v>
      </c>
    </row>
    <row r="46" spans="1:3" x14ac:dyDescent="0.2">
      <c r="A46">
        <v>2023</v>
      </c>
      <c r="B46" s="36">
        <v>1225</v>
      </c>
      <c r="C46" s="38">
        <v>4316585</v>
      </c>
    </row>
    <row r="47" spans="1:3" x14ac:dyDescent="0.2">
      <c r="A47">
        <v>2023</v>
      </c>
      <c r="B47" s="36">
        <v>1230</v>
      </c>
      <c r="C47" s="37">
        <v>941353</v>
      </c>
    </row>
    <row r="48" spans="1:3" x14ac:dyDescent="0.2">
      <c r="A48">
        <v>2023</v>
      </c>
      <c r="B48" s="36">
        <v>1235</v>
      </c>
      <c r="C48" s="37">
        <v>29239038</v>
      </c>
    </row>
    <row r="49" spans="1:3" x14ac:dyDescent="0.2">
      <c r="A49">
        <v>2023</v>
      </c>
      <c r="B49" s="36">
        <v>1240</v>
      </c>
      <c r="C49" s="37">
        <v>4569537</v>
      </c>
    </row>
    <row r="50" spans="1:3" x14ac:dyDescent="0.2">
      <c r="A50">
        <v>2023</v>
      </c>
      <c r="B50" s="36">
        <v>1245</v>
      </c>
      <c r="C50" s="37">
        <v>4707282</v>
      </c>
    </row>
    <row r="51" spans="1:3" x14ac:dyDescent="0.2">
      <c r="A51">
        <v>2023</v>
      </c>
      <c r="B51" s="36">
        <v>1250</v>
      </c>
      <c r="C51" s="37">
        <v>1740531</v>
      </c>
    </row>
    <row r="52" spans="1:3" x14ac:dyDescent="0.2">
      <c r="A52">
        <v>2023</v>
      </c>
      <c r="B52" s="36">
        <v>1255</v>
      </c>
      <c r="C52" s="37">
        <v>5027902</v>
      </c>
    </row>
    <row r="53" spans="1:3" x14ac:dyDescent="0.2">
      <c r="A53">
        <v>2023</v>
      </c>
      <c r="B53" s="36">
        <v>1260</v>
      </c>
      <c r="C53" s="37">
        <v>9565285</v>
      </c>
    </row>
    <row r="54" spans="1:3" x14ac:dyDescent="0.2">
      <c r="A54">
        <v>2023</v>
      </c>
      <c r="B54" s="36">
        <v>1265</v>
      </c>
      <c r="C54" s="37">
        <v>1705503</v>
      </c>
    </row>
    <row r="55" spans="1:3" x14ac:dyDescent="0.2">
      <c r="A55">
        <v>2023</v>
      </c>
      <c r="B55" s="36">
        <v>1270</v>
      </c>
      <c r="C55" s="37">
        <v>21563876</v>
      </c>
    </row>
    <row r="56" spans="1:3" x14ac:dyDescent="0.2">
      <c r="A56">
        <v>2023</v>
      </c>
      <c r="B56" s="36">
        <v>1275</v>
      </c>
      <c r="C56" s="37">
        <v>1529514</v>
      </c>
    </row>
    <row r="57" spans="1:3" x14ac:dyDescent="0.2">
      <c r="A57">
        <v>2023</v>
      </c>
      <c r="B57" s="36">
        <v>1280</v>
      </c>
      <c r="C57" s="37">
        <v>3997657</v>
      </c>
    </row>
    <row r="58" spans="1:3" x14ac:dyDescent="0.2">
      <c r="A58">
        <v>2023</v>
      </c>
      <c r="B58" s="36">
        <v>1285</v>
      </c>
      <c r="C58" s="37">
        <v>6872398</v>
      </c>
    </row>
    <row r="59" spans="1:3" x14ac:dyDescent="0.2">
      <c r="A59">
        <v>2023</v>
      </c>
      <c r="B59" s="36">
        <v>1290</v>
      </c>
      <c r="C59" s="37">
        <v>2852109</v>
      </c>
    </row>
    <row r="60" spans="1:3" x14ac:dyDescent="0.2">
      <c r="A60">
        <v>2023</v>
      </c>
      <c r="B60" s="36">
        <v>1295</v>
      </c>
      <c r="C60" s="37">
        <v>1155962</v>
      </c>
    </row>
    <row r="61" spans="1:3" x14ac:dyDescent="0.2">
      <c r="A61">
        <v>2023</v>
      </c>
      <c r="B61" s="36">
        <v>1300</v>
      </c>
      <c r="C61" s="37">
        <v>10639634</v>
      </c>
    </row>
    <row r="62" spans="1:3" x14ac:dyDescent="0.2">
      <c r="A62">
        <v>2023</v>
      </c>
      <c r="B62" s="36">
        <v>1305</v>
      </c>
      <c r="C62" s="37">
        <v>28282240</v>
      </c>
    </row>
    <row r="63" spans="1:3" x14ac:dyDescent="0.2">
      <c r="A63">
        <v>2023</v>
      </c>
      <c r="B63" s="36">
        <v>2005</v>
      </c>
      <c r="C63" s="37">
        <v>1475475</v>
      </c>
    </row>
    <row r="64" spans="1:3" x14ac:dyDescent="0.2">
      <c r="A64">
        <v>2023</v>
      </c>
      <c r="B64" s="36">
        <v>2006</v>
      </c>
      <c r="C64" s="37">
        <v>1328779</v>
      </c>
    </row>
    <row r="65" spans="1:3" x14ac:dyDescent="0.2">
      <c r="A65">
        <v>2023</v>
      </c>
      <c r="B65" s="36">
        <v>2007</v>
      </c>
      <c r="C65" s="37">
        <v>4004690</v>
      </c>
    </row>
    <row r="66" spans="1:3" x14ac:dyDescent="0.2">
      <c r="A66">
        <v>2023</v>
      </c>
      <c r="B66" s="36">
        <v>2008</v>
      </c>
      <c r="C66" s="37">
        <v>3563541</v>
      </c>
    </row>
    <row r="67" spans="1:3" x14ac:dyDescent="0.2">
      <c r="A67">
        <v>2023</v>
      </c>
      <c r="B67" s="36">
        <v>2009</v>
      </c>
      <c r="C67" s="37">
        <v>2870164</v>
      </c>
    </row>
    <row r="68" spans="1:3" x14ac:dyDescent="0.2">
      <c r="A68">
        <v>2023</v>
      </c>
      <c r="B68" s="36">
        <v>2010</v>
      </c>
      <c r="C68" s="37">
        <v>9007024</v>
      </c>
    </row>
    <row r="69" spans="1:3" x14ac:dyDescent="0.2">
      <c r="A69">
        <v>2023</v>
      </c>
      <c r="B69" s="36">
        <v>2014</v>
      </c>
      <c r="C69" s="37">
        <v>1160154</v>
      </c>
    </row>
    <row r="70" spans="1:3" x14ac:dyDescent="0.2">
      <c r="A70">
        <v>2023</v>
      </c>
      <c r="B70" s="36">
        <v>2015</v>
      </c>
      <c r="C70" s="37">
        <v>2475847</v>
      </c>
    </row>
    <row r="71" spans="1:3" x14ac:dyDescent="0.2">
      <c r="A71">
        <v>2023</v>
      </c>
      <c r="B71" s="36">
        <v>2016</v>
      </c>
      <c r="C71" s="37">
        <v>953871</v>
      </c>
    </row>
    <row r="72" spans="1:3" x14ac:dyDescent="0.2">
      <c r="A72">
        <v>2023</v>
      </c>
      <c r="B72" s="36">
        <v>2018</v>
      </c>
      <c r="C72" s="37">
        <v>2400269</v>
      </c>
    </row>
    <row r="73" spans="1:3" x14ac:dyDescent="0.2">
      <c r="A73">
        <v>2023</v>
      </c>
      <c r="B73" s="36">
        <v>2020</v>
      </c>
      <c r="C73" s="37">
        <v>6130721</v>
      </c>
    </row>
    <row r="74" spans="1:3" x14ac:dyDescent="0.2">
      <c r="A74">
        <v>2023</v>
      </c>
      <c r="B74" s="36">
        <v>2025</v>
      </c>
      <c r="C74" s="37">
        <v>4941812</v>
      </c>
    </row>
    <row r="75" spans="1:3" x14ac:dyDescent="0.2">
      <c r="A75">
        <v>2023</v>
      </c>
      <c r="B75" s="36">
        <v>2030</v>
      </c>
      <c r="C75" s="37">
        <v>4210135</v>
      </c>
    </row>
    <row r="76" spans="1:3" x14ac:dyDescent="0.2">
      <c r="A76">
        <v>2023</v>
      </c>
      <c r="B76" s="36">
        <v>2035</v>
      </c>
      <c r="C76" s="37">
        <v>1341766</v>
      </c>
    </row>
    <row r="77" spans="1:3" x14ac:dyDescent="0.2">
      <c r="A77">
        <v>2023</v>
      </c>
      <c r="B77" s="36">
        <v>2040</v>
      </c>
      <c r="C77" s="37">
        <v>8178063</v>
      </c>
    </row>
    <row r="78" spans="1:3" x14ac:dyDescent="0.2">
      <c r="A78">
        <v>2023</v>
      </c>
      <c r="B78" s="36">
        <v>2044</v>
      </c>
      <c r="C78" s="37">
        <v>1945275</v>
      </c>
    </row>
    <row r="79" spans="1:3" x14ac:dyDescent="0.2">
      <c r="A79">
        <v>2023</v>
      </c>
      <c r="B79" s="36">
        <v>2045</v>
      </c>
      <c r="C79" s="37">
        <v>4512454</v>
      </c>
    </row>
    <row r="80" spans="1:3" x14ac:dyDescent="0.2">
      <c r="A80">
        <v>2023</v>
      </c>
      <c r="B80" s="36">
        <v>2046</v>
      </c>
      <c r="C80" s="37">
        <v>3755471</v>
      </c>
    </row>
    <row r="81" spans="1:3" x14ac:dyDescent="0.2">
      <c r="A81">
        <v>2023</v>
      </c>
      <c r="B81" s="36">
        <v>2047</v>
      </c>
      <c r="C81" s="37">
        <v>19311391</v>
      </c>
    </row>
    <row r="82" spans="1:3" x14ac:dyDescent="0.2">
      <c r="A82">
        <v>2023</v>
      </c>
      <c r="B82" s="36">
        <v>2048</v>
      </c>
      <c r="C82" s="37">
        <v>4300881</v>
      </c>
    </row>
    <row r="83" spans="1:3" x14ac:dyDescent="0.2">
      <c r="A83">
        <v>2023</v>
      </c>
      <c r="B83" s="36">
        <v>2050</v>
      </c>
      <c r="C83" s="37">
        <v>3289076</v>
      </c>
    </row>
    <row r="84" spans="1:3" x14ac:dyDescent="0.2">
      <c r="A84">
        <v>2023</v>
      </c>
      <c r="B84" s="36">
        <v>2052</v>
      </c>
      <c r="C84" s="37">
        <v>2513554</v>
      </c>
    </row>
    <row r="85" spans="1:3" x14ac:dyDescent="0.2">
      <c r="A85">
        <v>2023</v>
      </c>
      <c r="B85" s="36">
        <v>2055</v>
      </c>
      <c r="C85" s="37">
        <v>2334110</v>
      </c>
    </row>
    <row r="86" spans="1:3" x14ac:dyDescent="0.2">
      <c r="A86">
        <v>2023</v>
      </c>
      <c r="B86" s="36">
        <v>2056</v>
      </c>
      <c r="C86" s="37">
        <v>3115906</v>
      </c>
    </row>
    <row r="87" spans="1:3" x14ac:dyDescent="0.2">
      <c r="A87">
        <v>2023</v>
      </c>
      <c r="B87" s="36">
        <v>2057</v>
      </c>
      <c r="C87" s="37">
        <v>3923216</v>
      </c>
    </row>
    <row r="88" spans="1:3" x14ac:dyDescent="0.2">
      <c r="A88">
        <v>2023</v>
      </c>
      <c r="B88" s="36">
        <v>2058</v>
      </c>
      <c r="C88" s="37">
        <v>2430883</v>
      </c>
    </row>
    <row r="89" spans="1:3" x14ac:dyDescent="0.2">
      <c r="A89">
        <v>2023</v>
      </c>
      <c r="B89" s="36">
        <v>2059</v>
      </c>
      <c r="C89" s="37">
        <v>4291208</v>
      </c>
    </row>
    <row r="90" spans="1:3" x14ac:dyDescent="0.2">
      <c r="A90">
        <v>2023</v>
      </c>
      <c r="B90" s="36">
        <v>2060</v>
      </c>
      <c r="C90" s="37">
        <v>1088953</v>
      </c>
    </row>
    <row r="91" spans="1:3" x14ac:dyDescent="0.2">
      <c r="A91">
        <v>2023</v>
      </c>
      <c r="B91" s="36">
        <v>2061</v>
      </c>
      <c r="C91" s="37">
        <v>1166863</v>
      </c>
    </row>
    <row r="92" spans="1:3" x14ac:dyDescent="0.2">
      <c r="A92">
        <v>2023</v>
      </c>
      <c r="B92" s="36">
        <v>2062</v>
      </c>
      <c r="C92" s="38">
        <v>1893701</v>
      </c>
    </row>
    <row r="93" spans="1:3" x14ac:dyDescent="0.2">
      <c r="A93">
        <v>2023</v>
      </c>
      <c r="B93" s="36">
        <v>2063</v>
      </c>
      <c r="C93" s="37">
        <v>1065590</v>
      </c>
    </row>
    <row r="94" spans="1:3" x14ac:dyDescent="0.2">
      <c r="A94">
        <v>2023</v>
      </c>
      <c r="B94" s="36">
        <v>2064</v>
      </c>
      <c r="C94" s="37">
        <v>2925492</v>
      </c>
    </row>
    <row r="95" spans="1:3" x14ac:dyDescent="0.2">
      <c r="A95">
        <v>2023</v>
      </c>
      <c r="B95" s="36">
        <v>2065</v>
      </c>
      <c r="C95" s="37">
        <v>2350853</v>
      </c>
    </row>
    <row r="96" spans="1:3" x14ac:dyDescent="0.2">
      <c r="A96">
        <v>2023</v>
      </c>
      <c r="B96" s="36">
        <v>2066</v>
      </c>
      <c r="C96" s="37">
        <v>5641549</v>
      </c>
    </row>
    <row r="97" spans="1:3" x14ac:dyDescent="0.2">
      <c r="A97">
        <v>2023</v>
      </c>
      <c r="B97" s="36">
        <v>2067</v>
      </c>
      <c r="C97" s="37">
        <v>9234266</v>
      </c>
    </row>
    <row r="98" spans="1:3" x14ac:dyDescent="0.2">
      <c r="A98">
        <v>2023</v>
      </c>
      <c r="B98" s="36">
        <v>2068</v>
      </c>
      <c r="C98" s="37">
        <v>8125748</v>
      </c>
    </row>
    <row r="99" spans="1:3" x14ac:dyDescent="0.2">
      <c r="A99">
        <v>2023</v>
      </c>
      <c r="B99" s="36">
        <v>2069</v>
      </c>
      <c r="C99" s="37">
        <v>1099677</v>
      </c>
    </row>
    <row r="100" spans="1:3" x14ac:dyDescent="0.2">
      <c r="A100">
        <v>2023</v>
      </c>
      <c r="B100" s="36">
        <v>2070</v>
      </c>
      <c r="C100" s="37">
        <v>1527492</v>
      </c>
    </row>
    <row r="101" spans="1:3" x14ac:dyDescent="0.2">
      <c r="A101">
        <v>2023</v>
      </c>
      <c r="B101" s="36">
        <v>2071</v>
      </c>
      <c r="C101" s="37">
        <v>1196503</v>
      </c>
    </row>
    <row r="102" spans="1:3" x14ac:dyDescent="0.2">
      <c r="A102">
        <v>2023</v>
      </c>
      <c r="B102" s="36">
        <v>2072</v>
      </c>
      <c r="C102" s="37">
        <v>1578147</v>
      </c>
    </row>
    <row r="103" spans="1:3" x14ac:dyDescent="0.2">
      <c r="A103">
        <v>2023</v>
      </c>
      <c r="B103" s="36">
        <v>2073</v>
      </c>
      <c r="C103" s="37">
        <v>3248209</v>
      </c>
    </row>
    <row r="104" spans="1:3" x14ac:dyDescent="0.2">
      <c r="A104">
        <v>2023</v>
      </c>
      <c r="B104" s="36">
        <v>2074</v>
      </c>
      <c r="C104" s="37">
        <v>2898153</v>
      </c>
    </row>
    <row r="105" spans="1:3" x14ac:dyDescent="0.2">
      <c r="A105">
        <v>2023</v>
      </c>
      <c r="B105" s="36">
        <v>2075</v>
      </c>
      <c r="C105" s="37">
        <v>5661486</v>
      </c>
    </row>
    <row r="106" spans="1:3" x14ac:dyDescent="0.2">
      <c r="A106">
        <v>2023</v>
      </c>
      <c r="B106" s="36">
        <v>2076</v>
      </c>
      <c r="C106" s="37">
        <v>3765637</v>
      </c>
    </row>
    <row r="107" spans="1:3" x14ac:dyDescent="0.2">
      <c r="A107">
        <v>2023</v>
      </c>
      <c r="B107" s="36">
        <v>2077</v>
      </c>
      <c r="C107" s="37">
        <v>1089483</v>
      </c>
    </row>
    <row r="108" spans="1:3" x14ac:dyDescent="0.2">
      <c r="A108">
        <v>2023</v>
      </c>
      <c r="B108" s="36">
        <v>2078</v>
      </c>
      <c r="C108" s="37">
        <v>8675026</v>
      </c>
    </row>
    <row r="109" spans="1:3" x14ac:dyDescent="0.2">
      <c r="A109">
        <v>2023</v>
      </c>
      <c r="B109" s="36">
        <v>2079</v>
      </c>
      <c r="C109" s="37">
        <v>5936150</v>
      </c>
    </row>
    <row r="110" spans="1:3" x14ac:dyDescent="0.2">
      <c r="A110">
        <v>2023</v>
      </c>
      <c r="B110" s="36">
        <v>2080</v>
      </c>
      <c r="C110" s="37">
        <v>1136373</v>
      </c>
    </row>
    <row r="111" spans="1:3" x14ac:dyDescent="0.2">
      <c r="A111">
        <v>2023</v>
      </c>
      <c r="B111" s="36">
        <v>2081</v>
      </c>
      <c r="C111" s="37">
        <v>1630436</v>
      </c>
    </row>
    <row r="112" spans="1:3" x14ac:dyDescent="0.2">
      <c r="A112">
        <v>2023</v>
      </c>
      <c r="B112" s="36">
        <v>2082</v>
      </c>
      <c r="C112" s="37">
        <v>812690</v>
      </c>
    </row>
    <row r="113" spans="1:3" x14ac:dyDescent="0.2">
      <c r="A113">
        <v>2023</v>
      </c>
      <c r="B113" s="36">
        <v>2083</v>
      </c>
      <c r="C113" s="37">
        <v>2031682</v>
      </c>
    </row>
    <row r="114" spans="1:3" x14ac:dyDescent="0.2">
      <c r="A114">
        <v>2023</v>
      </c>
      <c r="B114" s="36">
        <v>2084</v>
      </c>
      <c r="C114" s="37">
        <v>3498209</v>
      </c>
    </row>
    <row r="115" spans="1:3" x14ac:dyDescent="0.2">
      <c r="A115">
        <v>2023</v>
      </c>
      <c r="B115" s="36">
        <v>2085</v>
      </c>
      <c r="C115" s="37">
        <v>1786270</v>
      </c>
    </row>
    <row r="116" spans="1:3" x14ac:dyDescent="0.2">
      <c r="A116">
        <v>2023</v>
      </c>
      <c r="B116" s="36">
        <v>2086</v>
      </c>
      <c r="C116" s="37">
        <v>5512188</v>
      </c>
    </row>
    <row r="117" spans="1:3" x14ac:dyDescent="0.2">
      <c r="A117">
        <v>2023</v>
      </c>
      <c r="B117" s="36">
        <v>2090</v>
      </c>
      <c r="C117" s="37">
        <v>2576095</v>
      </c>
    </row>
    <row r="118" spans="1:3" x14ac:dyDescent="0.2">
      <c r="A118">
        <v>2023</v>
      </c>
      <c r="B118" s="36">
        <v>2095</v>
      </c>
      <c r="C118" s="37">
        <v>2564878</v>
      </c>
    </row>
    <row r="119" spans="1:3" x14ac:dyDescent="0.2">
      <c r="A119">
        <v>2023</v>
      </c>
      <c r="B119" s="36">
        <v>2104</v>
      </c>
      <c r="C119" s="37">
        <v>1499706</v>
      </c>
    </row>
    <row r="120" spans="1:3" x14ac:dyDescent="0.2">
      <c r="A120">
        <v>2023</v>
      </c>
      <c r="B120" s="36">
        <v>2105</v>
      </c>
      <c r="C120" s="37">
        <v>1543054</v>
      </c>
    </row>
    <row r="121" spans="1:3" x14ac:dyDescent="0.2">
      <c r="A121">
        <v>2023</v>
      </c>
      <c r="B121" s="36">
        <v>2110</v>
      </c>
      <c r="C121" s="37">
        <v>3964124</v>
      </c>
    </row>
    <row r="122" spans="1:3" x14ac:dyDescent="0.2">
      <c r="A122">
        <v>2023</v>
      </c>
      <c r="B122" s="36">
        <v>2112</v>
      </c>
      <c r="C122" s="37">
        <v>2728661</v>
      </c>
    </row>
    <row r="123" spans="1:3" x14ac:dyDescent="0.2">
      <c r="A123">
        <v>2023</v>
      </c>
      <c r="B123" s="36">
        <v>2115</v>
      </c>
      <c r="C123" s="37">
        <v>4937268</v>
      </c>
    </row>
    <row r="124" spans="1:3" x14ac:dyDescent="0.2">
      <c r="A124">
        <v>2023</v>
      </c>
      <c r="B124" s="36">
        <v>2120</v>
      </c>
      <c r="C124" s="37">
        <v>10095201</v>
      </c>
    </row>
    <row r="125" spans="1:3" x14ac:dyDescent="0.2">
      <c r="A125">
        <v>2023</v>
      </c>
      <c r="B125" s="36">
        <v>2125</v>
      </c>
      <c r="C125" s="37">
        <v>960651</v>
      </c>
    </row>
    <row r="126" spans="1:3" x14ac:dyDescent="0.2">
      <c r="A126">
        <v>2023</v>
      </c>
      <c r="B126" s="36">
        <v>2130</v>
      </c>
      <c r="C126" s="37">
        <v>1809329</v>
      </c>
    </row>
    <row r="127" spans="1:3" x14ac:dyDescent="0.2">
      <c r="A127">
        <v>2023</v>
      </c>
      <c r="B127" s="36">
        <v>2135</v>
      </c>
      <c r="C127" s="37">
        <v>3520399</v>
      </c>
    </row>
    <row r="128" spans="1:3" x14ac:dyDescent="0.2">
      <c r="A128">
        <v>2023</v>
      </c>
      <c r="B128" s="36">
        <v>2140</v>
      </c>
      <c r="C128" s="37">
        <v>3113722</v>
      </c>
    </row>
    <row r="129" spans="1:3" x14ac:dyDescent="0.2">
      <c r="A129">
        <v>2023</v>
      </c>
      <c r="B129" s="36">
        <v>2145</v>
      </c>
      <c r="C129" s="37">
        <v>4373418</v>
      </c>
    </row>
    <row r="130" spans="1:3" x14ac:dyDescent="0.2">
      <c r="A130">
        <v>2023</v>
      </c>
      <c r="B130" s="36">
        <v>2146</v>
      </c>
      <c r="C130" s="37">
        <v>4064206</v>
      </c>
    </row>
    <row r="131" spans="1:3" x14ac:dyDescent="0.2">
      <c r="A131">
        <v>2023</v>
      </c>
      <c r="B131" s="36">
        <v>2147</v>
      </c>
      <c r="C131" s="37">
        <v>1195834</v>
      </c>
    </row>
    <row r="132" spans="1:3" x14ac:dyDescent="0.2">
      <c r="A132">
        <v>2023</v>
      </c>
      <c r="B132" s="36">
        <v>2148</v>
      </c>
      <c r="C132" s="37">
        <v>2848692</v>
      </c>
    </row>
    <row r="133" spans="1:3" x14ac:dyDescent="0.2">
      <c r="A133">
        <v>2023</v>
      </c>
      <c r="B133" s="36">
        <v>2149</v>
      </c>
      <c r="C133" s="37">
        <v>1791558</v>
      </c>
    </row>
    <row r="134" spans="1:3" x14ac:dyDescent="0.2">
      <c r="A134">
        <v>2023</v>
      </c>
      <c r="B134" s="36">
        <v>2150</v>
      </c>
      <c r="C134" s="37">
        <v>799984</v>
      </c>
    </row>
    <row r="135" spans="1:3" x14ac:dyDescent="0.2">
      <c r="A135">
        <v>2023</v>
      </c>
      <c r="B135" s="36">
        <v>2155</v>
      </c>
      <c r="C135" s="37">
        <v>2990841</v>
      </c>
    </row>
    <row r="136" spans="1:3" x14ac:dyDescent="0.2">
      <c r="A136">
        <v>2023</v>
      </c>
      <c r="B136" s="36">
        <v>2160</v>
      </c>
      <c r="C136" s="37">
        <v>5074054</v>
      </c>
    </row>
    <row r="137" spans="1:3" x14ac:dyDescent="0.2">
      <c r="A137">
        <v>2023</v>
      </c>
      <c r="B137" s="36">
        <v>2165</v>
      </c>
      <c r="C137" s="37">
        <v>1909888</v>
      </c>
    </row>
    <row r="138" spans="1:3" x14ac:dyDescent="0.2">
      <c r="A138">
        <v>2023</v>
      </c>
      <c r="B138" s="36">
        <v>2170</v>
      </c>
      <c r="C138" s="38">
        <v>7566216</v>
      </c>
    </row>
    <row r="139" spans="1:3" x14ac:dyDescent="0.2">
      <c r="A139">
        <v>2023</v>
      </c>
      <c r="B139" s="36">
        <v>2175</v>
      </c>
      <c r="C139" s="37">
        <v>715358</v>
      </c>
    </row>
    <row r="140" spans="1:3" x14ac:dyDescent="0.2">
      <c r="A140">
        <v>2023</v>
      </c>
      <c r="B140" s="36">
        <v>2180</v>
      </c>
      <c r="C140" s="37">
        <v>1445627</v>
      </c>
    </row>
    <row r="141" spans="1:3" x14ac:dyDescent="0.2">
      <c r="A141">
        <v>2023</v>
      </c>
      <c r="B141" s="36">
        <v>2185</v>
      </c>
      <c r="C141" s="37">
        <v>8254838</v>
      </c>
    </row>
    <row r="142" spans="1:3" x14ac:dyDescent="0.2">
      <c r="A142">
        <v>2023</v>
      </c>
      <c r="B142" s="36">
        <v>2187</v>
      </c>
      <c r="C142" s="37">
        <v>4129866</v>
      </c>
    </row>
    <row r="143" spans="1:3" x14ac:dyDescent="0.2">
      <c r="A143">
        <v>2023</v>
      </c>
      <c r="B143" s="36">
        <v>2190</v>
      </c>
      <c r="C143" s="37">
        <v>5095944</v>
      </c>
    </row>
    <row r="144" spans="1:3" x14ac:dyDescent="0.2">
      <c r="A144">
        <v>2023</v>
      </c>
      <c r="B144" s="36">
        <v>2191</v>
      </c>
      <c r="C144" s="37">
        <v>3677462</v>
      </c>
    </row>
    <row r="145" spans="1:3" x14ac:dyDescent="0.2">
      <c r="A145">
        <v>2023</v>
      </c>
      <c r="B145" s="36">
        <v>2195</v>
      </c>
      <c r="C145" s="37">
        <v>1132165</v>
      </c>
    </row>
    <row r="146" spans="1:3" x14ac:dyDescent="0.2">
      <c r="A146">
        <v>2023</v>
      </c>
      <c r="B146" s="36">
        <v>2196</v>
      </c>
      <c r="C146" s="37">
        <v>1306623</v>
      </c>
    </row>
    <row r="147" spans="1:3" x14ac:dyDescent="0.2">
      <c r="A147">
        <v>2023</v>
      </c>
      <c r="B147" s="36">
        <v>2198</v>
      </c>
      <c r="C147" s="37">
        <v>2611303</v>
      </c>
    </row>
    <row r="148" spans="1:3" x14ac:dyDescent="0.2">
      <c r="A148">
        <v>2023</v>
      </c>
      <c r="B148" s="36">
        <v>2200</v>
      </c>
      <c r="C148" s="37">
        <v>11206517</v>
      </c>
    </row>
    <row r="149" spans="1:3" x14ac:dyDescent="0.2">
      <c r="A149">
        <v>2023</v>
      </c>
      <c r="B149" s="36">
        <v>2204</v>
      </c>
      <c r="C149" s="37">
        <v>10135758</v>
      </c>
    </row>
    <row r="150" spans="1:3" x14ac:dyDescent="0.2">
      <c r="A150">
        <v>2023</v>
      </c>
      <c r="B150" s="36">
        <v>2205</v>
      </c>
      <c r="C150" s="37">
        <v>360607</v>
      </c>
    </row>
    <row r="151" spans="1:3" x14ac:dyDescent="0.2">
      <c r="A151">
        <v>2023</v>
      </c>
      <c r="B151" s="36">
        <v>2206</v>
      </c>
      <c r="C151" s="37">
        <v>1611648</v>
      </c>
    </row>
    <row r="152" spans="1:3" x14ac:dyDescent="0.2">
      <c r="A152">
        <v>2023</v>
      </c>
      <c r="B152" s="36">
        <v>2207</v>
      </c>
      <c r="C152" s="37">
        <v>2737999</v>
      </c>
    </row>
    <row r="153" spans="1:3" x14ac:dyDescent="0.2">
      <c r="A153">
        <v>2023</v>
      </c>
      <c r="B153" s="36">
        <v>2208</v>
      </c>
      <c r="C153" s="37">
        <v>4925289</v>
      </c>
    </row>
    <row r="154" spans="1:3" x14ac:dyDescent="0.2">
      <c r="A154">
        <v>2023</v>
      </c>
      <c r="B154" s="36">
        <v>2209</v>
      </c>
      <c r="C154" s="37">
        <v>10951733</v>
      </c>
    </row>
    <row r="155" spans="1:3" x14ac:dyDescent="0.2">
      <c r="A155">
        <v>2023</v>
      </c>
      <c r="B155" s="36">
        <v>2210</v>
      </c>
      <c r="C155" s="37">
        <v>3190454</v>
      </c>
    </row>
    <row r="156" spans="1:3" x14ac:dyDescent="0.2">
      <c r="A156">
        <v>2023</v>
      </c>
      <c r="B156" s="36">
        <v>2212</v>
      </c>
      <c r="C156" s="37">
        <v>3789607</v>
      </c>
    </row>
    <row r="157" spans="1:3" x14ac:dyDescent="0.2">
      <c r="A157">
        <v>2023</v>
      </c>
      <c r="B157" s="36">
        <v>2215</v>
      </c>
      <c r="C157" s="37">
        <v>6039274</v>
      </c>
    </row>
    <row r="158" spans="1:3" x14ac:dyDescent="0.2">
      <c r="A158">
        <v>2023</v>
      </c>
      <c r="B158" s="36">
        <v>2220</v>
      </c>
      <c r="C158" s="37">
        <v>2445913</v>
      </c>
    </row>
    <row r="159" spans="1:3" x14ac:dyDescent="0.2">
      <c r="A159">
        <v>2023</v>
      </c>
      <c r="B159" s="36">
        <v>2224</v>
      </c>
      <c r="C159" s="37">
        <v>5243320</v>
      </c>
    </row>
    <row r="160" spans="1:3" x14ac:dyDescent="0.2">
      <c r="A160">
        <v>2023</v>
      </c>
      <c r="B160" s="36">
        <v>2225</v>
      </c>
      <c r="C160" s="37">
        <v>10194649</v>
      </c>
    </row>
    <row r="161" spans="1:3" x14ac:dyDescent="0.2">
      <c r="A161">
        <v>2023</v>
      </c>
      <c r="B161" s="36">
        <v>2230</v>
      </c>
      <c r="C161" s="37">
        <v>7008668</v>
      </c>
    </row>
    <row r="162" spans="1:3" x14ac:dyDescent="0.2">
      <c r="A162">
        <v>2023</v>
      </c>
      <c r="B162" s="36">
        <v>2231</v>
      </c>
      <c r="C162" s="37">
        <v>3543574</v>
      </c>
    </row>
    <row r="163" spans="1:3" x14ac:dyDescent="0.2">
      <c r="A163">
        <v>2023</v>
      </c>
      <c r="B163" s="36">
        <v>2235</v>
      </c>
      <c r="C163" s="37">
        <v>824042</v>
      </c>
    </row>
    <row r="164" spans="1:3" x14ac:dyDescent="0.2">
      <c r="A164">
        <v>2023</v>
      </c>
      <c r="B164" s="36">
        <v>2239</v>
      </c>
      <c r="C164" s="37">
        <v>3479235</v>
      </c>
    </row>
    <row r="165" spans="1:3" x14ac:dyDescent="0.2">
      <c r="A165">
        <v>2023</v>
      </c>
      <c r="B165" s="36">
        <v>2240</v>
      </c>
      <c r="C165" s="37">
        <v>7274248</v>
      </c>
    </row>
    <row r="166" spans="1:3" x14ac:dyDescent="0.2">
      <c r="A166">
        <v>2023</v>
      </c>
      <c r="B166" s="36">
        <v>2241</v>
      </c>
      <c r="C166" s="37">
        <v>1079991</v>
      </c>
    </row>
    <row r="167" spans="1:3" x14ac:dyDescent="0.2">
      <c r="A167">
        <v>2023</v>
      </c>
      <c r="B167" s="36">
        <v>2242</v>
      </c>
      <c r="C167" s="37">
        <v>1814015</v>
      </c>
    </row>
    <row r="168" spans="1:3" x14ac:dyDescent="0.2">
      <c r="A168">
        <v>2023</v>
      </c>
      <c r="B168" s="36">
        <v>2243</v>
      </c>
      <c r="C168" s="37">
        <v>1815329</v>
      </c>
    </row>
    <row r="169" spans="1:3" x14ac:dyDescent="0.2">
      <c r="A169">
        <v>2023</v>
      </c>
      <c r="B169" s="36">
        <v>2244</v>
      </c>
      <c r="C169" s="37">
        <v>1157253</v>
      </c>
    </row>
    <row r="170" spans="1:3" x14ac:dyDescent="0.2">
      <c r="A170">
        <v>2023</v>
      </c>
      <c r="B170" s="36">
        <v>2245</v>
      </c>
      <c r="C170" s="37">
        <v>2988726</v>
      </c>
    </row>
    <row r="171" spans="1:3" x14ac:dyDescent="0.2">
      <c r="A171">
        <v>2023</v>
      </c>
      <c r="B171" s="36">
        <v>2250</v>
      </c>
      <c r="C171" s="37">
        <v>1860348</v>
      </c>
    </row>
    <row r="172" spans="1:3" x14ac:dyDescent="0.2">
      <c r="A172">
        <v>2023</v>
      </c>
      <c r="B172" s="36">
        <v>2255</v>
      </c>
      <c r="C172" s="37">
        <v>5560872</v>
      </c>
    </row>
    <row r="173" spans="1:3" x14ac:dyDescent="0.2">
      <c r="A173">
        <v>2023</v>
      </c>
      <c r="B173" s="36">
        <v>2260</v>
      </c>
      <c r="C173" s="37">
        <v>3786792</v>
      </c>
    </row>
    <row r="174" spans="1:3" x14ac:dyDescent="0.2">
      <c r="A174">
        <v>2023</v>
      </c>
      <c r="B174" s="36">
        <v>2266</v>
      </c>
      <c r="C174" s="37">
        <v>3022451</v>
      </c>
    </row>
    <row r="175" spans="1:3" x14ac:dyDescent="0.2">
      <c r="A175">
        <v>2023</v>
      </c>
      <c r="B175" s="36">
        <v>2268</v>
      </c>
      <c r="C175" s="37">
        <v>1545363</v>
      </c>
    </row>
    <row r="176" spans="1:3" x14ac:dyDescent="0.2">
      <c r="A176">
        <v>2023</v>
      </c>
      <c r="B176" s="36">
        <v>2270</v>
      </c>
      <c r="C176" s="37">
        <v>3024454</v>
      </c>
    </row>
    <row r="177" spans="1:3" x14ac:dyDescent="0.2">
      <c r="A177">
        <v>2023</v>
      </c>
      <c r="B177" s="36">
        <v>2271</v>
      </c>
      <c r="C177" s="37">
        <v>2089741</v>
      </c>
    </row>
    <row r="178" spans="1:3" x14ac:dyDescent="0.2">
      <c r="A178">
        <v>2023</v>
      </c>
      <c r="B178" s="36">
        <v>2272</v>
      </c>
      <c r="C178" s="37">
        <v>3029293</v>
      </c>
    </row>
    <row r="179" spans="1:3" x14ac:dyDescent="0.2">
      <c r="A179">
        <v>2023</v>
      </c>
      <c r="B179" s="36">
        <v>2275</v>
      </c>
      <c r="C179" s="37">
        <v>5696776</v>
      </c>
    </row>
    <row r="180" spans="1:3" x14ac:dyDescent="0.2">
      <c r="A180">
        <v>2023</v>
      </c>
      <c r="B180" s="36">
        <v>2280</v>
      </c>
      <c r="C180" s="37">
        <v>1934259</v>
      </c>
    </row>
    <row r="181" spans="1:3" x14ac:dyDescent="0.2">
      <c r="A181">
        <v>2023</v>
      </c>
      <c r="B181" s="36">
        <v>2281</v>
      </c>
      <c r="C181" s="37">
        <v>1193386</v>
      </c>
    </row>
    <row r="182" spans="1:3" x14ac:dyDescent="0.2">
      <c r="A182">
        <v>2023</v>
      </c>
      <c r="B182" s="36">
        <v>2282</v>
      </c>
      <c r="C182" s="37">
        <v>4790022</v>
      </c>
    </row>
    <row r="183" spans="1:3" x14ac:dyDescent="0.2">
      <c r="A183">
        <v>2023</v>
      </c>
      <c r="B183" s="36">
        <v>2285</v>
      </c>
      <c r="C183" s="37">
        <v>7820979</v>
      </c>
    </row>
    <row r="184" spans="1:3" x14ac:dyDescent="0.2">
      <c r="A184">
        <v>2023</v>
      </c>
      <c r="B184" s="36">
        <v>2286</v>
      </c>
      <c r="C184" s="38">
        <v>3859687</v>
      </c>
    </row>
    <row r="185" spans="1:3" x14ac:dyDescent="0.2">
      <c r="A185">
        <v>2023</v>
      </c>
      <c r="B185" s="36">
        <v>2288</v>
      </c>
      <c r="C185" s="37">
        <v>2202659</v>
      </c>
    </row>
    <row r="186" spans="1:3" x14ac:dyDescent="0.2">
      <c r="A186">
        <v>2023</v>
      </c>
      <c r="B186" s="36">
        <v>2289</v>
      </c>
      <c r="C186" s="37">
        <v>7659725</v>
      </c>
    </row>
    <row r="187" spans="1:3" x14ac:dyDescent="0.2">
      <c r="A187">
        <v>2023</v>
      </c>
      <c r="B187" s="36">
        <v>2290</v>
      </c>
      <c r="C187" s="37">
        <v>4312505</v>
      </c>
    </row>
    <row r="188" spans="1:3" x14ac:dyDescent="0.2">
      <c r="A188">
        <v>2023</v>
      </c>
      <c r="B188" s="36">
        <v>2295</v>
      </c>
      <c r="C188" s="37">
        <v>2449228</v>
      </c>
    </row>
    <row r="189" spans="1:3" x14ac:dyDescent="0.2">
      <c r="A189">
        <v>2023</v>
      </c>
      <c r="B189" s="36">
        <v>2300</v>
      </c>
      <c r="C189" s="37">
        <v>3145613</v>
      </c>
    </row>
    <row r="190" spans="1:3" x14ac:dyDescent="0.2">
      <c r="A190">
        <v>2023</v>
      </c>
      <c r="B190" s="36">
        <v>2305</v>
      </c>
      <c r="C190" s="37">
        <v>1019454</v>
      </c>
    </row>
    <row r="191" spans="1:3" x14ac:dyDescent="0.2">
      <c r="A191">
        <v>2023</v>
      </c>
      <c r="B191" s="36">
        <v>2310</v>
      </c>
      <c r="C191" s="37">
        <v>9982446</v>
      </c>
    </row>
    <row r="192" spans="1:3" x14ac:dyDescent="0.2">
      <c r="A192">
        <v>2023</v>
      </c>
      <c r="B192" s="36">
        <v>2315</v>
      </c>
      <c r="C192" s="37">
        <v>1898289</v>
      </c>
    </row>
    <row r="193" spans="1:3" x14ac:dyDescent="0.2">
      <c r="A193">
        <v>2023</v>
      </c>
      <c r="B193" s="36">
        <v>2317</v>
      </c>
      <c r="C193" s="37">
        <v>1825921</v>
      </c>
    </row>
    <row r="194" spans="1:3" x14ac:dyDescent="0.2">
      <c r="A194">
        <v>2023</v>
      </c>
      <c r="B194" s="36">
        <v>2320</v>
      </c>
      <c r="C194" s="37">
        <v>7525567</v>
      </c>
    </row>
    <row r="195" spans="1:3" x14ac:dyDescent="0.2">
      <c r="A195">
        <v>2023</v>
      </c>
      <c r="B195" s="36">
        <v>2325</v>
      </c>
      <c r="C195" s="37">
        <v>6749340</v>
      </c>
    </row>
    <row r="196" spans="1:3" x14ac:dyDescent="0.2">
      <c r="A196">
        <v>2023</v>
      </c>
      <c r="B196" s="36">
        <v>2328</v>
      </c>
      <c r="C196" s="37">
        <v>1214101</v>
      </c>
    </row>
    <row r="197" spans="1:3" x14ac:dyDescent="0.2">
      <c r="A197">
        <v>2023</v>
      </c>
      <c r="B197" s="36">
        <v>2330</v>
      </c>
      <c r="C197" s="37">
        <v>3839024</v>
      </c>
    </row>
    <row r="198" spans="1:3" x14ac:dyDescent="0.2">
      <c r="A198">
        <v>2023</v>
      </c>
      <c r="B198" s="36">
        <v>2335</v>
      </c>
      <c r="C198" s="37">
        <v>4421913</v>
      </c>
    </row>
    <row r="199" spans="1:3" x14ac:dyDescent="0.2">
      <c r="A199">
        <v>2023</v>
      </c>
      <c r="B199" s="36">
        <v>2338</v>
      </c>
      <c r="C199" s="37">
        <v>5673502</v>
      </c>
    </row>
    <row r="200" spans="1:3" x14ac:dyDescent="0.2">
      <c r="A200">
        <v>2023</v>
      </c>
      <c r="B200" s="36">
        <v>2339</v>
      </c>
      <c r="C200" s="37">
        <v>1797647</v>
      </c>
    </row>
    <row r="201" spans="1:3" x14ac:dyDescent="0.2">
      <c r="A201">
        <v>2023</v>
      </c>
      <c r="B201" s="36">
        <v>2340</v>
      </c>
      <c r="C201" s="37">
        <v>2331980</v>
      </c>
    </row>
    <row r="202" spans="1:3" x14ac:dyDescent="0.2">
      <c r="A202">
        <v>2023</v>
      </c>
      <c r="B202" s="36">
        <v>2345</v>
      </c>
      <c r="C202" s="37">
        <v>2586028</v>
      </c>
    </row>
    <row r="203" spans="1:3" x14ac:dyDescent="0.2">
      <c r="A203">
        <v>2023</v>
      </c>
      <c r="B203" s="36">
        <v>2350</v>
      </c>
      <c r="C203" s="37">
        <v>6682451</v>
      </c>
    </row>
    <row r="204" spans="1:3" x14ac:dyDescent="0.2">
      <c r="A204">
        <v>2023</v>
      </c>
      <c r="B204" s="36">
        <v>2355</v>
      </c>
      <c r="C204" s="37">
        <v>4620055</v>
      </c>
    </row>
    <row r="205" spans="1:3" x14ac:dyDescent="0.2">
      <c r="A205">
        <v>2023</v>
      </c>
      <c r="B205" s="36">
        <v>2360</v>
      </c>
      <c r="C205" s="37">
        <v>3595485</v>
      </c>
    </row>
    <row r="206" spans="1:3" x14ac:dyDescent="0.2">
      <c r="A206">
        <v>2023</v>
      </c>
      <c r="B206" s="36">
        <v>2361</v>
      </c>
      <c r="C206" s="37">
        <v>1574667</v>
      </c>
    </row>
    <row r="207" spans="1:3" x14ac:dyDescent="0.2">
      <c r="A207">
        <v>2023</v>
      </c>
      <c r="B207" s="36">
        <v>2362</v>
      </c>
      <c r="C207" s="37">
        <v>1873472</v>
      </c>
    </row>
    <row r="208" spans="1:3" x14ac:dyDescent="0.2">
      <c r="A208">
        <v>2023</v>
      </c>
      <c r="B208" s="36">
        <v>2363</v>
      </c>
      <c r="C208" s="37">
        <v>1096111</v>
      </c>
    </row>
    <row r="209" spans="1:3" x14ac:dyDescent="0.2">
      <c r="A209">
        <v>2023</v>
      </c>
      <c r="B209" s="36">
        <v>2364</v>
      </c>
      <c r="C209" s="37">
        <v>2306423</v>
      </c>
    </row>
    <row r="210" spans="1:3" x14ac:dyDescent="0.2">
      <c r="A210">
        <v>2023</v>
      </c>
      <c r="B210" s="36">
        <v>2365</v>
      </c>
      <c r="C210" s="37">
        <v>10001489</v>
      </c>
    </row>
    <row r="211" spans="1:3" x14ac:dyDescent="0.2">
      <c r="A211">
        <v>2023</v>
      </c>
      <c r="B211" s="36">
        <v>2370</v>
      </c>
      <c r="C211" s="37">
        <v>1913073</v>
      </c>
    </row>
    <row r="212" spans="1:3" x14ac:dyDescent="0.2">
      <c r="A212">
        <v>2023</v>
      </c>
      <c r="B212" s="36">
        <v>2375</v>
      </c>
      <c r="C212" s="37">
        <v>1409365</v>
      </c>
    </row>
    <row r="213" spans="1:3" x14ac:dyDescent="0.2">
      <c r="A213">
        <v>2023</v>
      </c>
      <c r="B213" s="36">
        <v>2377</v>
      </c>
      <c r="C213" s="37">
        <v>2152813</v>
      </c>
    </row>
    <row r="214" spans="1:3" x14ac:dyDescent="0.2">
      <c r="A214">
        <v>2023</v>
      </c>
      <c r="B214" s="36">
        <v>2378</v>
      </c>
      <c r="C214" s="37">
        <v>11290934</v>
      </c>
    </row>
    <row r="215" spans="1:3" x14ac:dyDescent="0.2">
      <c r="A215">
        <v>2023</v>
      </c>
      <c r="B215" s="36">
        <v>2379</v>
      </c>
      <c r="C215" s="37">
        <v>11193888</v>
      </c>
    </row>
    <row r="216" spans="1:3" x14ac:dyDescent="0.2">
      <c r="A216">
        <v>2023</v>
      </c>
      <c r="B216" s="36">
        <v>2380</v>
      </c>
      <c r="C216" s="37">
        <v>4168945</v>
      </c>
    </row>
    <row r="217" spans="1:3" x14ac:dyDescent="0.2">
      <c r="A217">
        <v>2023</v>
      </c>
      <c r="B217" s="36">
        <v>2381</v>
      </c>
      <c r="C217" s="37">
        <v>2368379</v>
      </c>
    </row>
    <row r="218" spans="1:3" x14ac:dyDescent="0.2">
      <c r="A218">
        <v>2023</v>
      </c>
      <c r="B218" s="36">
        <v>2383</v>
      </c>
      <c r="C218" s="37">
        <v>8057185</v>
      </c>
    </row>
    <row r="219" spans="1:3" x14ac:dyDescent="0.2">
      <c r="A219">
        <v>2023</v>
      </c>
      <c r="B219" s="36">
        <v>2384</v>
      </c>
      <c r="C219" s="37">
        <v>4990524</v>
      </c>
    </row>
    <row r="220" spans="1:3" x14ac:dyDescent="0.2">
      <c r="A220">
        <v>2023</v>
      </c>
      <c r="B220" s="36">
        <v>2385</v>
      </c>
      <c r="C220" s="37">
        <v>3313790</v>
      </c>
    </row>
    <row r="221" spans="1:3" x14ac:dyDescent="0.2">
      <c r="A221">
        <v>2023</v>
      </c>
      <c r="B221" s="36">
        <v>2389</v>
      </c>
      <c r="C221" s="37">
        <v>2988394</v>
      </c>
    </row>
    <row r="222" spans="1:3" x14ac:dyDescent="0.2">
      <c r="A222">
        <v>2023</v>
      </c>
      <c r="B222" s="36">
        <v>2390</v>
      </c>
      <c r="C222" s="37">
        <v>5961258</v>
      </c>
    </row>
    <row r="223" spans="1:3" x14ac:dyDescent="0.2">
      <c r="A223">
        <v>2023</v>
      </c>
      <c r="B223" s="36">
        <v>2391</v>
      </c>
      <c r="C223" s="37">
        <v>3162707</v>
      </c>
    </row>
    <row r="224" spans="1:3" x14ac:dyDescent="0.2">
      <c r="A224">
        <v>2023</v>
      </c>
      <c r="B224" s="36">
        <v>2394</v>
      </c>
      <c r="C224" s="37">
        <v>2152926</v>
      </c>
    </row>
    <row r="225" spans="1:3" x14ac:dyDescent="0.2">
      <c r="A225">
        <v>2023</v>
      </c>
      <c r="B225" s="36">
        <v>2395</v>
      </c>
      <c r="C225" s="37">
        <v>1827122</v>
      </c>
    </row>
    <row r="226" spans="1:3" x14ac:dyDescent="0.2">
      <c r="A226">
        <v>2023</v>
      </c>
      <c r="B226" s="36">
        <v>2396</v>
      </c>
      <c r="C226" s="37">
        <v>1255209</v>
      </c>
    </row>
    <row r="227" spans="1:3" x14ac:dyDescent="0.2">
      <c r="A227">
        <v>2023</v>
      </c>
      <c r="B227" s="36">
        <v>2400</v>
      </c>
      <c r="C227" s="37">
        <v>11110250</v>
      </c>
    </row>
    <row r="228" spans="1:3" x14ac:dyDescent="0.2">
      <c r="A228">
        <v>2023</v>
      </c>
      <c r="B228" s="36">
        <v>2401</v>
      </c>
      <c r="C228" s="37">
        <v>2473095</v>
      </c>
    </row>
    <row r="229" spans="1:3" x14ac:dyDescent="0.2">
      <c r="A229">
        <v>2023</v>
      </c>
      <c r="B229" s="36">
        <v>2402</v>
      </c>
      <c r="C229" s="37">
        <v>5983936</v>
      </c>
    </row>
    <row r="230" spans="1:3" x14ac:dyDescent="0.2">
      <c r="A230">
        <v>2023</v>
      </c>
      <c r="B230" s="36">
        <v>2403</v>
      </c>
      <c r="C230" s="38">
        <v>3086730</v>
      </c>
    </row>
    <row r="231" spans="1:3" x14ac:dyDescent="0.2">
      <c r="A231">
        <v>2023</v>
      </c>
      <c r="B231" s="36">
        <v>2405</v>
      </c>
      <c r="C231" s="37">
        <v>3813780</v>
      </c>
    </row>
    <row r="232" spans="1:3" x14ac:dyDescent="0.2">
      <c r="A232">
        <v>2023</v>
      </c>
      <c r="B232" s="36">
        <v>2406</v>
      </c>
      <c r="C232" s="37">
        <v>5042058</v>
      </c>
    </row>
    <row r="233" spans="1:3" x14ac:dyDescent="0.2">
      <c r="A233">
        <v>2023</v>
      </c>
      <c r="B233" s="36">
        <v>2408</v>
      </c>
      <c r="C233" s="37">
        <v>5887130</v>
      </c>
    </row>
    <row r="234" spans="1:3" x14ac:dyDescent="0.2">
      <c r="A234">
        <v>2023</v>
      </c>
      <c r="B234" s="36">
        <v>2409</v>
      </c>
      <c r="C234" s="37">
        <v>1011052</v>
      </c>
    </row>
    <row r="235" spans="1:3" x14ac:dyDescent="0.2">
      <c r="A235">
        <v>2023</v>
      </c>
      <c r="B235" s="36">
        <v>2410</v>
      </c>
      <c r="C235" s="37">
        <v>7612242</v>
      </c>
    </row>
    <row r="236" spans="1:3" x14ac:dyDescent="0.2">
      <c r="A236">
        <v>2023</v>
      </c>
      <c r="B236" s="36">
        <v>2415</v>
      </c>
      <c r="C236" s="37">
        <v>7446603</v>
      </c>
    </row>
    <row r="237" spans="1:3" x14ac:dyDescent="0.2">
      <c r="A237">
        <v>2023</v>
      </c>
      <c r="B237" s="36">
        <v>2420</v>
      </c>
      <c r="C237" s="37">
        <v>4021793</v>
      </c>
    </row>
    <row r="238" spans="1:3" x14ac:dyDescent="0.2">
      <c r="A238">
        <v>2023</v>
      </c>
      <c r="B238" s="36">
        <v>2425</v>
      </c>
      <c r="C238" s="37">
        <v>7210679</v>
      </c>
    </row>
    <row r="239" spans="1:3" x14ac:dyDescent="0.2">
      <c r="A239">
        <v>2023</v>
      </c>
      <c r="B239" s="36">
        <v>2426</v>
      </c>
      <c r="C239" s="37">
        <v>2024338</v>
      </c>
    </row>
    <row r="240" spans="1:3" x14ac:dyDescent="0.2">
      <c r="A240">
        <v>2023</v>
      </c>
      <c r="B240" s="36">
        <v>2428</v>
      </c>
      <c r="C240" s="37">
        <v>4547057</v>
      </c>
    </row>
    <row r="241" spans="1:3" x14ac:dyDescent="0.2">
      <c r="A241">
        <v>2023</v>
      </c>
      <c r="B241" s="36">
        <v>2430</v>
      </c>
      <c r="C241" s="37">
        <v>6775592</v>
      </c>
    </row>
    <row r="242" spans="1:3" x14ac:dyDescent="0.2">
      <c r="A242">
        <v>2023</v>
      </c>
      <c r="B242" s="36">
        <v>2435</v>
      </c>
      <c r="C242" s="37">
        <v>1728595</v>
      </c>
    </row>
    <row r="243" spans="1:3" x14ac:dyDescent="0.2">
      <c r="A243">
        <v>2023</v>
      </c>
      <c r="B243" s="36">
        <v>2440</v>
      </c>
      <c r="C243" s="37">
        <v>2730108</v>
      </c>
    </row>
    <row r="244" spans="1:3" x14ac:dyDescent="0.2">
      <c r="A244">
        <v>2023</v>
      </c>
      <c r="B244" s="36">
        <v>2441</v>
      </c>
      <c r="C244" s="37">
        <v>1659963</v>
      </c>
    </row>
    <row r="245" spans="1:3" x14ac:dyDescent="0.2">
      <c r="A245">
        <v>2023</v>
      </c>
      <c r="B245" s="36">
        <v>2445</v>
      </c>
      <c r="C245" s="37">
        <v>8961127</v>
      </c>
    </row>
    <row r="246" spans="1:3" x14ac:dyDescent="0.2">
      <c r="A246">
        <v>2023</v>
      </c>
      <c r="B246" s="36">
        <v>2450</v>
      </c>
      <c r="C246" s="37">
        <v>3479743</v>
      </c>
    </row>
    <row r="247" spans="1:3" x14ac:dyDescent="0.2">
      <c r="A247">
        <v>2023</v>
      </c>
      <c r="B247" s="36">
        <v>2455</v>
      </c>
      <c r="C247" s="37">
        <v>3953378</v>
      </c>
    </row>
    <row r="248" spans="1:3" x14ac:dyDescent="0.2">
      <c r="A248">
        <v>2023</v>
      </c>
      <c r="B248" s="36">
        <v>2458</v>
      </c>
      <c r="C248" s="37">
        <v>3787978</v>
      </c>
    </row>
    <row r="249" spans="1:3" x14ac:dyDescent="0.2">
      <c r="A249">
        <v>2023</v>
      </c>
      <c r="B249" s="36">
        <v>2460</v>
      </c>
      <c r="C249" s="37">
        <v>1376337</v>
      </c>
    </row>
    <row r="250" spans="1:3" x14ac:dyDescent="0.2">
      <c r="A250">
        <v>2023</v>
      </c>
      <c r="B250" s="36">
        <v>2464</v>
      </c>
      <c r="C250" s="37">
        <v>1329304</v>
      </c>
    </row>
    <row r="251" spans="1:3" x14ac:dyDescent="0.2">
      <c r="A251">
        <v>2023</v>
      </c>
      <c r="B251" s="36">
        <v>2465</v>
      </c>
      <c r="C251" s="37">
        <v>697561</v>
      </c>
    </row>
    <row r="252" spans="1:3" x14ac:dyDescent="0.2">
      <c r="A252">
        <v>2023</v>
      </c>
      <c r="B252" s="36">
        <v>2466</v>
      </c>
      <c r="C252" s="37">
        <v>1713455</v>
      </c>
    </row>
    <row r="253" spans="1:3" x14ac:dyDescent="0.2">
      <c r="A253">
        <v>2023</v>
      </c>
      <c r="B253" s="36">
        <v>2467</v>
      </c>
      <c r="C253" s="37">
        <v>2237649</v>
      </c>
    </row>
    <row r="254" spans="1:3" x14ac:dyDescent="0.2">
      <c r="A254">
        <v>2023</v>
      </c>
      <c r="B254" s="36">
        <v>2468</v>
      </c>
      <c r="C254" s="37">
        <v>1701367</v>
      </c>
    </row>
    <row r="255" spans="1:3" x14ac:dyDescent="0.2">
      <c r="A255">
        <v>2023</v>
      </c>
      <c r="B255" s="36">
        <v>2469</v>
      </c>
      <c r="C255" s="37">
        <v>5144182</v>
      </c>
    </row>
    <row r="256" spans="1:3" x14ac:dyDescent="0.2">
      <c r="A256">
        <v>2023</v>
      </c>
      <c r="B256" s="36">
        <v>2470</v>
      </c>
      <c r="C256" s="37">
        <v>4320011</v>
      </c>
    </row>
    <row r="257" spans="1:3" x14ac:dyDescent="0.2">
      <c r="A257">
        <v>2023</v>
      </c>
      <c r="B257" s="36">
        <v>2471</v>
      </c>
      <c r="C257" s="37">
        <v>4811355</v>
      </c>
    </row>
    <row r="258" spans="1:3" x14ac:dyDescent="0.2">
      <c r="A258">
        <v>2023</v>
      </c>
      <c r="B258" s="36">
        <v>2475</v>
      </c>
      <c r="C258" s="37">
        <v>7332239</v>
      </c>
    </row>
    <row r="259" spans="1:3" x14ac:dyDescent="0.2">
      <c r="A259">
        <v>2023</v>
      </c>
      <c r="B259" s="36">
        <v>2480</v>
      </c>
      <c r="C259" s="37">
        <v>2259101</v>
      </c>
    </row>
    <row r="260" spans="1:3" x14ac:dyDescent="0.2">
      <c r="A260">
        <v>2023</v>
      </c>
      <c r="B260" s="36">
        <v>2485</v>
      </c>
      <c r="C260" s="37">
        <v>5618988</v>
      </c>
    </row>
    <row r="261" spans="1:3" x14ac:dyDescent="0.2">
      <c r="A261">
        <v>2023</v>
      </c>
      <c r="B261" s="36">
        <v>2490</v>
      </c>
      <c r="C261" s="37">
        <v>7492203</v>
      </c>
    </row>
    <row r="262" spans="1:3" x14ac:dyDescent="0.2">
      <c r="A262">
        <v>2023</v>
      </c>
      <c r="B262" s="36">
        <v>2495</v>
      </c>
      <c r="C262" s="37">
        <v>1029764</v>
      </c>
    </row>
    <row r="263" spans="1:3" x14ac:dyDescent="0.2">
      <c r="A263">
        <v>2023</v>
      </c>
      <c r="B263" s="36">
        <v>2497</v>
      </c>
      <c r="C263" s="37">
        <v>2406924</v>
      </c>
    </row>
    <row r="264" spans="1:3" x14ac:dyDescent="0.2">
      <c r="A264">
        <v>2023</v>
      </c>
      <c r="B264" s="36">
        <v>2498</v>
      </c>
      <c r="C264" s="37">
        <v>2041319</v>
      </c>
    </row>
    <row r="265" spans="1:3" x14ac:dyDescent="0.2">
      <c r="A265">
        <v>2023</v>
      </c>
      <c r="B265" s="36">
        <v>2500</v>
      </c>
      <c r="C265" s="37">
        <v>6127694</v>
      </c>
    </row>
    <row r="266" spans="1:3" x14ac:dyDescent="0.2">
      <c r="A266">
        <v>2023</v>
      </c>
      <c r="B266" s="36">
        <v>2504</v>
      </c>
      <c r="C266" s="37">
        <v>4404702</v>
      </c>
    </row>
    <row r="267" spans="1:3" x14ac:dyDescent="0.2">
      <c r="A267">
        <v>2023</v>
      </c>
      <c r="B267" s="36">
        <v>2505</v>
      </c>
      <c r="C267" s="37">
        <v>4941488</v>
      </c>
    </row>
    <row r="268" spans="1:3" x14ac:dyDescent="0.2">
      <c r="A268">
        <v>2023</v>
      </c>
      <c r="B268" s="36">
        <v>2507</v>
      </c>
      <c r="C268" s="37">
        <v>970413</v>
      </c>
    </row>
    <row r="269" spans="1:3" x14ac:dyDescent="0.2">
      <c r="A269">
        <v>2023</v>
      </c>
      <c r="B269" s="36">
        <v>2508</v>
      </c>
      <c r="C269" s="37">
        <v>2599530</v>
      </c>
    </row>
    <row r="270" spans="1:3" x14ac:dyDescent="0.2">
      <c r="A270">
        <v>2023</v>
      </c>
      <c r="B270" s="36">
        <v>2509</v>
      </c>
      <c r="C270" s="37">
        <v>4915621</v>
      </c>
    </row>
    <row r="271" spans="1:3" x14ac:dyDescent="0.2">
      <c r="A271">
        <v>2023</v>
      </c>
      <c r="B271" s="36">
        <v>2510</v>
      </c>
      <c r="C271" s="37">
        <v>2068471</v>
      </c>
    </row>
    <row r="272" spans="1:3" x14ac:dyDescent="0.2">
      <c r="A272">
        <v>2023</v>
      </c>
      <c r="B272" s="36">
        <v>2512</v>
      </c>
      <c r="C272" s="37">
        <v>14731348</v>
      </c>
    </row>
    <row r="273" spans="1:3" x14ac:dyDescent="0.2">
      <c r="A273">
        <v>2023</v>
      </c>
      <c r="B273" s="36">
        <v>2514</v>
      </c>
      <c r="C273" s="37">
        <v>1359782</v>
      </c>
    </row>
    <row r="274" spans="1:3" x14ac:dyDescent="0.2">
      <c r="A274">
        <v>2023</v>
      </c>
      <c r="B274" s="36">
        <v>2515</v>
      </c>
      <c r="C274" s="37">
        <v>1193582</v>
      </c>
    </row>
    <row r="275" spans="1:3" x14ac:dyDescent="0.2">
      <c r="A275">
        <v>2023</v>
      </c>
      <c r="B275" s="36">
        <v>2520</v>
      </c>
      <c r="C275" s="37">
        <v>2737833</v>
      </c>
    </row>
    <row r="276" spans="1:3" x14ac:dyDescent="0.2">
      <c r="A276">
        <v>2023</v>
      </c>
      <c r="B276" s="36">
        <v>2525</v>
      </c>
      <c r="C276" s="38">
        <v>3943183</v>
      </c>
    </row>
    <row r="277" spans="1:3" x14ac:dyDescent="0.2">
      <c r="A277">
        <v>2023</v>
      </c>
      <c r="B277" s="36">
        <v>2530</v>
      </c>
      <c r="C277" s="37">
        <v>7959384</v>
      </c>
    </row>
    <row r="278" spans="1:3" x14ac:dyDescent="0.2">
      <c r="A278">
        <v>2023</v>
      </c>
      <c r="B278" s="36">
        <v>2533</v>
      </c>
      <c r="C278" s="37">
        <v>1715462</v>
      </c>
    </row>
    <row r="279" spans="1:3" x14ac:dyDescent="0.2">
      <c r="A279">
        <v>2023</v>
      </c>
      <c r="B279" s="36">
        <v>2535</v>
      </c>
      <c r="C279" s="37">
        <v>2235362</v>
      </c>
    </row>
    <row r="280" spans="1:3" x14ac:dyDescent="0.2">
      <c r="A280">
        <v>2023</v>
      </c>
      <c r="B280" s="36">
        <v>2540</v>
      </c>
      <c r="C280" s="37">
        <v>5404960</v>
      </c>
    </row>
    <row r="281" spans="1:3" x14ac:dyDescent="0.2">
      <c r="A281">
        <v>2023</v>
      </c>
      <c r="B281" s="36">
        <v>2541</v>
      </c>
      <c r="C281" s="37">
        <v>3191971</v>
      </c>
    </row>
    <row r="282" spans="1:3" x14ac:dyDescent="0.2">
      <c r="A282">
        <v>2023</v>
      </c>
      <c r="B282" s="36">
        <v>2542</v>
      </c>
      <c r="C282" s="37">
        <v>1948126</v>
      </c>
    </row>
    <row r="283" spans="1:3" x14ac:dyDescent="0.2">
      <c r="A283">
        <v>2023</v>
      </c>
      <c r="B283" s="36">
        <v>2545</v>
      </c>
      <c r="C283" s="37">
        <v>1021259</v>
      </c>
    </row>
    <row r="284" spans="1:3" x14ac:dyDescent="0.2">
      <c r="A284">
        <v>2023</v>
      </c>
      <c r="B284" s="36">
        <v>2547</v>
      </c>
      <c r="C284" s="37">
        <v>7579332</v>
      </c>
    </row>
    <row r="285" spans="1:3" x14ac:dyDescent="0.2">
      <c r="A285">
        <v>2023</v>
      </c>
      <c r="B285" s="36">
        <v>2550</v>
      </c>
      <c r="C285" s="37">
        <v>804759</v>
      </c>
    </row>
    <row r="286" spans="1:3" x14ac:dyDescent="0.2">
      <c r="A286">
        <v>2023</v>
      </c>
      <c r="B286" s="36">
        <v>2551</v>
      </c>
      <c r="C286" s="37">
        <v>1378147</v>
      </c>
    </row>
    <row r="287" spans="1:3" x14ac:dyDescent="0.2">
      <c r="A287">
        <v>2023</v>
      </c>
      <c r="B287" s="36">
        <v>2555</v>
      </c>
      <c r="C287" s="37">
        <v>1255990</v>
      </c>
    </row>
    <row r="288" spans="1:3" x14ac:dyDescent="0.2">
      <c r="A288">
        <v>2023</v>
      </c>
      <c r="B288" s="36">
        <v>2557</v>
      </c>
      <c r="C288" s="37">
        <v>11438712</v>
      </c>
    </row>
    <row r="289" spans="1:3" x14ac:dyDescent="0.2">
      <c r="A289">
        <v>2023</v>
      </c>
      <c r="B289" s="36">
        <v>2559</v>
      </c>
      <c r="C289" s="37">
        <v>1051406</v>
      </c>
    </row>
    <row r="290" spans="1:3" x14ac:dyDescent="0.2">
      <c r="A290">
        <v>2023</v>
      </c>
      <c r="B290" s="36">
        <v>2560</v>
      </c>
      <c r="C290" s="37">
        <v>1441704</v>
      </c>
    </row>
    <row r="291" spans="1:3" x14ac:dyDescent="0.2">
      <c r="A291">
        <v>2023</v>
      </c>
      <c r="B291" s="36">
        <v>2561</v>
      </c>
      <c r="C291" s="37">
        <v>4257378</v>
      </c>
    </row>
    <row r="292" spans="1:3" x14ac:dyDescent="0.2">
      <c r="A292">
        <v>2023</v>
      </c>
      <c r="B292" s="36">
        <v>2562</v>
      </c>
      <c r="C292" s="37">
        <v>5527422</v>
      </c>
    </row>
    <row r="293" spans="1:3" x14ac:dyDescent="0.2">
      <c r="A293">
        <v>2023</v>
      </c>
      <c r="B293" s="36">
        <v>2563</v>
      </c>
      <c r="C293" s="37">
        <v>5556953</v>
      </c>
    </row>
    <row r="294" spans="1:3" x14ac:dyDescent="0.2">
      <c r="A294">
        <v>2023</v>
      </c>
      <c r="B294" s="36">
        <v>2564</v>
      </c>
      <c r="C294" s="37">
        <v>7848454</v>
      </c>
    </row>
    <row r="295" spans="1:3" x14ac:dyDescent="0.2">
      <c r="A295">
        <v>2023</v>
      </c>
      <c r="B295" s="36">
        <v>2565</v>
      </c>
      <c r="C295" s="37">
        <v>4414844</v>
      </c>
    </row>
    <row r="296" spans="1:3" x14ac:dyDescent="0.2">
      <c r="A296">
        <v>2023</v>
      </c>
      <c r="B296" s="36">
        <v>2570</v>
      </c>
      <c r="C296" s="37">
        <v>2967888</v>
      </c>
    </row>
    <row r="297" spans="1:3" x14ac:dyDescent="0.2">
      <c r="A297">
        <v>2023</v>
      </c>
      <c r="B297" s="36">
        <v>2573</v>
      </c>
      <c r="C297" s="37">
        <v>3257033</v>
      </c>
    </row>
    <row r="298" spans="1:3" x14ac:dyDescent="0.2">
      <c r="A298">
        <v>2023</v>
      </c>
      <c r="B298" s="36">
        <v>2574</v>
      </c>
      <c r="C298" s="37">
        <v>1011475</v>
      </c>
    </row>
    <row r="299" spans="1:3" x14ac:dyDescent="0.2">
      <c r="A299">
        <v>2023</v>
      </c>
      <c r="B299" s="36">
        <v>2575</v>
      </c>
      <c r="C299" s="37">
        <v>11087885</v>
      </c>
    </row>
    <row r="300" spans="1:3" x14ac:dyDescent="0.2">
      <c r="A300">
        <v>2023</v>
      </c>
      <c r="B300" s="36">
        <v>2576</v>
      </c>
      <c r="C300" s="37">
        <v>2376258</v>
      </c>
    </row>
    <row r="301" spans="1:3" x14ac:dyDescent="0.2">
      <c r="A301">
        <v>2023</v>
      </c>
      <c r="B301" s="36">
        <v>2580</v>
      </c>
      <c r="C301" s="37">
        <v>5973514</v>
      </c>
    </row>
    <row r="302" spans="1:3" x14ac:dyDescent="0.2">
      <c r="A302">
        <v>2023</v>
      </c>
      <c r="B302" s="36">
        <v>2582</v>
      </c>
      <c r="C302" s="37">
        <v>1283348</v>
      </c>
    </row>
    <row r="303" spans="1:3" x14ac:dyDescent="0.2">
      <c r="A303">
        <v>2023</v>
      </c>
      <c r="B303" s="36">
        <v>2584</v>
      </c>
      <c r="C303" s="37">
        <v>3832737</v>
      </c>
    </row>
    <row r="304" spans="1:3" x14ac:dyDescent="0.2">
      <c r="A304">
        <v>2023</v>
      </c>
      <c r="B304" s="36">
        <v>2585</v>
      </c>
      <c r="C304" s="37">
        <v>11840027</v>
      </c>
    </row>
    <row r="305" spans="1:3" x14ac:dyDescent="0.2">
      <c r="A305">
        <v>2023</v>
      </c>
      <c r="B305" s="36">
        <v>2590</v>
      </c>
      <c r="C305" s="37">
        <v>4008905</v>
      </c>
    </row>
    <row r="306" spans="1:3" x14ac:dyDescent="0.2">
      <c r="A306">
        <v>2023</v>
      </c>
      <c r="B306" s="36">
        <v>2593</v>
      </c>
      <c r="C306" s="37">
        <v>9527757</v>
      </c>
    </row>
    <row r="307" spans="1:3" x14ac:dyDescent="0.2">
      <c r="A307">
        <v>2023</v>
      </c>
      <c r="B307" s="36">
        <v>2595</v>
      </c>
      <c r="C307" s="37">
        <v>700250</v>
      </c>
    </row>
    <row r="308" spans="1:3" x14ac:dyDescent="0.2">
      <c r="A308">
        <v>2023</v>
      </c>
      <c r="B308" s="36">
        <v>2600</v>
      </c>
      <c r="C308" s="37">
        <v>1531115</v>
      </c>
    </row>
    <row r="309" spans="1:3" x14ac:dyDescent="0.2">
      <c r="A309">
        <v>2023</v>
      </c>
      <c r="B309" s="36">
        <v>2605</v>
      </c>
      <c r="C309" s="37">
        <v>611128</v>
      </c>
    </row>
    <row r="310" spans="1:3" x14ac:dyDescent="0.2">
      <c r="A310">
        <v>2023</v>
      </c>
      <c r="B310" s="36">
        <v>2610</v>
      </c>
      <c r="C310" s="37">
        <v>9969957</v>
      </c>
    </row>
    <row r="311" spans="1:3" x14ac:dyDescent="0.2">
      <c r="A311">
        <v>2023</v>
      </c>
      <c r="B311" s="36">
        <v>2611</v>
      </c>
      <c r="C311" s="37">
        <v>2805464</v>
      </c>
    </row>
    <row r="312" spans="1:3" x14ac:dyDescent="0.2">
      <c r="A312">
        <v>2023</v>
      </c>
      <c r="B312" s="36">
        <v>2612</v>
      </c>
      <c r="C312" s="37">
        <v>2988876</v>
      </c>
    </row>
    <row r="313" spans="1:3" x14ac:dyDescent="0.2">
      <c r="A313">
        <v>2023</v>
      </c>
      <c r="B313" s="36">
        <v>2613</v>
      </c>
      <c r="C313" s="37">
        <v>3288902</v>
      </c>
    </row>
    <row r="314" spans="1:3" x14ac:dyDescent="0.2">
      <c r="A314">
        <v>2023</v>
      </c>
      <c r="B314" s="36">
        <v>2614</v>
      </c>
      <c r="C314" s="37">
        <v>3742147</v>
      </c>
    </row>
    <row r="315" spans="1:3" x14ac:dyDescent="0.2">
      <c r="A315">
        <v>2023</v>
      </c>
      <c r="B315" s="36">
        <v>2615</v>
      </c>
      <c r="C315" s="37">
        <v>11330383</v>
      </c>
    </row>
    <row r="316" spans="1:3" x14ac:dyDescent="0.2">
      <c r="A316">
        <v>2023</v>
      </c>
      <c r="B316" s="36">
        <v>2616</v>
      </c>
      <c r="C316" s="37">
        <v>3784101</v>
      </c>
    </row>
    <row r="317" spans="1:3" x14ac:dyDescent="0.2">
      <c r="A317">
        <v>2023</v>
      </c>
      <c r="B317" s="36">
        <v>2617</v>
      </c>
      <c r="C317" s="37">
        <v>3848053</v>
      </c>
    </row>
    <row r="318" spans="1:3" x14ac:dyDescent="0.2">
      <c r="A318">
        <v>2023</v>
      </c>
      <c r="B318" s="36">
        <v>2618</v>
      </c>
      <c r="C318" s="37">
        <v>1091708</v>
      </c>
    </row>
    <row r="319" spans="1:3" x14ac:dyDescent="0.2">
      <c r="A319">
        <v>2023</v>
      </c>
      <c r="B319" s="36">
        <v>2619</v>
      </c>
      <c r="C319" s="37">
        <v>2160339</v>
      </c>
    </row>
    <row r="320" spans="1:3" x14ac:dyDescent="0.2">
      <c r="A320">
        <v>2023</v>
      </c>
      <c r="B320" s="36">
        <v>2620</v>
      </c>
      <c r="C320" s="37">
        <v>776810</v>
      </c>
    </row>
    <row r="321" spans="1:3" x14ac:dyDescent="0.2">
      <c r="A321">
        <v>2023</v>
      </c>
      <c r="B321" s="36">
        <v>2625</v>
      </c>
      <c r="C321" s="37">
        <v>1396071</v>
      </c>
    </row>
    <row r="322" spans="1:3" x14ac:dyDescent="0.2">
      <c r="A322">
        <v>2023</v>
      </c>
      <c r="B322" s="36">
        <v>2626</v>
      </c>
      <c r="C322" s="38">
        <v>888270</v>
      </c>
    </row>
    <row r="323" spans="1:3" x14ac:dyDescent="0.2">
      <c r="A323">
        <v>2023</v>
      </c>
      <c r="B323" s="36">
        <v>2630</v>
      </c>
      <c r="C323" s="37">
        <v>1123476</v>
      </c>
    </row>
    <row r="324" spans="1:3" x14ac:dyDescent="0.2">
      <c r="A324">
        <v>2023</v>
      </c>
      <c r="B324" s="36">
        <v>2632</v>
      </c>
      <c r="C324" s="37">
        <v>1829492</v>
      </c>
    </row>
    <row r="325" spans="1:3" x14ac:dyDescent="0.2">
      <c r="A325">
        <v>2023</v>
      </c>
      <c r="B325" s="36">
        <v>2633</v>
      </c>
      <c r="C325" s="37">
        <v>7863804</v>
      </c>
    </row>
    <row r="326" spans="1:3" x14ac:dyDescent="0.2">
      <c r="A326">
        <v>2023</v>
      </c>
      <c r="B326" s="36">
        <v>2635</v>
      </c>
      <c r="C326" s="37">
        <v>949982</v>
      </c>
    </row>
    <row r="327" spans="1:3" x14ac:dyDescent="0.2">
      <c r="A327">
        <v>2023</v>
      </c>
      <c r="B327" s="36">
        <v>2640</v>
      </c>
      <c r="C327" s="37">
        <v>2433662</v>
      </c>
    </row>
    <row r="328" spans="1:3" x14ac:dyDescent="0.2">
      <c r="A328">
        <v>2023</v>
      </c>
      <c r="B328" s="36">
        <v>2641</v>
      </c>
      <c r="C328" s="37">
        <v>1595973</v>
      </c>
    </row>
    <row r="329" spans="1:3" x14ac:dyDescent="0.2">
      <c r="A329">
        <v>2023</v>
      </c>
      <c r="B329" s="36">
        <v>2642</v>
      </c>
      <c r="C329" s="37">
        <v>5599747</v>
      </c>
    </row>
    <row r="330" spans="1:3" x14ac:dyDescent="0.2">
      <c r="A330">
        <v>2023</v>
      </c>
      <c r="B330" s="36">
        <v>2643</v>
      </c>
      <c r="C330" s="37">
        <v>5822538</v>
      </c>
    </row>
    <row r="331" spans="1:3" x14ac:dyDescent="0.2">
      <c r="A331">
        <v>2023</v>
      </c>
      <c r="B331" s="36">
        <v>2644</v>
      </c>
      <c r="C331" s="37">
        <v>4956347</v>
      </c>
    </row>
    <row r="332" spans="1:3" x14ac:dyDescent="0.2">
      <c r="A332">
        <v>2023</v>
      </c>
      <c r="B332" s="36">
        <v>2645</v>
      </c>
      <c r="C332" s="37">
        <v>6655494</v>
      </c>
    </row>
    <row r="333" spans="1:3" x14ac:dyDescent="0.2">
      <c r="A333">
        <v>2023</v>
      </c>
      <c r="B333" s="36">
        <v>2648</v>
      </c>
      <c r="C333" s="37">
        <v>1173853</v>
      </c>
    </row>
    <row r="334" spans="1:3" x14ac:dyDescent="0.2">
      <c r="A334">
        <v>2023</v>
      </c>
      <c r="B334" s="36">
        <v>2649</v>
      </c>
      <c r="C334" s="37">
        <v>2656776</v>
      </c>
    </row>
    <row r="335" spans="1:3" x14ac:dyDescent="0.2">
      <c r="A335">
        <v>2023</v>
      </c>
      <c r="B335" s="36">
        <v>2650</v>
      </c>
      <c r="C335" s="37">
        <v>638543</v>
      </c>
    </row>
    <row r="336" spans="1:3" x14ac:dyDescent="0.2">
      <c r="A336">
        <v>2023</v>
      </c>
      <c r="B336" s="36">
        <v>2651</v>
      </c>
      <c r="C336" s="37">
        <v>9438541</v>
      </c>
    </row>
    <row r="337" spans="1:3" x14ac:dyDescent="0.2">
      <c r="A337">
        <v>2023</v>
      </c>
      <c r="B337" s="36">
        <v>2652</v>
      </c>
      <c r="C337" s="37">
        <v>1042425</v>
      </c>
    </row>
    <row r="338" spans="1:3" x14ac:dyDescent="0.2">
      <c r="A338">
        <v>2023</v>
      </c>
      <c r="B338" s="36">
        <v>2653</v>
      </c>
      <c r="C338" s="37">
        <v>1538198</v>
      </c>
    </row>
    <row r="339" spans="1:3" x14ac:dyDescent="0.2">
      <c r="A339">
        <v>2023</v>
      </c>
      <c r="B339" s="36">
        <v>2654</v>
      </c>
      <c r="C339" s="37">
        <v>11106931</v>
      </c>
    </row>
    <row r="340" spans="1:3" x14ac:dyDescent="0.2">
      <c r="A340">
        <v>2023</v>
      </c>
      <c r="B340" s="36">
        <v>2655</v>
      </c>
      <c r="C340" s="37">
        <v>5204536</v>
      </c>
    </row>
    <row r="341" spans="1:3" x14ac:dyDescent="0.2">
      <c r="A341">
        <v>2023</v>
      </c>
      <c r="B341" s="36">
        <v>2656</v>
      </c>
      <c r="C341" s="37">
        <v>5053842</v>
      </c>
    </row>
    <row r="342" spans="1:3" x14ac:dyDescent="0.2">
      <c r="A342">
        <v>2023</v>
      </c>
      <c r="B342" s="36">
        <v>3032</v>
      </c>
      <c r="C342" s="37">
        <v>762011</v>
      </c>
    </row>
    <row r="343" spans="1:3" x14ac:dyDescent="0.2">
      <c r="A343">
        <v>2023</v>
      </c>
      <c r="B343" s="36">
        <v>3041</v>
      </c>
      <c r="C343" s="37">
        <v>285496</v>
      </c>
    </row>
    <row r="344" spans="1:3" x14ac:dyDescent="0.2">
      <c r="A344">
        <v>2023</v>
      </c>
      <c r="B344" s="36">
        <v>3042</v>
      </c>
      <c r="C344" s="37">
        <v>707717</v>
      </c>
    </row>
    <row r="345" spans="1:3" x14ac:dyDescent="0.2">
      <c r="A345">
        <v>2023</v>
      </c>
      <c r="B345" s="36">
        <v>3043</v>
      </c>
      <c r="C345" s="37">
        <v>751379</v>
      </c>
    </row>
    <row r="346" spans="1:3" x14ac:dyDescent="0.2">
      <c r="A346">
        <v>2023</v>
      </c>
      <c r="B346" s="36">
        <v>3044</v>
      </c>
      <c r="C346" s="37">
        <v>545089</v>
      </c>
    </row>
    <row r="347" spans="1:3" x14ac:dyDescent="0.2">
      <c r="A347">
        <v>2023</v>
      </c>
      <c r="B347" s="36">
        <v>3048</v>
      </c>
      <c r="C347" s="37">
        <v>281524</v>
      </c>
    </row>
    <row r="348" spans="1:3" x14ac:dyDescent="0.2">
      <c r="A348">
        <v>2023</v>
      </c>
      <c r="B348" s="36">
        <v>3077</v>
      </c>
      <c r="C348" s="37">
        <v>754336</v>
      </c>
    </row>
    <row r="349" spans="1:3" x14ac:dyDescent="0.2">
      <c r="A349">
        <v>2023</v>
      </c>
      <c r="B349" s="36">
        <v>3078</v>
      </c>
      <c r="C349" s="37">
        <v>297221</v>
      </c>
    </row>
    <row r="350" spans="1:3" x14ac:dyDescent="0.2">
      <c r="A350">
        <v>2023</v>
      </c>
      <c r="B350" s="36">
        <v>3079</v>
      </c>
      <c r="C350" s="37">
        <v>157165</v>
      </c>
    </row>
    <row r="351" spans="1:3" x14ac:dyDescent="0.2">
      <c r="A351">
        <v>2023</v>
      </c>
      <c r="B351" s="36">
        <v>3081</v>
      </c>
      <c r="C351" s="37">
        <v>317079</v>
      </c>
    </row>
    <row r="352" spans="1:3" x14ac:dyDescent="0.2">
      <c r="A352">
        <v>2023</v>
      </c>
      <c r="B352" s="36">
        <v>3082</v>
      </c>
      <c r="C352" s="37">
        <v>641274</v>
      </c>
    </row>
    <row r="353" spans="1:3" x14ac:dyDescent="0.2">
      <c r="A353">
        <v>2023</v>
      </c>
      <c r="B353" s="36">
        <v>3101</v>
      </c>
      <c r="C353" s="37">
        <v>297026</v>
      </c>
    </row>
    <row r="354" spans="1:3" x14ac:dyDescent="0.2">
      <c r="A354">
        <v>2023</v>
      </c>
      <c r="B354" s="36">
        <v>3105</v>
      </c>
      <c r="C354" s="37">
        <v>318078</v>
      </c>
    </row>
    <row r="355" spans="1:3" x14ac:dyDescent="0.2">
      <c r="A355">
        <v>2023</v>
      </c>
      <c r="B355" s="36">
        <v>3106</v>
      </c>
      <c r="C355" s="37">
        <v>556712</v>
      </c>
    </row>
    <row r="356" spans="1:3" x14ac:dyDescent="0.2">
      <c r="A356">
        <v>2023</v>
      </c>
      <c r="B356" s="36">
        <v>3107</v>
      </c>
      <c r="C356" s="37">
        <v>494978</v>
      </c>
    </row>
    <row r="357" spans="1:3" x14ac:dyDescent="0.2">
      <c r="A357">
        <v>2023</v>
      </c>
      <c r="B357" s="36">
        <v>3126</v>
      </c>
      <c r="C357" s="37">
        <v>526463</v>
      </c>
    </row>
    <row r="358" spans="1:3" x14ac:dyDescent="0.2">
      <c r="A358">
        <v>2023</v>
      </c>
      <c r="B358" s="36">
        <v>3128</v>
      </c>
      <c r="C358" s="37">
        <v>541400</v>
      </c>
    </row>
    <row r="359" spans="1:3" x14ac:dyDescent="0.2">
      <c r="A359">
        <v>2023</v>
      </c>
      <c r="B359" s="36">
        <v>3178</v>
      </c>
      <c r="C359" s="37">
        <v>896000</v>
      </c>
    </row>
    <row r="360" spans="1:3" x14ac:dyDescent="0.2">
      <c r="A360">
        <v>2023</v>
      </c>
      <c r="B360" s="36">
        <v>3179</v>
      </c>
      <c r="C360" s="37">
        <v>667256</v>
      </c>
    </row>
    <row r="361" spans="1:3" x14ac:dyDescent="0.2">
      <c r="A361">
        <v>2023</v>
      </c>
      <c r="B361" s="36">
        <v>3201</v>
      </c>
      <c r="C361" s="37">
        <v>355829</v>
      </c>
    </row>
    <row r="362" spans="1:3" x14ac:dyDescent="0.2">
      <c r="A362">
        <v>2023</v>
      </c>
      <c r="B362" s="36">
        <v>3202</v>
      </c>
      <c r="C362" s="37">
        <v>686681</v>
      </c>
    </row>
    <row r="363" spans="1:3" x14ac:dyDescent="0.2">
      <c r="A363">
        <v>2023</v>
      </c>
      <c r="B363" s="36">
        <v>3204</v>
      </c>
      <c r="C363" s="37">
        <v>594104</v>
      </c>
    </row>
    <row r="364" spans="1:3" x14ac:dyDescent="0.2">
      <c r="A364">
        <v>2023</v>
      </c>
      <c r="B364" s="36">
        <v>3206</v>
      </c>
      <c r="C364" s="37">
        <v>763907</v>
      </c>
    </row>
    <row r="365" spans="1:3" x14ac:dyDescent="0.2">
      <c r="A365">
        <v>2023</v>
      </c>
      <c r="B365" s="36">
        <v>3208</v>
      </c>
      <c r="C365" s="37">
        <v>271345</v>
      </c>
    </row>
    <row r="366" spans="1:3" x14ac:dyDescent="0.2">
      <c r="A366">
        <v>2023</v>
      </c>
      <c r="B366" s="36">
        <v>3226</v>
      </c>
      <c r="C366" s="37">
        <v>813470</v>
      </c>
    </row>
    <row r="367" spans="1:3" x14ac:dyDescent="0.2">
      <c r="A367">
        <v>2023</v>
      </c>
      <c r="B367" s="36">
        <v>3229</v>
      </c>
      <c r="C367" s="37">
        <v>519687</v>
      </c>
    </row>
    <row r="368" spans="1:3" x14ac:dyDescent="0.2">
      <c r="A368">
        <v>2023</v>
      </c>
      <c r="B368" s="36">
        <v>3231</v>
      </c>
      <c r="C368" s="38">
        <v>771694</v>
      </c>
    </row>
    <row r="369" spans="1:3" x14ac:dyDescent="0.2">
      <c r="A369">
        <v>2023</v>
      </c>
      <c r="B369" s="36">
        <v>3232</v>
      </c>
      <c r="C369" s="37">
        <v>323577</v>
      </c>
    </row>
    <row r="370" spans="1:3" x14ac:dyDescent="0.2">
      <c r="A370">
        <v>2023</v>
      </c>
      <c r="B370" s="36">
        <v>3276</v>
      </c>
      <c r="C370" s="37">
        <v>700118</v>
      </c>
    </row>
    <row r="371" spans="1:3" x14ac:dyDescent="0.2">
      <c r="A371">
        <v>2023</v>
      </c>
      <c r="B371" s="36">
        <v>3277</v>
      </c>
      <c r="C371" s="37">
        <v>777540</v>
      </c>
    </row>
    <row r="372" spans="1:3" x14ac:dyDescent="0.2">
      <c r="A372">
        <v>2023</v>
      </c>
      <c r="B372" s="36">
        <v>3278</v>
      </c>
      <c r="C372" s="37">
        <v>649808</v>
      </c>
    </row>
    <row r="373" spans="1:3" x14ac:dyDescent="0.2">
      <c r="A373">
        <v>2023</v>
      </c>
      <c r="B373" s="36">
        <v>3280</v>
      </c>
      <c r="C373" s="37">
        <v>659104</v>
      </c>
    </row>
    <row r="374" spans="1:3" x14ac:dyDescent="0.2">
      <c r="A374">
        <v>2023</v>
      </c>
      <c r="B374" s="36">
        <v>3281</v>
      </c>
      <c r="C374" s="37">
        <v>830632</v>
      </c>
    </row>
    <row r="375" spans="1:3" x14ac:dyDescent="0.2">
      <c r="A375">
        <v>2023</v>
      </c>
      <c r="B375" s="36">
        <v>3284</v>
      </c>
      <c r="C375" s="37">
        <v>750103</v>
      </c>
    </row>
    <row r="376" spans="1:3" x14ac:dyDescent="0.2">
      <c r="A376">
        <v>2023</v>
      </c>
      <c r="B376" s="36">
        <v>3303</v>
      </c>
      <c r="C376" s="37">
        <v>753556</v>
      </c>
    </row>
    <row r="377" spans="1:3" x14ac:dyDescent="0.2">
      <c r="A377">
        <v>2023</v>
      </c>
      <c r="B377" s="36">
        <v>3304</v>
      </c>
      <c r="C377" s="37">
        <v>366972</v>
      </c>
    </row>
    <row r="378" spans="1:3" x14ac:dyDescent="0.2">
      <c r="A378">
        <v>2023</v>
      </c>
      <c r="B378" s="36">
        <v>3305</v>
      </c>
      <c r="C378" s="37">
        <v>479984</v>
      </c>
    </row>
    <row r="379" spans="1:3" x14ac:dyDescent="0.2">
      <c r="A379">
        <v>2023</v>
      </c>
      <c r="B379" s="36">
        <v>3306</v>
      </c>
      <c r="C379" s="37">
        <v>561819</v>
      </c>
    </row>
    <row r="380" spans="1:3" x14ac:dyDescent="0.2">
      <c r="A380">
        <v>2023</v>
      </c>
      <c r="B380" s="36">
        <v>3307</v>
      </c>
      <c r="C380" s="37">
        <v>196524</v>
      </c>
    </row>
    <row r="381" spans="1:3" x14ac:dyDescent="0.2">
      <c r="A381">
        <v>2023</v>
      </c>
      <c r="B381" s="36">
        <v>3308</v>
      </c>
      <c r="C381" s="37">
        <v>453496</v>
      </c>
    </row>
    <row r="382" spans="1:3" x14ac:dyDescent="0.2">
      <c r="A382">
        <v>2023</v>
      </c>
      <c r="B382" s="36">
        <v>3309</v>
      </c>
      <c r="C382" s="37">
        <v>691662</v>
      </c>
    </row>
    <row r="383" spans="1:3" x14ac:dyDescent="0.2">
      <c r="A383">
        <v>2023</v>
      </c>
      <c r="B383" s="36">
        <v>3326</v>
      </c>
      <c r="C383" s="37">
        <v>694643</v>
      </c>
    </row>
    <row r="384" spans="1:3" x14ac:dyDescent="0.2">
      <c r="A384">
        <v>2023</v>
      </c>
      <c r="B384" s="36">
        <v>3327</v>
      </c>
      <c r="C384" s="37">
        <v>833556</v>
      </c>
    </row>
    <row r="385" spans="1:3" x14ac:dyDescent="0.2">
      <c r="A385">
        <v>2023</v>
      </c>
      <c r="B385" s="36">
        <v>3328</v>
      </c>
      <c r="C385" s="37">
        <v>495952</v>
      </c>
    </row>
    <row r="386" spans="1:3" x14ac:dyDescent="0.2">
      <c r="A386">
        <v>2023</v>
      </c>
      <c r="B386" s="36">
        <v>3329</v>
      </c>
      <c r="C386" s="37">
        <v>576751</v>
      </c>
    </row>
    <row r="387" spans="1:3" x14ac:dyDescent="0.2">
      <c r="A387">
        <v>2023</v>
      </c>
      <c r="B387" s="36">
        <v>3330</v>
      </c>
      <c r="C387" s="37">
        <v>937124</v>
      </c>
    </row>
    <row r="388" spans="1:3" x14ac:dyDescent="0.2">
      <c r="A388">
        <v>2023</v>
      </c>
      <c r="B388" s="36">
        <v>3331</v>
      </c>
      <c r="C388" s="37">
        <v>996209</v>
      </c>
    </row>
    <row r="389" spans="1:3" x14ac:dyDescent="0.2">
      <c r="A389">
        <v>2023</v>
      </c>
      <c r="B389" s="36">
        <v>3332</v>
      </c>
      <c r="C389" s="37">
        <v>405375</v>
      </c>
    </row>
    <row r="390" spans="1:3" x14ac:dyDescent="0.2">
      <c r="A390">
        <v>2023</v>
      </c>
      <c r="B390" s="36">
        <v>3452</v>
      </c>
      <c r="C390" s="37">
        <v>1009477</v>
      </c>
    </row>
    <row r="391" spans="1:3" x14ac:dyDescent="0.2">
      <c r="A391">
        <v>2023</v>
      </c>
      <c r="B391" s="36">
        <v>3453</v>
      </c>
      <c r="C391" s="37">
        <v>374983</v>
      </c>
    </row>
    <row r="392" spans="1:3" x14ac:dyDescent="0.2">
      <c r="A392">
        <v>2023</v>
      </c>
      <c r="B392" s="36">
        <v>3458</v>
      </c>
      <c r="C392" s="37">
        <v>787192</v>
      </c>
    </row>
    <row r="393" spans="1:3" x14ac:dyDescent="0.2">
      <c r="A393">
        <v>2023</v>
      </c>
      <c r="B393" s="36">
        <v>3460</v>
      </c>
      <c r="C393" s="37">
        <v>1118538</v>
      </c>
    </row>
    <row r="394" spans="1:3" x14ac:dyDescent="0.2">
      <c r="A394">
        <v>2023</v>
      </c>
      <c r="B394" s="36">
        <v>3464</v>
      </c>
      <c r="C394" s="37">
        <v>249371</v>
      </c>
    </row>
    <row r="395" spans="1:3" x14ac:dyDescent="0.2">
      <c r="A395">
        <v>2023</v>
      </c>
      <c r="B395" s="36">
        <v>3465</v>
      </c>
      <c r="C395" s="37">
        <v>202344</v>
      </c>
    </row>
    <row r="396" spans="1:3" x14ac:dyDescent="0.2">
      <c r="A396">
        <v>2023</v>
      </c>
      <c r="B396" s="36">
        <v>3466</v>
      </c>
      <c r="C396" s="37">
        <v>655019</v>
      </c>
    </row>
    <row r="397" spans="1:3" x14ac:dyDescent="0.2">
      <c r="A397">
        <v>2023</v>
      </c>
      <c r="B397" s="36">
        <v>3467</v>
      </c>
      <c r="C397" s="37">
        <v>284990</v>
      </c>
    </row>
    <row r="398" spans="1:3" x14ac:dyDescent="0.2">
      <c r="A398">
        <v>2023</v>
      </c>
      <c r="B398" s="36">
        <v>3468</v>
      </c>
      <c r="C398" s="37">
        <v>73643</v>
      </c>
    </row>
    <row r="399" spans="1:3" x14ac:dyDescent="0.2">
      <c r="A399">
        <v>2023</v>
      </c>
      <c r="B399" s="36">
        <v>3471</v>
      </c>
      <c r="C399" s="37">
        <v>255041</v>
      </c>
    </row>
    <row r="400" spans="1:3" x14ac:dyDescent="0.2">
      <c r="A400">
        <v>2023</v>
      </c>
      <c r="B400" s="36">
        <v>3473</v>
      </c>
      <c r="C400" s="37">
        <v>499575</v>
      </c>
    </row>
    <row r="401" spans="1:3" x14ac:dyDescent="0.2">
      <c r="A401">
        <v>2023</v>
      </c>
      <c r="B401" s="36">
        <v>3526</v>
      </c>
      <c r="C401" s="37">
        <v>557352</v>
      </c>
    </row>
    <row r="402" spans="1:3" x14ac:dyDescent="0.2">
      <c r="A402">
        <v>2023</v>
      </c>
      <c r="B402" s="36">
        <v>3527</v>
      </c>
      <c r="C402" s="37">
        <v>555285</v>
      </c>
    </row>
    <row r="403" spans="1:3" x14ac:dyDescent="0.2">
      <c r="A403">
        <v>2023</v>
      </c>
      <c r="B403" s="36">
        <v>3528</v>
      </c>
      <c r="C403" s="37">
        <v>454937</v>
      </c>
    </row>
    <row r="404" spans="1:3" x14ac:dyDescent="0.2">
      <c r="A404">
        <v>2023</v>
      </c>
      <c r="B404" s="36">
        <v>3531</v>
      </c>
      <c r="C404" s="37">
        <v>662518</v>
      </c>
    </row>
    <row r="405" spans="1:3" x14ac:dyDescent="0.2">
      <c r="A405">
        <v>2023</v>
      </c>
      <c r="B405" s="36">
        <v>3552</v>
      </c>
      <c r="C405" s="37">
        <v>207202</v>
      </c>
    </row>
    <row r="406" spans="1:3" x14ac:dyDescent="0.2">
      <c r="A406">
        <v>2023</v>
      </c>
      <c r="B406" s="36">
        <v>3559</v>
      </c>
      <c r="C406" s="37">
        <v>519341</v>
      </c>
    </row>
    <row r="407" spans="1:3" x14ac:dyDescent="0.2">
      <c r="A407">
        <v>2023</v>
      </c>
      <c r="B407" s="36">
        <v>3560</v>
      </c>
      <c r="C407" s="37">
        <v>639726</v>
      </c>
    </row>
    <row r="408" spans="1:3" x14ac:dyDescent="0.2">
      <c r="A408">
        <v>2023</v>
      </c>
      <c r="B408" s="36">
        <v>3561</v>
      </c>
      <c r="C408" s="37">
        <v>677841</v>
      </c>
    </row>
    <row r="409" spans="1:3" x14ac:dyDescent="0.2">
      <c r="A409">
        <v>2023</v>
      </c>
      <c r="B409" s="36">
        <v>3576</v>
      </c>
      <c r="C409" s="37">
        <v>295585</v>
      </c>
    </row>
    <row r="410" spans="1:3" x14ac:dyDescent="0.2">
      <c r="A410">
        <v>2023</v>
      </c>
      <c r="B410" s="36">
        <v>3577</v>
      </c>
      <c r="C410" s="37">
        <v>645688</v>
      </c>
    </row>
    <row r="411" spans="1:3" x14ac:dyDescent="0.2">
      <c r="A411">
        <v>2023</v>
      </c>
      <c r="B411" s="36">
        <v>3579</v>
      </c>
      <c r="C411" s="37">
        <v>318490</v>
      </c>
    </row>
    <row r="412" spans="1:3" x14ac:dyDescent="0.2">
      <c r="A412">
        <v>2023</v>
      </c>
      <c r="B412" s="36">
        <v>3585</v>
      </c>
      <c r="C412" s="37">
        <v>740085</v>
      </c>
    </row>
    <row r="413" spans="1:3" x14ac:dyDescent="0.2">
      <c r="A413">
        <v>2023</v>
      </c>
      <c r="B413" s="36">
        <v>3586</v>
      </c>
      <c r="C413" s="37">
        <v>958829</v>
      </c>
    </row>
    <row r="414" spans="1:3" x14ac:dyDescent="0.2">
      <c r="A414">
        <v>2023</v>
      </c>
      <c r="B414" s="36">
        <v>3589</v>
      </c>
      <c r="C414" s="38">
        <v>647534</v>
      </c>
    </row>
    <row r="415" spans="1:3" x14ac:dyDescent="0.2">
      <c r="A415">
        <v>2023</v>
      </c>
      <c r="B415" s="36">
        <v>3591</v>
      </c>
      <c r="C415" s="37">
        <v>271529</v>
      </c>
    </row>
    <row r="416" spans="1:3" x14ac:dyDescent="0.2">
      <c r="A416">
        <v>2023</v>
      </c>
      <c r="B416" s="36">
        <v>3592</v>
      </c>
      <c r="C416" s="37">
        <v>655267</v>
      </c>
    </row>
    <row r="417" spans="1:3" x14ac:dyDescent="0.2">
      <c r="A417">
        <v>2023</v>
      </c>
      <c r="B417" s="36">
        <v>3593</v>
      </c>
      <c r="C417" s="37">
        <v>1176120</v>
      </c>
    </row>
    <row r="418" spans="1:3" x14ac:dyDescent="0.2">
      <c r="A418">
        <v>2023</v>
      </c>
      <c r="B418" s="36">
        <v>3594</v>
      </c>
      <c r="C418" s="37">
        <v>296654</v>
      </c>
    </row>
    <row r="419" spans="1:3" x14ac:dyDescent="0.2">
      <c r="A419">
        <v>2023</v>
      </c>
      <c r="B419" s="36">
        <v>3626</v>
      </c>
      <c r="C419" s="37">
        <v>1567035</v>
      </c>
    </row>
    <row r="420" spans="1:3" x14ac:dyDescent="0.2">
      <c r="A420">
        <v>2023</v>
      </c>
      <c r="B420" s="36">
        <v>3629</v>
      </c>
      <c r="C420" s="37">
        <v>849060</v>
      </c>
    </row>
    <row r="421" spans="1:3" x14ac:dyDescent="0.2">
      <c r="A421">
        <v>2023</v>
      </c>
      <c r="B421" s="36">
        <v>3630</v>
      </c>
      <c r="C421" s="37">
        <v>1418139</v>
      </c>
    </row>
    <row r="422" spans="1:3" x14ac:dyDescent="0.2">
      <c r="A422">
        <v>2023</v>
      </c>
      <c r="B422" s="36">
        <v>3631</v>
      </c>
      <c r="C422" s="37">
        <v>1161573</v>
      </c>
    </row>
    <row r="423" spans="1:3" x14ac:dyDescent="0.2">
      <c r="A423">
        <v>2023</v>
      </c>
      <c r="B423" s="36">
        <v>3632</v>
      </c>
      <c r="C423" s="37">
        <v>2095382</v>
      </c>
    </row>
    <row r="424" spans="1:3" x14ac:dyDescent="0.2">
      <c r="A424">
        <v>2023</v>
      </c>
      <c r="B424" s="36">
        <v>3635</v>
      </c>
      <c r="C424" s="37">
        <v>1324238</v>
      </c>
    </row>
    <row r="425" spans="1:3" x14ac:dyDescent="0.2">
      <c r="A425">
        <v>2023</v>
      </c>
      <c r="B425" s="36">
        <v>3636</v>
      </c>
      <c r="C425" s="37">
        <v>1127897</v>
      </c>
    </row>
    <row r="426" spans="1:3" x14ac:dyDescent="0.2">
      <c r="A426">
        <v>2023</v>
      </c>
      <c r="B426" s="36">
        <v>3658</v>
      </c>
      <c r="C426" s="37">
        <v>1224719</v>
      </c>
    </row>
    <row r="427" spans="1:3" x14ac:dyDescent="0.2">
      <c r="A427">
        <v>2023</v>
      </c>
      <c r="B427" s="36">
        <v>3679</v>
      </c>
      <c r="C427" s="37">
        <v>1333305</v>
      </c>
    </row>
    <row r="428" spans="1:3" x14ac:dyDescent="0.2">
      <c r="A428">
        <v>2023</v>
      </c>
      <c r="B428" s="36">
        <v>3702</v>
      </c>
      <c r="C428" s="37">
        <v>715761</v>
      </c>
    </row>
    <row r="429" spans="1:3" x14ac:dyDescent="0.2">
      <c r="A429">
        <v>2023</v>
      </c>
      <c r="B429" s="36">
        <v>3709</v>
      </c>
      <c r="C429" s="37">
        <v>563048</v>
      </c>
    </row>
    <row r="430" spans="1:3" x14ac:dyDescent="0.2">
      <c r="A430">
        <v>2023</v>
      </c>
      <c r="B430" s="36">
        <v>3805</v>
      </c>
      <c r="C430" s="37">
        <v>538510</v>
      </c>
    </row>
    <row r="431" spans="1:3" x14ac:dyDescent="0.2">
      <c r="A431">
        <v>2023</v>
      </c>
      <c r="B431" s="36">
        <v>3821</v>
      </c>
      <c r="C431" s="37">
        <v>684146</v>
      </c>
    </row>
    <row r="432" spans="1:3" x14ac:dyDescent="0.2">
      <c r="A432">
        <v>2023</v>
      </c>
      <c r="B432" s="36">
        <v>3822</v>
      </c>
      <c r="C432" s="37">
        <v>268010</v>
      </c>
    </row>
    <row r="433" spans="1:3" x14ac:dyDescent="0.2">
      <c r="A433">
        <v>2023</v>
      </c>
      <c r="B433" s="36">
        <v>3854</v>
      </c>
      <c r="C433" s="37">
        <v>1429794</v>
      </c>
    </row>
    <row r="434" spans="1:3" x14ac:dyDescent="0.2">
      <c r="A434">
        <v>2023</v>
      </c>
      <c r="B434" s="36">
        <v>3855</v>
      </c>
      <c r="C434" s="37">
        <v>761315</v>
      </c>
    </row>
    <row r="435" spans="1:3" x14ac:dyDescent="0.2">
      <c r="A435">
        <v>2023</v>
      </c>
      <c r="B435" s="36">
        <v>3856</v>
      </c>
      <c r="C435" s="37">
        <v>141131</v>
      </c>
    </row>
    <row r="436" spans="1:3" x14ac:dyDescent="0.2">
      <c r="A436">
        <v>2023</v>
      </c>
      <c r="B436" s="36">
        <v>3927</v>
      </c>
      <c r="C436" s="37">
        <v>804921</v>
      </c>
    </row>
    <row r="437" spans="1:3" x14ac:dyDescent="0.2">
      <c r="A437">
        <v>2023</v>
      </c>
      <c r="B437" s="36">
        <v>3928</v>
      </c>
      <c r="C437" s="37">
        <v>391303</v>
      </c>
    </row>
    <row r="438" spans="1:3" x14ac:dyDescent="0.2">
      <c r="A438">
        <v>2023</v>
      </c>
      <c r="B438" s="36">
        <v>3929</v>
      </c>
      <c r="C438" s="37">
        <v>787359</v>
      </c>
    </row>
    <row r="439" spans="1:3" x14ac:dyDescent="0.2">
      <c r="A439">
        <v>2023</v>
      </c>
      <c r="B439" s="36">
        <v>3930</v>
      </c>
      <c r="C439" s="37">
        <v>669000</v>
      </c>
    </row>
    <row r="440" spans="1:3" x14ac:dyDescent="0.2">
      <c r="A440">
        <v>2023</v>
      </c>
      <c r="B440" s="36">
        <v>3931</v>
      </c>
      <c r="C440" s="37">
        <v>929080</v>
      </c>
    </row>
    <row r="441" spans="1:3" x14ac:dyDescent="0.2">
      <c r="A441">
        <v>2023</v>
      </c>
      <c r="B441" s="36">
        <v>3932</v>
      </c>
      <c r="C441" s="37">
        <v>734489</v>
      </c>
    </row>
    <row r="442" spans="1:3" x14ac:dyDescent="0.2">
      <c r="A442">
        <v>2023</v>
      </c>
      <c r="B442" s="36">
        <v>3934</v>
      </c>
      <c r="C442" s="37">
        <v>139890</v>
      </c>
    </row>
    <row r="443" spans="1:3" x14ac:dyDescent="0.2">
      <c r="A443">
        <v>2023</v>
      </c>
      <c r="B443" s="36">
        <v>3979</v>
      </c>
      <c r="C443" s="37">
        <v>534448</v>
      </c>
    </row>
    <row r="444" spans="1:3" x14ac:dyDescent="0.2">
      <c r="A444">
        <v>2023</v>
      </c>
      <c r="B444" s="36">
        <v>3980</v>
      </c>
      <c r="C444" s="37">
        <v>391797</v>
      </c>
    </row>
    <row r="445" spans="1:3" x14ac:dyDescent="0.2">
      <c r="A445">
        <v>2023</v>
      </c>
      <c r="B445" s="36">
        <v>3981</v>
      </c>
      <c r="C445" s="37">
        <v>358216</v>
      </c>
    </row>
    <row r="446" spans="1:3" x14ac:dyDescent="0.2">
      <c r="A446">
        <v>2023</v>
      </c>
      <c r="B446" s="36">
        <v>3982</v>
      </c>
      <c r="C446" s="37">
        <v>140609</v>
      </c>
    </row>
    <row r="447" spans="1:3" x14ac:dyDescent="0.2">
      <c r="A447">
        <v>2023</v>
      </c>
      <c r="B447" s="36">
        <v>3983</v>
      </c>
      <c r="C447" s="37">
        <v>362707</v>
      </c>
    </row>
    <row r="448" spans="1:3" x14ac:dyDescent="0.2">
      <c r="A448">
        <v>2023</v>
      </c>
      <c r="B448" s="36">
        <v>3986</v>
      </c>
      <c r="C448" s="37">
        <v>294460</v>
      </c>
    </row>
    <row r="449" spans="1:3" x14ac:dyDescent="0.2">
      <c r="A449">
        <v>2023</v>
      </c>
      <c r="B449" s="36">
        <v>3987</v>
      </c>
      <c r="C449" s="37">
        <v>244497</v>
      </c>
    </row>
    <row r="450" spans="1:3" x14ac:dyDescent="0.2">
      <c r="A450">
        <v>2023</v>
      </c>
      <c r="B450" s="36">
        <v>3988</v>
      </c>
      <c r="C450" s="37">
        <v>277760</v>
      </c>
    </row>
    <row r="451" spans="1:3" x14ac:dyDescent="0.2">
      <c r="A451">
        <v>2023</v>
      </c>
      <c r="B451" s="36">
        <v>3989</v>
      </c>
      <c r="C451" s="37">
        <v>166701</v>
      </c>
    </row>
    <row r="452" spans="1:3" x14ac:dyDescent="0.2">
      <c r="A452">
        <v>2023</v>
      </c>
      <c r="B452" s="36">
        <v>3990</v>
      </c>
      <c r="C452" s="37">
        <v>311593</v>
      </c>
    </row>
    <row r="453" spans="1:3" x14ac:dyDescent="0.2">
      <c r="A453">
        <v>2023</v>
      </c>
      <c r="B453" s="36">
        <v>3991</v>
      </c>
      <c r="C453" s="37">
        <v>412637</v>
      </c>
    </row>
    <row r="454" spans="1:3" x14ac:dyDescent="0.2">
      <c r="A454">
        <v>2023</v>
      </c>
      <c r="B454" s="36">
        <v>3992</v>
      </c>
      <c r="C454" s="37">
        <v>343096</v>
      </c>
    </row>
    <row r="455" spans="1:3" x14ac:dyDescent="0.2">
      <c r="A455">
        <v>2023</v>
      </c>
      <c r="B455" s="36">
        <v>3994</v>
      </c>
      <c r="C455" s="37">
        <v>610204</v>
      </c>
    </row>
    <row r="456" spans="1:3" x14ac:dyDescent="0.2">
      <c r="A456">
        <v>2023</v>
      </c>
      <c r="B456" s="36">
        <v>3995</v>
      </c>
      <c r="C456" s="37">
        <v>325159</v>
      </c>
    </row>
    <row r="457" spans="1:3" x14ac:dyDescent="0.2">
      <c r="A457">
        <v>2023</v>
      </c>
      <c r="B457" s="36">
        <v>3996</v>
      </c>
      <c r="C457" s="37">
        <v>250351</v>
      </c>
    </row>
    <row r="458" spans="1:3" x14ac:dyDescent="0.2">
      <c r="A458">
        <v>2023</v>
      </c>
      <c r="B458" s="36">
        <v>3997</v>
      </c>
      <c r="C458" s="37">
        <v>305404</v>
      </c>
    </row>
    <row r="459" spans="1:3" x14ac:dyDescent="0.2">
      <c r="A459">
        <v>2023</v>
      </c>
      <c r="B459" s="36">
        <v>3998</v>
      </c>
      <c r="C459" s="37">
        <v>282720</v>
      </c>
    </row>
    <row r="460" spans="1:3" x14ac:dyDescent="0.2">
      <c r="A460">
        <v>2023</v>
      </c>
      <c r="B460" s="36">
        <v>3999</v>
      </c>
      <c r="C460" s="38">
        <v>224624</v>
      </c>
    </row>
    <row r="461" spans="1:3" x14ac:dyDescent="0.2">
      <c r="A461">
        <v>2023</v>
      </c>
      <c r="B461" s="36">
        <v>4004</v>
      </c>
      <c r="C461" s="37">
        <v>170133</v>
      </c>
    </row>
    <row r="462" spans="1:3" x14ac:dyDescent="0.2">
      <c r="A462">
        <v>2023</v>
      </c>
      <c r="B462" s="36">
        <v>4007</v>
      </c>
      <c r="C462" s="37">
        <v>238239</v>
      </c>
    </row>
    <row r="463" spans="1:3" x14ac:dyDescent="0.2">
      <c r="A463">
        <v>2023</v>
      </c>
      <c r="B463" s="36">
        <v>4008</v>
      </c>
      <c r="C463" s="37">
        <v>64835</v>
      </c>
    </row>
    <row r="464" spans="1:3" x14ac:dyDescent="0.2">
      <c r="A464">
        <v>2023</v>
      </c>
      <c r="B464" s="36">
        <v>4009</v>
      </c>
      <c r="C464" s="37">
        <v>1420835</v>
      </c>
    </row>
    <row r="465" spans="1:3" x14ac:dyDescent="0.2">
      <c r="A465">
        <v>2023</v>
      </c>
      <c r="B465" s="36">
        <v>4010</v>
      </c>
      <c r="C465" s="37">
        <v>123360</v>
      </c>
    </row>
    <row r="466" spans="1:3" x14ac:dyDescent="0.2">
      <c r="A466">
        <v>2023</v>
      </c>
      <c r="B466" s="36">
        <v>4014</v>
      </c>
      <c r="C466" s="37">
        <v>661353</v>
      </c>
    </row>
    <row r="467" spans="1:3" x14ac:dyDescent="0.2">
      <c r="A467">
        <v>2023</v>
      </c>
      <c r="B467" s="36">
        <v>4015</v>
      </c>
      <c r="C467" s="37">
        <v>454630</v>
      </c>
    </row>
    <row r="468" spans="1:3" x14ac:dyDescent="0.2">
      <c r="A468">
        <v>2023</v>
      </c>
      <c r="B468" s="36">
        <v>4020</v>
      </c>
      <c r="C468" s="37">
        <v>765252</v>
      </c>
    </row>
    <row r="469" spans="1:3" x14ac:dyDescent="0.2">
      <c r="A469">
        <v>2023</v>
      </c>
      <c r="B469" s="36">
        <v>4021</v>
      </c>
      <c r="C469" s="37">
        <v>1040203</v>
      </c>
    </row>
    <row r="470" spans="1:3" x14ac:dyDescent="0.2">
      <c r="A470">
        <v>2023</v>
      </c>
      <c r="B470" s="36">
        <v>4022</v>
      </c>
      <c r="C470" s="37">
        <v>773727</v>
      </c>
    </row>
    <row r="471" spans="1:3" x14ac:dyDescent="0.2">
      <c r="A471">
        <v>2023</v>
      </c>
      <c r="B471" s="36">
        <v>4027</v>
      </c>
      <c r="C471" s="37">
        <v>665800</v>
      </c>
    </row>
    <row r="472" spans="1:3" x14ac:dyDescent="0.2">
      <c r="A472">
        <v>2023</v>
      </c>
      <c r="B472" s="36">
        <v>4028</v>
      </c>
      <c r="C472" s="37">
        <v>167376</v>
      </c>
    </row>
    <row r="473" spans="1:3" x14ac:dyDescent="0.2">
      <c r="A473">
        <v>2023</v>
      </c>
      <c r="B473" s="36">
        <v>4029</v>
      </c>
      <c r="C473" s="37">
        <v>942419</v>
      </c>
    </row>
    <row r="474" spans="1:3" x14ac:dyDescent="0.2">
      <c r="A474">
        <v>2023</v>
      </c>
      <c r="B474" s="36">
        <v>4030</v>
      </c>
      <c r="C474" s="37">
        <v>548064</v>
      </c>
    </row>
    <row r="475" spans="1:3" x14ac:dyDescent="0.2">
      <c r="A475">
        <v>2023</v>
      </c>
      <c r="B475" s="36">
        <v>4031</v>
      </c>
      <c r="C475" s="37">
        <v>441472</v>
      </c>
    </row>
    <row r="476" spans="1:3" x14ac:dyDescent="0.2">
      <c r="A476">
        <v>2023</v>
      </c>
      <c r="B476" s="36">
        <v>4034</v>
      </c>
      <c r="C476" s="37">
        <v>386901</v>
      </c>
    </row>
    <row r="477" spans="1:3" x14ac:dyDescent="0.2">
      <c r="A477">
        <v>2023</v>
      </c>
      <c r="B477" s="36">
        <v>4036</v>
      </c>
      <c r="C477" s="37">
        <v>614621</v>
      </c>
    </row>
    <row r="478" spans="1:3" x14ac:dyDescent="0.2">
      <c r="A478">
        <v>2023</v>
      </c>
      <c r="B478" s="36">
        <v>4101</v>
      </c>
      <c r="C478" s="37">
        <v>440724</v>
      </c>
    </row>
    <row r="479" spans="1:3" x14ac:dyDescent="0.2">
      <c r="A479">
        <v>2023</v>
      </c>
      <c r="B479" s="36">
        <v>4104</v>
      </c>
      <c r="C479" s="37">
        <v>364681</v>
      </c>
    </row>
    <row r="480" spans="1:3" x14ac:dyDescent="0.2">
      <c r="A480">
        <v>2023</v>
      </c>
      <c r="B480" s="36">
        <v>4124</v>
      </c>
      <c r="C480" s="37">
        <v>2205</v>
      </c>
    </row>
    <row r="481" spans="1:3" x14ac:dyDescent="0.2">
      <c r="A481">
        <v>2023</v>
      </c>
      <c r="B481" s="36">
        <v>4126</v>
      </c>
      <c r="C481" s="37">
        <v>1229999</v>
      </c>
    </row>
    <row r="482" spans="1:3" x14ac:dyDescent="0.2">
      <c r="A482">
        <v>2023</v>
      </c>
      <c r="B482" s="36">
        <v>4128</v>
      </c>
      <c r="C482" s="37">
        <v>901193</v>
      </c>
    </row>
    <row r="483" spans="1:3" x14ac:dyDescent="0.2">
      <c r="A483">
        <v>2023</v>
      </c>
      <c r="B483" s="36">
        <v>4130</v>
      </c>
      <c r="C483" s="37">
        <v>623591</v>
      </c>
    </row>
    <row r="484" spans="1:3" x14ac:dyDescent="0.2">
      <c r="A484">
        <v>2023</v>
      </c>
      <c r="B484" s="36">
        <v>4132</v>
      </c>
      <c r="C484" s="37">
        <v>340688</v>
      </c>
    </row>
    <row r="485" spans="1:3" x14ac:dyDescent="0.2">
      <c r="A485">
        <v>2023</v>
      </c>
      <c r="B485" s="36">
        <v>4134</v>
      </c>
      <c r="C485" s="37">
        <v>321433</v>
      </c>
    </row>
    <row r="486" spans="1:3" x14ac:dyDescent="0.2">
      <c r="A486">
        <v>2023</v>
      </c>
      <c r="B486" s="36">
        <v>4135</v>
      </c>
      <c r="C486" s="37">
        <v>264874</v>
      </c>
    </row>
    <row r="487" spans="1:3" x14ac:dyDescent="0.2">
      <c r="A487">
        <v>2023</v>
      </c>
      <c r="B487" s="36">
        <v>4137</v>
      </c>
      <c r="C487" s="37">
        <v>389851</v>
      </c>
    </row>
    <row r="488" spans="1:3" x14ac:dyDescent="0.2">
      <c r="A488">
        <v>2023</v>
      </c>
      <c r="B488" s="36">
        <v>4142</v>
      </c>
      <c r="C488" s="37">
        <v>1082202</v>
      </c>
    </row>
    <row r="489" spans="1:3" x14ac:dyDescent="0.2">
      <c r="A489">
        <v>2023</v>
      </c>
      <c r="B489" s="36">
        <v>4143</v>
      </c>
      <c r="C489" s="37">
        <v>877740</v>
      </c>
    </row>
    <row r="490" spans="1:3" x14ac:dyDescent="0.2">
      <c r="A490">
        <v>2023</v>
      </c>
      <c r="B490" s="36">
        <v>4144</v>
      </c>
      <c r="C490" s="37">
        <v>628647</v>
      </c>
    </row>
    <row r="491" spans="1:3" x14ac:dyDescent="0.2">
      <c r="A491">
        <v>2023</v>
      </c>
      <c r="B491" s="36">
        <v>4149</v>
      </c>
      <c r="C491" s="37">
        <v>318873</v>
      </c>
    </row>
    <row r="492" spans="1:3" x14ac:dyDescent="0.2">
      <c r="A492">
        <v>2023</v>
      </c>
      <c r="B492" s="36">
        <v>4151</v>
      </c>
      <c r="C492" s="37">
        <v>812097</v>
      </c>
    </row>
    <row r="493" spans="1:3" x14ac:dyDescent="0.2">
      <c r="A493">
        <v>2023</v>
      </c>
      <c r="B493" s="36">
        <v>4152</v>
      </c>
      <c r="C493" s="37">
        <v>656530</v>
      </c>
    </row>
    <row r="494" spans="1:3" x14ac:dyDescent="0.2">
      <c r="A494">
        <v>2023</v>
      </c>
      <c r="B494" s="36">
        <v>4153</v>
      </c>
      <c r="C494" s="37">
        <v>826095</v>
      </c>
    </row>
    <row r="495" spans="1:3" x14ac:dyDescent="0.2">
      <c r="A495">
        <v>2023</v>
      </c>
      <c r="B495" s="36">
        <v>4154</v>
      </c>
      <c r="C495" s="37">
        <v>533160</v>
      </c>
    </row>
    <row r="496" spans="1:3" x14ac:dyDescent="0.2">
      <c r="A496">
        <v>2023</v>
      </c>
      <c r="B496" s="36">
        <v>4155</v>
      </c>
      <c r="C496" s="37">
        <v>650184</v>
      </c>
    </row>
    <row r="497" spans="1:3" x14ac:dyDescent="0.2">
      <c r="A497">
        <v>2023</v>
      </c>
      <c r="B497" s="36">
        <v>4178</v>
      </c>
      <c r="C497" s="37">
        <v>587735</v>
      </c>
    </row>
    <row r="498" spans="1:3" x14ac:dyDescent="0.2">
      <c r="A498">
        <v>2023</v>
      </c>
      <c r="B498" s="36">
        <v>4180</v>
      </c>
      <c r="C498" s="37">
        <v>1259334</v>
      </c>
    </row>
    <row r="499" spans="1:3" x14ac:dyDescent="0.2">
      <c r="A499">
        <v>2023</v>
      </c>
      <c r="B499" s="36">
        <v>4183</v>
      </c>
      <c r="C499" s="37">
        <v>751889</v>
      </c>
    </row>
    <row r="500" spans="1:3" x14ac:dyDescent="0.2">
      <c r="A500">
        <v>2023</v>
      </c>
      <c r="B500" s="36">
        <v>4184</v>
      </c>
      <c r="C500" s="37">
        <v>777711</v>
      </c>
    </row>
    <row r="501" spans="1:3" x14ac:dyDescent="0.2">
      <c r="A501">
        <v>2023</v>
      </c>
      <c r="B501" s="36">
        <v>4202</v>
      </c>
      <c r="C501" s="37">
        <v>449673</v>
      </c>
    </row>
    <row r="502" spans="1:3" x14ac:dyDescent="0.2">
      <c r="A502">
        <v>2023</v>
      </c>
      <c r="B502" s="36">
        <v>4203</v>
      </c>
      <c r="C502" s="37">
        <v>513198</v>
      </c>
    </row>
    <row r="503" spans="1:3" x14ac:dyDescent="0.2">
      <c r="A503">
        <v>2023</v>
      </c>
      <c r="B503" s="36">
        <v>4205</v>
      </c>
      <c r="C503" s="37">
        <v>392078</v>
      </c>
    </row>
    <row r="504" spans="1:3" x14ac:dyDescent="0.2">
      <c r="A504">
        <v>2023</v>
      </c>
      <c r="B504" s="36">
        <v>4206</v>
      </c>
      <c r="C504" s="37">
        <v>388509</v>
      </c>
    </row>
    <row r="505" spans="1:3" x14ac:dyDescent="0.2">
      <c r="A505">
        <v>2023</v>
      </c>
      <c r="B505" s="36">
        <v>4208</v>
      </c>
      <c r="C505" s="37">
        <v>1919317</v>
      </c>
    </row>
    <row r="506" spans="1:3" x14ac:dyDescent="0.2">
      <c r="A506">
        <v>2023</v>
      </c>
      <c r="B506" s="36">
        <v>4258</v>
      </c>
      <c r="C506" s="38">
        <v>657978</v>
      </c>
    </row>
    <row r="507" spans="1:3" x14ac:dyDescent="0.2">
      <c r="A507">
        <v>2023</v>
      </c>
      <c r="B507" s="36">
        <v>4259</v>
      </c>
      <c r="C507" s="37">
        <v>557730</v>
      </c>
    </row>
    <row r="508" spans="1:3" x14ac:dyDescent="0.2">
      <c r="A508">
        <v>2023</v>
      </c>
      <c r="B508" s="36">
        <v>4260</v>
      </c>
      <c r="C508" s="37">
        <v>882035</v>
      </c>
    </row>
    <row r="509" spans="1:3" x14ac:dyDescent="0.2">
      <c r="A509">
        <v>2023</v>
      </c>
      <c r="B509" s="36">
        <v>4301</v>
      </c>
      <c r="C509" s="37">
        <v>1739192</v>
      </c>
    </row>
    <row r="510" spans="1:3" x14ac:dyDescent="0.2">
      <c r="A510">
        <v>2023</v>
      </c>
      <c r="B510" s="36">
        <v>4351</v>
      </c>
      <c r="C510" s="37">
        <v>2525143</v>
      </c>
    </row>
    <row r="511" spans="1:3" x14ac:dyDescent="0.2">
      <c r="A511">
        <v>2023</v>
      </c>
      <c r="B511" s="36">
        <v>4353</v>
      </c>
      <c r="C511" s="37">
        <v>1524271</v>
      </c>
    </row>
    <row r="512" spans="1:3" x14ac:dyDescent="0.2">
      <c r="A512">
        <v>2023</v>
      </c>
      <c r="B512" s="36">
        <v>4355</v>
      </c>
      <c r="C512" s="37">
        <v>2618505</v>
      </c>
    </row>
    <row r="513" spans="1:3" x14ac:dyDescent="0.2">
      <c r="A513">
        <v>2023</v>
      </c>
      <c r="B513" s="36">
        <v>4356</v>
      </c>
      <c r="C513" s="37">
        <v>4290790</v>
      </c>
    </row>
    <row r="514" spans="1:3" x14ac:dyDescent="0.2">
      <c r="A514">
        <v>2023</v>
      </c>
      <c r="B514" s="36">
        <v>4357</v>
      </c>
      <c r="C514" s="37">
        <v>1931211</v>
      </c>
    </row>
    <row r="515" spans="1:3" x14ac:dyDescent="0.2">
      <c r="A515">
        <v>2023</v>
      </c>
      <c r="B515" s="36">
        <v>4358</v>
      </c>
      <c r="C515" s="37">
        <v>1441395</v>
      </c>
    </row>
    <row r="516" spans="1:3" x14ac:dyDescent="0.2">
      <c r="A516">
        <v>2023</v>
      </c>
      <c r="B516" s="36">
        <v>4360</v>
      </c>
      <c r="C516" s="37">
        <v>1510843</v>
      </c>
    </row>
    <row r="517" spans="1:3" x14ac:dyDescent="0.2">
      <c r="A517">
        <v>2023</v>
      </c>
      <c r="B517" s="36">
        <v>4361</v>
      </c>
      <c r="C517" s="37">
        <v>2795547</v>
      </c>
    </row>
    <row r="518" spans="1:3" x14ac:dyDescent="0.2">
      <c r="A518">
        <v>2023</v>
      </c>
      <c r="B518" s="36">
        <v>4363</v>
      </c>
      <c r="C518" s="37">
        <v>1607270</v>
      </c>
    </row>
    <row r="519" spans="1:3" x14ac:dyDescent="0.2">
      <c r="A519">
        <v>2023</v>
      </c>
      <c r="B519" s="36">
        <v>4364</v>
      </c>
      <c r="C519" s="37">
        <v>1786178</v>
      </c>
    </row>
    <row r="520" spans="1:3" x14ac:dyDescent="0.2">
      <c r="A520">
        <v>2023</v>
      </c>
      <c r="B520" s="36">
        <v>4365</v>
      </c>
      <c r="C520" s="37">
        <v>1158550</v>
      </c>
    </row>
    <row r="521" spans="1:3" x14ac:dyDescent="0.2">
      <c r="A521">
        <v>2023</v>
      </c>
      <c r="B521" s="36">
        <v>4366</v>
      </c>
      <c r="C521" s="37">
        <v>6274439</v>
      </c>
    </row>
    <row r="522" spans="1:3" x14ac:dyDescent="0.2">
      <c r="A522">
        <v>2023</v>
      </c>
      <c r="B522" s="36">
        <v>4367</v>
      </c>
      <c r="C522" s="37">
        <v>10489267</v>
      </c>
    </row>
    <row r="523" spans="1:3" x14ac:dyDescent="0.2">
      <c r="A523">
        <v>2023</v>
      </c>
      <c r="B523" s="36">
        <v>4368</v>
      </c>
      <c r="C523" s="37">
        <v>7901475</v>
      </c>
    </row>
    <row r="524" spans="1:3" x14ac:dyDescent="0.2">
      <c r="A524">
        <v>2023</v>
      </c>
      <c r="B524" s="36">
        <v>4428</v>
      </c>
      <c r="C524" s="37">
        <v>453147</v>
      </c>
    </row>
    <row r="525" spans="1:3" x14ac:dyDescent="0.2">
      <c r="A525">
        <v>2023</v>
      </c>
      <c r="B525" s="36">
        <v>4430</v>
      </c>
      <c r="C525" s="37">
        <v>509386</v>
      </c>
    </row>
    <row r="526" spans="1:3" x14ac:dyDescent="0.2">
      <c r="A526">
        <v>2023</v>
      </c>
      <c r="B526" s="36">
        <v>4434</v>
      </c>
      <c r="C526" s="37">
        <v>196117</v>
      </c>
    </row>
    <row r="527" spans="1:3" x14ac:dyDescent="0.2">
      <c r="A527">
        <v>2023</v>
      </c>
      <c r="B527" s="36">
        <v>4437</v>
      </c>
      <c r="C527" s="37">
        <v>757699</v>
      </c>
    </row>
    <row r="528" spans="1:3" x14ac:dyDescent="0.2">
      <c r="A528">
        <v>2023</v>
      </c>
      <c r="B528" s="36">
        <v>4438</v>
      </c>
      <c r="C528" s="37">
        <v>561213</v>
      </c>
    </row>
    <row r="529" spans="1:3" x14ac:dyDescent="0.2">
      <c r="A529">
        <v>2023</v>
      </c>
      <c r="B529" s="36">
        <v>4439</v>
      </c>
      <c r="C529" s="37">
        <v>769624</v>
      </c>
    </row>
    <row r="530" spans="1:3" x14ac:dyDescent="0.2">
      <c r="A530">
        <v>2023</v>
      </c>
      <c r="B530" s="36">
        <v>4504</v>
      </c>
      <c r="C530" s="37">
        <v>448365</v>
      </c>
    </row>
    <row r="531" spans="1:3" x14ac:dyDescent="0.2">
      <c r="A531">
        <v>2023</v>
      </c>
      <c r="B531" s="36">
        <v>4531</v>
      </c>
      <c r="C531" s="37">
        <v>688874</v>
      </c>
    </row>
    <row r="532" spans="1:3" x14ac:dyDescent="0.2">
      <c r="A532">
        <v>2023</v>
      </c>
      <c r="B532" s="36">
        <v>4532</v>
      </c>
      <c r="C532" s="37">
        <v>1104828</v>
      </c>
    </row>
    <row r="533" spans="1:3" x14ac:dyDescent="0.2">
      <c r="A533">
        <v>2023</v>
      </c>
      <c r="B533" s="36">
        <v>4533</v>
      </c>
      <c r="C533" s="37">
        <v>825136</v>
      </c>
    </row>
    <row r="534" spans="1:3" x14ac:dyDescent="0.2">
      <c r="A534">
        <v>2023</v>
      </c>
      <c r="B534" s="36">
        <v>4534</v>
      </c>
      <c r="C534" s="37">
        <v>824663</v>
      </c>
    </row>
    <row r="535" spans="1:3" x14ac:dyDescent="0.2">
      <c r="A535">
        <v>2023</v>
      </c>
      <c r="B535" s="36">
        <v>4557</v>
      </c>
      <c r="C535" s="37">
        <v>447177</v>
      </c>
    </row>
    <row r="536" spans="1:3" x14ac:dyDescent="0.2">
      <c r="A536">
        <v>2023</v>
      </c>
      <c r="B536" s="36">
        <v>4582</v>
      </c>
      <c r="C536" s="37">
        <v>790756</v>
      </c>
    </row>
    <row r="537" spans="1:3" x14ac:dyDescent="0.2">
      <c r="A537">
        <v>2023</v>
      </c>
      <c r="B537" s="36">
        <v>4583</v>
      </c>
      <c r="C537" s="37">
        <v>664847</v>
      </c>
    </row>
    <row r="538" spans="1:3" x14ac:dyDescent="0.2">
      <c r="A538">
        <v>2023</v>
      </c>
      <c r="B538" s="36">
        <v>4586</v>
      </c>
      <c r="C538" s="37">
        <v>645792</v>
      </c>
    </row>
    <row r="539" spans="1:3" x14ac:dyDescent="0.2">
      <c r="A539">
        <v>2023</v>
      </c>
      <c r="B539" s="36">
        <v>4588</v>
      </c>
      <c r="C539" s="37">
        <v>605227</v>
      </c>
    </row>
    <row r="540" spans="1:3" x14ac:dyDescent="0.2">
      <c r="A540">
        <v>2023</v>
      </c>
      <c r="B540" s="36">
        <v>4590</v>
      </c>
      <c r="C540" s="37">
        <v>699009</v>
      </c>
    </row>
    <row r="541" spans="1:3" x14ac:dyDescent="0.2">
      <c r="A541">
        <v>2023</v>
      </c>
      <c r="B541" s="36">
        <v>4592</v>
      </c>
      <c r="C541" s="37">
        <v>423400</v>
      </c>
    </row>
    <row r="542" spans="1:3" x14ac:dyDescent="0.2">
      <c r="A542">
        <v>2023</v>
      </c>
      <c r="B542" s="36">
        <v>4593</v>
      </c>
      <c r="C542" s="37">
        <v>678281</v>
      </c>
    </row>
    <row r="543" spans="1:3" x14ac:dyDescent="0.2">
      <c r="A543">
        <v>2023</v>
      </c>
      <c r="B543" s="36">
        <v>4594</v>
      </c>
      <c r="C543" s="37">
        <v>829233</v>
      </c>
    </row>
    <row r="544" spans="1:3" x14ac:dyDescent="0.2">
      <c r="A544">
        <v>2023</v>
      </c>
      <c r="B544" s="36">
        <v>4595</v>
      </c>
      <c r="C544" s="37">
        <v>776846</v>
      </c>
    </row>
    <row r="545" spans="1:3" x14ac:dyDescent="0.2">
      <c r="A545">
        <v>2023</v>
      </c>
      <c r="B545" s="36">
        <v>4596</v>
      </c>
      <c r="C545" s="37">
        <v>698632</v>
      </c>
    </row>
    <row r="546" spans="1:3" x14ac:dyDescent="0.2">
      <c r="A546">
        <v>2023</v>
      </c>
      <c r="B546" s="36">
        <v>4597</v>
      </c>
      <c r="C546" s="37">
        <v>956364</v>
      </c>
    </row>
    <row r="547" spans="1:3" x14ac:dyDescent="0.2">
      <c r="A547">
        <v>2023</v>
      </c>
      <c r="B547" s="36">
        <v>4598</v>
      </c>
      <c r="C547" s="37">
        <v>907196</v>
      </c>
    </row>
    <row r="548" spans="1:3" x14ac:dyDescent="0.2">
      <c r="A548">
        <v>2023</v>
      </c>
      <c r="B548" s="36">
        <v>4604</v>
      </c>
      <c r="C548" s="37">
        <v>1236099</v>
      </c>
    </row>
    <row r="549" spans="1:3" x14ac:dyDescent="0.2">
      <c r="A549">
        <v>2023</v>
      </c>
      <c r="B549" s="36">
        <v>4617</v>
      </c>
      <c r="C549" s="37">
        <v>376950</v>
      </c>
    </row>
    <row r="550" spans="1:3" x14ac:dyDescent="0.2">
      <c r="A550">
        <v>2023</v>
      </c>
      <c r="B550" s="36">
        <v>4620</v>
      </c>
      <c r="C550" s="37">
        <v>934353</v>
      </c>
    </row>
    <row r="551" spans="1:3" x14ac:dyDescent="0.2">
      <c r="A551">
        <v>2023</v>
      </c>
      <c r="B551" s="36">
        <v>4651</v>
      </c>
      <c r="C551" s="37">
        <v>1069072</v>
      </c>
    </row>
    <row r="552" spans="1:3" x14ac:dyDescent="0.2">
      <c r="A552">
        <v>2023</v>
      </c>
      <c r="B552" s="36">
        <v>4653</v>
      </c>
      <c r="C552" s="38">
        <v>3112503</v>
      </c>
    </row>
    <row r="553" spans="1:3" x14ac:dyDescent="0.2">
      <c r="A553">
        <v>2023</v>
      </c>
      <c r="B553" s="36">
        <v>4654</v>
      </c>
      <c r="C553" s="37">
        <v>3426651</v>
      </c>
    </row>
    <row r="554" spans="1:3" x14ac:dyDescent="0.2">
      <c r="A554">
        <v>2023</v>
      </c>
      <c r="B554" s="36">
        <v>4662</v>
      </c>
      <c r="C554" s="37">
        <v>747484</v>
      </c>
    </row>
    <row r="555" spans="1:3" x14ac:dyDescent="0.2">
      <c r="A555">
        <v>2023</v>
      </c>
      <c r="B555" s="36">
        <v>4663</v>
      </c>
      <c r="C555" s="37">
        <v>892438</v>
      </c>
    </row>
    <row r="556" spans="1:3" x14ac:dyDescent="0.2">
      <c r="A556">
        <v>2023</v>
      </c>
      <c r="B556" s="36">
        <v>4679</v>
      </c>
      <c r="C556" s="37">
        <v>682458</v>
      </c>
    </row>
    <row r="557" spans="1:3" x14ac:dyDescent="0.2">
      <c r="A557">
        <v>2023</v>
      </c>
      <c r="B557" s="36">
        <v>4680</v>
      </c>
      <c r="C557" s="37">
        <v>591892</v>
      </c>
    </row>
    <row r="558" spans="1:3" x14ac:dyDescent="0.2">
      <c r="A558">
        <v>2023</v>
      </c>
      <c r="B558" s="36">
        <v>4701</v>
      </c>
      <c r="C558" s="37">
        <v>1163434</v>
      </c>
    </row>
    <row r="559" spans="1:3" x14ac:dyDescent="0.2">
      <c r="A559">
        <v>2023</v>
      </c>
      <c r="B559" s="36">
        <v>4703</v>
      </c>
      <c r="C559" s="37">
        <v>879129</v>
      </c>
    </row>
    <row r="560" spans="1:3" x14ac:dyDescent="0.2">
      <c r="A560">
        <v>2023</v>
      </c>
      <c r="B560" s="36">
        <v>4704</v>
      </c>
      <c r="C560" s="37">
        <v>757874</v>
      </c>
    </row>
    <row r="561" spans="1:3" x14ac:dyDescent="0.2">
      <c r="A561">
        <v>2023</v>
      </c>
      <c r="B561" s="36">
        <v>4705</v>
      </c>
      <c r="C561" s="37">
        <v>1155663</v>
      </c>
    </row>
    <row r="562" spans="1:3" x14ac:dyDescent="0.2">
      <c r="A562">
        <v>2023</v>
      </c>
      <c r="B562" s="36">
        <v>4854</v>
      </c>
      <c r="C562" s="37">
        <v>1101140</v>
      </c>
    </row>
    <row r="563" spans="1:3" x14ac:dyDescent="0.2">
      <c r="A563">
        <v>2023</v>
      </c>
      <c r="B563" s="36">
        <v>4855</v>
      </c>
      <c r="C563" s="37">
        <v>322390</v>
      </c>
    </row>
    <row r="564" spans="1:3" x14ac:dyDescent="0.2">
      <c r="A564">
        <v>2023</v>
      </c>
      <c r="B564" s="36">
        <v>4857</v>
      </c>
      <c r="C564" s="37">
        <v>2150177</v>
      </c>
    </row>
    <row r="565" spans="1:3" x14ac:dyDescent="0.2">
      <c r="A565">
        <v>2023</v>
      </c>
      <c r="B565" s="36">
        <v>4862</v>
      </c>
      <c r="C565" s="37">
        <v>2021907</v>
      </c>
    </row>
    <row r="566" spans="1:3" x14ac:dyDescent="0.2">
      <c r="A566">
        <v>2023</v>
      </c>
      <c r="B566" s="36">
        <v>4863</v>
      </c>
      <c r="C566" s="37">
        <v>2347346</v>
      </c>
    </row>
    <row r="567" spans="1:3" x14ac:dyDescent="0.2">
      <c r="A567">
        <v>2023</v>
      </c>
      <c r="B567" s="36">
        <v>4877</v>
      </c>
      <c r="C567" s="37">
        <v>951358</v>
      </c>
    </row>
    <row r="568" spans="1:3" x14ac:dyDescent="0.2">
      <c r="A568">
        <v>2023</v>
      </c>
      <c r="B568" s="36">
        <v>4879</v>
      </c>
      <c r="C568" s="37">
        <v>833076</v>
      </c>
    </row>
    <row r="569" spans="1:3" x14ac:dyDescent="0.2">
      <c r="A569">
        <v>2023</v>
      </c>
      <c r="B569" s="36">
        <v>4883</v>
      </c>
      <c r="C569" s="37">
        <v>33832</v>
      </c>
    </row>
    <row r="570" spans="1:3" x14ac:dyDescent="0.2">
      <c r="A570">
        <v>2023</v>
      </c>
      <c r="B570" s="36">
        <v>4884</v>
      </c>
      <c r="C570" s="37">
        <v>321043</v>
      </c>
    </row>
    <row r="571" spans="1:3" x14ac:dyDescent="0.2">
      <c r="A571">
        <v>2023</v>
      </c>
      <c r="B571" s="36">
        <v>4885</v>
      </c>
      <c r="C571" s="37">
        <v>915360</v>
      </c>
    </row>
    <row r="572" spans="1:3" x14ac:dyDescent="0.2">
      <c r="A572">
        <v>2023</v>
      </c>
      <c r="B572" s="36">
        <v>4890</v>
      </c>
      <c r="C572" s="37">
        <v>1328479</v>
      </c>
    </row>
    <row r="573" spans="1:3" x14ac:dyDescent="0.2">
      <c r="A573">
        <v>2023</v>
      </c>
      <c r="B573" s="36">
        <v>4892</v>
      </c>
      <c r="C573" s="37">
        <v>1212115</v>
      </c>
    </row>
    <row r="574" spans="1:3" x14ac:dyDescent="0.2">
      <c r="A574">
        <v>2023</v>
      </c>
      <c r="B574" s="36">
        <v>4894</v>
      </c>
      <c r="C574" s="37">
        <v>1262652</v>
      </c>
    </row>
    <row r="575" spans="1:3" x14ac:dyDescent="0.2">
      <c r="A575">
        <v>2023</v>
      </c>
      <c r="B575" s="36">
        <v>4901</v>
      </c>
      <c r="C575" s="37">
        <v>872366</v>
      </c>
    </row>
    <row r="576" spans="1:3" x14ac:dyDescent="0.2">
      <c r="A576">
        <v>2023</v>
      </c>
      <c r="B576" s="36">
        <v>4906</v>
      </c>
      <c r="C576" s="37">
        <v>1131921</v>
      </c>
    </row>
    <row r="577" spans="1:3" x14ac:dyDescent="0.2">
      <c r="A577">
        <v>2023</v>
      </c>
      <c r="B577" s="36">
        <v>4907</v>
      </c>
      <c r="C577" s="37">
        <v>1825132</v>
      </c>
    </row>
    <row r="578" spans="1:3" x14ac:dyDescent="0.2">
      <c r="A578">
        <v>2023</v>
      </c>
      <c r="B578" s="36">
        <v>4908</v>
      </c>
      <c r="C578" s="37">
        <v>474029</v>
      </c>
    </row>
    <row r="579" spans="1:3" x14ac:dyDescent="0.2">
      <c r="A579">
        <v>2023</v>
      </c>
      <c r="B579" s="36">
        <v>4909</v>
      </c>
      <c r="C579" s="37">
        <v>1220638</v>
      </c>
    </row>
    <row r="580" spans="1:3" x14ac:dyDescent="0.2">
      <c r="A580">
        <v>2023</v>
      </c>
      <c r="B580" s="36">
        <v>4910</v>
      </c>
      <c r="C580" s="37">
        <v>639814</v>
      </c>
    </row>
    <row r="581" spans="1:3" x14ac:dyDescent="0.2">
      <c r="A581">
        <v>2023</v>
      </c>
      <c r="B581" s="36">
        <v>4976</v>
      </c>
      <c r="C581" s="37">
        <v>274715</v>
      </c>
    </row>
    <row r="582" spans="1:3" x14ac:dyDescent="0.2">
      <c r="A582">
        <v>2023</v>
      </c>
      <c r="B582" s="36">
        <v>4978</v>
      </c>
      <c r="C582" s="37">
        <v>362324</v>
      </c>
    </row>
    <row r="583" spans="1:3" x14ac:dyDescent="0.2">
      <c r="A583">
        <v>2023</v>
      </c>
      <c r="B583" s="36">
        <v>4979</v>
      </c>
      <c r="C583" s="37">
        <v>474740</v>
      </c>
    </row>
    <row r="584" spans="1:3" x14ac:dyDescent="0.2">
      <c r="A584">
        <v>2023</v>
      </c>
      <c r="B584" s="36">
        <v>4980</v>
      </c>
      <c r="C584" s="37">
        <v>270219</v>
      </c>
    </row>
    <row r="585" spans="1:3" x14ac:dyDescent="0.2">
      <c r="A585">
        <v>2023</v>
      </c>
      <c r="B585" s="36">
        <v>4981</v>
      </c>
      <c r="C585" s="37">
        <v>261805</v>
      </c>
    </row>
    <row r="586" spans="1:3" x14ac:dyDescent="0.2">
      <c r="A586">
        <v>2023</v>
      </c>
      <c r="B586" s="36">
        <v>4982</v>
      </c>
      <c r="C586" s="37">
        <v>503610</v>
      </c>
    </row>
    <row r="587" spans="1:3" x14ac:dyDescent="0.2">
      <c r="A587">
        <v>2023</v>
      </c>
      <c r="B587" s="36">
        <v>4983</v>
      </c>
      <c r="C587" s="37">
        <v>345779</v>
      </c>
    </row>
    <row r="588" spans="1:3" x14ac:dyDescent="0.2">
      <c r="A588">
        <v>2023</v>
      </c>
      <c r="B588" s="36">
        <v>5001</v>
      </c>
      <c r="C588" s="37">
        <v>751708</v>
      </c>
    </row>
    <row r="589" spans="1:3" x14ac:dyDescent="0.2">
      <c r="A589">
        <v>2023</v>
      </c>
      <c r="B589" s="36">
        <v>5002</v>
      </c>
      <c r="C589" s="37">
        <v>457143</v>
      </c>
    </row>
    <row r="590" spans="1:3" x14ac:dyDescent="0.2">
      <c r="A590">
        <v>2023</v>
      </c>
      <c r="B590" s="36">
        <v>5003</v>
      </c>
      <c r="C590" s="37">
        <v>539944</v>
      </c>
    </row>
    <row r="591" spans="1:3" x14ac:dyDescent="0.2">
      <c r="A591">
        <v>2023</v>
      </c>
      <c r="B591" s="36">
        <v>5026</v>
      </c>
      <c r="C591" s="37">
        <v>379381</v>
      </c>
    </row>
    <row r="592" spans="1:3" x14ac:dyDescent="0.2">
      <c r="A592">
        <v>2023</v>
      </c>
      <c r="B592" s="36">
        <v>5027</v>
      </c>
      <c r="C592" s="37">
        <v>701431</v>
      </c>
    </row>
    <row r="593" spans="1:3" x14ac:dyDescent="0.2">
      <c r="A593">
        <v>2023</v>
      </c>
      <c r="B593" s="36">
        <v>5028</v>
      </c>
      <c r="C593" s="37">
        <v>350943</v>
      </c>
    </row>
    <row r="594" spans="1:3" x14ac:dyDescent="0.2">
      <c r="A594">
        <v>2023</v>
      </c>
      <c r="B594" s="36">
        <v>5076</v>
      </c>
      <c r="C594" s="37">
        <v>971099</v>
      </c>
    </row>
    <row r="595" spans="1:3" x14ac:dyDescent="0.2">
      <c r="A595">
        <v>2023</v>
      </c>
      <c r="B595" s="36">
        <v>5078</v>
      </c>
      <c r="C595" s="37">
        <v>742081</v>
      </c>
    </row>
    <row r="596" spans="1:3" x14ac:dyDescent="0.2">
      <c r="A596">
        <v>2023</v>
      </c>
      <c r="B596" s="36">
        <v>5102</v>
      </c>
      <c r="C596" s="37">
        <v>2516475</v>
      </c>
    </row>
    <row r="597" spans="1:3" x14ac:dyDescent="0.2">
      <c r="A597">
        <v>2023</v>
      </c>
      <c r="B597" s="36">
        <v>5103</v>
      </c>
      <c r="C597" s="37">
        <v>1340999</v>
      </c>
    </row>
    <row r="598" spans="1:3" x14ac:dyDescent="0.2">
      <c r="A598">
        <v>2023</v>
      </c>
      <c r="B598" s="36">
        <v>5107</v>
      </c>
      <c r="C598" s="38">
        <v>991425</v>
      </c>
    </row>
    <row r="599" spans="1:3" x14ac:dyDescent="0.2">
      <c r="A599">
        <v>2023</v>
      </c>
      <c r="B599" s="36">
        <v>5108</v>
      </c>
      <c r="C599" s="37">
        <v>776330</v>
      </c>
    </row>
    <row r="600" spans="1:3" x14ac:dyDescent="0.2">
      <c r="A600">
        <v>2023</v>
      </c>
      <c r="B600" s="36">
        <v>5251</v>
      </c>
      <c r="C600" s="37">
        <v>624985</v>
      </c>
    </row>
    <row r="601" spans="1:3" x14ac:dyDescent="0.2">
      <c r="A601">
        <v>2023</v>
      </c>
      <c r="B601" s="36">
        <v>5253</v>
      </c>
      <c r="C601" s="37">
        <v>767832</v>
      </c>
    </row>
    <row r="602" spans="1:3" x14ac:dyDescent="0.2">
      <c r="A602">
        <v>2023</v>
      </c>
      <c r="B602" s="36">
        <v>5276</v>
      </c>
      <c r="C602" s="37">
        <v>1029014</v>
      </c>
    </row>
    <row r="603" spans="1:3" x14ac:dyDescent="0.2">
      <c r="A603">
        <v>2023</v>
      </c>
      <c r="B603" s="36">
        <v>5281</v>
      </c>
      <c r="C603" s="37">
        <v>425314</v>
      </c>
    </row>
    <row r="604" spans="1:3" x14ac:dyDescent="0.2">
      <c r="A604">
        <v>2023</v>
      </c>
      <c r="B604" s="36">
        <v>5282</v>
      </c>
      <c r="C604" s="37">
        <v>389876</v>
      </c>
    </row>
    <row r="605" spans="1:3" x14ac:dyDescent="0.2">
      <c r="A605">
        <v>2023</v>
      </c>
      <c r="B605" s="36">
        <v>5301</v>
      </c>
      <c r="C605" s="37">
        <v>428968</v>
      </c>
    </row>
    <row r="606" spans="1:3" x14ac:dyDescent="0.2">
      <c r="A606">
        <v>2023</v>
      </c>
      <c r="B606" s="36">
        <v>5303</v>
      </c>
      <c r="C606" s="37">
        <v>244331</v>
      </c>
    </row>
    <row r="607" spans="1:3" x14ac:dyDescent="0.2">
      <c r="A607">
        <v>2023</v>
      </c>
      <c r="B607" s="36">
        <v>5305</v>
      </c>
      <c r="C607" s="37">
        <v>342685</v>
      </c>
    </row>
    <row r="608" spans="1:3" x14ac:dyDescent="0.2">
      <c r="A608">
        <v>2023</v>
      </c>
      <c r="B608" s="36">
        <v>5306</v>
      </c>
      <c r="C608" s="37">
        <v>522740</v>
      </c>
    </row>
    <row r="609" spans="1:3" x14ac:dyDescent="0.2">
      <c r="A609">
        <v>2023</v>
      </c>
      <c r="B609" s="36">
        <v>5307</v>
      </c>
      <c r="C609" s="37">
        <v>768179</v>
      </c>
    </row>
    <row r="610" spans="1:3" x14ac:dyDescent="0.2">
      <c r="A610">
        <v>2023</v>
      </c>
      <c r="B610" s="36">
        <v>5308</v>
      </c>
      <c r="C610" s="37">
        <v>505114</v>
      </c>
    </row>
    <row r="611" spans="1:3" x14ac:dyDescent="0.2">
      <c r="A611">
        <v>2023</v>
      </c>
      <c r="B611" s="36">
        <v>5309</v>
      </c>
      <c r="C611" s="37">
        <v>215327</v>
      </c>
    </row>
    <row r="612" spans="1:3" x14ac:dyDescent="0.2">
      <c r="A612">
        <v>2023</v>
      </c>
      <c r="B612" s="36">
        <v>5351</v>
      </c>
      <c r="C612" s="37">
        <v>3095179</v>
      </c>
    </row>
    <row r="613" spans="1:3" x14ac:dyDescent="0.2">
      <c r="A613">
        <v>2023</v>
      </c>
      <c r="B613" s="36">
        <v>5352</v>
      </c>
      <c r="C613" s="37">
        <v>40894</v>
      </c>
    </row>
    <row r="614" spans="1:3" x14ac:dyDescent="0.2">
      <c r="A614">
        <v>2023</v>
      </c>
      <c r="B614" s="36">
        <v>5353</v>
      </c>
      <c r="C614" s="37">
        <v>393660</v>
      </c>
    </row>
    <row r="615" spans="1:3" x14ac:dyDescent="0.2">
      <c r="A615">
        <v>2023</v>
      </c>
      <c r="B615" s="36">
        <v>5354</v>
      </c>
      <c r="C615" s="37">
        <v>972911</v>
      </c>
    </row>
    <row r="616" spans="1:3" x14ac:dyDescent="0.2">
      <c r="A616">
        <v>2023</v>
      </c>
      <c r="B616" s="36">
        <v>5355</v>
      </c>
      <c r="C616" s="37">
        <v>1977184</v>
      </c>
    </row>
    <row r="617" spans="1:3" x14ac:dyDescent="0.2">
      <c r="A617">
        <v>2023</v>
      </c>
      <c r="B617" s="36">
        <v>5356</v>
      </c>
      <c r="C617" s="37">
        <v>607527</v>
      </c>
    </row>
    <row r="618" spans="1:3" x14ac:dyDescent="0.2">
      <c r="A618">
        <v>2023</v>
      </c>
      <c r="B618" s="36">
        <v>5357</v>
      </c>
      <c r="C618" s="37">
        <v>2897512</v>
      </c>
    </row>
    <row r="619" spans="1:3" x14ac:dyDescent="0.2">
      <c r="A619">
        <v>2023</v>
      </c>
      <c r="B619" s="36">
        <v>5358</v>
      </c>
      <c r="C619" s="37">
        <v>6330943</v>
      </c>
    </row>
    <row r="620" spans="1:3" x14ac:dyDescent="0.2">
      <c r="A620">
        <v>2023</v>
      </c>
      <c r="B620" s="36">
        <v>5359</v>
      </c>
      <c r="C620" s="37">
        <v>498908</v>
      </c>
    </row>
    <row r="621" spans="1:3" x14ac:dyDescent="0.2">
      <c r="A621">
        <v>2023</v>
      </c>
      <c r="B621" s="36">
        <v>5360</v>
      </c>
      <c r="C621" s="37">
        <v>358810</v>
      </c>
    </row>
    <row r="622" spans="1:3" x14ac:dyDescent="0.2">
      <c r="A622">
        <v>2023</v>
      </c>
      <c r="B622" s="36">
        <v>5361</v>
      </c>
      <c r="C622" s="37">
        <v>2705128</v>
      </c>
    </row>
    <row r="623" spans="1:3" x14ac:dyDescent="0.2">
      <c r="A623">
        <v>2023</v>
      </c>
      <c r="B623" s="36">
        <v>5362</v>
      </c>
      <c r="C623" s="37">
        <v>328101</v>
      </c>
    </row>
    <row r="624" spans="1:3" x14ac:dyDescent="0.2">
      <c r="A624">
        <v>2023</v>
      </c>
      <c r="B624" s="36">
        <v>5363</v>
      </c>
      <c r="C624" s="37">
        <v>2527831</v>
      </c>
    </row>
    <row r="625" spans="1:3" x14ac:dyDescent="0.2">
      <c r="A625">
        <v>2023</v>
      </c>
      <c r="B625" s="36">
        <v>5364</v>
      </c>
      <c r="C625" s="37">
        <v>767273</v>
      </c>
    </row>
    <row r="626" spans="1:3" x14ac:dyDescent="0.2">
      <c r="A626">
        <v>2023</v>
      </c>
      <c r="B626" s="36">
        <v>5365</v>
      </c>
      <c r="C626" s="37">
        <v>27066</v>
      </c>
    </row>
    <row r="627" spans="1:3" x14ac:dyDescent="0.2">
      <c r="A627">
        <v>2023</v>
      </c>
      <c r="B627" s="36">
        <v>5367</v>
      </c>
      <c r="C627" s="37">
        <v>694819</v>
      </c>
    </row>
    <row r="628" spans="1:3" x14ac:dyDescent="0.2">
      <c r="A628">
        <v>2023</v>
      </c>
      <c r="B628" s="36">
        <v>5368</v>
      </c>
      <c r="C628" s="37">
        <v>565393</v>
      </c>
    </row>
    <row r="629" spans="1:3" x14ac:dyDescent="0.2">
      <c r="A629">
        <v>2023</v>
      </c>
      <c r="B629" s="36">
        <v>5369</v>
      </c>
      <c r="C629" s="37">
        <v>151578</v>
      </c>
    </row>
    <row r="630" spans="1:3" x14ac:dyDescent="0.2">
      <c r="A630">
        <v>2023</v>
      </c>
      <c r="B630" s="36">
        <v>5371</v>
      </c>
      <c r="C630" s="37">
        <v>169406</v>
      </c>
    </row>
    <row r="631" spans="1:3" x14ac:dyDescent="0.2">
      <c r="A631">
        <v>2023</v>
      </c>
      <c r="B631" s="36">
        <v>5372</v>
      </c>
      <c r="C631" s="37">
        <v>1350010</v>
      </c>
    </row>
    <row r="632" spans="1:3" x14ac:dyDescent="0.2">
      <c r="A632">
        <v>2023</v>
      </c>
      <c r="B632" s="36">
        <v>5375</v>
      </c>
      <c r="C632" s="37">
        <v>1690456</v>
      </c>
    </row>
    <row r="633" spans="1:3" x14ac:dyDescent="0.2">
      <c r="A633">
        <v>2023</v>
      </c>
      <c r="B633" s="36">
        <v>5376</v>
      </c>
      <c r="C633" s="37">
        <v>808024</v>
      </c>
    </row>
    <row r="634" spans="1:3" x14ac:dyDescent="0.2">
      <c r="A634">
        <v>2023</v>
      </c>
      <c r="B634" s="36">
        <v>5379</v>
      </c>
      <c r="C634" s="37">
        <v>28311</v>
      </c>
    </row>
    <row r="635" spans="1:3" x14ac:dyDescent="0.2">
      <c r="A635">
        <v>2023</v>
      </c>
      <c r="B635" s="36">
        <v>5380</v>
      </c>
      <c r="C635" s="37">
        <v>354438</v>
      </c>
    </row>
    <row r="636" spans="1:3" x14ac:dyDescent="0.2">
      <c r="A636">
        <v>2023</v>
      </c>
      <c r="B636" s="36">
        <v>5403</v>
      </c>
      <c r="C636" s="37">
        <v>4348099</v>
      </c>
    </row>
    <row r="637" spans="1:3" x14ac:dyDescent="0.2">
      <c r="A637">
        <v>2023</v>
      </c>
      <c r="B637" s="36">
        <v>5406</v>
      </c>
      <c r="C637" s="37">
        <v>1815291</v>
      </c>
    </row>
    <row r="638" spans="1:3" x14ac:dyDescent="0.2">
      <c r="A638">
        <v>2023</v>
      </c>
      <c r="B638" s="36">
        <v>5407</v>
      </c>
      <c r="C638" s="37">
        <v>2589027</v>
      </c>
    </row>
    <row r="639" spans="1:3" x14ac:dyDescent="0.2">
      <c r="A639">
        <v>2023</v>
      </c>
      <c r="B639" s="36">
        <v>5408</v>
      </c>
      <c r="C639" s="37">
        <v>2947037</v>
      </c>
    </row>
    <row r="640" spans="1:3" x14ac:dyDescent="0.2">
      <c r="A640">
        <v>2023</v>
      </c>
      <c r="B640" s="36">
        <v>5409</v>
      </c>
      <c r="C640" s="37">
        <v>3591031</v>
      </c>
    </row>
    <row r="641" spans="1:3" x14ac:dyDescent="0.2">
      <c r="A641">
        <v>2023</v>
      </c>
      <c r="B641" s="36">
        <v>5415</v>
      </c>
      <c r="C641" s="37">
        <v>1982530</v>
      </c>
    </row>
    <row r="642" spans="1:3" x14ac:dyDescent="0.2">
      <c r="A642">
        <v>2023</v>
      </c>
      <c r="B642" s="36">
        <v>5416</v>
      </c>
      <c r="C642" s="37">
        <v>826500</v>
      </c>
    </row>
    <row r="643" spans="1:3" x14ac:dyDescent="0.2">
      <c r="A643">
        <v>2023</v>
      </c>
      <c r="B643" s="36">
        <v>5418</v>
      </c>
      <c r="C643" s="37">
        <v>3681074</v>
      </c>
    </row>
    <row r="644" spans="1:3" x14ac:dyDescent="0.2">
      <c r="A644">
        <v>2023</v>
      </c>
      <c r="B644" s="36">
        <v>5420</v>
      </c>
      <c r="C644" s="38">
        <v>3436926</v>
      </c>
    </row>
    <row r="645" spans="1:3" x14ac:dyDescent="0.2">
      <c r="A645">
        <v>2023</v>
      </c>
      <c r="B645" s="36">
        <v>5427</v>
      </c>
      <c r="C645" s="37">
        <v>155932</v>
      </c>
    </row>
    <row r="646" spans="1:3" x14ac:dyDescent="0.2">
      <c r="A646">
        <v>2023</v>
      </c>
      <c r="B646" s="36">
        <v>5457</v>
      </c>
      <c r="C646" s="37">
        <v>2776949</v>
      </c>
    </row>
    <row r="647" spans="1:3" x14ac:dyDescent="0.2">
      <c r="A647">
        <v>2023</v>
      </c>
      <c r="B647" s="36">
        <v>5458</v>
      </c>
      <c r="C647" s="37">
        <v>2785777</v>
      </c>
    </row>
    <row r="648" spans="1:3" x14ac:dyDescent="0.2">
      <c r="A648">
        <v>2023</v>
      </c>
      <c r="B648" s="36">
        <v>5501</v>
      </c>
      <c r="C648" s="37">
        <v>1128298</v>
      </c>
    </row>
    <row r="649" spans="1:3" x14ac:dyDescent="0.2">
      <c r="A649">
        <v>2023</v>
      </c>
      <c r="B649" s="36">
        <v>5504</v>
      </c>
      <c r="C649" s="37">
        <v>1095834</v>
      </c>
    </row>
    <row r="650" spans="1:3" x14ac:dyDescent="0.2">
      <c r="A650">
        <v>2023</v>
      </c>
      <c r="B650" s="36">
        <v>5505</v>
      </c>
      <c r="C650" s="37">
        <v>389084</v>
      </c>
    </row>
    <row r="651" spans="1:3" x14ac:dyDescent="0.2">
      <c r="A651">
        <v>2023</v>
      </c>
      <c r="B651" s="36">
        <v>5506</v>
      </c>
      <c r="C651" s="37">
        <v>539870</v>
      </c>
    </row>
    <row r="652" spans="1:3" x14ac:dyDescent="0.2">
      <c r="A652">
        <v>2023</v>
      </c>
      <c r="B652" s="36">
        <v>5507</v>
      </c>
      <c r="C652" s="37">
        <v>658006</v>
      </c>
    </row>
    <row r="653" spans="1:3" x14ac:dyDescent="0.2">
      <c r="A653">
        <v>2023</v>
      </c>
      <c r="B653" s="36">
        <v>5527</v>
      </c>
      <c r="C653" s="37">
        <v>594570</v>
      </c>
    </row>
    <row r="654" spans="1:3" x14ac:dyDescent="0.2">
      <c r="A654">
        <v>2023</v>
      </c>
      <c r="B654" s="36">
        <v>5528</v>
      </c>
      <c r="C654" s="37">
        <v>719885</v>
      </c>
    </row>
    <row r="655" spans="1:3" x14ac:dyDescent="0.2">
      <c r="A655">
        <v>2023</v>
      </c>
      <c r="B655" s="36">
        <v>5530</v>
      </c>
      <c r="C655" s="37">
        <v>1017785</v>
      </c>
    </row>
    <row r="656" spans="1:3" x14ac:dyDescent="0.2">
      <c r="A656">
        <v>2023</v>
      </c>
      <c r="B656" s="36">
        <v>5533</v>
      </c>
      <c r="C656" s="37">
        <v>263849</v>
      </c>
    </row>
    <row r="657" spans="1:3" x14ac:dyDescent="0.2">
      <c r="A657">
        <v>2023</v>
      </c>
      <c r="B657" s="36">
        <v>5534</v>
      </c>
      <c r="C657" s="37">
        <v>730332</v>
      </c>
    </row>
    <row r="658" spans="1:3" x14ac:dyDescent="0.2">
      <c r="A658">
        <v>2023</v>
      </c>
      <c r="B658" s="36">
        <v>5535</v>
      </c>
      <c r="C658" s="37">
        <v>1241753</v>
      </c>
    </row>
    <row r="659" spans="1:3" x14ac:dyDescent="0.2">
      <c r="A659">
        <v>2023</v>
      </c>
      <c r="B659" s="36">
        <v>5541</v>
      </c>
      <c r="C659" s="37">
        <v>626261</v>
      </c>
    </row>
    <row r="660" spans="1:3" x14ac:dyDescent="0.2">
      <c r="A660">
        <v>2023</v>
      </c>
      <c r="B660" s="36">
        <v>5601</v>
      </c>
      <c r="C660" s="37">
        <v>1703922</v>
      </c>
    </row>
    <row r="661" spans="1:3" x14ac:dyDescent="0.2">
      <c r="A661">
        <v>2023</v>
      </c>
      <c r="B661" s="36">
        <v>5676</v>
      </c>
      <c r="C661" s="37">
        <v>434102</v>
      </c>
    </row>
    <row r="662" spans="1:3" x14ac:dyDescent="0.2">
      <c r="A662">
        <v>2023</v>
      </c>
      <c r="B662" s="36">
        <v>5677</v>
      </c>
      <c r="C662" s="37">
        <v>406571</v>
      </c>
    </row>
    <row r="663" spans="1:3" x14ac:dyDescent="0.2">
      <c r="A663">
        <v>2023</v>
      </c>
      <c r="B663" s="36">
        <v>5678</v>
      </c>
      <c r="C663" s="37">
        <v>438253</v>
      </c>
    </row>
    <row r="664" spans="1:3" x14ac:dyDescent="0.2">
      <c r="A664">
        <v>2023</v>
      </c>
      <c r="B664" s="36">
        <v>5679</v>
      </c>
      <c r="C664" s="37">
        <v>918483</v>
      </c>
    </row>
    <row r="665" spans="1:3" x14ac:dyDescent="0.2">
      <c r="A665">
        <v>2023</v>
      </c>
      <c r="B665" s="36">
        <v>5680</v>
      </c>
      <c r="C665" s="37">
        <v>840116</v>
      </c>
    </row>
    <row r="666" spans="1:3" x14ac:dyDescent="0.2">
      <c r="A666">
        <v>2023</v>
      </c>
      <c r="B666" s="36">
        <v>5681</v>
      </c>
      <c r="C666" s="37">
        <v>414435</v>
      </c>
    </row>
    <row r="667" spans="1:3" x14ac:dyDescent="0.2">
      <c r="A667">
        <v>2023</v>
      </c>
      <c r="B667" s="36">
        <v>5682</v>
      </c>
      <c r="C667" s="37">
        <v>566929</v>
      </c>
    </row>
    <row r="668" spans="1:3" x14ac:dyDescent="0.2">
      <c r="A668">
        <v>2023</v>
      </c>
      <c r="B668" s="36">
        <v>5683</v>
      </c>
      <c r="C668" s="37">
        <v>797838</v>
      </c>
    </row>
    <row r="669" spans="1:3" x14ac:dyDescent="0.2">
      <c r="A669">
        <v>2023</v>
      </c>
      <c r="B669" s="36">
        <v>5684</v>
      </c>
      <c r="C669" s="37">
        <v>325304</v>
      </c>
    </row>
    <row r="670" spans="1:3" x14ac:dyDescent="0.2">
      <c r="A670">
        <v>2023</v>
      </c>
      <c r="B670" s="36">
        <v>5685</v>
      </c>
      <c r="C670" s="37">
        <v>492100</v>
      </c>
    </row>
    <row r="671" spans="1:3" x14ac:dyDescent="0.2">
      <c r="A671">
        <v>2023</v>
      </c>
      <c r="B671" s="36">
        <v>5687</v>
      </c>
      <c r="C671" s="37">
        <v>873607</v>
      </c>
    </row>
    <row r="672" spans="1:3" x14ac:dyDescent="0.2">
      <c r="A672">
        <v>2023</v>
      </c>
      <c r="B672" s="36">
        <v>5688</v>
      </c>
      <c r="C672" s="37">
        <v>330104</v>
      </c>
    </row>
    <row r="673" spans="1:3" x14ac:dyDescent="0.2">
      <c r="A673">
        <v>2023</v>
      </c>
      <c r="B673" s="36">
        <v>5691</v>
      </c>
      <c r="C673" s="37">
        <v>131692</v>
      </c>
    </row>
    <row r="674" spans="1:3" x14ac:dyDescent="0.2">
      <c r="A674">
        <v>2023</v>
      </c>
      <c r="B674" s="36">
        <v>5692</v>
      </c>
      <c r="C674" s="37">
        <v>755321</v>
      </c>
    </row>
    <row r="675" spans="1:3" x14ac:dyDescent="0.2">
      <c r="A675">
        <v>2023</v>
      </c>
      <c r="B675" s="36">
        <v>5693</v>
      </c>
      <c r="C675" s="37">
        <v>238146</v>
      </c>
    </row>
    <row r="676" spans="1:3" x14ac:dyDescent="0.2">
      <c r="A676">
        <v>2023</v>
      </c>
      <c r="B676" s="36">
        <v>5694</v>
      </c>
      <c r="C676" s="37">
        <v>172968</v>
      </c>
    </row>
    <row r="677" spans="1:3" x14ac:dyDescent="0.2">
      <c r="A677">
        <v>2023</v>
      </c>
      <c r="B677" s="36">
        <v>5695</v>
      </c>
      <c r="C677" s="37">
        <v>186809</v>
      </c>
    </row>
    <row r="678" spans="1:3" x14ac:dyDescent="0.2">
      <c r="A678">
        <v>2023</v>
      </c>
      <c r="B678" s="36">
        <v>5801</v>
      </c>
      <c r="C678" s="37">
        <v>2733771</v>
      </c>
    </row>
    <row r="679" spans="1:3" x14ac:dyDescent="0.2">
      <c r="A679">
        <v>2023</v>
      </c>
      <c r="B679" s="36">
        <v>5806</v>
      </c>
      <c r="C679" s="37">
        <v>1566380</v>
      </c>
    </row>
    <row r="680" spans="1:3" x14ac:dyDescent="0.2">
      <c r="A680">
        <v>2023</v>
      </c>
      <c r="B680" s="36">
        <v>5807</v>
      </c>
      <c r="C680" s="37">
        <v>342044</v>
      </c>
    </row>
    <row r="681" spans="1:3" x14ac:dyDescent="0.2">
      <c r="A681">
        <v>2023</v>
      </c>
      <c r="B681" s="36">
        <v>5812</v>
      </c>
      <c r="C681" s="37">
        <v>681531</v>
      </c>
    </row>
    <row r="682" spans="1:3" x14ac:dyDescent="0.2">
      <c r="A682">
        <v>2023</v>
      </c>
      <c r="B682" s="36">
        <v>5813</v>
      </c>
      <c r="C682" s="37">
        <v>458728</v>
      </c>
    </row>
    <row r="683" spans="1:3" x14ac:dyDescent="0.2">
      <c r="A683">
        <v>2023</v>
      </c>
      <c r="B683" s="36">
        <v>5817</v>
      </c>
      <c r="C683" s="37">
        <v>2212293</v>
      </c>
    </row>
    <row r="684" spans="1:3" x14ac:dyDescent="0.2">
      <c r="A684">
        <v>2023</v>
      </c>
      <c r="B684" s="36">
        <v>5820</v>
      </c>
      <c r="C684" s="37">
        <v>690680</v>
      </c>
    </row>
    <row r="685" spans="1:3" x14ac:dyDescent="0.2">
      <c r="A685">
        <v>2023</v>
      </c>
      <c r="B685" s="36">
        <v>5821</v>
      </c>
      <c r="C685" s="37">
        <v>797065</v>
      </c>
    </row>
    <row r="686" spans="1:3" x14ac:dyDescent="0.2">
      <c r="A686">
        <v>2023</v>
      </c>
      <c r="B686" s="36">
        <v>5822</v>
      </c>
      <c r="C686" s="37">
        <v>1224031</v>
      </c>
    </row>
    <row r="687" spans="1:3" x14ac:dyDescent="0.2">
      <c r="A687">
        <v>2023</v>
      </c>
      <c r="B687" s="36">
        <v>5823</v>
      </c>
      <c r="C687" s="37">
        <v>306351</v>
      </c>
    </row>
    <row r="688" spans="1:3" x14ac:dyDescent="0.2">
      <c r="A688">
        <v>2023</v>
      </c>
      <c r="B688" s="36">
        <v>6001</v>
      </c>
      <c r="C688" s="37">
        <v>2468773</v>
      </c>
    </row>
    <row r="689" spans="1:3" x14ac:dyDescent="0.2">
      <c r="A689">
        <v>2023</v>
      </c>
      <c r="B689" s="36">
        <v>6005</v>
      </c>
      <c r="C689" s="37">
        <v>2586178</v>
      </c>
    </row>
    <row r="690" spans="1:3" x14ac:dyDescent="0.2">
      <c r="A690">
        <v>2023</v>
      </c>
      <c r="B690" s="36">
        <v>6008</v>
      </c>
      <c r="C690" s="38">
        <v>2151989</v>
      </c>
    </row>
    <row r="691" spans="1:3" x14ac:dyDescent="0.2">
      <c r="A691">
        <v>2023</v>
      </c>
      <c r="B691" s="36">
        <v>6011</v>
      </c>
      <c r="C691" s="37">
        <v>1135234</v>
      </c>
    </row>
    <row r="692" spans="1:3" x14ac:dyDescent="0.2">
      <c r="A692">
        <v>2023</v>
      </c>
      <c r="B692" s="36">
        <v>6018</v>
      </c>
      <c r="C692" s="37">
        <v>1107225</v>
      </c>
    </row>
    <row r="693" spans="1:3" x14ac:dyDescent="0.2">
      <c r="A693">
        <v>2023</v>
      </c>
      <c r="B693" s="36">
        <v>6022</v>
      </c>
      <c r="C693" s="37">
        <v>1034095</v>
      </c>
    </row>
    <row r="694" spans="1:3" x14ac:dyDescent="0.2">
      <c r="A694">
        <v>2023</v>
      </c>
      <c r="B694" s="36">
        <v>6026</v>
      </c>
      <c r="C694" s="37">
        <v>1868878</v>
      </c>
    </row>
    <row r="695" spans="1:3" x14ac:dyDescent="0.2">
      <c r="A695">
        <v>2023</v>
      </c>
      <c r="B695" s="36">
        <v>6027</v>
      </c>
      <c r="C695" s="37">
        <v>3264284</v>
      </c>
    </row>
    <row r="696" spans="1:3" x14ac:dyDescent="0.2">
      <c r="A696">
        <v>2023</v>
      </c>
      <c r="B696" s="36">
        <v>6028</v>
      </c>
      <c r="C696" s="37">
        <v>2537776</v>
      </c>
    </row>
    <row r="697" spans="1:3" x14ac:dyDescent="0.2">
      <c r="A697">
        <v>2023</v>
      </c>
      <c r="B697" s="36">
        <v>6036</v>
      </c>
      <c r="C697" s="37">
        <v>426861</v>
      </c>
    </row>
    <row r="698" spans="1:3" x14ac:dyDescent="0.2">
      <c r="A698">
        <v>2023</v>
      </c>
      <c r="B698" s="36">
        <v>6040</v>
      </c>
      <c r="C698" s="37">
        <v>701204</v>
      </c>
    </row>
    <row r="699" spans="1:3" x14ac:dyDescent="0.2">
      <c r="A699">
        <v>2023</v>
      </c>
      <c r="B699" s="36">
        <v>6041</v>
      </c>
      <c r="C699" s="37">
        <v>1083121</v>
      </c>
    </row>
    <row r="700" spans="1:3" x14ac:dyDescent="0.2">
      <c r="A700">
        <v>2023</v>
      </c>
      <c r="B700" s="36">
        <v>6042</v>
      </c>
      <c r="C700" s="37">
        <v>1040431</v>
      </c>
    </row>
    <row r="701" spans="1:3" x14ac:dyDescent="0.2">
      <c r="A701">
        <v>2023</v>
      </c>
      <c r="B701" s="36">
        <v>6044</v>
      </c>
      <c r="C701" s="37">
        <v>1539110</v>
      </c>
    </row>
    <row r="702" spans="1:3" x14ac:dyDescent="0.2">
      <c r="A702">
        <v>2023</v>
      </c>
      <c r="B702" s="36">
        <v>6048</v>
      </c>
      <c r="C702" s="37">
        <v>1246859</v>
      </c>
    </row>
    <row r="703" spans="1:3" x14ac:dyDescent="0.2">
      <c r="A703">
        <v>2023</v>
      </c>
      <c r="B703" s="36">
        <v>6050</v>
      </c>
      <c r="C703" s="37">
        <v>1831486</v>
      </c>
    </row>
    <row r="704" spans="1:3" x14ac:dyDescent="0.2">
      <c r="A704">
        <v>2023</v>
      </c>
      <c r="B704" s="36">
        <v>6051</v>
      </c>
      <c r="C704" s="37">
        <v>3541538</v>
      </c>
    </row>
    <row r="705" spans="1:3" x14ac:dyDescent="0.2">
      <c r="A705">
        <v>2023</v>
      </c>
      <c r="B705" s="36">
        <v>6052</v>
      </c>
      <c r="C705" s="37">
        <v>2229741</v>
      </c>
    </row>
    <row r="706" spans="1:3" x14ac:dyDescent="0.2">
      <c r="A706">
        <v>2023</v>
      </c>
      <c r="B706" s="36">
        <v>6056</v>
      </c>
      <c r="C706" s="37">
        <v>11220467</v>
      </c>
    </row>
    <row r="707" spans="1:3" x14ac:dyDescent="0.2">
      <c r="A707">
        <v>2023</v>
      </c>
      <c r="B707" s="36">
        <v>6057</v>
      </c>
      <c r="C707" s="37">
        <v>2334431</v>
      </c>
    </row>
    <row r="708" spans="1:3" x14ac:dyDescent="0.2">
      <c r="A708">
        <v>2023</v>
      </c>
      <c r="B708" s="36">
        <v>6061</v>
      </c>
      <c r="C708" s="37">
        <v>3758713</v>
      </c>
    </row>
    <row r="709" spans="1:3" x14ac:dyDescent="0.2">
      <c r="A709">
        <v>2023</v>
      </c>
      <c r="B709" s="36">
        <v>6065</v>
      </c>
      <c r="C709" s="37">
        <v>4365979</v>
      </c>
    </row>
    <row r="710" spans="1:3" x14ac:dyDescent="0.2">
      <c r="A710">
        <v>2023</v>
      </c>
      <c r="B710" s="36">
        <v>6067</v>
      </c>
      <c r="C710" s="37">
        <v>2087755</v>
      </c>
    </row>
    <row r="711" spans="1:3" x14ac:dyDescent="0.2">
      <c r="A711">
        <v>2023</v>
      </c>
      <c r="B711" s="36">
        <v>6068</v>
      </c>
      <c r="C711" s="37">
        <v>2009478</v>
      </c>
    </row>
    <row r="712" spans="1:3" x14ac:dyDescent="0.2">
      <c r="A712">
        <v>2023</v>
      </c>
      <c r="B712" s="36">
        <v>6074</v>
      </c>
      <c r="C712" s="37">
        <v>2566596</v>
      </c>
    </row>
    <row r="713" spans="1:3" x14ac:dyDescent="0.2">
      <c r="A713">
        <v>2023</v>
      </c>
      <c r="B713" s="36">
        <v>6075</v>
      </c>
      <c r="C713" s="37">
        <v>2139522</v>
      </c>
    </row>
    <row r="714" spans="1:3" x14ac:dyDescent="0.2">
      <c r="A714">
        <v>2023</v>
      </c>
      <c r="B714" s="36">
        <v>6078</v>
      </c>
      <c r="C714" s="37">
        <v>4718688</v>
      </c>
    </row>
    <row r="715" spans="1:3" x14ac:dyDescent="0.2">
      <c r="A715">
        <v>2023</v>
      </c>
      <c r="B715" s="36">
        <v>6079</v>
      </c>
      <c r="C715" s="37">
        <v>1759725</v>
      </c>
    </row>
    <row r="716" spans="1:3" x14ac:dyDescent="0.2">
      <c r="A716">
        <v>2023</v>
      </c>
      <c r="B716" s="36">
        <v>6091</v>
      </c>
      <c r="C716" s="37">
        <v>9838402</v>
      </c>
    </row>
    <row r="717" spans="1:3" x14ac:dyDescent="0.2">
      <c r="A717">
        <v>2023</v>
      </c>
      <c r="B717" s="36">
        <v>6093</v>
      </c>
      <c r="C717" s="37">
        <v>4804435</v>
      </c>
    </row>
    <row r="718" spans="1:3" x14ac:dyDescent="0.2">
      <c r="A718">
        <v>2023</v>
      </c>
      <c r="B718" s="36">
        <v>6094</v>
      </c>
      <c r="C718" s="37">
        <v>3265675</v>
      </c>
    </row>
    <row r="719" spans="1:3" x14ac:dyDescent="0.2">
      <c r="A719">
        <v>2023</v>
      </c>
      <c r="B719" s="36">
        <v>6095</v>
      </c>
      <c r="C719" s="37">
        <v>1012906</v>
      </c>
    </row>
    <row r="720" spans="1:3" x14ac:dyDescent="0.2">
      <c r="A720">
        <v>2023</v>
      </c>
      <c r="B720" s="36">
        <v>6097</v>
      </c>
      <c r="C720" s="37">
        <v>1061372</v>
      </c>
    </row>
    <row r="721" spans="1:3" x14ac:dyDescent="0.2">
      <c r="A721">
        <v>2023</v>
      </c>
      <c r="B721" s="36">
        <v>6099</v>
      </c>
      <c r="C721" s="37">
        <v>1784100</v>
      </c>
    </row>
    <row r="722" spans="1:3" x14ac:dyDescent="0.2">
      <c r="A722">
        <v>2023</v>
      </c>
      <c r="B722" s="36">
        <v>6104</v>
      </c>
      <c r="C722" s="37">
        <v>1808554</v>
      </c>
    </row>
    <row r="723" spans="1:3" x14ac:dyDescent="0.2">
      <c r="A723">
        <v>2023</v>
      </c>
      <c r="B723" s="36">
        <v>6105</v>
      </c>
      <c r="C723" s="37">
        <v>2876927</v>
      </c>
    </row>
    <row r="724" spans="1:3" x14ac:dyDescent="0.2">
      <c r="A724">
        <v>2023</v>
      </c>
      <c r="B724" s="36">
        <v>6109</v>
      </c>
      <c r="C724" s="37">
        <v>2744803</v>
      </c>
    </row>
    <row r="725" spans="1:3" x14ac:dyDescent="0.2">
      <c r="A725">
        <v>2023</v>
      </c>
      <c r="B725" s="36">
        <v>6507</v>
      </c>
      <c r="C725" s="37">
        <v>90528</v>
      </c>
    </row>
    <row r="726" spans="1:3" x14ac:dyDescent="0.2">
      <c r="A726">
        <v>2023</v>
      </c>
      <c r="B726" s="36">
        <v>6511</v>
      </c>
      <c r="C726" s="37">
        <v>46752</v>
      </c>
    </row>
    <row r="727" spans="1:3" x14ac:dyDescent="0.2">
      <c r="A727">
        <v>2023</v>
      </c>
      <c r="B727" s="36">
        <v>7000</v>
      </c>
      <c r="C727" s="37">
        <v>17475289</v>
      </c>
    </row>
    <row r="728" spans="1:3" x14ac:dyDescent="0.2">
      <c r="A728">
        <v>2023</v>
      </c>
      <c r="B728" s="36">
        <v>7500</v>
      </c>
      <c r="C728" s="37">
        <v>88997</v>
      </c>
    </row>
    <row r="729" spans="1:3" x14ac:dyDescent="0.2">
      <c r="A729">
        <v>2023</v>
      </c>
      <c r="B729" s="36">
        <v>7501</v>
      </c>
      <c r="C729" s="37">
        <v>207353</v>
      </c>
    </row>
    <row r="730" spans="1:3" x14ac:dyDescent="0.2">
      <c r="A730">
        <v>2023</v>
      </c>
      <c r="B730" s="36">
        <v>7502</v>
      </c>
      <c r="C730" s="37">
        <v>55175</v>
      </c>
    </row>
    <row r="731" spans="1:3" x14ac:dyDescent="0.2">
      <c r="A731">
        <v>2023</v>
      </c>
      <c r="B731" s="36">
        <v>8000</v>
      </c>
      <c r="C731" s="37">
        <v>1919289</v>
      </c>
    </row>
    <row r="732" spans="1:3" x14ac:dyDescent="0.2">
      <c r="A732">
        <v>2023</v>
      </c>
      <c r="B732" s="36">
        <v>8102</v>
      </c>
      <c r="C732" s="37">
        <v>357614</v>
      </c>
    </row>
    <row r="733" spans="1:3" x14ac:dyDescent="0.2">
      <c r="A733">
        <v>2023</v>
      </c>
      <c r="B733" s="36">
        <v>8105</v>
      </c>
      <c r="C733" s="37">
        <v>365973</v>
      </c>
    </row>
    <row r="734" spans="1:3" x14ac:dyDescent="0.2">
      <c r="A734">
        <v>2023</v>
      </c>
      <c r="B734" s="36">
        <v>8110</v>
      </c>
      <c r="C734" s="37">
        <v>770755</v>
      </c>
    </row>
    <row r="735" spans="1:3" x14ac:dyDescent="0.2">
      <c r="A735">
        <v>2023</v>
      </c>
      <c r="B735" s="36">
        <v>8112</v>
      </c>
      <c r="C735" s="37">
        <v>81356</v>
      </c>
    </row>
    <row r="736" spans="1:3" x14ac:dyDescent="0.2">
      <c r="A736">
        <v>2023</v>
      </c>
      <c r="B736" s="36">
        <v>8113</v>
      </c>
      <c r="C736" s="38">
        <v>203717</v>
      </c>
    </row>
    <row r="737" spans="1:3" x14ac:dyDescent="0.2">
      <c r="A737">
        <v>2023</v>
      </c>
      <c r="B737" s="36">
        <v>8115</v>
      </c>
      <c r="C737" s="37">
        <v>168003</v>
      </c>
    </row>
    <row r="738" spans="1:3" x14ac:dyDescent="0.2">
      <c r="A738">
        <v>2023</v>
      </c>
      <c r="B738" s="36">
        <v>8120</v>
      </c>
      <c r="C738" s="37">
        <v>746371</v>
      </c>
    </row>
    <row r="739" spans="1:3" x14ac:dyDescent="0.2">
      <c r="A739">
        <v>2023</v>
      </c>
      <c r="B739" s="36">
        <v>8124</v>
      </c>
      <c r="C739" s="37">
        <v>1525270</v>
      </c>
    </row>
    <row r="740" spans="1:3" x14ac:dyDescent="0.2">
      <c r="A740">
        <v>2023</v>
      </c>
      <c r="B740" s="36">
        <v>8129</v>
      </c>
      <c r="C740" s="37">
        <v>540495</v>
      </c>
    </row>
    <row r="741" spans="1:3" x14ac:dyDescent="0.2">
      <c r="A741">
        <v>2023</v>
      </c>
      <c r="B741" s="36">
        <v>8130</v>
      </c>
      <c r="C741" s="37">
        <v>2430823</v>
      </c>
    </row>
    <row r="742" spans="1:3" x14ac:dyDescent="0.2">
      <c r="A742">
        <v>2023</v>
      </c>
      <c r="B742" s="36">
        <v>8131</v>
      </c>
      <c r="C742" s="37">
        <v>269674</v>
      </c>
    </row>
    <row r="743" spans="1:3" x14ac:dyDescent="0.2">
      <c r="A743">
        <v>2023</v>
      </c>
      <c r="B743" s="36">
        <v>8133</v>
      </c>
      <c r="C743" s="37">
        <v>393763</v>
      </c>
    </row>
    <row r="744" spans="1:3" x14ac:dyDescent="0.2">
      <c r="A744">
        <v>2023</v>
      </c>
      <c r="B744" s="36">
        <v>8134</v>
      </c>
      <c r="C744" s="37">
        <v>149279</v>
      </c>
    </row>
    <row r="745" spans="1:3" x14ac:dyDescent="0.2">
      <c r="A745">
        <v>2023</v>
      </c>
      <c r="B745" s="36">
        <v>8135</v>
      </c>
      <c r="C745" s="37">
        <v>1144246</v>
      </c>
    </row>
    <row r="746" spans="1:3" x14ac:dyDescent="0.2">
      <c r="A746">
        <v>2023</v>
      </c>
      <c r="B746" s="36">
        <v>8140</v>
      </c>
      <c r="C746" s="37">
        <v>283395</v>
      </c>
    </row>
    <row r="747" spans="1:3" x14ac:dyDescent="0.2">
      <c r="A747">
        <v>2023</v>
      </c>
      <c r="B747" s="36">
        <v>8142</v>
      </c>
      <c r="C747" s="37">
        <v>359944</v>
      </c>
    </row>
    <row r="748" spans="1:3" x14ac:dyDescent="0.2">
      <c r="A748">
        <v>2023</v>
      </c>
      <c r="B748" s="36">
        <v>8145</v>
      </c>
      <c r="C748" s="37">
        <v>394569</v>
      </c>
    </row>
    <row r="749" spans="1:3" x14ac:dyDescent="0.2">
      <c r="A749">
        <v>2023</v>
      </c>
      <c r="B749" s="36">
        <v>8146</v>
      </c>
      <c r="C749" s="37">
        <v>960807</v>
      </c>
    </row>
    <row r="750" spans="1:3" x14ac:dyDescent="0.2">
      <c r="A750">
        <v>2023</v>
      </c>
      <c r="B750" s="36">
        <v>8149</v>
      </c>
      <c r="C750" s="37">
        <v>193900</v>
      </c>
    </row>
    <row r="751" spans="1:3" x14ac:dyDescent="0.2">
      <c r="A751">
        <v>2023</v>
      </c>
      <c r="B751" s="36">
        <v>8150</v>
      </c>
      <c r="C751" s="37">
        <v>2206685</v>
      </c>
    </row>
    <row r="752" spans="1:3" x14ac:dyDescent="0.2">
      <c r="A752">
        <v>2023</v>
      </c>
      <c r="B752" s="36">
        <v>8151</v>
      </c>
      <c r="C752" s="37">
        <v>906207</v>
      </c>
    </row>
    <row r="753" spans="1:3" x14ac:dyDescent="0.2">
      <c r="A753">
        <v>2023</v>
      </c>
      <c r="B753" s="36">
        <v>8153</v>
      </c>
      <c r="C753" s="37">
        <v>352235</v>
      </c>
    </row>
    <row r="754" spans="1:3" x14ac:dyDescent="0.2">
      <c r="A754">
        <v>2023</v>
      </c>
      <c r="B754" s="36">
        <v>8155</v>
      </c>
      <c r="C754" s="37">
        <v>715303</v>
      </c>
    </row>
    <row r="755" spans="1:3" x14ac:dyDescent="0.2">
      <c r="A755">
        <v>2023</v>
      </c>
      <c r="B755" s="36">
        <v>8160</v>
      </c>
      <c r="C755" s="37">
        <v>796771</v>
      </c>
    </row>
    <row r="756" spans="1:3" x14ac:dyDescent="0.2">
      <c r="A756">
        <v>2023</v>
      </c>
      <c r="B756" s="36">
        <v>8162</v>
      </c>
      <c r="C756" s="37">
        <v>175749</v>
      </c>
    </row>
    <row r="757" spans="1:3" x14ac:dyDescent="0.2">
      <c r="A757">
        <v>2023</v>
      </c>
      <c r="B757" s="36">
        <v>8166</v>
      </c>
      <c r="C757" s="37">
        <v>2970416</v>
      </c>
    </row>
    <row r="758" spans="1:3" x14ac:dyDescent="0.2">
      <c r="A758">
        <v>2023</v>
      </c>
      <c r="B758" s="36">
        <v>8167</v>
      </c>
      <c r="C758" s="37">
        <v>123303</v>
      </c>
    </row>
    <row r="759" spans="1:3" x14ac:dyDescent="0.2">
      <c r="A759">
        <v>2023</v>
      </c>
      <c r="B759" s="36">
        <v>8168</v>
      </c>
      <c r="C759" s="37">
        <v>210396</v>
      </c>
    </row>
    <row r="760" spans="1:3" x14ac:dyDescent="0.2">
      <c r="A760">
        <v>2023</v>
      </c>
      <c r="B760" s="36">
        <v>8169</v>
      </c>
      <c r="C760" s="37">
        <v>160195</v>
      </c>
    </row>
    <row r="761" spans="1:3" x14ac:dyDescent="0.2">
      <c r="A761">
        <v>2023</v>
      </c>
      <c r="B761" s="36">
        <v>8170</v>
      </c>
      <c r="C761" s="37">
        <v>1486528</v>
      </c>
    </row>
    <row r="762" spans="1:3" x14ac:dyDescent="0.2">
      <c r="A762">
        <v>2023</v>
      </c>
      <c r="B762" s="36">
        <v>8400</v>
      </c>
      <c r="C762" s="37">
        <v>522049</v>
      </c>
    </row>
    <row r="763" spans="1:3" x14ac:dyDescent="0.2">
      <c r="A763">
        <v>2023</v>
      </c>
      <c r="B763" s="36">
        <v>8402</v>
      </c>
      <c r="C763" s="37">
        <v>662662</v>
      </c>
    </row>
    <row r="764" spans="1:3" x14ac:dyDescent="0.2">
      <c r="A764">
        <v>2023</v>
      </c>
      <c r="B764" s="36">
        <v>8403</v>
      </c>
      <c r="C764" s="37">
        <v>385645</v>
      </c>
    </row>
    <row r="765" spans="1:3" x14ac:dyDescent="0.2">
      <c r="A765">
        <v>2023</v>
      </c>
      <c r="B765" s="36">
        <v>8406</v>
      </c>
      <c r="C765" s="37">
        <v>151919</v>
      </c>
    </row>
    <row r="766" spans="1:3" x14ac:dyDescent="0.2">
      <c r="A766">
        <v>2023</v>
      </c>
      <c r="B766" s="36">
        <v>8407</v>
      </c>
      <c r="C766" s="37">
        <v>1585479</v>
      </c>
    </row>
    <row r="767" spans="1:3" x14ac:dyDescent="0.2">
      <c r="A767">
        <v>2023</v>
      </c>
      <c r="B767" s="36">
        <v>8409</v>
      </c>
      <c r="C767" s="37">
        <v>878149</v>
      </c>
    </row>
    <row r="768" spans="1:3" x14ac:dyDescent="0.2">
      <c r="A768">
        <v>2023</v>
      </c>
      <c r="B768" s="36">
        <v>8410</v>
      </c>
      <c r="C768" s="37">
        <v>581861</v>
      </c>
    </row>
    <row r="769" spans="1:3" x14ac:dyDescent="0.2">
      <c r="A769">
        <v>2023</v>
      </c>
      <c r="B769" s="36">
        <v>8412</v>
      </c>
      <c r="C769" s="37">
        <v>654310</v>
      </c>
    </row>
    <row r="770" spans="1:3" x14ac:dyDescent="0.2">
      <c r="A770">
        <v>2023</v>
      </c>
      <c r="B770" s="36">
        <v>8415</v>
      </c>
      <c r="C770" s="37">
        <v>692126</v>
      </c>
    </row>
    <row r="771" spans="1:3" x14ac:dyDescent="0.2">
      <c r="A771">
        <v>2023</v>
      </c>
      <c r="B771" s="36">
        <v>8416</v>
      </c>
      <c r="C771" s="37">
        <v>245408</v>
      </c>
    </row>
    <row r="772" spans="1:3" x14ac:dyDescent="0.2">
      <c r="A772">
        <v>2023</v>
      </c>
      <c r="B772" s="36">
        <v>8419</v>
      </c>
      <c r="C772" s="37">
        <v>997311</v>
      </c>
    </row>
    <row r="773" spans="1:3" x14ac:dyDescent="0.2">
      <c r="A773">
        <v>2023</v>
      </c>
      <c r="B773" s="36">
        <v>8420</v>
      </c>
      <c r="C773" s="37">
        <v>450533</v>
      </c>
    </row>
    <row r="774" spans="1:3" x14ac:dyDescent="0.2">
      <c r="A774">
        <v>2023</v>
      </c>
      <c r="B774" s="36">
        <v>8421</v>
      </c>
      <c r="C774" s="37">
        <v>357254</v>
      </c>
    </row>
    <row r="775" spans="1:3" x14ac:dyDescent="0.2">
      <c r="A775">
        <v>2023</v>
      </c>
      <c r="B775" s="36">
        <v>8423</v>
      </c>
      <c r="C775" s="37">
        <v>185813</v>
      </c>
    </row>
    <row r="776" spans="1:3" x14ac:dyDescent="0.2">
      <c r="A776">
        <v>2023</v>
      </c>
      <c r="B776" s="36">
        <v>8424</v>
      </c>
      <c r="C776" s="37">
        <v>152026</v>
      </c>
    </row>
    <row r="777" spans="1:3" x14ac:dyDescent="0.2">
      <c r="A777">
        <v>2023</v>
      </c>
      <c r="B777" s="36">
        <v>8425</v>
      </c>
      <c r="C777" s="37">
        <v>606609</v>
      </c>
    </row>
    <row r="778" spans="1:3" x14ac:dyDescent="0.2">
      <c r="A778">
        <v>2023</v>
      </c>
      <c r="B778" s="36">
        <v>8427</v>
      </c>
      <c r="C778" s="37">
        <v>71828</v>
      </c>
    </row>
    <row r="779" spans="1:3" x14ac:dyDescent="0.2">
      <c r="A779">
        <v>2023</v>
      </c>
      <c r="B779" s="36">
        <v>8428</v>
      </c>
      <c r="C779" s="37">
        <v>812085</v>
      </c>
    </row>
    <row r="780" spans="1:3" x14ac:dyDescent="0.2">
      <c r="A780">
        <v>2023</v>
      </c>
      <c r="B780" s="36">
        <v>8429</v>
      </c>
      <c r="C780" s="37">
        <v>233975</v>
      </c>
    </row>
    <row r="781" spans="1:3" x14ac:dyDescent="0.2">
      <c r="A781">
        <v>2023</v>
      </c>
      <c r="B781" s="36">
        <v>8430</v>
      </c>
      <c r="C781" s="37">
        <v>358056</v>
      </c>
    </row>
    <row r="782" spans="1:3" x14ac:dyDescent="0.2">
      <c r="A782">
        <v>2023</v>
      </c>
      <c r="B782" s="36">
        <v>8431</v>
      </c>
      <c r="C782" s="38">
        <v>492244</v>
      </c>
    </row>
    <row r="783" spans="1:3" x14ac:dyDescent="0.2">
      <c r="A783">
        <v>2023</v>
      </c>
      <c r="B783" s="36">
        <v>8432</v>
      </c>
      <c r="C783" s="37">
        <v>254141</v>
      </c>
    </row>
    <row r="784" spans="1:3" x14ac:dyDescent="0.2">
      <c r="A784">
        <v>2023</v>
      </c>
      <c r="B784" s="36">
        <v>8433</v>
      </c>
      <c r="C784" s="37">
        <v>227055</v>
      </c>
    </row>
    <row r="785" spans="1:3" x14ac:dyDescent="0.2">
      <c r="A785">
        <v>2023</v>
      </c>
      <c r="B785" s="36">
        <v>8434</v>
      </c>
      <c r="C785" s="37">
        <v>508006</v>
      </c>
    </row>
    <row r="786" spans="1:3" x14ac:dyDescent="0.2">
      <c r="A786">
        <v>2023</v>
      </c>
      <c r="B786" s="36">
        <v>8435</v>
      </c>
      <c r="C786" s="37">
        <v>403402</v>
      </c>
    </row>
    <row r="787" spans="1:3" x14ac:dyDescent="0.2">
      <c r="A787">
        <v>2023</v>
      </c>
      <c r="B787" s="36">
        <v>8436</v>
      </c>
      <c r="C787" s="37">
        <v>626638</v>
      </c>
    </row>
    <row r="788" spans="1:3" x14ac:dyDescent="0.2">
      <c r="A788">
        <v>2023</v>
      </c>
      <c r="B788" s="36">
        <v>8437</v>
      </c>
      <c r="C788" s="37">
        <v>241644</v>
      </c>
    </row>
    <row r="789" spans="1:3" x14ac:dyDescent="0.2">
      <c r="A789">
        <v>2023</v>
      </c>
      <c r="B789" s="36">
        <v>8438</v>
      </c>
      <c r="C789" s="37">
        <v>26660</v>
      </c>
    </row>
    <row r="790" spans="1:3" x14ac:dyDescent="0.2">
      <c r="A790">
        <v>2023</v>
      </c>
      <c r="B790" s="36">
        <v>8439</v>
      </c>
      <c r="C790" s="37">
        <v>378331</v>
      </c>
    </row>
    <row r="791" spans="1:3" x14ac:dyDescent="0.2">
      <c r="A791">
        <v>2023</v>
      </c>
      <c r="B791" s="36">
        <v>8440</v>
      </c>
      <c r="C791" s="37">
        <v>186262</v>
      </c>
    </row>
    <row r="792" spans="1:3" x14ac:dyDescent="0.2">
      <c r="A792">
        <v>2023</v>
      </c>
      <c r="B792" s="36">
        <v>8441</v>
      </c>
      <c r="C792" s="37">
        <v>209652</v>
      </c>
    </row>
    <row r="793" spans="1:3" x14ac:dyDescent="0.2">
      <c r="A793">
        <v>2023</v>
      </c>
      <c r="B793" s="36">
        <v>8442</v>
      </c>
      <c r="C793" s="37">
        <v>99264</v>
      </c>
    </row>
    <row r="794" spans="1:3" x14ac:dyDescent="0.2">
      <c r="A794">
        <v>2023</v>
      </c>
      <c r="B794" s="36">
        <v>8443</v>
      </c>
      <c r="C794" s="37">
        <v>75255</v>
      </c>
    </row>
    <row r="795" spans="1:3" x14ac:dyDescent="0.2">
      <c r="B795"/>
    </row>
    <row r="796" spans="1:3" x14ac:dyDescent="0.2">
      <c r="B796" s="10" t="s">
        <v>3</v>
      </c>
      <c r="C796" s="50">
        <f>SUM(C2:C794)</f>
        <v>1900473516</v>
      </c>
    </row>
    <row r="797" spans="1:3" x14ac:dyDescent="0.2">
      <c r="B797" s="10"/>
    </row>
    <row r="798" spans="1:3" x14ac:dyDescent="0.2">
      <c r="B798" s="10" t="s">
        <v>2</v>
      </c>
      <c r="C798" s="20">
        <v>1900473507</v>
      </c>
    </row>
    <row r="799" spans="1:3" x14ac:dyDescent="0.2">
      <c r="B799" s="10"/>
    </row>
    <row r="800" spans="1:3" x14ac:dyDescent="0.2">
      <c r="B800" s="19" t="s">
        <v>4</v>
      </c>
      <c r="C800" s="51">
        <f>C796-C798</f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9DE0-98E2-4F4A-9812-DDDBD0031B79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ACA4-B6B1-224F-B1A8-DFA93996F97E}">
  <sheetPr>
    <tabColor rgb="FFFFFF00"/>
  </sheetPr>
  <dimension ref="A1:C874"/>
  <sheetViews>
    <sheetView topLeftCell="A291" workbookViewId="0">
      <selection activeCell="C315" sqref="C315"/>
    </sheetView>
  </sheetViews>
  <sheetFormatPr baseColWidth="10" defaultColWidth="10.33203125" defaultRowHeight="16" x14ac:dyDescent="0.25"/>
  <cols>
    <col min="1" max="1" width="20.33203125" style="94" customWidth="1"/>
    <col min="2" max="2" width="58.83203125" style="83" bestFit="1" customWidth="1"/>
    <col min="3" max="3" width="14.33203125" style="83" customWidth="1"/>
    <col min="4" max="16384" width="10.33203125" style="83"/>
  </cols>
  <sheetData>
    <row r="1" spans="1:3" ht="17" thickBot="1" x14ac:dyDescent="0.3">
      <c r="A1" s="88" t="s">
        <v>845</v>
      </c>
      <c r="B1" s="87"/>
    </row>
    <row r="2" spans="1:3" s="85" customFormat="1" ht="18" thickTop="1" thickBot="1" x14ac:dyDescent="0.3">
      <c r="A2" s="92" t="s">
        <v>844</v>
      </c>
      <c r="B2" s="86" t="s">
        <v>843</v>
      </c>
      <c r="C2" s="83" t="s">
        <v>842</v>
      </c>
    </row>
    <row r="3" spans="1:3" ht="17" thickTop="1" x14ac:dyDescent="0.25">
      <c r="A3" s="93">
        <v>4027</v>
      </c>
      <c r="B3" s="84" t="s">
        <v>841</v>
      </c>
      <c r="C3" s="83">
        <v>3600001</v>
      </c>
    </row>
    <row r="4" spans="1:3" x14ac:dyDescent="0.25">
      <c r="A4" s="93">
        <v>4437</v>
      </c>
      <c r="B4" s="84" t="s">
        <v>840</v>
      </c>
      <c r="C4" s="83">
        <v>3600002</v>
      </c>
    </row>
    <row r="5" spans="1:3" x14ac:dyDescent="0.25">
      <c r="A5" s="93">
        <v>4979</v>
      </c>
      <c r="B5" s="84" t="s">
        <v>839</v>
      </c>
      <c r="C5" s="83">
        <v>3600003</v>
      </c>
    </row>
    <row r="6" spans="1:3" x14ac:dyDescent="0.25">
      <c r="A6" s="93">
        <v>2381</v>
      </c>
      <c r="B6" s="84" t="s">
        <v>838</v>
      </c>
      <c r="C6" s="83">
        <v>3600004</v>
      </c>
    </row>
    <row r="7" spans="1:3" x14ac:dyDescent="0.25">
      <c r="A7" s="93">
        <v>4009</v>
      </c>
      <c r="B7" s="84" t="s">
        <v>837</v>
      </c>
      <c r="C7" s="83">
        <v>3600005</v>
      </c>
    </row>
    <row r="8" spans="1:3" x14ac:dyDescent="0.25">
      <c r="A8" s="93">
        <v>3991</v>
      </c>
      <c r="B8" s="84" t="s">
        <v>836</v>
      </c>
      <c r="C8" s="83">
        <v>3600006</v>
      </c>
    </row>
    <row r="9" spans="1:3" x14ac:dyDescent="0.25">
      <c r="A9" s="93">
        <v>5282</v>
      </c>
      <c r="B9" s="84" t="s">
        <v>835</v>
      </c>
      <c r="C9" s="83">
        <v>3600007</v>
      </c>
    </row>
    <row r="10" spans="1:3" x14ac:dyDescent="0.25">
      <c r="A10" s="93">
        <v>2563</v>
      </c>
      <c r="B10" s="84" t="s">
        <v>834</v>
      </c>
      <c r="C10" s="83">
        <v>3600008</v>
      </c>
    </row>
    <row r="11" spans="1:3" x14ac:dyDescent="0.25">
      <c r="A11" s="93">
        <v>2514</v>
      </c>
      <c r="B11" s="84" t="s">
        <v>833</v>
      </c>
      <c r="C11" s="83">
        <v>3600009</v>
      </c>
    </row>
    <row r="12" spans="1:3" x14ac:dyDescent="0.25">
      <c r="A12" s="93">
        <v>2081</v>
      </c>
      <c r="B12" s="84" t="s">
        <v>832</v>
      </c>
      <c r="C12" s="83">
        <v>3600010</v>
      </c>
    </row>
    <row r="13" spans="1:3" x14ac:dyDescent="0.25">
      <c r="A13" s="93">
        <v>4180</v>
      </c>
      <c r="B13" s="84" t="s">
        <v>831</v>
      </c>
      <c r="C13" s="83">
        <v>3600011</v>
      </c>
    </row>
    <row r="14" spans="1:3" x14ac:dyDescent="0.25">
      <c r="A14" s="93">
        <v>3082</v>
      </c>
      <c r="B14" s="84" t="s">
        <v>830</v>
      </c>
      <c r="C14" s="83">
        <v>3600012</v>
      </c>
    </row>
    <row r="15" spans="1:3" x14ac:dyDescent="0.25">
      <c r="A15" s="93">
        <v>1195</v>
      </c>
      <c r="B15" s="84" t="s">
        <v>829</v>
      </c>
      <c r="C15" s="83">
        <v>3600013</v>
      </c>
    </row>
    <row r="16" spans="1:3" x14ac:dyDescent="0.25">
      <c r="A16" s="93">
        <v>2625</v>
      </c>
      <c r="B16" s="84" t="s">
        <v>828</v>
      </c>
      <c r="C16" s="83">
        <v>3600014</v>
      </c>
    </row>
    <row r="17" spans="1:3" x14ac:dyDescent="0.25">
      <c r="A17" s="93">
        <v>3226</v>
      </c>
      <c r="B17" s="84" t="s">
        <v>827</v>
      </c>
      <c r="C17" s="83">
        <v>3600015</v>
      </c>
    </row>
    <row r="18" spans="1:3" x14ac:dyDescent="0.25">
      <c r="A18" s="93">
        <v>2015</v>
      </c>
      <c r="B18" s="84" t="s">
        <v>826</v>
      </c>
      <c r="C18" s="83">
        <v>3600016</v>
      </c>
    </row>
    <row r="19" spans="1:3" x14ac:dyDescent="0.25">
      <c r="A19" s="93">
        <v>3303</v>
      </c>
      <c r="B19" s="84" t="s">
        <v>825</v>
      </c>
      <c r="C19" s="83">
        <v>3600018</v>
      </c>
    </row>
    <row r="20" spans="1:3" x14ac:dyDescent="0.25">
      <c r="A20" s="93">
        <v>3589</v>
      </c>
      <c r="B20" s="84" t="s">
        <v>824</v>
      </c>
      <c r="C20" s="83">
        <v>3600019</v>
      </c>
    </row>
    <row r="21" spans="1:3" x14ac:dyDescent="0.25">
      <c r="A21" s="93">
        <v>5307</v>
      </c>
      <c r="B21" s="84" t="s">
        <v>823</v>
      </c>
      <c r="C21" s="83">
        <v>3600020</v>
      </c>
    </row>
    <row r="22" spans="1:3" x14ac:dyDescent="0.25">
      <c r="A22" s="93">
        <v>5375</v>
      </c>
      <c r="B22" s="84" t="s">
        <v>822</v>
      </c>
      <c r="C22" s="83">
        <v>3600021</v>
      </c>
    </row>
    <row r="23" spans="1:3" x14ac:dyDescent="0.25">
      <c r="A23" s="93">
        <v>5501</v>
      </c>
      <c r="B23" s="84" t="s">
        <v>821</v>
      </c>
      <c r="C23" s="83">
        <v>3600023</v>
      </c>
    </row>
    <row r="24" spans="1:3" x14ac:dyDescent="0.25">
      <c r="A24" s="93">
        <v>3206</v>
      </c>
      <c r="B24" s="84" t="s">
        <v>820</v>
      </c>
      <c r="C24" s="83">
        <v>3600024</v>
      </c>
    </row>
    <row r="25" spans="1:3" x14ac:dyDescent="0.25">
      <c r="A25" s="93">
        <v>8407</v>
      </c>
      <c r="B25" s="84" t="s">
        <v>819</v>
      </c>
      <c r="C25" s="83">
        <v>3600025</v>
      </c>
    </row>
    <row r="26" spans="1:3" x14ac:dyDescent="0.25">
      <c r="A26" s="93">
        <v>8402</v>
      </c>
      <c r="B26" s="84" t="s">
        <v>818</v>
      </c>
      <c r="C26" s="83">
        <v>3600026</v>
      </c>
    </row>
    <row r="27" spans="1:3" x14ac:dyDescent="0.25">
      <c r="A27" s="94">
        <v>8443</v>
      </c>
      <c r="B27" s="84" t="s">
        <v>817</v>
      </c>
      <c r="C27" s="83">
        <v>3600029</v>
      </c>
    </row>
    <row r="28" spans="1:3" x14ac:dyDescent="0.25">
      <c r="A28" s="93">
        <v>8403</v>
      </c>
      <c r="B28" s="84" t="s">
        <v>816</v>
      </c>
      <c r="C28" s="83">
        <v>3600035</v>
      </c>
    </row>
    <row r="29" spans="1:3" x14ac:dyDescent="0.25">
      <c r="A29" s="93">
        <v>8400</v>
      </c>
      <c r="B29" s="84" t="s">
        <v>815</v>
      </c>
      <c r="C29" s="83">
        <v>3600036</v>
      </c>
    </row>
    <row r="30" spans="1:3" x14ac:dyDescent="0.25">
      <c r="A30" s="93">
        <v>8409</v>
      </c>
      <c r="B30" s="84" t="s">
        <v>814</v>
      </c>
      <c r="C30" s="83">
        <v>3600038</v>
      </c>
    </row>
    <row r="31" spans="1:3" x14ac:dyDescent="0.25">
      <c r="A31" s="93">
        <v>8410</v>
      </c>
      <c r="B31" s="84" t="s">
        <v>848</v>
      </c>
      <c r="C31" s="83">
        <v>3600060</v>
      </c>
    </row>
    <row r="32" spans="1:3" x14ac:dyDescent="0.25">
      <c r="A32" s="93">
        <v>8412</v>
      </c>
      <c r="B32" s="84" t="s">
        <v>813</v>
      </c>
      <c r="C32" s="83">
        <v>3600067</v>
      </c>
    </row>
    <row r="33" spans="1:3" x14ac:dyDescent="0.25">
      <c r="A33" s="93">
        <v>8416</v>
      </c>
      <c r="B33" s="84" t="s">
        <v>812</v>
      </c>
      <c r="C33" s="83">
        <v>3600073</v>
      </c>
    </row>
    <row r="34" spans="1:3" x14ac:dyDescent="0.25">
      <c r="A34" s="93">
        <v>8415</v>
      </c>
      <c r="B34" s="84" t="s">
        <v>811</v>
      </c>
      <c r="C34" s="83">
        <v>3600104</v>
      </c>
    </row>
    <row r="35" spans="1:3" x14ac:dyDescent="0.25">
      <c r="A35" s="93">
        <v>8419</v>
      </c>
      <c r="B35" s="84" t="s">
        <v>810</v>
      </c>
      <c r="C35" s="83">
        <v>3600105</v>
      </c>
    </row>
    <row r="36" spans="1:3" x14ac:dyDescent="0.25">
      <c r="A36" s="93">
        <v>8421</v>
      </c>
      <c r="B36" s="84" t="s">
        <v>809</v>
      </c>
      <c r="C36" s="83">
        <v>3600106</v>
      </c>
    </row>
    <row r="37" spans="1:3" x14ac:dyDescent="0.25">
      <c r="A37" s="93">
        <v>8420</v>
      </c>
      <c r="B37" s="84" t="s">
        <v>808</v>
      </c>
      <c r="C37" s="83">
        <v>3600107</v>
      </c>
    </row>
    <row r="38" spans="1:3" x14ac:dyDescent="0.25">
      <c r="A38" s="93">
        <v>2082</v>
      </c>
      <c r="B38" s="84" t="s">
        <v>807</v>
      </c>
      <c r="C38" s="83">
        <v>3600124</v>
      </c>
    </row>
    <row r="39" spans="1:3" x14ac:dyDescent="0.25">
      <c r="A39" s="93">
        <v>2146</v>
      </c>
      <c r="B39" s="84" t="s">
        <v>806</v>
      </c>
      <c r="C39" s="83">
        <v>3600125</v>
      </c>
    </row>
    <row r="40" spans="1:3" x14ac:dyDescent="0.25">
      <c r="A40" s="93">
        <v>8251</v>
      </c>
      <c r="B40" s="84" t="s">
        <v>805</v>
      </c>
      <c r="C40" s="83">
        <v>3600154</v>
      </c>
    </row>
    <row r="41" spans="1:3" x14ac:dyDescent="0.25">
      <c r="A41" s="93">
        <v>8428</v>
      </c>
      <c r="B41" s="84" t="s">
        <v>804</v>
      </c>
      <c r="C41" s="83">
        <v>3600155</v>
      </c>
    </row>
    <row r="42" spans="1:3" x14ac:dyDescent="0.25">
      <c r="A42" s="93">
        <v>8436</v>
      </c>
      <c r="B42" s="84" t="s">
        <v>803</v>
      </c>
      <c r="C42" s="83">
        <v>3600160</v>
      </c>
    </row>
    <row r="43" spans="1:3" x14ac:dyDescent="0.25">
      <c r="A43" s="93">
        <v>8423</v>
      </c>
      <c r="B43" s="84" t="s">
        <v>802</v>
      </c>
      <c r="C43" s="83">
        <v>3600164</v>
      </c>
    </row>
    <row r="44" spans="1:3" x14ac:dyDescent="0.25">
      <c r="A44" s="93">
        <v>8425</v>
      </c>
      <c r="B44" s="84" t="s">
        <v>801</v>
      </c>
      <c r="C44" s="83">
        <v>3600950</v>
      </c>
    </row>
    <row r="45" spans="1:3" x14ac:dyDescent="0.25">
      <c r="A45" s="94">
        <v>8444</v>
      </c>
      <c r="B45" s="84" t="s">
        <v>800</v>
      </c>
      <c r="C45" s="83">
        <v>3600950</v>
      </c>
    </row>
    <row r="46" spans="1:3" x14ac:dyDescent="0.25">
      <c r="A46" s="94">
        <v>8439</v>
      </c>
      <c r="B46" s="84" t="s">
        <v>799</v>
      </c>
      <c r="C46" s="83">
        <v>3600963</v>
      </c>
    </row>
    <row r="47" spans="1:3" x14ac:dyDescent="0.25">
      <c r="A47" s="93">
        <v>8426</v>
      </c>
      <c r="B47" s="84" t="s">
        <v>798</v>
      </c>
      <c r="C47" s="83">
        <v>3600970</v>
      </c>
    </row>
    <row r="48" spans="1:3" x14ac:dyDescent="0.25">
      <c r="A48" s="93">
        <v>8427</v>
      </c>
      <c r="B48" s="84" t="s">
        <v>797</v>
      </c>
      <c r="C48" s="83">
        <v>3600990</v>
      </c>
    </row>
    <row r="49" spans="1:3" x14ac:dyDescent="0.25">
      <c r="A49" s="93">
        <v>2425</v>
      </c>
      <c r="B49" s="84" t="s">
        <v>796</v>
      </c>
      <c r="C49" s="83">
        <v>3601032</v>
      </c>
    </row>
    <row r="50" spans="1:3" x14ac:dyDescent="0.25">
      <c r="A50" s="93">
        <v>8110</v>
      </c>
      <c r="B50" s="84" t="s">
        <v>795</v>
      </c>
      <c r="C50" s="83">
        <v>3601043</v>
      </c>
    </row>
    <row r="51" spans="1:3" x14ac:dyDescent="0.25">
      <c r="A51" s="93">
        <v>8429</v>
      </c>
      <c r="B51" s="84" t="s">
        <v>794</v>
      </c>
      <c r="C51" s="83">
        <v>3601046</v>
      </c>
    </row>
    <row r="52" spans="1:3" x14ac:dyDescent="0.25">
      <c r="A52" s="93">
        <v>8430</v>
      </c>
      <c r="B52" s="84" t="s">
        <v>793</v>
      </c>
      <c r="C52" s="83">
        <v>3601055</v>
      </c>
    </row>
    <row r="53" spans="1:3" x14ac:dyDescent="0.25">
      <c r="A53" s="93">
        <v>8432</v>
      </c>
      <c r="B53" s="84" t="s">
        <v>792</v>
      </c>
      <c r="C53" s="83">
        <v>3601080</v>
      </c>
    </row>
    <row r="54" spans="1:3" x14ac:dyDescent="0.25">
      <c r="A54" s="93">
        <v>8431</v>
      </c>
      <c r="B54" s="84" t="s">
        <v>791</v>
      </c>
      <c r="C54" s="83">
        <v>3601084</v>
      </c>
    </row>
    <row r="55" spans="1:3" x14ac:dyDescent="0.25">
      <c r="A55" s="93">
        <v>2268</v>
      </c>
      <c r="B55" s="84" t="s">
        <v>790</v>
      </c>
      <c r="C55" s="83">
        <v>3601087</v>
      </c>
    </row>
    <row r="56" spans="1:3" x14ac:dyDescent="0.25">
      <c r="A56" s="93">
        <v>2265</v>
      </c>
      <c r="B56" s="84" t="s">
        <v>789</v>
      </c>
      <c r="C56" s="83">
        <v>3601087</v>
      </c>
    </row>
    <row r="57" spans="1:3" x14ac:dyDescent="0.25">
      <c r="A57" s="93">
        <v>5309</v>
      </c>
      <c r="B57" s="84" t="s">
        <v>788</v>
      </c>
      <c r="C57" s="83">
        <v>3601102</v>
      </c>
    </row>
    <row r="58" spans="1:3" x14ac:dyDescent="0.25">
      <c r="A58" s="93">
        <v>4032</v>
      </c>
      <c r="B58" s="84" t="s">
        <v>787</v>
      </c>
      <c r="C58" s="83">
        <v>3601107</v>
      </c>
    </row>
    <row r="59" spans="1:3" x14ac:dyDescent="0.25">
      <c r="A59" s="93">
        <v>4023</v>
      </c>
      <c r="B59" s="84" t="s">
        <v>786</v>
      </c>
      <c r="C59" s="83">
        <v>3601107</v>
      </c>
    </row>
    <row r="60" spans="1:3" x14ac:dyDescent="0.25">
      <c r="A60" s="93">
        <v>8437</v>
      </c>
      <c r="B60" s="84" t="s">
        <v>785</v>
      </c>
      <c r="C60" s="83">
        <v>3601128</v>
      </c>
    </row>
    <row r="61" spans="1:3" x14ac:dyDescent="0.25">
      <c r="A61" s="93">
        <v>2505</v>
      </c>
      <c r="B61" s="84" t="s">
        <v>784</v>
      </c>
      <c r="C61" s="83">
        <v>3601129</v>
      </c>
    </row>
    <row r="62" spans="1:3" x14ac:dyDescent="0.25">
      <c r="A62" s="94">
        <v>8441</v>
      </c>
      <c r="B62" s="84" t="s">
        <v>783</v>
      </c>
      <c r="C62" s="83">
        <v>3601135</v>
      </c>
    </row>
    <row r="63" spans="1:3" x14ac:dyDescent="0.25">
      <c r="A63" s="93">
        <v>8433</v>
      </c>
      <c r="B63" s="84" t="s">
        <v>782</v>
      </c>
      <c r="C63" s="83">
        <v>3601168</v>
      </c>
    </row>
    <row r="64" spans="1:3" x14ac:dyDescent="0.25">
      <c r="A64" s="94">
        <v>8440</v>
      </c>
      <c r="B64" s="84" t="s">
        <v>781</v>
      </c>
      <c r="C64" s="83">
        <v>3601172</v>
      </c>
    </row>
    <row r="65" spans="1:3" x14ac:dyDescent="0.25">
      <c r="A65" s="93">
        <v>8434</v>
      </c>
      <c r="B65" s="84" t="s">
        <v>780</v>
      </c>
      <c r="C65" s="83">
        <v>3601173</v>
      </c>
    </row>
    <row r="66" spans="1:3" x14ac:dyDescent="0.25">
      <c r="A66" s="93">
        <v>8435</v>
      </c>
      <c r="B66" s="84" t="s">
        <v>779</v>
      </c>
      <c r="C66" s="83">
        <v>3601181</v>
      </c>
    </row>
    <row r="67" spans="1:3" x14ac:dyDescent="0.25">
      <c r="A67" s="93">
        <v>3473</v>
      </c>
      <c r="B67" s="84" t="s">
        <v>778</v>
      </c>
      <c r="C67" s="83">
        <v>3601189</v>
      </c>
    </row>
    <row r="68" spans="1:3" x14ac:dyDescent="0.25">
      <c r="A68" s="93">
        <v>8438</v>
      </c>
      <c r="B68" s="84" t="s">
        <v>777</v>
      </c>
      <c r="C68" s="83">
        <v>3601215</v>
      </c>
    </row>
    <row r="69" spans="1:3" x14ac:dyDescent="0.25">
      <c r="A69" s="93">
        <v>5824</v>
      </c>
      <c r="B69" s="84" t="s">
        <v>776</v>
      </c>
      <c r="C69" s="83">
        <v>3602300</v>
      </c>
    </row>
    <row r="70" spans="1:3" x14ac:dyDescent="0.25">
      <c r="A70" s="93">
        <v>4126</v>
      </c>
      <c r="B70" s="84" t="s">
        <v>775</v>
      </c>
      <c r="C70" s="83">
        <v>3602340</v>
      </c>
    </row>
    <row r="71" spans="1:3" x14ac:dyDescent="0.25">
      <c r="A71" s="93">
        <v>5276</v>
      </c>
      <c r="B71" s="84" t="s">
        <v>774</v>
      </c>
      <c r="C71" s="83">
        <v>3602370</v>
      </c>
    </row>
    <row r="72" spans="1:3" x14ac:dyDescent="0.25">
      <c r="A72" s="93">
        <v>3559</v>
      </c>
      <c r="B72" s="84" t="s">
        <v>773</v>
      </c>
      <c r="C72" s="83">
        <v>3602400</v>
      </c>
    </row>
    <row r="73" spans="1:3" x14ac:dyDescent="0.25">
      <c r="A73" s="93">
        <v>3658</v>
      </c>
      <c r="B73" s="84" t="s">
        <v>772</v>
      </c>
      <c r="C73" s="83">
        <v>3602430</v>
      </c>
    </row>
    <row r="74" spans="1:3" x14ac:dyDescent="0.25">
      <c r="A74" s="93">
        <v>1005</v>
      </c>
      <c r="B74" s="84" t="s">
        <v>771</v>
      </c>
      <c r="C74" s="83">
        <v>3602460</v>
      </c>
    </row>
    <row r="75" spans="1:3" x14ac:dyDescent="0.25">
      <c r="A75" s="93">
        <v>2005</v>
      </c>
      <c r="B75" s="84" t="s">
        <v>770</v>
      </c>
      <c r="C75" s="83">
        <v>3602520</v>
      </c>
    </row>
    <row r="76" spans="1:3" x14ac:dyDescent="0.25">
      <c r="A76" s="93">
        <v>2006</v>
      </c>
      <c r="B76" s="84" t="s">
        <v>769</v>
      </c>
      <c r="C76" s="83">
        <v>3602550</v>
      </c>
    </row>
    <row r="77" spans="1:3" x14ac:dyDescent="0.25">
      <c r="A77" s="93">
        <v>3932</v>
      </c>
      <c r="B77" s="84" t="s">
        <v>768</v>
      </c>
      <c r="C77" s="83">
        <v>3602580</v>
      </c>
    </row>
    <row r="78" spans="1:3" x14ac:dyDescent="0.25">
      <c r="A78" s="93">
        <v>4101</v>
      </c>
      <c r="B78" s="84" t="s">
        <v>767</v>
      </c>
      <c r="C78" s="83">
        <v>3602670</v>
      </c>
    </row>
    <row r="79" spans="1:3" x14ac:dyDescent="0.25">
      <c r="A79" s="93">
        <v>5308</v>
      </c>
      <c r="B79" s="84" t="s">
        <v>766</v>
      </c>
      <c r="C79" s="83">
        <v>3602700</v>
      </c>
    </row>
    <row r="80" spans="1:3" x14ac:dyDescent="0.25">
      <c r="A80" s="93">
        <v>2653</v>
      </c>
      <c r="B80" s="84" t="s">
        <v>765</v>
      </c>
      <c r="C80" s="83">
        <v>3602730</v>
      </c>
    </row>
    <row r="81" spans="1:3" x14ac:dyDescent="0.25">
      <c r="A81" s="93">
        <v>4701</v>
      </c>
      <c r="B81" s="84" t="s">
        <v>764</v>
      </c>
      <c r="C81" s="83">
        <v>3602820</v>
      </c>
    </row>
    <row r="82" spans="1:3" x14ac:dyDescent="0.25">
      <c r="A82" s="93">
        <v>5353</v>
      </c>
      <c r="B82" s="84" t="s">
        <v>763</v>
      </c>
      <c r="C82" s="83">
        <v>3602880</v>
      </c>
    </row>
    <row r="83" spans="1:3" x14ac:dyDescent="0.25">
      <c r="A83" s="93">
        <v>2009</v>
      </c>
      <c r="B83" s="84" t="s">
        <v>762</v>
      </c>
      <c r="C83" s="83">
        <v>3602920</v>
      </c>
    </row>
    <row r="84" spans="1:3" x14ac:dyDescent="0.25">
      <c r="A84" s="93">
        <v>2007</v>
      </c>
      <c r="B84" s="84" t="s">
        <v>761</v>
      </c>
      <c r="C84" s="83">
        <v>3602940</v>
      </c>
    </row>
    <row r="85" spans="1:3" x14ac:dyDescent="0.25">
      <c r="A85" s="93">
        <v>1010</v>
      </c>
      <c r="B85" s="84" t="s">
        <v>760</v>
      </c>
      <c r="C85" s="83">
        <v>3602970</v>
      </c>
    </row>
    <row r="86" spans="1:3" x14ac:dyDescent="0.25">
      <c r="A86" s="93">
        <v>3982</v>
      </c>
      <c r="B86" s="84" t="s">
        <v>759</v>
      </c>
      <c r="C86" s="83">
        <v>3603000</v>
      </c>
    </row>
    <row r="87" spans="1:3" x14ac:dyDescent="0.25">
      <c r="A87" s="93">
        <v>3101</v>
      </c>
      <c r="B87" s="84" t="s">
        <v>758</v>
      </c>
      <c r="C87" s="83">
        <v>3603030</v>
      </c>
    </row>
    <row r="88" spans="1:3" x14ac:dyDescent="0.25">
      <c r="A88" s="93">
        <v>3999</v>
      </c>
      <c r="B88" s="84" t="s">
        <v>757</v>
      </c>
      <c r="C88" s="83">
        <v>3603060</v>
      </c>
    </row>
    <row r="89" spans="1:3" x14ac:dyDescent="0.25">
      <c r="A89" s="93">
        <v>2008</v>
      </c>
      <c r="B89" s="84" t="s">
        <v>756</v>
      </c>
      <c r="C89" s="83">
        <v>3603180</v>
      </c>
    </row>
    <row r="90" spans="1:3" x14ac:dyDescent="0.25">
      <c r="A90" s="93">
        <v>5676</v>
      </c>
      <c r="B90" s="84" t="s">
        <v>755</v>
      </c>
      <c r="C90" s="83">
        <v>3603210</v>
      </c>
    </row>
    <row r="91" spans="1:3" x14ac:dyDescent="0.25">
      <c r="A91" s="93">
        <v>5281</v>
      </c>
      <c r="B91" s="84" t="s">
        <v>754</v>
      </c>
      <c r="C91" s="83">
        <v>3603240</v>
      </c>
    </row>
    <row r="92" spans="1:3" x14ac:dyDescent="0.25">
      <c r="A92" s="93">
        <v>2010</v>
      </c>
      <c r="B92" s="84" t="s">
        <v>753</v>
      </c>
      <c r="C92" s="83">
        <v>3603270</v>
      </c>
    </row>
    <row r="93" spans="1:3" x14ac:dyDescent="0.25">
      <c r="A93" s="93">
        <v>2014</v>
      </c>
      <c r="B93" s="84" t="s">
        <v>752</v>
      </c>
      <c r="C93" s="83">
        <v>3603420</v>
      </c>
    </row>
    <row r="94" spans="1:3" x14ac:dyDescent="0.25">
      <c r="A94" s="93">
        <v>1015</v>
      </c>
      <c r="B94" s="84" t="s">
        <v>751</v>
      </c>
      <c r="C94" s="83">
        <v>3603480</v>
      </c>
    </row>
    <row r="95" spans="1:3" x14ac:dyDescent="0.25">
      <c r="A95" s="93">
        <v>5301</v>
      </c>
      <c r="B95" s="84" t="s">
        <v>750</v>
      </c>
      <c r="C95" s="83">
        <v>3603630</v>
      </c>
    </row>
    <row r="96" spans="1:3" x14ac:dyDescent="0.25">
      <c r="A96" s="93">
        <v>4151</v>
      </c>
      <c r="B96" s="84" t="s">
        <v>749</v>
      </c>
      <c r="C96" s="83">
        <v>3603660</v>
      </c>
    </row>
    <row r="97" spans="1:3" x14ac:dyDescent="0.25">
      <c r="A97" s="93">
        <v>2018</v>
      </c>
      <c r="B97" s="84" t="s">
        <v>748</v>
      </c>
      <c r="C97" s="83">
        <v>3603720</v>
      </c>
    </row>
    <row r="98" spans="1:3" x14ac:dyDescent="0.25">
      <c r="A98" s="93">
        <v>3560</v>
      </c>
      <c r="B98" s="84" t="s">
        <v>747</v>
      </c>
      <c r="C98" s="83">
        <v>3603810</v>
      </c>
    </row>
    <row r="99" spans="1:3" x14ac:dyDescent="0.25">
      <c r="A99" s="93">
        <v>2020</v>
      </c>
      <c r="B99" s="84" t="s">
        <v>746</v>
      </c>
      <c r="C99" s="83">
        <v>3603840</v>
      </c>
    </row>
    <row r="100" spans="1:3" x14ac:dyDescent="0.25">
      <c r="A100" s="93">
        <v>2025</v>
      </c>
      <c r="B100" s="84" t="s">
        <v>745</v>
      </c>
      <c r="C100" s="83">
        <v>3603870</v>
      </c>
    </row>
    <row r="101" spans="1:3" x14ac:dyDescent="0.25">
      <c r="A101" s="93">
        <v>2030</v>
      </c>
      <c r="B101" s="84" t="s">
        <v>744</v>
      </c>
      <c r="C101" s="83">
        <v>3603930</v>
      </c>
    </row>
    <row r="102" spans="1:3" x14ac:dyDescent="0.25">
      <c r="A102" s="93">
        <v>4679</v>
      </c>
      <c r="B102" s="84" t="s">
        <v>743</v>
      </c>
      <c r="C102" s="83">
        <v>3603960</v>
      </c>
    </row>
    <row r="103" spans="1:3" x14ac:dyDescent="0.25">
      <c r="A103" s="93">
        <v>1020</v>
      </c>
      <c r="B103" s="84" t="s">
        <v>742</v>
      </c>
      <c r="C103" s="83">
        <v>3603990</v>
      </c>
    </row>
    <row r="104" spans="1:3" x14ac:dyDescent="0.25">
      <c r="A104" s="93">
        <v>2035</v>
      </c>
      <c r="B104" s="84" t="s">
        <v>741</v>
      </c>
      <c r="C104" s="83">
        <v>3604050</v>
      </c>
    </row>
    <row r="105" spans="1:3" x14ac:dyDescent="0.25">
      <c r="A105" s="93">
        <v>2040</v>
      </c>
      <c r="B105" s="84" t="s">
        <v>740</v>
      </c>
      <c r="C105" s="83">
        <v>3604080</v>
      </c>
    </row>
    <row r="106" spans="1:3" x14ac:dyDescent="0.25">
      <c r="A106" s="93">
        <v>5420</v>
      </c>
      <c r="B106" s="84" t="s">
        <v>739</v>
      </c>
      <c r="C106" s="83">
        <v>3604110</v>
      </c>
    </row>
    <row r="107" spans="1:3" x14ac:dyDescent="0.25">
      <c r="A107" s="93">
        <v>1025</v>
      </c>
      <c r="B107" s="84" t="s">
        <v>738</v>
      </c>
      <c r="C107" s="83">
        <v>3604140</v>
      </c>
    </row>
    <row r="108" spans="1:3" x14ac:dyDescent="0.25">
      <c r="A108" s="93">
        <v>4144</v>
      </c>
      <c r="B108" s="84" t="s">
        <v>737</v>
      </c>
      <c r="C108" s="83">
        <v>3604200</v>
      </c>
    </row>
    <row r="109" spans="1:3" x14ac:dyDescent="0.25">
      <c r="A109" s="93">
        <v>2044</v>
      </c>
      <c r="B109" s="84" t="s">
        <v>736</v>
      </c>
      <c r="C109" s="83">
        <v>3604290</v>
      </c>
    </row>
    <row r="110" spans="1:3" x14ac:dyDescent="0.25">
      <c r="A110" s="93">
        <v>3105</v>
      </c>
      <c r="B110" s="84" t="s">
        <v>735</v>
      </c>
      <c r="C110" s="83">
        <v>3604350</v>
      </c>
    </row>
    <row r="111" spans="1:3" x14ac:dyDescent="0.25">
      <c r="A111" s="93">
        <v>4132</v>
      </c>
      <c r="B111" s="84" t="s">
        <v>734</v>
      </c>
      <c r="C111" s="83">
        <v>3604370</v>
      </c>
    </row>
    <row r="112" spans="1:3" x14ac:dyDescent="0.25">
      <c r="A112" s="93">
        <v>4353</v>
      </c>
      <c r="B112" s="84" t="s">
        <v>733</v>
      </c>
      <c r="C112" s="83">
        <v>3604410</v>
      </c>
    </row>
    <row r="113" spans="1:3" x14ac:dyDescent="0.25">
      <c r="A113" s="93">
        <v>3329</v>
      </c>
      <c r="B113" s="84" t="s">
        <v>732</v>
      </c>
      <c r="C113" s="83">
        <v>3604530</v>
      </c>
    </row>
    <row r="114" spans="1:3" x14ac:dyDescent="0.25">
      <c r="A114" s="93">
        <v>4905</v>
      </c>
      <c r="B114" s="84" t="s">
        <v>731</v>
      </c>
      <c r="C114" s="83">
        <v>3604590</v>
      </c>
    </row>
    <row r="115" spans="1:3" x14ac:dyDescent="0.25">
      <c r="A115" s="93">
        <v>4901</v>
      </c>
      <c r="B115" s="84" t="s">
        <v>730</v>
      </c>
      <c r="C115" s="83">
        <v>3604620</v>
      </c>
    </row>
    <row r="116" spans="1:3" x14ac:dyDescent="0.25">
      <c r="A116" s="93">
        <v>3032</v>
      </c>
      <c r="B116" s="84" t="s">
        <v>729</v>
      </c>
      <c r="C116" s="83">
        <v>3604650</v>
      </c>
    </row>
    <row r="117" spans="1:3" x14ac:dyDescent="0.25">
      <c r="A117" s="93">
        <v>2046</v>
      </c>
      <c r="B117" s="84" t="s">
        <v>728</v>
      </c>
      <c r="C117" s="83">
        <v>3604710</v>
      </c>
    </row>
    <row r="118" spans="1:3" x14ac:dyDescent="0.25">
      <c r="A118" s="93">
        <v>2045</v>
      </c>
      <c r="B118" s="84" t="s">
        <v>727</v>
      </c>
      <c r="C118" s="83">
        <v>3604740</v>
      </c>
    </row>
    <row r="119" spans="1:3" x14ac:dyDescent="0.25">
      <c r="A119" s="93">
        <v>3594</v>
      </c>
      <c r="B119" s="84" t="s">
        <v>726</v>
      </c>
      <c r="C119" s="83">
        <v>3604757</v>
      </c>
    </row>
    <row r="120" spans="1:3" x14ac:dyDescent="0.25">
      <c r="A120" s="93">
        <v>4620</v>
      </c>
      <c r="B120" s="84" t="s">
        <v>725</v>
      </c>
      <c r="C120" s="83">
        <v>3604758</v>
      </c>
    </row>
    <row r="121" spans="1:3" x14ac:dyDescent="0.25">
      <c r="A121" s="93">
        <v>1030</v>
      </c>
      <c r="B121" s="84" t="s">
        <v>724</v>
      </c>
      <c r="C121" s="83">
        <v>3604870</v>
      </c>
    </row>
    <row r="122" spans="1:3" x14ac:dyDescent="0.25">
      <c r="A122" s="93">
        <v>4582</v>
      </c>
      <c r="B122" s="84" t="s">
        <v>723</v>
      </c>
      <c r="C122" s="83">
        <v>3604920</v>
      </c>
    </row>
    <row r="123" spans="1:3" x14ac:dyDescent="0.25">
      <c r="A123" s="93">
        <v>5684</v>
      </c>
      <c r="B123" s="84" t="s">
        <v>722</v>
      </c>
      <c r="C123" s="83">
        <v>3605010</v>
      </c>
    </row>
    <row r="124" spans="1:3" x14ac:dyDescent="0.25">
      <c r="A124" s="93">
        <v>2016</v>
      </c>
      <c r="B124" s="84" t="s">
        <v>721</v>
      </c>
      <c r="C124" s="83">
        <v>3605040</v>
      </c>
    </row>
    <row r="125" spans="1:3" x14ac:dyDescent="0.25">
      <c r="A125" s="93">
        <v>8102</v>
      </c>
      <c r="B125" s="84" t="s">
        <v>721</v>
      </c>
      <c r="C125" s="83">
        <v>3605040</v>
      </c>
    </row>
    <row r="126" spans="1:3" x14ac:dyDescent="0.25">
      <c r="A126" s="93">
        <v>5303</v>
      </c>
      <c r="B126" s="84" t="s">
        <v>720</v>
      </c>
      <c r="C126" s="83">
        <v>3605220</v>
      </c>
    </row>
    <row r="127" spans="1:3" x14ac:dyDescent="0.25">
      <c r="A127" s="93">
        <v>2047</v>
      </c>
      <c r="B127" s="84" t="s">
        <v>719</v>
      </c>
      <c r="C127" s="83">
        <v>3605280</v>
      </c>
    </row>
    <row r="128" spans="1:3" x14ac:dyDescent="0.25">
      <c r="A128" s="93">
        <v>2048</v>
      </c>
      <c r="B128" s="84" t="s">
        <v>718</v>
      </c>
      <c r="C128" s="83">
        <v>3605310</v>
      </c>
    </row>
    <row r="129" spans="1:3" x14ac:dyDescent="0.25">
      <c r="A129" s="93">
        <v>4863</v>
      </c>
      <c r="B129" s="84" t="s">
        <v>717</v>
      </c>
      <c r="C129" s="83">
        <v>3605340</v>
      </c>
    </row>
    <row r="130" spans="1:3" x14ac:dyDescent="0.25">
      <c r="A130" s="93">
        <v>5364</v>
      </c>
      <c r="B130" s="84" t="s">
        <v>716</v>
      </c>
      <c r="C130" s="83">
        <v>3605370</v>
      </c>
    </row>
    <row r="131" spans="1:3" x14ac:dyDescent="0.25">
      <c r="A131" s="93">
        <v>2050</v>
      </c>
      <c r="B131" s="84" t="s">
        <v>715</v>
      </c>
      <c r="C131" s="83">
        <v>3605460</v>
      </c>
    </row>
    <row r="132" spans="1:3" x14ac:dyDescent="0.25">
      <c r="A132" s="93">
        <v>4877</v>
      </c>
      <c r="B132" s="84" t="s">
        <v>714</v>
      </c>
      <c r="C132" s="83">
        <v>3605520</v>
      </c>
    </row>
    <row r="133" spans="1:3" x14ac:dyDescent="0.25">
      <c r="A133" s="93">
        <v>2052</v>
      </c>
      <c r="B133" s="84" t="s">
        <v>713</v>
      </c>
      <c r="C133" s="83">
        <v>3605580</v>
      </c>
    </row>
    <row r="134" spans="1:3" x14ac:dyDescent="0.25">
      <c r="A134" s="93">
        <v>3306</v>
      </c>
      <c r="B134" s="84" t="s">
        <v>712</v>
      </c>
      <c r="C134" s="83">
        <v>3605610</v>
      </c>
    </row>
    <row r="135" spans="1:3" x14ac:dyDescent="0.25">
      <c r="A135" s="93">
        <v>2055</v>
      </c>
      <c r="B135" s="84" t="s">
        <v>711</v>
      </c>
      <c r="C135" s="83">
        <v>3605640</v>
      </c>
    </row>
    <row r="136" spans="1:3" x14ac:dyDescent="0.25">
      <c r="A136" s="93">
        <v>4434</v>
      </c>
      <c r="B136" s="84" t="s">
        <v>710</v>
      </c>
      <c r="C136" s="83">
        <v>3605670</v>
      </c>
    </row>
    <row r="137" spans="1:3" x14ac:dyDescent="0.25">
      <c r="A137" s="93">
        <v>3821</v>
      </c>
      <c r="B137" s="84" t="s">
        <v>709</v>
      </c>
      <c r="C137" s="83">
        <v>3605820</v>
      </c>
    </row>
    <row r="138" spans="1:3" x14ac:dyDescent="0.25">
      <c r="A138" s="93">
        <v>1035</v>
      </c>
      <c r="B138" s="84" t="s">
        <v>708</v>
      </c>
      <c r="C138" s="83">
        <v>3605850</v>
      </c>
    </row>
    <row r="139" spans="1:3" x14ac:dyDescent="0.25">
      <c r="A139" s="93">
        <v>2056</v>
      </c>
      <c r="B139" s="84" t="s">
        <v>707</v>
      </c>
      <c r="C139" s="83">
        <v>3605940</v>
      </c>
    </row>
    <row r="140" spans="1:3" x14ac:dyDescent="0.25">
      <c r="A140" s="93">
        <v>2057</v>
      </c>
      <c r="B140" s="84" t="s">
        <v>706</v>
      </c>
      <c r="C140" s="83">
        <v>3606060</v>
      </c>
    </row>
    <row r="141" spans="1:3" x14ac:dyDescent="0.25">
      <c r="A141" s="93">
        <v>3927</v>
      </c>
      <c r="B141" s="84" t="s">
        <v>705</v>
      </c>
      <c r="C141" s="83">
        <v>3606090</v>
      </c>
    </row>
    <row r="142" spans="1:3" x14ac:dyDescent="0.25">
      <c r="A142" s="93">
        <v>4892</v>
      </c>
      <c r="B142" s="84" t="s">
        <v>704</v>
      </c>
      <c r="C142" s="83">
        <v>3606160</v>
      </c>
    </row>
    <row r="143" spans="1:3" x14ac:dyDescent="0.25">
      <c r="A143" s="93">
        <v>4152</v>
      </c>
      <c r="B143" s="84" t="s">
        <v>703</v>
      </c>
      <c r="C143" s="83">
        <v>3606180</v>
      </c>
    </row>
    <row r="144" spans="1:3" x14ac:dyDescent="0.25">
      <c r="A144" s="93">
        <v>5683</v>
      </c>
      <c r="B144" s="84" t="s">
        <v>702</v>
      </c>
      <c r="C144" s="83">
        <v>3606210</v>
      </c>
    </row>
    <row r="145" spans="1:3" x14ac:dyDescent="0.25">
      <c r="A145" s="93">
        <v>4208</v>
      </c>
      <c r="B145" s="84" t="s">
        <v>701</v>
      </c>
      <c r="C145" s="83">
        <v>3606240</v>
      </c>
    </row>
    <row r="146" spans="1:3" x14ac:dyDescent="0.25">
      <c r="A146" s="93">
        <v>4020</v>
      </c>
      <c r="B146" s="84" t="s">
        <v>700</v>
      </c>
      <c r="C146" s="83">
        <v>3606300</v>
      </c>
    </row>
    <row r="147" spans="1:3" x14ac:dyDescent="0.25">
      <c r="A147" s="93">
        <v>1040</v>
      </c>
      <c r="B147" s="84" t="s">
        <v>699</v>
      </c>
      <c r="C147" s="83">
        <v>3606330</v>
      </c>
    </row>
    <row r="148" spans="1:3" x14ac:dyDescent="0.25">
      <c r="A148" s="93">
        <v>2060</v>
      </c>
      <c r="B148" s="84" t="s">
        <v>698</v>
      </c>
      <c r="C148" s="83">
        <v>3606390</v>
      </c>
    </row>
    <row r="149" spans="1:3" x14ac:dyDescent="0.25">
      <c r="A149" s="93">
        <v>5541</v>
      </c>
      <c r="B149" s="84" t="s">
        <v>697</v>
      </c>
      <c r="C149" s="83">
        <v>3606420</v>
      </c>
    </row>
    <row r="150" spans="1:3" x14ac:dyDescent="0.25">
      <c r="A150" s="93">
        <v>2063</v>
      </c>
      <c r="B150" s="84" t="s">
        <v>696</v>
      </c>
      <c r="C150" s="83">
        <v>3606470</v>
      </c>
    </row>
    <row r="151" spans="1:3" x14ac:dyDescent="0.25">
      <c r="A151" s="93">
        <v>3632</v>
      </c>
      <c r="B151" s="84" t="s">
        <v>695</v>
      </c>
      <c r="C151" s="83">
        <v>3606500</v>
      </c>
    </row>
    <row r="152" spans="1:3" x14ac:dyDescent="0.25">
      <c r="A152" s="93">
        <v>2065</v>
      </c>
      <c r="B152" s="84" t="s">
        <v>694</v>
      </c>
      <c r="C152" s="83">
        <v>3606540</v>
      </c>
    </row>
    <row r="153" spans="1:3" x14ac:dyDescent="0.25">
      <c r="A153" s="93">
        <v>2066</v>
      </c>
      <c r="B153" s="84" t="s">
        <v>693</v>
      </c>
      <c r="C153" s="83">
        <v>3606570</v>
      </c>
    </row>
    <row r="154" spans="1:3" x14ac:dyDescent="0.25">
      <c r="A154" s="93">
        <v>2058</v>
      </c>
      <c r="B154" s="84" t="s">
        <v>692</v>
      </c>
      <c r="C154" s="83">
        <v>3606630</v>
      </c>
    </row>
    <row r="155" spans="1:3" x14ac:dyDescent="0.25">
      <c r="A155" s="93">
        <v>3327</v>
      </c>
      <c r="B155" s="84" t="s">
        <v>691</v>
      </c>
      <c r="C155" s="83">
        <v>3606660</v>
      </c>
    </row>
    <row r="156" spans="1:3" x14ac:dyDescent="0.25">
      <c r="A156" s="93">
        <v>3277</v>
      </c>
      <c r="B156" s="84" t="s">
        <v>690</v>
      </c>
      <c r="C156" s="83">
        <v>3606690</v>
      </c>
    </row>
    <row r="157" spans="1:3" x14ac:dyDescent="0.25">
      <c r="A157" s="93">
        <v>2070</v>
      </c>
      <c r="B157" s="84" t="s">
        <v>689</v>
      </c>
      <c r="C157" s="83">
        <v>3606720</v>
      </c>
    </row>
    <row r="158" spans="1:3" x14ac:dyDescent="0.25">
      <c r="A158" s="93">
        <v>2061</v>
      </c>
      <c r="B158" s="84" t="s">
        <v>688</v>
      </c>
      <c r="C158" s="83">
        <v>3606780</v>
      </c>
    </row>
    <row r="159" spans="1:3" x14ac:dyDescent="0.25">
      <c r="A159" s="93">
        <v>5415</v>
      </c>
      <c r="B159" s="84" t="s">
        <v>687</v>
      </c>
      <c r="C159" s="83">
        <v>3606840</v>
      </c>
    </row>
    <row r="160" spans="1:3" x14ac:dyDescent="0.25">
      <c r="A160" s="93">
        <v>2067</v>
      </c>
      <c r="B160" s="84" t="s">
        <v>686</v>
      </c>
      <c r="C160" s="83">
        <v>3606870</v>
      </c>
    </row>
    <row r="161" spans="1:3" x14ac:dyDescent="0.25">
      <c r="A161" s="93">
        <v>2073</v>
      </c>
      <c r="B161" s="84" t="s">
        <v>685</v>
      </c>
      <c r="C161" s="83">
        <v>3606900</v>
      </c>
    </row>
    <row r="162" spans="1:3" x14ac:dyDescent="0.25">
      <c r="A162" s="93">
        <v>2075</v>
      </c>
      <c r="B162" s="84" t="s">
        <v>684</v>
      </c>
      <c r="C162" s="83">
        <v>3606990</v>
      </c>
    </row>
    <row r="163" spans="1:3" x14ac:dyDescent="0.25">
      <c r="A163" s="93">
        <v>2198</v>
      </c>
      <c r="B163" s="84" t="s">
        <v>683</v>
      </c>
      <c r="C163" s="83">
        <v>3607020</v>
      </c>
    </row>
    <row r="164" spans="1:3" x14ac:dyDescent="0.25">
      <c r="A164" s="93">
        <v>3981</v>
      </c>
      <c r="B164" s="84" t="s">
        <v>682</v>
      </c>
      <c r="C164" s="83">
        <v>3607050</v>
      </c>
    </row>
    <row r="165" spans="1:3" x14ac:dyDescent="0.25">
      <c r="A165" s="93">
        <v>3805</v>
      </c>
      <c r="B165" s="84" t="s">
        <v>681</v>
      </c>
      <c r="C165" s="83">
        <v>3607080</v>
      </c>
    </row>
    <row r="166" spans="1:3" x14ac:dyDescent="0.25">
      <c r="A166" s="93">
        <v>4906</v>
      </c>
      <c r="B166" s="84" t="s">
        <v>680</v>
      </c>
      <c r="C166" s="83">
        <v>3607110</v>
      </c>
    </row>
    <row r="167" spans="1:3" x14ac:dyDescent="0.25">
      <c r="A167" s="93">
        <v>3453</v>
      </c>
      <c r="B167" s="84" t="s">
        <v>679</v>
      </c>
      <c r="C167" s="83">
        <v>3607170</v>
      </c>
    </row>
    <row r="168" spans="1:3" x14ac:dyDescent="0.25">
      <c r="A168" s="93">
        <v>2062</v>
      </c>
      <c r="B168" s="84" t="s">
        <v>678</v>
      </c>
      <c r="C168" s="83">
        <v>3607230</v>
      </c>
    </row>
    <row r="169" spans="1:3" x14ac:dyDescent="0.25">
      <c r="A169" s="93">
        <v>2069</v>
      </c>
      <c r="B169" s="84" t="s">
        <v>677</v>
      </c>
      <c r="C169" s="83">
        <v>3607260</v>
      </c>
    </row>
    <row r="170" spans="1:3" x14ac:dyDescent="0.25">
      <c r="A170" s="93">
        <v>2071</v>
      </c>
      <c r="B170" s="84" t="s">
        <v>676</v>
      </c>
      <c r="C170" s="83">
        <v>3607290</v>
      </c>
    </row>
    <row r="171" spans="1:3" x14ac:dyDescent="0.25">
      <c r="A171" s="93">
        <v>2641</v>
      </c>
      <c r="B171" s="84" t="s">
        <v>675</v>
      </c>
      <c r="C171" s="83">
        <v>3607320</v>
      </c>
    </row>
    <row r="172" spans="1:3" x14ac:dyDescent="0.25">
      <c r="A172" s="93">
        <v>4651</v>
      </c>
      <c r="B172" s="84" t="s">
        <v>674</v>
      </c>
      <c r="C172" s="83">
        <v>3607380</v>
      </c>
    </row>
    <row r="173" spans="1:3" x14ac:dyDescent="0.25">
      <c r="A173" s="93">
        <v>3232</v>
      </c>
      <c r="B173" s="84" t="s">
        <v>673</v>
      </c>
      <c r="C173" s="83">
        <v>3607440</v>
      </c>
    </row>
    <row r="174" spans="1:3" x14ac:dyDescent="0.25">
      <c r="A174" s="93">
        <v>2072</v>
      </c>
      <c r="B174" s="84" t="s">
        <v>672</v>
      </c>
      <c r="C174" s="83">
        <v>3607470</v>
      </c>
    </row>
    <row r="175" spans="1:3" x14ac:dyDescent="0.25">
      <c r="A175" s="93">
        <v>2064</v>
      </c>
      <c r="B175" s="84" t="s">
        <v>671</v>
      </c>
      <c r="C175" s="83">
        <v>3607530</v>
      </c>
    </row>
    <row r="176" spans="1:3" x14ac:dyDescent="0.25">
      <c r="A176" s="93">
        <v>3526</v>
      </c>
      <c r="B176" s="84" t="s">
        <v>670</v>
      </c>
      <c r="C176" s="83">
        <v>3607560</v>
      </c>
    </row>
    <row r="177" spans="1:3" x14ac:dyDescent="0.25">
      <c r="A177" s="93">
        <v>2076</v>
      </c>
      <c r="B177" s="84" t="s">
        <v>669</v>
      </c>
      <c r="C177" s="83">
        <v>3607590</v>
      </c>
    </row>
    <row r="178" spans="1:3" x14ac:dyDescent="0.25">
      <c r="A178" s="93">
        <v>4130</v>
      </c>
      <c r="B178" s="84" t="s">
        <v>668</v>
      </c>
      <c r="C178" s="83">
        <v>3607650</v>
      </c>
    </row>
    <row r="179" spans="1:3" x14ac:dyDescent="0.25">
      <c r="A179" s="93">
        <v>3679</v>
      </c>
      <c r="B179" s="84" t="s">
        <v>667</v>
      </c>
      <c r="C179" s="83">
        <v>3607680</v>
      </c>
    </row>
    <row r="180" spans="1:3" x14ac:dyDescent="0.25">
      <c r="A180" s="93">
        <v>4976</v>
      </c>
      <c r="B180" s="84" t="s">
        <v>666</v>
      </c>
      <c r="C180" s="83">
        <v>3607710</v>
      </c>
    </row>
    <row r="181" spans="1:3" x14ac:dyDescent="0.25">
      <c r="A181" s="93">
        <v>2077</v>
      </c>
      <c r="B181" s="84" t="s">
        <v>665</v>
      </c>
      <c r="C181" s="83">
        <v>3607770</v>
      </c>
    </row>
    <row r="182" spans="1:3" x14ac:dyDescent="0.25">
      <c r="A182" s="93">
        <v>8112</v>
      </c>
      <c r="B182" s="84" t="s">
        <v>665</v>
      </c>
      <c r="C182" s="83">
        <v>3607770</v>
      </c>
    </row>
    <row r="183" spans="1:3" x14ac:dyDescent="0.25">
      <c r="A183" s="93">
        <v>4593</v>
      </c>
      <c r="B183" s="84" t="s">
        <v>664</v>
      </c>
      <c r="C183" s="83">
        <v>3607860</v>
      </c>
    </row>
    <row r="184" spans="1:3" x14ac:dyDescent="0.25">
      <c r="A184" s="93">
        <v>3304</v>
      </c>
      <c r="B184" s="84" t="s">
        <v>663</v>
      </c>
      <c r="C184" s="83">
        <v>3607890</v>
      </c>
    </row>
    <row r="185" spans="1:3" x14ac:dyDescent="0.25">
      <c r="A185" s="93">
        <v>1045</v>
      </c>
      <c r="B185" s="84" t="s">
        <v>662</v>
      </c>
      <c r="C185" s="83">
        <v>3607980</v>
      </c>
    </row>
    <row r="186" spans="1:3" x14ac:dyDescent="0.25">
      <c r="A186" s="93">
        <v>2074</v>
      </c>
      <c r="B186" s="84" t="s">
        <v>661</v>
      </c>
      <c r="C186" s="83">
        <v>3608010</v>
      </c>
    </row>
    <row r="187" spans="1:3" x14ac:dyDescent="0.25">
      <c r="A187" s="93">
        <v>5026</v>
      </c>
      <c r="B187" s="84" t="s">
        <v>660</v>
      </c>
      <c r="C187" s="83">
        <v>3608100</v>
      </c>
    </row>
    <row r="188" spans="1:3" x14ac:dyDescent="0.25">
      <c r="A188" s="93">
        <v>2078</v>
      </c>
      <c r="B188" s="84" t="s">
        <v>659</v>
      </c>
      <c r="C188" s="83">
        <v>3608130</v>
      </c>
    </row>
    <row r="189" spans="1:3" x14ac:dyDescent="0.25">
      <c r="A189" s="93">
        <v>2068</v>
      </c>
      <c r="B189" s="84" t="s">
        <v>658</v>
      </c>
      <c r="C189" s="83">
        <v>3608160</v>
      </c>
    </row>
    <row r="190" spans="1:3" x14ac:dyDescent="0.25">
      <c r="A190" s="93">
        <v>3994</v>
      </c>
      <c r="B190" s="84" t="s">
        <v>657</v>
      </c>
      <c r="C190" s="83">
        <v>3608250</v>
      </c>
    </row>
    <row r="191" spans="1:3" x14ac:dyDescent="0.25">
      <c r="A191" s="93">
        <v>4137</v>
      </c>
      <c r="B191" s="84" t="s">
        <v>656</v>
      </c>
      <c r="C191" s="83">
        <v>3608280</v>
      </c>
    </row>
    <row r="192" spans="1:3" x14ac:dyDescent="0.25">
      <c r="A192" s="93">
        <v>2079</v>
      </c>
      <c r="B192" s="84" t="s">
        <v>655</v>
      </c>
      <c r="C192" s="83">
        <v>3608310</v>
      </c>
    </row>
    <row r="193" spans="1:3" x14ac:dyDescent="0.25">
      <c r="A193" s="93">
        <v>3931</v>
      </c>
      <c r="B193" s="84" t="s">
        <v>654</v>
      </c>
      <c r="C193" s="83">
        <v>3608340</v>
      </c>
    </row>
    <row r="194" spans="1:3" x14ac:dyDescent="0.25">
      <c r="A194" s="93">
        <v>5076</v>
      </c>
      <c r="B194" s="84" t="s">
        <v>653</v>
      </c>
      <c r="C194" s="83">
        <v>3608370</v>
      </c>
    </row>
    <row r="195" spans="1:3" x14ac:dyDescent="0.25">
      <c r="A195" s="93">
        <v>8115</v>
      </c>
      <c r="B195" s="84" t="s">
        <v>652</v>
      </c>
      <c r="C195" s="83">
        <v>3608400</v>
      </c>
    </row>
    <row r="196" spans="1:3" x14ac:dyDescent="0.25">
      <c r="A196" s="93">
        <v>1055</v>
      </c>
      <c r="B196" s="84" t="s">
        <v>651</v>
      </c>
      <c r="C196" s="83">
        <v>3608460</v>
      </c>
    </row>
    <row r="197" spans="1:3" x14ac:dyDescent="0.25">
      <c r="A197" s="93">
        <v>5820</v>
      </c>
      <c r="B197" s="84" t="s">
        <v>650</v>
      </c>
      <c r="C197" s="83">
        <v>3608470</v>
      </c>
    </row>
    <row r="198" spans="1:3" x14ac:dyDescent="0.25">
      <c r="A198" s="93">
        <v>4890</v>
      </c>
      <c r="B198" s="84" t="s">
        <v>649</v>
      </c>
      <c r="C198" s="83">
        <v>3608490</v>
      </c>
    </row>
    <row r="199" spans="1:3" x14ac:dyDescent="0.25">
      <c r="A199" s="93">
        <v>2083</v>
      </c>
      <c r="B199" s="84" t="s">
        <v>648</v>
      </c>
      <c r="C199" s="83">
        <v>3608580</v>
      </c>
    </row>
    <row r="200" spans="1:3" x14ac:dyDescent="0.25">
      <c r="A200" s="93">
        <v>3465</v>
      </c>
      <c r="B200" s="84" t="s">
        <v>647</v>
      </c>
      <c r="C200" s="83">
        <v>3608610</v>
      </c>
    </row>
    <row r="201" spans="1:3" x14ac:dyDescent="0.25">
      <c r="A201" s="93">
        <v>2080</v>
      </c>
      <c r="B201" s="84" t="s">
        <v>646</v>
      </c>
      <c r="C201" s="83">
        <v>3608790</v>
      </c>
    </row>
    <row r="202" spans="1:3" x14ac:dyDescent="0.25">
      <c r="A202" s="93">
        <v>3528</v>
      </c>
      <c r="B202" s="84" t="s">
        <v>645</v>
      </c>
      <c r="C202" s="83">
        <v>3608850</v>
      </c>
    </row>
    <row r="203" spans="1:3" x14ac:dyDescent="0.25">
      <c r="A203" s="93">
        <v>2086</v>
      </c>
      <c r="B203" s="84" t="s">
        <v>644</v>
      </c>
      <c r="C203" s="83">
        <v>3608880</v>
      </c>
    </row>
    <row r="204" spans="1:3" x14ac:dyDescent="0.25">
      <c r="A204" s="93">
        <v>3577</v>
      </c>
      <c r="B204" s="84" t="s">
        <v>643</v>
      </c>
      <c r="C204" s="83">
        <v>3608910</v>
      </c>
    </row>
    <row r="205" spans="1:3" x14ac:dyDescent="0.25">
      <c r="A205" s="93">
        <v>2085</v>
      </c>
      <c r="B205" s="84" t="s">
        <v>642</v>
      </c>
      <c r="C205" s="83">
        <v>3609030</v>
      </c>
    </row>
    <row r="206" spans="1:3" x14ac:dyDescent="0.25">
      <c r="A206" s="93">
        <v>3128</v>
      </c>
      <c r="B206" s="84" t="s">
        <v>641</v>
      </c>
      <c r="C206" s="83">
        <v>3609060</v>
      </c>
    </row>
    <row r="207" spans="1:3" x14ac:dyDescent="0.25">
      <c r="A207" s="93">
        <v>2090</v>
      </c>
      <c r="B207" s="84" t="s">
        <v>640</v>
      </c>
      <c r="C207" s="83">
        <v>3609090</v>
      </c>
    </row>
    <row r="208" spans="1:3" x14ac:dyDescent="0.25">
      <c r="A208" s="93">
        <v>2095</v>
      </c>
      <c r="B208" s="84" t="s">
        <v>639</v>
      </c>
      <c r="C208" s="83">
        <v>3609120</v>
      </c>
    </row>
    <row r="209" spans="1:3" x14ac:dyDescent="0.25">
      <c r="A209" s="93">
        <v>3626</v>
      </c>
      <c r="B209" s="84" t="s">
        <v>638</v>
      </c>
      <c r="C209" s="83">
        <v>3609210</v>
      </c>
    </row>
    <row r="210" spans="1:3" x14ac:dyDescent="0.25">
      <c r="A210" s="93">
        <v>3576</v>
      </c>
      <c r="B210" s="84" t="s">
        <v>637</v>
      </c>
      <c r="C210" s="83">
        <v>3609240</v>
      </c>
    </row>
    <row r="211" spans="1:3" x14ac:dyDescent="0.25">
      <c r="A211" s="93">
        <v>2104</v>
      </c>
      <c r="B211" s="84" t="s">
        <v>636</v>
      </c>
      <c r="C211" s="83">
        <v>3609330</v>
      </c>
    </row>
    <row r="212" spans="1:3" x14ac:dyDescent="0.25">
      <c r="A212" s="93">
        <v>3044</v>
      </c>
      <c r="B212" s="84" t="s">
        <v>635</v>
      </c>
      <c r="C212" s="83">
        <v>3609360</v>
      </c>
    </row>
    <row r="213" spans="1:3" x14ac:dyDescent="0.25">
      <c r="A213" s="93">
        <v>4588</v>
      </c>
      <c r="B213" s="84" t="s">
        <v>634</v>
      </c>
      <c r="C213" s="83">
        <v>3609390</v>
      </c>
    </row>
    <row r="214" spans="1:3" x14ac:dyDescent="0.25">
      <c r="A214" s="93">
        <v>1060</v>
      </c>
      <c r="B214" s="84" t="s">
        <v>633</v>
      </c>
      <c r="C214" s="83">
        <v>3609420</v>
      </c>
    </row>
    <row r="215" spans="1:3" x14ac:dyDescent="0.25">
      <c r="A215" s="93">
        <v>2105</v>
      </c>
      <c r="B215" s="84" t="s">
        <v>632</v>
      </c>
      <c r="C215" s="83">
        <v>3609540</v>
      </c>
    </row>
    <row r="216" spans="1:3" x14ac:dyDescent="0.25">
      <c r="A216" s="93">
        <v>2110</v>
      </c>
      <c r="B216" s="84" t="s">
        <v>631</v>
      </c>
      <c r="C216" s="83">
        <v>3609630</v>
      </c>
    </row>
    <row r="217" spans="1:3" x14ac:dyDescent="0.25">
      <c r="A217" s="93">
        <v>5351</v>
      </c>
      <c r="B217" s="84" t="s">
        <v>630</v>
      </c>
      <c r="C217" s="83">
        <v>3609660</v>
      </c>
    </row>
    <row r="218" spans="1:3" x14ac:dyDescent="0.25">
      <c r="A218" s="93">
        <v>2112</v>
      </c>
      <c r="B218" s="84" t="s">
        <v>629</v>
      </c>
      <c r="C218" s="83">
        <v>3609690</v>
      </c>
    </row>
    <row r="219" spans="1:3" x14ac:dyDescent="0.25">
      <c r="A219" s="93">
        <v>2115</v>
      </c>
      <c r="B219" s="84" t="s">
        <v>628</v>
      </c>
      <c r="C219" s="83">
        <v>3609720</v>
      </c>
    </row>
    <row r="220" spans="1:3" x14ac:dyDescent="0.25">
      <c r="A220" s="93">
        <v>2120</v>
      </c>
      <c r="B220" s="84" t="s">
        <v>627</v>
      </c>
      <c r="C220" s="83">
        <v>3609840</v>
      </c>
    </row>
    <row r="221" spans="1:3" x14ac:dyDescent="0.25">
      <c r="A221" s="93">
        <v>5416</v>
      </c>
      <c r="B221" s="84" t="s">
        <v>626</v>
      </c>
      <c r="C221" s="83">
        <v>3609870</v>
      </c>
    </row>
    <row r="222" spans="1:3" x14ac:dyDescent="0.25">
      <c r="A222" s="93">
        <v>5368</v>
      </c>
      <c r="B222" s="84" t="s">
        <v>625</v>
      </c>
      <c r="C222" s="83">
        <v>3609900</v>
      </c>
    </row>
    <row r="223" spans="1:3" x14ac:dyDescent="0.25">
      <c r="A223" s="93">
        <v>2125</v>
      </c>
      <c r="B223" s="84" t="s">
        <v>624</v>
      </c>
      <c r="C223" s="83">
        <v>3609930</v>
      </c>
    </row>
    <row r="224" spans="1:3" x14ac:dyDescent="0.25">
      <c r="A224" s="93">
        <v>2130</v>
      </c>
      <c r="B224" s="84" t="s">
        <v>623</v>
      </c>
      <c r="C224" s="83">
        <v>3609960</v>
      </c>
    </row>
    <row r="225" spans="1:3" x14ac:dyDescent="0.25">
      <c r="A225" s="93">
        <v>2135</v>
      </c>
      <c r="B225" s="84" t="s">
        <v>622</v>
      </c>
      <c r="C225" s="83">
        <v>3609990</v>
      </c>
    </row>
    <row r="226" spans="1:3" x14ac:dyDescent="0.25">
      <c r="A226" s="93">
        <v>2140</v>
      </c>
      <c r="B226" s="84" t="s">
        <v>621</v>
      </c>
      <c r="C226" s="83">
        <v>3610050</v>
      </c>
    </row>
    <row r="227" spans="1:3" x14ac:dyDescent="0.25">
      <c r="A227" s="93">
        <v>2145</v>
      </c>
      <c r="B227" s="84" t="s">
        <v>620</v>
      </c>
      <c r="C227" s="83">
        <v>3610080</v>
      </c>
    </row>
    <row r="228" spans="1:3" x14ac:dyDescent="0.25">
      <c r="A228" s="93">
        <v>5807</v>
      </c>
      <c r="B228" s="84" t="s">
        <v>619</v>
      </c>
      <c r="C228" s="83">
        <v>3610140</v>
      </c>
    </row>
    <row r="229" spans="1:3" x14ac:dyDescent="0.25">
      <c r="A229" s="93">
        <v>2147</v>
      </c>
      <c r="B229" s="84" t="s">
        <v>618</v>
      </c>
      <c r="C229" s="83">
        <v>3610170</v>
      </c>
    </row>
    <row r="230" spans="1:3" x14ac:dyDescent="0.25">
      <c r="A230" s="93">
        <v>2148</v>
      </c>
      <c r="B230" s="84" t="s">
        <v>617</v>
      </c>
      <c r="C230" s="83">
        <v>3610200</v>
      </c>
    </row>
    <row r="231" spans="1:3" x14ac:dyDescent="0.25">
      <c r="A231" s="93">
        <v>4008</v>
      </c>
      <c r="B231" s="84" t="s">
        <v>616</v>
      </c>
      <c r="C231" s="83">
        <v>3610230</v>
      </c>
    </row>
    <row r="232" spans="1:3" x14ac:dyDescent="0.25">
      <c r="A232" s="93">
        <v>3992</v>
      </c>
      <c r="B232" s="84" t="s">
        <v>615</v>
      </c>
      <c r="C232" s="83">
        <v>3610260</v>
      </c>
    </row>
    <row r="233" spans="1:3" x14ac:dyDescent="0.25">
      <c r="A233" s="93">
        <v>3928</v>
      </c>
      <c r="B233" s="84" t="s">
        <v>614</v>
      </c>
      <c r="C233" s="83">
        <v>3610380</v>
      </c>
    </row>
    <row r="234" spans="1:3" x14ac:dyDescent="0.25">
      <c r="A234" s="93">
        <v>5507</v>
      </c>
      <c r="B234" s="84" t="s">
        <v>613</v>
      </c>
      <c r="C234" s="83">
        <v>3610410</v>
      </c>
    </row>
    <row r="235" spans="1:3" x14ac:dyDescent="0.25">
      <c r="A235" s="93">
        <v>2149</v>
      </c>
      <c r="B235" s="84" t="s">
        <v>612</v>
      </c>
      <c r="C235" s="83">
        <v>3610500</v>
      </c>
    </row>
    <row r="236" spans="1:3" x14ac:dyDescent="0.25">
      <c r="A236" s="93">
        <v>3229</v>
      </c>
      <c r="B236" s="84" t="s">
        <v>611</v>
      </c>
      <c r="C236" s="83">
        <v>3610530</v>
      </c>
    </row>
    <row r="237" spans="1:3" x14ac:dyDescent="0.25">
      <c r="A237" s="93">
        <v>1065</v>
      </c>
      <c r="B237" s="84" t="s">
        <v>610</v>
      </c>
      <c r="C237" s="83">
        <v>3610560</v>
      </c>
    </row>
    <row r="238" spans="1:3" x14ac:dyDescent="0.25">
      <c r="A238" s="93">
        <v>2150</v>
      </c>
      <c r="B238" s="84" t="s">
        <v>609</v>
      </c>
      <c r="C238" s="83">
        <v>3610590</v>
      </c>
    </row>
    <row r="239" spans="1:3" x14ac:dyDescent="0.25">
      <c r="A239" s="93">
        <v>4356</v>
      </c>
      <c r="B239" s="84" t="s">
        <v>608</v>
      </c>
      <c r="C239" s="83">
        <v>3610620</v>
      </c>
    </row>
    <row r="240" spans="1:3" x14ac:dyDescent="0.25">
      <c r="A240" s="93">
        <v>5806</v>
      </c>
      <c r="B240" s="84" t="s">
        <v>607</v>
      </c>
      <c r="C240" s="83">
        <v>3610650</v>
      </c>
    </row>
    <row r="241" spans="1:3" x14ac:dyDescent="0.25">
      <c r="A241" s="93">
        <v>5458</v>
      </c>
      <c r="B241" s="84" t="s">
        <v>606</v>
      </c>
      <c r="C241" s="83">
        <v>3610680</v>
      </c>
    </row>
    <row r="242" spans="1:3" x14ac:dyDescent="0.25">
      <c r="A242" s="93">
        <v>2155</v>
      </c>
      <c r="B242" s="84" t="s">
        <v>605</v>
      </c>
      <c r="C242" s="83">
        <v>3610710</v>
      </c>
    </row>
    <row r="243" spans="1:3" x14ac:dyDescent="0.25">
      <c r="A243" s="93">
        <v>4531</v>
      </c>
      <c r="B243" s="84" t="s">
        <v>604</v>
      </c>
      <c r="C243" s="83">
        <v>3610860</v>
      </c>
    </row>
    <row r="244" spans="1:3" x14ac:dyDescent="0.25">
      <c r="A244" s="93">
        <v>2160</v>
      </c>
      <c r="B244" s="84" t="s">
        <v>603</v>
      </c>
      <c r="C244" s="83">
        <v>3610890</v>
      </c>
    </row>
    <row r="245" spans="1:3" x14ac:dyDescent="0.25">
      <c r="A245" s="93">
        <v>3330</v>
      </c>
      <c r="B245" s="84" t="s">
        <v>602</v>
      </c>
      <c r="C245" s="83">
        <v>3610920</v>
      </c>
    </row>
    <row r="246" spans="1:3" x14ac:dyDescent="0.25">
      <c r="A246" s="93">
        <v>2165</v>
      </c>
      <c r="B246" s="84" t="s">
        <v>601</v>
      </c>
      <c r="C246" s="83">
        <v>3610950</v>
      </c>
    </row>
    <row r="247" spans="1:3" x14ac:dyDescent="0.25">
      <c r="A247" s="93">
        <v>2170</v>
      </c>
      <c r="B247" s="84" t="s">
        <v>600</v>
      </c>
      <c r="C247" s="83">
        <v>3610980</v>
      </c>
    </row>
    <row r="248" spans="1:3" x14ac:dyDescent="0.25">
      <c r="A248" s="93">
        <v>3107</v>
      </c>
      <c r="B248" s="84" t="s">
        <v>599</v>
      </c>
      <c r="C248" s="83">
        <v>3611070</v>
      </c>
    </row>
    <row r="249" spans="1:3" x14ac:dyDescent="0.25">
      <c r="A249" s="93">
        <v>5371</v>
      </c>
      <c r="B249" s="84" t="s">
        <v>598</v>
      </c>
      <c r="C249" s="83">
        <v>3611100</v>
      </c>
    </row>
    <row r="250" spans="1:3" x14ac:dyDescent="0.25">
      <c r="A250" s="93">
        <v>4358</v>
      </c>
      <c r="B250" s="84" t="s">
        <v>597</v>
      </c>
      <c r="C250" s="83">
        <v>3611160</v>
      </c>
    </row>
    <row r="251" spans="1:3" x14ac:dyDescent="0.25">
      <c r="A251" s="93">
        <v>4021</v>
      </c>
      <c r="B251" s="84" t="s">
        <v>596</v>
      </c>
      <c r="C251" s="83">
        <v>3611190</v>
      </c>
    </row>
    <row r="252" spans="1:3" x14ac:dyDescent="0.25">
      <c r="A252" s="93">
        <v>3332</v>
      </c>
      <c r="B252" s="84" t="s">
        <v>595</v>
      </c>
      <c r="C252" s="83">
        <v>3611250</v>
      </c>
    </row>
    <row r="253" spans="1:3" x14ac:dyDescent="0.25">
      <c r="A253" s="93">
        <v>5677</v>
      </c>
      <c r="B253" s="84" t="s">
        <v>594</v>
      </c>
      <c r="C253" s="83">
        <v>3611280</v>
      </c>
    </row>
    <row r="254" spans="1:3" x14ac:dyDescent="0.25">
      <c r="A254" s="93">
        <v>5678</v>
      </c>
      <c r="B254" s="84" t="s">
        <v>593</v>
      </c>
      <c r="C254" s="83">
        <v>3611310</v>
      </c>
    </row>
    <row r="255" spans="1:3" x14ac:dyDescent="0.25">
      <c r="A255" s="93">
        <v>4022</v>
      </c>
      <c r="B255" s="84" t="s">
        <v>592</v>
      </c>
      <c r="C255" s="83">
        <v>3611370</v>
      </c>
    </row>
    <row r="256" spans="1:3" x14ac:dyDescent="0.25">
      <c r="A256" s="93">
        <v>2175</v>
      </c>
      <c r="B256" s="84" t="s">
        <v>591</v>
      </c>
      <c r="C256" s="83">
        <v>3611400</v>
      </c>
    </row>
    <row r="257" spans="1:3" x14ac:dyDescent="0.25">
      <c r="A257" s="93">
        <v>3552</v>
      </c>
      <c r="B257" s="84" t="s">
        <v>590</v>
      </c>
      <c r="C257" s="83">
        <v>3611430</v>
      </c>
    </row>
    <row r="258" spans="1:3" x14ac:dyDescent="0.25">
      <c r="A258" s="93">
        <v>4357</v>
      </c>
      <c r="B258" s="84" t="s">
        <v>589</v>
      </c>
      <c r="C258" s="83">
        <v>3611460</v>
      </c>
    </row>
    <row r="259" spans="1:3" x14ac:dyDescent="0.25">
      <c r="A259" s="93">
        <v>3204</v>
      </c>
      <c r="B259" s="84" t="s">
        <v>588</v>
      </c>
      <c r="C259" s="83">
        <v>3611490</v>
      </c>
    </row>
    <row r="260" spans="1:3" x14ac:dyDescent="0.25">
      <c r="A260" s="93">
        <v>2180</v>
      </c>
      <c r="B260" s="84" t="s">
        <v>587</v>
      </c>
      <c r="C260" s="83">
        <v>3611520</v>
      </c>
    </row>
    <row r="261" spans="1:3" x14ac:dyDescent="0.25">
      <c r="A261" s="93">
        <v>2185</v>
      </c>
      <c r="B261" s="84" t="s">
        <v>586</v>
      </c>
      <c r="C261" s="83">
        <v>3611550</v>
      </c>
    </row>
    <row r="262" spans="1:3" x14ac:dyDescent="0.25">
      <c r="A262" s="93">
        <v>3326</v>
      </c>
      <c r="B262" s="84" t="s">
        <v>585</v>
      </c>
      <c r="C262" s="83">
        <v>3611610</v>
      </c>
    </row>
    <row r="263" spans="1:3" x14ac:dyDescent="0.25">
      <c r="A263" s="93">
        <v>3078</v>
      </c>
      <c r="B263" s="84" t="s">
        <v>584</v>
      </c>
      <c r="C263" s="83">
        <v>3611640</v>
      </c>
    </row>
    <row r="264" spans="1:3" x14ac:dyDescent="0.25">
      <c r="A264" s="93">
        <v>2187</v>
      </c>
      <c r="B264" s="84" t="s">
        <v>583</v>
      </c>
      <c r="C264" s="83">
        <v>3611670</v>
      </c>
    </row>
    <row r="265" spans="1:3" x14ac:dyDescent="0.25">
      <c r="A265" s="93">
        <v>1070</v>
      </c>
      <c r="B265" s="84" t="s">
        <v>582</v>
      </c>
      <c r="C265" s="83">
        <v>3611700</v>
      </c>
    </row>
    <row r="266" spans="1:3" x14ac:dyDescent="0.25">
      <c r="A266" s="93">
        <v>5078</v>
      </c>
      <c r="B266" s="84" t="s">
        <v>581</v>
      </c>
      <c r="C266" s="83">
        <v>3611730</v>
      </c>
    </row>
    <row r="267" spans="1:3" x14ac:dyDescent="0.25">
      <c r="A267" s="93">
        <v>4598</v>
      </c>
      <c r="B267" s="84" t="s">
        <v>580</v>
      </c>
      <c r="C267" s="83">
        <v>3611740</v>
      </c>
    </row>
    <row r="268" spans="1:3" x14ac:dyDescent="0.25">
      <c r="A268" s="93">
        <v>2190</v>
      </c>
      <c r="B268" s="84" t="s">
        <v>579</v>
      </c>
      <c r="C268" s="83">
        <v>3611760</v>
      </c>
    </row>
    <row r="269" spans="1:3" x14ac:dyDescent="0.25">
      <c r="A269" s="93">
        <v>4855</v>
      </c>
      <c r="B269" s="84" t="s">
        <v>578</v>
      </c>
      <c r="C269" s="83">
        <v>3611860</v>
      </c>
    </row>
    <row r="270" spans="1:3" x14ac:dyDescent="0.25">
      <c r="A270" s="93">
        <v>2191</v>
      </c>
      <c r="B270" s="84" t="s">
        <v>577</v>
      </c>
      <c r="C270" s="83">
        <v>3611880</v>
      </c>
    </row>
    <row r="271" spans="1:3" x14ac:dyDescent="0.25">
      <c r="A271" s="93">
        <v>4128</v>
      </c>
      <c r="B271" s="84" t="s">
        <v>576</v>
      </c>
      <c r="C271" s="83">
        <v>3611910</v>
      </c>
    </row>
    <row r="272" spans="1:3" x14ac:dyDescent="0.25">
      <c r="A272" s="93">
        <v>4153</v>
      </c>
      <c r="B272" s="84" t="s">
        <v>575</v>
      </c>
      <c r="C272" s="83">
        <v>3611940</v>
      </c>
    </row>
    <row r="273" spans="1:3" x14ac:dyDescent="0.25">
      <c r="A273" s="93">
        <v>1075</v>
      </c>
      <c r="B273" s="84" t="s">
        <v>574</v>
      </c>
      <c r="C273" s="83">
        <v>3611970</v>
      </c>
    </row>
    <row r="274" spans="1:3" x14ac:dyDescent="0.25">
      <c r="A274" s="93">
        <v>4910</v>
      </c>
      <c r="B274" s="84" t="s">
        <v>573</v>
      </c>
      <c r="C274" s="83">
        <v>3612030</v>
      </c>
    </row>
    <row r="275" spans="1:3" x14ac:dyDescent="0.25">
      <c r="A275" s="93">
        <v>3990</v>
      </c>
      <c r="B275" s="84" t="s">
        <v>572</v>
      </c>
      <c r="C275" s="83">
        <v>3612120</v>
      </c>
    </row>
    <row r="276" spans="1:3" x14ac:dyDescent="0.25">
      <c r="A276" s="93">
        <v>1080</v>
      </c>
      <c r="B276" s="84" t="s">
        <v>571</v>
      </c>
      <c r="C276" s="83">
        <v>3612180</v>
      </c>
    </row>
    <row r="277" spans="1:3" x14ac:dyDescent="0.25">
      <c r="A277" s="93">
        <v>1085</v>
      </c>
      <c r="B277" s="84" t="s">
        <v>570</v>
      </c>
      <c r="C277" s="83">
        <v>3612240</v>
      </c>
    </row>
    <row r="278" spans="1:3" x14ac:dyDescent="0.25">
      <c r="A278" s="93">
        <v>5691</v>
      </c>
      <c r="B278" s="84" t="s">
        <v>849</v>
      </c>
      <c r="C278" s="83">
        <v>3602310</v>
      </c>
    </row>
    <row r="279" spans="1:3" x14ac:dyDescent="0.25">
      <c r="A279" s="93">
        <v>1090</v>
      </c>
      <c r="B279" s="84" t="s">
        <v>569</v>
      </c>
      <c r="C279" s="83">
        <v>3612270</v>
      </c>
    </row>
    <row r="280" spans="1:3" x14ac:dyDescent="0.25">
      <c r="A280" s="93">
        <v>2363</v>
      </c>
      <c r="B280" s="84" t="s">
        <v>568</v>
      </c>
      <c r="C280" s="83">
        <v>3612300</v>
      </c>
    </row>
    <row r="281" spans="1:3" x14ac:dyDescent="0.25">
      <c r="A281" s="93">
        <v>4653</v>
      </c>
      <c r="B281" s="84" t="s">
        <v>567</v>
      </c>
      <c r="C281" s="83">
        <v>3612330</v>
      </c>
    </row>
    <row r="282" spans="1:3" x14ac:dyDescent="0.25">
      <c r="A282" s="93">
        <v>2195</v>
      </c>
      <c r="B282" s="84" t="s">
        <v>566</v>
      </c>
      <c r="C282" s="83">
        <v>3612360</v>
      </c>
    </row>
    <row r="283" spans="1:3" x14ac:dyDescent="0.25">
      <c r="A283" s="93">
        <v>2196</v>
      </c>
      <c r="B283" s="84" t="s">
        <v>565</v>
      </c>
      <c r="C283" s="83">
        <v>3612390</v>
      </c>
    </row>
    <row r="284" spans="1:3" x14ac:dyDescent="0.25">
      <c r="A284" s="93">
        <v>5821</v>
      </c>
      <c r="B284" s="84" t="s">
        <v>564</v>
      </c>
      <c r="C284" s="83">
        <v>3612400</v>
      </c>
    </row>
    <row r="285" spans="1:3" x14ac:dyDescent="0.25">
      <c r="A285" s="93">
        <v>5679</v>
      </c>
      <c r="B285" s="84" t="s">
        <v>563</v>
      </c>
      <c r="C285" s="83">
        <v>3612450</v>
      </c>
    </row>
    <row r="286" spans="1:3" x14ac:dyDescent="0.25">
      <c r="A286" s="93">
        <v>2200</v>
      </c>
      <c r="B286" s="84" t="s">
        <v>562</v>
      </c>
      <c r="C286" s="83">
        <v>3612510</v>
      </c>
    </row>
    <row r="287" spans="1:3" x14ac:dyDescent="0.25">
      <c r="A287" s="93">
        <v>2204</v>
      </c>
      <c r="B287" s="84" t="s">
        <v>561</v>
      </c>
      <c r="C287" s="83">
        <v>3612630</v>
      </c>
    </row>
    <row r="288" spans="1:3" x14ac:dyDescent="0.25">
      <c r="A288" s="93">
        <v>2205</v>
      </c>
      <c r="B288" s="84" t="s">
        <v>560</v>
      </c>
      <c r="C288" s="83">
        <v>3612660</v>
      </c>
    </row>
    <row r="289" spans="1:3" x14ac:dyDescent="0.25">
      <c r="A289" s="93">
        <v>2207</v>
      </c>
      <c r="B289" s="84" t="s">
        <v>559</v>
      </c>
      <c r="C289" s="83">
        <v>3612720</v>
      </c>
    </row>
    <row r="290" spans="1:3" x14ac:dyDescent="0.25">
      <c r="A290" s="93">
        <v>3586</v>
      </c>
      <c r="B290" s="84" t="s">
        <v>558</v>
      </c>
      <c r="C290" s="83">
        <v>3612750</v>
      </c>
    </row>
    <row r="291" spans="1:3" x14ac:dyDescent="0.25">
      <c r="A291" s="93">
        <v>5376</v>
      </c>
      <c r="B291" s="84" t="s">
        <v>557</v>
      </c>
      <c r="C291" s="83">
        <v>3612840</v>
      </c>
    </row>
    <row r="292" spans="1:3" x14ac:dyDescent="0.25">
      <c r="A292" s="93">
        <v>4894</v>
      </c>
      <c r="B292" s="84" t="s">
        <v>556</v>
      </c>
      <c r="C292" s="83">
        <v>3612870</v>
      </c>
    </row>
    <row r="293" spans="1:3" x14ac:dyDescent="0.25">
      <c r="A293" s="93">
        <v>5680</v>
      </c>
      <c r="B293" s="84" t="s">
        <v>555</v>
      </c>
      <c r="C293" s="83">
        <v>3612900</v>
      </c>
    </row>
    <row r="294" spans="1:3" x14ac:dyDescent="0.25">
      <c r="A294" s="93">
        <v>4662</v>
      </c>
      <c r="B294" s="84" t="s">
        <v>554</v>
      </c>
      <c r="C294" s="83">
        <v>3612960</v>
      </c>
    </row>
    <row r="295" spans="1:3" x14ac:dyDescent="0.25">
      <c r="A295" s="93">
        <v>2206</v>
      </c>
      <c r="B295" s="84" t="s">
        <v>553</v>
      </c>
      <c r="C295" s="83">
        <v>3612990</v>
      </c>
    </row>
    <row r="296" spans="1:3" x14ac:dyDescent="0.25">
      <c r="A296" s="93">
        <v>5534</v>
      </c>
      <c r="B296" s="84" t="s">
        <v>552</v>
      </c>
      <c r="C296" s="83">
        <v>3613020</v>
      </c>
    </row>
    <row r="297" spans="1:3" x14ac:dyDescent="0.25">
      <c r="A297" s="93">
        <v>2208</v>
      </c>
      <c r="B297" s="84" t="s">
        <v>551</v>
      </c>
      <c r="C297" s="83">
        <v>3613080</v>
      </c>
    </row>
    <row r="298" spans="1:3" x14ac:dyDescent="0.25">
      <c r="A298" s="93">
        <v>5108</v>
      </c>
      <c r="B298" s="84" t="s">
        <v>550</v>
      </c>
      <c r="C298" s="83">
        <v>3613110</v>
      </c>
    </row>
    <row r="299" spans="1:3" x14ac:dyDescent="0.25">
      <c r="A299" s="93">
        <v>4854</v>
      </c>
      <c r="B299" s="84" t="s">
        <v>549</v>
      </c>
      <c r="C299" s="83">
        <v>3613230</v>
      </c>
    </row>
    <row r="300" spans="1:3" x14ac:dyDescent="0.25">
      <c r="A300" s="93">
        <v>2209</v>
      </c>
      <c r="B300" s="84" t="s">
        <v>548</v>
      </c>
      <c r="C300" s="83">
        <v>3613290</v>
      </c>
    </row>
    <row r="301" spans="1:3" x14ac:dyDescent="0.25">
      <c r="A301" s="93">
        <v>2210</v>
      </c>
      <c r="B301" s="84" t="s">
        <v>547</v>
      </c>
      <c r="C301" s="83">
        <v>3613350</v>
      </c>
    </row>
    <row r="302" spans="1:3" x14ac:dyDescent="0.25">
      <c r="A302" s="93">
        <v>4203</v>
      </c>
      <c r="B302" s="84" t="s">
        <v>546</v>
      </c>
      <c r="C302" s="83">
        <v>3613380</v>
      </c>
    </row>
    <row r="303" spans="1:3" x14ac:dyDescent="0.25">
      <c r="A303" s="93">
        <v>4980</v>
      </c>
      <c r="B303" s="84" t="s">
        <v>545</v>
      </c>
      <c r="C303" s="83">
        <v>3613440</v>
      </c>
    </row>
    <row r="304" spans="1:3" x14ac:dyDescent="0.25">
      <c r="A304" s="93">
        <v>5306</v>
      </c>
      <c r="B304" s="84" t="s">
        <v>544</v>
      </c>
      <c r="C304" s="83">
        <v>3613470</v>
      </c>
    </row>
    <row r="305" spans="1:3" x14ac:dyDescent="0.25">
      <c r="A305" s="93">
        <v>5363</v>
      </c>
      <c r="B305" s="84" t="s">
        <v>543</v>
      </c>
      <c r="C305" s="83">
        <v>3613530</v>
      </c>
    </row>
    <row r="306" spans="1:3" x14ac:dyDescent="0.25">
      <c r="A306" s="93">
        <v>3579</v>
      </c>
      <c r="B306" s="84" t="s">
        <v>542</v>
      </c>
      <c r="C306" s="83">
        <v>3613560</v>
      </c>
    </row>
    <row r="307" spans="1:3" x14ac:dyDescent="0.25">
      <c r="A307" s="93">
        <v>4705</v>
      </c>
      <c r="B307" s="84" t="s">
        <v>541</v>
      </c>
      <c r="C307" s="83">
        <v>3613590</v>
      </c>
    </row>
    <row r="308" spans="1:3" x14ac:dyDescent="0.25">
      <c r="A308" s="93">
        <v>2212</v>
      </c>
      <c r="B308" s="84" t="s">
        <v>540</v>
      </c>
      <c r="C308" s="83">
        <v>3613620</v>
      </c>
    </row>
    <row r="309" spans="1:3" x14ac:dyDescent="0.25">
      <c r="A309" s="93">
        <v>3126</v>
      </c>
      <c r="B309" s="84" t="s">
        <v>539</v>
      </c>
      <c r="C309" s="83">
        <v>3613710</v>
      </c>
    </row>
    <row r="310" spans="1:3" x14ac:dyDescent="0.25">
      <c r="A310" s="93">
        <v>2215</v>
      </c>
      <c r="B310" s="84" t="s">
        <v>538</v>
      </c>
      <c r="C310" s="83">
        <v>3613740</v>
      </c>
    </row>
    <row r="311" spans="1:3" x14ac:dyDescent="0.25">
      <c r="A311" s="93">
        <v>4983</v>
      </c>
      <c r="B311" s="84" t="s">
        <v>537</v>
      </c>
      <c r="C311" s="83">
        <v>3613770</v>
      </c>
    </row>
    <row r="312" spans="1:3" x14ac:dyDescent="0.25">
      <c r="A312" s="93">
        <v>5681</v>
      </c>
      <c r="B312" s="84" t="s">
        <v>536</v>
      </c>
      <c r="C312" s="83">
        <v>3613830</v>
      </c>
    </row>
    <row r="313" spans="1:3" x14ac:dyDescent="0.25">
      <c r="A313" s="93">
        <v>2220</v>
      </c>
      <c r="B313" s="84" t="s">
        <v>535</v>
      </c>
      <c r="C313" s="83">
        <v>3613950</v>
      </c>
    </row>
    <row r="314" spans="1:3" x14ac:dyDescent="0.25">
      <c r="A314" s="93">
        <v>2224</v>
      </c>
      <c r="B314" s="84" t="s">
        <v>534</v>
      </c>
      <c r="C314" s="83">
        <v>3613980</v>
      </c>
    </row>
    <row r="315" spans="1:3" x14ac:dyDescent="0.25">
      <c r="A315" s="93">
        <v>2225</v>
      </c>
      <c r="B315" s="84" t="s">
        <v>533</v>
      </c>
      <c r="C315" s="83">
        <v>3614010</v>
      </c>
    </row>
    <row r="316" spans="1:3" x14ac:dyDescent="0.25">
      <c r="A316" s="93">
        <v>5813</v>
      </c>
      <c r="B316" s="84" t="s">
        <v>532</v>
      </c>
      <c r="C316" s="83">
        <v>3614070</v>
      </c>
    </row>
    <row r="317" spans="1:3" x14ac:dyDescent="0.25">
      <c r="A317" s="93">
        <v>2230</v>
      </c>
      <c r="B317" s="84" t="s">
        <v>531</v>
      </c>
      <c r="C317" s="83">
        <v>3614130</v>
      </c>
    </row>
    <row r="318" spans="1:3" x14ac:dyDescent="0.25">
      <c r="A318" s="93">
        <v>2231</v>
      </c>
      <c r="B318" s="84" t="s">
        <v>530</v>
      </c>
      <c r="C318" s="83">
        <v>3614190</v>
      </c>
    </row>
    <row r="319" spans="1:3" x14ac:dyDescent="0.25">
      <c r="A319" s="93">
        <v>2235</v>
      </c>
      <c r="B319" s="84" t="s">
        <v>529</v>
      </c>
      <c r="C319" s="83">
        <v>3614220</v>
      </c>
    </row>
    <row r="320" spans="1:3" x14ac:dyDescent="0.25">
      <c r="A320" s="93">
        <v>4978</v>
      </c>
      <c r="B320" s="84" t="s">
        <v>528</v>
      </c>
      <c r="C320" s="83">
        <v>3614250</v>
      </c>
    </row>
    <row r="321" spans="1:3" x14ac:dyDescent="0.25">
      <c r="A321" s="93">
        <v>2402</v>
      </c>
      <c r="B321" s="84" t="s">
        <v>527</v>
      </c>
      <c r="C321" s="83">
        <v>3614280</v>
      </c>
    </row>
    <row r="322" spans="1:3" x14ac:dyDescent="0.25">
      <c r="A322" s="93">
        <v>4982</v>
      </c>
      <c r="B322" s="84" t="s">
        <v>526</v>
      </c>
      <c r="C322" s="83">
        <v>3614310</v>
      </c>
    </row>
    <row r="323" spans="1:3" x14ac:dyDescent="0.25">
      <c r="A323" s="93">
        <v>2240</v>
      </c>
      <c r="B323" s="84" t="s">
        <v>525</v>
      </c>
      <c r="C323" s="83">
        <v>3614340</v>
      </c>
    </row>
    <row r="324" spans="1:3" x14ac:dyDescent="0.25">
      <c r="A324" s="93">
        <v>5601</v>
      </c>
      <c r="B324" s="84" t="s">
        <v>524</v>
      </c>
      <c r="C324" s="83">
        <v>3614400</v>
      </c>
    </row>
    <row r="325" spans="1:3" x14ac:dyDescent="0.25">
      <c r="A325" s="93">
        <v>4604</v>
      </c>
      <c r="B325" s="84" t="s">
        <v>523</v>
      </c>
      <c r="C325" s="83">
        <v>3614430</v>
      </c>
    </row>
    <row r="326" spans="1:3" x14ac:dyDescent="0.25">
      <c r="A326" s="93">
        <v>2239</v>
      </c>
      <c r="B326" s="84" t="s">
        <v>522</v>
      </c>
      <c r="C326" s="83">
        <v>3614460</v>
      </c>
    </row>
    <row r="327" spans="1:3" x14ac:dyDescent="0.25">
      <c r="A327" s="93">
        <v>3201</v>
      </c>
      <c r="B327" s="84" t="s">
        <v>521</v>
      </c>
      <c r="C327" s="83">
        <v>3614490</v>
      </c>
    </row>
    <row r="328" spans="1:3" x14ac:dyDescent="0.25">
      <c r="A328" s="93">
        <v>3702</v>
      </c>
      <c r="B328" s="84" t="s">
        <v>520</v>
      </c>
      <c r="C328" s="83">
        <v>3614550</v>
      </c>
    </row>
    <row r="329" spans="1:3" x14ac:dyDescent="0.25">
      <c r="A329" s="93">
        <v>2244</v>
      </c>
      <c r="B329" s="84" t="s">
        <v>519</v>
      </c>
      <c r="C329" s="83">
        <v>3614580</v>
      </c>
    </row>
    <row r="330" spans="1:3" x14ac:dyDescent="0.25">
      <c r="A330" s="93">
        <v>4260</v>
      </c>
      <c r="B330" s="84" t="s">
        <v>518</v>
      </c>
      <c r="C330" s="83">
        <v>3614610</v>
      </c>
    </row>
    <row r="331" spans="1:3" x14ac:dyDescent="0.25">
      <c r="A331" s="93">
        <v>2242</v>
      </c>
      <c r="B331" s="84" t="s">
        <v>517</v>
      </c>
      <c r="C331" s="83">
        <v>3614640</v>
      </c>
    </row>
    <row r="332" spans="1:3" x14ac:dyDescent="0.25">
      <c r="A332" s="93">
        <v>4586</v>
      </c>
      <c r="B332" s="84" t="s">
        <v>516</v>
      </c>
      <c r="C332" s="83">
        <v>3614670</v>
      </c>
    </row>
    <row r="333" spans="1:3" x14ac:dyDescent="0.25">
      <c r="A333" s="93">
        <v>2243</v>
      </c>
      <c r="B333" s="84" t="s">
        <v>515</v>
      </c>
      <c r="C333" s="83">
        <v>3614700</v>
      </c>
    </row>
    <row r="334" spans="1:3" x14ac:dyDescent="0.25">
      <c r="A334" s="93">
        <v>4879</v>
      </c>
      <c r="B334" s="84" t="s">
        <v>514</v>
      </c>
      <c r="C334" s="83">
        <v>3614730</v>
      </c>
    </row>
    <row r="335" spans="1:3" x14ac:dyDescent="0.25">
      <c r="A335" s="93">
        <v>2241</v>
      </c>
      <c r="B335" s="84" t="s">
        <v>513</v>
      </c>
      <c r="C335" s="83">
        <v>3614760</v>
      </c>
    </row>
    <row r="336" spans="1:3" x14ac:dyDescent="0.25">
      <c r="A336" s="93">
        <v>1095</v>
      </c>
      <c r="B336" s="84" t="s">
        <v>512</v>
      </c>
      <c r="C336" s="83">
        <v>3614820</v>
      </c>
    </row>
    <row r="337" spans="1:3" x14ac:dyDescent="0.25">
      <c r="A337" s="93">
        <v>2245</v>
      </c>
      <c r="B337" s="84" t="s">
        <v>511</v>
      </c>
      <c r="C337" s="83">
        <v>3614850</v>
      </c>
    </row>
    <row r="338" spans="1:3" x14ac:dyDescent="0.25">
      <c r="A338" s="93">
        <v>4134</v>
      </c>
      <c r="B338" s="84" t="s">
        <v>510</v>
      </c>
      <c r="C338" s="83">
        <v>3614880</v>
      </c>
    </row>
    <row r="339" spans="1:3" x14ac:dyDescent="0.25">
      <c r="A339" s="93">
        <v>1100</v>
      </c>
      <c r="B339" s="84" t="s">
        <v>509</v>
      </c>
      <c r="C339" s="83">
        <v>3614940</v>
      </c>
    </row>
    <row r="340" spans="1:3" x14ac:dyDescent="0.25">
      <c r="A340" s="93">
        <v>2250</v>
      </c>
      <c r="B340" s="84" t="s">
        <v>508</v>
      </c>
      <c r="C340" s="83">
        <v>3614970</v>
      </c>
    </row>
    <row r="341" spans="1:3" x14ac:dyDescent="0.25">
      <c r="A341" s="93">
        <v>5533</v>
      </c>
      <c r="B341" s="84" t="s">
        <v>507</v>
      </c>
      <c r="C341" s="83">
        <v>3615030</v>
      </c>
    </row>
    <row r="342" spans="1:3" x14ac:dyDescent="0.25">
      <c r="A342" s="93">
        <v>3979</v>
      </c>
      <c r="B342" s="84" t="s">
        <v>506</v>
      </c>
      <c r="C342" s="83">
        <v>3615060</v>
      </c>
    </row>
    <row r="343" spans="1:3" x14ac:dyDescent="0.25">
      <c r="A343" s="93">
        <v>2255</v>
      </c>
      <c r="B343" s="84" t="s">
        <v>505</v>
      </c>
      <c r="C343" s="83">
        <v>3615090</v>
      </c>
    </row>
    <row r="344" spans="1:3" x14ac:dyDescent="0.25">
      <c r="A344" s="93">
        <v>2260</v>
      </c>
      <c r="B344" s="84" t="s">
        <v>504</v>
      </c>
      <c r="C344" s="83">
        <v>3615180</v>
      </c>
    </row>
    <row r="345" spans="1:3" x14ac:dyDescent="0.25">
      <c r="A345" s="93">
        <v>5693</v>
      </c>
      <c r="B345" s="84" t="s">
        <v>503</v>
      </c>
      <c r="C345" s="83">
        <v>3615270</v>
      </c>
    </row>
    <row r="346" spans="1:3" x14ac:dyDescent="0.25">
      <c r="A346" s="93">
        <v>2266</v>
      </c>
      <c r="B346" s="84" t="s">
        <v>502</v>
      </c>
      <c r="C346" s="83">
        <v>3615300</v>
      </c>
    </row>
    <row r="347" spans="1:3" x14ac:dyDescent="0.25">
      <c r="A347" s="93">
        <v>4124</v>
      </c>
      <c r="B347" s="84" t="s">
        <v>501</v>
      </c>
      <c r="C347" s="83">
        <v>3615330</v>
      </c>
    </row>
    <row r="348" spans="1:3" x14ac:dyDescent="0.25">
      <c r="A348" s="93">
        <v>2271</v>
      </c>
      <c r="B348" s="84" t="s">
        <v>500</v>
      </c>
      <c r="C348" s="83">
        <v>3615360</v>
      </c>
    </row>
    <row r="349" spans="1:3" x14ac:dyDescent="0.25">
      <c r="A349" s="93">
        <v>2270</v>
      </c>
      <c r="B349" s="84" t="s">
        <v>499</v>
      </c>
      <c r="C349" s="83">
        <v>3615390</v>
      </c>
    </row>
    <row r="350" spans="1:3" x14ac:dyDescent="0.25">
      <c r="A350" s="93">
        <v>5801</v>
      </c>
      <c r="B350" s="84" t="s">
        <v>498</v>
      </c>
      <c r="C350" s="83">
        <v>3615450</v>
      </c>
    </row>
    <row r="351" spans="1:3" x14ac:dyDescent="0.25">
      <c r="A351" s="93">
        <v>4365</v>
      </c>
      <c r="B351" s="84" t="s">
        <v>497</v>
      </c>
      <c r="C351" s="83">
        <v>3615480</v>
      </c>
    </row>
    <row r="352" spans="1:3" x14ac:dyDescent="0.25">
      <c r="A352" s="93">
        <v>2272</v>
      </c>
      <c r="B352" s="84" t="s">
        <v>496</v>
      </c>
      <c r="C352" s="83">
        <v>3615510</v>
      </c>
    </row>
    <row r="353" spans="1:3" x14ac:dyDescent="0.25">
      <c r="A353" s="93">
        <v>5418</v>
      </c>
      <c r="B353" s="84" t="s">
        <v>495</v>
      </c>
      <c r="C353" s="83">
        <v>3615540</v>
      </c>
    </row>
    <row r="354" spans="1:3" x14ac:dyDescent="0.25">
      <c r="A354" s="93">
        <v>1105</v>
      </c>
      <c r="B354" s="84" t="s">
        <v>494</v>
      </c>
      <c r="C354" s="83">
        <v>3615570</v>
      </c>
    </row>
    <row r="355" spans="1:3" x14ac:dyDescent="0.25">
      <c r="A355" s="93">
        <v>1110</v>
      </c>
      <c r="B355" s="84" t="s">
        <v>493</v>
      </c>
      <c r="C355" s="83">
        <v>3615630</v>
      </c>
    </row>
    <row r="356" spans="1:3" x14ac:dyDescent="0.25">
      <c r="A356" s="93">
        <v>8140</v>
      </c>
      <c r="B356" s="84" t="s">
        <v>493</v>
      </c>
      <c r="C356" s="83">
        <v>3615630</v>
      </c>
    </row>
    <row r="357" spans="1:3" x14ac:dyDescent="0.25">
      <c r="A357" s="93">
        <v>3989</v>
      </c>
      <c r="B357" s="84" t="s">
        <v>492</v>
      </c>
      <c r="C357" s="83">
        <v>3615720</v>
      </c>
    </row>
    <row r="358" spans="1:3" x14ac:dyDescent="0.25">
      <c r="A358" s="93">
        <v>8142</v>
      </c>
      <c r="B358" s="84" t="s">
        <v>492</v>
      </c>
      <c r="C358" s="83">
        <v>3615720</v>
      </c>
    </row>
    <row r="359" spans="1:3" x14ac:dyDescent="0.25">
      <c r="A359" s="93">
        <v>5403</v>
      </c>
      <c r="B359" s="84" t="s">
        <v>491</v>
      </c>
      <c r="C359" s="83">
        <v>3615780</v>
      </c>
    </row>
    <row r="360" spans="1:3" x14ac:dyDescent="0.25">
      <c r="A360" s="93">
        <v>2275</v>
      </c>
      <c r="B360" s="84" t="s">
        <v>490</v>
      </c>
      <c r="C360" s="83">
        <v>3615810</v>
      </c>
    </row>
    <row r="361" spans="1:3" x14ac:dyDescent="0.25">
      <c r="A361" s="93">
        <v>5688</v>
      </c>
      <c r="B361" s="84" t="s">
        <v>489</v>
      </c>
      <c r="C361" s="83">
        <v>3615870</v>
      </c>
    </row>
    <row r="362" spans="1:3" x14ac:dyDescent="0.25">
      <c r="A362" s="93">
        <v>2280</v>
      </c>
      <c r="B362" s="84" t="s">
        <v>488</v>
      </c>
      <c r="C362" s="83">
        <v>3615900</v>
      </c>
    </row>
    <row r="363" spans="1:3" x14ac:dyDescent="0.25">
      <c r="A363" s="93">
        <v>1115</v>
      </c>
      <c r="B363" s="84" t="s">
        <v>487</v>
      </c>
      <c r="C363" s="83">
        <v>3615980</v>
      </c>
    </row>
    <row r="364" spans="1:3" x14ac:dyDescent="0.25">
      <c r="A364" s="93">
        <v>2281</v>
      </c>
      <c r="B364" s="84" t="s">
        <v>486</v>
      </c>
      <c r="C364" s="83">
        <v>3615990</v>
      </c>
    </row>
    <row r="365" spans="1:3" x14ac:dyDescent="0.25">
      <c r="A365" s="93">
        <v>2282</v>
      </c>
      <c r="B365" s="84" t="s">
        <v>485</v>
      </c>
      <c r="C365" s="83">
        <v>3616080</v>
      </c>
    </row>
    <row r="366" spans="1:3" x14ac:dyDescent="0.25">
      <c r="A366" s="93">
        <v>3471</v>
      </c>
      <c r="B366" s="84" t="s">
        <v>484</v>
      </c>
      <c r="C366" s="83">
        <v>3616140</v>
      </c>
    </row>
    <row r="367" spans="1:3" x14ac:dyDescent="0.25">
      <c r="A367" s="93">
        <v>3460</v>
      </c>
      <c r="B367" s="84" t="s">
        <v>483</v>
      </c>
      <c r="C367" s="83">
        <v>3616170</v>
      </c>
    </row>
    <row r="368" spans="1:3" x14ac:dyDescent="0.25">
      <c r="A368" s="93">
        <v>4259</v>
      </c>
      <c r="B368" s="84" t="s">
        <v>482</v>
      </c>
      <c r="C368" s="83">
        <v>3616200</v>
      </c>
    </row>
    <row r="369" spans="1:3" x14ac:dyDescent="0.25">
      <c r="A369" s="93">
        <v>2285</v>
      </c>
      <c r="B369" s="84" t="s">
        <v>481</v>
      </c>
      <c r="C369" s="83">
        <v>3616230</v>
      </c>
    </row>
    <row r="370" spans="1:3" x14ac:dyDescent="0.25">
      <c r="A370" s="93">
        <v>2286</v>
      </c>
      <c r="B370" s="84" t="s">
        <v>480</v>
      </c>
      <c r="C370" s="83">
        <v>3616260</v>
      </c>
    </row>
    <row r="371" spans="1:3" x14ac:dyDescent="0.25">
      <c r="A371" s="93">
        <v>1120</v>
      </c>
      <c r="B371" s="84" t="s">
        <v>479</v>
      </c>
      <c r="C371" s="83">
        <v>3616290</v>
      </c>
    </row>
    <row r="372" spans="1:3" x14ac:dyDescent="0.25">
      <c r="A372" s="93">
        <v>4104</v>
      </c>
      <c r="B372" s="84" t="s">
        <v>478</v>
      </c>
      <c r="C372" s="83">
        <v>3616380</v>
      </c>
    </row>
    <row r="373" spans="1:3" x14ac:dyDescent="0.25">
      <c r="A373" s="93">
        <v>4532</v>
      </c>
      <c r="B373" s="84" t="s">
        <v>477</v>
      </c>
      <c r="C373" s="83">
        <v>3616410</v>
      </c>
    </row>
    <row r="374" spans="1:3" x14ac:dyDescent="0.25">
      <c r="A374" s="93">
        <v>1125</v>
      </c>
      <c r="B374" s="84" t="s">
        <v>476</v>
      </c>
      <c r="C374" s="83">
        <v>3616440</v>
      </c>
    </row>
    <row r="375" spans="1:3" x14ac:dyDescent="0.25">
      <c r="A375" s="93">
        <v>5687</v>
      </c>
      <c r="B375" s="84" t="s">
        <v>475</v>
      </c>
      <c r="C375" s="83">
        <v>3616470</v>
      </c>
    </row>
    <row r="376" spans="1:3" x14ac:dyDescent="0.25">
      <c r="A376" s="93">
        <v>3855</v>
      </c>
      <c r="B376" s="84" t="s">
        <v>474</v>
      </c>
      <c r="C376" s="83">
        <v>3616500</v>
      </c>
    </row>
    <row r="377" spans="1:3" x14ac:dyDescent="0.25">
      <c r="A377" s="93">
        <v>4004</v>
      </c>
      <c r="B377" s="84" t="s">
        <v>473</v>
      </c>
      <c r="C377" s="83">
        <v>3616530</v>
      </c>
    </row>
    <row r="378" spans="1:3" x14ac:dyDescent="0.25">
      <c r="A378" s="93">
        <v>2289</v>
      </c>
      <c r="B378" s="84" t="s">
        <v>472</v>
      </c>
      <c r="C378" s="83">
        <v>3616620</v>
      </c>
    </row>
    <row r="379" spans="1:3" x14ac:dyDescent="0.25">
      <c r="A379" s="93">
        <v>2290</v>
      </c>
      <c r="B379" s="84" t="s">
        <v>471</v>
      </c>
      <c r="C379" s="83">
        <v>3616680</v>
      </c>
    </row>
    <row r="380" spans="1:3" x14ac:dyDescent="0.25">
      <c r="A380" s="93">
        <v>5535</v>
      </c>
      <c r="B380" s="84" t="s">
        <v>470</v>
      </c>
      <c r="C380" s="83">
        <v>3616710</v>
      </c>
    </row>
    <row r="381" spans="1:3" x14ac:dyDescent="0.25">
      <c r="A381" s="93">
        <v>2295</v>
      </c>
      <c r="B381" s="84" t="s">
        <v>469</v>
      </c>
      <c r="C381" s="83">
        <v>3616740</v>
      </c>
    </row>
    <row r="382" spans="1:3" x14ac:dyDescent="0.25">
      <c r="A382" s="93">
        <v>3996</v>
      </c>
      <c r="B382" s="84" t="s">
        <v>468</v>
      </c>
      <c r="C382" s="83">
        <v>3616800</v>
      </c>
    </row>
    <row r="383" spans="1:3" x14ac:dyDescent="0.25">
      <c r="A383" s="93">
        <v>2300</v>
      </c>
      <c r="B383" s="84" t="s">
        <v>467</v>
      </c>
      <c r="C383" s="83">
        <v>3616830</v>
      </c>
    </row>
    <row r="384" spans="1:3" x14ac:dyDescent="0.25">
      <c r="A384" s="93">
        <v>2305</v>
      </c>
      <c r="B384" s="84" t="s">
        <v>466</v>
      </c>
      <c r="C384" s="83">
        <v>3616950</v>
      </c>
    </row>
    <row r="385" spans="1:3" x14ac:dyDescent="0.25">
      <c r="A385" s="93">
        <v>5685</v>
      </c>
      <c r="B385" s="84" t="s">
        <v>465</v>
      </c>
      <c r="C385" s="83">
        <v>3616960</v>
      </c>
    </row>
    <row r="386" spans="1:3" x14ac:dyDescent="0.25">
      <c r="A386" s="93">
        <v>2409</v>
      </c>
      <c r="B386" s="84" t="s">
        <v>464</v>
      </c>
      <c r="C386" s="83">
        <v>3616980</v>
      </c>
    </row>
    <row r="387" spans="1:3" x14ac:dyDescent="0.25">
      <c r="A387" s="93">
        <v>4183</v>
      </c>
      <c r="B387" s="84" t="s">
        <v>463</v>
      </c>
      <c r="C387" s="83">
        <v>3617130</v>
      </c>
    </row>
    <row r="388" spans="1:3" x14ac:dyDescent="0.25">
      <c r="A388" s="93">
        <v>2310</v>
      </c>
      <c r="B388" s="84" t="s">
        <v>462</v>
      </c>
      <c r="C388" s="83">
        <v>3617160</v>
      </c>
    </row>
    <row r="389" spans="1:3" x14ac:dyDescent="0.25">
      <c r="A389" s="93">
        <v>2315</v>
      </c>
      <c r="B389" s="84" t="s">
        <v>461</v>
      </c>
      <c r="C389" s="83">
        <v>3617190</v>
      </c>
    </row>
    <row r="390" spans="1:3" x14ac:dyDescent="0.25">
      <c r="A390" s="93">
        <v>2317</v>
      </c>
      <c r="B390" s="84" t="s">
        <v>460</v>
      </c>
      <c r="C390" s="83">
        <v>3617220</v>
      </c>
    </row>
    <row r="391" spans="1:3" x14ac:dyDescent="0.25">
      <c r="A391" s="93">
        <v>2320</v>
      </c>
      <c r="B391" s="84" t="s">
        <v>459</v>
      </c>
      <c r="C391" s="83">
        <v>3617380</v>
      </c>
    </row>
    <row r="392" spans="1:3" x14ac:dyDescent="0.25">
      <c r="A392" s="93">
        <v>5380</v>
      </c>
      <c r="B392" s="84" t="s">
        <v>458</v>
      </c>
      <c r="C392" s="83">
        <v>3617400</v>
      </c>
    </row>
    <row r="393" spans="1:3" x14ac:dyDescent="0.25">
      <c r="A393" s="93">
        <v>5002</v>
      </c>
      <c r="B393" s="84" t="s">
        <v>457</v>
      </c>
      <c r="C393" s="83">
        <v>3617430</v>
      </c>
    </row>
    <row r="394" spans="1:3" x14ac:dyDescent="0.25">
      <c r="A394" s="93">
        <v>1130</v>
      </c>
      <c r="B394" s="84" t="s">
        <v>456</v>
      </c>
      <c r="C394" s="83">
        <v>3617460</v>
      </c>
    </row>
    <row r="395" spans="1:3" x14ac:dyDescent="0.25">
      <c r="A395" s="93">
        <v>2325</v>
      </c>
      <c r="B395" s="84" t="s">
        <v>455</v>
      </c>
      <c r="C395" s="83">
        <v>3617520</v>
      </c>
    </row>
    <row r="396" spans="1:3" x14ac:dyDescent="0.25">
      <c r="A396" s="93">
        <v>5506</v>
      </c>
      <c r="B396" s="84" t="s">
        <v>454</v>
      </c>
      <c r="C396" s="83">
        <v>3617580</v>
      </c>
    </row>
    <row r="397" spans="1:3" x14ac:dyDescent="0.25">
      <c r="A397" s="93">
        <v>2328</v>
      </c>
      <c r="B397" s="84" t="s">
        <v>453</v>
      </c>
      <c r="C397" s="83">
        <v>3617640</v>
      </c>
    </row>
    <row r="398" spans="1:3" x14ac:dyDescent="0.25">
      <c r="A398" s="93">
        <v>1135</v>
      </c>
      <c r="B398" s="84" t="s">
        <v>452</v>
      </c>
      <c r="C398" s="83">
        <v>3617670</v>
      </c>
    </row>
    <row r="399" spans="1:3" x14ac:dyDescent="0.25">
      <c r="A399" s="93">
        <v>2330</v>
      </c>
      <c r="B399" s="84" t="s">
        <v>451</v>
      </c>
      <c r="C399" s="83">
        <v>3617700</v>
      </c>
    </row>
    <row r="400" spans="1:3" x14ac:dyDescent="0.25">
      <c r="A400" s="93">
        <v>1140</v>
      </c>
      <c r="B400" s="84" t="s">
        <v>450</v>
      </c>
      <c r="C400" s="83">
        <v>3617730</v>
      </c>
    </row>
    <row r="401" spans="1:3" x14ac:dyDescent="0.25">
      <c r="A401" s="93">
        <v>3856</v>
      </c>
      <c r="B401" s="84" t="s">
        <v>449</v>
      </c>
      <c r="C401" s="83">
        <v>3617760</v>
      </c>
    </row>
    <row r="402" spans="1:3" x14ac:dyDescent="0.25">
      <c r="A402" s="93">
        <v>4142</v>
      </c>
      <c r="B402" s="84" t="s">
        <v>448</v>
      </c>
      <c r="C402" s="83">
        <v>3617820</v>
      </c>
    </row>
    <row r="403" spans="1:3" x14ac:dyDescent="0.25">
      <c r="A403" s="93">
        <v>4135</v>
      </c>
      <c r="B403" s="84" t="s">
        <v>447</v>
      </c>
      <c r="C403" s="83">
        <v>3617880</v>
      </c>
    </row>
    <row r="404" spans="1:3" x14ac:dyDescent="0.25">
      <c r="A404" s="93">
        <v>2335</v>
      </c>
      <c r="B404" s="84" t="s">
        <v>446</v>
      </c>
      <c r="C404" s="83">
        <v>3617910</v>
      </c>
    </row>
    <row r="405" spans="1:3" x14ac:dyDescent="0.25">
      <c r="A405" s="93">
        <v>4557</v>
      </c>
      <c r="B405" s="84" t="s">
        <v>445</v>
      </c>
      <c r="C405" s="83">
        <v>3617940</v>
      </c>
    </row>
    <row r="406" spans="1:3" x14ac:dyDescent="0.25">
      <c r="A406" s="93">
        <v>4680</v>
      </c>
      <c r="B406" s="84" t="s">
        <v>444</v>
      </c>
      <c r="C406" s="83">
        <v>3617970</v>
      </c>
    </row>
    <row r="407" spans="1:3" x14ac:dyDescent="0.25">
      <c r="A407" s="93">
        <v>4594</v>
      </c>
      <c r="B407" s="84" t="s">
        <v>443</v>
      </c>
      <c r="C407" s="83">
        <v>3618030</v>
      </c>
    </row>
    <row r="408" spans="1:3" x14ac:dyDescent="0.25">
      <c r="A408" s="93">
        <v>4205</v>
      </c>
      <c r="B408" s="84" t="s">
        <v>442</v>
      </c>
      <c r="C408" s="83">
        <v>3618080</v>
      </c>
    </row>
    <row r="409" spans="1:3" x14ac:dyDescent="0.25">
      <c r="A409" s="93">
        <v>5003</v>
      </c>
      <c r="B409" s="84" t="s">
        <v>441</v>
      </c>
      <c r="C409" s="83">
        <v>3618090</v>
      </c>
    </row>
    <row r="410" spans="1:3" x14ac:dyDescent="0.25">
      <c r="A410" s="93">
        <v>2338</v>
      </c>
      <c r="B410" s="84" t="s">
        <v>440</v>
      </c>
      <c r="C410" s="83">
        <v>3618120</v>
      </c>
    </row>
    <row r="411" spans="1:3" x14ac:dyDescent="0.25">
      <c r="A411" s="93">
        <v>2339</v>
      </c>
      <c r="B411" s="84" t="s">
        <v>439</v>
      </c>
      <c r="C411" s="83">
        <v>3618150</v>
      </c>
    </row>
    <row r="412" spans="1:3" x14ac:dyDescent="0.25">
      <c r="A412" s="93">
        <v>2340</v>
      </c>
      <c r="B412" s="84" t="s">
        <v>438</v>
      </c>
      <c r="C412" s="83">
        <v>3618180</v>
      </c>
    </row>
    <row r="413" spans="1:3" x14ac:dyDescent="0.25">
      <c r="A413" s="93">
        <v>2345</v>
      </c>
      <c r="B413" s="84" t="s">
        <v>437</v>
      </c>
      <c r="C413" s="83">
        <v>3618210</v>
      </c>
    </row>
    <row r="414" spans="1:3" x14ac:dyDescent="0.25">
      <c r="A414" s="93">
        <v>2350</v>
      </c>
      <c r="B414" s="84" t="s">
        <v>436</v>
      </c>
      <c r="C414" s="83">
        <v>3618240</v>
      </c>
    </row>
    <row r="415" spans="1:3" x14ac:dyDescent="0.25">
      <c r="A415" s="93">
        <v>2355</v>
      </c>
      <c r="B415" s="84" t="s">
        <v>435</v>
      </c>
      <c r="C415" s="83">
        <v>3618270</v>
      </c>
    </row>
    <row r="416" spans="1:3" x14ac:dyDescent="0.25">
      <c r="A416" s="93">
        <v>2360</v>
      </c>
      <c r="B416" s="84" t="s">
        <v>434</v>
      </c>
      <c r="C416" s="83">
        <v>3618330</v>
      </c>
    </row>
    <row r="417" spans="1:3" x14ac:dyDescent="0.25">
      <c r="A417" s="93">
        <v>3531</v>
      </c>
      <c r="B417" s="84" t="s">
        <v>433</v>
      </c>
      <c r="C417" s="83">
        <v>3618450</v>
      </c>
    </row>
    <row r="418" spans="1:3" x14ac:dyDescent="0.25">
      <c r="A418" s="93">
        <v>2361</v>
      </c>
      <c r="B418" s="84" t="s">
        <v>432</v>
      </c>
      <c r="C418" s="83">
        <v>3618480</v>
      </c>
    </row>
    <row r="419" spans="1:3" x14ac:dyDescent="0.25">
      <c r="A419" s="93">
        <v>3983</v>
      </c>
      <c r="B419" s="84" t="s">
        <v>431</v>
      </c>
      <c r="C419" s="83">
        <v>3618510</v>
      </c>
    </row>
    <row r="420" spans="1:3" x14ac:dyDescent="0.25">
      <c r="A420" s="93">
        <v>4596</v>
      </c>
      <c r="B420" s="84" t="s">
        <v>430</v>
      </c>
      <c r="C420" s="83">
        <v>3618540</v>
      </c>
    </row>
    <row r="421" spans="1:3" x14ac:dyDescent="0.25">
      <c r="A421" s="93">
        <v>2364</v>
      </c>
      <c r="B421" s="84" t="s">
        <v>429</v>
      </c>
      <c r="C421" s="83">
        <v>3618570</v>
      </c>
    </row>
    <row r="422" spans="1:3" x14ac:dyDescent="0.25">
      <c r="A422" s="93">
        <v>2362</v>
      </c>
      <c r="B422" s="84" t="s">
        <v>428</v>
      </c>
      <c r="C422" s="83">
        <v>3618600</v>
      </c>
    </row>
    <row r="423" spans="1:3" x14ac:dyDescent="0.25">
      <c r="A423" s="93">
        <v>2365</v>
      </c>
      <c r="B423" s="84" t="s">
        <v>427</v>
      </c>
      <c r="C423" s="83">
        <v>3618630</v>
      </c>
    </row>
    <row r="424" spans="1:3" x14ac:dyDescent="0.25">
      <c r="A424" s="93">
        <v>2370</v>
      </c>
      <c r="B424" s="84" t="s">
        <v>426</v>
      </c>
      <c r="C424" s="83">
        <v>3618660</v>
      </c>
    </row>
    <row r="425" spans="1:3" x14ac:dyDescent="0.25">
      <c r="A425" s="93">
        <v>2654</v>
      </c>
      <c r="B425" s="84" t="s">
        <v>425</v>
      </c>
      <c r="C425" s="83">
        <v>3618690</v>
      </c>
    </row>
    <row r="426" spans="1:3" x14ac:dyDescent="0.25">
      <c r="A426" s="93">
        <v>4014</v>
      </c>
      <c r="B426" s="84" t="s">
        <v>424</v>
      </c>
      <c r="C426" s="83">
        <v>3618750</v>
      </c>
    </row>
    <row r="427" spans="1:3" x14ac:dyDescent="0.25">
      <c r="A427" s="93">
        <v>3527</v>
      </c>
      <c r="B427" s="84" t="s">
        <v>423</v>
      </c>
      <c r="C427" s="83">
        <v>3618840</v>
      </c>
    </row>
    <row r="428" spans="1:3" x14ac:dyDescent="0.25">
      <c r="A428" s="93">
        <v>1145</v>
      </c>
      <c r="B428" s="84" t="s">
        <v>422</v>
      </c>
      <c r="C428" s="83">
        <v>3618900</v>
      </c>
    </row>
    <row r="429" spans="1:3" x14ac:dyDescent="0.25">
      <c r="A429" s="93">
        <v>2375</v>
      </c>
      <c r="B429" s="84" t="s">
        <v>421</v>
      </c>
      <c r="C429" s="83">
        <v>3618960</v>
      </c>
    </row>
    <row r="430" spans="1:3" x14ac:dyDescent="0.25">
      <c r="A430" s="93">
        <v>3048</v>
      </c>
      <c r="B430" s="84" t="s">
        <v>420</v>
      </c>
      <c r="C430" s="83">
        <v>3618990</v>
      </c>
    </row>
    <row r="431" spans="1:3" x14ac:dyDescent="0.25">
      <c r="A431" s="93">
        <v>4368</v>
      </c>
      <c r="B431" s="84" t="s">
        <v>419</v>
      </c>
      <c r="C431" s="83">
        <v>3619020</v>
      </c>
    </row>
    <row r="432" spans="1:3" x14ac:dyDescent="0.25">
      <c r="A432" s="93">
        <v>4361</v>
      </c>
      <c r="B432" s="84" t="s">
        <v>418</v>
      </c>
      <c r="C432" s="83">
        <v>3619110</v>
      </c>
    </row>
    <row r="433" spans="1:3" x14ac:dyDescent="0.25">
      <c r="A433" s="93">
        <v>2377</v>
      </c>
      <c r="B433" s="84" t="s">
        <v>417</v>
      </c>
      <c r="C433" s="83">
        <v>3619170</v>
      </c>
    </row>
    <row r="434" spans="1:3" x14ac:dyDescent="0.25">
      <c r="A434" s="93">
        <v>2379</v>
      </c>
      <c r="B434" s="84" t="s">
        <v>416</v>
      </c>
      <c r="C434" s="83">
        <v>3619200</v>
      </c>
    </row>
    <row r="435" spans="1:3" x14ac:dyDescent="0.25">
      <c r="A435" s="93">
        <v>2378</v>
      </c>
      <c r="B435" s="84" t="s">
        <v>415</v>
      </c>
      <c r="C435" s="83">
        <v>3619230</v>
      </c>
    </row>
    <row r="436" spans="1:3" x14ac:dyDescent="0.25">
      <c r="A436" s="93">
        <v>3042</v>
      </c>
      <c r="B436" s="84" t="s">
        <v>414</v>
      </c>
      <c r="C436" s="83">
        <v>3619260</v>
      </c>
    </row>
    <row r="437" spans="1:3" x14ac:dyDescent="0.25">
      <c r="A437" s="93">
        <v>1150</v>
      </c>
      <c r="B437" s="84" t="s">
        <v>413</v>
      </c>
      <c r="C437" s="83">
        <v>3619320</v>
      </c>
    </row>
    <row r="438" spans="1:3" x14ac:dyDescent="0.25">
      <c r="A438" s="93">
        <v>3995</v>
      </c>
      <c r="B438" s="84" t="s">
        <v>412</v>
      </c>
      <c r="C438" s="83">
        <v>3619350</v>
      </c>
    </row>
    <row r="439" spans="1:3" x14ac:dyDescent="0.25">
      <c r="A439" s="93">
        <v>3636</v>
      </c>
      <c r="B439" s="84" t="s">
        <v>411</v>
      </c>
      <c r="C439" s="83">
        <v>3619380</v>
      </c>
    </row>
    <row r="440" spans="1:3" x14ac:dyDescent="0.25">
      <c r="A440" s="93">
        <v>5408</v>
      </c>
      <c r="B440" s="84" t="s">
        <v>410</v>
      </c>
      <c r="C440" s="83">
        <v>3619410</v>
      </c>
    </row>
    <row r="441" spans="1:3" x14ac:dyDescent="0.25">
      <c r="A441" s="93">
        <v>2380</v>
      </c>
      <c r="B441" s="84" t="s">
        <v>409</v>
      </c>
      <c r="C441" s="83">
        <v>3619500</v>
      </c>
    </row>
    <row r="442" spans="1:3" x14ac:dyDescent="0.25">
      <c r="A442" s="93">
        <v>5694</v>
      </c>
      <c r="B442" s="84" t="s">
        <v>408</v>
      </c>
      <c r="C442" s="83">
        <v>3619530</v>
      </c>
    </row>
    <row r="443" spans="1:3" x14ac:dyDescent="0.25">
      <c r="A443" s="93">
        <v>4654</v>
      </c>
      <c r="B443" s="84" t="s">
        <v>407</v>
      </c>
      <c r="C443" s="83">
        <v>3619560</v>
      </c>
    </row>
    <row r="444" spans="1:3" x14ac:dyDescent="0.25">
      <c r="A444" s="93">
        <v>2383</v>
      </c>
      <c r="B444" s="84" t="s">
        <v>406</v>
      </c>
      <c r="C444" s="83">
        <v>3619650</v>
      </c>
    </row>
    <row r="445" spans="1:3" x14ac:dyDescent="0.25">
      <c r="A445" s="93">
        <v>2384</v>
      </c>
      <c r="B445" s="84" t="s">
        <v>405</v>
      </c>
      <c r="C445" s="83">
        <v>3619680</v>
      </c>
    </row>
    <row r="446" spans="1:3" x14ac:dyDescent="0.25">
      <c r="A446" s="93">
        <v>5356</v>
      </c>
      <c r="B446" s="84" t="s">
        <v>404</v>
      </c>
      <c r="C446" s="83">
        <v>3619710</v>
      </c>
    </row>
    <row r="447" spans="1:3" x14ac:dyDescent="0.25">
      <c r="A447" s="93">
        <v>2385</v>
      </c>
      <c r="B447" s="84" t="s">
        <v>403</v>
      </c>
      <c r="C447" s="83">
        <v>3619740</v>
      </c>
    </row>
    <row r="448" spans="1:3" x14ac:dyDescent="0.25">
      <c r="A448" s="93">
        <v>3281</v>
      </c>
      <c r="B448" s="84" t="s">
        <v>402</v>
      </c>
      <c r="C448" s="83">
        <v>3619800</v>
      </c>
    </row>
    <row r="449" spans="1:3" x14ac:dyDescent="0.25">
      <c r="A449" s="93">
        <v>3466</v>
      </c>
      <c r="B449" s="84" t="s">
        <v>401</v>
      </c>
      <c r="C449" s="83">
        <v>3619830</v>
      </c>
    </row>
    <row r="450" spans="1:3" x14ac:dyDescent="0.25">
      <c r="A450" s="93">
        <v>3997</v>
      </c>
      <c r="B450" s="84" t="s">
        <v>400</v>
      </c>
      <c r="C450" s="83">
        <v>3619860</v>
      </c>
    </row>
    <row r="451" spans="1:3" x14ac:dyDescent="0.25">
      <c r="A451" s="93">
        <v>4981</v>
      </c>
      <c r="B451" s="84" t="s">
        <v>399</v>
      </c>
      <c r="C451" s="83">
        <v>3619890</v>
      </c>
    </row>
    <row r="452" spans="1:3" x14ac:dyDescent="0.25">
      <c r="A452" s="93">
        <v>4202</v>
      </c>
      <c r="B452" s="84" t="s">
        <v>398</v>
      </c>
      <c r="C452" s="83">
        <v>3619920</v>
      </c>
    </row>
    <row r="453" spans="1:3" x14ac:dyDescent="0.25">
      <c r="A453" s="93">
        <v>2390</v>
      </c>
      <c r="B453" s="84" t="s">
        <v>397</v>
      </c>
      <c r="C453" s="83">
        <v>3619950</v>
      </c>
    </row>
    <row r="454" spans="1:3" x14ac:dyDescent="0.25">
      <c r="A454" s="93">
        <v>4154</v>
      </c>
      <c r="B454" s="84" t="s">
        <v>396</v>
      </c>
      <c r="C454" s="83">
        <v>3620010</v>
      </c>
    </row>
    <row r="455" spans="1:3" x14ac:dyDescent="0.25">
      <c r="A455" s="93">
        <v>5407</v>
      </c>
      <c r="B455" s="84" t="s">
        <v>395</v>
      </c>
      <c r="C455" s="83">
        <v>3620040</v>
      </c>
    </row>
    <row r="456" spans="1:3" x14ac:dyDescent="0.25">
      <c r="A456" s="93">
        <v>1155</v>
      </c>
      <c r="B456" s="84" t="s">
        <v>394</v>
      </c>
      <c r="C456" s="83">
        <v>3620100</v>
      </c>
    </row>
    <row r="457" spans="1:3" x14ac:dyDescent="0.25">
      <c r="A457" s="93">
        <v>2389</v>
      </c>
      <c r="B457" s="84" t="s">
        <v>393</v>
      </c>
      <c r="C457" s="83">
        <v>3620160</v>
      </c>
    </row>
    <row r="458" spans="1:3" x14ac:dyDescent="0.25">
      <c r="A458" s="93">
        <v>5823</v>
      </c>
      <c r="B458" s="84" t="s">
        <v>392</v>
      </c>
      <c r="C458" s="83">
        <v>3620170</v>
      </c>
    </row>
    <row r="459" spans="1:3" x14ac:dyDescent="0.25">
      <c r="A459" s="93">
        <v>2391</v>
      </c>
      <c r="B459" s="84" t="s">
        <v>391</v>
      </c>
      <c r="C459" s="83">
        <v>3620190</v>
      </c>
    </row>
    <row r="460" spans="1:3" x14ac:dyDescent="0.25">
      <c r="A460" s="93">
        <v>4590</v>
      </c>
      <c r="B460" s="84" t="s">
        <v>390</v>
      </c>
      <c r="C460" s="83">
        <v>3620220</v>
      </c>
    </row>
    <row r="461" spans="1:3" x14ac:dyDescent="0.25">
      <c r="A461" s="93">
        <v>2400</v>
      </c>
      <c r="B461" s="84" t="s">
        <v>389</v>
      </c>
      <c r="C461" s="83">
        <v>3620340</v>
      </c>
    </row>
    <row r="462" spans="1:3" x14ac:dyDescent="0.25">
      <c r="A462" s="93">
        <v>2394</v>
      </c>
      <c r="B462" s="84" t="s">
        <v>388</v>
      </c>
      <c r="C462" s="83">
        <v>3620370</v>
      </c>
    </row>
    <row r="463" spans="1:3" x14ac:dyDescent="0.25">
      <c r="A463" s="93">
        <v>4301</v>
      </c>
      <c r="B463" s="84" t="s">
        <v>387</v>
      </c>
      <c r="C463" s="83">
        <v>3620400</v>
      </c>
    </row>
    <row r="464" spans="1:3" x14ac:dyDescent="0.25">
      <c r="A464" s="93">
        <v>4908</v>
      </c>
      <c r="B464" s="84" t="s">
        <v>386</v>
      </c>
      <c r="C464" s="83">
        <v>3620430</v>
      </c>
    </row>
    <row r="465" spans="1:3" x14ac:dyDescent="0.25">
      <c r="A465" s="93">
        <v>2401</v>
      </c>
      <c r="B465" s="84" t="s">
        <v>385</v>
      </c>
      <c r="C465" s="83">
        <v>3620460</v>
      </c>
    </row>
    <row r="466" spans="1:3" x14ac:dyDescent="0.25">
      <c r="A466" s="93">
        <v>1160</v>
      </c>
      <c r="B466" s="84" t="s">
        <v>384</v>
      </c>
      <c r="C466" s="83">
        <v>3620490</v>
      </c>
    </row>
    <row r="467" spans="1:3" x14ac:dyDescent="0.25">
      <c r="A467" s="93">
        <v>5379</v>
      </c>
      <c r="B467" s="84" t="s">
        <v>383</v>
      </c>
      <c r="C467" s="83">
        <v>3620520</v>
      </c>
    </row>
    <row r="468" spans="1:3" x14ac:dyDescent="0.25">
      <c r="A468" s="93">
        <v>4428</v>
      </c>
      <c r="B468" s="84" t="s">
        <v>382</v>
      </c>
      <c r="C468" s="83">
        <v>3620610</v>
      </c>
    </row>
    <row r="469" spans="1:3" x14ac:dyDescent="0.25">
      <c r="A469" s="93">
        <v>2395</v>
      </c>
      <c r="B469" s="84" t="s">
        <v>381</v>
      </c>
      <c r="C469" s="83">
        <v>3620640</v>
      </c>
    </row>
    <row r="470" spans="1:3" x14ac:dyDescent="0.25">
      <c r="A470" s="93">
        <v>3178</v>
      </c>
      <c r="B470" s="84" t="s">
        <v>380</v>
      </c>
      <c r="C470" s="83">
        <v>3620670</v>
      </c>
    </row>
    <row r="471" spans="1:3" x14ac:dyDescent="0.25">
      <c r="A471" s="93">
        <v>1165</v>
      </c>
      <c r="B471" s="84" t="s">
        <v>379</v>
      </c>
      <c r="C471" s="83">
        <v>3620700</v>
      </c>
    </row>
    <row r="472" spans="1:3" x14ac:dyDescent="0.25">
      <c r="A472" s="93">
        <v>5695</v>
      </c>
      <c r="B472" s="84" t="s">
        <v>378</v>
      </c>
      <c r="C472" s="83">
        <v>3620730</v>
      </c>
    </row>
    <row r="473" spans="1:3" x14ac:dyDescent="0.25">
      <c r="A473" s="93">
        <v>2396</v>
      </c>
      <c r="B473" s="84" t="s">
        <v>377</v>
      </c>
      <c r="C473" s="83">
        <v>3620760</v>
      </c>
    </row>
    <row r="474" spans="1:3" x14ac:dyDescent="0.25">
      <c r="A474" s="93">
        <v>5527</v>
      </c>
      <c r="B474" s="84" t="s">
        <v>376</v>
      </c>
      <c r="C474" s="83">
        <v>3620790</v>
      </c>
    </row>
    <row r="475" spans="1:3" x14ac:dyDescent="0.25">
      <c r="A475" s="93">
        <v>1170</v>
      </c>
      <c r="B475" s="84" t="s">
        <v>375</v>
      </c>
      <c r="C475" s="83">
        <v>3620820</v>
      </c>
    </row>
    <row r="476" spans="1:3" x14ac:dyDescent="0.25">
      <c r="A476" s="93">
        <v>2403</v>
      </c>
      <c r="B476" s="84" t="s">
        <v>374</v>
      </c>
      <c r="C476" s="83">
        <v>3620850</v>
      </c>
    </row>
    <row r="477" spans="1:3" x14ac:dyDescent="0.25">
      <c r="A477" s="93">
        <v>2405</v>
      </c>
      <c r="B477" s="84" t="s">
        <v>373</v>
      </c>
      <c r="C477" s="83">
        <v>3620880</v>
      </c>
    </row>
    <row r="478" spans="1:3" x14ac:dyDescent="0.25">
      <c r="A478" s="93">
        <v>2406</v>
      </c>
      <c r="B478" s="84" t="s">
        <v>372</v>
      </c>
      <c r="C478" s="83">
        <v>3620910</v>
      </c>
    </row>
    <row r="479" spans="1:3" x14ac:dyDescent="0.25">
      <c r="A479" s="93">
        <v>4351</v>
      </c>
      <c r="B479" s="84" t="s">
        <v>371</v>
      </c>
      <c r="C479" s="83">
        <v>3620940</v>
      </c>
    </row>
    <row r="480" spans="1:3" x14ac:dyDescent="0.25">
      <c r="A480" s="93">
        <v>3709</v>
      </c>
      <c r="B480" s="84" t="s">
        <v>370</v>
      </c>
      <c r="C480" s="83">
        <v>3620970</v>
      </c>
    </row>
    <row r="481" spans="1:3" x14ac:dyDescent="0.25">
      <c r="A481" s="93">
        <v>2408</v>
      </c>
      <c r="B481" s="84" t="s">
        <v>369</v>
      </c>
      <c r="C481" s="83">
        <v>3621000</v>
      </c>
    </row>
    <row r="482" spans="1:3" x14ac:dyDescent="0.25">
      <c r="A482" s="93">
        <v>4363</v>
      </c>
      <c r="B482" s="84" t="s">
        <v>368</v>
      </c>
      <c r="C482" s="83">
        <v>3621120</v>
      </c>
    </row>
    <row r="483" spans="1:3" x14ac:dyDescent="0.25">
      <c r="A483" s="93">
        <v>4862</v>
      </c>
      <c r="B483" s="84" t="s">
        <v>367</v>
      </c>
      <c r="C483" s="83">
        <v>3621180</v>
      </c>
    </row>
    <row r="484" spans="1:3" x14ac:dyDescent="0.25">
      <c r="A484" s="93">
        <v>2410</v>
      </c>
      <c r="B484" s="84" t="s">
        <v>366</v>
      </c>
      <c r="C484" s="83">
        <v>3621210</v>
      </c>
    </row>
    <row r="485" spans="1:3" x14ac:dyDescent="0.25">
      <c r="A485" s="93">
        <v>1175</v>
      </c>
      <c r="B485" s="84" t="s">
        <v>365</v>
      </c>
      <c r="C485" s="83">
        <v>3621240</v>
      </c>
    </row>
    <row r="486" spans="1:3" x14ac:dyDescent="0.25">
      <c r="A486" s="93">
        <v>3452</v>
      </c>
      <c r="B486" s="84" t="s">
        <v>364</v>
      </c>
      <c r="C486" s="83">
        <v>3621250</v>
      </c>
    </row>
    <row r="487" spans="1:3" x14ac:dyDescent="0.25">
      <c r="A487" s="93">
        <v>3458</v>
      </c>
      <c r="B487" s="84" t="s">
        <v>363</v>
      </c>
      <c r="C487" s="83">
        <v>3621260</v>
      </c>
    </row>
    <row r="488" spans="1:3" x14ac:dyDescent="0.25">
      <c r="A488" s="93">
        <v>2415</v>
      </c>
      <c r="B488" s="84" t="s">
        <v>362</v>
      </c>
      <c r="C488" s="83">
        <v>3621270</v>
      </c>
    </row>
    <row r="489" spans="1:3" x14ac:dyDescent="0.25">
      <c r="A489" s="93">
        <v>4015</v>
      </c>
      <c r="B489" s="84" t="s">
        <v>361</v>
      </c>
      <c r="C489" s="83">
        <v>3621300</v>
      </c>
    </row>
    <row r="490" spans="1:3" x14ac:dyDescent="0.25">
      <c r="A490" s="93">
        <v>1180</v>
      </c>
      <c r="B490" s="84" t="s">
        <v>360</v>
      </c>
      <c r="C490" s="83">
        <v>3621330</v>
      </c>
    </row>
    <row r="491" spans="1:3" x14ac:dyDescent="0.25">
      <c r="A491" s="93">
        <v>5027</v>
      </c>
      <c r="B491" s="84" t="s">
        <v>359</v>
      </c>
      <c r="C491" s="83">
        <v>3621360</v>
      </c>
    </row>
    <row r="492" spans="1:3" x14ac:dyDescent="0.25">
      <c r="A492" s="93">
        <v>4178</v>
      </c>
      <c r="B492" s="84" t="s">
        <v>358</v>
      </c>
      <c r="C492" s="83">
        <v>3621450</v>
      </c>
    </row>
    <row r="493" spans="1:3" x14ac:dyDescent="0.25">
      <c r="A493" s="93">
        <v>2420</v>
      </c>
      <c r="B493" s="84" t="s">
        <v>357</v>
      </c>
      <c r="C493" s="83">
        <v>3621480</v>
      </c>
    </row>
    <row r="494" spans="1:3" x14ac:dyDescent="0.25">
      <c r="A494" s="93">
        <v>3929</v>
      </c>
      <c r="B494" s="84" t="s">
        <v>356</v>
      </c>
      <c r="C494" s="83">
        <v>3621510</v>
      </c>
    </row>
    <row r="495" spans="1:3" x14ac:dyDescent="0.25">
      <c r="A495" s="93">
        <v>5427</v>
      </c>
      <c r="B495" s="84" t="s">
        <v>355</v>
      </c>
      <c r="C495" s="83">
        <v>3621540</v>
      </c>
    </row>
    <row r="496" spans="1:3" x14ac:dyDescent="0.25">
      <c r="A496" s="93">
        <v>5251</v>
      </c>
      <c r="B496" s="84" t="s">
        <v>354</v>
      </c>
      <c r="C496" s="83">
        <v>3621630</v>
      </c>
    </row>
    <row r="497" spans="1:3" x14ac:dyDescent="0.25">
      <c r="A497" s="93">
        <v>1185</v>
      </c>
      <c r="B497" s="84" t="s">
        <v>353</v>
      </c>
      <c r="C497" s="83">
        <v>3621660</v>
      </c>
    </row>
    <row r="498" spans="1:3" x14ac:dyDescent="0.25">
      <c r="A498" s="93">
        <v>1190</v>
      </c>
      <c r="B498" s="84" t="s">
        <v>352</v>
      </c>
      <c r="C498" s="83">
        <v>3621720</v>
      </c>
    </row>
    <row r="499" spans="1:3" x14ac:dyDescent="0.25">
      <c r="A499" s="93">
        <v>1200</v>
      </c>
      <c r="B499" s="84" t="s">
        <v>351</v>
      </c>
      <c r="C499" s="83">
        <v>3621780</v>
      </c>
    </row>
    <row r="500" spans="1:3" x14ac:dyDescent="0.25">
      <c r="A500" s="93">
        <v>4533</v>
      </c>
      <c r="B500" s="84" t="s">
        <v>350</v>
      </c>
      <c r="C500" s="83">
        <v>3621810</v>
      </c>
    </row>
    <row r="501" spans="1:3" x14ac:dyDescent="0.25">
      <c r="A501" s="93">
        <v>8151</v>
      </c>
      <c r="B501" s="84" t="s">
        <v>350</v>
      </c>
      <c r="C501" s="83">
        <v>3621810</v>
      </c>
    </row>
    <row r="502" spans="1:3" x14ac:dyDescent="0.25">
      <c r="A502" s="93">
        <v>2426</v>
      </c>
      <c r="B502" s="84" t="s">
        <v>349</v>
      </c>
      <c r="C502" s="83">
        <v>3621840</v>
      </c>
    </row>
    <row r="503" spans="1:3" x14ac:dyDescent="0.25">
      <c r="A503" s="93">
        <v>2428</v>
      </c>
      <c r="B503" s="84" t="s">
        <v>348</v>
      </c>
      <c r="C503" s="83">
        <v>3621900</v>
      </c>
    </row>
    <row r="504" spans="1:3" x14ac:dyDescent="0.25">
      <c r="A504" s="93">
        <v>5369</v>
      </c>
      <c r="B504" s="84" t="s">
        <v>347</v>
      </c>
      <c r="C504" s="83">
        <v>3621930</v>
      </c>
    </row>
    <row r="505" spans="1:3" x14ac:dyDescent="0.25">
      <c r="A505" s="93">
        <v>4430</v>
      </c>
      <c r="B505" s="84" t="s">
        <v>346</v>
      </c>
      <c r="C505" s="83">
        <v>3621960</v>
      </c>
    </row>
    <row r="506" spans="1:3" x14ac:dyDescent="0.25">
      <c r="A506" s="93">
        <v>2430</v>
      </c>
      <c r="B506" s="84" t="s">
        <v>345</v>
      </c>
      <c r="C506" s="83">
        <v>3622020</v>
      </c>
    </row>
    <row r="507" spans="1:3" x14ac:dyDescent="0.25">
      <c r="A507" s="93">
        <v>3591</v>
      </c>
      <c r="B507" s="84" t="s">
        <v>344</v>
      </c>
      <c r="C507" s="83">
        <v>3622100</v>
      </c>
    </row>
    <row r="508" spans="1:3" x14ac:dyDescent="0.25">
      <c r="A508" s="93">
        <v>5528</v>
      </c>
      <c r="B508" s="84" t="s">
        <v>343</v>
      </c>
      <c r="C508" s="83">
        <v>3622140</v>
      </c>
    </row>
    <row r="509" spans="1:3" x14ac:dyDescent="0.25">
      <c r="A509" s="93">
        <v>2435</v>
      </c>
      <c r="B509" s="84" t="s">
        <v>342</v>
      </c>
      <c r="C509" s="83">
        <v>3622170</v>
      </c>
    </row>
    <row r="510" spans="1:3" x14ac:dyDescent="0.25">
      <c r="A510" s="93">
        <v>3592</v>
      </c>
      <c r="B510" s="84" t="s">
        <v>341</v>
      </c>
      <c r="C510" s="83">
        <v>3622260</v>
      </c>
    </row>
    <row r="511" spans="1:3" x14ac:dyDescent="0.25">
      <c r="A511" s="93">
        <v>2440</v>
      </c>
      <c r="B511" s="84" t="s">
        <v>340</v>
      </c>
      <c r="C511" s="83">
        <v>3622290</v>
      </c>
    </row>
    <row r="512" spans="1:3" x14ac:dyDescent="0.25">
      <c r="A512" s="93">
        <v>2441</v>
      </c>
      <c r="B512" s="84" t="s">
        <v>339</v>
      </c>
      <c r="C512" s="83">
        <v>3622380</v>
      </c>
    </row>
    <row r="513" spans="1:3" x14ac:dyDescent="0.25">
      <c r="A513" s="93">
        <v>3305</v>
      </c>
      <c r="B513" s="84" t="s">
        <v>338</v>
      </c>
      <c r="C513" s="83">
        <v>3622410</v>
      </c>
    </row>
    <row r="514" spans="1:3" x14ac:dyDescent="0.25">
      <c r="A514" s="93">
        <v>5028</v>
      </c>
      <c r="B514" s="84" t="s">
        <v>337</v>
      </c>
      <c r="C514" s="83">
        <v>3622440</v>
      </c>
    </row>
    <row r="515" spans="1:3" x14ac:dyDescent="0.25">
      <c r="A515" s="93">
        <v>2445</v>
      </c>
      <c r="B515" s="84" t="s">
        <v>336</v>
      </c>
      <c r="C515" s="83">
        <v>3622470</v>
      </c>
    </row>
    <row r="516" spans="1:3" x14ac:dyDescent="0.25">
      <c r="A516" s="93">
        <v>3930</v>
      </c>
      <c r="B516" s="84" t="s">
        <v>335</v>
      </c>
      <c r="C516" s="83">
        <v>3622500</v>
      </c>
    </row>
    <row r="517" spans="1:3" x14ac:dyDescent="0.25">
      <c r="A517" s="93">
        <v>3630</v>
      </c>
      <c r="B517" s="84" t="s">
        <v>334</v>
      </c>
      <c r="C517" s="83">
        <v>3622530</v>
      </c>
    </row>
    <row r="518" spans="1:3" x14ac:dyDescent="0.25">
      <c r="A518" s="93">
        <v>2450</v>
      </c>
      <c r="B518" s="84" t="s">
        <v>333</v>
      </c>
      <c r="C518" s="83">
        <v>3622560</v>
      </c>
    </row>
    <row r="519" spans="1:3" x14ac:dyDescent="0.25">
      <c r="A519" s="93">
        <v>1210</v>
      </c>
      <c r="B519" s="84" t="s">
        <v>332</v>
      </c>
      <c r="C519" s="83">
        <v>3622650</v>
      </c>
    </row>
    <row r="520" spans="1:3" x14ac:dyDescent="0.25">
      <c r="A520" s="93">
        <v>2455</v>
      </c>
      <c r="B520" s="84" t="s">
        <v>331</v>
      </c>
      <c r="C520" s="83">
        <v>3622680</v>
      </c>
    </row>
    <row r="521" spans="1:3" x14ac:dyDescent="0.25">
      <c r="A521" s="93">
        <v>2458</v>
      </c>
      <c r="B521" s="84" t="s">
        <v>330</v>
      </c>
      <c r="C521" s="83">
        <v>3622710</v>
      </c>
    </row>
    <row r="522" spans="1:3" x14ac:dyDescent="0.25">
      <c r="A522" s="93">
        <v>2460</v>
      </c>
      <c r="B522" s="84" t="s">
        <v>329</v>
      </c>
      <c r="C522" s="83">
        <v>3622740</v>
      </c>
    </row>
    <row r="523" spans="1:3" x14ac:dyDescent="0.25">
      <c r="A523" s="93">
        <v>2465</v>
      </c>
      <c r="B523" s="84" t="s">
        <v>328</v>
      </c>
      <c r="C523" s="83">
        <v>3622770</v>
      </c>
    </row>
    <row r="524" spans="1:3" x14ac:dyDescent="0.25">
      <c r="A524" s="93">
        <v>2466</v>
      </c>
      <c r="B524" s="84" t="s">
        <v>327</v>
      </c>
      <c r="C524" s="83">
        <v>3622830</v>
      </c>
    </row>
    <row r="525" spans="1:3" x14ac:dyDescent="0.25">
      <c r="A525" s="93">
        <v>2464</v>
      </c>
      <c r="B525" s="84" t="s">
        <v>326</v>
      </c>
      <c r="C525" s="83">
        <v>3622890</v>
      </c>
    </row>
    <row r="526" spans="1:3" x14ac:dyDescent="0.25">
      <c r="A526" s="93">
        <v>2468</v>
      </c>
      <c r="B526" s="84" t="s">
        <v>325</v>
      </c>
      <c r="C526" s="83">
        <v>3622920</v>
      </c>
    </row>
    <row r="527" spans="1:3" x14ac:dyDescent="0.25">
      <c r="A527" s="93">
        <v>2471</v>
      </c>
      <c r="B527" s="84" t="s">
        <v>324</v>
      </c>
      <c r="C527" s="83">
        <v>3623010</v>
      </c>
    </row>
    <row r="528" spans="1:3" x14ac:dyDescent="0.25">
      <c r="A528" s="93">
        <v>3631</v>
      </c>
      <c r="B528" s="84" t="s">
        <v>323</v>
      </c>
      <c r="C528" s="83">
        <v>3623040</v>
      </c>
    </row>
    <row r="529" spans="1:3" x14ac:dyDescent="0.25">
      <c r="A529" s="93">
        <v>3328</v>
      </c>
      <c r="B529" s="84" t="s">
        <v>322</v>
      </c>
      <c r="C529" s="83">
        <v>3623070</v>
      </c>
    </row>
    <row r="530" spans="1:3" x14ac:dyDescent="0.25">
      <c r="A530" s="93">
        <v>4001</v>
      </c>
      <c r="B530" s="84" t="s">
        <v>321</v>
      </c>
      <c r="C530" s="83">
        <v>3623130</v>
      </c>
    </row>
    <row r="531" spans="1:3" x14ac:dyDescent="0.25">
      <c r="A531" s="93">
        <v>2469</v>
      </c>
      <c r="B531" s="84" t="s">
        <v>320</v>
      </c>
      <c r="C531" s="83">
        <v>3623160</v>
      </c>
    </row>
    <row r="532" spans="1:3" x14ac:dyDescent="0.25">
      <c r="A532" s="93">
        <v>2470</v>
      </c>
      <c r="B532" s="84" t="s">
        <v>319</v>
      </c>
      <c r="C532" s="83">
        <v>3623190</v>
      </c>
    </row>
    <row r="533" spans="1:3" x14ac:dyDescent="0.25">
      <c r="A533" s="93">
        <v>2475</v>
      </c>
      <c r="B533" s="84" t="s">
        <v>318</v>
      </c>
      <c r="C533" s="83">
        <v>3623220</v>
      </c>
    </row>
    <row r="534" spans="1:3" x14ac:dyDescent="0.25">
      <c r="A534" s="93">
        <v>1215</v>
      </c>
      <c r="B534" s="84" t="s">
        <v>317</v>
      </c>
      <c r="C534" s="83">
        <v>3623280</v>
      </c>
    </row>
    <row r="535" spans="1:3" x14ac:dyDescent="0.25">
      <c r="A535" s="93">
        <v>2480</v>
      </c>
      <c r="B535" s="84" t="s">
        <v>316</v>
      </c>
      <c r="C535" s="83">
        <v>3623310</v>
      </c>
    </row>
    <row r="536" spans="1:3" x14ac:dyDescent="0.25">
      <c r="A536" s="93">
        <v>5812</v>
      </c>
      <c r="B536" s="84" t="s">
        <v>315</v>
      </c>
      <c r="C536" s="83">
        <v>3623340</v>
      </c>
    </row>
    <row r="537" spans="1:3" x14ac:dyDescent="0.25">
      <c r="A537" s="93">
        <v>4031</v>
      </c>
      <c r="B537" s="84" t="s">
        <v>314</v>
      </c>
      <c r="C537" s="83">
        <v>3623370</v>
      </c>
    </row>
    <row r="538" spans="1:3" x14ac:dyDescent="0.25">
      <c r="A538" s="93">
        <v>3280</v>
      </c>
      <c r="B538" s="84" t="s">
        <v>313</v>
      </c>
      <c r="C538" s="83">
        <v>3623430</v>
      </c>
    </row>
    <row r="539" spans="1:3" x14ac:dyDescent="0.25">
      <c r="A539" s="93">
        <v>2485</v>
      </c>
      <c r="B539" s="84" t="s">
        <v>312</v>
      </c>
      <c r="C539" s="83">
        <v>3623460</v>
      </c>
    </row>
    <row r="540" spans="1:3" x14ac:dyDescent="0.25">
      <c r="A540" s="93">
        <v>5406</v>
      </c>
      <c r="B540" s="84" t="s">
        <v>311</v>
      </c>
      <c r="C540" s="83">
        <v>3623490</v>
      </c>
    </row>
    <row r="541" spans="1:3" x14ac:dyDescent="0.25">
      <c r="A541" s="93">
        <v>1220</v>
      </c>
      <c r="B541" s="84" t="s">
        <v>310</v>
      </c>
      <c r="C541" s="83">
        <v>3623520</v>
      </c>
    </row>
    <row r="542" spans="1:3" x14ac:dyDescent="0.25">
      <c r="A542" s="93">
        <v>2490</v>
      </c>
      <c r="B542" s="84" t="s">
        <v>309</v>
      </c>
      <c r="C542" s="83">
        <v>3623580</v>
      </c>
    </row>
    <row r="543" spans="1:3" x14ac:dyDescent="0.25">
      <c r="A543" s="93">
        <v>3202</v>
      </c>
      <c r="B543" s="84" t="s">
        <v>308</v>
      </c>
      <c r="C543" s="83">
        <v>3623640</v>
      </c>
    </row>
    <row r="544" spans="1:3" x14ac:dyDescent="0.25">
      <c r="A544" s="93">
        <v>2495</v>
      </c>
      <c r="B544" s="84" t="s">
        <v>307</v>
      </c>
      <c r="C544" s="83">
        <v>3623670</v>
      </c>
    </row>
    <row r="545" spans="1:3" x14ac:dyDescent="0.25">
      <c r="A545" s="93">
        <v>1225</v>
      </c>
      <c r="B545" s="84" t="s">
        <v>306</v>
      </c>
      <c r="C545" s="83">
        <v>3623760</v>
      </c>
    </row>
    <row r="546" spans="1:3" x14ac:dyDescent="0.25">
      <c r="A546" s="93">
        <v>5305</v>
      </c>
      <c r="B546" s="84" t="s">
        <v>305</v>
      </c>
      <c r="C546" s="83">
        <v>3623790</v>
      </c>
    </row>
    <row r="547" spans="1:3" x14ac:dyDescent="0.25">
      <c r="A547" s="93">
        <v>3468</v>
      </c>
      <c r="B547" s="84" t="s">
        <v>304</v>
      </c>
      <c r="C547" s="83">
        <v>3623970</v>
      </c>
    </row>
    <row r="548" spans="1:3" x14ac:dyDescent="0.25">
      <c r="A548" s="93">
        <v>4857</v>
      </c>
      <c r="B548" s="84" t="s">
        <v>303</v>
      </c>
      <c r="C548" s="83">
        <v>3624000</v>
      </c>
    </row>
    <row r="549" spans="1:3" x14ac:dyDescent="0.25">
      <c r="A549" s="93">
        <v>2497</v>
      </c>
      <c r="B549" s="84" t="s">
        <v>302</v>
      </c>
      <c r="C549" s="83">
        <v>3624030</v>
      </c>
    </row>
    <row r="550" spans="1:3" x14ac:dyDescent="0.25">
      <c r="A550" s="93">
        <v>5362</v>
      </c>
      <c r="B550" s="84" t="s">
        <v>301</v>
      </c>
      <c r="C550" s="83">
        <v>3624060</v>
      </c>
    </row>
    <row r="551" spans="1:3" x14ac:dyDescent="0.25">
      <c r="A551" s="93">
        <v>3231</v>
      </c>
      <c r="B551" s="84" t="s">
        <v>300</v>
      </c>
      <c r="C551" s="83">
        <v>3624090</v>
      </c>
    </row>
    <row r="552" spans="1:3" x14ac:dyDescent="0.25">
      <c r="A552" s="93">
        <v>3857</v>
      </c>
      <c r="B552" s="84" t="s">
        <v>299</v>
      </c>
      <c r="C552" s="83">
        <v>3624120</v>
      </c>
    </row>
    <row r="553" spans="1:3" x14ac:dyDescent="0.25">
      <c r="A553" s="93">
        <v>2542</v>
      </c>
      <c r="B553" s="84" t="s">
        <v>298</v>
      </c>
      <c r="C553" s="83">
        <v>3624150</v>
      </c>
    </row>
    <row r="554" spans="1:3" x14ac:dyDescent="0.25">
      <c r="A554" s="93">
        <v>4595</v>
      </c>
      <c r="B554" s="84" t="s">
        <v>297</v>
      </c>
      <c r="C554" s="83">
        <v>3624210</v>
      </c>
    </row>
    <row r="555" spans="1:3" x14ac:dyDescent="0.25">
      <c r="A555" s="93">
        <v>2498</v>
      </c>
      <c r="B555" s="84" t="s">
        <v>296</v>
      </c>
      <c r="C555" s="83">
        <v>3624240</v>
      </c>
    </row>
    <row r="556" spans="1:3" x14ac:dyDescent="0.25">
      <c r="A556" s="93">
        <v>4583</v>
      </c>
      <c r="B556" s="84" t="s">
        <v>295</v>
      </c>
      <c r="C556" s="83">
        <v>3624270</v>
      </c>
    </row>
    <row r="557" spans="1:3" x14ac:dyDescent="0.25">
      <c r="A557" s="93">
        <v>4504</v>
      </c>
      <c r="B557" s="84" t="s">
        <v>294</v>
      </c>
      <c r="C557" s="83">
        <v>3624360</v>
      </c>
    </row>
    <row r="558" spans="1:3" x14ac:dyDescent="0.25">
      <c r="A558" s="93">
        <v>5360</v>
      </c>
      <c r="B558" s="84" t="s">
        <v>293</v>
      </c>
      <c r="C558" s="83">
        <v>3624420</v>
      </c>
    </row>
    <row r="559" spans="1:3" x14ac:dyDescent="0.25">
      <c r="A559" s="93">
        <v>1230</v>
      </c>
      <c r="B559" s="84" t="s">
        <v>292</v>
      </c>
      <c r="C559" s="83">
        <v>3624450</v>
      </c>
    </row>
    <row r="560" spans="1:3" x14ac:dyDescent="0.25">
      <c r="A560" s="93">
        <v>3635</v>
      </c>
      <c r="B560" s="84" t="s">
        <v>291</v>
      </c>
      <c r="C560" s="83">
        <v>3624480</v>
      </c>
    </row>
    <row r="561" spans="1:3" x14ac:dyDescent="0.25">
      <c r="A561" s="93">
        <v>4034</v>
      </c>
      <c r="B561" s="84" t="s">
        <v>290</v>
      </c>
      <c r="C561" s="83">
        <v>3624570</v>
      </c>
    </row>
    <row r="562" spans="1:3" x14ac:dyDescent="0.25">
      <c r="A562" s="93">
        <v>5817</v>
      </c>
      <c r="B562" s="84" t="s">
        <v>289</v>
      </c>
      <c r="C562" s="83">
        <v>3624630</v>
      </c>
    </row>
    <row r="563" spans="1:3" x14ac:dyDescent="0.25">
      <c r="A563" s="93">
        <v>8250</v>
      </c>
      <c r="B563" s="84" t="s">
        <v>288</v>
      </c>
      <c r="C563" s="83">
        <v>3624630</v>
      </c>
    </row>
    <row r="564" spans="1:3" x14ac:dyDescent="0.25">
      <c r="A564" s="93">
        <v>3307</v>
      </c>
      <c r="B564" s="84" t="s">
        <v>287</v>
      </c>
      <c r="C564" s="83">
        <v>3624660</v>
      </c>
    </row>
    <row r="565" spans="1:3" x14ac:dyDescent="0.25">
      <c r="A565" s="93">
        <v>5358</v>
      </c>
      <c r="B565" s="84" t="s">
        <v>286</v>
      </c>
      <c r="C565" s="83">
        <v>3624690</v>
      </c>
    </row>
    <row r="566" spans="1:3" x14ac:dyDescent="0.25">
      <c r="A566" s="93">
        <v>1235</v>
      </c>
      <c r="B566" s="84" t="s">
        <v>285</v>
      </c>
      <c r="C566" s="83">
        <v>3624750</v>
      </c>
    </row>
    <row r="567" spans="1:3" x14ac:dyDescent="0.25">
      <c r="A567" s="93">
        <v>2500</v>
      </c>
      <c r="B567" s="84" t="s">
        <v>284</v>
      </c>
      <c r="C567" s="83">
        <v>3624780</v>
      </c>
    </row>
    <row r="568" spans="1:3" x14ac:dyDescent="0.25">
      <c r="A568" s="93">
        <v>5409</v>
      </c>
      <c r="B568" s="84" t="s">
        <v>283</v>
      </c>
      <c r="C568" s="83">
        <v>3624840</v>
      </c>
    </row>
    <row r="569" spans="1:3" x14ac:dyDescent="0.25">
      <c r="A569" s="93">
        <v>1240</v>
      </c>
      <c r="B569" s="84" t="s">
        <v>282</v>
      </c>
      <c r="C569" s="83">
        <v>3624900</v>
      </c>
    </row>
    <row r="570" spans="1:3" x14ac:dyDescent="0.25">
      <c r="A570" s="93">
        <v>4592</v>
      </c>
      <c r="B570" s="84" t="s">
        <v>281</v>
      </c>
      <c r="C570" s="83">
        <v>3624930</v>
      </c>
    </row>
    <row r="571" spans="1:3" x14ac:dyDescent="0.25">
      <c r="A571" s="93">
        <v>2508</v>
      </c>
      <c r="B571" s="84" t="s">
        <v>280</v>
      </c>
      <c r="C571" s="83">
        <v>3624960</v>
      </c>
    </row>
    <row r="572" spans="1:3" x14ac:dyDescent="0.25">
      <c r="A572" s="93">
        <v>2504</v>
      </c>
      <c r="B572" s="84" t="s">
        <v>279</v>
      </c>
      <c r="C572" s="83">
        <v>3624990</v>
      </c>
    </row>
    <row r="573" spans="1:3" x14ac:dyDescent="0.25">
      <c r="A573" s="93">
        <v>5505</v>
      </c>
      <c r="B573" s="84" t="s">
        <v>278</v>
      </c>
      <c r="C573" s="83">
        <v>3625020</v>
      </c>
    </row>
    <row r="574" spans="1:3" x14ac:dyDescent="0.25">
      <c r="A574" s="93">
        <v>3986</v>
      </c>
      <c r="B574" s="84" t="s">
        <v>277</v>
      </c>
      <c r="C574" s="83">
        <v>3625110</v>
      </c>
    </row>
    <row r="575" spans="1:3" x14ac:dyDescent="0.25">
      <c r="A575" s="93">
        <v>2507</v>
      </c>
      <c r="B575" s="84" t="s">
        <v>276</v>
      </c>
      <c r="C575" s="83">
        <v>3625140</v>
      </c>
    </row>
    <row r="576" spans="1:3" x14ac:dyDescent="0.25">
      <c r="A576" s="93">
        <v>2509</v>
      </c>
      <c r="B576" s="84" t="s">
        <v>275</v>
      </c>
      <c r="C576" s="83">
        <v>3625170</v>
      </c>
    </row>
    <row r="577" spans="1:3" x14ac:dyDescent="0.25">
      <c r="A577" s="93">
        <v>1245</v>
      </c>
      <c r="B577" s="84" t="s">
        <v>274</v>
      </c>
      <c r="C577" s="83">
        <v>3625260</v>
      </c>
    </row>
    <row r="578" spans="1:3" x14ac:dyDescent="0.25">
      <c r="A578" s="93">
        <v>2510</v>
      </c>
      <c r="B578" s="84" t="s">
        <v>273</v>
      </c>
      <c r="C578" s="83">
        <v>3625290</v>
      </c>
    </row>
    <row r="579" spans="1:3" x14ac:dyDescent="0.25">
      <c r="A579" s="93">
        <v>4663</v>
      </c>
      <c r="B579" s="84" t="s">
        <v>272</v>
      </c>
      <c r="C579" s="83">
        <v>3625320</v>
      </c>
    </row>
    <row r="580" spans="1:3" x14ac:dyDescent="0.25">
      <c r="A580" s="93">
        <v>2512</v>
      </c>
      <c r="B580" s="84" t="s">
        <v>271</v>
      </c>
      <c r="C580" s="83">
        <v>3625350</v>
      </c>
    </row>
    <row r="581" spans="1:3" x14ac:dyDescent="0.25">
      <c r="A581" s="93">
        <v>5355</v>
      </c>
      <c r="B581" s="84" t="s">
        <v>270</v>
      </c>
      <c r="C581" s="83">
        <v>3625380</v>
      </c>
    </row>
    <row r="582" spans="1:3" x14ac:dyDescent="0.25">
      <c r="A582" s="93">
        <v>5365</v>
      </c>
      <c r="B582" s="84" t="s">
        <v>269</v>
      </c>
      <c r="C582" s="83">
        <v>3625410</v>
      </c>
    </row>
    <row r="583" spans="1:3" x14ac:dyDescent="0.25">
      <c r="A583" s="93">
        <v>1250</v>
      </c>
      <c r="B583" s="84" t="s">
        <v>268</v>
      </c>
      <c r="C583" s="83">
        <v>3625440</v>
      </c>
    </row>
    <row r="584" spans="1:3" x14ac:dyDescent="0.25">
      <c r="A584" s="93">
        <v>5682</v>
      </c>
      <c r="B584" s="84" t="s">
        <v>267</v>
      </c>
      <c r="C584" s="83">
        <v>3625470</v>
      </c>
    </row>
    <row r="585" spans="1:3" x14ac:dyDescent="0.25">
      <c r="A585" s="93">
        <v>3854</v>
      </c>
      <c r="B585" s="84" t="s">
        <v>266</v>
      </c>
      <c r="C585" s="83">
        <v>3625500</v>
      </c>
    </row>
    <row r="586" spans="1:3" x14ac:dyDescent="0.25">
      <c r="A586" s="93">
        <v>4704</v>
      </c>
      <c r="B586" s="84" t="s">
        <v>265</v>
      </c>
      <c r="C586" s="83">
        <v>3625650</v>
      </c>
    </row>
    <row r="587" spans="1:3" x14ac:dyDescent="0.25">
      <c r="A587" s="93">
        <v>2515</v>
      </c>
      <c r="B587" s="84" t="s">
        <v>264</v>
      </c>
      <c r="C587" s="83">
        <v>3625740</v>
      </c>
    </row>
    <row r="588" spans="1:3" x14ac:dyDescent="0.25">
      <c r="A588" s="93">
        <v>1255</v>
      </c>
      <c r="B588" s="84" t="s">
        <v>263</v>
      </c>
      <c r="C588" s="83">
        <v>3625770</v>
      </c>
    </row>
    <row r="589" spans="1:3" x14ac:dyDescent="0.25">
      <c r="A589" s="93">
        <v>2520</v>
      </c>
      <c r="B589" s="84" t="s">
        <v>262</v>
      </c>
      <c r="C589" s="83">
        <v>3625800</v>
      </c>
    </row>
    <row r="590" spans="1:3" x14ac:dyDescent="0.25">
      <c r="A590" s="93">
        <v>2525</v>
      </c>
      <c r="B590" s="84" t="s">
        <v>261</v>
      </c>
      <c r="C590" s="83">
        <v>3625920</v>
      </c>
    </row>
    <row r="591" spans="1:3" x14ac:dyDescent="0.25">
      <c r="A591" s="93">
        <v>2530</v>
      </c>
      <c r="B591" s="84" t="s">
        <v>260</v>
      </c>
      <c r="C591" s="83">
        <v>3625950</v>
      </c>
    </row>
    <row r="592" spans="1:3" x14ac:dyDescent="0.25">
      <c r="A592" s="93">
        <v>2533</v>
      </c>
      <c r="B592" s="84" t="s">
        <v>259</v>
      </c>
      <c r="C592" s="83">
        <v>3625980</v>
      </c>
    </row>
    <row r="593" spans="1:3" x14ac:dyDescent="0.25">
      <c r="A593" s="93">
        <v>1260</v>
      </c>
      <c r="B593" s="84" t="s">
        <v>258</v>
      </c>
      <c r="C593" s="83">
        <v>3626010</v>
      </c>
    </row>
    <row r="594" spans="1:3" x14ac:dyDescent="0.25">
      <c r="A594" s="93">
        <v>4885</v>
      </c>
      <c r="B594" s="84" t="s">
        <v>257</v>
      </c>
      <c r="C594" s="83">
        <v>3626070</v>
      </c>
    </row>
    <row r="595" spans="1:3" x14ac:dyDescent="0.25">
      <c r="A595" s="93">
        <v>3043</v>
      </c>
      <c r="B595" s="84" t="s">
        <v>256</v>
      </c>
      <c r="C595" s="83">
        <v>3626100</v>
      </c>
    </row>
    <row r="596" spans="1:3" x14ac:dyDescent="0.25">
      <c r="A596" s="93">
        <v>3467</v>
      </c>
      <c r="B596" s="84" t="s">
        <v>255</v>
      </c>
      <c r="C596" s="83">
        <v>3626130</v>
      </c>
    </row>
    <row r="597" spans="1:3" x14ac:dyDescent="0.25">
      <c r="A597" s="93">
        <v>5103</v>
      </c>
      <c r="B597" s="84" t="s">
        <v>254</v>
      </c>
      <c r="C597" s="83">
        <v>3626160</v>
      </c>
    </row>
    <row r="598" spans="1:3" x14ac:dyDescent="0.25">
      <c r="A598" s="93">
        <v>3081</v>
      </c>
      <c r="B598" s="84" t="s">
        <v>253</v>
      </c>
      <c r="C598" s="83">
        <v>3626190</v>
      </c>
    </row>
    <row r="599" spans="1:3" x14ac:dyDescent="0.25">
      <c r="A599" s="93">
        <v>2535</v>
      </c>
      <c r="B599" s="84" t="s">
        <v>252</v>
      </c>
      <c r="C599" s="83">
        <v>3626310</v>
      </c>
    </row>
    <row r="600" spans="1:3" x14ac:dyDescent="0.25">
      <c r="A600" s="93">
        <v>2540</v>
      </c>
      <c r="B600" s="84" t="s">
        <v>251</v>
      </c>
      <c r="C600" s="83">
        <v>3626370</v>
      </c>
    </row>
    <row r="601" spans="1:3" x14ac:dyDescent="0.25">
      <c r="A601" s="93">
        <v>2541</v>
      </c>
      <c r="B601" s="84" t="s">
        <v>250</v>
      </c>
      <c r="C601" s="83">
        <v>3626400</v>
      </c>
    </row>
    <row r="602" spans="1:3" x14ac:dyDescent="0.25">
      <c r="A602" s="93">
        <v>2545</v>
      </c>
      <c r="B602" s="84" t="s">
        <v>249</v>
      </c>
      <c r="C602" s="83">
        <v>3626430</v>
      </c>
    </row>
    <row r="603" spans="1:3" x14ac:dyDescent="0.25">
      <c r="A603" s="93">
        <v>4367</v>
      </c>
      <c r="B603" s="84" t="s">
        <v>248</v>
      </c>
      <c r="C603" s="83">
        <v>3626520</v>
      </c>
    </row>
    <row r="604" spans="1:3" x14ac:dyDescent="0.25">
      <c r="A604" s="93">
        <v>3041</v>
      </c>
      <c r="B604" s="84" t="s">
        <v>247</v>
      </c>
      <c r="C604" s="83">
        <v>3626580</v>
      </c>
    </row>
    <row r="605" spans="1:3" x14ac:dyDescent="0.25">
      <c r="A605" s="93">
        <v>5359</v>
      </c>
      <c r="B605" s="84" t="s">
        <v>246</v>
      </c>
      <c r="C605" s="83">
        <v>3626640</v>
      </c>
    </row>
    <row r="606" spans="1:3" x14ac:dyDescent="0.25">
      <c r="A606" s="93">
        <v>2547</v>
      </c>
      <c r="B606" s="84" t="s">
        <v>245</v>
      </c>
      <c r="C606" s="83">
        <v>3626670</v>
      </c>
    </row>
    <row r="607" spans="1:3" x14ac:dyDescent="0.25">
      <c r="A607" s="93">
        <v>3593</v>
      </c>
      <c r="B607" s="84" t="s">
        <v>244</v>
      </c>
      <c r="C607" s="83">
        <v>3626700</v>
      </c>
    </row>
    <row r="608" spans="1:3" x14ac:dyDescent="0.25">
      <c r="A608" s="93">
        <v>3308</v>
      </c>
      <c r="B608" s="84" t="s">
        <v>243</v>
      </c>
      <c r="C608" s="83">
        <v>3626730</v>
      </c>
    </row>
    <row r="609" spans="1:3" x14ac:dyDescent="0.25">
      <c r="A609" s="93">
        <v>5357</v>
      </c>
      <c r="B609" s="84" t="s">
        <v>242</v>
      </c>
      <c r="C609" s="83">
        <v>3626840</v>
      </c>
    </row>
    <row r="610" spans="1:3" x14ac:dyDescent="0.25">
      <c r="A610" s="93">
        <v>2550</v>
      </c>
      <c r="B610" s="84" t="s">
        <v>241</v>
      </c>
      <c r="C610" s="83">
        <v>3626850</v>
      </c>
    </row>
    <row r="611" spans="1:3" x14ac:dyDescent="0.25">
      <c r="A611" s="93">
        <v>3331</v>
      </c>
      <c r="B611" s="84" t="s">
        <v>240</v>
      </c>
      <c r="C611" s="83">
        <v>3626880</v>
      </c>
    </row>
    <row r="612" spans="1:3" x14ac:dyDescent="0.25">
      <c r="A612" s="93">
        <v>2551</v>
      </c>
      <c r="B612" s="84" t="s">
        <v>239</v>
      </c>
      <c r="C612" s="83">
        <v>3626940</v>
      </c>
    </row>
    <row r="613" spans="1:3" x14ac:dyDescent="0.25">
      <c r="A613" s="93">
        <v>2555</v>
      </c>
      <c r="B613" s="84" t="s">
        <v>238</v>
      </c>
      <c r="C613" s="83">
        <v>3627000</v>
      </c>
    </row>
    <row r="614" spans="1:3" x14ac:dyDescent="0.25">
      <c r="A614" s="93">
        <v>2557</v>
      </c>
      <c r="B614" s="84" t="s">
        <v>237</v>
      </c>
      <c r="C614" s="83">
        <v>3627060</v>
      </c>
    </row>
    <row r="615" spans="1:3" x14ac:dyDescent="0.25">
      <c r="A615" s="93">
        <v>2559</v>
      </c>
      <c r="B615" s="84" t="s">
        <v>236</v>
      </c>
      <c r="C615" s="83">
        <v>3627120</v>
      </c>
    </row>
    <row r="616" spans="1:3" x14ac:dyDescent="0.25">
      <c r="A616" s="93">
        <v>2560</v>
      </c>
      <c r="B616" s="84" t="s">
        <v>235</v>
      </c>
      <c r="C616" s="83">
        <v>3627150</v>
      </c>
    </row>
    <row r="617" spans="1:3" x14ac:dyDescent="0.25">
      <c r="A617" s="93">
        <v>2561</v>
      </c>
      <c r="B617" s="84" t="s">
        <v>234</v>
      </c>
      <c r="C617" s="83">
        <v>3627180</v>
      </c>
    </row>
    <row r="618" spans="1:3" x14ac:dyDescent="0.25">
      <c r="A618" s="93">
        <v>2562</v>
      </c>
      <c r="B618" s="84" t="s">
        <v>233</v>
      </c>
      <c r="C618" s="83">
        <v>3627210</v>
      </c>
    </row>
    <row r="619" spans="1:3" x14ac:dyDescent="0.25">
      <c r="A619" s="93">
        <v>5102</v>
      </c>
      <c r="B619" s="84" t="s">
        <v>232</v>
      </c>
      <c r="C619" s="83">
        <v>3627240</v>
      </c>
    </row>
    <row r="620" spans="1:3" x14ac:dyDescent="0.25">
      <c r="A620" s="93">
        <v>2564</v>
      </c>
      <c r="B620" s="84" t="s">
        <v>231</v>
      </c>
      <c r="C620" s="83">
        <v>3627300</v>
      </c>
    </row>
    <row r="621" spans="1:3" x14ac:dyDescent="0.25">
      <c r="A621" s="93">
        <v>3988</v>
      </c>
      <c r="B621" s="84" t="s">
        <v>230</v>
      </c>
      <c r="C621" s="83">
        <v>3627330</v>
      </c>
    </row>
    <row r="622" spans="1:3" x14ac:dyDescent="0.25">
      <c r="A622" s="93">
        <v>4143</v>
      </c>
      <c r="B622" s="84" t="s">
        <v>229</v>
      </c>
      <c r="C622" s="83">
        <v>3627360</v>
      </c>
    </row>
    <row r="623" spans="1:3" x14ac:dyDescent="0.25">
      <c r="A623" s="93">
        <v>2565</v>
      </c>
      <c r="B623" s="84" t="s">
        <v>228</v>
      </c>
      <c r="C623" s="83">
        <v>3627450</v>
      </c>
    </row>
    <row r="624" spans="1:3" x14ac:dyDescent="0.25">
      <c r="A624" s="93">
        <v>2570</v>
      </c>
      <c r="B624" s="84" t="s">
        <v>227</v>
      </c>
      <c r="C624" s="83">
        <v>3627540</v>
      </c>
    </row>
    <row r="625" spans="1:3" x14ac:dyDescent="0.25">
      <c r="A625" s="93">
        <v>3278</v>
      </c>
      <c r="B625" s="84" t="s">
        <v>226</v>
      </c>
      <c r="C625" s="83">
        <v>3627570</v>
      </c>
    </row>
    <row r="626" spans="1:3" x14ac:dyDescent="0.25">
      <c r="A626" s="93">
        <v>5372</v>
      </c>
      <c r="B626" s="84" t="s">
        <v>225</v>
      </c>
      <c r="C626" s="83">
        <v>3627620</v>
      </c>
    </row>
    <row r="627" spans="1:3" x14ac:dyDescent="0.25">
      <c r="A627" s="93">
        <v>2574</v>
      </c>
      <c r="B627" s="84" t="s">
        <v>224</v>
      </c>
      <c r="C627" s="83">
        <v>3627660</v>
      </c>
    </row>
    <row r="628" spans="1:3" x14ac:dyDescent="0.25">
      <c r="A628" s="93">
        <v>5253</v>
      </c>
      <c r="B628" s="84" t="s">
        <v>223</v>
      </c>
      <c r="C628" s="83">
        <v>3627750</v>
      </c>
    </row>
    <row r="629" spans="1:3" x14ac:dyDescent="0.25">
      <c r="A629" s="93">
        <v>2573</v>
      </c>
      <c r="B629" s="84" t="s">
        <v>222</v>
      </c>
      <c r="C629" s="83">
        <v>3627780</v>
      </c>
    </row>
    <row r="630" spans="1:3" x14ac:dyDescent="0.25">
      <c r="A630" s="93">
        <v>2575</v>
      </c>
      <c r="B630" s="84" t="s">
        <v>221</v>
      </c>
      <c r="C630" s="83">
        <v>3627810</v>
      </c>
    </row>
    <row r="631" spans="1:3" x14ac:dyDescent="0.25">
      <c r="A631" s="93">
        <v>5354</v>
      </c>
      <c r="B631" s="84" t="s">
        <v>220</v>
      </c>
      <c r="C631" s="83">
        <v>3627900</v>
      </c>
    </row>
    <row r="632" spans="1:3" x14ac:dyDescent="0.25">
      <c r="A632" s="93">
        <v>5001</v>
      </c>
      <c r="B632" s="84" t="s">
        <v>219</v>
      </c>
      <c r="C632" s="83">
        <v>3627960</v>
      </c>
    </row>
    <row r="633" spans="1:3" x14ac:dyDescent="0.25">
      <c r="A633" s="93">
        <v>5822</v>
      </c>
      <c r="B633" s="84" t="s">
        <v>218</v>
      </c>
      <c r="C633" s="83">
        <v>3627980</v>
      </c>
    </row>
    <row r="634" spans="1:3" x14ac:dyDescent="0.25">
      <c r="A634" s="93">
        <v>3822</v>
      </c>
      <c r="B634" s="84" t="s">
        <v>217</v>
      </c>
      <c r="C634" s="83">
        <v>3627990</v>
      </c>
    </row>
    <row r="635" spans="1:3" x14ac:dyDescent="0.25">
      <c r="A635" s="93">
        <v>3987</v>
      </c>
      <c r="B635" s="84" t="s">
        <v>216</v>
      </c>
      <c r="C635" s="83">
        <v>3628020</v>
      </c>
    </row>
    <row r="636" spans="1:3" x14ac:dyDescent="0.25">
      <c r="A636" s="93">
        <v>2576</v>
      </c>
      <c r="B636" s="84" t="s">
        <v>215</v>
      </c>
      <c r="C636" s="83">
        <v>3628050</v>
      </c>
    </row>
    <row r="637" spans="1:3" x14ac:dyDescent="0.25">
      <c r="A637" s="93">
        <v>5107</v>
      </c>
      <c r="B637" s="84" t="s">
        <v>214</v>
      </c>
      <c r="C637" s="83">
        <v>3628110</v>
      </c>
    </row>
    <row r="638" spans="1:3" x14ac:dyDescent="0.25">
      <c r="A638" s="93">
        <v>4206</v>
      </c>
      <c r="B638" s="84" t="s">
        <v>213</v>
      </c>
      <c r="C638" s="83">
        <v>3628140</v>
      </c>
    </row>
    <row r="639" spans="1:3" x14ac:dyDescent="0.25">
      <c r="A639" s="93">
        <v>2593</v>
      </c>
      <c r="B639" s="84" t="s">
        <v>212</v>
      </c>
      <c r="C639" s="83">
        <v>3628200</v>
      </c>
    </row>
    <row r="640" spans="1:3" x14ac:dyDescent="0.25">
      <c r="A640" s="93">
        <v>2580</v>
      </c>
      <c r="B640" s="84" t="s">
        <v>211</v>
      </c>
      <c r="C640" s="83">
        <v>3628320</v>
      </c>
    </row>
    <row r="641" spans="1:3" x14ac:dyDescent="0.25">
      <c r="A641" s="93">
        <v>2582</v>
      </c>
      <c r="B641" s="84" t="s">
        <v>210</v>
      </c>
      <c r="C641" s="83">
        <v>3628380</v>
      </c>
    </row>
    <row r="642" spans="1:3" x14ac:dyDescent="0.25">
      <c r="A642" s="93">
        <v>2584</v>
      </c>
      <c r="B642" s="84" t="s">
        <v>209</v>
      </c>
      <c r="C642" s="83">
        <v>3628500</v>
      </c>
    </row>
    <row r="643" spans="1:3" x14ac:dyDescent="0.25">
      <c r="A643" s="93">
        <v>2585</v>
      </c>
      <c r="B643" s="84" t="s">
        <v>208</v>
      </c>
      <c r="C643" s="83">
        <v>3628560</v>
      </c>
    </row>
    <row r="644" spans="1:3" x14ac:dyDescent="0.25">
      <c r="A644" s="93">
        <v>1270</v>
      </c>
      <c r="B644" s="84" t="s">
        <v>207</v>
      </c>
      <c r="C644" s="83">
        <v>3628590</v>
      </c>
    </row>
    <row r="645" spans="1:3" x14ac:dyDescent="0.25">
      <c r="A645" s="93">
        <v>4909</v>
      </c>
      <c r="B645" s="84" t="s">
        <v>206</v>
      </c>
      <c r="C645" s="83">
        <v>3628620</v>
      </c>
    </row>
    <row r="646" spans="1:3" x14ac:dyDescent="0.25">
      <c r="A646" s="93">
        <v>2595</v>
      </c>
      <c r="B646" s="84" t="s">
        <v>205</v>
      </c>
      <c r="C646" s="83">
        <v>3628680</v>
      </c>
    </row>
    <row r="647" spans="1:3" x14ac:dyDescent="0.25">
      <c r="A647" s="93">
        <v>3179</v>
      </c>
      <c r="B647" s="84" t="s">
        <v>204</v>
      </c>
      <c r="C647" s="83">
        <v>3628710</v>
      </c>
    </row>
    <row r="648" spans="1:3" x14ac:dyDescent="0.25">
      <c r="A648" s="93">
        <v>1275</v>
      </c>
      <c r="B648" s="84" t="s">
        <v>203</v>
      </c>
      <c r="C648" s="83">
        <v>3628740</v>
      </c>
    </row>
    <row r="649" spans="1:3" x14ac:dyDescent="0.25">
      <c r="A649" s="93">
        <v>4149</v>
      </c>
      <c r="B649" s="84" t="s">
        <v>202</v>
      </c>
      <c r="C649" s="83">
        <v>3628800</v>
      </c>
    </row>
    <row r="650" spans="1:3" x14ac:dyDescent="0.25">
      <c r="A650" s="93">
        <v>5504</v>
      </c>
      <c r="B650" s="84" t="s">
        <v>201</v>
      </c>
      <c r="C650" s="83">
        <v>3628890</v>
      </c>
    </row>
    <row r="651" spans="1:3" x14ac:dyDescent="0.25">
      <c r="A651" s="93">
        <v>1280</v>
      </c>
      <c r="B651" s="84" t="s">
        <v>200</v>
      </c>
      <c r="C651" s="83">
        <v>3628950</v>
      </c>
    </row>
    <row r="652" spans="1:3" x14ac:dyDescent="0.25">
      <c r="A652" s="93">
        <v>5530</v>
      </c>
      <c r="B652" s="84" t="s">
        <v>199</v>
      </c>
      <c r="C652" s="83">
        <v>3628980</v>
      </c>
    </row>
    <row r="653" spans="1:3" x14ac:dyDescent="0.25">
      <c r="A653" s="93">
        <v>5367</v>
      </c>
      <c r="B653" s="84" t="s">
        <v>198</v>
      </c>
      <c r="C653" s="83">
        <v>3629040</v>
      </c>
    </row>
    <row r="654" spans="1:3" x14ac:dyDescent="0.25">
      <c r="A654" s="93">
        <v>2600</v>
      </c>
      <c r="B654" s="84" t="s">
        <v>198</v>
      </c>
      <c r="C654" s="83">
        <v>3629070</v>
      </c>
    </row>
    <row r="655" spans="1:3" x14ac:dyDescent="0.25">
      <c r="A655" s="93">
        <v>4534</v>
      </c>
      <c r="B655" s="84" t="s">
        <v>197</v>
      </c>
      <c r="C655" s="83">
        <v>3629130</v>
      </c>
    </row>
    <row r="656" spans="1:3" x14ac:dyDescent="0.25">
      <c r="A656" s="93">
        <v>2605</v>
      </c>
      <c r="B656" s="84" t="s">
        <v>196</v>
      </c>
      <c r="C656" s="83">
        <v>3629160</v>
      </c>
    </row>
    <row r="657" spans="1:3" x14ac:dyDescent="0.25">
      <c r="A657" s="93">
        <v>4617</v>
      </c>
      <c r="B657" s="84" t="s">
        <v>195</v>
      </c>
      <c r="C657" s="83">
        <v>3629190</v>
      </c>
    </row>
    <row r="658" spans="1:3" x14ac:dyDescent="0.25">
      <c r="A658" s="93">
        <v>3561</v>
      </c>
      <c r="B658" s="84" t="s">
        <v>194</v>
      </c>
      <c r="C658" s="83">
        <v>3629240</v>
      </c>
    </row>
    <row r="659" spans="1:3" x14ac:dyDescent="0.25">
      <c r="A659" s="93">
        <v>3284</v>
      </c>
      <c r="B659" s="84" t="s">
        <v>193</v>
      </c>
      <c r="C659" s="83">
        <v>3629250</v>
      </c>
    </row>
    <row r="660" spans="1:3" x14ac:dyDescent="0.25">
      <c r="A660" s="93">
        <v>2610</v>
      </c>
      <c r="B660" s="84" t="s">
        <v>192</v>
      </c>
      <c r="C660" s="83">
        <v>3629280</v>
      </c>
    </row>
    <row r="661" spans="1:3" x14ac:dyDescent="0.25">
      <c r="A661" s="93">
        <v>1285</v>
      </c>
      <c r="B661" s="84" t="s">
        <v>191</v>
      </c>
      <c r="C661" s="83">
        <v>3629370</v>
      </c>
    </row>
    <row r="662" spans="1:3" x14ac:dyDescent="0.25">
      <c r="A662" s="93">
        <v>2619</v>
      </c>
      <c r="B662" s="84" t="s">
        <v>190</v>
      </c>
      <c r="C662" s="83">
        <v>3629400</v>
      </c>
    </row>
    <row r="663" spans="1:3" x14ac:dyDescent="0.25">
      <c r="A663" s="93">
        <v>4355</v>
      </c>
      <c r="B663" s="84" t="s">
        <v>189</v>
      </c>
      <c r="C663" s="83">
        <v>3629430</v>
      </c>
    </row>
    <row r="664" spans="1:3" x14ac:dyDescent="0.25">
      <c r="A664" s="93">
        <v>4360</v>
      </c>
      <c r="B664" s="84" t="s">
        <v>188</v>
      </c>
      <c r="C664" s="83">
        <v>3629460</v>
      </c>
    </row>
    <row r="665" spans="1:3" x14ac:dyDescent="0.25">
      <c r="A665" s="93">
        <v>4364</v>
      </c>
      <c r="B665" s="84" t="s">
        <v>187</v>
      </c>
      <c r="C665" s="83">
        <v>3629490</v>
      </c>
    </row>
    <row r="666" spans="1:3" x14ac:dyDescent="0.25">
      <c r="A666" s="93">
        <v>4366</v>
      </c>
      <c r="B666" s="84" t="s">
        <v>186</v>
      </c>
      <c r="C666" s="83">
        <v>3629520</v>
      </c>
    </row>
    <row r="667" spans="1:3" x14ac:dyDescent="0.25">
      <c r="A667" s="93">
        <v>2611</v>
      </c>
      <c r="B667" s="84" t="s">
        <v>185</v>
      </c>
      <c r="C667" s="83">
        <v>3629610</v>
      </c>
    </row>
    <row r="668" spans="1:3" x14ac:dyDescent="0.25">
      <c r="A668" s="93">
        <v>2613</v>
      </c>
      <c r="B668" s="84" t="s">
        <v>184</v>
      </c>
      <c r="C668" s="83">
        <v>3629640</v>
      </c>
    </row>
    <row r="669" spans="1:3" x14ac:dyDescent="0.25">
      <c r="A669" s="93">
        <v>2618</v>
      </c>
      <c r="B669" s="84" t="s">
        <v>183</v>
      </c>
      <c r="C669" s="83">
        <v>3629670</v>
      </c>
    </row>
    <row r="670" spans="1:3" x14ac:dyDescent="0.25">
      <c r="A670" s="93">
        <v>5352</v>
      </c>
      <c r="B670" s="84" t="s">
        <v>182</v>
      </c>
      <c r="C670" s="83">
        <v>3629760</v>
      </c>
    </row>
    <row r="671" spans="1:3" x14ac:dyDescent="0.25">
      <c r="A671" s="93">
        <v>2612</v>
      </c>
      <c r="B671" s="84" t="s">
        <v>181</v>
      </c>
      <c r="C671" s="83">
        <v>3629790</v>
      </c>
    </row>
    <row r="672" spans="1:3" x14ac:dyDescent="0.25">
      <c r="A672" s="93">
        <v>3585</v>
      </c>
      <c r="B672" s="84" t="s">
        <v>180</v>
      </c>
      <c r="C672" s="83">
        <v>3629820</v>
      </c>
    </row>
    <row r="673" spans="1:3" x14ac:dyDescent="0.25">
      <c r="A673" s="93">
        <v>2614</v>
      </c>
      <c r="B673" s="84" t="s">
        <v>179</v>
      </c>
      <c r="C673" s="83">
        <v>3629850</v>
      </c>
    </row>
    <row r="674" spans="1:3" x14ac:dyDescent="0.25">
      <c r="A674" s="93">
        <v>2615</v>
      </c>
      <c r="B674" s="84" t="s">
        <v>178</v>
      </c>
      <c r="C674" s="83">
        <v>3629880</v>
      </c>
    </row>
    <row r="675" spans="1:3" x14ac:dyDescent="0.25">
      <c r="A675" s="93">
        <v>5692</v>
      </c>
      <c r="B675" s="84" t="s">
        <v>177</v>
      </c>
      <c r="C675" s="83">
        <v>3629910</v>
      </c>
    </row>
    <row r="676" spans="1:3" x14ac:dyDescent="0.25">
      <c r="A676" s="93">
        <v>4184</v>
      </c>
      <c r="B676" s="84" t="s">
        <v>176</v>
      </c>
      <c r="C676" s="83">
        <v>3629940</v>
      </c>
    </row>
    <row r="677" spans="1:3" x14ac:dyDescent="0.25">
      <c r="A677" s="93">
        <v>2616</v>
      </c>
      <c r="B677" s="84" t="s">
        <v>175</v>
      </c>
      <c r="C677" s="83">
        <v>3629970</v>
      </c>
    </row>
    <row r="678" spans="1:3" x14ac:dyDescent="0.25">
      <c r="A678" s="93">
        <v>2617</v>
      </c>
      <c r="B678" s="84" t="s">
        <v>174</v>
      </c>
      <c r="C678" s="83">
        <v>3630030</v>
      </c>
    </row>
    <row r="679" spans="1:3" x14ac:dyDescent="0.25">
      <c r="A679" s="93">
        <v>2620</v>
      </c>
      <c r="B679" s="84" t="s">
        <v>173</v>
      </c>
      <c r="C679" s="83">
        <v>3630060</v>
      </c>
    </row>
    <row r="680" spans="1:3" x14ac:dyDescent="0.25">
      <c r="A680" s="93">
        <v>1290</v>
      </c>
      <c r="B680" s="84" t="s">
        <v>172</v>
      </c>
      <c r="C680" s="83">
        <v>3630120</v>
      </c>
    </row>
    <row r="681" spans="1:3" x14ac:dyDescent="0.25">
      <c r="A681" s="93">
        <v>4438</v>
      </c>
      <c r="B681" s="84" t="s">
        <v>171</v>
      </c>
      <c r="C681" s="83">
        <v>3630160</v>
      </c>
    </row>
    <row r="682" spans="1:3" x14ac:dyDescent="0.25">
      <c r="A682" s="93">
        <v>1295</v>
      </c>
      <c r="B682" s="84" t="s">
        <v>170</v>
      </c>
      <c r="C682" s="83">
        <v>3630210</v>
      </c>
    </row>
    <row r="683" spans="1:3" x14ac:dyDescent="0.25">
      <c r="A683" s="93">
        <v>2626</v>
      </c>
      <c r="B683" s="84" t="s">
        <v>169</v>
      </c>
      <c r="C683" s="83">
        <v>3630240</v>
      </c>
    </row>
    <row r="684" spans="1:3" x14ac:dyDescent="0.25">
      <c r="A684" s="93">
        <v>2630</v>
      </c>
      <c r="B684" s="84" t="s">
        <v>168</v>
      </c>
      <c r="C684" s="83">
        <v>3630270</v>
      </c>
    </row>
    <row r="685" spans="1:3" x14ac:dyDescent="0.25">
      <c r="A685" s="93">
        <v>2632</v>
      </c>
      <c r="B685" s="84" t="s">
        <v>167</v>
      </c>
      <c r="C685" s="83">
        <v>3630330</v>
      </c>
    </row>
    <row r="686" spans="1:3" x14ac:dyDescent="0.25">
      <c r="A686" s="93">
        <v>2633</v>
      </c>
      <c r="B686" s="84" t="s">
        <v>166</v>
      </c>
      <c r="C686" s="83">
        <v>3630360</v>
      </c>
    </row>
    <row r="687" spans="1:3" x14ac:dyDescent="0.25">
      <c r="A687" s="93">
        <v>3276</v>
      </c>
      <c r="B687" s="84" t="s">
        <v>165</v>
      </c>
      <c r="C687" s="83">
        <v>3630420</v>
      </c>
    </row>
    <row r="688" spans="1:3" x14ac:dyDescent="0.25">
      <c r="A688" s="93">
        <v>4007</v>
      </c>
      <c r="B688" s="84" t="s">
        <v>164</v>
      </c>
      <c r="C688" s="83">
        <v>3630450</v>
      </c>
    </row>
    <row r="689" spans="1:3" x14ac:dyDescent="0.25">
      <c r="A689" s="93">
        <v>2635</v>
      </c>
      <c r="B689" s="84" t="s">
        <v>163</v>
      </c>
      <c r="C689" s="83">
        <v>3630480</v>
      </c>
    </row>
    <row r="690" spans="1:3" x14ac:dyDescent="0.25">
      <c r="A690" s="93">
        <v>2644</v>
      </c>
      <c r="B690" s="84" t="s">
        <v>162</v>
      </c>
      <c r="C690" s="83">
        <v>3630540</v>
      </c>
    </row>
    <row r="691" spans="1:3" x14ac:dyDescent="0.25">
      <c r="A691" s="93">
        <v>4030</v>
      </c>
      <c r="B691" s="84" t="s">
        <v>161</v>
      </c>
      <c r="C691" s="83">
        <v>3630600</v>
      </c>
    </row>
    <row r="692" spans="1:3" x14ac:dyDescent="0.25">
      <c r="A692" s="93">
        <v>2059</v>
      </c>
      <c r="B692" s="84" t="s">
        <v>160</v>
      </c>
      <c r="C692" s="83">
        <v>3630630</v>
      </c>
    </row>
    <row r="693" spans="1:3" x14ac:dyDescent="0.25">
      <c r="A693" s="93">
        <v>2640</v>
      </c>
      <c r="B693" s="84" t="s">
        <v>159</v>
      </c>
      <c r="C693" s="83">
        <v>3630660</v>
      </c>
    </row>
    <row r="694" spans="1:3" x14ac:dyDescent="0.25">
      <c r="A694" s="93">
        <v>2642</v>
      </c>
      <c r="B694" s="84" t="s">
        <v>158</v>
      </c>
      <c r="C694" s="83">
        <v>3630690</v>
      </c>
    </row>
    <row r="695" spans="1:3" x14ac:dyDescent="0.25">
      <c r="A695" s="93">
        <v>2643</v>
      </c>
      <c r="B695" s="84" t="s">
        <v>157</v>
      </c>
      <c r="C695" s="83">
        <v>3630780</v>
      </c>
    </row>
    <row r="696" spans="1:3" x14ac:dyDescent="0.25">
      <c r="A696" s="93">
        <v>3208</v>
      </c>
      <c r="B696" s="84" t="s">
        <v>156</v>
      </c>
      <c r="C696" s="83">
        <v>3630900</v>
      </c>
    </row>
    <row r="697" spans="1:3" x14ac:dyDescent="0.25">
      <c r="A697" s="93">
        <v>4029</v>
      </c>
      <c r="B697" s="84" t="s">
        <v>155</v>
      </c>
      <c r="C697" s="83">
        <v>3630930</v>
      </c>
    </row>
    <row r="698" spans="1:3" x14ac:dyDescent="0.25">
      <c r="A698" s="93">
        <v>2645</v>
      </c>
      <c r="B698" s="84" t="s">
        <v>154</v>
      </c>
      <c r="C698" s="83">
        <v>3630960</v>
      </c>
    </row>
    <row r="699" spans="1:3" x14ac:dyDescent="0.25">
      <c r="A699" s="93">
        <v>6109</v>
      </c>
      <c r="B699" s="84" t="s">
        <v>153</v>
      </c>
    </row>
    <row r="700" spans="1:3" x14ac:dyDescent="0.25">
      <c r="A700" s="93">
        <v>3309</v>
      </c>
      <c r="B700" s="84" t="s">
        <v>152</v>
      </c>
      <c r="C700" s="83">
        <v>3630990</v>
      </c>
    </row>
    <row r="701" spans="1:3" x14ac:dyDescent="0.25">
      <c r="A701" s="93">
        <v>5361</v>
      </c>
      <c r="B701" s="84" t="s">
        <v>151</v>
      </c>
      <c r="C701" s="83">
        <v>3631020</v>
      </c>
    </row>
    <row r="702" spans="1:3" x14ac:dyDescent="0.25">
      <c r="A702" s="93">
        <v>4439</v>
      </c>
      <c r="B702" s="84" t="s">
        <v>150</v>
      </c>
      <c r="C702" s="83">
        <v>3631050</v>
      </c>
    </row>
    <row r="703" spans="1:3" x14ac:dyDescent="0.25">
      <c r="A703" s="93">
        <v>4258</v>
      </c>
      <c r="B703" s="84" t="s">
        <v>149</v>
      </c>
      <c r="C703" s="83">
        <v>3631170</v>
      </c>
    </row>
    <row r="704" spans="1:3" x14ac:dyDescent="0.25">
      <c r="A704" s="93">
        <v>4010</v>
      </c>
      <c r="B704" s="84" t="s">
        <v>148</v>
      </c>
      <c r="C704" s="83">
        <v>3631200</v>
      </c>
    </row>
    <row r="705" spans="1:3" x14ac:dyDescent="0.25">
      <c r="A705" s="93">
        <v>1300</v>
      </c>
      <c r="B705" s="84" t="s">
        <v>147</v>
      </c>
      <c r="C705" s="83">
        <v>3631260</v>
      </c>
    </row>
    <row r="706" spans="1:3" x14ac:dyDescent="0.25">
      <c r="A706" s="93">
        <v>2650</v>
      </c>
      <c r="B706" s="84" t="s">
        <v>146</v>
      </c>
      <c r="C706" s="83">
        <v>3631290</v>
      </c>
    </row>
    <row r="707" spans="1:3" x14ac:dyDescent="0.25">
      <c r="A707" s="93">
        <v>2649</v>
      </c>
      <c r="B707" s="84" t="s">
        <v>145</v>
      </c>
      <c r="C707" s="83">
        <v>3631320</v>
      </c>
    </row>
    <row r="708" spans="1:3" x14ac:dyDescent="0.25">
      <c r="A708" s="93">
        <v>3079</v>
      </c>
      <c r="B708" s="84" t="s">
        <v>144</v>
      </c>
      <c r="C708" s="83">
        <v>3631350</v>
      </c>
    </row>
    <row r="709" spans="1:3" x14ac:dyDescent="0.25">
      <c r="A709" s="93">
        <v>2648</v>
      </c>
      <c r="B709" s="84" t="s">
        <v>143</v>
      </c>
      <c r="C709" s="83">
        <v>3631380</v>
      </c>
    </row>
    <row r="710" spans="1:3" x14ac:dyDescent="0.25">
      <c r="A710" s="93">
        <v>4883</v>
      </c>
      <c r="B710" s="84" t="s">
        <v>142</v>
      </c>
      <c r="C710" s="83">
        <v>3631410</v>
      </c>
    </row>
    <row r="711" spans="1:3" x14ac:dyDescent="0.25">
      <c r="A711" s="93">
        <v>4597</v>
      </c>
      <c r="B711" s="84" t="s">
        <v>141</v>
      </c>
      <c r="C711" s="83">
        <v>3631440</v>
      </c>
    </row>
    <row r="712" spans="1:3" x14ac:dyDescent="0.25">
      <c r="A712" s="93">
        <v>2651</v>
      </c>
      <c r="B712" s="84" t="s">
        <v>140</v>
      </c>
      <c r="C712" s="83">
        <v>3631470</v>
      </c>
    </row>
    <row r="713" spans="1:3" x14ac:dyDescent="0.25">
      <c r="A713" s="93">
        <v>3464</v>
      </c>
      <c r="B713" s="84" t="s">
        <v>139</v>
      </c>
      <c r="C713" s="83">
        <v>3631500</v>
      </c>
    </row>
    <row r="714" spans="1:3" x14ac:dyDescent="0.25">
      <c r="A714" s="93">
        <v>2652</v>
      </c>
      <c r="B714" s="84" t="s">
        <v>138</v>
      </c>
      <c r="C714" s="83">
        <v>3631560</v>
      </c>
    </row>
    <row r="715" spans="1:3" x14ac:dyDescent="0.25">
      <c r="A715" s="93">
        <v>3980</v>
      </c>
      <c r="B715" s="84" t="s">
        <v>137</v>
      </c>
      <c r="C715" s="83">
        <v>3631590</v>
      </c>
    </row>
    <row r="716" spans="1:3" x14ac:dyDescent="0.25">
      <c r="A716" s="93">
        <v>2655</v>
      </c>
      <c r="B716" s="84" t="s">
        <v>136</v>
      </c>
      <c r="C716" s="83">
        <v>3631710</v>
      </c>
    </row>
    <row r="717" spans="1:3" x14ac:dyDescent="0.25">
      <c r="A717" s="93">
        <v>3998</v>
      </c>
      <c r="B717" s="84" t="s">
        <v>135</v>
      </c>
      <c r="C717" s="83">
        <v>3631740</v>
      </c>
    </row>
    <row r="718" spans="1:3" x14ac:dyDescent="0.25">
      <c r="A718" s="93">
        <v>5457</v>
      </c>
      <c r="B718" s="84" t="s">
        <v>134</v>
      </c>
      <c r="C718" s="83">
        <v>3631800</v>
      </c>
    </row>
    <row r="719" spans="1:3" x14ac:dyDescent="0.25">
      <c r="A719" s="93">
        <v>4884</v>
      </c>
      <c r="B719" s="84" t="s">
        <v>133</v>
      </c>
      <c r="C719" s="83">
        <v>3631830</v>
      </c>
    </row>
    <row r="720" spans="1:3" x14ac:dyDescent="0.25">
      <c r="A720" s="93">
        <v>3934</v>
      </c>
      <c r="B720" s="84" t="s">
        <v>132</v>
      </c>
      <c r="C720" s="83">
        <v>3631860</v>
      </c>
    </row>
    <row r="721" spans="1:3" x14ac:dyDescent="0.25">
      <c r="A721" s="93">
        <v>1305</v>
      </c>
      <c r="B721" s="84" t="s">
        <v>131</v>
      </c>
      <c r="C721" s="83">
        <v>3631920</v>
      </c>
    </row>
    <row r="722" spans="1:3" x14ac:dyDescent="0.25">
      <c r="A722" s="93">
        <v>4155</v>
      </c>
      <c r="B722" s="84" t="s">
        <v>130</v>
      </c>
      <c r="C722" s="83">
        <v>3631950</v>
      </c>
    </row>
    <row r="723" spans="1:3" x14ac:dyDescent="0.25">
      <c r="A723" s="93">
        <v>2656</v>
      </c>
      <c r="B723" s="84" t="s">
        <v>129</v>
      </c>
      <c r="C723" s="83">
        <v>3631980</v>
      </c>
    </row>
    <row r="724" spans="1:3" x14ac:dyDescent="0.25">
      <c r="A724" s="93">
        <v>3077</v>
      </c>
      <c r="B724" s="84" t="s">
        <v>128</v>
      </c>
      <c r="C724" s="83">
        <v>3632010</v>
      </c>
    </row>
    <row r="725" spans="1:3" x14ac:dyDescent="0.25">
      <c r="A725" s="93">
        <v>3025</v>
      </c>
      <c r="B725" s="84" t="s">
        <v>127</v>
      </c>
      <c r="C725" s="83">
        <v>3680100</v>
      </c>
    </row>
    <row r="726" spans="1:3" x14ac:dyDescent="0.25">
      <c r="A726" s="93">
        <v>6001</v>
      </c>
      <c r="B726" s="84" t="s">
        <v>126</v>
      </c>
      <c r="C726" s="83">
        <v>3680100</v>
      </c>
    </row>
    <row r="727" spans="1:3" x14ac:dyDescent="0.25">
      <c r="A727" s="93">
        <v>3125</v>
      </c>
      <c r="B727" s="84" t="s">
        <v>125</v>
      </c>
      <c r="C727" s="83">
        <v>3680140</v>
      </c>
    </row>
    <row r="728" spans="1:3" x14ac:dyDescent="0.25">
      <c r="A728" s="93">
        <v>6005</v>
      </c>
      <c r="B728" s="84" t="s">
        <v>125</v>
      </c>
      <c r="C728" s="83">
        <v>3680140</v>
      </c>
    </row>
    <row r="729" spans="1:3" x14ac:dyDescent="0.25">
      <c r="A729" s="93">
        <v>3200</v>
      </c>
      <c r="B729" s="84" t="s">
        <v>124</v>
      </c>
      <c r="C729" s="83">
        <v>3680150</v>
      </c>
    </row>
    <row r="730" spans="1:3" x14ac:dyDescent="0.25">
      <c r="A730" s="93">
        <v>6008</v>
      </c>
      <c r="B730" s="84" t="s">
        <v>124</v>
      </c>
      <c r="C730" s="83">
        <v>3680150</v>
      </c>
    </row>
    <row r="731" spans="1:3" x14ac:dyDescent="0.25">
      <c r="A731" s="93">
        <v>3275</v>
      </c>
      <c r="B731" s="84" t="s">
        <v>123</v>
      </c>
      <c r="C731" s="83">
        <v>3680180</v>
      </c>
    </row>
    <row r="732" spans="1:3" x14ac:dyDescent="0.25">
      <c r="A732" s="93">
        <v>6011</v>
      </c>
      <c r="B732" s="84" t="s">
        <v>123</v>
      </c>
      <c r="C732" s="83">
        <v>3680180</v>
      </c>
    </row>
    <row r="733" spans="1:3" x14ac:dyDescent="0.25">
      <c r="A733" s="93">
        <v>6018</v>
      </c>
      <c r="B733" s="84" t="s">
        <v>122</v>
      </c>
      <c r="C733" s="83">
        <v>3680220</v>
      </c>
    </row>
    <row r="734" spans="1:3" x14ac:dyDescent="0.25">
      <c r="A734" s="93">
        <v>3450</v>
      </c>
      <c r="B734" s="84" t="s">
        <v>121</v>
      </c>
      <c r="C734" s="83">
        <v>3680220</v>
      </c>
    </row>
    <row r="735" spans="1:3" x14ac:dyDescent="0.25">
      <c r="A735" s="93">
        <v>3550</v>
      </c>
      <c r="B735" s="84" t="s">
        <v>120</v>
      </c>
      <c r="C735" s="83">
        <v>3680260</v>
      </c>
    </row>
    <row r="736" spans="1:3" x14ac:dyDescent="0.25">
      <c r="A736" s="93">
        <v>6022</v>
      </c>
      <c r="B736" s="84" t="s">
        <v>120</v>
      </c>
      <c r="C736" s="83">
        <v>3680260</v>
      </c>
    </row>
    <row r="737" spans="1:3" x14ac:dyDescent="0.25">
      <c r="A737" s="93">
        <v>3625</v>
      </c>
      <c r="B737" s="84" t="s">
        <v>119</v>
      </c>
      <c r="C737" s="83">
        <v>3680280</v>
      </c>
    </row>
    <row r="738" spans="1:3" x14ac:dyDescent="0.25">
      <c r="A738" s="93">
        <v>6026</v>
      </c>
      <c r="B738" s="84" t="s">
        <v>119</v>
      </c>
      <c r="C738" s="83">
        <v>3680280</v>
      </c>
    </row>
    <row r="739" spans="1:3" x14ac:dyDescent="0.25">
      <c r="A739" s="93">
        <v>8120</v>
      </c>
      <c r="B739" s="84" t="s">
        <v>119</v>
      </c>
      <c r="C739" s="83">
        <v>3680280</v>
      </c>
    </row>
    <row r="740" spans="1:3" x14ac:dyDescent="0.25">
      <c r="A740" s="93">
        <v>3650</v>
      </c>
      <c r="B740" s="84" t="s">
        <v>118</v>
      </c>
      <c r="C740" s="83">
        <v>3680300</v>
      </c>
    </row>
    <row r="741" spans="1:3" x14ac:dyDescent="0.25">
      <c r="A741" s="93">
        <v>6027</v>
      </c>
      <c r="B741" s="84" t="s">
        <v>118</v>
      </c>
      <c r="C741" s="83">
        <v>3680300</v>
      </c>
    </row>
    <row r="742" spans="1:3" x14ac:dyDescent="0.25">
      <c r="A742" s="93">
        <v>3700</v>
      </c>
      <c r="B742" s="84" t="s">
        <v>117</v>
      </c>
      <c r="C742" s="83">
        <v>3680320</v>
      </c>
    </row>
    <row r="743" spans="1:3" x14ac:dyDescent="0.25">
      <c r="A743" s="93">
        <v>6028</v>
      </c>
      <c r="B743" s="84" t="s">
        <v>117</v>
      </c>
      <c r="C743" s="83">
        <v>3680320</v>
      </c>
    </row>
    <row r="744" spans="1:3" x14ac:dyDescent="0.25">
      <c r="A744" s="93">
        <v>3800</v>
      </c>
      <c r="B744" s="84" t="s">
        <v>116</v>
      </c>
      <c r="C744" s="83">
        <v>3680340</v>
      </c>
    </row>
    <row r="745" spans="1:3" x14ac:dyDescent="0.25">
      <c r="A745" s="93">
        <v>6036</v>
      </c>
      <c r="B745" s="84" t="s">
        <v>116</v>
      </c>
      <c r="C745" s="83">
        <v>3680340</v>
      </c>
    </row>
    <row r="746" spans="1:3" x14ac:dyDescent="0.25">
      <c r="A746" s="93">
        <v>3975</v>
      </c>
      <c r="B746" s="84" t="s">
        <v>115</v>
      </c>
      <c r="C746" s="83">
        <v>3680380</v>
      </c>
    </row>
    <row r="747" spans="1:3" x14ac:dyDescent="0.25">
      <c r="A747" s="93">
        <v>6040</v>
      </c>
      <c r="B747" s="84" t="s">
        <v>114</v>
      </c>
      <c r="C747" s="83">
        <v>3680380</v>
      </c>
    </row>
    <row r="748" spans="1:3" x14ac:dyDescent="0.25">
      <c r="A748" s="93">
        <v>4000</v>
      </c>
      <c r="B748" s="84" t="s">
        <v>113</v>
      </c>
      <c r="C748" s="83">
        <v>3680400</v>
      </c>
    </row>
    <row r="749" spans="1:3" x14ac:dyDescent="0.25">
      <c r="A749" s="93">
        <v>6041</v>
      </c>
      <c r="B749" s="84" t="s">
        <v>113</v>
      </c>
      <c r="C749" s="83">
        <v>3680400</v>
      </c>
    </row>
    <row r="750" spans="1:3" x14ac:dyDescent="0.25">
      <c r="A750" s="93">
        <v>4025</v>
      </c>
      <c r="B750" s="84" t="s">
        <v>112</v>
      </c>
      <c r="C750" s="83">
        <v>3680420</v>
      </c>
    </row>
    <row r="751" spans="1:3" x14ac:dyDescent="0.25">
      <c r="A751" s="93">
        <v>6042</v>
      </c>
      <c r="B751" s="84" t="s">
        <v>112</v>
      </c>
      <c r="C751" s="83">
        <v>3680420</v>
      </c>
    </row>
    <row r="752" spans="1:3" x14ac:dyDescent="0.25">
      <c r="A752" s="93">
        <v>4075</v>
      </c>
      <c r="B752" s="84" t="s">
        <v>111</v>
      </c>
      <c r="C752" s="83">
        <v>3680440</v>
      </c>
    </row>
    <row r="753" spans="1:3" x14ac:dyDescent="0.25">
      <c r="A753" s="93">
        <v>6044</v>
      </c>
      <c r="B753" s="84" t="s">
        <v>111</v>
      </c>
      <c r="C753" s="83">
        <v>3680440</v>
      </c>
    </row>
    <row r="754" spans="1:3" x14ac:dyDescent="0.25">
      <c r="A754" s="93">
        <v>3106</v>
      </c>
      <c r="B754" s="84" t="s">
        <v>110</v>
      </c>
      <c r="C754" s="83">
        <v>3600017</v>
      </c>
    </row>
    <row r="755" spans="1:3" x14ac:dyDescent="0.25">
      <c r="A755" s="93">
        <v>4150</v>
      </c>
      <c r="B755" s="84" t="s">
        <v>109</v>
      </c>
      <c r="C755" s="83">
        <v>3680460</v>
      </c>
    </row>
    <row r="756" spans="1:3" x14ac:dyDescent="0.25">
      <c r="A756" s="93">
        <v>6048</v>
      </c>
      <c r="B756" s="84" t="s">
        <v>108</v>
      </c>
      <c r="C756" s="83">
        <v>3680460</v>
      </c>
    </row>
    <row r="757" spans="1:3" x14ac:dyDescent="0.25">
      <c r="A757" s="93">
        <v>4200</v>
      </c>
      <c r="B757" s="84" t="s">
        <v>107</v>
      </c>
      <c r="C757" s="83">
        <v>3680480</v>
      </c>
    </row>
    <row r="758" spans="1:3" x14ac:dyDescent="0.25">
      <c r="A758" s="93">
        <v>6050</v>
      </c>
      <c r="B758" s="84" t="s">
        <v>107</v>
      </c>
      <c r="C758" s="83">
        <v>3680480</v>
      </c>
    </row>
    <row r="759" spans="1:3" x14ac:dyDescent="0.25">
      <c r="A759" s="93">
        <v>4225</v>
      </c>
      <c r="B759" s="84" t="s">
        <v>106</v>
      </c>
      <c r="C759" s="83">
        <v>3680500</v>
      </c>
    </row>
    <row r="760" spans="1:3" x14ac:dyDescent="0.25">
      <c r="A760" s="93">
        <v>6051</v>
      </c>
      <c r="B760" s="84" t="s">
        <v>106</v>
      </c>
      <c r="C760" s="83">
        <v>3680500</v>
      </c>
    </row>
    <row r="761" spans="1:3" x14ac:dyDescent="0.25">
      <c r="A761" s="93">
        <v>4250</v>
      </c>
      <c r="B761" s="84" t="s">
        <v>105</v>
      </c>
      <c r="C761" s="83">
        <v>3680520</v>
      </c>
    </row>
    <row r="762" spans="1:3" x14ac:dyDescent="0.25">
      <c r="A762" s="93">
        <v>6052</v>
      </c>
      <c r="B762" s="84" t="s">
        <v>105</v>
      </c>
      <c r="C762" s="83">
        <v>3680520</v>
      </c>
    </row>
    <row r="763" spans="1:3" x14ac:dyDescent="0.25">
      <c r="A763" s="93">
        <v>4300</v>
      </c>
      <c r="B763" s="84" t="s">
        <v>104</v>
      </c>
      <c r="C763" s="83">
        <v>3680540</v>
      </c>
    </row>
    <row r="764" spans="1:3" x14ac:dyDescent="0.25">
      <c r="A764" s="93">
        <v>6056</v>
      </c>
      <c r="B764" s="84" t="s">
        <v>104</v>
      </c>
      <c r="C764" s="83">
        <v>3680540</v>
      </c>
    </row>
    <row r="765" spans="1:3" x14ac:dyDescent="0.25">
      <c r="A765" s="93">
        <v>8150</v>
      </c>
      <c r="B765" s="84" t="s">
        <v>104</v>
      </c>
      <c r="C765" s="83">
        <v>3680540</v>
      </c>
    </row>
    <row r="766" spans="1:3" x14ac:dyDescent="0.25">
      <c r="A766" s="93">
        <v>4425</v>
      </c>
      <c r="B766" s="84" t="s">
        <v>103</v>
      </c>
      <c r="C766" s="83">
        <v>3680560</v>
      </c>
    </row>
    <row r="767" spans="1:3" x14ac:dyDescent="0.25">
      <c r="A767" s="93">
        <v>6057</v>
      </c>
      <c r="B767" s="84" t="s">
        <v>103</v>
      </c>
      <c r="C767" s="83">
        <v>3680560</v>
      </c>
    </row>
    <row r="768" spans="1:3" x14ac:dyDescent="0.25">
      <c r="A768" s="93">
        <v>4525</v>
      </c>
      <c r="B768" s="84" t="s">
        <v>102</v>
      </c>
      <c r="C768" s="83">
        <v>3680580</v>
      </c>
    </row>
    <row r="769" spans="1:3" x14ac:dyDescent="0.25">
      <c r="A769" s="93">
        <v>6061</v>
      </c>
      <c r="B769" s="84" t="s">
        <v>101</v>
      </c>
      <c r="C769" s="83">
        <v>3680580</v>
      </c>
    </row>
    <row r="770" spans="1:3" x14ac:dyDescent="0.25">
      <c r="A770" s="93">
        <v>6105</v>
      </c>
      <c r="B770" s="84" t="s">
        <v>100</v>
      </c>
      <c r="C770" s="83">
        <v>3680600</v>
      </c>
    </row>
    <row r="771" spans="1:3" x14ac:dyDescent="0.25">
      <c r="A771" s="93">
        <v>4575</v>
      </c>
      <c r="B771" s="84" t="s">
        <v>99</v>
      </c>
      <c r="C771" s="83">
        <v>3680600</v>
      </c>
    </row>
    <row r="772" spans="1:3" x14ac:dyDescent="0.25">
      <c r="A772" s="93">
        <v>4600</v>
      </c>
      <c r="B772" s="84" t="s">
        <v>98</v>
      </c>
      <c r="C772" s="83">
        <v>3680620</v>
      </c>
    </row>
    <row r="773" spans="1:3" x14ac:dyDescent="0.25">
      <c r="A773" s="93">
        <v>6065</v>
      </c>
      <c r="B773" s="84" t="s">
        <v>98</v>
      </c>
      <c r="C773" s="83">
        <v>3680620</v>
      </c>
    </row>
    <row r="774" spans="1:3" x14ac:dyDescent="0.25">
      <c r="A774" s="93">
        <v>4675</v>
      </c>
      <c r="B774" s="84" t="s">
        <v>97</v>
      </c>
      <c r="C774" s="83">
        <v>3680640</v>
      </c>
    </row>
    <row r="775" spans="1:3" x14ac:dyDescent="0.25">
      <c r="A775" s="93">
        <v>6067</v>
      </c>
      <c r="B775" s="84" t="s">
        <v>97</v>
      </c>
      <c r="C775" s="83">
        <v>3680640</v>
      </c>
    </row>
    <row r="776" spans="1:3" x14ac:dyDescent="0.25">
      <c r="A776" s="93">
        <v>1205</v>
      </c>
      <c r="B776" s="84" t="s">
        <v>96</v>
      </c>
      <c r="C776" s="83">
        <v>3680660</v>
      </c>
    </row>
    <row r="777" spans="1:3" x14ac:dyDescent="0.25">
      <c r="A777" s="93">
        <v>4700</v>
      </c>
      <c r="B777" s="84" t="s">
        <v>96</v>
      </c>
      <c r="C777" s="83">
        <v>3680660</v>
      </c>
    </row>
    <row r="778" spans="1:3" x14ac:dyDescent="0.25">
      <c r="A778" s="93">
        <v>6068</v>
      </c>
      <c r="B778" s="84" t="s">
        <v>96</v>
      </c>
      <c r="C778" s="83">
        <v>3680660</v>
      </c>
    </row>
    <row r="779" spans="1:3" x14ac:dyDescent="0.25">
      <c r="A779" s="93">
        <v>4850</v>
      </c>
      <c r="B779" s="84" t="s">
        <v>95</v>
      </c>
      <c r="C779" s="83">
        <v>3680680</v>
      </c>
    </row>
    <row r="780" spans="1:3" x14ac:dyDescent="0.25">
      <c r="A780" s="93">
        <v>6074</v>
      </c>
      <c r="B780" s="84" t="s">
        <v>94</v>
      </c>
      <c r="C780" s="83">
        <v>3680680</v>
      </c>
    </row>
    <row r="781" spans="1:3" x14ac:dyDescent="0.25">
      <c r="A781" s="93">
        <v>4875</v>
      </c>
      <c r="B781" s="84" t="s">
        <v>93</v>
      </c>
      <c r="C781" s="83">
        <v>3680700</v>
      </c>
    </row>
    <row r="782" spans="1:3" x14ac:dyDescent="0.25">
      <c r="A782" s="93">
        <v>6075</v>
      </c>
      <c r="B782" s="84" t="s">
        <v>92</v>
      </c>
      <c r="C782" s="83">
        <v>3680700</v>
      </c>
    </row>
    <row r="783" spans="1:3" x14ac:dyDescent="0.25">
      <c r="A783" s="93">
        <v>4950</v>
      </c>
      <c r="B783" s="84" t="s">
        <v>91</v>
      </c>
      <c r="C783" s="83">
        <v>3680720</v>
      </c>
    </row>
    <row r="784" spans="1:3" x14ac:dyDescent="0.25">
      <c r="A784" s="93">
        <v>6078</v>
      </c>
      <c r="B784" s="84" t="s">
        <v>91</v>
      </c>
      <c r="C784" s="83">
        <v>3680720</v>
      </c>
    </row>
    <row r="785" spans="1:3" x14ac:dyDescent="0.25">
      <c r="A785" s="93">
        <v>8160</v>
      </c>
      <c r="B785" s="84" t="s">
        <v>91</v>
      </c>
      <c r="C785" s="83">
        <v>3680720</v>
      </c>
    </row>
    <row r="786" spans="1:3" x14ac:dyDescent="0.25">
      <c r="A786" s="93">
        <v>4975</v>
      </c>
      <c r="B786" s="84" t="s">
        <v>90</v>
      </c>
      <c r="C786" s="83">
        <v>3680740</v>
      </c>
    </row>
    <row r="787" spans="1:3" x14ac:dyDescent="0.25">
      <c r="A787" s="93">
        <v>6079</v>
      </c>
      <c r="B787" s="84" t="s">
        <v>90</v>
      </c>
      <c r="C787" s="83">
        <v>3680740</v>
      </c>
    </row>
    <row r="788" spans="1:3" x14ac:dyDescent="0.25">
      <c r="A788" s="93">
        <v>5250</v>
      </c>
      <c r="B788" s="84" t="s">
        <v>89</v>
      </c>
      <c r="C788" s="83">
        <v>3680780</v>
      </c>
    </row>
    <row r="789" spans="1:3" x14ac:dyDescent="0.25">
      <c r="A789" s="93">
        <v>6094</v>
      </c>
      <c r="B789" s="84" t="s">
        <v>88</v>
      </c>
      <c r="C789" s="83">
        <v>3680780</v>
      </c>
    </row>
    <row r="790" spans="1:3" x14ac:dyDescent="0.25">
      <c r="A790" s="93">
        <v>6091</v>
      </c>
      <c r="B790" s="84" t="s">
        <v>87</v>
      </c>
      <c r="C790" s="83">
        <v>3680820</v>
      </c>
    </row>
    <row r="791" spans="1:3" x14ac:dyDescent="0.25">
      <c r="A791" s="93">
        <v>6093</v>
      </c>
      <c r="B791" s="84" t="s">
        <v>86</v>
      </c>
      <c r="C791" s="83">
        <v>3680860</v>
      </c>
    </row>
    <row r="792" spans="1:3" x14ac:dyDescent="0.25">
      <c r="A792" s="93">
        <v>5350</v>
      </c>
      <c r="B792" s="84" t="s">
        <v>85</v>
      </c>
      <c r="C792" s="83">
        <v>3680860</v>
      </c>
    </row>
    <row r="793" spans="1:3" x14ac:dyDescent="0.25">
      <c r="A793" s="93">
        <v>5500</v>
      </c>
      <c r="B793" s="84" t="s">
        <v>84</v>
      </c>
      <c r="C793" s="83">
        <v>3680880</v>
      </c>
    </row>
    <row r="794" spans="1:3" x14ac:dyDescent="0.25">
      <c r="A794" s="93">
        <v>6095</v>
      </c>
      <c r="B794" s="84" t="s">
        <v>84</v>
      </c>
      <c r="C794" s="83">
        <v>3680880</v>
      </c>
    </row>
    <row r="795" spans="1:3" x14ac:dyDescent="0.25">
      <c r="A795" s="93">
        <v>5525</v>
      </c>
      <c r="B795" s="84" t="s">
        <v>83</v>
      </c>
      <c r="C795" s="83">
        <v>3680900</v>
      </c>
    </row>
    <row r="796" spans="1:3" x14ac:dyDescent="0.25">
      <c r="A796" s="93">
        <v>6097</v>
      </c>
      <c r="B796" s="84" t="s">
        <v>83</v>
      </c>
      <c r="C796" s="83">
        <v>3680900</v>
      </c>
    </row>
    <row r="797" spans="1:3" x14ac:dyDescent="0.25">
      <c r="A797" s="93">
        <v>5575</v>
      </c>
      <c r="B797" s="84" t="s">
        <v>82</v>
      </c>
      <c r="C797" s="83">
        <v>3680920</v>
      </c>
    </row>
    <row r="798" spans="1:3" x14ac:dyDescent="0.25">
      <c r="A798" s="93">
        <v>6099</v>
      </c>
      <c r="B798" s="84" t="s">
        <v>82</v>
      </c>
      <c r="C798" s="83">
        <v>3680920</v>
      </c>
    </row>
    <row r="799" spans="1:3" x14ac:dyDescent="0.25">
      <c r="A799" s="93">
        <v>5675</v>
      </c>
      <c r="B799" s="84" t="s">
        <v>81</v>
      </c>
      <c r="C799" s="83">
        <v>3680940</v>
      </c>
    </row>
    <row r="800" spans="1:3" x14ac:dyDescent="0.25">
      <c r="A800" s="93">
        <v>6104</v>
      </c>
      <c r="B800" s="84" t="s">
        <v>80</v>
      </c>
      <c r="C800" s="83">
        <v>3680940</v>
      </c>
    </row>
    <row r="801" spans="1:3" x14ac:dyDescent="0.25">
      <c r="A801" s="93">
        <v>8170</v>
      </c>
      <c r="B801" s="84" t="s">
        <v>79</v>
      </c>
      <c r="C801" s="83">
        <v>3680960</v>
      </c>
    </row>
    <row r="802" spans="1:3" x14ac:dyDescent="0.25">
      <c r="A802" s="93">
        <v>5800</v>
      </c>
      <c r="B802" s="84" t="s">
        <v>78</v>
      </c>
      <c r="C802" s="83">
        <v>3680960</v>
      </c>
    </row>
    <row r="803" spans="1:3" x14ac:dyDescent="0.25">
      <c r="A803" s="93">
        <v>8105</v>
      </c>
      <c r="B803" s="84" t="s">
        <v>77</v>
      </c>
    </row>
    <row r="804" spans="1:3" x14ac:dyDescent="0.25">
      <c r="A804" s="94">
        <v>8442</v>
      </c>
      <c r="B804" s="84" t="s">
        <v>76</v>
      </c>
    </row>
    <row r="805" spans="1:3" x14ac:dyDescent="0.25">
      <c r="A805" s="93">
        <v>8113</v>
      </c>
      <c r="B805" s="84" t="s">
        <v>75</v>
      </c>
    </row>
    <row r="806" spans="1:3" x14ac:dyDescent="0.25">
      <c r="A806" s="93">
        <v>1050</v>
      </c>
      <c r="B806" s="84" t="s">
        <v>74</v>
      </c>
    </row>
    <row r="807" spans="1:3" x14ac:dyDescent="0.25">
      <c r="A807" s="93">
        <v>2084</v>
      </c>
      <c r="B807" s="84" t="s">
        <v>73</v>
      </c>
    </row>
    <row r="808" spans="1:3" x14ac:dyDescent="0.25">
      <c r="A808" s="93">
        <v>8000</v>
      </c>
      <c r="B808" s="84" t="s">
        <v>72</v>
      </c>
    </row>
    <row r="809" spans="1:3" x14ac:dyDescent="0.25">
      <c r="A809" s="93">
        <v>8124</v>
      </c>
      <c r="B809" s="84" t="s">
        <v>71</v>
      </c>
    </row>
    <row r="810" spans="1:3" x14ac:dyDescent="0.25">
      <c r="A810" s="93">
        <v>8130</v>
      </c>
      <c r="B810" s="84" t="s">
        <v>70</v>
      </c>
    </row>
    <row r="811" spans="1:3" x14ac:dyDescent="0.25">
      <c r="A811" s="93">
        <v>8129</v>
      </c>
      <c r="B811" s="84" t="s">
        <v>69</v>
      </c>
    </row>
    <row r="812" spans="1:3" x14ac:dyDescent="0.25">
      <c r="A812" s="93">
        <v>8131</v>
      </c>
      <c r="B812" s="84" t="s">
        <v>68</v>
      </c>
    </row>
    <row r="813" spans="1:3" x14ac:dyDescent="0.25">
      <c r="A813" s="93">
        <v>8133</v>
      </c>
      <c r="B813" s="84" t="s">
        <v>67</v>
      </c>
    </row>
    <row r="814" spans="1:3" x14ac:dyDescent="0.25">
      <c r="A814" s="93">
        <v>8406</v>
      </c>
      <c r="B814" s="84" t="s">
        <v>66</v>
      </c>
    </row>
    <row r="815" spans="1:3" x14ac:dyDescent="0.25">
      <c r="A815" s="93">
        <v>8134</v>
      </c>
      <c r="B815" s="84" t="s">
        <v>65</v>
      </c>
    </row>
    <row r="816" spans="1:3" x14ac:dyDescent="0.25">
      <c r="A816" s="93">
        <v>8135</v>
      </c>
      <c r="B816" s="84" t="s">
        <v>64</v>
      </c>
    </row>
    <row r="817" spans="1:2" x14ac:dyDescent="0.25">
      <c r="A817" s="93">
        <v>4907</v>
      </c>
      <c r="B817" s="84" t="s">
        <v>63</v>
      </c>
    </row>
    <row r="818" spans="1:2" x14ac:dyDescent="0.25">
      <c r="A818" s="93">
        <v>2288</v>
      </c>
      <c r="B818" s="84" t="s">
        <v>62</v>
      </c>
    </row>
    <row r="819" spans="1:2" x14ac:dyDescent="0.25">
      <c r="A819" s="93">
        <v>4026</v>
      </c>
      <c r="B819" s="84" t="s">
        <v>61</v>
      </c>
    </row>
    <row r="820" spans="1:2" x14ac:dyDescent="0.25">
      <c r="A820" s="93">
        <v>8145</v>
      </c>
      <c r="B820" s="84" t="s">
        <v>60</v>
      </c>
    </row>
    <row r="821" spans="1:2" x14ac:dyDescent="0.25">
      <c r="A821" s="93">
        <v>8146</v>
      </c>
      <c r="B821" s="84" t="s">
        <v>59</v>
      </c>
    </row>
    <row r="822" spans="1:2" x14ac:dyDescent="0.25">
      <c r="A822" s="93">
        <v>6507</v>
      </c>
      <c r="B822" s="84" t="s">
        <v>58</v>
      </c>
    </row>
    <row r="823" spans="1:2" x14ac:dyDescent="0.25">
      <c r="A823" s="93">
        <v>8153</v>
      </c>
      <c r="B823" s="84" t="s">
        <v>57</v>
      </c>
    </row>
    <row r="824" spans="1:2" x14ac:dyDescent="0.25">
      <c r="A824" s="93">
        <v>8149</v>
      </c>
      <c r="B824" s="84" t="s">
        <v>56</v>
      </c>
    </row>
    <row r="825" spans="1:2" x14ac:dyDescent="0.25">
      <c r="A825" s="93">
        <v>8301</v>
      </c>
      <c r="B825" s="84" t="s">
        <v>55</v>
      </c>
    </row>
    <row r="826" spans="1:2" x14ac:dyDescent="0.25">
      <c r="A826" s="93">
        <v>8155</v>
      </c>
      <c r="B826" s="84" t="s">
        <v>54</v>
      </c>
    </row>
    <row r="827" spans="1:2" x14ac:dyDescent="0.25">
      <c r="A827" s="93">
        <v>4028</v>
      </c>
      <c r="B827" s="84" t="s">
        <v>53</v>
      </c>
    </row>
    <row r="828" spans="1:2" x14ac:dyDescent="0.25">
      <c r="A828" s="93">
        <v>2467</v>
      </c>
      <c r="B828" s="84" t="s">
        <v>52</v>
      </c>
    </row>
    <row r="829" spans="1:2" x14ac:dyDescent="0.25">
      <c r="A829" s="93">
        <v>4703</v>
      </c>
      <c r="B829" s="84" t="s">
        <v>51</v>
      </c>
    </row>
    <row r="830" spans="1:2" x14ac:dyDescent="0.25">
      <c r="A830" s="93">
        <v>8162</v>
      </c>
      <c r="B830" s="84" t="s">
        <v>50</v>
      </c>
    </row>
    <row r="831" spans="1:2" x14ac:dyDescent="0.25">
      <c r="A831" s="93">
        <v>5450</v>
      </c>
      <c r="B831" s="84" t="s">
        <v>49</v>
      </c>
    </row>
    <row r="832" spans="1:2" x14ac:dyDescent="0.25">
      <c r="A832" s="93">
        <v>8166</v>
      </c>
      <c r="B832" s="84" t="s">
        <v>48</v>
      </c>
    </row>
    <row r="833" spans="1:2" x14ac:dyDescent="0.25">
      <c r="A833" s="93">
        <v>6511</v>
      </c>
      <c r="B833" s="84" t="s">
        <v>47</v>
      </c>
    </row>
    <row r="834" spans="1:2" x14ac:dyDescent="0.25">
      <c r="A834" s="93">
        <v>8167</v>
      </c>
      <c r="B834" s="84" t="s">
        <v>46</v>
      </c>
    </row>
    <row r="835" spans="1:2" x14ac:dyDescent="0.25">
      <c r="A835" s="93">
        <v>7105</v>
      </c>
      <c r="B835" s="84" t="s">
        <v>45</v>
      </c>
    </row>
    <row r="836" spans="1:2" x14ac:dyDescent="0.25">
      <c r="A836" s="93">
        <v>7005</v>
      </c>
      <c r="B836" s="84" t="s">
        <v>44</v>
      </c>
    </row>
    <row r="837" spans="1:2" x14ac:dyDescent="0.25">
      <c r="A837" s="93">
        <v>7140</v>
      </c>
      <c r="B837" s="84" t="s">
        <v>43</v>
      </c>
    </row>
    <row r="838" spans="1:2" x14ac:dyDescent="0.25">
      <c r="A838" s="93">
        <v>7166</v>
      </c>
      <c r="B838" s="84" t="s">
        <v>42</v>
      </c>
    </row>
    <row r="839" spans="1:2" x14ac:dyDescent="0.25">
      <c r="A839" s="93">
        <v>7165</v>
      </c>
      <c r="B839" s="84" t="s">
        <v>41</v>
      </c>
    </row>
    <row r="840" spans="1:2" x14ac:dyDescent="0.25">
      <c r="A840" s="93">
        <v>7500</v>
      </c>
      <c r="B840" s="84" t="s">
        <v>40</v>
      </c>
    </row>
    <row r="841" spans="1:2" x14ac:dyDescent="0.25">
      <c r="A841" s="93">
        <v>7110</v>
      </c>
      <c r="B841" s="84" t="s">
        <v>39</v>
      </c>
    </row>
    <row r="842" spans="1:2" x14ac:dyDescent="0.25">
      <c r="A842" s="93">
        <v>7000</v>
      </c>
      <c r="B842" s="84" t="s">
        <v>38</v>
      </c>
    </row>
    <row r="843" spans="1:2" x14ac:dyDescent="0.25">
      <c r="A843" s="93">
        <v>7115</v>
      </c>
      <c r="B843" s="84" t="s">
        <v>37</v>
      </c>
    </row>
    <row r="844" spans="1:2" x14ac:dyDescent="0.25">
      <c r="A844" s="93">
        <v>7010</v>
      </c>
      <c r="B844" s="84" t="s">
        <v>36</v>
      </c>
    </row>
    <row r="845" spans="1:2" x14ac:dyDescent="0.25">
      <c r="A845" s="93">
        <v>7015</v>
      </c>
      <c r="B845" s="84" t="s">
        <v>35</v>
      </c>
    </row>
    <row r="846" spans="1:2" x14ac:dyDescent="0.25">
      <c r="A846" s="93">
        <v>7020</v>
      </c>
      <c r="B846" s="84" t="s">
        <v>34</v>
      </c>
    </row>
    <row r="847" spans="1:2" x14ac:dyDescent="0.25">
      <c r="A847" s="93">
        <v>7025</v>
      </c>
      <c r="B847" s="84" t="s">
        <v>33</v>
      </c>
    </row>
    <row r="848" spans="1:2" x14ac:dyDescent="0.25">
      <c r="A848" s="93">
        <v>7030</v>
      </c>
      <c r="B848" s="84" t="s">
        <v>32</v>
      </c>
    </row>
    <row r="849" spans="1:2" x14ac:dyDescent="0.25">
      <c r="A849" s="93">
        <v>7035</v>
      </c>
      <c r="B849" s="84" t="s">
        <v>31</v>
      </c>
    </row>
    <row r="850" spans="1:2" x14ac:dyDescent="0.25">
      <c r="A850" s="93">
        <v>7036</v>
      </c>
      <c r="B850" s="84" t="s">
        <v>30</v>
      </c>
    </row>
    <row r="851" spans="1:2" x14ac:dyDescent="0.25">
      <c r="A851" s="93">
        <v>7040</v>
      </c>
      <c r="B851" s="84" t="s">
        <v>29</v>
      </c>
    </row>
    <row r="852" spans="1:2" x14ac:dyDescent="0.25">
      <c r="A852" s="93">
        <v>7045</v>
      </c>
      <c r="B852" s="84" t="s">
        <v>28</v>
      </c>
    </row>
    <row r="853" spans="1:2" x14ac:dyDescent="0.25">
      <c r="A853" s="93">
        <v>7050</v>
      </c>
      <c r="B853" s="84" t="s">
        <v>27</v>
      </c>
    </row>
    <row r="854" spans="1:2" x14ac:dyDescent="0.25">
      <c r="A854" s="93">
        <v>7055</v>
      </c>
      <c r="B854" s="84" t="s">
        <v>26</v>
      </c>
    </row>
    <row r="855" spans="1:2" x14ac:dyDescent="0.25">
      <c r="A855" s="93">
        <v>7056</v>
      </c>
      <c r="B855" s="84" t="s">
        <v>25</v>
      </c>
    </row>
    <row r="856" spans="1:2" x14ac:dyDescent="0.25">
      <c r="A856" s="93">
        <v>7160</v>
      </c>
      <c r="B856" s="84" t="s">
        <v>24</v>
      </c>
    </row>
    <row r="857" spans="1:2" x14ac:dyDescent="0.25">
      <c r="A857" s="93">
        <v>7066</v>
      </c>
      <c r="B857" s="84" t="s">
        <v>23</v>
      </c>
    </row>
    <row r="858" spans="1:2" x14ac:dyDescent="0.25">
      <c r="A858" s="93">
        <v>7065</v>
      </c>
      <c r="B858" s="84" t="s">
        <v>22</v>
      </c>
    </row>
    <row r="859" spans="1:2" x14ac:dyDescent="0.25">
      <c r="A859" s="93">
        <v>7168</v>
      </c>
      <c r="B859" s="84" t="s">
        <v>21</v>
      </c>
    </row>
    <row r="860" spans="1:2" x14ac:dyDescent="0.25">
      <c r="A860" s="93">
        <v>7120</v>
      </c>
      <c r="B860" s="84" t="s">
        <v>20</v>
      </c>
    </row>
    <row r="861" spans="1:2" x14ac:dyDescent="0.25">
      <c r="A861" s="93">
        <v>7060</v>
      </c>
      <c r="B861" s="84" t="s">
        <v>19</v>
      </c>
    </row>
    <row r="862" spans="1:2" x14ac:dyDescent="0.25">
      <c r="A862" s="93">
        <v>7125</v>
      </c>
      <c r="B862" s="84" t="s">
        <v>18</v>
      </c>
    </row>
    <row r="863" spans="1:2" x14ac:dyDescent="0.25">
      <c r="A863" s="93">
        <v>7150</v>
      </c>
      <c r="B863" s="84" t="s">
        <v>17</v>
      </c>
    </row>
    <row r="864" spans="1:2" x14ac:dyDescent="0.25">
      <c r="A864" s="93">
        <v>7155</v>
      </c>
      <c r="B864" s="84" t="s">
        <v>16</v>
      </c>
    </row>
    <row r="865" spans="1:2" x14ac:dyDescent="0.25">
      <c r="A865" s="93">
        <v>7501</v>
      </c>
      <c r="B865" s="84" t="s">
        <v>15</v>
      </c>
    </row>
    <row r="866" spans="1:2" x14ac:dyDescent="0.25">
      <c r="A866" s="93">
        <v>7502</v>
      </c>
      <c r="B866" s="84" t="s">
        <v>14</v>
      </c>
    </row>
    <row r="867" spans="1:2" x14ac:dyDescent="0.25">
      <c r="A867" s="93">
        <v>7167</v>
      </c>
      <c r="B867" s="84" t="s">
        <v>13</v>
      </c>
    </row>
    <row r="868" spans="1:2" x14ac:dyDescent="0.25">
      <c r="A868" s="93">
        <v>7130</v>
      </c>
      <c r="B868" s="84" t="s">
        <v>12</v>
      </c>
    </row>
    <row r="869" spans="1:2" x14ac:dyDescent="0.25">
      <c r="A869" s="93">
        <v>8424</v>
      </c>
      <c r="B869" s="84" t="s">
        <v>11</v>
      </c>
    </row>
    <row r="870" spans="1:2" x14ac:dyDescent="0.25">
      <c r="A870" s="93">
        <v>8169</v>
      </c>
      <c r="B870" s="84" t="s">
        <v>10</v>
      </c>
    </row>
    <row r="871" spans="1:2" x14ac:dyDescent="0.25">
      <c r="A871" s="93">
        <v>2590</v>
      </c>
      <c r="B871" s="84" t="s">
        <v>9</v>
      </c>
    </row>
    <row r="872" spans="1:2" x14ac:dyDescent="0.25">
      <c r="A872" s="93">
        <v>8168</v>
      </c>
      <c r="B872" s="84" t="s">
        <v>8</v>
      </c>
    </row>
    <row r="873" spans="1:2" x14ac:dyDescent="0.25">
      <c r="A873" s="93">
        <v>1265</v>
      </c>
      <c r="B873" s="84" t="s">
        <v>7</v>
      </c>
    </row>
    <row r="874" spans="1:2" x14ac:dyDescent="0.25">
      <c r="A874" s="93">
        <v>3629</v>
      </c>
      <c r="B874" s="84" t="s">
        <v>6</v>
      </c>
    </row>
  </sheetData>
  <autoFilter ref="A2:C874" xr:uid="{1C8BE6E5-F9B1-B54C-8304-18DFE6F7DFD8}">
    <sortState xmlns:xlrd2="http://schemas.microsoft.com/office/spreadsheetml/2017/richdata2" ref="A3:C874">
      <sortCondition ref="C2:C874"/>
    </sortState>
  </autoFilter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GASB 68 Data --&gt;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NY Identifiers &amp; LEAIDs --&gt;</vt:lpstr>
      <vt:lpstr>All 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2025-02-24T00:50:54Z</dcterms:created>
  <dcterms:modified xsi:type="dcterms:W3CDTF">2025-02-24T10:24:32Z</dcterms:modified>
</cp:coreProperties>
</file>