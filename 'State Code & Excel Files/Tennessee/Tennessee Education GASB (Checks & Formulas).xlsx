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Tennessee/"/>
    </mc:Choice>
  </mc:AlternateContent>
  <xr:revisionPtr revIDLastSave="0" documentId="13_ncr:1_{120AAB66-5E7E-0A4B-99FB-DD36FAD35E70}" xr6:coauthVersionLast="47" xr6:coauthVersionMax="47" xr10:uidLastSave="{00000000-0000-0000-0000-000000000000}"/>
  <bookViews>
    <workbookView xWindow="-5200" yWindow="-21020" windowWidth="27120" windowHeight="19860" activeTab="3" xr2:uid="{C5543144-9C59-0049-A50F-BD4AEA9DF0F6}"/>
  </bookViews>
  <sheets>
    <sheet name="Final Data" sheetId="16" r:id="rId1"/>
    <sheet name="LEAID Match" sheetId="18" r:id="rId2"/>
    <sheet name="Final Check" sheetId="17" r:id="rId3"/>
    <sheet name="Source" sheetId="15" r:id="rId4"/>
  </sheets>
  <definedNames>
    <definedName name="_xlnm._FilterDatabase" localSheetId="0" hidden="1">'Final Data'!$B$1:$G$2120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6" l="1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107" i="16"/>
  <c r="A108" i="16"/>
  <c r="A109" i="16"/>
  <c r="A110" i="16"/>
  <c r="A111" i="16"/>
  <c r="A112" i="16"/>
  <c r="A113" i="16"/>
  <c r="A114" i="16"/>
  <c r="A115" i="16"/>
  <c r="A116" i="16"/>
  <c r="A117" i="16"/>
  <c r="A118" i="16"/>
  <c r="A119" i="16"/>
  <c r="A120" i="16"/>
  <c r="A121" i="16"/>
  <c r="A122" i="16"/>
  <c r="A123" i="16"/>
  <c r="A124" i="16"/>
  <c r="A125" i="16"/>
  <c r="A126" i="16"/>
  <c r="A127" i="16"/>
  <c r="A128" i="16"/>
  <c r="A129" i="16"/>
  <c r="A130" i="16"/>
  <c r="A131" i="16"/>
  <c r="A132" i="16"/>
  <c r="A133" i="16"/>
  <c r="A134" i="16"/>
  <c r="A135" i="16"/>
  <c r="A136" i="16"/>
  <c r="A137" i="16"/>
  <c r="A138" i="16"/>
  <c r="A139" i="16"/>
  <c r="A140" i="16"/>
  <c r="A141" i="16"/>
  <c r="A142" i="16"/>
  <c r="A143" i="16"/>
  <c r="A144" i="16"/>
  <c r="A145" i="16"/>
  <c r="A146" i="16"/>
  <c r="A147" i="16"/>
  <c r="A148" i="16"/>
  <c r="A149" i="16"/>
  <c r="A150" i="16"/>
  <c r="A151" i="16"/>
  <c r="A152" i="16"/>
  <c r="A153" i="16"/>
  <c r="A154" i="16"/>
  <c r="A155" i="16"/>
  <c r="A156" i="16"/>
  <c r="A157" i="16"/>
  <c r="A158" i="1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A189" i="16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A266" i="16"/>
  <c r="A267" i="16"/>
  <c r="A268" i="16"/>
  <c r="A269" i="16"/>
  <c r="A270" i="16"/>
  <c r="A271" i="16"/>
  <c r="A272" i="16"/>
  <c r="A273" i="16"/>
  <c r="A274" i="16"/>
  <c r="A275" i="16"/>
  <c r="A276" i="16"/>
  <c r="A277" i="16"/>
  <c r="A278" i="16"/>
  <c r="A279" i="16"/>
  <c r="A280" i="16"/>
  <c r="A281" i="16"/>
  <c r="A282" i="16"/>
  <c r="A283" i="16"/>
  <c r="A284" i="16"/>
  <c r="A285" i="16"/>
  <c r="A286" i="16"/>
  <c r="A287" i="16"/>
  <c r="A288" i="16"/>
  <c r="A289" i="16"/>
  <c r="A290" i="16"/>
  <c r="A291" i="16"/>
  <c r="A292" i="16"/>
  <c r="A293" i="16"/>
  <c r="A294" i="16"/>
  <c r="A295" i="16"/>
  <c r="A296" i="16"/>
  <c r="A297" i="16"/>
  <c r="A298" i="16"/>
  <c r="A299" i="16"/>
  <c r="A300" i="16"/>
  <c r="A301" i="16"/>
  <c r="A302" i="16"/>
  <c r="A303" i="16"/>
  <c r="A304" i="16"/>
  <c r="A305" i="16"/>
  <c r="A306" i="16"/>
  <c r="A307" i="16"/>
  <c r="A308" i="16"/>
  <c r="A309" i="16"/>
  <c r="A310" i="16"/>
  <c r="A311" i="16"/>
  <c r="A312" i="16"/>
  <c r="A313" i="16"/>
  <c r="A314" i="16"/>
  <c r="A315" i="16"/>
  <c r="A316" i="16"/>
  <c r="A317" i="16"/>
  <c r="A318" i="16"/>
  <c r="A319" i="16"/>
  <c r="A320" i="16"/>
  <c r="A321" i="16"/>
  <c r="A322" i="16"/>
  <c r="A323" i="16"/>
  <c r="A324" i="16"/>
  <c r="A325" i="16"/>
  <c r="A326" i="16"/>
  <c r="A327" i="16"/>
  <c r="A328" i="16"/>
  <c r="A329" i="16"/>
  <c r="A330" i="16"/>
  <c r="A331" i="16"/>
  <c r="A332" i="16"/>
  <c r="A333" i="16"/>
  <c r="A334" i="16"/>
  <c r="A335" i="16"/>
  <c r="A336" i="16"/>
  <c r="A337" i="16"/>
  <c r="A338" i="16"/>
  <c r="A339" i="16"/>
  <c r="A340" i="16"/>
  <c r="A341" i="16"/>
  <c r="A342" i="16"/>
  <c r="A343" i="16"/>
  <c r="A344" i="16"/>
  <c r="A345" i="16"/>
  <c r="A346" i="16"/>
  <c r="A347" i="16"/>
  <c r="A348" i="16"/>
  <c r="A349" i="16"/>
  <c r="A350" i="16"/>
  <c r="A351" i="16"/>
  <c r="A352" i="16"/>
  <c r="A353" i="16"/>
  <c r="A354" i="16"/>
  <c r="A355" i="16"/>
  <c r="A356" i="16"/>
  <c r="A357" i="16"/>
  <c r="A358" i="16"/>
  <c r="A359" i="16"/>
  <c r="A360" i="16"/>
  <c r="A361" i="16"/>
  <c r="A362" i="16"/>
  <c r="A363" i="16"/>
  <c r="A364" i="16"/>
  <c r="A365" i="16"/>
  <c r="A366" i="16"/>
  <c r="A367" i="16"/>
  <c r="A368" i="16"/>
  <c r="A369" i="16"/>
  <c r="A370" i="16"/>
  <c r="A371" i="16"/>
  <c r="A372" i="16"/>
  <c r="A373" i="16"/>
  <c r="A374" i="16"/>
  <c r="A375" i="16"/>
  <c r="A376" i="16"/>
  <c r="A377" i="16"/>
  <c r="A378" i="16"/>
  <c r="A379" i="16"/>
  <c r="A380" i="16"/>
  <c r="A381" i="16"/>
  <c r="A382" i="16"/>
  <c r="A383" i="16"/>
  <c r="A384" i="16"/>
  <c r="A385" i="16"/>
  <c r="A386" i="16"/>
  <c r="A387" i="16"/>
  <c r="A388" i="16"/>
  <c r="A389" i="16"/>
  <c r="A390" i="16"/>
  <c r="A391" i="16"/>
  <c r="A392" i="16"/>
  <c r="A393" i="16"/>
  <c r="A394" i="16"/>
  <c r="A395" i="16"/>
  <c r="A396" i="16"/>
  <c r="A397" i="16"/>
  <c r="A398" i="16"/>
  <c r="A399" i="16"/>
  <c r="A400" i="16"/>
  <c r="A401" i="16"/>
  <c r="A402" i="16"/>
  <c r="A403" i="16"/>
  <c r="A404" i="16"/>
  <c r="A405" i="16"/>
  <c r="A406" i="16"/>
  <c r="A407" i="16"/>
  <c r="A408" i="16"/>
  <c r="A409" i="16"/>
  <c r="A410" i="16"/>
  <c r="A411" i="16"/>
  <c r="A412" i="16"/>
  <c r="A413" i="16"/>
  <c r="A414" i="16"/>
  <c r="A415" i="16"/>
  <c r="A416" i="16"/>
  <c r="A417" i="16"/>
  <c r="A418" i="16"/>
  <c r="A419" i="16"/>
  <c r="A420" i="16"/>
  <c r="A421" i="16"/>
  <c r="A422" i="16"/>
  <c r="A423" i="16"/>
  <c r="A424" i="16"/>
  <c r="A425" i="16"/>
  <c r="A426" i="16"/>
  <c r="A427" i="16"/>
  <c r="A428" i="16"/>
  <c r="A429" i="16"/>
  <c r="A430" i="16"/>
  <c r="A431" i="16"/>
  <c r="A432" i="16"/>
  <c r="A433" i="16"/>
  <c r="A434" i="16"/>
  <c r="A435" i="16"/>
  <c r="A436" i="16"/>
  <c r="A437" i="16"/>
  <c r="A438" i="16"/>
  <c r="A439" i="16"/>
  <c r="A440" i="16"/>
  <c r="A441" i="16"/>
  <c r="A442" i="16"/>
  <c r="A443" i="16"/>
  <c r="A444" i="16"/>
  <c r="A445" i="16"/>
  <c r="A446" i="16"/>
  <c r="A447" i="16"/>
  <c r="A448" i="16"/>
  <c r="A449" i="16"/>
  <c r="A450" i="16"/>
  <c r="A451" i="16"/>
  <c r="A452" i="16"/>
  <c r="A453" i="16"/>
  <c r="A454" i="16"/>
  <c r="A455" i="16"/>
  <c r="A456" i="16"/>
  <c r="A457" i="16"/>
  <c r="A458" i="16"/>
  <c r="A459" i="16"/>
  <c r="A460" i="16"/>
  <c r="A461" i="16"/>
  <c r="A462" i="16"/>
  <c r="A463" i="16"/>
  <c r="A464" i="16"/>
  <c r="A465" i="16"/>
  <c r="A466" i="16"/>
  <c r="A467" i="16"/>
  <c r="A468" i="16"/>
  <c r="A469" i="16"/>
  <c r="A470" i="16"/>
  <c r="A471" i="16"/>
  <c r="A472" i="16"/>
  <c r="A473" i="16"/>
  <c r="A474" i="16"/>
  <c r="A475" i="16"/>
  <c r="A476" i="16"/>
  <c r="A477" i="16"/>
  <c r="A478" i="16"/>
  <c r="A479" i="16"/>
  <c r="A480" i="16"/>
  <c r="A481" i="16"/>
  <c r="A482" i="16"/>
  <c r="A483" i="16"/>
  <c r="A484" i="16"/>
  <c r="A485" i="16"/>
  <c r="A486" i="16"/>
  <c r="A487" i="16"/>
  <c r="A488" i="16"/>
  <c r="A489" i="16"/>
  <c r="A490" i="16"/>
  <c r="A491" i="16"/>
  <c r="A492" i="16"/>
  <c r="A493" i="16"/>
  <c r="A494" i="16"/>
  <c r="A495" i="16"/>
  <c r="A496" i="16"/>
  <c r="A497" i="16"/>
  <c r="A498" i="16"/>
  <c r="A499" i="16"/>
  <c r="A500" i="16"/>
  <c r="A501" i="16"/>
  <c r="A502" i="16"/>
  <c r="A503" i="16"/>
  <c r="A504" i="16"/>
  <c r="A505" i="16"/>
  <c r="A506" i="16"/>
  <c r="A507" i="16"/>
  <c r="A508" i="16"/>
  <c r="A509" i="16"/>
  <c r="A510" i="16"/>
  <c r="A511" i="16"/>
  <c r="A512" i="16"/>
  <c r="A513" i="16"/>
  <c r="A514" i="16"/>
  <c r="A515" i="16"/>
  <c r="A516" i="16"/>
  <c r="A517" i="16"/>
  <c r="A518" i="16"/>
  <c r="A519" i="16"/>
  <c r="A520" i="16"/>
  <c r="A521" i="16"/>
  <c r="A522" i="16"/>
  <c r="A523" i="16"/>
  <c r="A524" i="16"/>
  <c r="A525" i="16"/>
  <c r="A526" i="16"/>
  <c r="A527" i="16"/>
  <c r="A528" i="16"/>
  <c r="A529" i="16"/>
  <c r="A530" i="16"/>
  <c r="A531" i="16"/>
  <c r="A532" i="16"/>
  <c r="A533" i="16"/>
  <c r="A534" i="16"/>
  <c r="A535" i="16"/>
  <c r="A536" i="16"/>
  <c r="A537" i="16"/>
  <c r="A538" i="16"/>
  <c r="A539" i="16"/>
  <c r="A540" i="16"/>
  <c r="A541" i="16"/>
  <c r="A542" i="16"/>
  <c r="A543" i="16"/>
  <c r="A544" i="16"/>
  <c r="A545" i="16"/>
  <c r="A546" i="16"/>
  <c r="A547" i="16"/>
  <c r="A548" i="16"/>
  <c r="A549" i="16"/>
  <c r="A550" i="16"/>
  <c r="A551" i="16"/>
  <c r="A552" i="16"/>
  <c r="A553" i="16"/>
  <c r="A554" i="16"/>
  <c r="A555" i="16"/>
  <c r="A556" i="16"/>
  <c r="A557" i="16"/>
  <c r="A558" i="16"/>
  <c r="A559" i="16"/>
  <c r="A560" i="16"/>
  <c r="A561" i="16"/>
  <c r="A562" i="16"/>
  <c r="A563" i="16"/>
  <c r="A564" i="16"/>
  <c r="A565" i="16"/>
  <c r="A566" i="16"/>
  <c r="A567" i="16"/>
  <c r="A568" i="16"/>
  <c r="A569" i="16"/>
  <c r="A570" i="16"/>
  <c r="A571" i="16"/>
  <c r="A572" i="16"/>
  <c r="A573" i="16"/>
  <c r="A574" i="16"/>
  <c r="A575" i="16"/>
  <c r="A576" i="16"/>
  <c r="A577" i="16"/>
  <c r="A578" i="16"/>
  <c r="A579" i="16"/>
  <c r="A580" i="16"/>
  <c r="A581" i="16"/>
  <c r="A582" i="16"/>
  <c r="A583" i="16"/>
  <c r="A584" i="16"/>
  <c r="A585" i="16"/>
  <c r="A586" i="16"/>
  <c r="A587" i="16"/>
  <c r="A588" i="16"/>
  <c r="A589" i="16"/>
  <c r="A590" i="16"/>
  <c r="A591" i="16"/>
  <c r="A592" i="16"/>
  <c r="A593" i="16"/>
  <c r="A594" i="16"/>
  <c r="A595" i="16"/>
  <c r="A596" i="16"/>
  <c r="A597" i="16"/>
  <c r="A598" i="16"/>
  <c r="A599" i="16"/>
  <c r="A600" i="16"/>
  <c r="A601" i="16"/>
  <c r="A602" i="16"/>
  <c r="A603" i="16"/>
  <c r="A604" i="16"/>
  <c r="A605" i="16"/>
  <c r="A606" i="16"/>
  <c r="A607" i="16"/>
  <c r="A608" i="16"/>
  <c r="A609" i="16"/>
  <c r="A610" i="16"/>
  <c r="A611" i="16"/>
  <c r="A612" i="16"/>
  <c r="A613" i="16"/>
  <c r="A614" i="16"/>
  <c r="A615" i="16"/>
  <c r="A616" i="16"/>
  <c r="A617" i="16"/>
  <c r="A618" i="16"/>
  <c r="A619" i="16"/>
  <c r="A620" i="16"/>
  <c r="A621" i="16"/>
  <c r="A622" i="16"/>
  <c r="A623" i="16"/>
  <c r="A624" i="16"/>
  <c r="A625" i="16"/>
  <c r="A626" i="16"/>
  <c r="A627" i="16"/>
  <c r="A628" i="16"/>
  <c r="A629" i="16"/>
  <c r="A630" i="16"/>
  <c r="A631" i="16"/>
  <c r="A632" i="16"/>
  <c r="A633" i="16"/>
  <c r="A634" i="16"/>
  <c r="A635" i="16"/>
  <c r="A636" i="16"/>
  <c r="A637" i="16"/>
  <c r="A638" i="16"/>
  <c r="A639" i="16"/>
  <c r="A640" i="16"/>
  <c r="A641" i="16"/>
  <c r="A642" i="16"/>
  <c r="A643" i="16"/>
  <c r="A644" i="16"/>
  <c r="A645" i="16"/>
  <c r="A646" i="16"/>
  <c r="A647" i="16"/>
  <c r="A648" i="16"/>
  <c r="A649" i="16"/>
  <c r="A650" i="16"/>
  <c r="A651" i="16"/>
  <c r="A652" i="16"/>
  <c r="A653" i="16"/>
  <c r="A654" i="16"/>
  <c r="A655" i="16"/>
  <c r="A656" i="16"/>
  <c r="A657" i="16"/>
  <c r="A658" i="16"/>
  <c r="A659" i="16"/>
  <c r="A660" i="16"/>
  <c r="A661" i="16"/>
  <c r="A662" i="16"/>
  <c r="A663" i="16"/>
  <c r="A664" i="16"/>
  <c r="A665" i="16"/>
  <c r="A666" i="16"/>
  <c r="A667" i="16"/>
  <c r="A668" i="16"/>
  <c r="A669" i="16"/>
  <c r="A670" i="16"/>
  <c r="A671" i="16"/>
  <c r="A672" i="16"/>
  <c r="A673" i="16"/>
  <c r="A674" i="16"/>
  <c r="A675" i="16"/>
  <c r="A676" i="16"/>
  <c r="A677" i="16"/>
  <c r="A678" i="16"/>
  <c r="A679" i="16"/>
  <c r="A680" i="16"/>
  <c r="A681" i="16"/>
  <c r="A682" i="16"/>
  <c r="A683" i="16"/>
  <c r="A684" i="16"/>
  <c r="A685" i="16"/>
  <c r="A686" i="16"/>
  <c r="A687" i="16"/>
  <c r="A688" i="16"/>
  <c r="A689" i="16"/>
  <c r="A690" i="16"/>
  <c r="A691" i="16"/>
  <c r="A692" i="16"/>
  <c r="A693" i="16"/>
  <c r="A694" i="16"/>
  <c r="A695" i="16"/>
  <c r="A696" i="16"/>
  <c r="A697" i="16"/>
  <c r="A698" i="16"/>
  <c r="A699" i="16"/>
  <c r="A700" i="16"/>
  <c r="A701" i="16"/>
  <c r="A702" i="16"/>
  <c r="A703" i="16"/>
  <c r="A704" i="16"/>
  <c r="A705" i="16"/>
  <c r="A706" i="16"/>
  <c r="A707" i="16"/>
  <c r="A708" i="16"/>
  <c r="A709" i="16"/>
  <c r="A710" i="16"/>
  <c r="A711" i="16"/>
  <c r="A712" i="16"/>
  <c r="A713" i="16"/>
  <c r="A714" i="16"/>
  <c r="A715" i="16"/>
  <c r="A716" i="16"/>
  <c r="A717" i="16"/>
  <c r="A718" i="16"/>
  <c r="A719" i="16"/>
  <c r="A720" i="16"/>
  <c r="A721" i="16"/>
  <c r="A722" i="16"/>
  <c r="A723" i="16"/>
  <c r="A724" i="16"/>
  <c r="A725" i="16"/>
  <c r="A726" i="16"/>
  <c r="A727" i="16"/>
  <c r="A728" i="16"/>
  <c r="A729" i="16"/>
  <c r="A730" i="16"/>
  <c r="A731" i="16"/>
  <c r="A732" i="16"/>
  <c r="A733" i="16"/>
  <c r="A734" i="16"/>
  <c r="A735" i="16"/>
  <c r="A736" i="16"/>
  <c r="A737" i="16"/>
  <c r="A738" i="16"/>
  <c r="A739" i="16"/>
  <c r="A740" i="16"/>
  <c r="A741" i="16"/>
  <c r="A742" i="16"/>
  <c r="A743" i="16"/>
  <c r="A744" i="16"/>
  <c r="A745" i="16"/>
  <c r="A746" i="16"/>
  <c r="A747" i="16"/>
  <c r="A748" i="16"/>
  <c r="A749" i="16"/>
  <c r="A750" i="16"/>
  <c r="A751" i="16"/>
  <c r="A752" i="16"/>
  <c r="A753" i="16"/>
  <c r="A754" i="16"/>
  <c r="A755" i="16"/>
  <c r="A756" i="16"/>
  <c r="A757" i="16"/>
  <c r="A758" i="16"/>
  <c r="A759" i="16"/>
  <c r="A760" i="16"/>
  <c r="A761" i="16"/>
  <c r="A762" i="16"/>
  <c r="A763" i="16"/>
  <c r="A764" i="16"/>
  <c r="A765" i="16"/>
  <c r="A766" i="16"/>
  <c r="A767" i="16"/>
  <c r="A768" i="16"/>
  <c r="A769" i="16"/>
  <c r="A770" i="16"/>
  <c r="A771" i="16"/>
  <c r="A772" i="16"/>
  <c r="A773" i="16"/>
  <c r="A774" i="16"/>
  <c r="A775" i="16"/>
  <c r="A776" i="16"/>
  <c r="A777" i="16"/>
  <c r="A778" i="16"/>
  <c r="A779" i="16"/>
  <c r="A780" i="16"/>
  <c r="A781" i="16"/>
  <c r="A782" i="16"/>
  <c r="A783" i="16"/>
  <c r="A784" i="16"/>
  <c r="A785" i="16"/>
  <c r="A786" i="16"/>
  <c r="A787" i="16"/>
  <c r="A788" i="16"/>
  <c r="A789" i="16"/>
  <c r="A790" i="16"/>
  <c r="A791" i="16"/>
  <c r="A792" i="16"/>
  <c r="A793" i="16"/>
  <c r="A794" i="16"/>
  <c r="A795" i="16"/>
  <c r="A796" i="16"/>
  <c r="A797" i="16"/>
  <c r="A798" i="16"/>
  <c r="A799" i="16"/>
  <c r="A800" i="16"/>
  <c r="A801" i="16"/>
  <c r="A802" i="16"/>
  <c r="A803" i="16"/>
  <c r="A804" i="16"/>
  <c r="A805" i="16"/>
  <c r="A806" i="16"/>
  <c r="A807" i="16"/>
  <c r="A808" i="16"/>
  <c r="A809" i="16"/>
  <c r="A810" i="16"/>
  <c r="A811" i="16"/>
  <c r="A812" i="16"/>
  <c r="A813" i="16"/>
  <c r="A814" i="16"/>
  <c r="A815" i="16"/>
  <c r="A816" i="16"/>
  <c r="A817" i="16"/>
  <c r="A818" i="16"/>
  <c r="A819" i="16"/>
  <c r="A820" i="16"/>
  <c r="A821" i="16"/>
  <c r="A822" i="16"/>
  <c r="A823" i="16"/>
  <c r="A824" i="16"/>
  <c r="A825" i="16"/>
  <c r="A826" i="16"/>
  <c r="A827" i="16"/>
  <c r="A828" i="16"/>
  <c r="A829" i="16"/>
  <c r="A830" i="16"/>
  <c r="A831" i="16"/>
  <c r="A832" i="16"/>
  <c r="A833" i="16"/>
  <c r="A834" i="16"/>
  <c r="A835" i="16"/>
  <c r="A836" i="16"/>
  <c r="A837" i="16"/>
  <c r="A838" i="16"/>
  <c r="A839" i="16"/>
  <c r="A840" i="16"/>
  <c r="A841" i="16"/>
  <c r="A842" i="16"/>
  <c r="A843" i="16"/>
  <c r="A844" i="16"/>
  <c r="A845" i="16"/>
  <c r="A846" i="16"/>
  <c r="A847" i="16"/>
  <c r="A848" i="16"/>
  <c r="A849" i="16"/>
  <c r="A850" i="16"/>
  <c r="A851" i="16"/>
  <c r="A852" i="16"/>
  <c r="A853" i="16"/>
  <c r="A854" i="16"/>
  <c r="A855" i="16"/>
  <c r="A856" i="16"/>
  <c r="A857" i="16"/>
  <c r="A858" i="16"/>
  <c r="A859" i="16"/>
  <c r="A860" i="16"/>
  <c r="A861" i="16"/>
  <c r="A862" i="16"/>
  <c r="A863" i="16"/>
  <c r="A864" i="16"/>
  <c r="A865" i="16"/>
  <c r="A866" i="16"/>
  <c r="A867" i="16"/>
  <c r="A868" i="16"/>
  <c r="A869" i="16"/>
  <c r="A870" i="16"/>
  <c r="A871" i="16"/>
  <c r="A872" i="16"/>
  <c r="A873" i="16"/>
  <c r="A874" i="16"/>
  <c r="A875" i="16"/>
  <c r="A876" i="16"/>
  <c r="A877" i="16"/>
  <c r="A878" i="16"/>
  <c r="A879" i="16"/>
  <c r="A880" i="16"/>
  <c r="A881" i="16"/>
  <c r="A882" i="16"/>
  <c r="A883" i="16"/>
  <c r="A884" i="16"/>
  <c r="A885" i="16"/>
  <c r="A886" i="16"/>
  <c r="A887" i="16"/>
  <c r="A888" i="16"/>
  <c r="A889" i="16"/>
  <c r="A890" i="16"/>
  <c r="A891" i="16"/>
  <c r="A892" i="16"/>
  <c r="A893" i="16"/>
  <c r="A894" i="16"/>
  <c r="A895" i="16"/>
  <c r="A896" i="16"/>
  <c r="A897" i="16"/>
  <c r="A898" i="16"/>
  <c r="A899" i="16"/>
  <c r="A900" i="16"/>
  <c r="A901" i="16"/>
  <c r="A902" i="16"/>
  <c r="A903" i="16"/>
  <c r="A904" i="16"/>
  <c r="A905" i="16"/>
  <c r="A906" i="16"/>
  <c r="A907" i="16"/>
  <c r="A908" i="16"/>
  <c r="A909" i="16"/>
  <c r="A910" i="16"/>
  <c r="A911" i="16"/>
  <c r="A912" i="16"/>
  <c r="A913" i="16"/>
  <c r="A914" i="16"/>
  <c r="A915" i="16"/>
  <c r="A916" i="16"/>
  <c r="A917" i="16"/>
  <c r="A918" i="16"/>
  <c r="A919" i="16"/>
  <c r="A920" i="16"/>
  <c r="A921" i="16"/>
  <c r="A922" i="16"/>
  <c r="A923" i="16"/>
  <c r="A924" i="16"/>
  <c r="A925" i="16"/>
  <c r="A926" i="16"/>
  <c r="A927" i="16"/>
  <c r="A928" i="16"/>
  <c r="A929" i="16"/>
  <c r="A930" i="16"/>
  <c r="A931" i="16"/>
  <c r="A932" i="16"/>
  <c r="A933" i="16"/>
  <c r="A934" i="16"/>
  <c r="A935" i="16"/>
  <c r="A936" i="16"/>
  <c r="A937" i="16"/>
  <c r="A938" i="16"/>
  <c r="A939" i="16"/>
  <c r="A940" i="16"/>
  <c r="A941" i="16"/>
  <c r="A942" i="16"/>
  <c r="A943" i="16"/>
  <c r="A944" i="16"/>
  <c r="A945" i="16"/>
  <c r="A946" i="16"/>
  <c r="A947" i="16"/>
  <c r="A948" i="16"/>
  <c r="A949" i="16"/>
  <c r="A950" i="16"/>
  <c r="A951" i="16"/>
  <c r="A952" i="16"/>
  <c r="A953" i="16"/>
  <c r="A954" i="16"/>
  <c r="A955" i="16"/>
  <c r="A956" i="16"/>
  <c r="A957" i="16"/>
  <c r="A958" i="16"/>
  <c r="A959" i="16"/>
  <c r="A960" i="16"/>
  <c r="A961" i="16"/>
  <c r="A962" i="16"/>
  <c r="A963" i="16"/>
  <c r="A964" i="16"/>
  <c r="A965" i="16"/>
  <c r="A966" i="16"/>
  <c r="A967" i="16"/>
  <c r="A968" i="16"/>
  <c r="A969" i="16"/>
  <c r="A970" i="16"/>
  <c r="A971" i="16"/>
  <c r="A972" i="16"/>
  <c r="A973" i="16"/>
  <c r="A974" i="16"/>
  <c r="A975" i="16"/>
  <c r="A976" i="16"/>
  <c r="A977" i="16"/>
  <c r="A978" i="16"/>
  <c r="A979" i="16"/>
  <c r="A980" i="16"/>
  <c r="A981" i="16"/>
  <c r="A982" i="16"/>
  <c r="A983" i="16"/>
  <c r="A984" i="16"/>
  <c r="A985" i="16"/>
  <c r="A986" i="16"/>
  <c r="A987" i="16"/>
  <c r="A988" i="16"/>
  <c r="A989" i="16"/>
  <c r="A990" i="16"/>
  <c r="A991" i="16"/>
  <c r="A992" i="16"/>
  <c r="A993" i="16"/>
  <c r="A994" i="16"/>
  <c r="A995" i="16"/>
  <c r="A996" i="16"/>
  <c r="A997" i="16"/>
  <c r="A998" i="16"/>
  <c r="A999" i="16"/>
  <c r="A1000" i="16"/>
  <c r="A1001" i="16"/>
  <c r="A1002" i="16"/>
  <c r="A1003" i="16"/>
  <c r="A1004" i="16"/>
  <c r="A1005" i="16"/>
  <c r="A1006" i="16"/>
  <c r="A1007" i="16"/>
  <c r="A1008" i="16"/>
  <c r="A1009" i="16"/>
  <c r="A1010" i="16"/>
  <c r="A1011" i="16"/>
  <c r="A1012" i="16"/>
  <c r="A1013" i="16"/>
  <c r="A1014" i="16"/>
  <c r="A1015" i="16"/>
  <c r="A1016" i="16"/>
  <c r="A1017" i="16"/>
  <c r="A1018" i="16"/>
  <c r="A1019" i="16"/>
  <c r="A1020" i="16"/>
  <c r="A1021" i="16"/>
  <c r="A1022" i="16"/>
  <c r="A1023" i="16"/>
  <c r="A1024" i="16"/>
  <c r="A1025" i="16"/>
  <c r="A1026" i="16"/>
  <c r="A1027" i="16"/>
  <c r="A1028" i="16"/>
  <c r="A1029" i="16"/>
  <c r="A1030" i="16"/>
  <c r="A1031" i="16"/>
  <c r="A1032" i="16"/>
  <c r="A1033" i="16"/>
  <c r="A1034" i="16"/>
  <c r="A1035" i="16"/>
  <c r="A1036" i="16"/>
  <c r="A1037" i="16"/>
  <c r="A1038" i="16"/>
  <c r="A1039" i="16"/>
  <c r="A1040" i="16"/>
  <c r="A1041" i="16"/>
  <c r="A1042" i="16"/>
  <c r="A1043" i="16"/>
  <c r="A1044" i="16"/>
  <c r="A1045" i="16"/>
  <c r="A1046" i="16"/>
  <c r="A1047" i="16"/>
  <c r="A1048" i="16"/>
  <c r="A1049" i="16"/>
  <c r="A1050" i="16"/>
  <c r="A1051" i="16"/>
  <c r="A1052" i="16"/>
  <c r="A1053" i="16"/>
  <c r="A1054" i="16"/>
  <c r="A1055" i="16"/>
  <c r="A1056" i="16"/>
  <c r="A1057" i="16"/>
  <c r="A1058" i="16"/>
  <c r="A1059" i="16"/>
  <c r="A1060" i="16"/>
  <c r="A1061" i="16"/>
  <c r="A1062" i="16"/>
  <c r="A1063" i="16"/>
  <c r="A1064" i="16"/>
  <c r="A1065" i="16"/>
  <c r="A1066" i="16"/>
  <c r="A1067" i="16"/>
  <c r="A1068" i="16"/>
  <c r="A1069" i="16"/>
  <c r="A1070" i="16"/>
  <c r="A1071" i="16"/>
  <c r="A1072" i="16"/>
  <c r="A1073" i="16"/>
  <c r="A1074" i="16"/>
  <c r="A1075" i="16"/>
  <c r="A1076" i="16"/>
  <c r="A1077" i="16"/>
  <c r="A1078" i="16"/>
  <c r="A1079" i="16"/>
  <c r="A1080" i="16"/>
  <c r="A1081" i="16"/>
  <c r="A1082" i="16"/>
  <c r="A1083" i="16"/>
  <c r="A1084" i="16"/>
  <c r="A1085" i="16"/>
  <c r="A1086" i="16"/>
  <c r="A1087" i="16"/>
  <c r="A1088" i="16"/>
  <c r="A1089" i="16"/>
  <c r="A1090" i="16"/>
  <c r="A1091" i="16"/>
  <c r="A1092" i="16"/>
  <c r="A1093" i="16"/>
  <c r="A1094" i="16"/>
  <c r="A1095" i="16"/>
  <c r="A1096" i="16"/>
  <c r="A1097" i="16"/>
  <c r="A1098" i="16"/>
  <c r="A1099" i="16"/>
  <c r="A1100" i="16"/>
  <c r="A1101" i="16"/>
  <c r="A1102" i="16"/>
  <c r="A1103" i="16"/>
  <c r="A1104" i="16"/>
  <c r="A1105" i="16"/>
  <c r="A1106" i="16"/>
  <c r="A1107" i="16"/>
  <c r="A1108" i="16"/>
  <c r="A1109" i="16"/>
  <c r="A1110" i="16"/>
  <c r="A1111" i="16"/>
  <c r="A1112" i="16"/>
  <c r="A1113" i="16"/>
  <c r="A1114" i="16"/>
  <c r="A1115" i="16"/>
  <c r="A1116" i="16"/>
  <c r="A1117" i="16"/>
  <c r="A1118" i="16"/>
  <c r="A1119" i="16"/>
  <c r="A1120" i="16"/>
  <c r="A1121" i="16"/>
  <c r="A1122" i="16"/>
  <c r="A1123" i="16"/>
  <c r="A1124" i="16"/>
  <c r="A1125" i="16"/>
  <c r="A1126" i="16"/>
  <c r="A1127" i="16"/>
  <c r="A1128" i="16"/>
  <c r="A1129" i="16"/>
  <c r="A1130" i="16"/>
  <c r="A1131" i="16"/>
  <c r="A1132" i="16"/>
  <c r="A1133" i="16"/>
  <c r="A1134" i="16"/>
  <c r="A1135" i="16"/>
  <c r="A1136" i="16"/>
  <c r="A1137" i="16"/>
  <c r="A1138" i="16"/>
  <c r="A1139" i="16"/>
  <c r="A1140" i="16"/>
  <c r="A1141" i="16"/>
  <c r="A1142" i="16"/>
  <c r="A1143" i="16"/>
  <c r="A1144" i="16"/>
  <c r="A1145" i="16"/>
  <c r="A1146" i="16"/>
  <c r="A1147" i="16"/>
  <c r="A1148" i="16"/>
  <c r="A1149" i="16"/>
  <c r="A1150" i="16"/>
  <c r="A1151" i="16"/>
  <c r="A1152" i="16"/>
  <c r="A1153" i="16"/>
  <c r="A1154" i="16"/>
  <c r="A1155" i="16"/>
  <c r="A1156" i="16"/>
  <c r="A1157" i="16"/>
  <c r="A1158" i="16"/>
  <c r="A1159" i="16"/>
  <c r="A1160" i="16"/>
  <c r="A1161" i="16"/>
  <c r="A1162" i="16"/>
  <c r="A1163" i="16"/>
  <c r="A1164" i="16"/>
  <c r="A1165" i="16"/>
  <c r="A1166" i="16"/>
  <c r="A1167" i="16"/>
  <c r="A1168" i="16"/>
  <c r="A1169" i="16"/>
  <c r="A1170" i="16"/>
  <c r="A1171" i="16"/>
  <c r="A1172" i="16"/>
  <c r="A1173" i="16"/>
  <c r="A1174" i="16"/>
  <c r="A1175" i="16"/>
  <c r="A1176" i="16"/>
  <c r="A1177" i="16"/>
  <c r="A1178" i="16"/>
  <c r="A1179" i="16"/>
  <c r="A1180" i="16"/>
  <c r="A1181" i="16"/>
  <c r="A1182" i="16"/>
  <c r="A1183" i="16"/>
  <c r="A1184" i="16"/>
  <c r="A1185" i="16"/>
  <c r="A1186" i="16"/>
  <c r="A1187" i="16"/>
  <c r="A1188" i="16"/>
  <c r="A1189" i="16"/>
  <c r="A1190" i="16"/>
  <c r="A1191" i="16"/>
  <c r="A1192" i="16"/>
  <c r="A1193" i="16"/>
  <c r="A1194" i="16"/>
  <c r="A1195" i="16"/>
  <c r="A1196" i="16"/>
  <c r="A1197" i="16"/>
  <c r="A1198" i="16"/>
  <c r="A1199" i="16"/>
  <c r="A1200" i="16"/>
  <c r="A1201" i="16"/>
  <c r="A1202" i="16"/>
  <c r="A1203" i="16"/>
  <c r="A1204" i="16"/>
  <c r="A1205" i="16"/>
  <c r="A1206" i="16"/>
  <c r="A1207" i="16"/>
  <c r="A1208" i="16"/>
  <c r="A1209" i="16"/>
  <c r="A1210" i="16"/>
  <c r="A1211" i="16"/>
  <c r="A1212" i="16"/>
  <c r="A1213" i="16"/>
  <c r="A1214" i="16"/>
  <c r="A1215" i="16"/>
  <c r="A1216" i="16"/>
  <c r="A1217" i="16"/>
  <c r="A1218" i="16"/>
  <c r="A1219" i="16"/>
  <c r="A1220" i="16"/>
  <c r="A1221" i="16"/>
  <c r="A1222" i="16"/>
  <c r="A1223" i="16"/>
  <c r="A1224" i="16"/>
  <c r="A1225" i="16"/>
  <c r="A1226" i="16"/>
  <c r="A1227" i="16"/>
  <c r="A1228" i="16"/>
  <c r="A1229" i="16"/>
  <c r="A1230" i="16"/>
  <c r="A1231" i="16"/>
  <c r="A1232" i="16"/>
  <c r="A1233" i="16"/>
  <c r="A1234" i="16"/>
  <c r="A1235" i="16"/>
  <c r="A1236" i="16"/>
  <c r="A1237" i="16"/>
  <c r="A1238" i="16"/>
  <c r="A1239" i="16"/>
  <c r="A1240" i="16"/>
  <c r="A1241" i="16"/>
  <c r="A1242" i="16"/>
  <c r="A1243" i="16"/>
  <c r="A1244" i="16"/>
  <c r="A1245" i="16"/>
  <c r="A1246" i="16"/>
  <c r="A1247" i="16"/>
  <c r="A1248" i="16"/>
  <c r="A1249" i="16"/>
  <c r="A1250" i="16"/>
  <c r="A1251" i="16"/>
  <c r="A1252" i="16"/>
  <c r="A1253" i="16"/>
  <c r="A1254" i="16"/>
  <c r="A1255" i="16"/>
  <c r="A1256" i="16"/>
  <c r="A1257" i="16"/>
  <c r="A1258" i="16"/>
  <c r="A1259" i="16"/>
  <c r="A1260" i="16"/>
  <c r="A1261" i="16"/>
  <c r="A1262" i="16"/>
  <c r="A1263" i="16"/>
  <c r="A1264" i="16"/>
  <c r="A1265" i="16"/>
  <c r="A1266" i="16"/>
  <c r="A1267" i="16"/>
  <c r="A1268" i="16"/>
  <c r="A1269" i="16"/>
  <c r="A1270" i="16"/>
  <c r="A1271" i="16"/>
  <c r="A1272" i="16"/>
  <c r="A1273" i="16"/>
  <c r="A1274" i="16"/>
  <c r="A1275" i="16"/>
  <c r="A1276" i="16"/>
  <c r="A1277" i="16"/>
  <c r="A1278" i="16"/>
  <c r="A1279" i="16"/>
  <c r="A1280" i="16"/>
  <c r="A1281" i="16"/>
  <c r="A1282" i="16"/>
  <c r="A1283" i="16"/>
  <c r="A1284" i="16"/>
  <c r="A1285" i="16"/>
  <c r="A1286" i="16"/>
  <c r="A1287" i="16"/>
  <c r="A1288" i="16"/>
  <c r="A1289" i="16"/>
  <c r="A1290" i="16"/>
  <c r="A1291" i="16"/>
  <c r="A1292" i="16"/>
  <c r="A1293" i="16"/>
  <c r="A1294" i="16"/>
  <c r="A1295" i="16"/>
  <c r="A1296" i="16"/>
  <c r="A1297" i="16"/>
  <c r="A1298" i="16"/>
  <c r="A1299" i="16"/>
  <c r="A1300" i="16"/>
  <c r="A1301" i="16"/>
  <c r="A1302" i="16"/>
  <c r="A1303" i="16"/>
  <c r="A1304" i="16"/>
  <c r="A1305" i="16"/>
  <c r="A1306" i="16"/>
  <c r="A1307" i="16"/>
  <c r="A1308" i="16"/>
  <c r="A1309" i="16"/>
  <c r="A1310" i="16"/>
  <c r="A1311" i="16"/>
  <c r="A1312" i="16"/>
  <c r="A1313" i="16"/>
  <c r="A1314" i="16"/>
  <c r="A1315" i="16"/>
  <c r="A1316" i="16"/>
  <c r="A1317" i="16"/>
  <c r="A1318" i="16"/>
  <c r="A1319" i="16"/>
  <c r="A1320" i="16"/>
  <c r="A1321" i="16"/>
  <c r="A1322" i="16"/>
  <c r="A1323" i="16"/>
  <c r="A1324" i="16"/>
  <c r="A1325" i="16"/>
  <c r="A1326" i="16"/>
  <c r="A1327" i="16"/>
  <c r="A1328" i="16"/>
  <c r="A1329" i="16"/>
  <c r="A1330" i="16"/>
  <c r="A1331" i="16"/>
  <c r="A1332" i="16"/>
  <c r="A1333" i="16"/>
  <c r="A1334" i="16"/>
  <c r="A1335" i="16"/>
  <c r="A1336" i="16"/>
  <c r="A1337" i="16"/>
  <c r="A1338" i="16"/>
  <c r="A1339" i="16"/>
  <c r="A1340" i="16"/>
  <c r="A1341" i="16"/>
  <c r="A1342" i="16"/>
  <c r="A1343" i="16"/>
  <c r="A1344" i="16"/>
  <c r="A1345" i="16"/>
  <c r="A1346" i="16"/>
  <c r="A1347" i="16"/>
  <c r="A1348" i="16"/>
  <c r="A1349" i="16"/>
  <c r="A1350" i="16"/>
  <c r="A1351" i="16"/>
  <c r="A1352" i="16"/>
  <c r="A1353" i="16"/>
  <c r="A1354" i="16"/>
  <c r="A1355" i="16"/>
  <c r="A1356" i="16"/>
  <c r="A1357" i="16"/>
  <c r="A1358" i="16"/>
  <c r="A1359" i="16"/>
  <c r="A1360" i="16"/>
  <c r="A1361" i="16"/>
  <c r="A1362" i="16"/>
  <c r="A1363" i="16"/>
  <c r="A1364" i="16"/>
  <c r="A1365" i="16"/>
  <c r="A1366" i="16"/>
  <c r="A1367" i="16"/>
  <c r="A1368" i="16"/>
  <c r="A1369" i="16"/>
  <c r="A1370" i="16"/>
  <c r="A1371" i="16"/>
  <c r="A1372" i="16"/>
  <c r="A1373" i="16"/>
  <c r="A1374" i="16"/>
  <c r="A1375" i="16"/>
  <c r="A1376" i="16"/>
  <c r="A1377" i="16"/>
  <c r="A1378" i="16"/>
  <c r="A1379" i="16"/>
  <c r="A1380" i="16"/>
  <c r="A1381" i="16"/>
  <c r="A1382" i="16"/>
  <c r="A1383" i="16"/>
  <c r="A1384" i="16"/>
  <c r="A1385" i="16"/>
  <c r="A1386" i="16"/>
  <c r="A1387" i="16"/>
  <c r="A1388" i="16"/>
  <c r="A1389" i="16"/>
  <c r="A1390" i="16"/>
  <c r="A1391" i="16"/>
  <c r="A1392" i="16"/>
  <c r="A1393" i="16"/>
  <c r="A1394" i="16"/>
  <c r="A1395" i="16"/>
  <c r="A1396" i="16"/>
  <c r="A1397" i="16"/>
  <c r="A1398" i="16"/>
  <c r="A1399" i="16"/>
  <c r="A1400" i="16"/>
  <c r="A1401" i="16"/>
  <c r="A1402" i="16"/>
  <c r="A1403" i="16"/>
  <c r="A1404" i="16"/>
  <c r="A1405" i="16"/>
  <c r="A1406" i="16"/>
  <c r="A1407" i="16"/>
  <c r="A1408" i="16"/>
  <c r="A1409" i="16"/>
  <c r="A1410" i="16"/>
  <c r="A1411" i="16"/>
  <c r="A1412" i="16"/>
  <c r="A1413" i="16"/>
  <c r="A1414" i="16"/>
  <c r="A1415" i="16"/>
  <c r="A1416" i="16"/>
  <c r="A1417" i="16"/>
  <c r="A1418" i="16"/>
  <c r="A1419" i="16"/>
  <c r="A1420" i="16"/>
  <c r="A1421" i="16"/>
  <c r="A1422" i="16"/>
  <c r="A1423" i="16"/>
  <c r="A1424" i="16"/>
  <c r="A1425" i="16"/>
  <c r="A1426" i="16"/>
  <c r="A1427" i="16"/>
  <c r="A1428" i="16"/>
  <c r="A1429" i="16"/>
  <c r="A1430" i="16"/>
  <c r="A1431" i="16"/>
  <c r="A1432" i="16"/>
  <c r="A1433" i="16"/>
  <c r="A1434" i="16"/>
  <c r="A1435" i="16"/>
  <c r="A1436" i="16"/>
  <c r="A1437" i="16"/>
  <c r="A1438" i="16"/>
  <c r="A1439" i="16"/>
  <c r="A1440" i="16"/>
  <c r="A1441" i="16"/>
  <c r="A1442" i="16"/>
  <c r="A1443" i="16"/>
  <c r="A1444" i="16"/>
  <c r="A1445" i="16"/>
  <c r="A1446" i="16"/>
  <c r="A1447" i="16"/>
  <c r="A1448" i="16"/>
  <c r="A1449" i="16"/>
  <c r="A1450" i="16"/>
  <c r="A1451" i="16"/>
  <c r="A1452" i="16"/>
  <c r="A1453" i="16"/>
  <c r="A1454" i="16"/>
  <c r="A1455" i="16"/>
  <c r="A1456" i="16"/>
  <c r="A1457" i="16"/>
  <c r="A1458" i="16"/>
  <c r="A1459" i="16"/>
  <c r="A1460" i="16"/>
  <c r="A1461" i="16"/>
  <c r="A1462" i="16"/>
  <c r="A1463" i="16"/>
  <c r="A1464" i="16"/>
  <c r="A1465" i="16"/>
  <c r="A1466" i="16"/>
  <c r="A1467" i="16"/>
  <c r="A1468" i="16"/>
  <c r="A1469" i="16"/>
  <c r="A1470" i="16"/>
  <c r="A1471" i="16"/>
  <c r="A1472" i="16"/>
  <c r="A1473" i="16"/>
  <c r="A1474" i="16"/>
  <c r="A1475" i="16"/>
  <c r="A1476" i="16"/>
  <c r="A1477" i="16"/>
  <c r="A1478" i="16"/>
  <c r="A1479" i="16"/>
  <c r="A1480" i="16"/>
  <c r="A1481" i="16"/>
  <c r="A1482" i="16"/>
  <c r="A1483" i="16"/>
  <c r="A1484" i="16"/>
  <c r="A1485" i="16"/>
  <c r="A1486" i="16"/>
  <c r="A1487" i="16"/>
  <c r="A1488" i="16"/>
  <c r="A1489" i="16"/>
  <c r="A1490" i="16"/>
  <c r="A1491" i="16"/>
  <c r="A1492" i="16"/>
  <c r="A1493" i="16"/>
  <c r="A1494" i="16"/>
  <c r="A1495" i="16"/>
  <c r="A1496" i="16"/>
  <c r="A1497" i="16"/>
  <c r="A1498" i="16"/>
  <c r="A1499" i="16"/>
  <c r="A1500" i="16"/>
  <c r="A1501" i="16"/>
  <c r="A1502" i="16"/>
  <c r="A1503" i="16"/>
  <c r="A1504" i="16"/>
  <c r="A1505" i="16"/>
  <c r="A1506" i="16"/>
  <c r="A1507" i="16"/>
  <c r="A1508" i="16"/>
  <c r="A1509" i="16"/>
  <c r="A1510" i="16"/>
  <c r="A1511" i="16"/>
  <c r="A1512" i="16"/>
  <c r="A1513" i="16"/>
  <c r="A1514" i="16"/>
  <c r="A1515" i="16"/>
  <c r="A1516" i="16"/>
  <c r="A1517" i="16"/>
  <c r="A1518" i="16"/>
  <c r="A1519" i="16"/>
  <c r="A1520" i="16"/>
  <c r="A1521" i="16"/>
  <c r="A1522" i="16"/>
  <c r="A1523" i="16"/>
  <c r="A1524" i="16"/>
  <c r="A1525" i="16"/>
  <c r="A1526" i="16"/>
  <c r="A1527" i="16"/>
  <c r="A1528" i="16"/>
  <c r="A1529" i="16"/>
  <c r="A1530" i="16"/>
  <c r="A1531" i="16"/>
  <c r="A1532" i="16"/>
  <c r="A1533" i="16"/>
  <c r="A1534" i="16"/>
  <c r="A1535" i="16"/>
  <c r="A1536" i="16"/>
  <c r="A1537" i="16"/>
  <c r="A1538" i="16"/>
  <c r="A1539" i="16"/>
  <c r="A1540" i="16"/>
  <c r="A1541" i="16"/>
  <c r="A1542" i="16"/>
  <c r="A1543" i="16"/>
  <c r="A1544" i="16"/>
  <c r="A1545" i="16"/>
  <c r="A1546" i="16"/>
  <c r="A1547" i="16"/>
  <c r="A1548" i="16"/>
  <c r="A1549" i="16"/>
  <c r="A1550" i="16"/>
  <c r="A1551" i="16"/>
  <c r="A1552" i="16"/>
  <c r="A1553" i="16"/>
  <c r="A1554" i="16"/>
  <c r="A1555" i="16"/>
  <c r="A1556" i="16"/>
  <c r="A1557" i="16"/>
  <c r="A1558" i="16"/>
  <c r="A1559" i="16"/>
  <c r="A1560" i="16"/>
  <c r="A1561" i="16"/>
  <c r="A1562" i="16"/>
  <c r="A1563" i="16"/>
  <c r="A1564" i="16"/>
  <c r="A1565" i="16"/>
  <c r="A1566" i="16"/>
  <c r="A1567" i="16"/>
  <c r="A1568" i="16"/>
  <c r="A1569" i="16"/>
  <c r="A1570" i="16"/>
  <c r="A1571" i="16"/>
  <c r="A1572" i="16"/>
  <c r="A1573" i="16"/>
  <c r="A1574" i="16"/>
  <c r="A1575" i="16"/>
  <c r="A1576" i="16"/>
  <c r="A1577" i="16"/>
  <c r="A1578" i="16"/>
  <c r="A1579" i="16"/>
  <c r="A1580" i="16"/>
  <c r="A1581" i="16"/>
  <c r="A1582" i="16"/>
  <c r="A1583" i="16"/>
  <c r="A1584" i="16"/>
  <c r="A1585" i="16"/>
  <c r="A1586" i="16"/>
  <c r="A1587" i="16"/>
  <c r="A1588" i="16"/>
  <c r="A1589" i="16"/>
  <c r="A1590" i="16"/>
  <c r="A1591" i="16"/>
  <c r="A1592" i="16"/>
  <c r="A1593" i="16"/>
  <c r="A1594" i="16"/>
  <c r="A1595" i="16"/>
  <c r="A1596" i="16"/>
  <c r="A1597" i="16"/>
  <c r="A1598" i="16"/>
  <c r="A1599" i="16"/>
  <c r="A1600" i="16"/>
  <c r="A1601" i="16"/>
  <c r="A1602" i="16"/>
  <c r="A1603" i="16"/>
  <c r="A1604" i="16"/>
  <c r="A1605" i="16"/>
  <c r="A1606" i="16"/>
  <c r="A1607" i="16"/>
  <c r="A1608" i="16"/>
  <c r="A1609" i="16"/>
  <c r="A1610" i="16"/>
  <c r="A1611" i="16"/>
  <c r="A1612" i="16"/>
  <c r="A1613" i="16"/>
  <c r="A1614" i="16"/>
  <c r="A1615" i="16"/>
  <c r="A1616" i="16"/>
  <c r="A1617" i="16"/>
  <c r="A1618" i="16"/>
  <c r="A1619" i="16"/>
  <c r="A1620" i="16"/>
  <c r="A1621" i="16"/>
  <c r="A1622" i="16"/>
  <c r="A1623" i="16"/>
  <c r="A1624" i="16"/>
  <c r="A1625" i="16"/>
  <c r="A1626" i="16"/>
  <c r="A1627" i="16"/>
  <c r="A1628" i="16"/>
  <c r="A1629" i="16"/>
  <c r="A1630" i="16"/>
  <c r="A1631" i="16"/>
  <c r="A1632" i="16"/>
  <c r="A1633" i="16"/>
  <c r="A1634" i="16"/>
  <c r="A1635" i="16"/>
  <c r="A1636" i="16"/>
  <c r="A1637" i="16"/>
  <c r="A1638" i="16"/>
  <c r="A1639" i="16"/>
  <c r="A1640" i="16"/>
  <c r="A1641" i="16"/>
  <c r="A1642" i="16"/>
  <c r="A1643" i="16"/>
  <c r="A1644" i="16"/>
  <c r="A1645" i="16"/>
  <c r="A1646" i="16"/>
  <c r="A1647" i="16"/>
  <c r="A1648" i="16"/>
  <c r="A1649" i="16"/>
  <c r="A1650" i="16"/>
  <c r="A1651" i="16"/>
  <c r="A1652" i="16"/>
  <c r="A1653" i="16"/>
  <c r="A1654" i="16"/>
  <c r="A1655" i="16"/>
  <c r="A1656" i="16"/>
  <c r="A1657" i="16"/>
  <c r="A1658" i="16"/>
  <c r="A1659" i="16"/>
  <c r="A1660" i="16"/>
  <c r="A1661" i="16"/>
  <c r="A1662" i="16"/>
  <c r="A1663" i="16"/>
  <c r="A1664" i="16"/>
  <c r="A1665" i="16"/>
  <c r="A1666" i="16"/>
  <c r="A1667" i="16"/>
  <c r="A1668" i="16"/>
  <c r="A1669" i="16"/>
  <c r="A1670" i="16"/>
  <c r="A1671" i="16"/>
  <c r="A1672" i="16"/>
  <c r="A1673" i="16"/>
  <c r="A1674" i="16"/>
  <c r="A1675" i="16"/>
  <c r="A1676" i="16"/>
  <c r="A1677" i="16"/>
  <c r="A1678" i="16"/>
  <c r="A1679" i="16"/>
  <c r="A1680" i="16"/>
  <c r="A1681" i="16"/>
  <c r="A1682" i="16"/>
  <c r="A1683" i="16"/>
  <c r="A1684" i="16"/>
  <c r="A1685" i="16"/>
  <c r="A1686" i="16"/>
  <c r="A1687" i="16"/>
  <c r="A1688" i="16"/>
  <c r="A1689" i="16"/>
  <c r="A1690" i="16"/>
  <c r="A1691" i="16"/>
  <c r="A1692" i="16"/>
  <c r="A1693" i="16"/>
  <c r="A1694" i="16"/>
  <c r="A1695" i="16"/>
  <c r="A1696" i="16"/>
  <c r="A1697" i="16"/>
  <c r="A1698" i="16"/>
  <c r="A1699" i="16"/>
  <c r="A1700" i="16"/>
  <c r="A1701" i="16"/>
  <c r="A1702" i="16"/>
  <c r="A1703" i="16"/>
  <c r="A1704" i="16"/>
  <c r="A1705" i="16"/>
  <c r="A1706" i="16"/>
  <c r="A1707" i="16"/>
  <c r="A1708" i="16"/>
  <c r="A1709" i="16"/>
  <c r="A1710" i="16"/>
  <c r="A1711" i="16"/>
  <c r="A1712" i="16"/>
  <c r="A1713" i="16"/>
  <c r="A1714" i="16"/>
  <c r="A1715" i="16"/>
  <c r="A1716" i="16"/>
  <c r="A1717" i="16"/>
  <c r="A1718" i="16"/>
  <c r="A1719" i="16"/>
  <c r="A1720" i="16"/>
  <c r="A1721" i="16"/>
  <c r="A1722" i="16"/>
  <c r="A1723" i="16"/>
  <c r="A1724" i="16"/>
  <c r="A1725" i="16"/>
  <c r="A1726" i="16"/>
  <c r="A1727" i="16"/>
  <c r="A1728" i="16"/>
  <c r="A1729" i="16"/>
  <c r="A1730" i="16"/>
  <c r="A1731" i="16"/>
  <c r="A1732" i="16"/>
  <c r="A1733" i="16"/>
  <c r="A1734" i="16"/>
  <c r="A1735" i="16"/>
  <c r="A1736" i="16"/>
  <c r="A1737" i="16"/>
  <c r="A1738" i="16"/>
  <c r="A1739" i="16"/>
  <c r="A1740" i="16"/>
  <c r="A1741" i="16"/>
  <c r="A1742" i="16"/>
  <c r="A1743" i="16"/>
  <c r="A1744" i="16"/>
  <c r="A1745" i="16"/>
  <c r="A1746" i="16"/>
  <c r="A1747" i="16"/>
  <c r="A1748" i="16"/>
  <c r="A1749" i="16"/>
  <c r="A1750" i="16"/>
  <c r="A1751" i="16"/>
  <c r="A1752" i="16"/>
  <c r="A1753" i="16"/>
  <c r="A1754" i="16"/>
  <c r="A1755" i="16"/>
  <c r="A1756" i="16"/>
  <c r="A1757" i="16"/>
  <c r="A1758" i="16"/>
  <c r="A1759" i="16"/>
  <c r="A1760" i="16"/>
  <c r="A1761" i="16"/>
  <c r="A1762" i="16"/>
  <c r="A1763" i="16"/>
  <c r="A1764" i="16"/>
  <c r="A1765" i="16"/>
  <c r="A1766" i="16"/>
  <c r="A1767" i="16"/>
  <c r="A1768" i="16"/>
  <c r="A1769" i="16"/>
  <c r="A1770" i="16"/>
  <c r="A1771" i="16"/>
  <c r="A1772" i="16"/>
  <c r="A1773" i="16"/>
  <c r="A1774" i="16"/>
  <c r="A1775" i="16"/>
  <c r="A1776" i="16"/>
  <c r="A1777" i="16"/>
  <c r="A1778" i="16"/>
  <c r="A1779" i="16"/>
  <c r="A1780" i="16"/>
  <c r="A1781" i="16"/>
  <c r="A1782" i="16"/>
  <c r="A1783" i="16"/>
  <c r="A1784" i="16"/>
  <c r="A1785" i="16"/>
  <c r="A1786" i="16"/>
  <c r="A1787" i="16"/>
  <c r="A1788" i="16"/>
  <c r="A1789" i="16"/>
  <c r="A1790" i="16"/>
  <c r="A1791" i="16"/>
  <c r="A1792" i="16"/>
  <c r="A1793" i="16"/>
  <c r="A1794" i="16"/>
  <c r="A1795" i="16"/>
  <c r="A1796" i="16"/>
  <c r="A1797" i="16"/>
  <c r="A1798" i="16"/>
  <c r="A1799" i="16"/>
  <c r="A1800" i="16"/>
  <c r="A1801" i="16"/>
  <c r="A1802" i="16"/>
  <c r="A1803" i="16"/>
  <c r="A1804" i="16"/>
  <c r="A1805" i="16"/>
  <c r="A1806" i="16"/>
  <c r="A1807" i="16"/>
  <c r="A1808" i="16"/>
  <c r="A1809" i="16"/>
  <c r="A1810" i="16"/>
  <c r="A1811" i="16"/>
  <c r="A1812" i="16"/>
  <c r="A1813" i="16"/>
  <c r="A1814" i="16"/>
  <c r="A1815" i="16"/>
  <c r="A1816" i="16"/>
  <c r="A1817" i="16"/>
  <c r="A1818" i="16"/>
  <c r="A1819" i="16"/>
  <c r="A1820" i="16"/>
  <c r="A1821" i="16"/>
  <c r="A1822" i="16"/>
  <c r="A1823" i="16"/>
  <c r="A1824" i="16"/>
  <c r="A1825" i="16"/>
  <c r="A1826" i="16"/>
  <c r="A1827" i="16"/>
  <c r="A1828" i="16"/>
  <c r="A1829" i="16"/>
  <c r="A1830" i="16"/>
  <c r="A1831" i="16"/>
  <c r="A1832" i="16"/>
  <c r="A1833" i="16"/>
  <c r="A1834" i="16"/>
  <c r="A1835" i="16"/>
  <c r="A1836" i="16"/>
  <c r="A1837" i="16"/>
  <c r="A1838" i="16"/>
  <c r="A1839" i="16"/>
  <c r="A1840" i="16"/>
  <c r="A1841" i="16"/>
  <c r="A1842" i="16"/>
  <c r="A1843" i="16"/>
  <c r="A1844" i="16"/>
  <c r="A1845" i="16"/>
  <c r="A1846" i="16"/>
  <c r="A1847" i="16"/>
  <c r="A1848" i="16"/>
  <c r="A1849" i="16"/>
  <c r="A1850" i="16"/>
  <c r="A1851" i="16"/>
  <c r="A1852" i="16"/>
  <c r="A1853" i="16"/>
  <c r="A1854" i="16"/>
  <c r="A1855" i="16"/>
  <c r="A1856" i="16"/>
  <c r="A1857" i="16"/>
  <c r="A1858" i="16"/>
  <c r="A1859" i="16"/>
  <c r="A1860" i="16"/>
  <c r="A1861" i="16"/>
  <c r="A1862" i="16"/>
  <c r="A1863" i="16"/>
  <c r="A1864" i="16"/>
  <c r="A1865" i="16"/>
  <c r="A1866" i="16"/>
  <c r="A1867" i="16"/>
  <c r="A1868" i="16"/>
  <c r="A1869" i="16"/>
  <c r="A1870" i="16"/>
  <c r="A1871" i="16"/>
  <c r="A1872" i="16"/>
  <c r="A1873" i="16"/>
  <c r="A1874" i="16"/>
  <c r="A1875" i="16"/>
  <c r="A1876" i="16"/>
  <c r="A1877" i="16"/>
  <c r="A1878" i="16"/>
  <c r="A1879" i="16"/>
  <c r="A1880" i="16"/>
  <c r="A1881" i="16"/>
  <c r="A1882" i="16"/>
  <c r="A1883" i="16"/>
  <c r="A1884" i="16"/>
  <c r="A1885" i="16"/>
  <c r="A1886" i="16"/>
  <c r="A1887" i="16"/>
  <c r="A1888" i="16"/>
  <c r="A1889" i="16"/>
  <c r="A1890" i="16"/>
  <c r="A1891" i="16"/>
  <c r="A1892" i="16"/>
  <c r="A1893" i="16"/>
  <c r="A1894" i="16"/>
  <c r="A1895" i="16"/>
  <c r="A1896" i="16"/>
  <c r="A1897" i="16"/>
  <c r="A1898" i="16"/>
  <c r="A1899" i="16"/>
  <c r="A1900" i="16"/>
  <c r="A1901" i="16"/>
  <c r="A1902" i="16"/>
  <c r="A1903" i="16"/>
  <c r="A1904" i="16"/>
  <c r="A1905" i="16"/>
  <c r="A1906" i="16"/>
  <c r="A1907" i="16"/>
  <c r="A1908" i="16"/>
  <c r="A1909" i="16"/>
  <c r="A1910" i="16"/>
  <c r="A1911" i="16"/>
  <c r="A1912" i="16"/>
  <c r="A1913" i="16"/>
  <c r="A1914" i="16"/>
  <c r="A1915" i="16"/>
  <c r="A1916" i="16"/>
  <c r="A1917" i="16"/>
  <c r="A1918" i="16"/>
  <c r="A1919" i="16"/>
  <c r="A1920" i="16"/>
  <c r="A1921" i="16"/>
  <c r="A1922" i="16"/>
  <c r="A1923" i="16"/>
  <c r="A1924" i="16"/>
  <c r="A1925" i="16"/>
  <c r="A1926" i="16"/>
  <c r="A1927" i="16"/>
  <c r="A1928" i="16"/>
  <c r="A1929" i="16"/>
  <c r="A1930" i="16"/>
  <c r="A1931" i="16"/>
  <c r="A1932" i="16"/>
  <c r="A1933" i="16"/>
  <c r="A1934" i="16"/>
  <c r="A1935" i="16"/>
  <c r="A1936" i="16"/>
  <c r="A1937" i="16"/>
  <c r="A1938" i="16"/>
  <c r="A1939" i="16"/>
  <c r="A1940" i="16"/>
  <c r="A1941" i="16"/>
  <c r="A1942" i="16"/>
  <c r="A1943" i="16"/>
  <c r="A1944" i="16"/>
  <c r="A1945" i="16"/>
  <c r="A1946" i="16"/>
  <c r="A1947" i="16"/>
  <c r="A1948" i="16"/>
  <c r="A1949" i="16"/>
  <c r="A1950" i="16"/>
  <c r="A1951" i="16"/>
  <c r="A1952" i="16"/>
  <c r="A1953" i="16"/>
  <c r="A1954" i="16"/>
  <c r="A1955" i="16"/>
  <c r="A1956" i="16"/>
  <c r="A1957" i="16"/>
  <c r="A1958" i="16"/>
  <c r="A1959" i="16"/>
  <c r="A1960" i="16"/>
  <c r="A1961" i="16"/>
  <c r="A1962" i="16"/>
  <c r="A1963" i="16"/>
  <c r="A1964" i="16"/>
  <c r="A1965" i="16"/>
  <c r="A1966" i="16"/>
  <c r="A1967" i="16"/>
  <c r="A1968" i="16"/>
  <c r="A1969" i="16"/>
  <c r="A1970" i="16"/>
  <c r="A1971" i="16"/>
  <c r="A1972" i="16"/>
  <c r="A1973" i="16"/>
  <c r="A1974" i="16"/>
  <c r="A1975" i="16"/>
  <c r="A1976" i="16"/>
  <c r="A1977" i="16"/>
  <c r="A1978" i="16"/>
  <c r="A1979" i="16"/>
  <c r="A1980" i="16"/>
  <c r="A1981" i="16"/>
  <c r="A1982" i="16"/>
  <c r="A1983" i="16"/>
  <c r="A1984" i="16"/>
  <c r="A1985" i="16"/>
  <c r="A1986" i="16"/>
  <c r="A1987" i="16"/>
  <c r="A1988" i="16"/>
  <c r="A1989" i="16"/>
  <c r="A1990" i="16"/>
  <c r="A1991" i="16"/>
  <c r="A1992" i="16"/>
  <c r="A1993" i="16"/>
  <c r="A1994" i="16"/>
  <c r="A1995" i="16"/>
  <c r="A1996" i="16"/>
  <c r="A1997" i="16"/>
  <c r="A1998" i="16"/>
  <c r="A1999" i="16"/>
  <c r="A2000" i="16"/>
  <c r="A2001" i="16"/>
  <c r="A2002" i="16"/>
  <c r="A2003" i="16"/>
  <c r="A2004" i="16"/>
  <c r="A2005" i="16"/>
  <c r="A2006" i="16"/>
  <c r="A2007" i="16"/>
  <c r="A2008" i="16"/>
  <c r="A2009" i="16"/>
  <c r="A2010" i="16"/>
  <c r="A2011" i="16"/>
  <c r="A2012" i="16"/>
  <c r="A2013" i="16"/>
  <c r="A2014" i="16"/>
  <c r="A2015" i="16"/>
  <c r="A2016" i="16"/>
  <c r="A2017" i="16"/>
  <c r="A2018" i="16"/>
  <c r="A2019" i="16"/>
  <c r="A2020" i="16"/>
  <c r="A2021" i="16"/>
  <c r="A2022" i="16"/>
  <c r="A2023" i="16"/>
  <c r="A2024" i="16"/>
  <c r="A2025" i="16"/>
  <c r="A2026" i="16"/>
  <c r="A2027" i="16"/>
  <c r="A2028" i="16"/>
  <c r="A2029" i="16"/>
  <c r="A2030" i="16"/>
  <c r="A2031" i="16"/>
  <c r="A2032" i="16"/>
  <c r="A2033" i="16"/>
  <c r="A2034" i="16"/>
  <c r="A2035" i="16"/>
  <c r="A2036" i="16"/>
  <c r="A2037" i="16"/>
  <c r="A2038" i="16"/>
  <c r="A2039" i="16"/>
  <c r="A2040" i="16"/>
  <c r="A2041" i="16"/>
  <c r="A2042" i="16"/>
  <c r="A2043" i="16"/>
  <c r="A2044" i="16"/>
  <c r="A2045" i="16"/>
  <c r="A2046" i="16"/>
  <c r="A2047" i="16"/>
  <c r="A2048" i="16"/>
  <c r="A2049" i="16"/>
  <c r="A2050" i="16"/>
  <c r="A2051" i="16"/>
  <c r="A2052" i="16"/>
  <c r="A2053" i="16"/>
  <c r="A2054" i="16"/>
  <c r="A2055" i="16"/>
  <c r="A2056" i="16"/>
  <c r="A2057" i="16"/>
  <c r="A2058" i="16"/>
  <c r="A2059" i="16"/>
  <c r="A2060" i="16"/>
  <c r="A2061" i="16"/>
  <c r="A2062" i="16"/>
  <c r="A2063" i="16"/>
  <c r="A2064" i="16"/>
  <c r="A2065" i="16"/>
  <c r="A2066" i="16"/>
  <c r="A2067" i="16"/>
  <c r="A2068" i="16"/>
  <c r="A2069" i="16"/>
  <c r="A2070" i="16"/>
  <c r="A2071" i="16"/>
  <c r="A2072" i="16"/>
  <c r="A2073" i="16"/>
  <c r="A2074" i="16"/>
  <c r="A2075" i="16"/>
  <c r="A2076" i="16"/>
  <c r="A2077" i="16"/>
  <c r="A2078" i="16"/>
  <c r="A2079" i="16"/>
  <c r="A2080" i="16"/>
  <c r="A2081" i="16"/>
  <c r="A2082" i="16"/>
  <c r="A2083" i="16"/>
  <c r="A2084" i="16"/>
  <c r="A2085" i="16"/>
  <c r="A2086" i="16"/>
  <c r="A2087" i="16"/>
  <c r="A2088" i="16"/>
  <c r="A2089" i="16"/>
  <c r="A2090" i="16"/>
  <c r="A2091" i="16"/>
  <c r="A2092" i="16"/>
  <c r="A2093" i="16"/>
  <c r="A2094" i="16"/>
  <c r="A2095" i="16"/>
  <c r="A2096" i="16"/>
  <c r="A2097" i="16"/>
  <c r="A2098" i="16"/>
  <c r="A2099" i="16"/>
  <c r="A2100" i="16"/>
  <c r="A2101" i="16"/>
  <c r="A2102" i="16"/>
  <c r="A2103" i="16"/>
  <c r="A2104" i="16"/>
  <c r="A2105" i="16"/>
  <c r="A2106" i="16"/>
  <c r="A2107" i="16"/>
  <c r="A2108" i="16"/>
  <c r="A2109" i="16"/>
  <c r="A2110" i="16"/>
  <c r="A2111" i="16"/>
  <c r="A2112" i="16"/>
  <c r="A2113" i="16"/>
  <c r="A2114" i="16"/>
  <c r="A2115" i="16"/>
  <c r="A2116" i="16"/>
  <c r="A2117" i="16"/>
  <c r="A2118" i="16"/>
  <c r="A2119" i="16"/>
  <c r="A2120" i="16"/>
  <c r="A2" i="16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I166" i="16"/>
  <c r="I167" i="16"/>
  <c r="I168" i="16"/>
  <c r="I169" i="16"/>
  <c r="I170" i="16"/>
  <c r="I171" i="16"/>
  <c r="I172" i="16"/>
  <c r="I173" i="16"/>
  <c r="I174" i="16"/>
  <c r="I175" i="16"/>
  <c r="I176" i="16"/>
  <c r="I177" i="16"/>
  <c r="I178" i="16"/>
  <c r="I179" i="16"/>
  <c r="I180" i="16"/>
  <c r="I181" i="16"/>
  <c r="I182" i="16"/>
  <c r="I183" i="16"/>
  <c r="I184" i="16"/>
  <c r="I185" i="16"/>
  <c r="I186" i="16"/>
  <c r="I187" i="16"/>
  <c r="I188" i="16"/>
  <c r="I189" i="16"/>
  <c r="I190" i="16"/>
  <c r="I191" i="16"/>
  <c r="I192" i="16"/>
  <c r="I193" i="16"/>
  <c r="I194" i="16"/>
  <c r="I195" i="16"/>
  <c r="I196" i="16"/>
  <c r="I197" i="16"/>
  <c r="I198" i="16"/>
  <c r="I199" i="16"/>
  <c r="I200" i="16"/>
  <c r="I201" i="16"/>
  <c r="I202" i="16"/>
  <c r="I203" i="16"/>
  <c r="I204" i="16"/>
  <c r="I205" i="16"/>
  <c r="I206" i="16"/>
  <c r="I207" i="16"/>
  <c r="I208" i="16"/>
  <c r="I209" i="16"/>
  <c r="I210" i="16"/>
  <c r="I211" i="16"/>
  <c r="I212" i="16"/>
  <c r="I213" i="16"/>
  <c r="I214" i="16"/>
  <c r="I215" i="16"/>
  <c r="I216" i="16"/>
  <c r="I217" i="16"/>
  <c r="I218" i="16"/>
  <c r="I219" i="16"/>
  <c r="I220" i="16"/>
  <c r="I221" i="16"/>
  <c r="I222" i="16"/>
  <c r="I223" i="16"/>
  <c r="I224" i="16"/>
  <c r="I225" i="16"/>
  <c r="I226" i="16"/>
  <c r="I227" i="16"/>
  <c r="I228" i="16"/>
  <c r="I229" i="16"/>
  <c r="I230" i="16"/>
  <c r="I231" i="16"/>
  <c r="I232" i="16"/>
  <c r="I233" i="16"/>
  <c r="I234" i="16"/>
  <c r="I235" i="16"/>
  <c r="I236" i="16"/>
  <c r="I237" i="16"/>
  <c r="I238" i="16"/>
  <c r="I239" i="16"/>
  <c r="I240" i="16"/>
  <c r="I241" i="16"/>
  <c r="I242" i="16"/>
  <c r="I243" i="16"/>
  <c r="I244" i="16"/>
  <c r="I245" i="16"/>
  <c r="I246" i="16"/>
  <c r="I247" i="16"/>
  <c r="I248" i="16"/>
  <c r="I249" i="16"/>
  <c r="I250" i="16"/>
  <c r="I251" i="16"/>
  <c r="I252" i="16"/>
  <c r="I253" i="16"/>
  <c r="I254" i="16"/>
  <c r="I255" i="16"/>
  <c r="I256" i="16"/>
  <c r="I257" i="16"/>
  <c r="I258" i="16"/>
  <c r="I259" i="16"/>
  <c r="I260" i="16"/>
  <c r="I261" i="16"/>
  <c r="I262" i="16"/>
  <c r="I263" i="16"/>
  <c r="I264" i="16"/>
  <c r="I265" i="16"/>
  <c r="I266" i="16"/>
  <c r="I267" i="16"/>
  <c r="I268" i="16"/>
  <c r="I269" i="16"/>
  <c r="I270" i="16"/>
  <c r="I271" i="16"/>
  <c r="I272" i="16"/>
  <c r="I273" i="16"/>
  <c r="I274" i="16"/>
  <c r="I275" i="16"/>
  <c r="I276" i="16"/>
  <c r="I277" i="16"/>
  <c r="I278" i="16"/>
  <c r="I279" i="16"/>
  <c r="I280" i="16"/>
  <c r="I281" i="16"/>
  <c r="I282" i="16"/>
  <c r="I283" i="16"/>
  <c r="I284" i="16"/>
  <c r="I285" i="16"/>
  <c r="I286" i="16"/>
  <c r="I287" i="16"/>
  <c r="I288" i="16"/>
  <c r="I289" i="16"/>
  <c r="I290" i="16"/>
  <c r="I291" i="16"/>
  <c r="I292" i="16"/>
  <c r="I293" i="16"/>
  <c r="I294" i="16"/>
  <c r="I295" i="16"/>
  <c r="I296" i="16"/>
  <c r="I297" i="16"/>
  <c r="I298" i="16"/>
  <c r="I299" i="16"/>
  <c r="I300" i="16"/>
  <c r="I301" i="16"/>
  <c r="I302" i="16"/>
  <c r="I303" i="16"/>
  <c r="I304" i="16"/>
  <c r="I305" i="16"/>
  <c r="I306" i="16"/>
  <c r="I307" i="16"/>
  <c r="I308" i="16"/>
  <c r="I309" i="16"/>
  <c r="I310" i="16"/>
  <c r="I311" i="16"/>
  <c r="I312" i="16"/>
  <c r="I313" i="16"/>
  <c r="I314" i="16"/>
  <c r="I315" i="16"/>
  <c r="I316" i="16"/>
  <c r="I317" i="16"/>
  <c r="I318" i="16"/>
  <c r="I319" i="16"/>
  <c r="I320" i="16"/>
  <c r="I321" i="16"/>
  <c r="I322" i="16"/>
  <c r="I323" i="16"/>
  <c r="I324" i="16"/>
  <c r="I325" i="16"/>
  <c r="I326" i="16"/>
  <c r="I327" i="16"/>
  <c r="I328" i="16"/>
  <c r="I329" i="16"/>
  <c r="I330" i="16"/>
  <c r="I331" i="16"/>
  <c r="I332" i="16"/>
  <c r="I333" i="16"/>
  <c r="I334" i="16"/>
  <c r="I335" i="16"/>
  <c r="I336" i="16"/>
  <c r="I337" i="16"/>
  <c r="I338" i="16"/>
  <c r="I339" i="16"/>
  <c r="I340" i="16"/>
  <c r="I341" i="16"/>
  <c r="I342" i="16"/>
  <c r="I343" i="16"/>
  <c r="I344" i="16"/>
  <c r="I345" i="16"/>
  <c r="I346" i="16"/>
  <c r="I347" i="16"/>
  <c r="I348" i="16"/>
  <c r="I349" i="16"/>
  <c r="I350" i="16"/>
  <c r="I351" i="16"/>
  <c r="I352" i="16"/>
  <c r="I353" i="16"/>
  <c r="I354" i="16"/>
  <c r="I355" i="16"/>
  <c r="I356" i="16"/>
  <c r="I357" i="16"/>
  <c r="I358" i="16"/>
  <c r="I359" i="16"/>
  <c r="I360" i="16"/>
  <c r="I361" i="16"/>
  <c r="I362" i="16"/>
  <c r="I363" i="16"/>
  <c r="I364" i="16"/>
  <c r="I365" i="16"/>
  <c r="I366" i="16"/>
  <c r="I367" i="16"/>
  <c r="I368" i="16"/>
  <c r="I369" i="16"/>
  <c r="I370" i="16"/>
  <c r="I371" i="16"/>
  <c r="I372" i="16"/>
  <c r="I373" i="16"/>
  <c r="I374" i="16"/>
  <c r="I375" i="16"/>
  <c r="I376" i="16"/>
  <c r="I377" i="16"/>
  <c r="I378" i="16"/>
  <c r="I379" i="16"/>
  <c r="I380" i="16"/>
  <c r="I381" i="16"/>
  <c r="I382" i="16"/>
  <c r="I383" i="16"/>
  <c r="I384" i="16"/>
  <c r="I385" i="16"/>
  <c r="I386" i="16"/>
  <c r="I387" i="16"/>
  <c r="I388" i="16"/>
  <c r="I389" i="16"/>
  <c r="I390" i="16"/>
  <c r="I391" i="16"/>
  <c r="I392" i="16"/>
  <c r="I393" i="16"/>
  <c r="I394" i="16"/>
  <c r="I395" i="16"/>
  <c r="I396" i="16"/>
  <c r="I397" i="16"/>
  <c r="I398" i="16"/>
  <c r="I399" i="16"/>
  <c r="I400" i="16"/>
  <c r="I401" i="16"/>
  <c r="I402" i="16"/>
  <c r="I403" i="16"/>
  <c r="I404" i="16"/>
  <c r="I405" i="16"/>
  <c r="I406" i="16"/>
  <c r="I407" i="16"/>
  <c r="I408" i="16"/>
  <c r="I409" i="16"/>
  <c r="I410" i="16"/>
  <c r="I411" i="16"/>
  <c r="I412" i="16"/>
  <c r="I413" i="16"/>
  <c r="I414" i="16"/>
  <c r="I415" i="16"/>
  <c r="I416" i="16"/>
  <c r="I417" i="16"/>
  <c r="I418" i="16"/>
  <c r="I419" i="16"/>
  <c r="I420" i="16"/>
  <c r="I421" i="16"/>
  <c r="I422" i="16"/>
  <c r="I423" i="16"/>
  <c r="I424" i="16"/>
  <c r="I425" i="16"/>
  <c r="I426" i="16"/>
  <c r="I427" i="16"/>
  <c r="I428" i="16"/>
  <c r="I429" i="16"/>
  <c r="I430" i="16"/>
  <c r="I431" i="16"/>
  <c r="I432" i="16"/>
  <c r="I433" i="16"/>
  <c r="I434" i="16"/>
  <c r="I435" i="16"/>
  <c r="I436" i="16"/>
  <c r="I437" i="16"/>
  <c r="I438" i="16"/>
  <c r="I439" i="16"/>
  <c r="I440" i="16"/>
  <c r="I441" i="16"/>
  <c r="I442" i="16"/>
  <c r="I443" i="16"/>
  <c r="I444" i="16"/>
  <c r="I445" i="16"/>
  <c r="I446" i="16"/>
  <c r="I447" i="16"/>
  <c r="I448" i="16"/>
  <c r="I449" i="16"/>
  <c r="I450" i="16"/>
  <c r="I451" i="16"/>
  <c r="I452" i="16"/>
  <c r="I453" i="16"/>
  <c r="I454" i="16"/>
  <c r="I455" i="16"/>
  <c r="I456" i="16"/>
  <c r="I457" i="16"/>
  <c r="I458" i="16"/>
  <c r="I459" i="16"/>
  <c r="I460" i="16"/>
  <c r="I461" i="16"/>
  <c r="I462" i="16"/>
  <c r="I463" i="16"/>
  <c r="I464" i="16"/>
  <c r="I465" i="16"/>
  <c r="I466" i="16"/>
  <c r="I467" i="16"/>
  <c r="I468" i="16"/>
  <c r="I469" i="16"/>
  <c r="I470" i="16"/>
  <c r="I471" i="16"/>
  <c r="I472" i="16"/>
  <c r="I473" i="16"/>
  <c r="I474" i="16"/>
  <c r="I475" i="16"/>
  <c r="I476" i="16"/>
  <c r="I477" i="16"/>
  <c r="I478" i="16"/>
  <c r="I479" i="16"/>
  <c r="I480" i="16"/>
  <c r="I481" i="16"/>
  <c r="I482" i="16"/>
  <c r="I483" i="16"/>
  <c r="I484" i="16"/>
  <c r="I485" i="16"/>
  <c r="I486" i="16"/>
  <c r="I487" i="16"/>
  <c r="I488" i="16"/>
  <c r="I489" i="16"/>
  <c r="I490" i="16"/>
  <c r="I491" i="16"/>
  <c r="I492" i="16"/>
  <c r="I493" i="16"/>
  <c r="I494" i="16"/>
  <c r="I495" i="16"/>
  <c r="I496" i="16"/>
  <c r="I497" i="16"/>
  <c r="I498" i="16"/>
  <c r="I499" i="16"/>
  <c r="I500" i="16"/>
  <c r="I501" i="16"/>
  <c r="I502" i="16"/>
  <c r="I503" i="16"/>
  <c r="I504" i="16"/>
  <c r="I505" i="16"/>
  <c r="I506" i="16"/>
  <c r="I507" i="16"/>
  <c r="I508" i="16"/>
  <c r="I509" i="16"/>
  <c r="I510" i="16"/>
  <c r="I511" i="16"/>
  <c r="I512" i="16"/>
  <c r="I513" i="16"/>
  <c r="I514" i="16"/>
  <c r="I515" i="16"/>
  <c r="I516" i="16"/>
  <c r="I517" i="16"/>
  <c r="I518" i="16"/>
  <c r="I519" i="16"/>
  <c r="I520" i="16"/>
  <c r="I521" i="16"/>
  <c r="I522" i="16"/>
  <c r="I523" i="16"/>
  <c r="I524" i="16"/>
  <c r="I525" i="16"/>
  <c r="I526" i="16"/>
  <c r="I527" i="16"/>
  <c r="I528" i="16"/>
  <c r="I529" i="16"/>
  <c r="I530" i="16"/>
  <c r="I531" i="16"/>
  <c r="I532" i="16"/>
  <c r="I533" i="16"/>
  <c r="I534" i="16"/>
  <c r="I535" i="16"/>
  <c r="I536" i="16"/>
  <c r="I537" i="16"/>
  <c r="I538" i="16"/>
  <c r="I539" i="16"/>
  <c r="I540" i="16"/>
  <c r="I541" i="16"/>
  <c r="I542" i="16"/>
  <c r="I543" i="16"/>
  <c r="I544" i="16"/>
  <c r="I545" i="16"/>
  <c r="I546" i="16"/>
  <c r="I547" i="16"/>
  <c r="I548" i="16"/>
  <c r="I549" i="16"/>
  <c r="I550" i="16"/>
  <c r="I551" i="16"/>
  <c r="I552" i="16"/>
  <c r="I553" i="16"/>
  <c r="I554" i="16"/>
  <c r="I555" i="16"/>
  <c r="I556" i="16"/>
  <c r="I557" i="16"/>
  <c r="I558" i="16"/>
  <c r="I559" i="16"/>
  <c r="I560" i="16"/>
  <c r="I561" i="16"/>
  <c r="I562" i="16"/>
  <c r="I563" i="16"/>
  <c r="I564" i="16"/>
  <c r="I565" i="16"/>
  <c r="I566" i="16"/>
  <c r="I567" i="16"/>
  <c r="I568" i="16"/>
  <c r="I569" i="16"/>
  <c r="I570" i="16"/>
  <c r="I571" i="16"/>
  <c r="I572" i="16"/>
  <c r="I573" i="16"/>
  <c r="I574" i="16"/>
  <c r="I575" i="16"/>
  <c r="I576" i="16"/>
  <c r="I577" i="16"/>
  <c r="I578" i="16"/>
  <c r="I579" i="16"/>
  <c r="I580" i="16"/>
  <c r="I581" i="16"/>
  <c r="I582" i="16"/>
  <c r="I583" i="16"/>
  <c r="I584" i="16"/>
  <c r="I585" i="16"/>
  <c r="I586" i="16"/>
  <c r="I587" i="16"/>
  <c r="I588" i="16"/>
  <c r="I589" i="16"/>
  <c r="I590" i="16"/>
  <c r="I591" i="16"/>
  <c r="I592" i="16"/>
  <c r="I593" i="16"/>
  <c r="I594" i="16"/>
  <c r="I595" i="16"/>
  <c r="I596" i="16"/>
  <c r="I597" i="16"/>
  <c r="I598" i="16"/>
  <c r="I599" i="16"/>
  <c r="I600" i="16"/>
  <c r="I601" i="16"/>
  <c r="I602" i="16"/>
  <c r="I603" i="16"/>
  <c r="I604" i="16"/>
  <c r="I605" i="16"/>
  <c r="I606" i="16"/>
  <c r="I607" i="16"/>
  <c r="I608" i="16"/>
  <c r="I609" i="16"/>
  <c r="I610" i="16"/>
  <c r="I611" i="16"/>
  <c r="I612" i="16"/>
  <c r="I613" i="16"/>
  <c r="I614" i="16"/>
  <c r="I615" i="16"/>
  <c r="I616" i="16"/>
  <c r="I617" i="16"/>
  <c r="I618" i="16"/>
  <c r="I619" i="16"/>
  <c r="I620" i="16"/>
  <c r="I621" i="16"/>
  <c r="I622" i="16"/>
  <c r="I623" i="16"/>
  <c r="I624" i="16"/>
  <c r="I625" i="16"/>
  <c r="I626" i="16"/>
  <c r="I627" i="16"/>
  <c r="I628" i="16"/>
  <c r="I629" i="16"/>
  <c r="I630" i="16"/>
  <c r="I631" i="16"/>
  <c r="I632" i="16"/>
  <c r="I633" i="16"/>
  <c r="I634" i="16"/>
  <c r="I635" i="16"/>
  <c r="I636" i="16"/>
  <c r="I637" i="16"/>
  <c r="I638" i="16"/>
  <c r="I639" i="16"/>
  <c r="I640" i="16"/>
  <c r="I641" i="16"/>
  <c r="I642" i="16"/>
  <c r="I643" i="16"/>
  <c r="I644" i="16"/>
  <c r="I645" i="16"/>
  <c r="I646" i="16"/>
  <c r="I647" i="16"/>
  <c r="I648" i="16"/>
  <c r="I649" i="16"/>
  <c r="I650" i="16"/>
  <c r="I651" i="16"/>
  <c r="I652" i="16"/>
  <c r="I653" i="16"/>
  <c r="I654" i="16"/>
  <c r="I655" i="16"/>
  <c r="I656" i="16"/>
  <c r="I657" i="16"/>
  <c r="I658" i="16"/>
  <c r="I659" i="16"/>
  <c r="I660" i="16"/>
  <c r="I661" i="16"/>
  <c r="I662" i="16"/>
  <c r="I663" i="16"/>
  <c r="I664" i="16"/>
  <c r="I665" i="16"/>
  <c r="I666" i="16"/>
  <c r="I667" i="16"/>
  <c r="I668" i="16"/>
  <c r="I669" i="16"/>
  <c r="I670" i="16"/>
  <c r="I671" i="16"/>
  <c r="I672" i="16"/>
  <c r="I673" i="16"/>
  <c r="I674" i="16"/>
  <c r="I675" i="16"/>
  <c r="I676" i="16"/>
  <c r="I677" i="16"/>
  <c r="I678" i="16"/>
  <c r="I679" i="16"/>
  <c r="I680" i="16"/>
  <c r="I681" i="16"/>
  <c r="I682" i="16"/>
  <c r="I683" i="16"/>
  <c r="I684" i="16"/>
  <c r="I685" i="16"/>
  <c r="I686" i="16"/>
  <c r="I687" i="16"/>
  <c r="I688" i="16"/>
  <c r="I689" i="16"/>
  <c r="I690" i="16"/>
  <c r="I691" i="16"/>
  <c r="I692" i="16"/>
  <c r="I693" i="16"/>
  <c r="I694" i="16"/>
  <c r="I695" i="16"/>
  <c r="I696" i="16"/>
  <c r="I697" i="16"/>
  <c r="I698" i="16"/>
  <c r="I699" i="16"/>
  <c r="I700" i="16"/>
  <c r="I701" i="16"/>
  <c r="I702" i="16"/>
  <c r="I703" i="16"/>
  <c r="I704" i="16"/>
  <c r="I705" i="16"/>
  <c r="I706" i="16"/>
  <c r="I707" i="16"/>
  <c r="I708" i="16"/>
  <c r="I709" i="16"/>
  <c r="I710" i="16"/>
  <c r="I711" i="16"/>
  <c r="I712" i="16"/>
  <c r="I713" i="16"/>
  <c r="I714" i="16"/>
  <c r="I715" i="16"/>
  <c r="I716" i="16"/>
  <c r="I717" i="16"/>
  <c r="I718" i="16"/>
  <c r="I719" i="16"/>
  <c r="I720" i="16"/>
  <c r="I721" i="16"/>
  <c r="I722" i="16"/>
  <c r="I723" i="16"/>
  <c r="I724" i="16"/>
  <c r="I725" i="16"/>
  <c r="I726" i="16"/>
  <c r="I727" i="16"/>
  <c r="I728" i="16"/>
  <c r="I729" i="16"/>
  <c r="I730" i="16"/>
  <c r="I731" i="16"/>
  <c r="I732" i="16"/>
  <c r="I733" i="16"/>
  <c r="I734" i="16"/>
  <c r="I735" i="16"/>
  <c r="I736" i="16"/>
  <c r="I737" i="16"/>
  <c r="I738" i="16"/>
  <c r="I739" i="16"/>
  <c r="I740" i="16"/>
  <c r="I741" i="16"/>
  <c r="I742" i="16"/>
  <c r="I743" i="16"/>
  <c r="I744" i="16"/>
  <c r="I745" i="16"/>
  <c r="I746" i="16"/>
  <c r="I747" i="16"/>
  <c r="I748" i="16"/>
  <c r="I749" i="16"/>
  <c r="I750" i="16"/>
  <c r="I751" i="16"/>
  <c r="I752" i="16"/>
  <c r="I753" i="16"/>
  <c r="I754" i="16"/>
  <c r="I755" i="16"/>
  <c r="I756" i="16"/>
  <c r="I757" i="16"/>
  <c r="I758" i="16"/>
  <c r="I759" i="16"/>
  <c r="I760" i="16"/>
  <c r="I761" i="16"/>
  <c r="I762" i="16"/>
  <c r="I763" i="16"/>
  <c r="I764" i="16"/>
  <c r="I765" i="16"/>
  <c r="I766" i="16"/>
  <c r="I767" i="16"/>
  <c r="I768" i="16"/>
  <c r="I769" i="16"/>
  <c r="I770" i="16"/>
  <c r="I771" i="16"/>
  <c r="I772" i="16"/>
  <c r="I773" i="16"/>
  <c r="I774" i="16"/>
  <c r="I775" i="16"/>
  <c r="I776" i="16"/>
  <c r="I777" i="16"/>
  <c r="I778" i="16"/>
  <c r="I779" i="16"/>
  <c r="I780" i="16"/>
  <c r="I781" i="16"/>
  <c r="I782" i="16"/>
  <c r="I783" i="16"/>
  <c r="I784" i="16"/>
  <c r="I785" i="16"/>
  <c r="I786" i="16"/>
  <c r="I787" i="16"/>
  <c r="I788" i="16"/>
  <c r="I789" i="16"/>
  <c r="I790" i="16"/>
  <c r="I791" i="16"/>
  <c r="I792" i="16"/>
  <c r="I793" i="16"/>
  <c r="I794" i="16"/>
  <c r="I795" i="16"/>
  <c r="I796" i="16"/>
  <c r="I797" i="16"/>
  <c r="I798" i="16"/>
  <c r="I799" i="16"/>
  <c r="I800" i="16"/>
  <c r="I801" i="16"/>
  <c r="I802" i="16"/>
  <c r="I803" i="16"/>
  <c r="I804" i="16"/>
  <c r="I805" i="16"/>
  <c r="I806" i="16"/>
  <c r="I807" i="16"/>
  <c r="I808" i="16"/>
  <c r="I809" i="16"/>
  <c r="I810" i="16"/>
  <c r="I811" i="16"/>
  <c r="I812" i="16"/>
  <c r="I813" i="16"/>
  <c r="I814" i="16"/>
  <c r="I815" i="16"/>
  <c r="I816" i="16"/>
  <c r="I817" i="16"/>
  <c r="I818" i="16"/>
  <c r="I819" i="16"/>
  <c r="I820" i="16"/>
  <c r="I821" i="16"/>
  <c r="I822" i="16"/>
  <c r="I823" i="16"/>
  <c r="I824" i="16"/>
  <c r="I825" i="16"/>
  <c r="I826" i="16"/>
  <c r="I827" i="16"/>
  <c r="I828" i="16"/>
  <c r="I829" i="16"/>
  <c r="I830" i="16"/>
  <c r="I831" i="16"/>
  <c r="I832" i="16"/>
  <c r="I833" i="16"/>
  <c r="I834" i="16"/>
  <c r="I835" i="16"/>
  <c r="I836" i="16"/>
  <c r="I837" i="16"/>
  <c r="I838" i="16"/>
  <c r="I839" i="16"/>
  <c r="I840" i="16"/>
  <c r="I841" i="16"/>
  <c r="I842" i="16"/>
  <c r="I843" i="16"/>
  <c r="I844" i="16"/>
  <c r="I845" i="16"/>
  <c r="I846" i="16"/>
  <c r="I847" i="16"/>
  <c r="I848" i="16"/>
  <c r="I849" i="16"/>
  <c r="I850" i="16"/>
  <c r="I851" i="16"/>
  <c r="I852" i="16"/>
  <c r="I853" i="16"/>
  <c r="I854" i="16"/>
  <c r="I855" i="16"/>
  <c r="I856" i="16"/>
  <c r="I857" i="16"/>
  <c r="I858" i="16"/>
  <c r="I859" i="16"/>
  <c r="I860" i="16"/>
  <c r="I861" i="16"/>
  <c r="I862" i="16"/>
  <c r="I863" i="16"/>
  <c r="I864" i="16"/>
  <c r="I865" i="16"/>
  <c r="I866" i="16"/>
  <c r="I867" i="16"/>
  <c r="I868" i="16"/>
  <c r="I869" i="16"/>
  <c r="I870" i="16"/>
  <c r="I871" i="16"/>
  <c r="I872" i="16"/>
  <c r="I873" i="16"/>
  <c r="I874" i="16"/>
  <c r="I875" i="16"/>
  <c r="I876" i="16"/>
  <c r="I877" i="16"/>
  <c r="I878" i="16"/>
  <c r="I879" i="16"/>
  <c r="I880" i="16"/>
  <c r="I881" i="16"/>
  <c r="I882" i="16"/>
  <c r="I883" i="16"/>
  <c r="I884" i="16"/>
  <c r="I885" i="16"/>
  <c r="I886" i="16"/>
  <c r="I887" i="16"/>
  <c r="I888" i="16"/>
  <c r="I889" i="16"/>
  <c r="I890" i="16"/>
  <c r="I891" i="16"/>
  <c r="I892" i="16"/>
  <c r="I893" i="16"/>
  <c r="I894" i="16"/>
  <c r="I895" i="16"/>
  <c r="I896" i="16"/>
  <c r="I897" i="16"/>
  <c r="I898" i="16"/>
  <c r="I899" i="16"/>
  <c r="I900" i="16"/>
  <c r="I901" i="16"/>
  <c r="I902" i="16"/>
  <c r="I903" i="16"/>
  <c r="I904" i="16"/>
  <c r="I905" i="16"/>
  <c r="I906" i="16"/>
  <c r="I907" i="16"/>
  <c r="I908" i="16"/>
  <c r="I909" i="16"/>
  <c r="I910" i="16"/>
  <c r="I911" i="16"/>
  <c r="I912" i="16"/>
  <c r="I913" i="16"/>
  <c r="I914" i="16"/>
  <c r="I915" i="16"/>
  <c r="I916" i="16"/>
  <c r="I917" i="16"/>
  <c r="I918" i="16"/>
  <c r="I919" i="16"/>
  <c r="I920" i="16"/>
  <c r="I921" i="16"/>
  <c r="I922" i="16"/>
  <c r="I923" i="16"/>
  <c r="I924" i="16"/>
  <c r="I925" i="16"/>
  <c r="I926" i="16"/>
  <c r="I927" i="16"/>
  <c r="I928" i="16"/>
  <c r="I929" i="16"/>
  <c r="I930" i="16"/>
  <c r="I931" i="16"/>
  <c r="I932" i="16"/>
  <c r="I933" i="16"/>
  <c r="I934" i="16"/>
  <c r="I935" i="16"/>
  <c r="I936" i="16"/>
  <c r="I937" i="16"/>
  <c r="I938" i="16"/>
  <c r="I939" i="16"/>
  <c r="I940" i="16"/>
  <c r="I941" i="16"/>
  <c r="I942" i="16"/>
  <c r="I943" i="16"/>
  <c r="I944" i="16"/>
  <c r="I945" i="16"/>
  <c r="I946" i="16"/>
  <c r="I947" i="16"/>
  <c r="I948" i="16"/>
  <c r="I949" i="16"/>
  <c r="I950" i="16"/>
  <c r="I951" i="16"/>
  <c r="I952" i="16"/>
  <c r="I953" i="16"/>
  <c r="I954" i="16"/>
  <c r="I955" i="16"/>
  <c r="I956" i="16"/>
  <c r="I957" i="16"/>
  <c r="I958" i="16"/>
  <c r="I959" i="16"/>
  <c r="I960" i="16"/>
  <c r="I961" i="16"/>
  <c r="I962" i="16"/>
  <c r="I963" i="16"/>
  <c r="I964" i="16"/>
  <c r="I965" i="16"/>
  <c r="I966" i="16"/>
  <c r="I967" i="16"/>
  <c r="I968" i="16"/>
  <c r="I969" i="16"/>
  <c r="I970" i="16"/>
  <c r="I971" i="16"/>
  <c r="I972" i="16"/>
  <c r="I973" i="16"/>
  <c r="I974" i="16"/>
  <c r="I975" i="16"/>
  <c r="I976" i="16"/>
  <c r="I977" i="16"/>
  <c r="I978" i="16"/>
  <c r="I979" i="16"/>
  <c r="I980" i="16"/>
  <c r="I981" i="16"/>
  <c r="I982" i="16"/>
  <c r="I983" i="16"/>
  <c r="I984" i="16"/>
  <c r="I985" i="16"/>
  <c r="I986" i="16"/>
  <c r="I987" i="16"/>
  <c r="I988" i="16"/>
  <c r="I989" i="16"/>
  <c r="I990" i="16"/>
  <c r="I991" i="16"/>
  <c r="I992" i="16"/>
  <c r="I993" i="16"/>
  <c r="I994" i="16"/>
  <c r="I995" i="16"/>
  <c r="I996" i="16"/>
  <c r="I997" i="16"/>
  <c r="I998" i="16"/>
  <c r="I999" i="16"/>
  <c r="I1000" i="16"/>
  <c r="I1001" i="16"/>
  <c r="I1002" i="16"/>
  <c r="I1003" i="16"/>
  <c r="I1004" i="16"/>
  <c r="I1005" i="16"/>
  <c r="I1006" i="16"/>
  <c r="I1007" i="16"/>
  <c r="I1008" i="16"/>
  <c r="I1009" i="16"/>
  <c r="I1010" i="16"/>
  <c r="I1011" i="16"/>
  <c r="I1012" i="16"/>
  <c r="I1013" i="16"/>
  <c r="I1014" i="16"/>
  <c r="I1015" i="16"/>
  <c r="I1016" i="16"/>
  <c r="I1017" i="16"/>
  <c r="I1018" i="16"/>
  <c r="I1019" i="16"/>
  <c r="I1020" i="16"/>
  <c r="I1021" i="16"/>
  <c r="I1022" i="16"/>
  <c r="I1023" i="16"/>
  <c r="I1024" i="16"/>
  <c r="I1025" i="16"/>
  <c r="I1026" i="16"/>
  <c r="I1027" i="16"/>
  <c r="I1028" i="16"/>
  <c r="I1029" i="16"/>
  <c r="I1030" i="16"/>
  <c r="I1031" i="16"/>
  <c r="I1032" i="16"/>
  <c r="I1033" i="16"/>
  <c r="I1034" i="16"/>
  <c r="I1035" i="16"/>
  <c r="I1036" i="16"/>
  <c r="I1037" i="16"/>
  <c r="I1038" i="16"/>
  <c r="I1039" i="16"/>
  <c r="I1040" i="16"/>
  <c r="I1041" i="16"/>
  <c r="I1042" i="16"/>
  <c r="I1043" i="16"/>
  <c r="I1044" i="16"/>
  <c r="I1045" i="16"/>
  <c r="I1046" i="16"/>
  <c r="I1047" i="16"/>
  <c r="I1048" i="16"/>
  <c r="I1049" i="16"/>
  <c r="I1050" i="16"/>
  <c r="I1051" i="16"/>
  <c r="I1052" i="16"/>
  <c r="I1053" i="16"/>
  <c r="I1054" i="16"/>
  <c r="I1055" i="16"/>
  <c r="I1056" i="16"/>
  <c r="I1057" i="16"/>
  <c r="I1058" i="16"/>
  <c r="I1059" i="16"/>
  <c r="I1060" i="16"/>
  <c r="I1061" i="16"/>
  <c r="I1062" i="16"/>
  <c r="I1063" i="16"/>
  <c r="I1064" i="16"/>
  <c r="I1065" i="16"/>
  <c r="I1066" i="16"/>
  <c r="I1067" i="16"/>
  <c r="I1068" i="16"/>
  <c r="I1069" i="16"/>
  <c r="I1070" i="16"/>
  <c r="I1071" i="16"/>
  <c r="I1072" i="16"/>
  <c r="I1073" i="16"/>
  <c r="I1074" i="16"/>
  <c r="I1075" i="16"/>
  <c r="I1076" i="16"/>
  <c r="I1077" i="16"/>
  <c r="I1078" i="16"/>
  <c r="I1079" i="16"/>
  <c r="I1080" i="16"/>
  <c r="I1081" i="16"/>
  <c r="I1082" i="16"/>
  <c r="I1083" i="16"/>
  <c r="I1084" i="16"/>
  <c r="I1085" i="16"/>
  <c r="I1086" i="16"/>
  <c r="I1087" i="16"/>
  <c r="I1088" i="16"/>
  <c r="I1089" i="16"/>
  <c r="I1090" i="16"/>
  <c r="I1091" i="16"/>
  <c r="I1092" i="16"/>
  <c r="I1093" i="16"/>
  <c r="I1094" i="16"/>
  <c r="I1095" i="16"/>
  <c r="I1096" i="16"/>
  <c r="I1097" i="16"/>
  <c r="I1098" i="16"/>
  <c r="I1099" i="16"/>
  <c r="I1100" i="16"/>
  <c r="I1101" i="16"/>
  <c r="I1102" i="16"/>
  <c r="I1103" i="16"/>
  <c r="I1104" i="16"/>
  <c r="I1105" i="16"/>
  <c r="I1106" i="16"/>
  <c r="I1107" i="16"/>
  <c r="I1108" i="16"/>
  <c r="I1109" i="16"/>
  <c r="I1110" i="16"/>
  <c r="I1111" i="16"/>
  <c r="I1112" i="16"/>
  <c r="I1113" i="16"/>
  <c r="I1114" i="16"/>
  <c r="I1115" i="16"/>
  <c r="I1116" i="16"/>
  <c r="I1117" i="16"/>
  <c r="I1118" i="16"/>
  <c r="I1119" i="16"/>
  <c r="I1120" i="16"/>
  <c r="I1121" i="16"/>
  <c r="I1122" i="16"/>
  <c r="I1123" i="16"/>
  <c r="I1124" i="16"/>
  <c r="I1125" i="16"/>
  <c r="I1126" i="16"/>
  <c r="I1127" i="16"/>
  <c r="I1128" i="16"/>
  <c r="I1129" i="16"/>
  <c r="I1130" i="16"/>
  <c r="I1131" i="16"/>
  <c r="I1132" i="16"/>
  <c r="I1133" i="16"/>
  <c r="I1134" i="16"/>
  <c r="I1135" i="16"/>
  <c r="I1136" i="16"/>
  <c r="I1137" i="16"/>
  <c r="I1138" i="16"/>
  <c r="I1139" i="16"/>
  <c r="I1140" i="16"/>
  <c r="I1141" i="16"/>
  <c r="I1142" i="16"/>
  <c r="I1143" i="16"/>
  <c r="I1144" i="16"/>
  <c r="I1145" i="16"/>
  <c r="I1146" i="16"/>
  <c r="I1147" i="16"/>
  <c r="I1148" i="16"/>
  <c r="I1149" i="16"/>
  <c r="I1150" i="16"/>
  <c r="I1151" i="16"/>
  <c r="I1152" i="16"/>
  <c r="I1153" i="16"/>
  <c r="I1154" i="16"/>
  <c r="I1155" i="16"/>
  <c r="I1156" i="16"/>
  <c r="I1157" i="16"/>
  <c r="I1158" i="16"/>
  <c r="I1159" i="16"/>
  <c r="I1160" i="16"/>
  <c r="I1161" i="16"/>
  <c r="I1162" i="16"/>
  <c r="I1163" i="16"/>
  <c r="I1164" i="16"/>
  <c r="I1165" i="16"/>
  <c r="I1166" i="16"/>
  <c r="I1167" i="16"/>
  <c r="I1168" i="16"/>
  <c r="I1169" i="16"/>
  <c r="I1170" i="16"/>
  <c r="I1171" i="16"/>
  <c r="I1172" i="16"/>
  <c r="I1173" i="16"/>
  <c r="I1174" i="16"/>
  <c r="I1175" i="16"/>
  <c r="I1176" i="16"/>
  <c r="I1177" i="16"/>
  <c r="I1178" i="16"/>
  <c r="I1179" i="16"/>
  <c r="I1180" i="16"/>
  <c r="I1181" i="16"/>
  <c r="I1182" i="16"/>
  <c r="I1183" i="16"/>
  <c r="I1184" i="16"/>
  <c r="I1185" i="16"/>
  <c r="I1186" i="16"/>
  <c r="I1187" i="16"/>
  <c r="I1188" i="16"/>
  <c r="I1189" i="16"/>
  <c r="I1190" i="16"/>
  <c r="I1191" i="16"/>
  <c r="I1192" i="16"/>
  <c r="I1193" i="16"/>
  <c r="I1194" i="16"/>
  <c r="I1195" i="16"/>
  <c r="I1196" i="16"/>
  <c r="I1197" i="16"/>
  <c r="I1198" i="16"/>
  <c r="I1199" i="16"/>
  <c r="I1200" i="16"/>
  <c r="I1201" i="16"/>
  <c r="I1202" i="16"/>
  <c r="I1203" i="16"/>
  <c r="I1204" i="16"/>
  <c r="I1205" i="16"/>
  <c r="I1206" i="16"/>
  <c r="I1207" i="16"/>
  <c r="I1208" i="16"/>
  <c r="I1209" i="16"/>
  <c r="I1210" i="16"/>
  <c r="I1211" i="16"/>
  <c r="I1212" i="16"/>
  <c r="I1213" i="16"/>
  <c r="I1214" i="16"/>
  <c r="I1215" i="16"/>
  <c r="I1216" i="16"/>
  <c r="I1217" i="16"/>
  <c r="I1218" i="16"/>
  <c r="I1219" i="16"/>
  <c r="I1220" i="16"/>
  <c r="I1221" i="16"/>
  <c r="I1222" i="16"/>
  <c r="I1223" i="16"/>
  <c r="I1224" i="16"/>
  <c r="I1225" i="16"/>
  <c r="I1226" i="16"/>
  <c r="I1227" i="16"/>
  <c r="I1228" i="16"/>
  <c r="I1229" i="16"/>
  <c r="I1230" i="16"/>
  <c r="I1231" i="16"/>
  <c r="I1232" i="16"/>
  <c r="I1233" i="16"/>
  <c r="I1234" i="16"/>
  <c r="I1235" i="16"/>
  <c r="I1236" i="16"/>
  <c r="I1237" i="16"/>
  <c r="I1238" i="16"/>
  <c r="I1239" i="16"/>
  <c r="I1240" i="16"/>
  <c r="I1241" i="16"/>
  <c r="I1242" i="16"/>
  <c r="I1243" i="16"/>
  <c r="I1244" i="16"/>
  <c r="I1245" i="16"/>
  <c r="I1246" i="16"/>
  <c r="I1247" i="16"/>
  <c r="I1248" i="16"/>
  <c r="I1249" i="16"/>
  <c r="I1250" i="16"/>
  <c r="I1251" i="16"/>
  <c r="I1252" i="16"/>
  <c r="I1253" i="16"/>
  <c r="I1254" i="16"/>
  <c r="I1255" i="16"/>
  <c r="I1256" i="16"/>
  <c r="I1257" i="16"/>
  <c r="I1258" i="16"/>
  <c r="I1259" i="16"/>
  <c r="I1260" i="16"/>
  <c r="I1261" i="16"/>
  <c r="I1262" i="16"/>
  <c r="I1263" i="16"/>
  <c r="I1264" i="16"/>
  <c r="I1265" i="16"/>
  <c r="I1266" i="16"/>
  <c r="I1267" i="16"/>
  <c r="I1268" i="16"/>
  <c r="I1269" i="16"/>
  <c r="I1270" i="16"/>
  <c r="I1271" i="16"/>
  <c r="I1272" i="16"/>
  <c r="I1273" i="16"/>
  <c r="I1274" i="16"/>
  <c r="I1275" i="16"/>
  <c r="I1276" i="16"/>
  <c r="I1277" i="16"/>
  <c r="I1278" i="16"/>
  <c r="I1279" i="16"/>
  <c r="I1280" i="16"/>
  <c r="I1281" i="16"/>
  <c r="I1282" i="16"/>
  <c r="I1283" i="16"/>
  <c r="I1284" i="16"/>
  <c r="I1285" i="16"/>
  <c r="I1286" i="16"/>
  <c r="I1287" i="16"/>
  <c r="I1288" i="16"/>
  <c r="I1289" i="16"/>
  <c r="I1290" i="16"/>
  <c r="I1291" i="16"/>
  <c r="I1292" i="16"/>
  <c r="I1293" i="16"/>
  <c r="I1294" i="16"/>
  <c r="I1295" i="16"/>
  <c r="I1296" i="16"/>
  <c r="I1297" i="16"/>
  <c r="I1298" i="16"/>
  <c r="I1299" i="16"/>
  <c r="I1300" i="16"/>
  <c r="I1301" i="16"/>
  <c r="I1302" i="16"/>
  <c r="I1303" i="16"/>
  <c r="I1304" i="16"/>
  <c r="I1305" i="16"/>
  <c r="I1306" i="16"/>
  <c r="I1307" i="16"/>
  <c r="I1308" i="16"/>
  <c r="I1309" i="16"/>
  <c r="I1310" i="16"/>
  <c r="I1311" i="16"/>
  <c r="I1312" i="16"/>
  <c r="I1313" i="16"/>
  <c r="I1314" i="16"/>
  <c r="I1315" i="16"/>
  <c r="I1316" i="16"/>
  <c r="I1317" i="16"/>
  <c r="I1318" i="16"/>
  <c r="I1319" i="16"/>
  <c r="I1320" i="16"/>
  <c r="I1321" i="16"/>
  <c r="I1322" i="16"/>
  <c r="I1323" i="16"/>
  <c r="I1324" i="16"/>
  <c r="I1325" i="16"/>
  <c r="I1326" i="16"/>
  <c r="I1327" i="16"/>
  <c r="I1328" i="16"/>
  <c r="I1329" i="16"/>
  <c r="I1330" i="16"/>
  <c r="I1331" i="16"/>
  <c r="I1332" i="16"/>
  <c r="I1333" i="16"/>
  <c r="I1334" i="16"/>
  <c r="I1335" i="16"/>
  <c r="I1336" i="16"/>
  <c r="I1337" i="16"/>
  <c r="I1338" i="16"/>
  <c r="I1339" i="16"/>
  <c r="I1340" i="16"/>
  <c r="I1341" i="16"/>
  <c r="I1342" i="16"/>
  <c r="I1343" i="16"/>
  <c r="I1344" i="16"/>
  <c r="I1345" i="16"/>
  <c r="I1346" i="16"/>
  <c r="I1347" i="16"/>
  <c r="I1348" i="16"/>
  <c r="I1349" i="16"/>
  <c r="I1350" i="16"/>
  <c r="I1351" i="16"/>
  <c r="I1352" i="16"/>
  <c r="I1353" i="16"/>
  <c r="I1354" i="16"/>
  <c r="I1355" i="16"/>
  <c r="I1356" i="16"/>
  <c r="I1357" i="16"/>
  <c r="I1358" i="16"/>
  <c r="I1359" i="16"/>
  <c r="I1360" i="16"/>
  <c r="I1361" i="16"/>
  <c r="I1362" i="16"/>
  <c r="I1363" i="16"/>
  <c r="I1364" i="16"/>
  <c r="I1365" i="16"/>
  <c r="I1366" i="16"/>
  <c r="I1367" i="16"/>
  <c r="I1368" i="16"/>
  <c r="I1369" i="16"/>
  <c r="I1370" i="16"/>
  <c r="I1371" i="16"/>
  <c r="I1372" i="16"/>
  <c r="I1373" i="16"/>
  <c r="I1374" i="16"/>
  <c r="I1375" i="16"/>
  <c r="I1376" i="16"/>
  <c r="I1377" i="16"/>
  <c r="I1378" i="16"/>
  <c r="I1379" i="16"/>
  <c r="I1380" i="16"/>
  <c r="I1381" i="16"/>
  <c r="I1382" i="16"/>
  <c r="I1383" i="16"/>
  <c r="I1384" i="16"/>
  <c r="I1385" i="16"/>
  <c r="I1386" i="16"/>
  <c r="I1387" i="16"/>
  <c r="I1388" i="16"/>
  <c r="I1389" i="16"/>
  <c r="I1390" i="16"/>
  <c r="I1391" i="16"/>
  <c r="I1392" i="16"/>
  <c r="I1393" i="16"/>
  <c r="I1394" i="16"/>
  <c r="I1395" i="16"/>
  <c r="I1396" i="16"/>
  <c r="I1397" i="16"/>
  <c r="I1398" i="16"/>
  <c r="I1399" i="16"/>
  <c r="I1400" i="16"/>
  <c r="I1401" i="16"/>
  <c r="I1402" i="16"/>
  <c r="I1403" i="16"/>
  <c r="I1404" i="16"/>
  <c r="I1405" i="16"/>
  <c r="I1406" i="16"/>
  <c r="I1407" i="16"/>
  <c r="I1408" i="16"/>
  <c r="I1409" i="16"/>
  <c r="I1410" i="16"/>
  <c r="I1411" i="16"/>
  <c r="I1412" i="16"/>
  <c r="I1413" i="16"/>
  <c r="I1414" i="16"/>
  <c r="I1415" i="16"/>
  <c r="I1416" i="16"/>
  <c r="I1417" i="16"/>
  <c r="I1418" i="16"/>
  <c r="I1419" i="16"/>
  <c r="I1420" i="16"/>
  <c r="I1421" i="16"/>
  <c r="I1422" i="16"/>
  <c r="I1423" i="16"/>
  <c r="I1424" i="16"/>
  <c r="I1425" i="16"/>
  <c r="I1426" i="16"/>
  <c r="I1427" i="16"/>
  <c r="I1428" i="16"/>
  <c r="I1429" i="16"/>
  <c r="I1430" i="16"/>
  <c r="I1431" i="16"/>
  <c r="I1432" i="16"/>
  <c r="I1433" i="16"/>
  <c r="I1434" i="16"/>
  <c r="I1435" i="16"/>
  <c r="I1436" i="16"/>
  <c r="I1437" i="16"/>
  <c r="I1438" i="16"/>
  <c r="I1439" i="16"/>
  <c r="I1440" i="16"/>
  <c r="I1441" i="16"/>
  <c r="I1442" i="16"/>
  <c r="I1443" i="16"/>
  <c r="I1444" i="16"/>
  <c r="I1445" i="16"/>
  <c r="I1446" i="16"/>
  <c r="I1447" i="16"/>
  <c r="I1448" i="16"/>
  <c r="I1449" i="16"/>
  <c r="I1450" i="16"/>
  <c r="I1451" i="16"/>
  <c r="I1452" i="16"/>
  <c r="I1453" i="16"/>
  <c r="I1454" i="16"/>
  <c r="I1455" i="16"/>
  <c r="I1456" i="16"/>
  <c r="I1457" i="16"/>
  <c r="I1458" i="16"/>
  <c r="I1459" i="16"/>
  <c r="I1460" i="16"/>
  <c r="I1461" i="16"/>
  <c r="I1462" i="16"/>
  <c r="I1463" i="16"/>
  <c r="I1464" i="16"/>
  <c r="I1465" i="16"/>
  <c r="I1466" i="16"/>
  <c r="I1467" i="16"/>
  <c r="I1468" i="16"/>
  <c r="I1469" i="16"/>
  <c r="I1470" i="16"/>
  <c r="I1471" i="16"/>
  <c r="I1472" i="16"/>
  <c r="I1473" i="16"/>
  <c r="I1474" i="16"/>
  <c r="I1475" i="16"/>
  <c r="I1476" i="16"/>
  <c r="I1477" i="16"/>
  <c r="I1478" i="16"/>
  <c r="I1479" i="16"/>
  <c r="I1480" i="16"/>
  <c r="I1481" i="16"/>
  <c r="I1482" i="16"/>
  <c r="I1483" i="16"/>
  <c r="I1484" i="16"/>
  <c r="I1485" i="16"/>
  <c r="I1486" i="16"/>
  <c r="I1487" i="16"/>
  <c r="I1488" i="16"/>
  <c r="I1489" i="16"/>
  <c r="I1490" i="16"/>
  <c r="I1491" i="16"/>
  <c r="I1492" i="16"/>
  <c r="I1493" i="16"/>
  <c r="I1494" i="16"/>
  <c r="I1495" i="16"/>
  <c r="I1496" i="16"/>
  <c r="I1497" i="16"/>
  <c r="I1498" i="16"/>
  <c r="I1499" i="16"/>
  <c r="I1500" i="16"/>
  <c r="I1501" i="16"/>
  <c r="I1502" i="16"/>
  <c r="I1503" i="16"/>
  <c r="I1504" i="16"/>
  <c r="I1505" i="16"/>
  <c r="I1506" i="16"/>
  <c r="I1507" i="16"/>
  <c r="I1508" i="16"/>
  <c r="I1509" i="16"/>
  <c r="I1510" i="16"/>
  <c r="I1511" i="16"/>
  <c r="I1512" i="16"/>
  <c r="I1513" i="16"/>
  <c r="I1514" i="16"/>
  <c r="I1515" i="16"/>
  <c r="I1516" i="16"/>
  <c r="I1517" i="16"/>
  <c r="I1518" i="16"/>
  <c r="I1519" i="16"/>
  <c r="I1520" i="16"/>
  <c r="I1521" i="16"/>
  <c r="I1522" i="16"/>
  <c r="I1523" i="16"/>
  <c r="I1524" i="16"/>
  <c r="I1525" i="16"/>
  <c r="I1526" i="16"/>
  <c r="I1527" i="16"/>
  <c r="I1528" i="16"/>
  <c r="I1529" i="16"/>
  <c r="I1530" i="16"/>
  <c r="I1531" i="16"/>
  <c r="I1532" i="16"/>
  <c r="I1533" i="16"/>
  <c r="I1534" i="16"/>
  <c r="I1535" i="16"/>
  <c r="I1536" i="16"/>
  <c r="I1537" i="16"/>
  <c r="I1538" i="16"/>
  <c r="I1539" i="16"/>
  <c r="I1540" i="16"/>
  <c r="I1541" i="16"/>
  <c r="I1542" i="16"/>
  <c r="I1543" i="16"/>
  <c r="I1544" i="16"/>
  <c r="I1545" i="16"/>
  <c r="I1546" i="16"/>
  <c r="I1547" i="16"/>
  <c r="I1548" i="16"/>
  <c r="I1549" i="16"/>
  <c r="I1550" i="16"/>
  <c r="I1551" i="16"/>
  <c r="I1552" i="16"/>
  <c r="I1553" i="16"/>
  <c r="I1554" i="16"/>
  <c r="I1555" i="16"/>
  <c r="I1556" i="16"/>
  <c r="I1557" i="16"/>
  <c r="I1558" i="16"/>
  <c r="I1559" i="16"/>
  <c r="I1560" i="16"/>
  <c r="I1561" i="16"/>
  <c r="I1562" i="16"/>
  <c r="I1563" i="16"/>
  <c r="I1564" i="16"/>
  <c r="I1565" i="16"/>
  <c r="I1566" i="16"/>
  <c r="I1567" i="16"/>
  <c r="I1568" i="16"/>
  <c r="I1569" i="16"/>
  <c r="I1570" i="16"/>
  <c r="I1571" i="16"/>
  <c r="I1572" i="16"/>
  <c r="I1573" i="16"/>
  <c r="I1574" i="16"/>
  <c r="I1575" i="16"/>
  <c r="I1576" i="16"/>
  <c r="I1577" i="16"/>
  <c r="I1578" i="16"/>
  <c r="I1579" i="16"/>
  <c r="I1580" i="16"/>
  <c r="I1581" i="16"/>
  <c r="I1582" i="16"/>
  <c r="I1583" i="16"/>
  <c r="I1584" i="16"/>
  <c r="I1585" i="16"/>
  <c r="I1586" i="16"/>
  <c r="I1587" i="16"/>
  <c r="I1588" i="16"/>
  <c r="I1589" i="16"/>
  <c r="I1590" i="16"/>
  <c r="I1591" i="16"/>
  <c r="I1592" i="16"/>
  <c r="I1593" i="16"/>
  <c r="I1594" i="16"/>
  <c r="I1595" i="16"/>
  <c r="I1596" i="16"/>
  <c r="I1597" i="16"/>
  <c r="I1598" i="16"/>
  <c r="I1599" i="16"/>
  <c r="I1600" i="16"/>
  <c r="I1601" i="16"/>
  <c r="I1602" i="16"/>
  <c r="I1603" i="16"/>
  <c r="I1604" i="16"/>
  <c r="I1605" i="16"/>
  <c r="I1606" i="16"/>
  <c r="I1607" i="16"/>
  <c r="I1608" i="16"/>
  <c r="I1609" i="16"/>
  <c r="I1610" i="16"/>
  <c r="I1611" i="16"/>
  <c r="I1612" i="16"/>
  <c r="I1613" i="16"/>
  <c r="I1614" i="16"/>
  <c r="I1615" i="16"/>
  <c r="I1616" i="16"/>
  <c r="I1617" i="16"/>
  <c r="I1618" i="16"/>
  <c r="I1619" i="16"/>
  <c r="I1620" i="16"/>
  <c r="I1621" i="16"/>
  <c r="I1622" i="16"/>
  <c r="I1623" i="16"/>
  <c r="I1624" i="16"/>
  <c r="I1625" i="16"/>
  <c r="I1626" i="16"/>
  <c r="I1627" i="16"/>
  <c r="I1628" i="16"/>
  <c r="I1629" i="16"/>
  <c r="I1630" i="16"/>
  <c r="I1631" i="16"/>
  <c r="I1632" i="16"/>
  <c r="I1633" i="16"/>
  <c r="I1634" i="16"/>
  <c r="I1635" i="16"/>
  <c r="I1636" i="16"/>
  <c r="I1637" i="16"/>
  <c r="I1638" i="16"/>
  <c r="I1639" i="16"/>
  <c r="I1640" i="16"/>
  <c r="I1641" i="16"/>
  <c r="I1642" i="16"/>
  <c r="I1643" i="16"/>
  <c r="I1644" i="16"/>
  <c r="I1645" i="16"/>
  <c r="I1646" i="16"/>
  <c r="I1647" i="16"/>
  <c r="I1648" i="16"/>
  <c r="I1649" i="16"/>
  <c r="I1650" i="16"/>
  <c r="I1651" i="16"/>
  <c r="I1652" i="16"/>
  <c r="I1653" i="16"/>
  <c r="I1654" i="16"/>
  <c r="I1655" i="16"/>
  <c r="I1656" i="16"/>
  <c r="I1657" i="16"/>
  <c r="I1658" i="16"/>
  <c r="I1659" i="16"/>
  <c r="I1660" i="16"/>
  <c r="I1661" i="16"/>
  <c r="I1662" i="16"/>
  <c r="I1663" i="16"/>
  <c r="I1664" i="16"/>
  <c r="I1665" i="16"/>
  <c r="I1666" i="16"/>
  <c r="I1667" i="16"/>
  <c r="I1668" i="16"/>
  <c r="I1669" i="16"/>
  <c r="I1670" i="16"/>
  <c r="I1671" i="16"/>
  <c r="I1672" i="16"/>
  <c r="I1673" i="16"/>
  <c r="I1674" i="16"/>
  <c r="I1675" i="16"/>
  <c r="I1676" i="16"/>
  <c r="I1677" i="16"/>
  <c r="I1678" i="16"/>
  <c r="I1679" i="16"/>
  <c r="I1680" i="16"/>
  <c r="I1681" i="16"/>
  <c r="I1682" i="16"/>
  <c r="I1683" i="16"/>
  <c r="I1684" i="16"/>
  <c r="I1685" i="16"/>
  <c r="I1686" i="16"/>
  <c r="I1687" i="16"/>
  <c r="I1688" i="16"/>
  <c r="I1689" i="16"/>
  <c r="I1690" i="16"/>
  <c r="I1691" i="16"/>
  <c r="I1692" i="16"/>
  <c r="I1693" i="16"/>
  <c r="I1694" i="16"/>
  <c r="I1695" i="16"/>
  <c r="I1696" i="16"/>
  <c r="I1697" i="16"/>
  <c r="I1698" i="16"/>
  <c r="I1699" i="16"/>
  <c r="I1700" i="16"/>
  <c r="I1701" i="16"/>
  <c r="I1702" i="16"/>
  <c r="I1703" i="16"/>
  <c r="I1704" i="16"/>
  <c r="I1705" i="16"/>
  <c r="I1706" i="16"/>
  <c r="I1707" i="16"/>
  <c r="I1708" i="16"/>
  <c r="I1709" i="16"/>
  <c r="I1710" i="16"/>
  <c r="I1711" i="16"/>
  <c r="I1712" i="16"/>
  <c r="I1713" i="16"/>
  <c r="I1714" i="16"/>
  <c r="I1715" i="16"/>
  <c r="I1716" i="16"/>
  <c r="I1717" i="16"/>
  <c r="I1718" i="16"/>
  <c r="I1719" i="16"/>
  <c r="I1720" i="16"/>
  <c r="I1721" i="16"/>
  <c r="I1722" i="16"/>
  <c r="I1723" i="16"/>
  <c r="I1724" i="16"/>
  <c r="I1725" i="16"/>
  <c r="I1726" i="16"/>
  <c r="I1727" i="16"/>
  <c r="I1728" i="16"/>
  <c r="I1729" i="16"/>
  <c r="I1730" i="16"/>
  <c r="I1731" i="16"/>
  <c r="I1732" i="16"/>
  <c r="I1733" i="16"/>
  <c r="I1734" i="16"/>
  <c r="I1735" i="16"/>
  <c r="I1736" i="16"/>
  <c r="I1737" i="16"/>
  <c r="I1738" i="16"/>
  <c r="I1739" i="16"/>
  <c r="I1740" i="16"/>
  <c r="I1741" i="16"/>
  <c r="I1742" i="16"/>
  <c r="I1743" i="16"/>
  <c r="I1744" i="16"/>
  <c r="I1745" i="16"/>
  <c r="I1746" i="16"/>
  <c r="I1747" i="16"/>
  <c r="I1748" i="16"/>
  <c r="I1749" i="16"/>
  <c r="I1750" i="16"/>
  <c r="I1751" i="16"/>
  <c r="I1752" i="16"/>
  <c r="I1753" i="16"/>
  <c r="I1754" i="16"/>
  <c r="I1755" i="16"/>
  <c r="I1756" i="16"/>
  <c r="I1757" i="16"/>
  <c r="I1758" i="16"/>
  <c r="I1759" i="16"/>
  <c r="I1760" i="16"/>
  <c r="I1761" i="16"/>
  <c r="I1762" i="16"/>
  <c r="I1763" i="16"/>
  <c r="I1764" i="16"/>
  <c r="I1765" i="16"/>
  <c r="I1766" i="16"/>
  <c r="I1767" i="16"/>
  <c r="I1768" i="16"/>
  <c r="I1769" i="16"/>
  <c r="I1770" i="16"/>
  <c r="I1771" i="16"/>
  <c r="I1772" i="16"/>
  <c r="I1773" i="16"/>
  <c r="I1774" i="16"/>
  <c r="I1775" i="16"/>
  <c r="I1776" i="16"/>
  <c r="I1777" i="16"/>
  <c r="I1778" i="16"/>
  <c r="I1779" i="16"/>
  <c r="I1780" i="16"/>
  <c r="I1781" i="16"/>
  <c r="I1782" i="16"/>
  <c r="I1783" i="16"/>
  <c r="I1784" i="16"/>
  <c r="I1785" i="16"/>
  <c r="I1786" i="16"/>
  <c r="I1787" i="16"/>
  <c r="I1788" i="16"/>
  <c r="I1789" i="16"/>
  <c r="I1790" i="16"/>
  <c r="I1791" i="16"/>
  <c r="I1792" i="16"/>
  <c r="I1793" i="16"/>
  <c r="I1794" i="16"/>
  <c r="I1795" i="16"/>
  <c r="I1796" i="16"/>
  <c r="I1797" i="16"/>
  <c r="I1798" i="16"/>
  <c r="I1799" i="16"/>
  <c r="I1800" i="16"/>
  <c r="I1801" i="16"/>
  <c r="I1802" i="16"/>
  <c r="I1803" i="16"/>
  <c r="I1804" i="16"/>
  <c r="I1805" i="16"/>
  <c r="I1806" i="16"/>
  <c r="I1807" i="16"/>
  <c r="I1808" i="16"/>
  <c r="I1809" i="16"/>
  <c r="I1810" i="16"/>
  <c r="I1811" i="16"/>
  <c r="I1812" i="16"/>
  <c r="I1813" i="16"/>
  <c r="I1814" i="16"/>
  <c r="I1815" i="16"/>
  <c r="I1816" i="16"/>
  <c r="I1817" i="16"/>
  <c r="I1818" i="16"/>
  <c r="I1819" i="16"/>
  <c r="I1820" i="16"/>
  <c r="I1821" i="16"/>
  <c r="I1822" i="16"/>
  <c r="I1823" i="16"/>
  <c r="I1824" i="16"/>
  <c r="I1825" i="16"/>
  <c r="I1826" i="16"/>
  <c r="I1827" i="16"/>
  <c r="I1828" i="16"/>
  <c r="I1829" i="16"/>
  <c r="I1830" i="16"/>
  <c r="I1831" i="16"/>
  <c r="I1832" i="16"/>
  <c r="I1833" i="16"/>
  <c r="I1834" i="16"/>
  <c r="I1835" i="16"/>
  <c r="I1836" i="16"/>
  <c r="I1837" i="16"/>
  <c r="I1838" i="16"/>
  <c r="I1839" i="16"/>
  <c r="I1840" i="16"/>
  <c r="I1841" i="16"/>
  <c r="I1842" i="16"/>
  <c r="I1843" i="16"/>
  <c r="I1844" i="16"/>
  <c r="I1845" i="16"/>
  <c r="I1846" i="16"/>
  <c r="I1847" i="16"/>
  <c r="I1848" i="16"/>
  <c r="I1849" i="16"/>
  <c r="I1850" i="16"/>
  <c r="I1851" i="16"/>
  <c r="I1852" i="16"/>
  <c r="I1853" i="16"/>
  <c r="I1854" i="16"/>
  <c r="I1855" i="16"/>
  <c r="I1856" i="16"/>
  <c r="I1857" i="16"/>
  <c r="I1858" i="16"/>
  <c r="I1859" i="16"/>
  <c r="I1860" i="16"/>
  <c r="I1861" i="16"/>
  <c r="I1862" i="16"/>
  <c r="I1863" i="16"/>
  <c r="I1864" i="16"/>
  <c r="I1865" i="16"/>
  <c r="I1866" i="16"/>
  <c r="I1867" i="16"/>
  <c r="I1868" i="16"/>
  <c r="I1869" i="16"/>
  <c r="I1870" i="16"/>
  <c r="I1871" i="16"/>
  <c r="I1872" i="16"/>
  <c r="I1873" i="16"/>
  <c r="I1874" i="16"/>
  <c r="I1875" i="16"/>
  <c r="I1876" i="16"/>
  <c r="I1877" i="16"/>
  <c r="I1878" i="16"/>
  <c r="I1879" i="16"/>
  <c r="I1880" i="16"/>
  <c r="I1881" i="16"/>
  <c r="I1882" i="16"/>
  <c r="I1883" i="16"/>
  <c r="I1884" i="16"/>
  <c r="I1885" i="16"/>
  <c r="I1886" i="16"/>
  <c r="I1887" i="16"/>
  <c r="I1888" i="16"/>
  <c r="I1889" i="16"/>
  <c r="I1890" i="16"/>
  <c r="I1891" i="16"/>
  <c r="I1892" i="16"/>
  <c r="I1893" i="16"/>
  <c r="I1894" i="16"/>
  <c r="I1895" i="16"/>
  <c r="I1896" i="16"/>
  <c r="I1897" i="16"/>
  <c r="I1898" i="16"/>
  <c r="I1899" i="16"/>
  <c r="I1900" i="16"/>
  <c r="I1901" i="16"/>
  <c r="I1902" i="16"/>
  <c r="I1903" i="16"/>
  <c r="I1904" i="16"/>
  <c r="I1905" i="16"/>
  <c r="I1906" i="16"/>
  <c r="I1907" i="16"/>
  <c r="I1908" i="16"/>
  <c r="I1909" i="16"/>
  <c r="I1910" i="16"/>
  <c r="I1911" i="16"/>
  <c r="I1912" i="16"/>
  <c r="I1913" i="16"/>
  <c r="I1914" i="16"/>
  <c r="I1915" i="16"/>
  <c r="I1916" i="16"/>
  <c r="I1917" i="16"/>
  <c r="I1918" i="16"/>
  <c r="I1919" i="16"/>
  <c r="I1920" i="16"/>
  <c r="I1921" i="16"/>
  <c r="I1922" i="16"/>
  <c r="I1923" i="16"/>
  <c r="I1924" i="16"/>
  <c r="I1925" i="16"/>
  <c r="I1926" i="16"/>
  <c r="I1927" i="16"/>
  <c r="I1928" i="16"/>
  <c r="I1929" i="16"/>
  <c r="I1930" i="16"/>
  <c r="I1931" i="16"/>
  <c r="I1932" i="16"/>
  <c r="I1933" i="16"/>
  <c r="I1934" i="16"/>
  <c r="I1935" i="16"/>
  <c r="I1936" i="16"/>
  <c r="I1937" i="16"/>
  <c r="I1938" i="16"/>
  <c r="I1939" i="16"/>
  <c r="I1940" i="16"/>
  <c r="I1941" i="16"/>
  <c r="I1942" i="16"/>
  <c r="I1943" i="16"/>
  <c r="I1944" i="16"/>
  <c r="I1945" i="16"/>
  <c r="I1946" i="16"/>
  <c r="I1947" i="16"/>
  <c r="I1948" i="16"/>
  <c r="I1949" i="16"/>
  <c r="I1950" i="16"/>
  <c r="I1951" i="16"/>
  <c r="I1952" i="16"/>
  <c r="I1953" i="16"/>
  <c r="I1954" i="16"/>
  <c r="I1955" i="16"/>
  <c r="I1956" i="16"/>
  <c r="I1957" i="16"/>
  <c r="I1958" i="16"/>
  <c r="I1959" i="16"/>
  <c r="I1960" i="16"/>
  <c r="I1961" i="16"/>
  <c r="I1962" i="16"/>
  <c r="I1963" i="16"/>
  <c r="I1964" i="16"/>
  <c r="I1965" i="16"/>
  <c r="I1966" i="16"/>
  <c r="I1967" i="16"/>
  <c r="I1968" i="16"/>
  <c r="I1969" i="16"/>
  <c r="I1970" i="16"/>
  <c r="I1971" i="16"/>
  <c r="I1972" i="16"/>
  <c r="I1973" i="16"/>
  <c r="I1974" i="16"/>
  <c r="I1975" i="16"/>
  <c r="I1976" i="16"/>
  <c r="I1977" i="16"/>
  <c r="I1978" i="16"/>
  <c r="I1979" i="16"/>
  <c r="I1980" i="16"/>
  <c r="I1981" i="16"/>
  <c r="I1982" i="16"/>
  <c r="I1983" i="16"/>
  <c r="I1984" i="16"/>
  <c r="I1985" i="16"/>
  <c r="I1986" i="16"/>
  <c r="I1987" i="16"/>
  <c r="I1988" i="16"/>
  <c r="I1989" i="16"/>
  <c r="I1990" i="16"/>
  <c r="I1991" i="16"/>
  <c r="I1992" i="16"/>
  <c r="I1993" i="16"/>
  <c r="I1994" i="16"/>
  <c r="I1995" i="16"/>
  <c r="I1996" i="16"/>
  <c r="I1997" i="16"/>
  <c r="I1998" i="16"/>
  <c r="I1999" i="16"/>
  <c r="I2000" i="16"/>
  <c r="I2001" i="16"/>
  <c r="I2002" i="16"/>
  <c r="I2003" i="16"/>
  <c r="I2004" i="16"/>
  <c r="I2005" i="16"/>
  <c r="I2006" i="16"/>
  <c r="I2007" i="16"/>
  <c r="I2008" i="16"/>
  <c r="I2009" i="16"/>
  <c r="I2010" i="16"/>
  <c r="I2011" i="16"/>
  <c r="I2012" i="16"/>
  <c r="I2013" i="16"/>
  <c r="I2014" i="16"/>
  <c r="I2015" i="16"/>
  <c r="I2016" i="16"/>
  <c r="I2017" i="16"/>
  <c r="I2018" i="16"/>
  <c r="I2019" i="16"/>
  <c r="I2020" i="16"/>
  <c r="I2021" i="16"/>
  <c r="I2022" i="16"/>
  <c r="I2023" i="16"/>
  <c r="I2024" i="16"/>
  <c r="I2025" i="16"/>
  <c r="I2026" i="16"/>
  <c r="I2027" i="16"/>
  <c r="I2028" i="16"/>
  <c r="I2029" i="16"/>
  <c r="I2030" i="16"/>
  <c r="I2031" i="16"/>
  <c r="I2032" i="16"/>
  <c r="I2033" i="16"/>
  <c r="I2034" i="16"/>
  <c r="I2035" i="16"/>
  <c r="I2036" i="16"/>
  <c r="I2037" i="16"/>
  <c r="I2038" i="16"/>
  <c r="I2039" i="16"/>
  <c r="I2040" i="16"/>
  <c r="I2041" i="16"/>
  <c r="I2042" i="16"/>
  <c r="I2043" i="16"/>
  <c r="I2044" i="16"/>
  <c r="I2045" i="16"/>
  <c r="I2046" i="16"/>
  <c r="I2047" i="16"/>
  <c r="I2048" i="16"/>
  <c r="I2049" i="16"/>
  <c r="I2050" i="16"/>
  <c r="I2051" i="16"/>
  <c r="I2052" i="16"/>
  <c r="I2053" i="16"/>
  <c r="I2054" i="16"/>
  <c r="I2055" i="16"/>
  <c r="I2056" i="16"/>
  <c r="I2057" i="16"/>
  <c r="I2058" i="16"/>
  <c r="I2059" i="16"/>
  <c r="I2060" i="16"/>
  <c r="I2061" i="16"/>
  <c r="I2062" i="16"/>
  <c r="I2063" i="16"/>
  <c r="I2064" i="16"/>
  <c r="I2065" i="16"/>
  <c r="I2066" i="16"/>
  <c r="I2067" i="16"/>
  <c r="I2068" i="16"/>
  <c r="I2069" i="16"/>
  <c r="I2070" i="16"/>
  <c r="I2071" i="16"/>
  <c r="I2072" i="16"/>
  <c r="I2073" i="16"/>
  <c r="I2074" i="16"/>
  <c r="I2075" i="16"/>
  <c r="I2076" i="16"/>
  <c r="I2077" i="16"/>
  <c r="I2078" i="16"/>
  <c r="I2079" i="16"/>
  <c r="I2080" i="16"/>
  <c r="I2081" i="16"/>
  <c r="I2082" i="16"/>
  <c r="I2083" i="16"/>
  <c r="I2084" i="16"/>
  <c r="I2085" i="16"/>
  <c r="I2086" i="16"/>
  <c r="I2087" i="16"/>
  <c r="I2088" i="16"/>
  <c r="I2089" i="16"/>
  <c r="I2090" i="16"/>
  <c r="I2091" i="16"/>
  <c r="I2092" i="16"/>
  <c r="I2093" i="16"/>
  <c r="I2094" i="16"/>
  <c r="I2095" i="16"/>
  <c r="I2096" i="16"/>
  <c r="I2097" i="16"/>
  <c r="I2098" i="16"/>
  <c r="I2099" i="16"/>
  <c r="I2100" i="16"/>
  <c r="I2101" i="16"/>
  <c r="I2102" i="16"/>
  <c r="I2103" i="16"/>
  <c r="I2104" i="16"/>
  <c r="I2105" i="16"/>
  <c r="I2106" i="16"/>
  <c r="I2107" i="16"/>
  <c r="I2108" i="16"/>
  <c r="I2109" i="16"/>
  <c r="I2110" i="16"/>
  <c r="I2111" i="16"/>
  <c r="I2112" i="16"/>
  <c r="I2113" i="16"/>
  <c r="I2114" i="16"/>
  <c r="I2115" i="16"/>
  <c r="I2116" i="16"/>
  <c r="I2117" i="16"/>
  <c r="I2118" i="16"/>
  <c r="I2119" i="16"/>
  <c r="I2120" i="16"/>
  <c r="I2" i="16"/>
  <c r="H3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225" i="16"/>
  <c r="H226" i="16"/>
  <c r="H227" i="16"/>
  <c r="H228" i="16"/>
  <c r="H229" i="16"/>
  <c r="H230" i="16"/>
  <c r="H231" i="16"/>
  <c r="H232" i="16"/>
  <c r="H233" i="16"/>
  <c r="H234" i="16"/>
  <c r="H235" i="16"/>
  <c r="H236" i="16"/>
  <c r="H237" i="16"/>
  <c r="H238" i="16"/>
  <c r="H239" i="16"/>
  <c r="H240" i="16"/>
  <c r="H241" i="16"/>
  <c r="H242" i="16"/>
  <c r="H243" i="16"/>
  <c r="H244" i="16"/>
  <c r="H245" i="16"/>
  <c r="H246" i="16"/>
  <c r="H247" i="16"/>
  <c r="H248" i="16"/>
  <c r="H249" i="16"/>
  <c r="H250" i="16"/>
  <c r="H251" i="16"/>
  <c r="H252" i="16"/>
  <c r="H253" i="16"/>
  <c r="H254" i="16"/>
  <c r="H255" i="16"/>
  <c r="H256" i="16"/>
  <c r="H257" i="16"/>
  <c r="H258" i="16"/>
  <c r="H259" i="16"/>
  <c r="H260" i="16"/>
  <c r="H261" i="16"/>
  <c r="H262" i="16"/>
  <c r="H263" i="16"/>
  <c r="H264" i="16"/>
  <c r="H265" i="16"/>
  <c r="H266" i="16"/>
  <c r="H267" i="16"/>
  <c r="H268" i="16"/>
  <c r="H269" i="16"/>
  <c r="H270" i="16"/>
  <c r="H271" i="16"/>
  <c r="H272" i="16"/>
  <c r="H273" i="16"/>
  <c r="H274" i="16"/>
  <c r="H275" i="16"/>
  <c r="H276" i="16"/>
  <c r="H277" i="16"/>
  <c r="H278" i="16"/>
  <c r="H279" i="16"/>
  <c r="H280" i="16"/>
  <c r="H281" i="16"/>
  <c r="H282" i="16"/>
  <c r="H283" i="16"/>
  <c r="H284" i="16"/>
  <c r="H285" i="16"/>
  <c r="H286" i="16"/>
  <c r="H287" i="16"/>
  <c r="H288" i="16"/>
  <c r="H289" i="16"/>
  <c r="H290" i="16"/>
  <c r="H291" i="16"/>
  <c r="H292" i="16"/>
  <c r="H293" i="16"/>
  <c r="H294" i="16"/>
  <c r="H295" i="16"/>
  <c r="H296" i="16"/>
  <c r="H297" i="16"/>
  <c r="H298" i="16"/>
  <c r="H299" i="16"/>
  <c r="H300" i="16"/>
  <c r="H301" i="16"/>
  <c r="H302" i="16"/>
  <c r="H303" i="16"/>
  <c r="H304" i="16"/>
  <c r="H305" i="16"/>
  <c r="H306" i="16"/>
  <c r="H307" i="16"/>
  <c r="H308" i="16"/>
  <c r="H309" i="16"/>
  <c r="H310" i="16"/>
  <c r="H311" i="16"/>
  <c r="H312" i="16"/>
  <c r="H313" i="16"/>
  <c r="H314" i="16"/>
  <c r="H315" i="16"/>
  <c r="H316" i="16"/>
  <c r="H317" i="16"/>
  <c r="H318" i="16"/>
  <c r="H319" i="16"/>
  <c r="H320" i="16"/>
  <c r="H321" i="16"/>
  <c r="H322" i="16"/>
  <c r="H323" i="16"/>
  <c r="H324" i="16"/>
  <c r="H325" i="16"/>
  <c r="H326" i="16"/>
  <c r="H327" i="16"/>
  <c r="H328" i="16"/>
  <c r="H329" i="16"/>
  <c r="H330" i="16"/>
  <c r="H331" i="16"/>
  <c r="H332" i="16"/>
  <c r="H333" i="16"/>
  <c r="H334" i="16"/>
  <c r="H335" i="16"/>
  <c r="H336" i="16"/>
  <c r="H337" i="16"/>
  <c r="H338" i="16"/>
  <c r="H339" i="16"/>
  <c r="H340" i="16"/>
  <c r="H341" i="16"/>
  <c r="H342" i="16"/>
  <c r="H343" i="16"/>
  <c r="H344" i="16"/>
  <c r="H345" i="16"/>
  <c r="H346" i="16"/>
  <c r="H347" i="16"/>
  <c r="H348" i="16"/>
  <c r="H349" i="16"/>
  <c r="H350" i="16"/>
  <c r="H351" i="16"/>
  <c r="H352" i="16"/>
  <c r="H353" i="16"/>
  <c r="H354" i="16"/>
  <c r="H355" i="16"/>
  <c r="H356" i="16"/>
  <c r="H357" i="16"/>
  <c r="H358" i="16"/>
  <c r="H359" i="16"/>
  <c r="H360" i="16"/>
  <c r="H361" i="16"/>
  <c r="H362" i="16"/>
  <c r="H363" i="16"/>
  <c r="H364" i="16"/>
  <c r="H365" i="16"/>
  <c r="H366" i="16"/>
  <c r="H367" i="16"/>
  <c r="H368" i="16"/>
  <c r="H369" i="16"/>
  <c r="H370" i="16"/>
  <c r="H371" i="16"/>
  <c r="H372" i="16"/>
  <c r="H373" i="16"/>
  <c r="H374" i="16"/>
  <c r="H375" i="16"/>
  <c r="H376" i="16"/>
  <c r="H377" i="16"/>
  <c r="H378" i="16"/>
  <c r="H379" i="16"/>
  <c r="H380" i="16"/>
  <c r="H381" i="16"/>
  <c r="H382" i="16"/>
  <c r="H383" i="16"/>
  <c r="H384" i="16"/>
  <c r="H385" i="16"/>
  <c r="H386" i="16"/>
  <c r="H387" i="16"/>
  <c r="H388" i="16"/>
  <c r="H389" i="16"/>
  <c r="H390" i="16"/>
  <c r="H391" i="16"/>
  <c r="H392" i="16"/>
  <c r="H393" i="16"/>
  <c r="H394" i="16"/>
  <c r="H395" i="16"/>
  <c r="H396" i="16"/>
  <c r="H397" i="16"/>
  <c r="H398" i="16"/>
  <c r="H399" i="16"/>
  <c r="H400" i="16"/>
  <c r="H401" i="16"/>
  <c r="H402" i="16"/>
  <c r="H403" i="16"/>
  <c r="H404" i="16"/>
  <c r="H405" i="16"/>
  <c r="H406" i="16"/>
  <c r="H407" i="16"/>
  <c r="H408" i="16"/>
  <c r="H409" i="16"/>
  <c r="H410" i="16"/>
  <c r="H411" i="16"/>
  <c r="H412" i="16"/>
  <c r="H413" i="16"/>
  <c r="H414" i="16"/>
  <c r="H415" i="16"/>
  <c r="H416" i="16"/>
  <c r="H417" i="16"/>
  <c r="H418" i="16"/>
  <c r="H419" i="16"/>
  <c r="H420" i="16"/>
  <c r="H421" i="16"/>
  <c r="H422" i="16"/>
  <c r="H423" i="16"/>
  <c r="H424" i="16"/>
  <c r="H425" i="16"/>
  <c r="H426" i="16"/>
  <c r="H427" i="16"/>
  <c r="H428" i="16"/>
  <c r="H429" i="16"/>
  <c r="H430" i="16"/>
  <c r="H431" i="16"/>
  <c r="H432" i="16"/>
  <c r="H433" i="16"/>
  <c r="H434" i="16"/>
  <c r="H435" i="16"/>
  <c r="H436" i="16"/>
  <c r="H437" i="16"/>
  <c r="H438" i="16"/>
  <c r="H439" i="16"/>
  <c r="H440" i="16"/>
  <c r="H441" i="16"/>
  <c r="H442" i="16"/>
  <c r="H443" i="16"/>
  <c r="H444" i="16"/>
  <c r="H445" i="16"/>
  <c r="H446" i="16"/>
  <c r="H447" i="16"/>
  <c r="H448" i="16"/>
  <c r="H449" i="16"/>
  <c r="H450" i="16"/>
  <c r="H451" i="16"/>
  <c r="H452" i="16"/>
  <c r="H453" i="16"/>
  <c r="H454" i="16"/>
  <c r="H455" i="16"/>
  <c r="H456" i="16"/>
  <c r="H457" i="16"/>
  <c r="H458" i="16"/>
  <c r="H459" i="16"/>
  <c r="H460" i="16"/>
  <c r="H461" i="16"/>
  <c r="H462" i="16"/>
  <c r="H463" i="16"/>
  <c r="H464" i="16"/>
  <c r="H465" i="16"/>
  <c r="H466" i="16"/>
  <c r="H467" i="16"/>
  <c r="H468" i="16"/>
  <c r="H469" i="16"/>
  <c r="H470" i="16"/>
  <c r="H471" i="16"/>
  <c r="H472" i="16"/>
  <c r="H473" i="16"/>
  <c r="H474" i="16"/>
  <c r="H475" i="16"/>
  <c r="H476" i="16"/>
  <c r="H477" i="16"/>
  <c r="H478" i="16"/>
  <c r="H479" i="16"/>
  <c r="H480" i="16"/>
  <c r="H481" i="16"/>
  <c r="H482" i="16"/>
  <c r="H483" i="16"/>
  <c r="H484" i="16"/>
  <c r="H485" i="16"/>
  <c r="H486" i="16"/>
  <c r="H487" i="16"/>
  <c r="H488" i="16"/>
  <c r="H489" i="16"/>
  <c r="H490" i="16"/>
  <c r="H491" i="16"/>
  <c r="H492" i="16"/>
  <c r="H493" i="16"/>
  <c r="H494" i="16"/>
  <c r="H495" i="16"/>
  <c r="H496" i="16"/>
  <c r="H497" i="16"/>
  <c r="H498" i="16"/>
  <c r="H499" i="16"/>
  <c r="H500" i="16"/>
  <c r="H501" i="16"/>
  <c r="H502" i="16"/>
  <c r="H503" i="16"/>
  <c r="H504" i="16"/>
  <c r="H505" i="16"/>
  <c r="H506" i="16"/>
  <c r="H507" i="16"/>
  <c r="H508" i="16"/>
  <c r="H509" i="16"/>
  <c r="H510" i="16"/>
  <c r="H511" i="16"/>
  <c r="H512" i="16"/>
  <c r="H513" i="16"/>
  <c r="H514" i="16"/>
  <c r="H515" i="16"/>
  <c r="H516" i="16"/>
  <c r="H517" i="16"/>
  <c r="H518" i="16"/>
  <c r="H519" i="16"/>
  <c r="H520" i="16"/>
  <c r="H521" i="16"/>
  <c r="H522" i="16"/>
  <c r="H523" i="16"/>
  <c r="H524" i="16"/>
  <c r="H525" i="16"/>
  <c r="H526" i="16"/>
  <c r="H527" i="16"/>
  <c r="H528" i="16"/>
  <c r="H529" i="16"/>
  <c r="H530" i="16"/>
  <c r="H531" i="16"/>
  <c r="H532" i="16"/>
  <c r="H533" i="16"/>
  <c r="H534" i="16"/>
  <c r="H535" i="16"/>
  <c r="H536" i="16"/>
  <c r="H537" i="16"/>
  <c r="H538" i="16"/>
  <c r="H539" i="16"/>
  <c r="H540" i="16"/>
  <c r="H541" i="16"/>
  <c r="H542" i="16"/>
  <c r="H543" i="16"/>
  <c r="H544" i="16"/>
  <c r="H545" i="16"/>
  <c r="H546" i="16"/>
  <c r="H547" i="16"/>
  <c r="H548" i="16"/>
  <c r="H549" i="16"/>
  <c r="H550" i="16"/>
  <c r="H551" i="16"/>
  <c r="H552" i="16"/>
  <c r="H553" i="16"/>
  <c r="H554" i="16"/>
  <c r="H555" i="16"/>
  <c r="H556" i="16"/>
  <c r="H557" i="16"/>
  <c r="H558" i="16"/>
  <c r="H559" i="16"/>
  <c r="H560" i="16"/>
  <c r="H561" i="16"/>
  <c r="H562" i="16"/>
  <c r="H563" i="16"/>
  <c r="H564" i="16"/>
  <c r="H565" i="16"/>
  <c r="H566" i="16"/>
  <c r="H567" i="16"/>
  <c r="H568" i="16"/>
  <c r="H569" i="16"/>
  <c r="H570" i="16"/>
  <c r="H571" i="16"/>
  <c r="H572" i="16"/>
  <c r="H573" i="16"/>
  <c r="H574" i="16"/>
  <c r="H575" i="16"/>
  <c r="H576" i="16"/>
  <c r="H577" i="16"/>
  <c r="H578" i="16"/>
  <c r="H579" i="16"/>
  <c r="H580" i="16"/>
  <c r="H581" i="16"/>
  <c r="H582" i="16"/>
  <c r="H583" i="16"/>
  <c r="H584" i="16"/>
  <c r="H585" i="16"/>
  <c r="H586" i="16"/>
  <c r="H587" i="16"/>
  <c r="H588" i="16"/>
  <c r="H589" i="16"/>
  <c r="H590" i="16"/>
  <c r="H591" i="16"/>
  <c r="H592" i="16"/>
  <c r="H593" i="16"/>
  <c r="H594" i="16"/>
  <c r="H595" i="16"/>
  <c r="H596" i="16"/>
  <c r="H597" i="16"/>
  <c r="H598" i="16"/>
  <c r="H599" i="16"/>
  <c r="H600" i="16"/>
  <c r="H601" i="16"/>
  <c r="H602" i="16"/>
  <c r="H603" i="16"/>
  <c r="H604" i="16"/>
  <c r="H605" i="16"/>
  <c r="H606" i="16"/>
  <c r="H607" i="16"/>
  <c r="H608" i="16"/>
  <c r="H609" i="16"/>
  <c r="H610" i="16"/>
  <c r="H611" i="16"/>
  <c r="H612" i="16"/>
  <c r="H613" i="16"/>
  <c r="H614" i="16"/>
  <c r="H615" i="16"/>
  <c r="H616" i="16"/>
  <c r="H617" i="16"/>
  <c r="H618" i="16"/>
  <c r="H619" i="16"/>
  <c r="H620" i="16"/>
  <c r="H621" i="16"/>
  <c r="H622" i="16"/>
  <c r="H623" i="16"/>
  <c r="H624" i="16"/>
  <c r="H625" i="16"/>
  <c r="H626" i="16"/>
  <c r="H627" i="16"/>
  <c r="H628" i="16"/>
  <c r="H629" i="16"/>
  <c r="H630" i="16"/>
  <c r="H631" i="16"/>
  <c r="H632" i="16"/>
  <c r="H633" i="16"/>
  <c r="H634" i="16"/>
  <c r="H635" i="16"/>
  <c r="H636" i="16"/>
  <c r="H637" i="16"/>
  <c r="H638" i="16"/>
  <c r="H639" i="16"/>
  <c r="H640" i="16"/>
  <c r="H641" i="16"/>
  <c r="H642" i="16"/>
  <c r="H643" i="16"/>
  <c r="H644" i="16"/>
  <c r="H645" i="16"/>
  <c r="H646" i="16"/>
  <c r="H647" i="16"/>
  <c r="H648" i="16"/>
  <c r="H649" i="16"/>
  <c r="H650" i="16"/>
  <c r="H651" i="16"/>
  <c r="H652" i="16"/>
  <c r="H653" i="16"/>
  <c r="H654" i="16"/>
  <c r="H655" i="16"/>
  <c r="H656" i="16"/>
  <c r="H657" i="16"/>
  <c r="H658" i="16"/>
  <c r="H659" i="16"/>
  <c r="H660" i="16"/>
  <c r="H661" i="16"/>
  <c r="H662" i="16"/>
  <c r="H663" i="16"/>
  <c r="H664" i="16"/>
  <c r="H665" i="16"/>
  <c r="H666" i="16"/>
  <c r="H667" i="16"/>
  <c r="H668" i="16"/>
  <c r="H669" i="16"/>
  <c r="H670" i="16"/>
  <c r="H671" i="16"/>
  <c r="H672" i="16"/>
  <c r="H673" i="16"/>
  <c r="H674" i="16"/>
  <c r="H675" i="16"/>
  <c r="H676" i="16"/>
  <c r="H677" i="16"/>
  <c r="H678" i="16"/>
  <c r="H679" i="16"/>
  <c r="H680" i="16"/>
  <c r="H681" i="16"/>
  <c r="H682" i="16"/>
  <c r="H683" i="16"/>
  <c r="H684" i="16"/>
  <c r="H685" i="16"/>
  <c r="H686" i="16"/>
  <c r="H687" i="16"/>
  <c r="H688" i="16"/>
  <c r="H689" i="16"/>
  <c r="H690" i="16"/>
  <c r="H691" i="16"/>
  <c r="H692" i="16"/>
  <c r="H693" i="16"/>
  <c r="H694" i="16"/>
  <c r="H695" i="16"/>
  <c r="H696" i="16"/>
  <c r="H697" i="16"/>
  <c r="H698" i="16"/>
  <c r="H699" i="16"/>
  <c r="H700" i="16"/>
  <c r="H701" i="16"/>
  <c r="H702" i="16"/>
  <c r="H703" i="16"/>
  <c r="H704" i="16"/>
  <c r="H705" i="16"/>
  <c r="H706" i="16"/>
  <c r="H707" i="16"/>
  <c r="H708" i="16"/>
  <c r="H709" i="16"/>
  <c r="H710" i="16"/>
  <c r="H711" i="16"/>
  <c r="H712" i="16"/>
  <c r="H713" i="16"/>
  <c r="H714" i="16"/>
  <c r="H715" i="16"/>
  <c r="H716" i="16"/>
  <c r="H717" i="16"/>
  <c r="H718" i="16"/>
  <c r="H719" i="16"/>
  <c r="H720" i="16"/>
  <c r="H721" i="16"/>
  <c r="H722" i="16"/>
  <c r="H723" i="16"/>
  <c r="H724" i="16"/>
  <c r="H725" i="16"/>
  <c r="H726" i="16"/>
  <c r="H727" i="16"/>
  <c r="H728" i="16"/>
  <c r="H729" i="16"/>
  <c r="H730" i="16"/>
  <c r="H731" i="16"/>
  <c r="H732" i="16"/>
  <c r="H733" i="16"/>
  <c r="H734" i="16"/>
  <c r="H735" i="16"/>
  <c r="H736" i="16"/>
  <c r="H737" i="16"/>
  <c r="H738" i="16"/>
  <c r="H739" i="16"/>
  <c r="H740" i="16"/>
  <c r="H741" i="16"/>
  <c r="H742" i="16"/>
  <c r="H743" i="16"/>
  <c r="H744" i="16"/>
  <c r="H745" i="16"/>
  <c r="H746" i="16"/>
  <c r="H747" i="16"/>
  <c r="H748" i="16"/>
  <c r="H749" i="16"/>
  <c r="H750" i="16"/>
  <c r="H751" i="16"/>
  <c r="H752" i="16"/>
  <c r="H753" i="16"/>
  <c r="H754" i="16"/>
  <c r="H755" i="16"/>
  <c r="H756" i="16"/>
  <c r="H757" i="16"/>
  <c r="H758" i="16"/>
  <c r="H759" i="16"/>
  <c r="H760" i="16"/>
  <c r="H761" i="16"/>
  <c r="H762" i="16"/>
  <c r="H763" i="16"/>
  <c r="H764" i="16"/>
  <c r="H765" i="16"/>
  <c r="H766" i="16"/>
  <c r="H767" i="16"/>
  <c r="H768" i="16"/>
  <c r="H769" i="16"/>
  <c r="H770" i="16"/>
  <c r="H771" i="16"/>
  <c r="H772" i="16"/>
  <c r="H773" i="16"/>
  <c r="H774" i="16"/>
  <c r="H775" i="16"/>
  <c r="H776" i="16"/>
  <c r="H777" i="16"/>
  <c r="H778" i="16"/>
  <c r="H779" i="16"/>
  <c r="H780" i="16"/>
  <c r="H781" i="16"/>
  <c r="H782" i="16"/>
  <c r="H783" i="16"/>
  <c r="H784" i="16"/>
  <c r="H785" i="16"/>
  <c r="H786" i="16"/>
  <c r="H787" i="16"/>
  <c r="H788" i="16"/>
  <c r="H789" i="16"/>
  <c r="H790" i="16"/>
  <c r="H791" i="16"/>
  <c r="H792" i="16"/>
  <c r="H793" i="16"/>
  <c r="H794" i="16"/>
  <c r="H795" i="16"/>
  <c r="H796" i="16"/>
  <c r="H797" i="16"/>
  <c r="H798" i="16"/>
  <c r="H799" i="16"/>
  <c r="H800" i="16"/>
  <c r="H801" i="16"/>
  <c r="H802" i="16"/>
  <c r="H803" i="16"/>
  <c r="H804" i="16"/>
  <c r="H805" i="16"/>
  <c r="H806" i="16"/>
  <c r="H807" i="16"/>
  <c r="H808" i="16"/>
  <c r="H809" i="16"/>
  <c r="H810" i="16"/>
  <c r="H811" i="16"/>
  <c r="H812" i="16"/>
  <c r="H813" i="16"/>
  <c r="H814" i="16"/>
  <c r="H815" i="16"/>
  <c r="H816" i="16"/>
  <c r="H817" i="16"/>
  <c r="H818" i="16"/>
  <c r="H819" i="16"/>
  <c r="H820" i="16"/>
  <c r="H821" i="16"/>
  <c r="H822" i="16"/>
  <c r="H823" i="16"/>
  <c r="H824" i="16"/>
  <c r="H825" i="16"/>
  <c r="H826" i="16"/>
  <c r="H827" i="16"/>
  <c r="H828" i="16"/>
  <c r="H829" i="16"/>
  <c r="H830" i="16"/>
  <c r="H831" i="16"/>
  <c r="H832" i="16"/>
  <c r="H833" i="16"/>
  <c r="H834" i="16"/>
  <c r="H835" i="16"/>
  <c r="H836" i="16"/>
  <c r="H837" i="16"/>
  <c r="H838" i="16"/>
  <c r="H839" i="16"/>
  <c r="H840" i="16"/>
  <c r="H841" i="16"/>
  <c r="H842" i="16"/>
  <c r="H843" i="16"/>
  <c r="H844" i="16"/>
  <c r="H845" i="16"/>
  <c r="H846" i="16"/>
  <c r="H847" i="16"/>
  <c r="H848" i="16"/>
  <c r="H849" i="16"/>
  <c r="H850" i="16"/>
  <c r="H851" i="16"/>
  <c r="H852" i="16"/>
  <c r="H853" i="16"/>
  <c r="H854" i="16"/>
  <c r="H855" i="16"/>
  <c r="H856" i="16"/>
  <c r="H857" i="16"/>
  <c r="H858" i="16"/>
  <c r="H859" i="16"/>
  <c r="H860" i="16"/>
  <c r="H861" i="16"/>
  <c r="H862" i="16"/>
  <c r="H863" i="16"/>
  <c r="H864" i="16"/>
  <c r="H865" i="16"/>
  <c r="H866" i="16"/>
  <c r="H867" i="16"/>
  <c r="H868" i="16"/>
  <c r="H869" i="16"/>
  <c r="H870" i="16"/>
  <c r="H871" i="16"/>
  <c r="H872" i="16"/>
  <c r="H873" i="16"/>
  <c r="H874" i="16"/>
  <c r="H875" i="16"/>
  <c r="H876" i="16"/>
  <c r="H877" i="16"/>
  <c r="H878" i="16"/>
  <c r="H879" i="16"/>
  <c r="H880" i="16"/>
  <c r="H881" i="16"/>
  <c r="H882" i="16"/>
  <c r="H883" i="16"/>
  <c r="H884" i="16"/>
  <c r="H885" i="16"/>
  <c r="H886" i="16"/>
  <c r="H887" i="16"/>
  <c r="H888" i="16"/>
  <c r="H889" i="16"/>
  <c r="H890" i="16"/>
  <c r="H891" i="16"/>
  <c r="H892" i="16"/>
  <c r="H893" i="16"/>
  <c r="H894" i="16"/>
  <c r="H895" i="16"/>
  <c r="H896" i="16"/>
  <c r="H897" i="16"/>
  <c r="H898" i="16"/>
  <c r="H899" i="16"/>
  <c r="H900" i="16"/>
  <c r="H901" i="16"/>
  <c r="H902" i="16"/>
  <c r="H903" i="16"/>
  <c r="H904" i="16"/>
  <c r="H905" i="16"/>
  <c r="H906" i="16"/>
  <c r="H907" i="16"/>
  <c r="H908" i="16"/>
  <c r="H909" i="16"/>
  <c r="H910" i="16"/>
  <c r="H911" i="16"/>
  <c r="H912" i="16"/>
  <c r="H913" i="16"/>
  <c r="H914" i="16"/>
  <c r="H915" i="16"/>
  <c r="H916" i="16"/>
  <c r="H917" i="16"/>
  <c r="H918" i="16"/>
  <c r="H919" i="16"/>
  <c r="H920" i="16"/>
  <c r="H921" i="16"/>
  <c r="H922" i="16"/>
  <c r="H923" i="16"/>
  <c r="H924" i="16"/>
  <c r="H925" i="16"/>
  <c r="H926" i="16"/>
  <c r="H927" i="16"/>
  <c r="H928" i="16"/>
  <c r="H929" i="16"/>
  <c r="H930" i="16"/>
  <c r="H931" i="16"/>
  <c r="H932" i="16"/>
  <c r="H933" i="16"/>
  <c r="H934" i="16"/>
  <c r="H935" i="16"/>
  <c r="H936" i="16"/>
  <c r="H937" i="16"/>
  <c r="H938" i="16"/>
  <c r="H939" i="16"/>
  <c r="H940" i="16"/>
  <c r="H941" i="16"/>
  <c r="H942" i="16"/>
  <c r="H943" i="16"/>
  <c r="H944" i="16"/>
  <c r="H945" i="16"/>
  <c r="H946" i="16"/>
  <c r="H947" i="16"/>
  <c r="H948" i="16"/>
  <c r="H949" i="16"/>
  <c r="H950" i="16"/>
  <c r="H951" i="16"/>
  <c r="H952" i="16"/>
  <c r="H953" i="16"/>
  <c r="H954" i="16"/>
  <c r="H955" i="16"/>
  <c r="H956" i="16"/>
  <c r="H957" i="16"/>
  <c r="H958" i="16"/>
  <c r="H959" i="16"/>
  <c r="H960" i="16"/>
  <c r="H961" i="16"/>
  <c r="H962" i="16"/>
  <c r="H963" i="16"/>
  <c r="H964" i="16"/>
  <c r="H965" i="16"/>
  <c r="H966" i="16"/>
  <c r="H967" i="16"/>
  <c r="H968" i="16"/>
  <c r="H969" i="16"/>
  <c r="H970" i="16"/>
  <c r="H971" i="16"/>
  <c r="H972" i="16"/>
  <c r="H973" i="16"/>
  <c r="H974" i="16"/>
  <c r="H975" i="16"/>
  <c r="H976" i="16"/>
  <c r="H977" i="16"/>
  <c r="H978" i="16"/>
  <c r="H979" i="16"/>
  <c r="H980" i="16"/>
  <c r="H981" i="16"/>
  <c r="H982" i="16"/>
  <c r="H983" i="16"/>
  <c r="H984" i="16"/>
  <c r="H985" i="16"/>
  <c r="H986" i="16"/>
  <c r="H987" i="16"/>
  <c r="H988" i="16"/>
  <c r="H989" i="16"/>
  <c r="H990" i="16"/>
  <c r="H991" i="16"/>
  <c r="H992" i="16"/>
  <c r="H993" i="16"/>
  <c r="H994" i="16"/>
  <c r="H995" i="16"/>
  <c r="H996" i="16"/>
  <c r="H997" i="16"/>
  <c r="H998" i="16"/>
  <c r="H999" i="16"/>
  <c r="H1000" i="16"/>
  <c r="H1001" i="16"/>
  <c r="H1002" i="16"/>
  <c r="H1003" i="16"/>
  <c r="H1004" i="16"/>
  <c r="H1005" i="16"/>
  <c r="H1006" i="16"/>
  <c r="H1007" i="16"/>
  <c r="H1008" i="16"/>
  <c r="H1009" i="16"/>
  <c r="H1010" i="16"/>
  <c r="H1011" i="16"/>
  <c r="H1012" i="16"/>
  <c r="H1013" i="16"/>
  <c r="H1014" i="16"/>
  <c r="H1015" i="16"/>
  <c r="H1016" i="16"/>
  <c r="H1017" i="16"/>
  <c r="H1018" i="16"/>
  <c r="H1019" i="16"/>
  <c r="H1020" i="16"/>
  <c r="H1021" i="16"/>
  <c r="H1022" i="16"/>
  <c r="H1023" i="16"/>
  <c r="H1024" i="16"/>
  <c r="H1025" i="16"/>
  <c r="H1026" i="16"/>
  <c r="H1027" i="16"/>
  <c r="H1028" i="16"/>
  <c r="H1029" i="16"/>
  <c r="H1030" i="16"/>
  <c r="H1031" i="16"/>
  <c r="H1032" i="16"/>
  <c r="H1033" i="16"/>
  <c r="H1034" i="16"/>
  <c r="H1035" i="16"/>
  <c r="H1036" i="16"/>
  <c r="H1037" i="16"/>
  <c r="H1038" i="16"/>
  <c r="H1039" i="16"/>
  <c r="H1040" i="16"/>
  <c r="H1041" i="16"/>
  <c r="H1042" i="16"/>
  <c r="H1043" i="16"/>
  <c r="H1044" i="16"/>
  <c r="H1045" i="16"/>
  <c r="H1046" i="16"/>
  <c r="H1047" i="16"/>
  <c r="H1048" i="16"/>
  <c r="H1049" i="16"/>
  <c r="H1050" i="16"/>
  <c r="H1051" i="16"/>
  <c r="H1052" i="16"/>
  <c r="H1053" i="16"/>
  <c r="H1054" i="16"/>
  <c r="H1055" i="16"/>
  <c r="H1056" i="16"/>
  <c r="H1057" i="16"/>
  <c r="H1058" i="16"/>
  <c r="H1059" i="16"/>
  <c r="H1060" i="16"/>
  <c r="H1061" i="16"/>
  <c r="H1062" i="16"/>
  <c r="H1063" i="16"/>
  <c r="H1064" i="16"/>
  <c r="H1065" i="16"/>
  <c r="H1066" i="16"/>
  <c r="H1067" i="16"/>
  <c r="H1068" i="16"/>
  <c r="H1069" i="16"/>
  <c r="H1070" i="16"/>
  <c r="H1071" i="16"/>
  <c r="H1072" i="16"/>
  <c r="H1073" i="16"/>
  <c r="H1074" i="16"/>
  <c r="H1075" i="16"/>
  <c r="H1076" i="16"/>
  <c r="H1077" i="16"/>
  <c r="H1078" i="16"/>
  <c r="H1079" i="16"/>
  <c r="H1080" i="16"/>
  <c r="H1081" i="16"/>
  <c r="H1082" i="16"/>
  <c r="H1083" i="16"/>
  <c r="H1084" i="16"/>
  <c r="H1085" i="16"/>
  <c r="H1086" i="16"/>
  <c r="H1087" i="16"/>
  <c r="H1088" i="16"/>
  <c r="H1089" i="16"/>
  <c r="H1090" i="16"/>
  <c r="H1091" i="16"/>
  <c r="H1092" i="16"/>
  <c r="H1093" i="16"/>
  <c r="H1094" i="16"/>
  <c r="H1095" i="16"/>
  <c r="H1096" i="16"/>
  <c r="H1097" i="16"/>
  <c r="H1098" i="16"/>
  <c r="H1099" i="16"/>
  <c r="H1100" i="16"/>
  <c r="H1101" i="16"/>
  <c r="H1102" i="16"/>
  <c r="H1103" i="16"/>
  <c r="H1104" i="16"/>
  <c r="H1105" i="16"/>
  <c r="H1106" i="16"/>
  <c r="H1107" i="16"/>
  <c r="H1108" i="16"/>
  <c r="H1109" i="16"/>
  <c r="H1110" i="16"/>
  <c r="H1111" i="16"/>
  <c r="H1112" i="16"/>
  <c r="H1113" i="16"/>
  <c r="H1114" i="16"/>
  <c r="H1115" i="16"/>
  <c r="H1116" i="16"/>
  <c r="H1117" i="16"/>
  <c r="H1118" i="16"/>
  <c r="H1119" i="16"/>
  <c r="H1120" i="16"/>
  <c r="H1121" i="16"/>
  <c r="H1122" i="16"/>
  <c r="H1123" i="16"/>
  <c r="H1124" i="16"/>
  <c r="H1125" i="16"/>
  <c r="H1126" i="16"/>
  <c r="H1127" i="16"/>
  <c r="H1128" i="16"/>
  <c r="H1129" i="16"/>
  <c r="H1130" i="16"/>
  <c r="H1131" i="16"/>
  <c r="H1132" i="16"/>
  <c r="H1133" i="16"/>
  <c r="H1134" i="16"/>
  <c r="H1135" i="16"/>
  <c r="H1136" i="16"/>
  <c r="H1137" i="16"/>
  <c r="H1138" i="16"/>
  <c r="H1139" i="16"/>
  <c r="H1140" i="16"/>
  <c r="H1141" i="16"/>
  <c r="H1142" i="16"/>
  <c r="H1143" i="16"/>
  <c r="H1144" i="16"/>
  <c r="H1145" i="16"/>
  <c r="H1146" i="16"/>
  <c r="H1147" i="16"/>
  <c r="H1148" i="16"/>
  <c r="H1149" i="16"/>
  <c r="H1150" i="16"/>
  <c r="H1151" i="16"/>
  <c r="H1152" i="16"/>
  <c r="H1153" i="16"/>
  <c r="H1154" i="16"/>
  <c r="H1155" i="16"/>
  <c r="H1156" i="16"/>
  <c r="H1157" i="16"/>
  <c r="H1158" i="16"/>
  <c r="H1159" i="16"/>
  <c r="H1160" i="16"/>
  <c r="H1161" i="16"/>
  <c r="H1162" i="16"/>
  <c r="H1163" i="16"/>
  <c r="H1164" i="16"/>
  <c r="H1165" i="16"/>
  <c r="H1166" i="16"/>
  <c r="H1167" i="16"/>
  <c r="H1168" i="16"/>
  <c r="H1169" i="16"/>
  <c r="H1170" i="16"/>
  <c r="H1171" i="16"/>
  <c r="H1172" i="16"/>
  <c r="H1173" i="16"/>
  <c r="H1174" i="16"/>
  <c r="H1175" i="16"/>
  <c r="H1176" i="16"/>
  <c r="H1177" i="16"/>
  <c r="H1178" i="16"/>
  <c r="H1179" i="16"/>
  <c r="H1180" i="16"/>
  <c r="H1181" i="16"/>
  <c r="H1182" i="16"/>
  <c r="H1183" i="16"/>
  <c r="H1184" i="16"/>
  <c r="H1185" i="16"/>
  <c r="H1186" i="16"/>
  <c r="H1187" i="16"/>
  <c r="H1188" i="16"/>
  <c r="H1189" i="16"/>
  <c r="H1190" i="16"/>
  <c r="H1191" i="16"/>
  <c r="H1192" i="16"/>
  <c r="H1193" i="16"/>
  <c r="H1194" i="16"/>
  <c r="H1195" i="16"/>
  <c r="H1196" i="16"/>
  <c r="H1197" i="16"/>
  <c r="H1198" i="16"/>
  <c r="H1199" i="16"/>
  <c r="H1200" i="16"/>
  <c r="H1201" i="16"/>
  <c r="H1202" i="16"/>
  <c r="H1203" i="16"/>
  <c r="H1204" i="16"/>
  <c r="H1205" i="16"/>
  <c r="H1206" i="16"/>
  <c r="H1207" i="16"/>
  <c r="H1208" i="16"/>
  <c r="H1209" i="16"/>
  <c r="H1210" i="16"/>
  <c r="H1211" i="16"/>
  <c r="H1212" i="16"/>
  <c r="H1213" i="16"/>
  <c r="H1214" i="16"/>
  <c r="H1215" i="16"/>
  <c r="H1216" i="16"/>
  <c r="H1217" i="16"/>
  <c r="H1218" i="16"/>
  <c r="H1219" i="16"/>
  <c r="H1220" i="16"/>
  <c r="H1221" i="16"/>
  <c r="H1222" i="16"/>
  <c r="H1223" i="16"/>
  <c r="H1224" i="16"/>
  <c r="H1225" i="16"/>
  <c r="H1226" i="16"/>
  <c r="H1227" i="16"/>
  <c r="H1228" i="16"/>
  <c r="H1229" i="16"/>
  <c r="H1230" i="16"/>
  <c r="H1231" i="16"/>
  <c r="H1232" i="16"/>
  <c r="H1233" i="16"/>
  <c r="H1234" i="16"/>
  <c r="H1235" i="16"/>
  <c r="H1236" i="16"/>
  <c r="H1237" i="16"/>
  <c r="H1238" i="16"/>
  <c r="H1239" i="16"/>
  <c r="H1240" i="16"/>
  <c r="H1241" i="16"/>
  <c r="H1242" i="16"/>
  <c r="H1243" i="16"/>
  <c r="H1244" i="16"/>
  <c r="H1245" i="16"/>
  <c r="H1246" i="16"/>
  <c r="H1247" i="16"/>
  <c r="H1248" i="16"/>
  <c r="H1249" i="16"/>
  <c r="H1250" i="16"/>
  <c r="H1251" i="16"/>
  <c r="H1252" i="16"/>
  <c r="H1253" i="16"/>
  <c r="H1254" i="16"/>
  <c r="H1255" i="16"/>
  <c r="H1256" i="16"/>
  <c r="H1257" i="16"/>
  <c r="H1258" i="16"/>
  <c r="H1259" i="16"/>
  <c r="H1260" i="16"/>
  <c r="H1261" i="16"/>
  <c r="H1262" i="16"/>
  <c r="H1263" i="16"/>
  <c r="H1264" i="16"/>
  <c r="H1265" i="16"/>
  <c r="H1266" i="16"/>
  <c r="H1267" i="16"/>
  <c r="H1268" i="16"/>
  <c r="H1269" i="16"/>
  <c r="H1270" i="16"/>
  <c r="H1271" i="16"/>
  <c r="H1272" i="16"/>
  <c r="H1273" i="16"/>
  <c r="H1274" i="16"/>
  <c r="H1275" i="16"/>
  <c r="H1276" i="16"/>
  <c r="H1277" i="16"/>
  <c r="H1278" i="16"/>
  <c r="H1279" i="16"/>
  <c r="H1280" i="16"/>
  <c r="H1281" i="16"/>
  <c r="H1282" i="16"/>
  <c r="H1283" i="16"/>
  <c r="H1284" i="16"/>
  <c r="H1285" i="16"/>
  <c r="H1286" i="16"/>
  <c r="H1287" i="16"/>
  <c r="H1288" i="16"/>
  <c r="H1289" i="16"/>
  <c r="H1290" i="16"/>
  <c r="H1291" i="16"/>
  <c r="H1292" i="16"/>
  <c r="H1293" i="16"/>
  <c r="H1294" i="16"/>
  <c r="H1295" i="16"/>
  <c r="H1296" i="16"/>
  <c r="H1297" i="16"/>
  <c r="H1298" i="16"/>
  <c r="H1299" i="16"/>
  <c r="H1300" i="16"/>
  <c r="H1301" i="16"/>
  <c r="H1302" i="16"/>
  <c r="H1303" i="16"/>
  <c r="H1304" i="16"/>
  <c r="H1305" i="16"/>
  <c r="H1306" i="16"/>
  <c r="H1307" i="16"/>
  <c r="H1308" i="16"/>
  <c r="H1309" i="16"/>
  <c r="H1310" i="16"/>
  <c r="H1311" i="16"/>
  <c r="H1312" i="16"/>
  <c r="H1313" i="16"/>
  <c r="H1314" i="16"/>
  <c r="H1315" i="16"/>
  <c r="H1316" i="16"/>
  <c r="H1317" i="16"/>
  <c r="H1318" i="16"/>
  <c r="H1319" i="16"/>
  <c r="H1320" i="16"/>
  <c r="H1321" i="16"/>
  <c r="H1322" i="16"/>
  <c r="H1323" i="16"/>
  <c r="H1324" i="16"/>
  <c r="H1325" i="16"/>
  <c r="H1326" i="16"/>
  <c r="H1327" i="16"/>
  <c r="H1328" i="16"/>
  <c r="H1329" i="16"/>
  <c r="H1330" i="16"/>
  <c r="H1331" i="16"/>
  <c r="H1332" i="16"/>
  <c r="H1333" i="16"/>
  <c r="H1334" i="16"/>
  <c r="H1335" i="16"/>
  <c r="H1336" i="16"/>
  <c r="H1337" i="16"/>
  <c r="H1338" i="16"/>
  <c r="H1339" i="16"/>
  <c r="H1340" i="16"/>
  <c r="H1341" i="16"/>
  <c r="H1342" i="16"/>
  <c r="H1343" i="16"/>
  <c r="H1344" i="16"/>
  <c r="H1345" i="16"/>
  <c r="H1346" i="16"/>
  <c r="H1347" i="16"/>
  <c r="H1348" i="16"/>
  <c r="H1349" i="16"/>
  <c r="H1350" i="16"/>
  <c r="H1351" i="16"/>
  <c r="H1352" i="16"/>
  <c r="H1353" i="16"/>
  <c r="H1354" i="16"/>
  <c r="H1355" i="16"/>
  <c r="H1356" i="16"/>
  <c r="H1357" i="16"/>
  <c r="H1358" i="16"/>
  <c r="H1359" i="16"/>
  <c r="H1360" i="16"/>
  <c r="H1361" i="16"/>
  <c r="H1362" i="16"/>
  <c r="H1363" i="16"/>
  <c r="H1364" i="16"/>
  <c r="H1365" i="16"/>
  <c r="H1366" i="16"/>
  <c r="H1367" i="16"/>
  <c r="H1368" i="16"/>
  <c r="H1369" i="16"/>
  <c r="H1370" i="16"/>
  <c r="H1371" i="16"/>
  <c r="H1372" i="16"/>
  <c r="H1373" i="16"/>
  <c r="H1374" i="16"/>
  <c r="H1375" i="16"/>
  <c r="H1376" i="16"/>
  <c r="H1377" i="16"/>
  <c r="H1378" i="16"/>
  <c r="H1379" i="16"/>
  <c r="H1380" i="16"/>
  <c r="H1381" i="16"/>
  <c r="H1382" i="16"/>
  <c r="H1383" i="16"/>
  <c r="H1384" i="16"/>
  <c r="H1385" i="16"/>
  <c r="H1386" i="16"/>
  <c r="H1387" i="16"/>
  <c r="H1388" i="16"/>
  <c r="H1389" i="16"/>
  <c r="H1390" i="16"/>
  <c r="H1391" i="16"/>
  <c r="H1392" i="16"/>
  <c r="H1393" i="16"/>
  <c r="H1394" i="16"/>
  <c r="H1395" i="16"/>
  <c r="H1396" i="16"/>
  <c r="H1397" i="16"/>
  <c r="H1398" i="16"/>
  <c r="H1399" i="16"/>
  <c r="H1400" i="16"/>
  <c r="H1401" i="16"/>
  <c r="H1402" i="16"/>
  <c r="H1403" i="16"/>
  <c r="H1404" i="16"/>
  <c r="H1405" i="16"/>
  <c r="H1406" i="16"/>
  <c r="H1407" i="16"/>
  <c r="H1408" i="16"/>
  <c r="H1409" i="16"/>
  <c r="H1410" i="16"/>
  <c r="H1411" i="16"/>
  <c r="H1412" i="16"/>
  <c r="H1413" i="16"/>
  <c r="H1414" i="16"/>
  <c r="H1415" i="16"/>
  <c r="H1416" i="16"/>
  <c r="H1417" i="16"/>
  <c r="H1418" i="16"/>
  <c r="H1419" i="16"/>
  <c r="H1420" i="16"/>
  <c r="H1421" i="16"/>
  <c r="H1422" i="16"/>
  <c r="H1423" i="16"/>
  <c r="H1424" i="16"/>
  <c r="H1425" i="16"/>
  <c r="H1426" i="16"/>
  <c r="H1427" i="16"/>
  <c r="H1428" i="16"/>
  <c r="H1429" i="16"/>
  <c r="H1430" i="16"/>
  <c r="H1431" i="16"/>
  <c r="H1432" i="16"/>
  <c r="H1433" i="16"/>
  <c r="H1434" i="16"/>
  <c r="H1435" i="16"/>
  <c r="H1436" i="16"/>
  <c r="H1437" i="16"/>
  <c r="H1438" i="16"/>
  <c r="H1439" i="16"/>
  <c r="H1440" i="16"/>
  <c r="H1441" i="16"/>
  <c r="H1442" i="16"/>
  <c r="H1443" i="16"/>
  <c r="H1444" i="16"/>
  <c r="H1445" i="16"/>
  <c r="H1446" i="16"/>
  <c r="H1447" i="16"/>
  <c r="H1448" i="16"/>
  <c r="H1449" i="16"/>
  <c r="H1450" i="16"/>
  <c r="H1451" i="16"/>
  <c r="H1452" i="16"/>
  <c r="H1453" i="16"/>
  <c r="H1454" i="16"/>
  <c r="H1455" i="16"/>
  <c r="H1456" i="16"/>
  <c r="H1457" i="16"/>
  <c r="H1458" i="16"/>
  <c r="H1459" i="16"/>
  <c r="H1460" i="16"/>
  <c r="H1461" i="16"/>
  <c r="H1462" i="16"/>
  <c r="H1463" i="16"/>
  <c r="H1464" i="16"/>
  <c r="H1465" i="16"/>
  <c r="H1466" i="16"/>
  <c r="H1467" i="16"/>
  <c r="H1468" i="16"/>
  <c r="H1469" i="16"/>
  <c r="H1470" i="16"/>
  <c r="H1471" i="16"/>
  <c r="H1472" i="16"/>
  <c r="H1473" i="16"/>
  <c r="H1474" i="16"/>
  <c r="H1475" i="16"/>
  <c r="H1476" i="16"/>
  <c r="H1477" i="16"/>
  <c r="H1478" i="16"/>
  <c r="H1479" i="16"/>
  <c r="H1480" i="16"/>
  <c r="H1481" i="16"/>
  <c r="H1482" i="16"/>
  <c r="H1483" i="16"/>
  <c r="H1484" i="16"/>
  <c r="H1485" i="16"/>
  <c r="H1486" i="16"/>
  <c r="H1487" i="16"/>
  <c r="H1488" i="16"/>
  <c r="H1489" i="16"/>
  <c r="H1490" i="16"/>
  <c r="H1491" i="16"/>
  <c r="H1492" i="16"/>
  <c r="H1493" i="16"/>
  <c r="H1494" i="16"/>
  <c r="H1495" i="16"/>
  <c r="H1496" i="16"/>
  <c r="H1497" i="16"/>
  <c r="H1498" i="16"/>
  <c r="H1499" i="16"/>
  <c r="H1500" i="16"/>
  <c r="H1501" i="16"/>
  <c r="H1502" i="16"/>
  <c r="H1503" i="16"/>
  <c r="H1504" i="16"/>
  <c r="H1505" i="16"/>
  <c r="H1506" i="16"/>
  <c r="H1507" i="16"/>
  <c r="H1508" i="16"/>
  <c r="H1509" i="16"/>
  <c r="H1510" i="16"/>
  <c r="H1511" i="16"/>
  <c r="H1512" i="16"/>
  <c r="H1513" i="16"/>
  <c r="H1514" i="16"/>
  <c r="H1515" i="16"/>
  <c r="H1516" i="16"/>
  <c r="H1517" i="16"/>
  <c r="H1518" i="16"/>
  <c r="H1519" i="16"/>
  <c r="H1520" i="16"/>
  <c r="H1521" i="16"/>
  <c r="H1522" i="16"/>
  <c r="H1523" i="16"/>
  <c r="H1524" i="16"/>
  <c r="H1525" i="16"/>
  <c r="H1526" i="16"/>
  <c r="H1527" i="16"/>
  <c r="H1528" i="16"/>
  <c r="H1529" i="16"/>
  <c r="H1530" i="16"/>
  <c r="H1531" i="16"/>
  <c r="H1532" i="16"/>
  <c r="H1533" i="16"/>
  <c r="H1534" i="16"/>
  <c r="H1535" i="16"/>
  <c r="H1536" i="16"/>
  <c r="H1537" i="16"/>
  <c r="H1538" i="16"/>
  <c r="H1539" i="16"/>
  <c r="H1540" i="16"/>
  <c r="H1541" i="16"/>
  <c r="H1542" i="16"/>
  <c r="H1543" i="16"/>
  <c r="H1544" i="16"/>
  <c r="H1545" i="16"/>
  <c r="H1546" i="16"/>
  <c r="H1547" i="16"/>
  <c r="H1548" i="16"/>
  <c r="H1549" i="16"/>
  <c r="H1550" i="16"/>
  <c r="H1551" i="16"/>
  <c r="H1552" i="16"/>
  <c r="H1553" i="16"/>
  <c r="H1554" i="16"/>
  <c r="H1555" i="16"/>
  <c r="H1556" i="16"/>
  <c r="H1557" i="16"/>
  <c r="H1558" i="16"/>
  <c r="H1559" i="16"/>
  <c r="H1560" i="16"/>
  <c r="H1561" i="16"/>
  <c r="H1562" i="16"/>
  <c r="H1563" i="16"/>
  <c r="H1564" i="16"/>
  <c r="H1565" i="16"/>
  <c r="H1566" i="16"/>
  <c r="H1567" i="16"/>
  <c r="H1568" i="16"/>
  <c r="H1569" i="16"/>
  <c r="H1570" i="16"/>
  <c r="H1571" i="16"/>
  <c r="H1572" i="16"/>
  <c r="H1573" i="16"/>
  <c r="H1574" i="16"/>
  <c r="H1575" i="16"/>
  <c r="H1576" i="16"/>
  <c r="H1577" i="16"/>
  <c r="H1578" i="16"/>
  <c r="H1579" i="16"/>
  <c r="H1580" i="16"/>
  <c r="H1581" i="16"/>
  <c r="H1582" i="16"/>
  <c r="H1583" i="16"/>
  <c r="H1584" i="16"/>
  <c r="H1585" i="16"/>
  <c r="H1586" i="16"/>
  <c r="H1587" i="16"/>
  <c r="H1588" i="16"/>
  <c r="H1589" i="16"/>
  <c r="H1590" i="16"/>
  <c r="H1591" i="16"/>
  <c r="H1592" i="16"/>
  <c r="H1593" i="16"/>
  <c r="H1594" i="16"/>
  <c r="H1595" i="16"/>
  <c r="H1596" i="16"/>
  <c r="H1597" i="16"/>
  <c r="H1598" i="16"/>
  <c r="H1599" i="16"/>
  <c r="H1600" i="16"/>
  <c r="H1601" i="16"/>
  <c r="H1602" i="16"/>
  <c r="H1603" i="16"/>
  <c r="H1604" i="16"/>
  <c r="H1605" i="16"/>
  <c r="H1606" i="16"/>
  <c r="H1607" i="16"/>
  <c r="H1608" i="16"/>
  <c r="H1609" i="16"/>
  <c r="H1610" i="16"/>
  <c r="H1611" i="16"/>
  <c r="H1612" i="16"/>
  <c r="H1613" i="16"/>
  <c r="H1614" i="16"/>
  <c r="H1615" i="16"/>
  <c r="H1616" i="16"/>
  <c r="H1617" i="16"/>
  <c r="H1618" i="16"/>
  <c r="H1619" i="16"/>
  <c r="H1620" i="16"/>
  <c r="H1621" i="16"/>
  <c r="H1622" i="16"/>
  <c r="H1623" i="16"/>
  <c r="H1624" i="16"/>
  <c r="H1625" i="16"/>
  <c r="H1626" i="16"/>
  <c r="H1627" i="16"/>
  <c r="H1628" i="16"/>
  <c r="H1629" i="16"/>
  <c r="H1630" i="16"/>
  <c r="H1631" i="16"/>
  <c r="H1632" i="16"/>
  <c r="H1633" i="16"/>
  <c r="H1634" i="16"/>
  <c r="H1635" i="16"/>
  <c r="H1636" i="16"/>
  <c r="H1637" i="16"/>
  <c r="H1638" i="16"/>
  <c r="H1639" i="16"/>
  <c r="H1640" i="16"/>
  <c r="H1641" i="16"/>
  <c r="H1642" i="16"/>
  <c r="H1643" i="16"/>
  <c r="H1644" i="16"/>
  <c r="H1645" i="16"/>
  <c r="H1646" i="16"/>
  <c r="H1647" i="16"/>
  <c r="H1648" i="16"/>
  <c r="H1649" i="16"/>
  <c r="H1650" i="16"/>
  <c r="H1651" i="16"/>
  <c r="H1652" i="16"/>
  <c r="H1653" i="16"/>
  <c r="H1654" i="16"/>
  <c r="H1655" i="16"/>
  <c r="H1656" i="16"/>
  <c r="H1657" i="16"/>
  <c r="H1658" i="16"/>
  <c r="H1659" i="16"/>
  <c r="H1660" i="16"/>
  <c r="H1661" i="16"/>
  <c r="H1662" i="16"/>
  <c r="H1663" i="16"/>
  <c r="H1664" i="16"/>
  <c r="H1665" i="16"/>
  <c r="H1666" i="16"/>
  <c r="H1667" i="16"/>
  <c r="H1668" i="16"/>
  <c r="H1669" i="16"/>
  <c r="H1670" i="16"/>
  <c r="H1671" i="16"/>
  <c r="H1672" i="16"/>
  <c r="H1673" i="16"/>
  <c r="H1674" i="16"/>
  <c r="H1675" i="16"/>
  <c r="H1676" i="16"/>
  <c r="H1677" i="16"/>
  <c r="H1678" i="16"/>
  <c r="H1679" i="16"/>
  <c r="H1680" i="16"/>
  <c r="H1681" i="16"/>
  <c r="H1682" i="16"/>
  <c r="H1683" i="16"/>
  <c r="H1684" i="16"/>
  <c r="H1685" i="16"/>
  <c r="H1686" i="16"/>
  <c r="H1687" i="16"/>
  <c r="H1688" i="16"/>
  <c r="H1689" i="16"/>
  <c r="H1690" i="16"/>
  <c r="H1691" i="16"/>
  <c r="H1692" i="16"/>
  <c r="H1693" i="16"/>
  <c r="H1694" i="16"/>
  <c r="H1695" i="16"/>
  <c r="H1696" i="16"/>
  <c r="H1697" i="16"/>
  <c r="H1698" i="16"/>
  <c r="H1699" i="16"/>
  <c r="H1700" i="16"/>
  <c r="H1701" i="16"/>
  <c r="H1702" i="16"/>
  <c r="H1703" i="16"/>
  <c r="H1704" i="16"/>
  <c r="H1705" i="16"/>
  <c r="H1706" i="16"/>
  <c r="H1707" i="16"/>
  <c r="H1708" i="16"/>
  <c r="H1709" i="16"/>
  <c r="H1710" i="16"/>
  <c r="H1711" i="16"/>
  <c r="H1712" i="16"/>
  <c r="H1713" i="16"/>
  <c r="H1714" i="16"/>
  <c r="H1715" i="16"/>
  <c r="H1716" i="16"/>
  <c r="H1717" i="16"/>
  <c r="H1718" i="16"/>
  <c r="H1719" i="16"/>
  <c r="H1720" i="16"/>
  <c r="H1721" i="16"/>
  <c r="H1722" i="16"/>
  <c r="H1723" i="16"/>
  <c r="H1724" i="16"/>
  <c r="H1725" i="16"/>
  <c r="H1726" i="16"/>
  <c r="H1727" i="16"/>
  <c r="H1728" i="16"/>
  <c r="H1729" i="16"/>
  <c r="H1730" i="16"/>
  <c r="H1731" i="16"/>
  <c r="H1732" i="16"/>
  <c r="H1733" i="16"/>
  <c r="H1734" i="16"/>
  <c r="H1735" i="16"/>
  <c r="H1736" i="16"/>
  <c r="H1737" i="16"/>
  <c r="H1738" i="16"/>
  <c r="H1739" i="16"/>
  <c r="H1740" i="16"/>
  <c r="H1741" i="16"/>
  <c r="H1742" i="16"/>
  <c r="H1743" i="16"/>
  <c r="H1744" i="16"/>
  <c r="H1745" i="16"/>
  <c r="H1746" i="16"/>
  <c r="H1747" i="16"/>
  <c r="H1748" i="16"/>
  <c r="H1749" i="16"/>
  <c r="H1750" i="16"/>
  <c r="H1751" i="16"/>
  <c r="H1752" i="16"/>
  <c r="H1753" i="16"/>
  <c r="H1754" i="16"/>
  <c r="H1755" i="16"/>
  <c r="H1756" i="16"/>
  <c r="H1757" i="16"/>
  <c r="H1758" i="16"/>
  <c r="H1759" i="16"/>
  <c r="H1760" i="16"/>
  <c r="H1761" i="16"/>
  <c r="H1762" i="16"/>
  <c r="H1763" i="16"/>
  <c r="H1764" i="16"/>
  <c r="H1765" i="16"/>
  <c r="H1766" i="16"/>
  <c r="H1767" i="16"/>
  <c r="H1768" i="16"/>
  <c r="H1769" i="16"/>
  <c r="H1770" i="16"/>
  <c r="H1771" i="16"/>
  <c r="H1772" i="16"/>
  <c r="H1773" i="16"/>
  <c r="H1774" i="16"/>
  <c r="H1775" i="16"/>
  <c r="H1776" i="16"/>
  <c r="H1777" i="16"/>
  <c r="H1778" i="16"/>
  <c r="H1779" i="16"/>
  <c r="H1780" i="16"/>
  <c r="H1781" i="16"/>
  <c r="H1782" i="16"/>
  <c r="H1783" i="16"/>
  <c r="H1784" i="16"/>
  <c r="H1785" i="16"/>
  <c r="H1786" i="16"/>
  <c r="H1787" i="16"/>
  <c r="H1788" i="16"/>
  <c r="H1789" i="16"/>
  <c r="H1790" i="16"/>
  <c r="H1791" i="16"/>
  <c r="H1792" i="16"/>
  <c r="H1793" i="16"/>
  <c r="H1794" i="16"/>
  <c r="H1795" i="16"/>
  <c r="H1796" i="16"/>
  <c r="H1797" i="16"/>
  <c r="H1798" i="16"/>
  <c r="H1799" i="16"/>
  <c r="H1800" i="16"/>
  <c r="H1801" i="16"/>
  <c r="H1802" i="16"/>
  <c r="H1803" i="16"/>
  <c r="H1804" i="16"/>
  <c r="H1805" i="16"/>
  <c r="H1806" i="16"/>
  <c r="H1807" i="16"/>
  <c r="H1808" i="16"/>
  <c r="H1809" i="16"/>
  <c r="H1810" i="16"/>
  <c r="H1811" i="16"/>
  <c r="H1812" i="16"/>
  <c r="H1813" i="16"/>
  <c r="H1814" i="16"/>
  <c r="H1815" i="16"/>
  <c r="H1816" i="16"/>
  <c r="H1817" i="16"/>
  <c r="H1818" i="16"/>
  <c r="H1819" i="16"/>
  <c r="H1820" i="16"/>
  <c r="H1821" i="16"/>
  <c r="H1822" i="16"/>
  <c r="H1823" i="16"/>
  <c r="H1824" i="16"/>
  <c r="H1825" i="16"/>
  <c r="H1826" i="16"/>
  <c r="H1827" i="16"/>
  <c r="H1828" i="16"/>
  <c r="H1829" i="16"/>
  <c r="H1830" i="16"/>
  <c r="H1831" i="16"/>
  <c r="H1832" i="16"/>
  <c r="H1833" i="16"/>
  <c r="H1834" i="16"/>
  <c r="H1835" i="16"/>
  <c r="H1836" i="16"/>
  <c r="H1837" i="16"/>
  <c r="H1838" i="16"/>
  <c r="H1839" i="16"/>
  <c r="H1840" i="16"/>
  <c r="H1841" i="16"/>
  <c r="H1842" i="16"/>
  <c r="H1843" i="16"/>
  <c r="H1844" i="16"/>
  <c r="H1845" i="16"/>
  <c r="H1846" i="16"/>
  <c r="H1847" i="16"/>
  <c r="H1848" i="16"/>
  <c r="H1849" i="16"/>
  <c r="H1850" i="16"/>
  <c r="H1851" i="16"/>
  <c r="H1852" i="16"/>
  <c r="H1853" i="16"/>
  <c r="H1854" i="16"/>
  <c r="H1855" i="16"/>
  <c r="H1856" i="16"/>
  <c r="H1857" i="16"/>
  <c r="H1858" i="16"/>
  <c r="H1859" i="16"/>
  <c r="H1860" i="16"/>
  <c r="H1861" i="16"/>
  <c r="H1862" i="16"/>
  <c r="H1863" i="16"/>
  <c r="H1864" i="16"/>
  <c r="H1865" i="16"/>
  <c r="H1866" i="16"/>
  <c r="H1867" i="16"/>
  <c r="H1868" i="16"/>
  <c r="H1869" i="16"/>
  <c r="H1870" i="16"/>
  <c r="H1871" i="16"/>
  <c r="H1872" i="16"/>
  <c r="H1873" i="16"/>
  <c r="H1874" i="16"/>
  <c r="H1875" i="16"/>
  <c r="H1876" i="16"/>
  <c r="H1877" i="16"/>
  <c r="H1878" i="16"/>
  <c r="H1879" i="16"/>
  <c r="H1880" i="16"/>
  <c r="H1881" i="16"/>
  <c r="H1882" i="16"/>
  <c r="H1883" i="16"/>
  <c r="H1884" i="16"/>
  <c r="H1885" i="16"/>
  <c r="H1886" i="16"/>
  <c r="H1887" i="16"/>
  <c r="H1888" i="16"/>
  <c r="H1889" i="16"/>
  <c r="H1890" i="16"/>
  <c r="H1891" i="16"/>
  <c r="H1892" i="16"/>
  <c r="H1893" i="16"/>
  <c r="H1894" i="16"/>
  <c r="H1895" i="16"/>
  <c r="H1896" i="16"/>
  <c r="H1897" i="16"/>
  <c r="H1898" i="16"/>
  <c r="H1899" i="16"/>
  <c r="H1900" i="16"/>
  <c r="H1901" i="16"/>
  <c r="H1902" i="16"/>
  <c r="H1903" i="16"/>
  <c r="H1904" i="16"/>
  <c r="H1905" i="16"/>
  <c r="H1906" i="16"/>
  <c r="H1907" i="16"/>
  <c r="H1908" i="16"/>
  <c r="H1909" i="16"/>
  <c r="H1910" i="16"/>
  <c r="H1911" i="16"/>
  <c r="H1912" i="16"/>
  <c r="H1913" i="16"/>
  <c r="H1914" i="16"/>
  <c r="H1915" i="16"/>
  <c r="H1916" i="16"/>
  <c r="H1917" i="16"/>
  <c r="H1918" i="16"/>
  <c r="H1919" i="16"/>
  <c r="H1920" i="16"/>
  <c r="H1921" i="16"/>
  <c r="H1922" i="16"/>
  <c r="H1923" i="16"/>
  <c r="H1924" i="16"/>
  <c r="H1925" i="16"/>
  <c r="H1926" i="16"/>
  <c r="H1927" i="16"/>
  <c r="H1928" i="16"/>
  <c r="H1929" i="16"/>
  <c r="H1930" i="16"/>
  <c r="H1931" i="16"/>
  <c r="H1932" i="16"/>
  <c r="H1933" i="16"/>
  <c r="H1934" i="16"/>
  <c r="H1935" i="16"/>
  <c r="H1936" i="16"/>
  <c r="H1937" i="16"/>
  <c r="H1938" i="16"/>
  <c r="H1939" i="16"/>
  <c r="H1940" i="16"/>
  <c r="H1941" i="16"/>
  <c r="H1942" i="16"/>
  <c r="H1943" i="16"/>
  <c r="H1944" i="16"/>
  <c r="H1945" i="16"/>
  <c r="H1946" i="16"/>
  <c r="H1947" i="16"/>
  <c r="H1948" i="16"/>
  <c r="H1949" i="16"/>
  <c r="H1950" i="16"/>
  <c r="H1951" i="16"/>
  <c r="H1952" i="16"/>
  <c r="H1953" i="16"/>
  <c r="H1954" i="16"/>
  <c r="H1955" i="16"/>
  <c r="H1956" i="16"/>
  <c r="H1957" i="16"/>
  <c r="H1958" i="16"/>
  <c r="H1959" i="16"/>
  <c r="H1960" i="16"/>
  <c r="H1961" i="16"/>
  <c r="H1962" i="16"/>
  <c r="H1963" i="16"/>
  <c r="H1964" i="16"/>
  <c r="H1965" i="16"/>
  <c r="H1966" i="16"/>
  <c r="H1967" i="16"/>
  <c r="H1968" i="16"/>
  <c r="H1969" i="16"/>
  <c r="H1970" i="16"/>
  <c r="H1971" i="16"/>
  <c r="H1972" i="16"/>
  <c r="H1973" i="16"/>
  <c r="H1974" i="16"/>
  <c r="H1975" i="16"/>
  <c r="H1976" i="16"/>
  <c r="H1977" i="16"/>
  <c r="H1978" i="16"/>
  <c r="H1979" i="16"/>
  <c r="H1980" i="16"/>
  <c r="H1981" i="16"/>
  <c r="H1982" i="16"/>
  <c r="H1983" i="16"/>
  <c r="H1984" i="16"/>
  <c r="H1985" i="16"/>
  <c r="H1986" i="16"/>
  <c r="H1987" i="16"/>
  <c r="H1988" i="16"/>
  <c r="H1989" i="16"/>
  <c r="H1990" i="16"/>
  <c r="H1991" i="16"/>
  <c r="H1992" i="16"/>
  <c r="H1993" i="16"/>
  <c r="H1994" i="16"/>
  <c r="H1995" i="16"/>
  <c r="H1996" i="16"/>
  <c r="H1997" i="16"/>
  <c r="H1998" i="16"/>
  <c r="H1999" i="16"/>
  <c r="H2000" i="16"/>
  <c r="H2001" i="16"/>
  <c r="H2002" i="16"/>
  <c r="H2003" i="16"/>
  <c r="H2004" i="16"/>
  <c r="H2005" i="16"/>
  <c r="H2006" i="16"/>
  <c r="H2007" i="16"/>
  <c r="H2008" i="16"/>
  <c r="H2009" i="16"/>
  <c r="H2010" i="16"/>
  <c r="H2011" i="16"/>
  <c r="H2012" i="16"/>
  <c r="H2013" i="16"/>
  <c r="H2014" i="16"/>
  <c r="H2015" i="16"/>
  <c r="H2016" i="16"/>
  <c r="H2017" i="16"/>
  <c r="H2018" i="16"/>
  <c r="H2019" i="16"/>
  <c r="H2020" i="16"/>
  <c r="H2021" i="16"/>
  <c r="H2022" i="16"/>
  <c r="H2023" i="16"/>
  <c r="H2024" i="16"/>
  <c r="H2025" i="16"/>
  <c r="H2026" i="16"/>
  <c r="H2027" i="16"/>
  <c r="H2028" i="16"/>
  <c r="H2029" i="16"/>
  <c r="H2030" i="16"/>
  <c r="H2031" i="16"/>
  <c r="H2032" i="16"/>
  <c r="H2033" i="16"/>
  <c r="H2034" i="16"/>
  <c r="H2035" i="16"/>
  <c r="H2036" i="16"/>
  <c r="H2037" i="16"/>
  <c r="H2038" i="16"/>
  <c r="H2039" i="16"/>
  <c r="H2040" i="16"/>
  <c r="H2041" i="16"/>
  <c r="H2042" i="16"/>
  <c r="H2043" i="16"/>
  <c r="H2044" i="16"/>
  <c r="H2045" i="16"/>
  <c r="H2046" i="16"/>
  <c r="H2047" i="16"/>
  <c r="H2048" i="16"/>
  <c r="H2049" i="16"/>
  <c r="H2050" i="16"/>
  <c r="H2051" i="16"/>
  <c r="H2052" i="16"/>
  <c r="H2053" i="16"/>
  <c r="H2054" i="16"/>
  <c r="H2055" i="16"/>
  <c r="H2056" i="16"/>
  <c r="H2057" i="16"/>
  <c r="H2058" i="16"/>
  <c r="H2059" i="16"/>
  <c r="H2060" i="16"/>
  <c r="H2061" i="16"/>
  <c r="H2062" i="16"/>
  <c r="H2063" i="16"/>
  <c r="H2064" i="16"/>
  <c r="H2065" i="16"/>
  <c r="H2066" i="16"/>
  <c r="H2067" i="16"/>
  <c r="H2068" i="16"/>
  <c r="H2069" i="16"/>
  <c r="H2070" i="16"/>
  <c r="H2071" i="16"/>
  <c r="H2072" i="16"/>
  <c r="H2073" i="16"/>
  <c r="H2074" i="16"/>
  <c r="H2075" i="16"/>
  <c r="H2076" i="16"/>
  <c r="H2077" i="16"/>
  <c r="H2078" i="16"/>
  <c r="H2079" i="16"/>
  <c r="H2080" i="16"/>
  <c r="H2081" i="16"/>
  <c r="H2082" i="16"/>
  <c r="H2083" i="16"/>
  <c r="H2084" i="16"/>
  <c r="H2085" i="16"/>
  <c r="H2086" i="16"/>
  <c r="H2087" i="16"/>
  <c r="H2088" i="16"/>
  <c r="H2089" i="16"/>
  <c r="H2090" i="16"/>
  <c r="H2091" i="16"/>
  <c r="H2092" i="16"/>
  <c r="H2093" i="16"/>
  <c r="H2094" i="16"/>
  <c r="H2095" i="16"/>
  <c r="H2096" i="16"/>
  <c r="H2097" i="16"/>
  <c r="H2098" i="16"/>
  <c r="H2099" i="16"/>
  <c r="H2100" i="16"/>
  <c r="H2101" i="16"/>
  <c r="H2102" i="16"/>
  <c r="H2103" i="16"/>
  <c r="H2104" i="16"/>
  <c r="H2105" i="16"/>
  <c r="H2106" i="16"/>
  <c r="H2107" i="16"/>
  <c r="H2108" i="16"/>
  <c r="H2109" i="16"/>
  <c r="H2110" i="16"/>
  <c r="H2111" i="16"/>
  <c r="H2112" i="16"/>
  <c r="H2113" i="16"/>
  <c r="H2114" i="16"/>
  <c r="H2115" i="16"/>
  <c r="H2116" i="16"/>
  <c r="H2117" i="16"/>
  <c r="H2118" i="16"/>
  <c r="H2119" i="16"/>
  <c r="H2120" i="16"/>
  <c r="H2" i="16"/>
  <c r="I4" i="17"/>
  <c r="J4" i="17" s="1"/>
  <c r="I5" i="17"/>
  <c r="J5" i="17" s="1"/>
  <c r="I6" i="17"/>
  <c r="J6" i="17" s="1"/>
  <c r="I7" i="17"/>
  <c r="J7" i="17" s="1"/>
  <c r="I8" i="17"/>
  <c r="J8" i="17" s="1"/>
  <c r="I9" i="17"/>
  <c r="J9" i="17" s="1"/>
  <c r="I10" i="17"/>
  <c r="J10" i="17" s="1"/>
  <c r="I11" i="17"/>
  <c r="J11" i="17" s="1"/>
  <c r="I3" i="17"/>
  <c r="J3" i="17" s="1"/>
  <c r="C4" i="17"/>
  <c r="D4" i="17" s="1"/>
  <c r="C5" i="17"/>
  <c r="D5" i="17" s="1"/>
  <c r="C6" i="17"/>
  <c r="D6" i="17" s="1"/>
  <c r="C7" i="17"/>
  <c r="D7" i="17" s="1"/>
  <c r="C8" i="17"/>
  <c r="D8" i="17" s="1"/>
  <c r="C9" i="17"/>
  <c r="D9" i="17" s="1"/>
  <c r="C10" i="17"/>
  <c r="D10" i="17" s="1"/>
  <c r="C11" i="17"/>
  <c r="D11" i="17" s="1"/>
  <c r="C3" i="17"/>
  <c r="D3" i="17" s="1"/>
</calcChain>
</file>

<file path=xl/sharedStrings.xml><?xml version="1.0" encoding="utf-8"?>
<sst xmlns="http://schemas.openxmlformats.org/spreadsheetml/2006/main" count="4907" uniqueCount="597">
  <si>
    <t>employer_code</t>
  </si>
  <si>
    <t>Achievement School Districts</t>
  </si>
  <si>
    <t>Alamo City Schools</t>
  </si>
  <si>
    <t>Alcoa City Schools</t>
  </si>
  <si>
    <t>Anderson County Schools</t>
  </si>
  <si>
    <t>Arlington Municipal Schools</t>
  </si>
  <si>
    <t>Arrow Academy</t>
  </si>
  <si>
    <t>Athens City Schools</t>
  </si>
  <si>
    <t>Aurora Collegiate Academy Inc.</t>
  </si>
  <si>
    <t>Bartlett Municipal Schools</t>
  </si>
  <si>
    <t>Bedford County Schools</t>
  </si>
  <si>
    <t>Bells City Schools</t>
  </si>
  <si>
    <t>Benton County Schools</t>
  </si>
  <si>
    <t>Bledsoe County Schools</t>
  </si>
  <si>
    <t>Blount County Schools</t>
  </si>
  <si>
    <t>Bradford Special Schools</t>
  </si>
  <si>
    <t>Bradley County Schools</t>
  </si>
  <si>
    <t>Bristol Schools</t>
  </si>
  <si>
    <t>Cameron College Prep</t>
  </si>
  <si>
    <t>Campbell County Schools</t>
  </si>
  <si>
    <t>Cannon County Schools</t>
  </si>
  <si>
    <t>Carter County Schools</t>
  </si>
  <si>
    <t>Chattanooga Girls Leadership</t>
  </si>
  <si>
    <t>Cheatham County Schools</t>
  </si>
  <si>
    <t>Chester County Schools</t>
  </si>
  <si>
    <t>Circles Of Success Learning Academy</t>
  </si>
  <si>
    <t>Claiborne County Schools</t>
  </si>
  <si>
    <t>Clay County Schools</t>
  </si>
  <si>
    <t>Cleveland City Schools</t>
  </si>
  <si>
    <t>Clinch Powell Ed Coop</t>
  </si>
  <si>
    <t>Clinton City Schools</t>
  </si>
  <si>
    <t>Cocke County Schools</t>
  </si>
  <si>
    <t>Coffee County Schools</t>
  </si>
  <si>
    <t>Collierville Municipal Schools</t>
  </si>
  <si>
    <t>Crockett County Schools</t>
  </si>
  <si>
    <t>Cumberland County Schools</t>
  </si>
  <si>
    <t>Davidson County Schools</t>
  </si>
  <si>
    <t>Dayton City Schools</t>
  </si>
  <si>
    <t>Decatur County Schools</t>
  </si>
  <si>
    <t>Dekalb County Schools</t>
  </si>
  <si>
    <t>Dickson County Board Of Education</t>
  </si>
  <si>
    <t>Dyer County Schools</t>
  </si>
  <si>
    <t>Dyersburg City Schools</t>
  </si>
  <si>
    <t>Elizabethton City Schools</t>
  </si>
  <si>
    <t>Emerald Charter School</t>
  </si>
  <si>
    <t>Etowah City Schools</t>
  </si>
  <si>
    <t>Explore Community School</t>
  </si>
  <si>
    <t>Fayette County Schools</t>
  </si>
  <si>
    <t>Fayetteville City Schools</t>
  </si>
  <si>
    <t>Fentress County Schools</t>
  </si>
  <si>
    <t>Franklin County Schools</t>
  </si>
  <si>
    <t>Germantown Municipal Schools</t>
  </si>
  <si>
    <t>Gibson County Schools</t>
  </si>
  <si>
    <t>Giles County Schools</t>
  </si>
  <si>
    <t>Goodwill Excel Center</t>
  </si>
  <si>
    <t>Grainger County Schools</t>
  </si>
  <si>
    <t>Greene County Schools</t>
  </si>
  <si>
    <t>Greeneville City Schools</t>
  </si>
  <si>
    <t>Grundy County Schools</t>
  </si>
  <si>
    <t>Hamblen County Schools</t>
  </si>
  <si>
    <t>Hamilton County Schools</t>
  </si>
  <si>
    <t>Hancock County Schools</t>
  </si>
  <si>
    <t>Hardeman County Schools</t>
  </si>
  <si>
    <t>Hardin County Schools</t>
  </si>
  <si>
    <t>Hartsville Trousdale County Schools</t>
  </si>
  <si>
    <t>Hawkins County Schools</t>
  </si>
  <si>
    <t>Haywood County Schools</t>
  </si>
  <si>
    <t>Henderson County Schools</t>
  </si>
  <si>
    <t>Henry County Schools</t>
  </si>
  <si>
    <t>Hickman County Schools</t>
  </si>
  <si>
    <t>Houston County Schools</t>
  </si>
  <si>
    <t>Humboldt City Schools</t>
  </si>
  <si>
    <t>Humphreys County Schools</t>
  </si>
  <si>
    <t>Huntingdon City Schools</t>
  </si>
  <si>
    <t>Intrepid College Preparatory</t>
  </si>
  <si>
    <t>Ivy Leadership Academy</t>
  </si>
  <si>
    <t>Jackson County Schools</t>
  </si>
  <si>
    <t>Jackson Madison Co Bd Of Ed</t>
  </si>
  <si>
    <t>Jefferson County Schools</t>
  </si>
  <si>
    <t>Johnson City Schools</t>
  </si>
  <si>
    <t>Johnson County Schools</t>
  </si>
  <si>
    <t>Kingsport City Schools</t>
  </si>
  <si>
    <t>Kipp Memphis Collegiate Elementary</t>
  </si>
  <si>
    <t>Kipp Memphis Collegiate High</t>
  </si>
  <si>
    <t>Kipp Memphis Collegiate Middle</t>
  </si>
  <si>
    <t>Kipp Nashville Schools</t>
  </si>
  <si>
    <t>Knowledge Academies</t>
  </si>
  <si>
    <t>Knox County Schools</t>
  </si>
  <si>
    <t>Lake County Schools</t>
  </si>
  <si>
    <t>Lakeland Municipal Schools</t>
  </si>
  <si>
    <t>Lauderdale County Schools</t>
  </si>
  <si>
    <t>Lawrence County Schools</t>
  </si>
  <si>
    <t>Leadership Preparatory</t>
  </si>
  <si>
    <t>Lebanon Spec Sch Dst</t>
  </si>
  <si>
    <t>Lenoir City Schools</t>
  </si>
  <si>
    <t>Lewis County Schools</t>
  </si>
  <si>
    <t>Lexington City Schools</t>
  </si>
  <si>
    <t>Liberty Collegiate</t>
  </si>
  <si>
    <t>Lincoln County Schools</t>
  </si>
  <si>
    <t>Little TN Valley Ed Coop</t>
  </si>
  <si>
    <t>Loudon County Schools</t>
  </si>
  <si>
    <t>Macon County Board Of Education</t>
  </si>
  <si>
    <t>Manchester City Schools</t>
  </si>
  <si>
    <t>Marion County Schools</t>
  </si>
  <si>
    <t>Marshall County Schools</t>
  </si>
  <si>
    <t>Martha O Bryan</t>
  </si>
  <si>
    <t>Maryville City Schools</t>
  </si>
  <si>
    <t>Maury County Schools</t>
  </si>
  <si>
    <t>Mckenzie City Schools</t>
  </si>
  <si>
    <t>Mcminn County Schools</t>
  </si>
  <si>
    <t>Mcnairy County Schools</t>
  </si>
  <si>
    <t>Meigs County Schools</t>
  </si>
  <si>
    <t>Memphis Grizzlies Prep</t>
  </si>
  <si>
    <t>Memphis Rise Academy</t>
  </si>
  <si>
    <t>Memphis School Of Excellence</t>
  </si>
  <si>
    <t>Milan Special Sch Dist</t>
  </si>
  <si>
    <t>Millington Municipal Schools</t>
  </si>
  <si>
    <t>Monroe County Board Of Education</t>
  </si>
  <si>
    <t>Montgomery County Schools</t>
  </si>
  <si>
    <t>Moore County Schools</t>
  </si>
  <si>
    <t>Morgan County Schools</t>
  </si>
  <si>
    <t>Murfreesboro City Schools</t>
  </si>
  <si>
    <t>Nashville Classical</t>
  </si>
  <si>
    <t>Nashville Preparatory Academy</t>
  </si>
  <si>
    <t>New Vision Academy</t>
  </si>
  <si>
    <t>Newport City Schools</t>
  </si>
  <si>
    <t>Oak Ridge City Schools</t>
  </si>
  <si>
    <t>Obion County Schools</t>
  </si>
  <si>
    <t>Oneida Special Schools District</t>
  </si>
  <si>
    <t>Overton County Schools</t>
  </si>
  <si>
    <t>Paris City Schools</t>
  </si>
  <si>
    <t>Perry County Schools</t>
  </si>
  <si>
    <t>Pickett County Schools</t>
  </si>
  <si>
    <t>Polk County Schools</t>
  </si>
  <si>
    <t>Power Center Academy High School</t>
  </si>
  <si>
    <t>Power Center Academy Middle School</t>
  </si>
  <si>
    <t>Project Reflect Inc</t>
  </si>
  <si>
    <t>Promise Academy</t>
  </si>
  <si>
    <t>Purpose Preparatory Academy</t>
  </si>
  <si>
    <t>Putnam County Schools</t>
  </si>
  <si>
    <t>Republic Schools</t>
  </si>
  <si>
    <t>Rhea County Schools</t>
  </si>
  <si>
    <t>Richard City Schools</t>
  </si>
  <si>
    <t>Roane County Schools</t>
  </si>
  <si>
    <t>Robertson County Schools</t>
  </si>
  <si>
    <t>Rocketship</t>
  </si>
  <si>
    <t>Rogersville City Schools</t>
  </si>
  <si>
    <t>Rutherford County Schools</t>
  </si>
  <si>
    <t>Scott County Schools</t>
  </si>
  <si>
    <t>Sequatchie County Schools</t>
  </si>
  <si>
    <t>Sevier County Schools</t>
  </si>
  <si>
    <t>Shelby Co Bd Of Ed Teachers</t>
  </si>
  <si>
    <t>Smith County Schools</t>
  </si>
  <si>
    <t>Soulsville Charter School</t>
  </si>
  <si>
    <t>Star Academy</t>
  </si>
  <si>
    <t>Stem Preparatory</t>
  </si>
  <si>
    <t>Stewart County Schools</t>
  </si>
  <si>
    <t>Strive Collegiate Academy</t>
  </si>
  <si>
    <t>Sullivan County Schools</t>
  </si>
  <si>
    <t>Sumner County Schools</t>
  </si>
  <si>
    <t>Sweetwater City Schools</t>
  </si>
  <si>
    <t>Tipton County Schools</t>
  </si>
  <si>
    <t>Trenton Special Schools</t>
  </si>
  <si>
    <t>Tullahoma City Schools</t>
  </si>
  <si>
    <t>Unicoi County Schools</t>
  </si>
  <si>
    <t>Union City Schools</t>
  </si>
  <si>
    <t>Union County Schools</t>
  </si>
  <si>
    <t>Valor Collegiate Academy</t>
  </si>
  <si>
    <t>Van Buren County Schools</t>
  </si>
  <si>
    <t>Vision Prep</t>
  </si>
  <si>
    <t>Warren County Schools</t>
  </si>
  <si>
    <t>Washington County Schools</t>
  </si>
  <si>
    <t>Wayne County Schools</t>
  </si>
  <si>
    <t>Weakley County Schools</t>
  </si>
  <si>
    <t>White County Schools</t>
  </si>
  <si>
    <t>Williamson County Schools</t>
  </si>
  <si>
    <t>Wilson County Schools</t>
  </si>
  <si>
    <t>employer_name</t>
  </si>
  <si>
    <t>Chattanooga Charter School Of Excellence</t>
  </si>
  <si>
    <t>City University School Boys Preparatory</t>
  </si>
  <si>
    <t>City University School Of Liberal Arts</t>
  </si>
  <si>
    <t>Franklin Special City School District</t>
  </si>
  <si>
    <t>Freedom Prep Charter School‐ Shelby Co Teachers</t>
  </si>
  <si>
    <t>Granville T Woods Academy Of Innovation Charter School</t>
  </si>
  <si>
    <t>Hollow Rock Bruceton Special School Dist</t>
  </si>
  <si>
    <t>Kipp Schools‐Kipp Memphis Academy Middle</t>
  </si>
  <si>
    <t>Memphis Academy Of Health Sciences (MAHS) High</t>
  </si>
  <si>
    <t>Memphis Academy Of Health Sciences Middle School</t>
  </si>
  <si>
    <t>Memphis Academy Of Science And Engineering</t>
  </si>
  <si>
    <t>Memphis Business Academy Elementary School</t>
  </si>
  <si>
    <t>Memphis Business Academy High School</t>
  </si>
  <si>
    <t>Memphis Business Academy Middle School</t>
  </si>
  <si>
    <t>Memphis College Preparatory Elementary School</t>
  </si>
  <si>
    <t>Nashville Academy Of Computer Science</t>
  </si>
  <si>
    <t>New Consortium Of Law And Business‐Bartlett</t>
  </si>
  <si>
    <t>Omni Prep Academy ‐ North Pointe Lower School</t>
  </si>
  <si>
    <t>Omni Prep Academy ‐ North Pointe Middle School</t>
  </si>
  <si>
    <t>Power Center Academy Elementary School</t>
  </si>
  <si>
    <t>South Carroll County Special School Dist</t>
  </si>
  <si>
    <t>Southern Avenue Charter Elementary School</t>
  </si>
  <si>
    <t>Southern Avenue Charter Middle School</t>
  </si>
  <si>
    <t>Veritas College Preparatory Charter School</t>
  </si>
  <si>
    <t>W.E.B. Dubois Charter‐Elementary School Of Arts And Technology</t>
  </si>
  <si>
    <t>W.E.B. Dubois‐Elementary School Of Entrepreneurship</t>
  </si>
  <si>
    <t>W.E.B. Dubois‐High School Of Arts And Technology</t>
  </si>
  <si>
    <t>W.E.B. Dubois‐High School Of Leadership And Public Policy</t>
  </si>
  <si>
    <t>W.E.B. Dubois‐Middle School Of Arts And Technology</t>
  </si>
  <si>
    <t>West Carroll Special School District</t>
  </si>
  <si>
    <t>ACHIEVEMENT SCHOOL DISTRICTS</t>
  </si>
  <si>
    <t>ALAMO CITY SCHOOLS</t>
  </si>
  <si>
    <t>ALCOA CITY SCHOOLS</t>
  </si>
  <si>
    <t>ANDERSON COUNTY SCHOOLS</t>
  </si>
  <si>
    <t>ARLINGTON MUNICIPAL SCHOOLS</t>
  </si>
  <si>
    <t>ARROW ACADEMY</t>
  </si>
  <si>
    <t>ASD-ASPIRE PUBLIC SCHOOLS</t>
  </si>
  <si>
    <t>ASD-CAPSTONE EDUCATION</t>
  </si>
  <si>
    <t>ASD-FRAYSER COMMUNITY SCHOOLS</t>
  </si>
  <si>
    <t>ASD-FREEDOM PREPARATORY SCHOOLS - ASD TEACHERS</t>
  </si>
  <si>
    <t>ASD-GESTALT CHARTER SCHOOLS</t>
  </si>
  <si>
    <t>ASD-GRAD ACADEMY</t>
  </si>
  <si>
    <t>ASD-GREEN DOT PUBLIC SCHOOLS</t>
  </si>
  <si>
    <t>ASD-KIPP MEMPHIS COLLEGIATE SCHOOLS</t>
  </si>
  <si>
    <t>ASD-LEAD CHARTER SCHOOLS</t>
  </si>
  <si>
    <t>ASD-LIBERTAS SCHOOLS OF MEMPHIS</t>
  </si>
  <si>
    <t>ASD-PATHWAYS IN EDUCATION</t>
  </si>
  <si>
    <t>ASD-PROMISE ACADEMY (ASD}</t>
  </si>
  <si>
    <t>ASD-SCHOLAR ACADEMIES</t>
  </si>
  <si>
    <t>ASPIRE PUBLIC SCHOOLS-CHARTER SCHOOL</t>
  </si>
  <si>
    <t>ATHENS CITY SCHOOLS</t>
  </si>
  <si>
    <t>AURORA COLLEGIATE ACADEMY INC.</t>
  </si>
  <si>
    <t>BARTLETT MUNICIPAL SCHOOLS</t>
  </si>
  <si>
    <t>BEDFORD COUNTY SCHOOLS</t>
  </si>
  <si>
    <t>BELLS CITY SCHOOLS</t>
  </si>
  <si>
    <t>BENTON COUNTY SCHOOLS</t>
  </si>
  <si>
    <t>BLEDSOE COUNTY SCHOOLS</t>
  </si>
  <si>
    <t>BLOUNT COUNTY SCHOOLS</t>
  </si>
  <si>
    <t>BRADFORD SPECIAL SCHOOLS</t>
  </si>
  <si>
    <t>BRADLEY COUNTY SCHOOLS</t>
  </si>
  <si>
    <t>BRISTOL SCHOOLS</t>
  </si>
  <si>
    <t>CAMERON COLLEGE PREP</t>
  </si>
  <si>
    <t>CAMPBELL COUNTY SCHOOLS</t>
  </si>
  <si>
    <t>CANNON COUNTY SCHOOLS</t>
  </si>
  <si>
    <t>CARROLL COUNTY SCHOOLS</t>
  </si>
  <si>
    <t>CARTER COUNTY SCHOOLS</t>
  </si>
  <si>
    <t>CHATTANOOGA CHARTER SCHOOL OF EXCELLENCE - ELEMENTARY</t>
  </si>
  <si>
    <t>CHATTANOOGA GIRLS LEADERSHIP</t>
  </si>
  <si>
    <t>CHEATHAM COUNTY SCHOOLS</t>
  </si>
  <si>
    <t>CHESTER COUNTY SCHOOLS</t>
  </si>
  <si>
    <t>CIRCLES OF SUCCESS LEARNING ACADEMY</t>
  </si>
  <si>
    <t>CITY UNIVERSITY SCHOOL BOYS PREPARATORY</t>
  </si>
  <si>
    <t>CITY UNIVERSITY SCHOOL GIRLS PREPARATORY</t>
  </si>
  <si>
    <t>CITY UNIVERSITY SCHOOL OF LIBERAL ARTS</t>
  </si>
  <si>
    <t>CLAIBORNE COUNTY SCHOOLS</t>
  </si>
  <si>
    <t>CLAY COUNTY SCHOOLS</t>
  </si>
  <si>
    <t>CLEVELAND CITY SCHOOLS</t>
  </si>
  <si>
    <t>CLINCH POWELL ED COOP</t>
  </si>
  <si>
    <t>CLINTON CITY SCHOOLS</t>
  </si>
  <si>
    <t>COCKE COUNTY SCHOOLS</t>
  </si>
  <si>
    <t>COFFEE COUNTY SCHOOLS</t>
  </si>
  <si>
    <t>COLLIERVILLE MUNICIPAL SCHOOLS</t>
  </si>
  <si>
    <t>CROCKETT COUNTY SCHOOLS</t>
  </si>
  <si>
    <t>CUMBERLAND COUNTY SCHOOLS</t>
  </si>
  <si>
    <t>DAVIDSON COUNTY SCHOOLS</t>
  </si>
  <si>
    <t>DAYTON CITY SCHOOLS</t>
  </si>
  <si>
    <t>DECATUR COUNTY SCHOOLS</t>
  </si>
  <si>
    <t>DEKALB COUNTY SCHOOLS</t>
  </si>
  <si>
    <t>DICKSON COUNTY BOARD OF EDUCATION</t>
  </si>
  <si>
    <t>DYER COUNTY SCHOOLS</t>
  </si>
  <si>
    <t>DYERSBURG CITY SCHOOLS</t>
  </si>
  <si>
    <t>ELIZABETHTON CITY SCHOOLS</t>
  </si>
  <si>
    <t>EMERALD CHARTER SCHOOL</t>
  </si>
  <si>
    <t>ETOWAH CITY SCHOOLS</t>
  </si>
  <si>
    <t>EXPLORE COMMUNITY SCHOOL</t>
  </si>
  <si>
    <t>FAYETTE COUNTY SCHOOLS</t>
  </si>
  <si>
    <t>FAYETTEVILLE CITY SCHOOLS</t>
  </si>
  <si>
    <t>FENTRESS COUNTY SCHOOLS</t>
  </si>
  <si>
    <t>FRANKLIN COUNTY SCHOOLS</t>
  </si>
  <si>
    <t>FRANKLIN SPECIAL CITY SCHOOL DISTRICT</t>
  </si>
  <si>
    <t>FREEDOM PREP CHARTER SCHOOL- SHELBY CO TEACHERS</t>
  </si>
  <si>
    <t>GERMANTOWN MUNICIPAL SCHOOLS</t>
  </si>
  <si>
    <t>GESTALT COMMUNITY SCHOOLS</t>
  </si>
  <si>
    <t>GIBSON COUNTY SCHOOLS</t>
  </si>
  <si>
    <t>GILES COUNTY SCHOOLS</t>
  </si>
  <si>
    <t>GOODWILL EXCEL CENTER</t>
  </si>
  <si>
    <t>GRAINGER COUNTY SCHOOLS</t>
  </si>
  <si>
    <t>GRANVILLE T WOODS ACADEMY OF INNOVATION CHARTER SCHOOL</t>
  </si>
  <si>
    <t>GREENE COUNTY SCHOOLS</t>
  </si>
  <si>
    <t>GREENEVILLE CITY SCHOOLS</t>
  </si>
  <si>
    <t>GRUNDY COUNTY SCHOOLS</t>
  </si>
  <si>
    <t>HAMBLEN COUNTY SCHOOLS</t>
  </si>
  <si>
    <t>HAMILTON COUNTY SCHOOLS</t>
  </si>
  <si>
    <t>HANCOCK COUNTY SCHOOLS</t>
  </si>
  <si>
    <t>HARDEMAN COUNTY SCHOOLS</t>
  </si>
  <si>
    <t>HARDIN COUNTY SCHOOLS</t>
  </si>
  <si>
    <t>HARTSVILLE TROUSDALE COUNTY SCHOOLS</t>
  </si>
  <si>
    <t>HAWKINS COUNTY SCHOOLS</t>
  </si>
  <si>
    <t>HAYWOOD COUNTY SCHOOLS</t>
  </si>
  <si>
    <t>HENDERSON COUNTY SCHOOLS</t>
  </si>
  <si>
    <t>HENRY COUNTY SCHOOLS</t>
  </si>
  <si>
    <t>HICKMAN COUNTY SCHOOLS</t>
  </si>
  <si>
    <t>HOLLOW ROCK BRUCETON SPECIAL SCHOOL DIST</t>
  </si>
  <si>
    <t>HOUSTON COUNTY SCHOOLS</t>
  </si>
  <si>
    <t>HUMBOLDT CITY SCHOOLS</t>
  </si>
  <si>
    <t>HUMPHREYS COUNTY SCHOOLS</t>
  </si>
  <si>
    <t>HUNTINGDON CITY SCHOOLS</t>
  </si>
  <si>
    <t>INTREPID COLLEGE PREPARATORY</t>
  </si>
  <si>
    <t>IVY LEADERSHIP ACADEMY</t>
  </si>
  <si>
    <t>JACKSON COUNTY SCHOOLS</t>
  </si>
  <si>
    <t>JACKSON MADISON CO BD OF ED</t>
  </si>
  <si>
    <t>JEFFERSON COUNTY SCHOOLS</t>
  </si>
  <si>
    <t>JOHNSON CITY SCHOOLS</t>
  </si>
  <si>
    <t>JOHNSON COUNTY SCHOOLS</t>
  </si>
  <si>
    <t>KINGSPORT CITY SCHOOLS</t>
  </si>
  <si>
    <t>KIPP MEMPHIS COLLEGIATE ELEMENTARY</t>
  </si>
  <si>
    <t>KIPP MEMPHIS COLLEGIATE HIGH</t>
  </si>
  <si>
    <t>KIPP MEMPHIS COLLEGIATE MIDDLE</t>
  </si>
  <si>
    <t>KIPP NASHVILLE SCHOOLS</t>
  </si>
  <si>
    <t>KIPP SCHOOLS-KIPP MEMPHIS ACADEMY MIDDLE</t>
  </si>
  <si>
    <t>KNOWLEDGE ACADEMIES</t>
  </si>
  <si>
    <t>KNOX COUNTY SCHOOLS</t>
  </si>
  <si>
    <t>LAKE COUNTY SCHOOLS</t>
  </si>
  <si>
    <t>LAKELAND MUNICIPAL SCHOOLS</t>
  </si>
  <si>
    <t>LAUDERDALE COUNTY SCHOOLS</t>
  </si>
  <si>
    <t>LAWRENCE COUNTY SCHOOLS</t>
  </si>
  <si>
    <t>LEADERSHIP PREPARATORY</t>
  </si>
  <si>
    <t>LEBANON SPEC SCH DST</t>
  </si>
  <si>
    <t>LENOIR CITY SCHOOLS</t>
  </si>
  <si>
    <t>LEWIS COUNTY SCHOOLS</t>
  </si>
  <si>
    <t>LEXINGTON CITY SCHOOLS</t>
  </si>
  <si>
    <t>LIBERTY COLLEGIATE</t>
  </si>
  <si>
    <t>LINCOLN COUNTY SCHOOLS</t>
  </si>
  <si>
    <t>LITTLE TN VALLEY ED COOP</t>
  </si>
  <si>
    <t>LOUDON COUNTY SCHOOLS</t>
  </si>
  <si>
    <t>MACON COUNTY BOARD OF EDUCATION</t>
  </si>
  <si>
    <t>MANCHESTER CITY SCHOOLS</t>
  </si>
  <si>
    <t>MARION COUNTY SCHOOLS</t>
  </si>
  <si>
    <t>MARSHALL COUNTY SCHOOLS</t>
  </si>
  <si>
    <t>MARTHA OBRYAN</t>
  </si>
  <si>
    <t>MARYVILLE CITY SCHOOLS</t>
  </si>
  <si>
    <t>MAURY COUNTY SCHOOLS</t>
  </si>
  <si>
    <t>MCKENZIE CITY SCHOOLS</t>
  </si>
  <si>
    <t>MCMINN COUNTY SCHOOLS</t>
  </si>
  <si>
    <t>MCNAIRY COUNTY SCHOOLS</t>
  </si>
  <si>
    <t>MEIGS COUNTY SCHOOLS</t>
  </si>
  <si>
    <t>MEMPHIS ACADEMY OF HEALTH SCIENCES (MAHS) HIGH</t>
  </si>
  <si>
    <t>MEMPHIS ACADEMY OF HEALTH SCIENCES MIDDLE SCHOOL</t>
  </si>
  <si>
    <t>MEMPHIS ACADEMY OF SCIENCE AND ENGINEERING</t>
  </si>
  <si>
    <t>MEMPHIS BUSINESS ACADEMY ELEMENTARY SCHOOL</t>
  </si>
  <si>
    <t>MEMPHIS BUSINESS ACADEMY HIGH SCHOOL</t>
  </si>
  <si>
    <t>MEMPHIS BUSINESS ACADEMY MIDDLE SCHOOL</t>
  </si>
  <si>
    <t>MEMPHIS COLLEGE PREPARATORY ELEMENTARY SCHOOL</t>
  </si>
  <si>
    <t>MEMPHIS DELTA PREPARATORY CHARTER SCHOOL</t>
  </si>
  <si>
    <t>MEMPHIS GRIZZLIES PREP</t>
  </si>
  <si>
    <t>MEMPHIS RISE ACADEMY</t>
  </si>
  <si>
    <t>MEMPHIS SCHOOL OF EXCELLENCE</t>
  </si>
  <si>
    <t>MEMPHIS STEM ACADEMY CHARTER SCHOOL</t>
  </si>
  <si>
    <t>MILAN SPECIAL SCH DIST</t>
  </si>
  <si>
    <t>MILLINGTON MUNICIPAL SCHOOLS</t>
  </si>
  <si>
    <t>MONROE COUNTY BOARD OF EDUCATION</t>
  </si>
  <si>
    <t>MONTGOMERY COUNTY SCHOOLS</t>
  </si>
  <si>
    <t>MOORE COUNTY SCHOOLS</t>
  </si>
  <si>
    <t>MORGAN COUNTY SCHOOLS</t>
  </si>
  <si>
    <t>MURFREESBORO CITY SCHOOLS</t>
  </si>
  <si>
    <t>NASHVILLE ACADEMY OF COMPUTER SCIENCE</t>
  </si>
  <si>
    <t>NASHVILLE CLASSICAL</t>
  </si>
  <si>
    <t>NASHVILLE PREPARATORY ACADEMY</t>
  </si>
  <si>
    <t>NEW CONSORTIUM OF LAW AND BUSINESS-BARTLETT</t>
  </si>
  <si>
    <t>NEW VISION ACADEMY</t>
  </si>
  <si>
    <t>NEWPORT CITY SCHOOLS</t>
  </si>
  <si>
    <t>NEXUS STEM ACADEMY MIDDLE SCHOOL CHARTER</t>
  </si>
  <si>
    <t>OAK RIDGE CITY SCHOOLS</t>
  </si>
  <si>
    <t>OBION COUNTY SCHOOLS</t>
  </si>
  <si>
    <t>OMNI PREP ACADEMY - NORTH POINTE LOWER SCHOOL</t>
  </si>
  <si>
    <t>OMNI PREP ACADEMY - NORTH POINTE MIDDLE SCHOOL</t>
  </si>
  <si>
    <t>ONEIDA SPECIAL SCHOOLS DISTRICT</t>
  </si>
  <si>
    <t>OVERTON COUNTY SCHOOLS</t>
  </si>
  <si>
    <t>PARIS CITY SCHOOLS</t>
  </si>
  <si>
    <t>PERRY COUNTY SCHOOLS</t>
  </si>
  <si>
    <t>PICKETT COUNTY SCHOOLS</t>
  </si>
  <si>
    <t>POLK COUNTY SCHOOLS</t>
  </si>
  <si>
    <t>POWER CENTER ACADEMY ELEMENTARY SCHOOL</t>
  </si>
  <si>
    <t>POWER CENTER ACADEMY MIDDLE SCHOOL</t>
  </si>
  <si>
    <t>PROJECT REFLECT INC</t>
  </si>
  <si>
    <t>PROMISE ACADEMY</t>
  </si>
  <si>
    <t>PURPOSE PREPARATORY ACADEMY</t>
  </si>
  <si>
    <t>PUTNAM COUNTY SCHOOLS</t>
  </si>
  <si>
    <t>REPUBLIC SCHOOLS</t>
  </si>
  <si>
    <t>RHEA COUNTY SCHOOLS</t>
  </si>
  <si>
    <t>RICHARD CITY SCHOOLS</t>
  </si>
  <si>
    <t>ROANE COUNTY SCHOOLS</t>
  </si>
  <si>
    <t>ROBERTSON COUNTY SCHOOLS</t>
  </si>
  <si>
    <t>ROCKETSHIP</t>
  </si>
  <si>
    <t>ROGERSVILLE CITY SCHOOLS</t>
  </si>
  <si>
    <t>RUTHERFORD COUNTY SCHOOLS</t>
  </si>
  <si>
    <t>SCOTT COUNTY SCHOOLS</t>
  </si>
  <si>
    <t>SEQUATCHIE COUNTY SCHOOLS</t>
  </si>
  <si>
    <t>SEVIER COUNTY SCHOOLS</t>
  </si>
  <si>
    <t>SHELBY CO BD OF ED TEACHERS</t>
  </si>
  <si>
    <t>SMITH COUNTY SCHOOLS</t>
  </si>
  <si>
    <t>SOULSVILLE CHARTER SCHOOL</t>
  </si>
  <si>
    <t>SOUTH CARROLL COUNTY SPECIAL SCHOOL DIST</t>
  </si>
  <si>
    <t>SOUTHERN AVENUE CHARTER ELEMENTARY SCHOOL</t>
  </si>
  <si>
    <t>SOUTHERN AVENUE CHARTER MIDDLE SCHOOL</t>
  </si>
  <si>
    <t>STAR ACADEMY</t>
  </si>
  <si>
    <t>STEM PREPARATORY</t>
  </si>
  <si>
    <t>STEWART COUNTY SCHOOLS</t>
  </si>
  <si>
    <t>STRIVE COLLEGIATE ACADEMY</t>
  </si>
  <si>
    <t>SULLIVAN COUNTY SCHOOLS</t>
  </si>
  <si>
    <t>SUMNER COUNTY SCHOOLS</t>
  </si>
  <si>
    <t>SWEETWATER CITY SCHOOLS</t>
  </si>
  <si>
    <t>TIPTON COUNTY SCHOOLS</t>
  </si>
  <si>
    <t>TRENTON SPECIAL SCHOOLS</t>
  </si>
  <si>
    <t>TULLAHOMA CITY SCHOOLS</t>
  </si>
  <si>
    <t>UNICOI COUNTY SCHOOLS</t>
  </si>
  <si>
    <t>UNION CITY SCHOOLS</t>
  </si>
  <si>
    <t>UNION COUNTY SCHOOLS</t>
  </si>
  <si>
    <t>VALOR COLLEGIATE ACADEMY</t>
  </si>
  <si>
    <t>VAN BUREN COUNTY SCHOOLS</t>
  </si>
  <si>
    <t>VERITAS COLLEGE PREPARATORY CHARTER SCHOOL</t>
  </si>
  <si>
    <t>VISION PREP</t>
  </si>
  <si>
    <t>W.E.B. DU BOIS CONSORTIUM OF CHARTER SCHOOLS</t>
  </si>
  <si>
    <t>W.E.B. DUBOIS-ELEMENTARY SCHOOL OF ENTREPRENEURSHIP</t>
  </si>
  <si>
    <t>W.E.B. DUBOIS-HIGH SCHOOL OF ARTS AND TECHNOLOGY</t>
  </si>
  <si>
    <t>W.E.B. DUBOIS-HIGH SCHOOL OF LEADERSHIP AND PUBLIC POLICY</t>
  </si>
  <si>
    <t>W.E.B. DUBOIS-MIDDLE SCHOOL OF ARTS AND TECHNOLOGY</t>
  </si>
  <si>
    <t>WARREN COUNTY SCHOOLS</t>
  </si>
  <si>
    <t>WASHINGTON COUNTY SCHOOLS</t>
  </si>
  <si>
    <t>WAYNE COUNTY SCHOOLS</t>
  </si>
  <si>
    <t>WEAKLEY COUNTY SCHOOLS</t>
  </si>
  <si>
    <t>WEST CARROLL SPECIAL SCHOOL DISTRICT</t>
  </si>
  <si>
    <t>WHITE COUNTY SCHOOLS</t>
  </si>
  <si>
    <t>WILLIAMSON COUNTY SCHOOLS</t>
  </si>
  <si>
    <t>WILSON COUNTY SCHOOLS</t>
  </si>
  <si>
    <t>Artesian Schools, Inc</t>
  </si>
  <si>
    <t>ASD-Aspire Public Schools</t>
  </si>
  <si>
    <t>ASD-Capstone Education</t>
  </si>
  <si>
    <t>ASD-Frayser Community Schools</t>
  </si>
  <si>
    <t>ASD-Freedom Preparatory Schools - ASD Teachers</t>
  </si>
  <si>
    <t>ASD-Gestalt Charter Schools</t>
  </si>
  <si>
    <t>ASD-Grad Academy</t>
  </si>
  <si>
    <t>ASD-Green Dot Public Schools</t>
  </si>
  <si>
    <t>JASO-Kipp Memphis Collegiate Schools</t>
  </si>
  <si>
    <t>ASD-Lead Charter Schools</t>
  </si>
  <si>
    <t>ASD-Libertas Schools Of Memphis</t>
  </si>
  <si>
    <t>ASD-Pathways In Education</t>
  </si>
  <si>
    <t>ASD-Promise Academy (ASD)</t>
  </si>
  <si>
    <t>Aspire Public Schools-Charter School</t>
  </si>
  <si>
    <t>Believe Memphis Academy</t>
  </si>
  <si>
    <t>Bluff City High School</t>
  </si>
  <si>
    <t>Carroll County Schools</t>
  </si>
  <si>
    <t>Chattanooga Charter School Of Excellence - Elementary</t>
  </si>
  <si>
    <t>Chattanooga Charter School Of Excellence - Middle</t>
  </si>
  <si>
    <t>Chattanooga Preparatory School</t>
  </si>
  <si>
    <t>Kaleidoscope School Of Memphis</t>
  </si>
  <si>
    <t>Kipp Schools-Kipp Memphis Academy Middle</t>
  </si>
  <si>
    <t>LEAD: MNPS</t>
  </si>
  <si>
    <t>City University School Girls Preparatory</t>
  </si>
  <si>
    <t>Crosstown High School</t>
  </si>
  <si>
    <t>DeKalb County Schools</t>
  </si>
  <si>
    <t>Freedom Prep Charter School- Shelby Co Teachers</t>
  </si>
  <si>
    <t>Gateway University</t>
  </si>
  <si>
    <t>Gestalt Community Schools</t>
  </si>
  <si>
    <t>Legacy Leadership Academy</t>
  </si>
  <si>
    <t>Little Tn Valley Ed Coop</t>
  </si>
  <si>
    <t>Macon County Board·Of Education</t>
  </si>
  <si>
    <t>Memphis Delta Preparatory Charter School</t>
  </si>
  <si>
    <t>Memphis STEM Academy Charter School</t>
  </si>
  <si>
    <t>New Consortium Of Law And Business-Bartlett</t>
  </si>
  <si>
    <t>Nexus STEM Academy Middle School Charter</t>
  </si>
  <si>
    <t>Omni Prep Academy - North Pointe Lower School</t>
  </si>
  <si>
    <t>Omni Prep Academy - North Pointe Middle School</t>
  </si>
  <si>
    <t>Perea Elementary</t>
  </si>
  <si>
    <t>STEM Preparatory</t>
  </si>
  <si>
    <t>Tennessee Scholar Academies - Memphis Scholars</t>
  </si>
  <si>
    <t>W.E.B. Du Bois Consortium Of Charter Schools</t>
  </si>
  <si>
    <t>W.E.B. Dubois-Elementary School Of Entrepreneurship</t>
  </si>
  <si>
    <t>W.E.B. Dubois-High School Of Arts And Technology</t>
  </si>
  <si>
    <t>W.E.B. Dubois-High School Of Leadership And Public Policy</t>
  </si>
  <si>
    <t>W.E.B. Dubois-Middle School Of Arts And Technology</t>
  </si>
  <si>
    <t>-</t>
  </si>
  <si>
    <t>ARTESIAN SCHOOLS, INC</t>
  </si>
  <si>
    <t>ASD-PROMISE ACADEMY (ASD)</t>
  </si>
  <si>
    <t>BELIEVE MEMPHIS ACADEMY</t>
  </si>
  <si>
    <t>BLUFF CITY HIGH SCHOOL</t>
  </si>
  <si>
    <t>CHATTANOOGA PREPARATORY SCHOOL</t>
  </si>
  <si>
    <t>CROSSTOWN HIGH SCHOOL</t>
  </si>
  <si>
    <t>GATEWAY UNIVERSITY</t>
  </si>
  <si>
    <t>KALEIDOSCOPE SCHOOL OF MEMPHIS</t>
  </si>
  <si>
    <t>KIPP ANTIOCH COLLEGE PREP ELEMENTARY</t>
  </si>
  <si>
    <t>KIPP Nashville Schools</t>
  </si>
  <si>
    <t>LEGACY LEADERSHIP ACADEMY</t>
  </si>
  <si>
    <t>MARTHA O BRYAN</t>
  </si>
  <si>
    <t>PEREA ELEMENTARY</t>
  </si>
  <si>
    <t>Project Reflect INC</t>
  </si>
  <si>
    <t>TENNESSEE SCHOLAR ACADEMIES - MEMPHIS SCHOLARS</t>
  </si>
  <si>
    <t>W.E.B. DUBOIS-ELEMENTARY SCHOOL OF ENTREPRENEURSHI</t>
  </si>
  <si>
    <t>ASTER COLLEGE PREPARATORY, INC</t>
  </si>
  <si>
    <t>CHATTANOOGA CHARTER SCHOOL OF EXCELLENCE - MIDDLE</t>
  </si>
  <si>
    <t>COMPASS SCHOOLS</t>
  </si>
  <si>
    <t>KIPP ANTIOCH COLLEGE PREP MIDDLE</t>
  </si>
  <si>
    <t>MEMPHIS MERIT ACADEMY, INC</t>
  </si>
  <si>
    <t>BEACON COLLEGE PREP</t>
  </si>
  <si>
    <t>MONTESSORI ELEMENTARY @ HIGHLAND PARK</t>
  </si>
  <si>
    <t>IVY ACADEMY'S SKILLERN ELEMENTARY</t>
  </si>
  <si>
    <t>NASHVILLE COLLEGIATE PREP</t>
  </si>
  <si>
    <t>ASD‐LEAD CHARTER SCHOOLS</t>
  </si>
  <si>
    <t>ASD‐GESTALT CHARTER SCHOOLS</t>
  </si>
  <si>
    <t>ASD‐ASPIRE PUBLIC SCHOOLS</t>
  </si>
  <si>
    <t>ASD‐CAPSTONE EDUCATION</t>
  </si>
  <si>
    <t>ASD‐KIPP MEMPHIS COLLEGIATE SCHOOLS</t>
  </si>
  <si>
    <t>ASD‐GRAD ACADEMY</t>
  </si>
  <si>
    <t>ASD‐FRAYSER COMMUNITY SCHOOLS</t>
  </si>
  <si>
    <t>ASD‐FREEDOM PREPARATORY SCHOOLS ‐ ASD TEACHERS</t>
  </si>
  <si>
    <t>ASD‐GREEN DOT PUBLIC SCHOOLS</t>
  </si>
  <si>
    <t>ASD‐PROMISE ACADEMY (ASD)</t>
  </si>
  <si>
    <t>ASD‐PATHWAYS IN EDUCATION</t>
  </si>
  <si>
    <t>TENNESSEE SCHOLAR ACADEMIES ‐ MEMPHIS SCHOLARS</t>
  </si>
  <si>
    <t>ASD‐LIBERTAS SCHOOLS OF MEMPHIS</t>
  </si>
  <si>
    <t>TENNESSEE NATURE ACADEMY</t>
  </si>
  <si>
    <t>CHATTANOOGA CHARTER SCHOOL OF EXCELLENCE ‐ ELEMENTARY</t>
  </si>
  <si>
    <t>CHATTANOOGA CHARTER SCHOOL OF EXCELLENCE ‐ MIDDLE</t>
  </si>
  <si>
    <t>CHATTANOOGA SCHOOL OF EXCELLENCE‐HB W/CC HIGH</t>
  </si>
  <si>
    <t>W.E.B. DUBOIS‐ELEMENTARY SCHOOL OF ENTREPRENEURSHIP</t>
  </si>
  <si>
    <t>W.E.B. DUBOIS‐HIGH SCHOOL OF ARTS AND TECHNOLOGY</t>
  </si>
  <si>
    <t>W.E.B. DUBOIS‐MIDDLE SCHOOL OF ARTS AND TECHNOLOGY</t>
  </si>
  <si>
    <t>W.E.B. DUBOIS‐HIGH SCHOOL OF LEADERSHIP AND PUBLIC POLICY</t>
  </si>
  <si>
    <t>FREEDOM PREP CHARTER SCHOOL‐ SHELBY CO TEACHERS</t>
  </si>
  <si>
    <t>KIPP SCHOOLS‐KIPP MEMPHIS ACADEMY MIDDLE</t>
  </si>
  <si>
    <t>NEW CONSORTIUM OF LAW AND BUSINESS‐BARTLETT</t>
  </si>
  <si>
    <t>OMNI PREP ACADEMY ‐ NORTH POINTE LOWER SCHOOL</t>
  </si>
  <si>
    <t>OMNI PREP ACADEMY ‐ NORTH POINTE MIDDLE SCHOOL</t>
  </si>
  <si>
    <t>ASPIRE PUBLIC SCHOOLS‐CHARTER SCHOOL</t>
  </si>
  <si>
    <t>AVENTURA COMMUNITY SCHOOLS</t>
  </si>
  <si>
    <t>ASD‐Aspire Public Schools</t>
  </si>
  <si>
    <t>ASD‐Capstone Education</t>
  </si>
  <si>
    <t>ASD‐Frayser Community Schools</t>
  </si>
  <si>
    <t>ASD‐Freedom Preparatory Schools ‐ ASD Teachers</t>
  </si>
  <si>
    <t>ASD‐Gestalt Charter Schools</t>
  </si>
  <si>
    <t>ASD‐Grad Academy</t>
  </si>
  <si>
    <t>ASD‐Green Dot Public Schools</t>
  </si>
  <si>
    <t>ASD‐Kipp Memphis Collegiate Schools</t>
  </si>
  <si>
    <t>ASD‐Lead Charter Schools</t>
  </si>
  <si>
    <t>ASD‐Libertas Schools Of Memphis</t>
  </si>
  <si>
    <t>ASD‐Pathways In Education</t>
  </si>
  <si>
    <t>ASD‐Promise Academy (ASD)</t>
  </si>
  <si>
    <t>ASD‐Scholar Academies</t>
  </si>
  <si>
    <t>Davidson Co Charter Schools</t>
  </si>
  <si>
    <t>Hamilton County Charter Schools</t>
  </si>
  <si>
    <t>Memphis City Charter Schools Teacher</t>
  </si>
  <si>
    <t>W.E.B. Dubois Charter-Elementary School Of Arts And Technology</t>
  </si>
  <si>
    <t>MEMPHIS CITY CHARTER SCHOOLS TEACHER</t>
  </si>
  <si>
    <t>DAVIDSON CO CHARTER SCHOOLS</t>
  </si>
  <si>
    <t>HAMILTON COUNTY CHARTER SCHOOLS</t>
  </si>
  <si>
    <t>MONTESSORI ELEMENTARY AT HIGHLAND PARK</t>
  </si>
  <si>
    <t>Benton Co Teachers</t>
  </si>
  <si>
    <t>Bledsoe Co Teachers</t>
  </si>
  <si>
    <t>Blount Co Teachers</t>
  </si>
  <si>
    <t>Bradley Co Teachers</t>
  </si>
  <si>
    <t>Campbell Co Teachers</t>
  </si>
  <si>
    <t>Cannon Co Teachers</t>
  </si>
  <si>
    <t>Carter Co Teachers</t>
  </si>
  <si>
    <t>Cleveland City Schools Fed Proj</t>
  </si>
  <si>
    <t>Dickson County Schools</t>
  </si>
  <si>
    <t>Franklin Co Finance Dept</t>
  </si>
  <si>
    <t>Freedom Prep - Shelby Co Teachers</t>
  </si>
  <si>
    <t>Jackson Madison County Schools</t>
  </si>
  <si>
    <t>Lebanon Spec Schools Dst</t>
  </si>
  <si>
    <t>Macon County Schools</t>
  </si>
  <si>
    <t xml:space="preserve"> Memphis Academy Of Health Sciences (Mahs) High</t>
  </si>
  <si>
    <t xml:space="preserve"> Memphis Business Academy Elementary School</t>
  </si>
  <si>
    <t xml:space="preserve"> Memphis College Preparatory Elementary School</t>
  </si>
  <si>
    <t xml:space="preserve"> Memphis School Of Excellence</t>
  </si>
  <si>
    <t>Monroe County Schools</t>
  </si>
  <si>
    <t xml:space="preserve"> Wilson County Schools</t>
  </si>
  <si>
    <t>Davidson County Charter Schools</t>
  </si>
  <si>
    <t>Shelby County Schools Teacher</t>
  </si>
  <si>
    <t>https://publicreports.treasury.tn.gov/Home/General?type=General</t>
  </si>
  <si>
    <t>Year</t>
  </si>
  <si>
    <t>Total Reported</t>
  </si>
  <si>
    <t>Total from Formula</t>
  </si>
  <si>
    <t>Difference</t>
  </si>
  <si>
    <t>Notes</t>
  </si>
  <si>
    <t>Legacy Employer Contribution Check</t>
  </si>
  <si>
    <t>TRS Employer Contribution Check</t>
  </si>
  <si>
    <t>FREEDOM PREP CHARTER SCHOOL-SHELBY CO TEACHERS</t>
  </si>
  <si>
    <t>CHATTANOOGA CHARTER SCHOOL OF EXCELLENCE - ELEMEI</t>
  </si>
  <si>
    <t>GRANVILLE T WOODS ACADEMY OF INNOVATION CHARTER $</t>
  </si>
  <si>
    <t>W.E.B. DUBOIS-HIGH SCHOOL OF LEADERSHIP AND PUBLIC PC</t>
  </si>
  <si>
    <t>employer_contribution_trs</t>
  </si>
  <si>
    <t>employer_contribution_legacy</t>
  </si>
  <si>
    <t>standardized_employer_name</t>
  </si>
  <si>
    <t/>
  </si>
  <si>
    <t> </t>
  </si>
  <si>
    <t>district_contributions</t>
  </si>
  <si>
    <t>LEAID</t>
  </si>
  <si>
    <t>district_name</t>
  </si>
  <si>
    <t>LEAID_match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</si>
</sst>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164" fontId="0" fillId="0" borderId="0" xfId="1" applyNumberFormat="1" applyFont="1"/>
    <xf numFmtId="0" fontId="2" fillId="0" borderId="0" xfId="0" applyFont="1"/>
    <xf numFmtId="49" fontId="2" fillId="0" borderId="0" xfId="0" applyNumberFormat="1" applyFont="1"/>
    <xf numFmtId="1" fontId="0" fillId="0" borderId="0" xfId="0" applyNumberFormat="1"/>
    <xf numFmtId="0" fontId="2" fillId="0" borderId="0" xfId="0" applyFont="1" applyAlignment="1">
      <alignment horizontal="center"/>
    </xf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B4BDC-E74B-A547-94D0-450F0EDED574}">
  <sheetPr>
    <tabColor rgb="FF002060"/>
  </sheetPr>
  <dimension ref="A1:I2120"/>
  <sheetViews>
    <sheetView workbookViewId="0">
      <pane ySplit="1" topLeftCell="A2" activePane="bottomLeft" state="frozen"/>
      <selection pane="bottomLeft" activeCell="E20" sqref="E20"/>
    </sheetView>
  </sheetViews>
  <sheetFormatPr baseColWidth="10" defaultColWidth="13" defaultRowHeight="16" x14ac:dyDescent="0.2"/>
  <cols>
    <col min="3" max="3" width="13.6640625" style="1" bestFit="1" customWidth="1"/>
    <col min="4" max="5" width="57.33203125" bestFit="1" customWidth="1"/>
    <col min="6" max="6" width="24.5" style="8" bestFit="1" customWidth="1"/>
    <col min="7" max="7" width="27.6640625" style="8" bestFit="1" customWidth="1"/>
  </cols>
  <sheetData>
    <row r="1" spans="1:9" s="3" customFormat="1" x14ac:dyDescent="0.2">
      <c r="A1" s="3" t="s">
        <v>594</v>
      </c>
      <c r="B1" s="3" t="s">
        <v>577</v>
      </c>
      <c r="C1" s="4" t="s">
        <v>0</v>
      </c>
      <c r="D1" s="3" t="s">
        <v>590</v>
      </c>
      <c r="E1" s="3" t="s">
        <v>177</v>
      </c>
      <c r="F1" s="7" t="s">
        <v>588</v>
      </c>
      <c r="G1" s="7" t="s">
        <v>589</v>
      </c>
      <c r="H1" s="3" t="s">
        <v>593</v>
      </c>
      <c r="I1" s="3" t="s">
        <v>596</v>
      </c>
    </row>
    <row r="2" spans="1:9" x14ac:dyDescent="0.2">
      <c r="A2">
        <f>I2</f>
        <v>4700147</v>
      </c>
      <c r="B2" s="5">
        <v>2015</v>
      </c>
      <c r="C2" s="1">
        <v>30002</v>
      </c>
      <c r="D2" t="s">
        <v>208</v>
      </c>
      <c r="E2" t="s">
        <v>1</v>
      </c>
      <c r="F2" s="8">
        <v>146170</v>
      </c>
      <c r="G2" s="8">
        <v>3241604</v>
      </c>
      <c r="H2" s="5">
        <f>SUM(F2:G2)</f>
        <v>3387774</v>
      </c>
      <c r="I2">
        <f>IFERROR(VLOOKUP(D2,'LEAID Match'!$A$2:$B$251,2,FALSE),"")</f>
        <v>4700147</v>
      </c>
    </row>
    <row r="3" spans="1:9" x14ac:dyDescent="0.2">
      <c r="A3">
        <f t="shared" ref="A3:A66" si="0">I3</f>
        <v>4700147</v>
      </c>
      <c r="B3" s="5">
        <v>2016</v>
      </c>
      <c r="C3" s="1">
        <v>30002</v>
      </c>
      <c r="D3" t="s">
        <v>208</v>
      </c>
      <c r="E3" t="s">
        <v>1</v>
      </c>
      <c r="F3" s="8">
        <v>723551</v>
      </c>
      <c r="G3" s="8">
        <v>389471</v>
      </c>
      <c r="H3" s="5">
        <f t="shared" ref="H3:H66" si="1">SUM(F3:G3)</f>
        <v>1113022</v>
      </c>
      <c r="I3">
        <f>IFERROR(VLOOKUP(D3,'LEAID Match'!$A$2:$B$251,2,FALSE),"")</f>
        <v>4700147</v>
      </c>
    </row>
    <row r="4" spans="1:9" x14ac:dyDescent="0.2">
      <c r="A4">
        <f t="shared" si="0"/>
        <v>4700147</v>
      </c>
      <c r="B4" s="5">
        <v>2017</v>
      </c>
      <c r="C4" s="1">
        <v>30002</v>
      </c>
      <c r="D4" t="s">
        <v>208</v>
      </c>
      <c r="E4" t="s">
        <v>208</v>
      </c>
      <c r="F4" s="8">
        <v>51911</v>
      </c>
      <c r="G4" s="8">
        <v>122645</v>
      </c>
      <c r="H4" s="5">
        <f t="shared" si="1"/>
        <v>174556</v>
      </c>
      <c r="I4">
        <f>IFERROR(VLOOKUP(D4,'LEAID Match'!$A$2:$B$251,2,FALSE),"")</f>
        <v>4700147</v>
      </c>
    </row>
    <row r="5" spans="1:9" x14ac:dyDescent="0.2">
      <c r="A5">
        <f t="shared" si="0"/>
        <v>4700147</v>
      </c>
      <c r="B5" s="5">
        <v>2018</v>
      </c>
      <c r="C5" s="1">
        <v>30002</v>
      </c>
      <c r="D5" t="s">
        <v>208</v>
      </c>
      <c r="E5" t="s">
        <v>1</v>
      </c>
      <c r="F5" s="8">
        <v>370</v>
      </c>
      <c r="G5" s="8" t="s">
        <v>591</v>
      </c>
      <c r="H5" s="5">
        <f t="shared" si="1"/>
        <v>370</v>
      </c>
      <c r="I5">
        <f>IFERROR(VLOOKUP(D5,'LEAID Match'!$A$2:$B$251,2,FALSE),"")</f>
        <v>4700147</v>
      </c>
    </row>
    <row r="6" spans="1:9" x14ac:dyDescent="0.2">
      <c r="A6">
        <f t="shared" si="0"/>
        <v>4700147</v>
      </c>
      <c r="B6" s="5">
        <v>2019</v>
      </c>
      <c r="C6" s="1">
        <v>30002</v>
      </c>
      <c r="D6" t="s">
        <v>208</v>
      </c>
      <c r="E6" t="s">
        <v>1</v>
      </c>
      <c r="F6" s="8" t="s">
        <v>591</v>
      </c>
      <c r="G6" s="8" t="s">
        <v>592</v>
      </c>
      <c r="H6" s="5">
        <f t="shared" si="1"/>
        <v>0</v>
      </c>
      <c r="I6">
        <f>IFERROR(VLOOKUP(D6,'LEAID Match'!$A$2:$B$251,2,FALSE),"")</f>
        <v>4700147</v>
      </c>
    </row>
    <row r="7" spans="1:9" x14ac:dyDescent="0.2">
      <c r="A7">
        <f t="shared" si="0"/>
        <v>4700147</v>
      </c>
      <c r="B7" s="5">
        <v>2020</v>
      </c>
      <c r="C7" s="1">
        <v>30002</v>
      </c>
      <c r="D7" t="s">
        <v>208</v>
      </c>
      <c r="E7" t="s">
        <v>208</v>
      </c>
      <c r="F7" s="8" t="s">
        <v>591</v>
      </c>
      <c r="G7" s="8" t="s">
        <v>592</v>
      </c>
      <c r="H7" s="5">
        <f t="shared" si="1"/>
        <v>0</v>
      </c>
      <c r="I7">
        <f>IFERROR(VLOOKUP(D7,'LEAID Match'!$A$2:$B$251,2,FALSE),"")</f>
        <v>4700147</v>
      </c>
    </row>
    <row r="8" spans="1:9" x14ac:dyDescent="0.2">
      <c r="A8">
        <f t="shared" si="0"/>
        <v>4700147</v>
      </c>
      <c r="B8" s="5">
        <v>2021</v>
      </c>
      <c r="C8" s="1">
        <v>30002</v>
      </c>
      <c r="D8" t="s">
        <v>208</v>
      </c>
      <c r="E8" t="s">
        <v>1</v>
      </c>
      <c r="F8" s="8" t="s">
        <v>592</v>
      </c>
      <c r="G8" s="8" t="s">
        <v>592</v>
      </c>
      <c r="H8" s="5">
        <f t="shared" si="1"/>
        <v>0</v>
      </c>
      <c r="I8">
        <f>IFERROR(VLOOKUP(D8,'LEAID Match'!$A$2:$B$251,2,FALSE),"")</f>
        <v>4700147</v>
      </c>
    </row>
    <row r="9" spans="1:9" x14ac:dyDescent="0.2">
      <c r="A9">
        <f t="shared" si="0"/>
        <v>4700147</v>
      </c>
      <c r="B9" s="5">
        <v>2022</v>
      </c>
      <c r="C9" s="1">
        <v>30002</v>
      </c>
      <c r="D9" t="s">
        <v>208</v>
      </c>
      <c r="E9" t="s">
        <v>1</v>
      </c>
      <c r="F9" s="8" t="s">
        <v>591</v>
      </c>
      <c r="G9" s="8" t="s">
        <v>592</v>
      </c>
      <c r="H9" s="5">
        <f t="shared" si="1"/>
        <v>0</v>
      </c>
      <c r="I9">
        <f>IFERROR(VLOOKUP(D9,'LEAID Match'!$A$2:$B$251,2,FALSE),"")</f>
        <v>4700147</v>
      </c>
    </row>
    <row r="10" spans="1:9" x14ac:dyDescent="0.2">
      <c r="A10">
        <f t="shared" si="0"/>
        <v>4700147</v>
      </c>
      <c r="B10" s="5">
        <v>2023</v>
      </c>
      <c r="C10" s="1">
        <v>30002</v>
      </c>
      <c r="D10" t="s">
        <v>208</v>
      </c>
      <c r="E10" t="s">
        <v>208</v>
      </c>
      <c r="F10" s="8" t="s">
        <v>592</v>
      </c>
      <c r="H10" s="5">
        <f t="shared" si="1"/>
        <v>0</v>
      </c>
      <c r="I10">
        <f>IFERROR(VLOOKUP(D10,'LEAID Match'!$A$2:$B$251,2,FALSE),"")</f>
        <v>4700147</v>
      </c>
    </row>
    <row r="11" spans="1:9" x14ac:dyDescent="0.2">
      <c r="A11">
        <f t="shared" si="0"/>
        <v>4700030</v>
      </c>
      <c r="B11" s="5">
        <v>2015</v>
      </c>
      <c r="C11" s="1">
        <v>99117</v>
      </c>
      <c r="D11" t="s">
        <v>209</v>
      </c>
      <c r="E11" t="s">
        <v>2</v>
      </c>
      <c r="F11" s="8">
        <v>6439</v>
      </c>
      <c r="G11" s="8">
        <v>196625</v>
      </c>
      <c r="H11" s="5">
        <f t="shared" si="1"/>
        <v>203064</v>
      </c>
      <c r="I11">
        <f>IFERROR(VLOOKUP(D11,'LEAID Match'!$A$2:$B$251,2,FALSE),"")</f>
        <v>4700030</v>
      </c>
    </row>
    <row r="12" spans="1:9" x14ac:dyDescent="0.2">
      <c r="A12">
        <f t="shared" si="0"/>
        <v>4700030</v>
      </c>
      <c r="B12" s="5">
        <v>2016</v>
      </c>
      <c r="C12" s="1">
        <v>99117</v>
      </c>
      <c r="D12" t="s">
        <v>209</v>
      </c>
      <c r="E12" t="s">
        <v>2</v>
      </c>
      <c r="F12" s="8">
        <v>10191</v>
      </c>
      <c r="G12" s="8">
        <v>192951</v>
      </c>
      <c r="H12" s="5">
        <f t="shared" si="1"/>
        <v>203142</v>
      </c>
      <c r="I12">
        <f>IFERROR(VLOOKUP(D12,'LEAID Match'!$A$2:$B$251,2,FALSE),"")</f>
        <v>4700030</v>
      </c>
    </row>
    <row r="13" spans="1:9" x14ac:dyDescent="0.2">
      <c r="A13">
        <f t="shared" si="0"/>
        <v>4700030</v>
      </c>
      <c r="B13" s="5">
        <v>2017</v>
      </c>
      <c r="C13" s="1">
        <v>99117</v>
      </c>
      <c r="D13" t="s">
        <v>209</v>
      </c>
      <c r="E13" t="s">
        <v>209</v>
      </c>
      <c r="F13" s="8">
        <v>15397</v>
      </c>
      <c r="G13" s="8">
        <v>160882</v>
      </c>
      <c r="H13" s="5">
        <f t="shared" si="1"/>
        <v>176279</v>
      </c>
      <c r="I13">
        <f>IFERROR(VLOOKUP(D13,'LEAID Match'!$A$2:$B$251,2,FALSE),"")</f>
        <v>4700030</v>
      </c>
    </row>
    <row r="14" spans="1:9" x14ac:dyDescent="0.2">
      <c r="A14">
        <f t="shared" si="0"/>
        <v>4700030</v>
      </c>
      <c r="B14" s="5">
        <v>2018</v>
      </c>
      <c r="C14" s="1">
        <v>99117</v>
      </c>
      <c r="D14" t="s">
        <v>209</v>
      </c>
      <c r="E14" t="s">
        <v>2</v>
      </c>
      <c r="F14" s="8">
        <v>20241</v>
      </c>
      <c r="G14" s="8">
        <v>165351</v>
      </c>
      <c r="H14" s="5">
        <f t="shared" si="1"/>
        <v>185592</v>
      </c>
      <c r="I14">
        <f>IFERROR(VLOOKUP(D14,'LEAID Match'!$A$2:$B$251,2,FALSE),"")</f>
        <v>4700030</v>
      </c>
    </row>
    <row r="15" spans="1:9" x14ac:dyDescent="0.2">
      <c r="A15">
        <f t="shared" si="0"/>
        <v>4700030</v>
      </c>
      <c r="B15" s="5">
        <v>2019</v>
      </c>
      <c r="C15" s="1">
        <v>99117</v>
      </c>
      <c r="D15" t="s">
        <v>209</v>
      </c>
      <c r="E15" t="s">
        <v>209</v>
      </c>
      <c r="F15" s="8">
        <v>11370</v>
      </c>
      <c r="G15" s="8">
        <v>179340</v>
      </c>
      <c r="H15" s="5">
        <f t="shared" si="1"/>
        <v>190710</v>
      </c>
      <c r="I15">
        <f>IFERROR(VLOOKUP(D15,'LEAID Match'!$A$2:$B$251,2,FALSE),"")</f>
        <v>4700030</v>
      </c>
    </row>
    <row r="16" spans="1:9" x14ac:dyDescent="0.2">
      <c r="A16">
        <f t="shared" si="0"/>
        <v>4700030</v>
      </c>
      <c r="B16" s="5">
        <v>2020</v>
      </c>
      <c r="C16" s="1">
        <v>99117</v>
      </c>
      <c r="D16" t="s">
        <v>209</v>
      </c>
      <c r="E16" t="s">
        <v>209</v>
      </c>
      <c r="F16" s="8">
        <v>12784</v>
      </c>
      <c r="G16" s="8">
        <v>180691</v>
      </c>
      <c r="H16" s="5">
        <f t="shared" si="1"/>
        <v>193475</v>
      </c>
      <c r="I16">
        <f>IFERROR(VLOOKUP(D16,'LEAID Match'!$A$2:$B$251,2,FALSE),"")</f>
        <v>4700030</v>
      </c>
    </row>
    <row r="17" spans="1:9" x14ac:dyDescent="0.2">
      <c r="A17">
        <f t="shared" si="0"/>
        <v>4700030</v>
      </c>
      <c r="B17" s="5">
        <v>2021</v>
      </c>
      <c r="C17" s="1">
        <v>99117</v>
      </c>
      <c r="D17" t="s">
        <v>209</v>
      </c>
      <c r="E17" t="s">
        <v>209</v>
      </c>
      <c r="F17" s="8">
        <v>13020</v>
      </c>
      <c r="G17" s="8">
        <v>178891</v>
      </c>
      <c r="H17" s="5">
        <f t="shared" si="1"/>
        <v>191911</v>
      </c>
      <c r="I17">
        <f>IFERROR(VLOOKUP(D17,'LEAID Match'!$A$2:$B$251,2,FALSE),"")</f>
        <v>4700030</v>
      </c>
    </row>
    <row r="18" spans="1:9" x14ac:dyDescent="0.2">
      <c r="A18">
        <f t="shared" si="0"/>
        <v>4700030</v>
      </c>
      <c r="B18" s="5">
        <v>2022</v>
      </c>
      <c r="C18" s="1">
        <v>99117</v>
      </c>
      <c r="D18" t="s">
        <v>209</v>
      </c>
      <c r="E18" t="s">
        <v>209</v>
      </c>
      <c r="F18" s="8">
        <v>13713.99</v>
      </c>
      <c r="G18" s="8">
        <v>189005.23</v>
      </c>
      <c r="H18" s="5">
        <f t="shared" si="1"/>
        <v>202719.22</v>
      </c>
      <c r="I18">
        <f>IFERROR(VLOOKUP(D18,'LEAID Match'!$A$2:$B$251,2,FALSE),"")</f>
        <v>4700030</v>
      </c>
    </row>
    <row r="19" spans="1:9" x14ac:dyDescent="0.2">
      <c r="A19">
        <f t="shared" si="0"/>
        <v>4700030</v>
      </c>
      <c r="B19" s="5">
        <v>2023</v>
      </c>
      <c r="C19" s="1">
        <v>99117</v>
      </c>
      <c r="D19" t="s">
        <v>209</v>
      </c>
      <c r="E19" t="s">
        <v>209</v>
      </c>
      <c r="F19" s="8">
        <v>24482.81</v>
      </c>
      <c r="G19" s="8">
        <v>154985.94</v>
      </c>
      <c r="H19" s="5">
        <f t="shared" si="1"/>
        <v>179468.75</v>
      </c>
      <c r="I19">
        <f>IFERROR(VLOOKUP(D19,'LEAID Match'!$A$2:$B$251,2,FALSE),"")</f>
        <v>4700030</v>
      </c>
    </row>
    <row r="20" spans="1:9" x14ac:dyDescent="0.2">
      <c r="A20">
        <f t="shared" si="0"/>
        <v>4700060</v>
      </c>
      <c r="B20" s="5">
        <v>2015</v>
      </c>
      <c r="C20" s="1">
        <v>99105</v>
      </c>
      <c r="D20" t="s">
        <v>210</v>
      </c>
      <c r="E20" t="s">
        <v>3</v>
      </c>
      <c r="F20" s="8">
        <v>2219</v>
      </c>
      <c r="G20" s="8">
        <v>787391</v>
      </c>
      <c r="H20" s="5">
        <f t="shared" si="1"/>
        <v>789610</v>
      </c>
      <c r="I20">
        <f>IFERROR(VLOOKUP(D20,'LEAID Match'!$A$2:$B$251,2,FALSE),"")</f>
        <v>4700060</v>
      </c>
    </row>
    <row r="21" spans="1:9" x14ac:dyDescent="0.2">
      <c r="A21">
        <f t="shared" si="0"/>
        <v>4700060</v>
      </c>
      <c r="B21" s="5">
        <v>2016</v>
      </c>
      <c r="C21" s="1">
        <v>99105</v>
      </c>
      <c r="D21" t="s">
        <v>210</v>
      </c>
      <c r="E21" t="s">
        <v>3</v>
      </c>
      <c r="F21" s="8">
        <v>10138</v>
      </c>
      <c r="G21" s="8">
        <v>805275</v>
      </c>
      <c r="H21" s="5">
        <f t="shared" si="1"/>
        <v>815413</v>
      </c>
      <c r="I21">
        <f>IFERROR(VLOOKUP(D21,'LEAID Match'!$A$2:$B$251,2,FALSE),"")</f>
        <v>4700060</v>
      </c>
    </row>
    <row r="22" spans="1:9" x14ac:dyDescent="0.2">
      <c r="A22">
        <f t="shared" si="0"/>
        <v>4700060</v>
      </c>
      <c r="B22" s="5">
        <v>2017</v>
      </c>
      <c r="C22" s="1">
        <v>99105</v>
      </c>
      <c r="D22" t="s">
        <v>210</v>
      </c>
      <c r="E22" t="s">
        <v>210</v>
      </c>
      <c r="F22" s="8">
        <v>26154</v>
      </c>
      <c r="G22" s="8">
        <v>835134</v>
      </c>
      <c r="H22" s="5">
        <f t="shared" si="1"/>
        <v>861288</v>
      </c>
      <c r="I22">
        <f>IFERROR(VLOOKUP(D22,'LEAID Match'!$A$2:$B$251,2,FALSE),"")</f>
        <v>4700060</v>
      </c>
    </row>
    <row r="23" spans="1:9" x14ac:dyDescent="0.2">
      <c r="A23">
        <f t="shared" si="0"/>
        <v>4700060</v>
      </c>
      <c r="B23" s="5">
        <v>2018</v>
      </c>
      <c r="C23" s="1">
        <v>99105</v>
      </c>
      <c r="D23" t="s">
        <v>210</v>
      </c>
      <c r="E23" t="s">
        <v>3</v>
      </c>
      <c r="F23" s="8">
        <v>32525</v>
      </c>
      <c r="G23" s="8">
        <v>875530</v>
      </c>
      <c r="H23" s="5">
        <f t="shared" si="1"/>
        <v>908055</v>
      </c>
      <c r="I23">
        <f>IFERROR(VLOOKUP(D23,'LEAID Match'!$A$2:$B$251,2,FALSE),"")</f>
        <v>4700060</v>
      </c>
    </row>
    <row r="24" spans="1:9" x14ac:dyDescent="0.2">
      <c r="A24">
        <f t="shared" si="0"/>
        <v>4700060</v>
      </c>
      <c r="B24" s="5">
        <v>2019</v>
      </c>
      <c r="C24" s="1">
        <v>99105</v>
      </c>
      <c r="D24" t="s">
        <v>210</v>
      </c>
      <c r="E24" t="s">
        <v>210</v>
      </c>
      <c r="F24" s="8">
        <v>18383</v>
      </c>
      <c r="G24" s="8">
        <v>1016590</v>
      </c>
      <c r="H24" s="5">
        <f t="shared" si="1"/>
        <v>1034973</v>
      </c>
      <c r="I24">
        <f>IFERROR(VLOOKUP(D24,'LEAID Match'!$A$2:$B$251,2,FALSE),"")</f>
        <v>4700060</v>
      </c>
    </row>
    <row r="25" spans="1:9" x14ac:dyDescent="0.2">
      <c r="A25">
        <f t="shared" si="0"/>
        <v>4700060</v>
      </c>
      <c r="B25" s="5">
        <v>2020</v>
      </c>
      <c r="C25" s="1">
        <v>99105</v>
      </c>
      <c r="D25" t="s">
        <v>210</v>
      </c>
      <c r="E25" t="s">
        <v>210</v>
      </c>
      <c r="F25" s="8">
        <v>22666</v>
      </c>
      <c r="G25" s="8">
        <v>1075712</v>
      </c>
      <c r="H25" s="5">
        <f t="shared" si="1"/>
        <v>1098378</v>
      </c>
      <c r="I25">
        <f>IFERROR(VLOOKUP(D25,'LEAID Match'!$A$2:$B$251,2,FALSE),"")</f>
        <v>4700060</v>
      </c>
    </row>
    <row r="26" spans="1:9" x14ac:dyDescent="0.2">
      <c r="A26">
        <f t="shared" si="0"/>
        <v>4700060</v>
      </c>
      <c r="B26" s="5">
        <v>2021</v>
      </c>
      <c r="C26" s="1">
        <v>99105</v>
      </c>
      <c r="D26" t="s">
        <v>210</v>
      </c>
      <c r="E26" t="s">
        <v>210</v>
      </c>
      <c r="F26" s="8">
        <v>29132</v>
      </c>
      <c r="G26" s="8">
        <v>1047265</v>
      </c>
      <c r="H26" s="5">
        <f t="shared" si="1"/>
        <v>1076397</v>
      </c>
      <c r="I26">
        <f>IFERROR(VLOOKUP(D26,'LEAID Match'!$A$2:$B$251,2,FALSE),"")</f>
        <v>4700060</v>
      </c>
    </row>
    <row r="27" spans="1:9" x14ac:dyDescent="0.2">
      <c r="A27">
        <f t="shared" si="0"/>
        <v>4700060</v>
      </c>
      <c r="B27" s="5">
        <v>2022</v>
      </c>
      <c r="C27" s="1">
        <v>99105</v>
      </c>
      <c r="D27" t="s">
        <v>210</v>
      </c>
      <c r="E27" t="s">
        <v>210</v>
      </c>
      <c r="F27" s="8">
        <v>45246.67</v>
      </c>
      <c r="G27" s="8">
        <v>1045970.34</v>
      </c>
      <c r="H27" s="5">
        <f t="shared" si="1"/>
        <v>1091217.01</v>
      </c>
      <c r="I27">
        <f>IFERROR(VLOOKUP(D27,'LEAID Match'!$A$2:$B$251,2,FALSE),"")</f>
        <v>4700060</v>
      </c>
    </row>
    <row r="28" spans="1:9" x14ac:dyDescent="0.2">
      <c r="A28">
        <f t="shared" si="0"/>
        <v>4700060</v>
      </c>
      <c r="B28" s="5">
        <v>2023</v>
      </c>
      <c r="C28" s="1">
        <v>99105</v>
      </c>
      <c r="D28" t="s">
        <v>210</v>
      </c>
      <c r="E28" t="s">
        <v>210</v>
      </c>
      <c r="F28" s="8">
        <v>94386.05</v>
      </c>
      <c r="G28" s="8">
        <v>884370.59</v>
      </c>
      <c r="H28" s="5">
        <f t="shared" si="1"/>
        <v>978756.64</v>
      </c>
      <c r="I28">
        <f>IFERROR(VLOOKUP(D28,'LEAID Match'!$A$2:$B$251,2,FALSE),"")</f>
        <v>4700060</v>
      </c>
    </row>
    <row r="29" spans="1:9" x14ac:dyDescent="0.2">
      <c r="A29">
        <f t="shared" si="0"/>
        <v>4700090</v>
      </c>
      <c r="B29" s="5">
        <v>2015</v>
      </c>
      <c r="C29" s="1">
        <v>99001</v>
      </c>
      <c r="D29" t="s">
        <v>211</v>
      </c>
      <c r="E29" t="s">
        <v>4</v>
      </c>
      <c r="F29" s="8">
        <v>18809</v>
      </c>
      <c r="G29" s="8">
        <v>2595924</v>
      </c>
      <c r="H29" s="5">
        <f t="shared" si="1"/>
        <v>2614733</v>
      </c>
      <c r="I29">
        <f>IFERROR(VLOOKUP(D29,'LEAID Match'!$A$2:$B$251,2,FALSE),"")</f>
        <v>4700090</v>
      </c>
    </row>
    <row r="30" spans="1:9" x14ac:dyDescent="0.2">
      <c r="A30">
        <f t="shared" si="0"/>
        <v>4700090</v>
      </c>
      <c r="B30" s="5">
        <v>2016</v>
      </c>
      <c r="C30" s="1">
        <v>99001</v>
      </c>
      <c r="D30" t="s">
        <v>211</v>
      </c>
      <c r="E30" t="s">
        <v>4</v>
      </c>
      <c r="F30" s="8">
        <v>69605</v>
      </c>
      <c r="G30" s="8">
        <v>2514075</v>
      </c>
      <c r="H30" s="5">
        <f t="shared" si="1"/>
        <v>2583680</v>
      </c>
      <c r="I30">
        <f>IFERROR(VLOOKUP(D30,'LEAID Match'!$A$2:$B$251,2,FALSE),"")</f>
        <v>4700090</v>
      </c>
    </row>
    <row r="31" spans="1:9" x14ac:dyDescent="0.2">
      <c r="A31">
        <f t="shared" si="0"/>
        <v>4700090</v>
      </c>
      <c r="B31" s="5">
        <v>2017</v>
      </c>
      <c r="C31" s="1">
        <v>99001</v>
      </c>
      <c r="D31" t="s">
        <v>211</v>
      </c>
      <c r="E31" t="s">
        <v>211</v>
      </c>
      <c r="F31" s="8">
        <v>143783</v>
      </c>
      <c r="G31" s="8">
        <v>2381472</v>
      </c>
      <c r="H31" s="5">
        <f t="shared" si="1"/>
        <v>2525255</v>
      </c>
      <c r="I31">
        <f>IFERROR(VLOOKUP(D31,'LEAID Match'!$A$2:$B$251,2,FALSE),"")</f>
        <v>4700090</v>
      </c>
    </row>
    <row r="32" spans="1:9" x14ac:dyDescent="0.2">
      <c r="A32">
        <f t="shared" si="0"/>
        <v>4700090</v>
      </c>
      <c r="B32" s="5">
        <v>2018</v>
      </c>
      <c r="C32" s="1">
        <v>99001</v>
      </c>
      <c r="D32" t="s">
        <v>211</v>
      </c>
      <c r="E32" t="s">
        <v>4</v>
      </c>
      <c r="F32" s="8">
        <v>199183</v>
      </c>
      <c r="G32" s="8">
        <v>2354613</v>
      </c>
      <c r="H32" s="5">
        <f t="shared" si="1"/>
        <v>2553796</v>
      </c>
      <c r="I32">
        <f>IFERROR(VLOOKUP(D32,'LEAID Match'!$A$2:$B$251,2,FALSE),"")</f>
        <v>4700090</v>
      </c>
    </row>
    <row r="33" spans="1:9" x14ac:dyDescent="0.2">
      <c r="A33">
        <f t="shared" si="0"/>
        <v>4700090</v>
      </c>
      <c r="B33" s="5">
        <v>2019</v>
      </c>
      <c r="C33" s="1">
        <v>99001</v>
      </c>
      <c r="D33" t="s">
        <v>211</v>
      </c>
      <c r="E33" t="s">
        <v>211</v>
      </c>
      <c r="F33" s="8">
        <v>122658</v>
      </c>
      <c r="G33" s="8">
        <v>2595699</v>
      </c>
      <c r="H33" s="5">
        <f t="shared" si="1"/>
        <v>2718357</v>
      </c>
      <c r="I33">
        <f>IFERROR(VLOOKUP(D33,'LEAID Match'!$A$2:$B$251,2,FALSE),"")</f>
        <v>4700090</v>
      </c>
    </row>
    <row r="34" spans="1:9" x14ac:dyDescent="0.2">
      <c r="A34">
        <f t="shared" si="0"/>
        <v>4700090</v>
      </c>
      <c r="B34" s="5">
        <v>2020</v>
      </c>
      <c r="C34" s="1">
        <v>99001</v>
      </c>
      <c r="D34" t="s">
        <v>211</v>
      </c>
      <c r="E34" t="s">
        <v>211</v>
      </c>
      <c r="F34" s="8">
        <v>154805</v>
      </c>
      <c r="G34" s="8">
        <v>2518230</v>
      </c>
      <c r="H34" s="5">
        <f t="shared" si="1"/>
        <v>2673035</v>
      </c>
      <c r="I34">
        <f>IFERROR(VLOOKUP(D34,'LEAID Match'!$A$2:$B$251,2,FALSE),"")</f>
        <v>4700090</v>
      </c>
    </row>
    <row r="35" spans="1:9" x14ac:dyDescent="0.2">
      <c r="A35">
        <f t="shared" si="0"/>
        <v>4700090</v>
      </c>
      <c r="B35" s="5">
        <v>2021</v>
      </c>
      <c r="C35" s="1">
        <v>99001</v>
      </c>
      <c r="D35" t="s">
        <v>211</v>
      </c>
      <c r="E35" t="s">
        <v>211</v>
      </c>
      <c r="F35" s="8">
        <v>181652</v>
      </c>
      <c r="G35" s="8">
        <v>2365316</v>
      </c>
      <c r="H35" s="5">
        <f t="shared" si="1"/>
        <v>2546968</v>
      </c>
      <c r="I35">
        <f>IFERROR(VLOOKUP(D35,'LEAID Match'!$A$2:$B$251,2,FALSE),"")</f>
        <v>4700090</v>
      </c>
    </row>
    <row r="36" spans="1:9" x14ac:dyDescent="0.2">
      <c r="A36">
        <f t="shared" si="0"/>
        <v>4700090</v>
      </c>
      <c r="B36" s="5">
        <v>2022</v>
      </c>
      <c r="C36" s="1">
        <v>99001</v>
      </c>
      <c r="D36" t="s">
        <v>211</v>
      </c>
      <c r="E36" t="s">
        <v>211</v>
      </c>
      <c r="F36" s="8">
        <v>226742.52</v>
      </c>
      <c r="G36" s="8">
        <v>2348934.1</v>
      </c>
      <c r="H36" s="5">
        <f t="shared" si="1"/>
        <v>2575676.62</v>
      </c>
      <c r="I36">
        <f>IFERROR(VLOOKUP(D36,'LEAID Match'!$A$2:$B$251,2,FALSE),"")</f>
        <v>4700090</v>
      </c>
    </row>
    <row r="37" spans="1:9" x14ac:dyDescent="0.2">
      <c r="A37">
        <f t="shared" si="0"/>
        <v>4700090</v>
      </c>
      <c r="B37" s="5">
        <v>2023</v>
      </c>
      <c r="C37" s="1">
        <v>99001</v>
      </c>
      <c r="D37" t="s">
        <v>211</v>
      </c>
      <c r="E37" t="s">
        <v>211</v>
      </c>
      <c r="F37" s="8">
        <v>391566.98</v>
      </c>
      <c r="G37" s="8">
        <v>1966935.03</v>
      </c>
      <c r="H37" s="5">
        <f t="shared" si="1"/>
        <v>2358502.0099999998</v>
      </c>
      <c r="I37">
        <f>IFERROR(VLOOKUP(D37,'LEAID Match'!$A$2:$B$251,2,FALSE),"")</f>
        <v>4700090</v>
      </c>
    </row>
    <row r="38" spans="1:9" x14ac:dyDescent="0.2">
      <c r="A38">
        <f t="shared" si="0"/>
        <v>4700152</v>
      </c>
      <c r="B38" s="5">
        <v>2015</v>
      </c>
      <c r="C38" s="1">
        <v>97901</v>
      </c>
      <c r="D38" t="s">
        <v>212</v>
      </c>
      <c r="E38" t="s">
        <v>5</v>
      </c>
      <c r="F38" s="8">
        <v>29932</v>
      </c>
      <c r="G38" s="8">
        <v>1547985</v>
      </c>
      <c r="H38" s="5">
        <f t="shared" si="1"/>
        <v>1577917</v>
      </c>
      <c r="I38">
        <f>IFERROR(VLOOKUP(D38,'LEAID Match'!$A$2:$B$251,2,FALSE),"")</f>
        <v>4700152</v>
      </c>
    </row>
    <row r="39" spans="1:9" x14ac:dyDescent="0.2">
      <c r="A39">
        <f t="shared" si="0"/>
        <v>4700152</v>
      </c>
      <c r="B39" s="5">
        <v>2016</v>
      </c>
      <c r="C39" s="1">
        <v>97901</v>
      </c>
      <c r="D39" t="s">
        <v>212</v>
      </c>
      <c r="E39" t="s">
        <v>5</v>
      </c>
      <c r="F39" s="8">
        <v>65125</v>
      </c>
      <c r="G39" s="8">
        <v>1654879</v>
      </c>
      <c r="H39" s="5">
        <f t="shared" si="1"/>
        <v>1720004</v>
      </c>
      <c r="I39">
        <f>IFERROR(VLOOKUP(D39,'LEAID Match'!$A$2:$B$251,2,FALSE),"")</f>
        <v>4700152</v>
      </c>
    </row>
    <row r="40" spans="1:9" x14ac:dyDescent="0.2">
      <c r="A40">
        <f t="shared" si="0"/>
        <v>4700152</v>
      </c>
      <c r="B40" s="5">
        <v>2017</v>
      </c>
      <c r="C40" s="1">
        <v>97901</v>
      </c>
      <c r="D40" t="s">
        <v>212</v>
      </c>
      <c r="E40" t="s">
        <v>212</v>
      </c>
      <c r="F40" s="8">
        <v>82946</v>
      </c>
      <c r="G40" s="8">
        <v>1662347</v>
      </c>
      <c r="H40" s="5">
        <f t="shared" si="1"/>
        <v>1745293</v>
      </c>
      <c r="I40">
        <f>IFERROR(VLOOKUP(D40,'LEAID Match'!$A$2:$B$251,2,FALSE),"")</f>
        <v>4700152</v>
      </c>
    </row>
    <row r="41" spans="1:9" x14ac:dyDescent="0.2">
      <c r="A41">
        <f t="shared" si="0"/>
        <v>4700152</v>
      </c>
      <c r="B41" s="5">
        <v>2018</v>
      </c>
      <c r="C41" s="1">
        <v>97901</v>
      </c>
      <c r="D41" t="s">
        <v>212</v>
      </c>
      <c r="E41" t="s">
        <v>5</v>
      </c>
      <c r="F41" s="8">
        <v>94429</v>
      </c>
      <c r="G41" s="8">
        <v>1644116</v>
      </c>
      <c r="H41" s="5">
        <f t="shared" si="1"/>
        <v>1738545</v>
      </c>
      <c r="I41">
        <f>IFERROR(VLOOKUP(D41,'LEAID Match'!$A$2:$B$251,2,FALSE),"")</f>
        <v>4700152</v>
      </c>
    </row>
    <row r="42" spans="1:9" x14ac:dyDescent="0.2">
      <c r="A42">
        <f t="shared" si="0"/>
        <v>4700152</v>
      </c>
      <c r="B42" s="5">
        <v>2019</v>
      </c>
      <c r="C42" s="1">
        <v>97901</v>
      </c>
      <c r="D42" t="s">
        <v>212</v>
      </c>
      <c r="E42" t="s">
        <v>212</v>
      </c>
      <c r="F42" s="8">
        <v>65127</v>
      </c>
      <c r="G42" s="8">
        <v>1902740</v>
      </c>
      <c r="H42" s="5">
        <f t="shared" si="1"/>
        <v>1967867</v>
      </c>
      <c r="I42">
        <f>IFERROR(VLOOKUP(D42,'LEAID Match'!$A$2:$B$251,2,FALSE),"")</f>
        <v>4700152</v>
      </c>
    </row>
    <row r="43" spans="1:9" x14ac:dyDescent="0.2">
      <c r="A43">
        <f t="shared" si="0"/>
        <v>4700152</v>
      </c>
      <c r="B43" s="5">
        <v>2020</v>
      </c>
      <c r="C43" s="1">
        <v>97901</v>
      </c>
      <c r="D43" t="s">
        <v>212</v>
      </c>
      <c r="E43" t="s">
        <v>212</v>
      </c>
      <c r="F43" s="8">
        <v>86833</v>
      </c>
      <c r="G43" s="8">
        <v>1931996</v>
      </c>
      <c r="H43" s="5">
        <f t="shared" si="1"/>
        <v>2018829</v>
      </c>
      <c r="I43">
        <f>IFERROR(VLOOKUP(D43,'LEAID Match'!$A$2:$B$251,2,FALSE),"")</f>
        <v>4700152</v>
      </c>
    </row>
    <row r="44" spans="1:9" x14ac:dyDescent="0.2">
      <c r="A44">
        <f t="shared" si="0"/>
        <v>4700152</v>
      </c>
      <c r="B44" s="5">
        <v>2021</v>
      </c>
      <c r="C44" s="1">
        <v>97901</v>
      </c>
      <c r="D44" t="s">
        <v>212</v>
      </c>
      <c r="E44" t="s">
        <v>212</v>
      </c>
      <c r="F44" s="8">
        <v>105658</v>
      </c>
      <c r="G44" s="8">
        <v>1873556</v>
      </c>
      <c r="H44" s="5">
        <f t="shared" si="1"/>
        <v>1979214</v>
      </c>
      <c r="I44">
        <f>IFERROR(VLOOKUP(D44,'LEAID Match'!$A$2:$B$251,2,FALSE),"")</f>
        <v>4700152</v>
      </c>
    </row>
    <row r="45" spans="1:9" x14ac:dyDescent="0.2">
      <c r="A45">
        <f t="shared" si="0"/>
        <v>4700152</v>
      </c>
      <c r="B45" s="5">
        <v>2022</v>
      </c>
      <c r="C45" s="1">
        <v>97901</v>
      </c>
      <c r="D45" t="s">
        <v>212</v>
      </c>
      <c r="E45" t="s">
        <v>212</v>
      </c>
      <c r="F45" s="8">
        <v>128848.98</v>
      </c>
      <c r="G45" s="8">
        <v>1873890.7</v>
      </c>
      <c r="H45" s="5">
        <f t="shared" si="1"/>
        <v>2002739.68</v>
      </c>
      <c r="I45">
        <f>IFERROR(VLOOKUP(D45,'LEAID Match'!$A$2:$B$251,2,FALSE),"")</f>
        <v>4700152</v>
      </c>
    </row>
    <row r="46" spans="1:9" x14ac:dyDescent="0.2">
      <c r="A46">
        <f t="shared" si="0"/>
        <v>4700152</v>
      </c>
      <c r="B46" s="5">
        <v>2023</v>
      </c>
      <c r="C46" s="1">
        <v>97901</v>
      </c>
      <c r="D46" t="s">
        <v>212</v>
      </c>
      <c r="E46" t="s">
        <v>212</v>
      </c>
      <c r="F46" s="8">
        <v>193933.87</v>
      </c>
      <c r="G46" s="8">
        <v>1651849.54</v>
      </c>
      <c r="H46" s="5">
        <f t="shared" si="1"/>
        <v>1845783.4100000001</v>
      </c>
      <c r="I46">
        <f>IFERROR(VLOOKUP(D46,'LEAID Match'!$A$2:$B$251,2,FALSE),"")</f>
        <v>4700152</v>
      </c>
    </row>
    <row r="47" spans="1:9" x14ac:dyDescent="0.2">
      <c r="A47">
        <f t="shared" si="0"/>
        <v>0</v>
      </c>
      <c r="B47" s="5">
        <v>2015</v>
      </c>
      <c r="C47" s="1">
        <v>97915</v>
      </c>
      <c r="D47" t="s">
        <v>213</v>
      </c>
      <c r="E47" t="s">
        <v>6</v>
      </c>
      <c r="F47" s="8">
        <v>1453</v>
      </c>
      <c r="G47" s="8">
        <v>13158</v>
      </c>
      <c r="H47" s="5">
        <f t="shared" si="1"/>
        <v>14611</v>
      </c>
      <c r="I47">
        <f>IFERROR(VLOOKUP(D47,'LEAID Match'!$A$2:$B$251,2,FALSE),"")</f>
        <v>0</v>
      </c>
    </row>
    <row r="48" spans="1:9" x14ac:dyDescent="0.2">
      <c r="A48">
        <f t="shared" si="0"/>
        <v>0</v>
      </c>
      <c r="B48" s="5">
        <v>2016</v>
      </c>
      <c r="C48" s="1">
        <v>97915</v>
      </c>
      <c r="D48" t="s">
        <v>213</v>
      </c>
      <c r="E48" t="s">
        <v>6</v>
      </c>
      <c r="F48" s="8">
        <v>2871</v>
      </c>
      <c r="G48" s="8">
        <v>15134</v>
      </c>
      <c r="H48" s="5">
        <f t="shared" si="1"/>
        <v>18005</v>
      </c>
      <c r="I48">
        <f>IFERROR(VLOOKUP(D48,'LEAID Match'!$A$2:$B$251,2,FALSE),"")</f>
        <v>0</v>
      </c>
    </row>
    <row r="49" spans="1:9" x14ac:dyDescent="0.2">
      <c r="A49">
        <f t="shared" si="0"/>
        <v>0</v>
      </c>
      <c r="B49" s="5">
        <v>2017</v>
      </c>
      <c r="C49" s="1">
        <v>97915</v>
      </c>
      <c r="D49" t="s">
        <v>213</v>
      </c>
      <c r="E49" t="s">
        <v>213</v>
      </c>
      <c r="F49" s="8">
        <v>4824</v>
      </c>
      <c r="G49" s="8">
        <v>12423</v>
      </c>
      <c r="H49" s="5">
        <f t="shared" si="1"/>
        <v>17247</v>
      </c>
      <c r="I49">
        <f>IFERROR(VLOOKUP(D49,'LEAID Match'!$A$2:$B$251,2,FALSE),"")</f>
        <v>0</v>
      </c>
    </row>
    <row r="50" spans="1:9" x14ac:dyDescent="0.2">
      <c r="A50">
        <f t="shared" si="0"/>
        <v>0</v>
      </c>
      <c r="B50" s="5">
        <v>2018</v>
      </c>
      <c r="C50" s="1">
        <v>97915</v>
      </c>
      <c r="D50" t="s">
        <v>213</v>
      </c>
      <c r="E50" t="s">
        <v>6</v>
      </c>
      <c r="F50" s="8">
        <v>5090</v>
      </c>
      <c r="G50" s="8">
        <v>11887</v>
      </c>
      <c r="H50" s="5">
        <f t="shared" si="1"/>
        <v>16977</v>
      </c>
      <c r="I50">
        <f>IFERROR(VLOOKUP(D50,'LEAID Match'!$A$2:$B$251,2,FALSE),"")</f>
        <v>0</v>
      </c>
    </row>
    <row r="51" spans="1:9" x14ac:dyDescent="0.2">
      <c r="A51">
        <f t="shared" si="0"/>
        <v>0</v>
      </c>
      <c r="B51" s="5">
        <v>2019</v>
      </c>
      <c r="C51" s="1">
        <v>97915</v>
      </c>
      <c r="D51" t="s">
        <v>213</v>
      </c>
      <c r="E51" t="s">
        <v>213</v>
      </c>
      <c r="F51" s="8">
        <v>3002</v>
      </c>
      <c r="G51" s="8">
        <v>15134</v>
      </c>
      <c r="H51" s="5">
        <f t="shared" si="1"/>
        <v>18136</v>
      </c>
      <c r="I51">
        <f>IFERROR(VLOOKUP(D51,'LEAID Match'!$A$2:$B$251,2,FALSE),"")</f>
        <v>0</v>
      </c>
    </row>
    <row r="52" spans="1:9" x14ac:dyDescent="0.2">
      <c r="A52">
        <f t="shared" si="0"/>
        <v>0</v>
      </c>
      <c r="B52" s="5">
        <v>2020</v>
      </c>
      <c r="C52" s="1">
        <v>97915</v>
      </c>
      <c r="D52" t="s">
        <v>213</v>
      </c>
      <c r="E52" t="s">
        <v>213</v>
      </c>
      <c r="F52" s="8">
        <v>4219</v>
      </c>
      <c r="G52" s="8">
        <v>18847</v>
      </c>
      <c r="H52" s="5">
        <f t="shared" si="1"/>
        <v>23066</v>
      </c>
      <c r="I52">
        <f>IFERROR(VLOOKUP(D52,'LEAID Match'!$A$2:$B$251,2,FALSE),"")</f>
        <v>0</v>
      </c>
    </row>
    <row r="53" spans="1:9" x14ac:dyDescent="0.2">
      <c r="A53">
        <f t="shared" si="0"/>
        <v>0</v>
      </c>
      <c r="B53" s="5">
        <v>2021</v>
      </c>
      <c r="C53" s="1">
        <v>97915</v>
      </c>
      <c r="D53" t="s">
        <v>213</v>
      </c>
      <c r="E53" t="s">
        <v>213</v>
      </c>
      <c r="F53" s="8">
        <v>5757</v>
      </c>
      <c r="G53" s="8">
        <v>19512</v>
      </c>
      <c r="H53" s="5">
        <f t="shared" si="1"/>
        <v>25269</v>
      </c>
      <c r="I53">
        <f>IFERROR(VLOOKUP(D53,'LEAID Match'!$A$2:$B$251,2,FALSE),"")</f>
        <v>0</v>
      </c>
    </row>
    <row r="54" spans="1:9" x14ac:dyDescent="0.2">
      <c r="A54">
        <f t="shared" si="0"/>
        <v>0</v>
      </c>
      <c r="B54" s="5">
        <v>2022</v>
      </c>
      <c r="C54" s="1">
        <v>97915</v>
      </c>
      <c r="D54" t="s">
        <v>213</v>
      </c>
      <c r="E54" t="s">
        <v>213</v>
      </c>
      <c r="F54" s="8">
        <v>7131.51</v>
      </c>
      <c r="G54" s="8">
        <v>20170.8</v>
      </c>
      <c r="H54" s="5">
        <f t="shared" si="1"/>
        <v>27302.309999999998</v>
      </c>
      <c r="I54">
        <f>IFERROR(VLOOKUP(D54,'LEAID Match'!$A$2:$B$251,2,FALSE),"")</f>
        <v>0</v>
      </c>
    </row>
    <row r="55" spans="1:9" x14ac:dyDescent="0.2">
      <c r="A55">
        <f t="shared" si="0"/>
        <v>0</v>
      </c>
      <c r="B55" s="5">
        <v>2023</v>
      </c>
      <c r="C55" s="1">
        <v>97915</v>
      </c>
      <c r="D55" t="s">
        <v>213</v>
      </c>
      <c r="E55" t="s">
        <v>213</v>
      </c>
      <c r="F55" s="8">
        <v>10575.8</v>
      </c>
      <c r="G55" s="8">
        <v>18371.8</v>
      </c>
      <c r="H55" s="5">
        <f t="shared" si="1"/>
        <v>28947.599999999999</v>
      </c>
      <c r="I55">
        <f>IFERROR(VLOOKUP(D55,'LEAID Match'!$A$2:$B$251,2,FALSE),"")</f>
        <v>0</v>
      </c>
    </row>
    <row r="56" spans="1:9" x14ac:dyDescent="0.2">
      <c r="A56">
        <f t="shared" si="0"/>
        <v>0</v>
      </c>
      <c r="B56" s="5">
        <v>2018</v>
      </c>
      <c r="C56" s="1">
        <v>97966</v>
      </c>
      <c r="D56" t="s">
        <v>480</v>
      </c>
      <c r="E56" t="s">
        <v>433</v>
      </c>
      <c r="F56" s="8">
        <v>5237</v>
      </c>
      <c r="G56" s="8">
        <v>42863</v>
      </c>
      <c r="H56" s="5">
        <f t="shared" si="1"/>
        <v>48100</v>
      </c>
      <c r="I56">
        <f>IFERROR(VLOOKUP(D56,'LEAID Match'!$A$2:$B$251,2,FALSE),"")</f>
        <v>0</v>
      </c>
    </row>
    <row r="57" spans="1:9" x14ac:dyDescent="0.2">
      <c r="A57">
        <f t="shared" si="0"/>
        <v>0</v>
      </c>
      <c r="B57" s="5">
        <v>2019</v>
      </c>
      <c r="C57" s="1">
        <v>97966</v>
      </c>
      <c r="D57" t="s">
        <v>480</v>
      </c>
      <c r="E57" t="s">
        <v>480</v>
      </c>
      <c r="F57" s="8">
        <v>9304</v>
      </c>
      <c r="G57" s="8">
        <v>46761</v>
      </c>
      <c r="H57" s="5">
        <f t="shared" si="1"/>
        <v>56065</v>
      </c>
      <c r="I57">
        <f>IFERROR(VLOOKUP(D57,'LEAID Match'!$A$2:$B$251,2,FALSE),"")</f>
        <v>0</v>
      </c>
    </row>
    <row r="58" spans="1:9" x14ac:dyDescent="0.2">
      <c r="A58">
        <f t="shared" si="0"/>
        <v>0</v>
      </c>
      <c r="B58" s="5">
        <v>2020</v>
      </c>
      <c r="C58" s="1">
        <v>97966</v>
      </c>
      <c r="D58" t="s">
        <v>480</v>
      </c>
      <c r="E58" t="s">
        <v>480</v>
      </c>
      <c r="F58" s="8">
        <v>5395.03</v>
      </c>
      <c r="G58" s="8">
        <v>39669</v>
      </c>
      <c r="H58" s="5">
        <f t="shared" si="1"/>
        <v>45064.03</v>
      </c>
      <c r="I58">
        <f>IFERROR(VLOOKUP(D58,'LEAID Match'!$A$2:$B$251,2,FALSE),"")</f>
        <v>0</v>
      </c>
    </row>
    <row r="59" spans="1:9" x14ac:dyDescent="0.2">
      <c r="A59">
        <f t="shared" si="0"/>
        <v>0</v>
      </c>
      <c r="B59" s="5">
        <v>2021</v>
      </c>
      <c r="C59" s="1">
        <v>97966</v>
      </c>
      <c r="D59" t="s">
        <v>480</v>
      </c>
      <c r="E59" t="s">
        <v>480</v>
      </c>
      <c r="F59" s="8" t="s">
        <v>591</v>
      </c>
      <c r="G59" s="8">
        <v>1308</v>
      </c>
      <c r="H59" s="5">
        <f t="shared" si="1"/>
        <v>1308</v>
      </c>
      <c r="I59">
        <f>IFERROR(VLOOKUP(D59,'LEAID Match'!$A$2:$B$251,2,FALSE),"")</f>
        <v>0</v>
      </c>
    </row>
    <row r="60" spans="1:9" x14ac:dyDescent="0.2">
      <c r="A60">
        <f t="shared" si="0"/>
        <v>0</v>
      </c>
      <c r="B60" s="5">
        <v>2022</v>
      </c>
      <c r="C60" s="1">
        <v>97966</v>
      </c>
      <c r="D60" t="s">
        <v>480</v>
      </c>
      <c r="E60" t="s">
        <v>480</v>
      </c>
      <c r="F60" s="8" t="s">
        <v>591</v>
      </c>
      <c r="G60" s="8" t="s">
        <v>591</v>
      </c>
      <c r="H60" s="5">
        <f t="shared" si="1"/>
        <v>0</v>
      </c>
      <c r="I60">
        <f>IFERROR(VLOOKUP(D60,'LEAID Match'!$A$2:$B$251,2,FALSE),"")</f>
        <v>0</v>
      </c>
    </row>
    <row r="61" spans="1:9" x14ac:dyDescent="0.2">
      <c r="A61">
        <f t="shared" si="0"/>
        <v>0</v>
      </c>
      <c r="B61" s="5">
        <v>2023</v>
      </c>
      <c r="C61" s="1">
        <v>97966</v>
      </c>
      <c r="D61" t="s">
        <v>480</v>
      </c>
      <c r="E61" t="s">
        <v>480</v>
      </c>
      <c r="F61" s="8" t="s">
        <v>591</v>
      </c>
      <c r="G61" s="8" t="s">
        <v>591</v>
      </c>
      <c r="H61" s="5">
        <f t="shared" si="1"/>
        <v>0</v>
      </c>
      <c r="I61">
        <f>IFERROR(VLOOKUP(D61,'LEAID Match'!$A$2:$B$251,2,FALSE),"")</f>
        <v>0</v>
      </c>
    </row>
    <row r="62" spans="1:9" x14ac:dyDescent="0.2">
      <c r="A62">
        <f t="shared" si="0"/>
        <v>0</v>
      </c>
      <c r="B62" s="5">
        <v>2016</v>
      </c>
      <c r="C62" s="1">
        <v>90604</v>
      </c>
      <c r="D62" t="s">
        <v>533</v>
      </c>
      <c r="E62" t="s">
        <v>533</v>
      </c>
      <c r="F62" s="8" t="s">
        <v>591</v>
      </c>
      <c r="G62" s="8">
        <v>338386</v>
      </c>
      <c r="H62" s="5">
        <f t="shared" si="1"/>
        <v>338386</v>
      </c>
      <c r="I62">
        <f>IFERROR(VLOOKUP(D62,'LEAID Match'!$A$2:$B$251,2,FALSE),"")</f>
        <v>0</v>
      </c>
    </row>
    <row r="63" spans="1:9" x14ac:dyDescent="0.2">
      <c r="A63">
        <f t="shared" si="0"/>
        <v>0</v>
      </c>
      <c r="B63" s="5">
        <v>2017</v>
      </c>
      <c r="C63" s="1">
        <v>90604</v>
      </c>
      <c r="D63" t="s">
        <v>533</v>
      </c>
      <c r="E63" t="s">
        <v>214</v>
      </c>
      <c r="F63" s="8">
        <v>129644</v>
      </c>
      <c r="G63" s="8">
        <v>367751</v>
      </c>
      <c r="H63" s="5">
        <f t="shared" si="1"/>
        <v>497395</v>
      </c>
      <c r="I63">
        <f>IFERROR(VLOOKUP(D63,'LEAID Match'!$A$2:$B$251,2,FALSE),"")</f>
        <v>0</v>
      </c>
    </row>
    <row r="64" spans="1:9" x14ac:dyDescent="0.2">
      <c r="A64">
        <f t="shared" si="0"/>
        <v>0</v>
      </c>
      <c r="B64" s="5">
        <v>2018</v>
      </c>
      <c r="C64" s="1">
        <v>90604</v>
      </c>
      <c r="D64" t="s">
        <v>533</v>
      </c>
      <c r="E64" t="s">
        <v>434</v>
      </c>
      <c r="F64" s="8">
        <v>149596</v>
      </c>
      <c r="G64" s="8">
        <v>310255</v>
      </c>
      <c r="H64" s="5">
        <f t="shared" si="1"/>
        <v>459851</v>
      </c>
      <c r="I64">
        <f>IFERROR(VLOOKUP(D64,'LEAID Match'!$A$2:$B$251,2,FALSE),"")</f>
        <v>0</v>
      </c>
    </row>
    <row r="65" spans="1:9" x14ac:dyDescent="0.2">
      <c r="A65">
        <f t="shared" si="0"/>
        <v>0</v>
      </c>
      <c r="B65" s="5">
        <v>2019</v>
      </c>
      <c r="C65" s="1">
        <v>90604</v>
      </c>
      <c r="D65" t="s">
        <v>533</v>
      </c>
      <c r="E65" t="s">
        <v>214</v>
      </c>
      <c r="F65" s="8">
        <v>79595</v>
      </c>
      <c r="G65" s="8">
        <v>272391</v>
      </c>
      <c r="H65" s="5">
        <f t="shared" si="1"/>
        <v>351986</v>
      </c>
      <c r="I65">
        <f>IFERROR(VLOOKUP(D65,'LEAID Match'!$A$2:$B$251,2,FALSE),"")</f>
        <v>0</v>
      </c>
    </row>
    <row r="66" spans="1:9" x14ac:dyDescent="0.2">
      <c r="A66">
        <f t="shared" si="0"/>
        <v>0</v>
      </c>
      <c r="B66" s="5">
        <v>2020</v>
      </c>
      <c r="C66" s="1">
        <v>90604</v>
      </c>
      <c r="D66" t="s">
        <v>533</v>
      </c>
      <c r="E66" t="s">
        <v>214</v>
      </c>
      <c r="F66" s="8">
        <v>96630</v>
      </c>
      <c r="G66" s="8">
        <v>230513</v>
      </c>
      <c r="H66" s="5">
        <f t="shared" si="1"/>
        <v>327143</v>
      </c>
      <c r="I66">
        <f>IFERROR(VLOOKUP(D66,'LEAID Match'!$A$2:$B$251,2,FALSE),"")</f>
        <v>0</v>
      </c>
    </row>
    <row r="67" spans="1:9" x14ac:dyDescent="0.2">
      <c r="A67">
        <f t="shared" ref="A67:A130" si="2">I67</f>
        <v>0</v>
      </c>
      <c r="B67" s="5">
        <v>2021</v>
      </c>
      <c r="C67" s="1">
        <v>90604</v>
      </c>
      <c r="D67" t="s">
        <v>533</v>
      </c>
      <c r="E67" t="s">
        <v>214</v>
      </c>
      <c r="F67" s="8">
        <v>97953</v>
      </c>
      <c r="G67" s="8">
        <v>239755</v>
      </c>
      <c r="H67" s="5">
        <f t="shared" ref="H67:H130" si="3">SUM(F67:G67)</f>
        <v>337708</v>
      </c>
      <c r="I67">
        <f>IFERROR(VLOOKUP(D67,'LEAID Match'!$A$2:$B$251,2,FALSE),"")</f>
        <v>0</v>
      </c>
    </row>
    <row r="68" spans="1:9" x14ac:dyDescent="0.2">
      <c r="A68">
        <f t="shared" si="2"/>
        <v>0</v>
      </c>
      <c r="B68" s="5">
        <v>2022</v>
      </c>
      <c r="C68" s="1">
        <v>90604</v>
      </c>
      <c r="D68" t="s">
        <v>533</v>
      </c>
      <c r="E68" t="s">
        <v>214</v>
      </c>
      <c r="F68" s="8">
        <v>102081.22</v>
      </c>
      <c r="G68" s="8">
        <v>281584.27</v>
      </c>
      <c r="H68" s="5">
        <f t="shared" si="3"/>
        <v>383665.49</v>
      </c>
      <c r="I68">
        <f>IFERROR(VLOOKUP(D68,'LEAID Match'!$A$2:$B$251,2,FALSE),"")</f>
        <v>0</v>
      </c>
    </row>
    <row r="69" spans="1:9" x14ac:dyDescent="0.2">
      <c r="A69">
        <f t="shared" si="2"/>
        <v>0</v>
      </c>
      <c r="B69" s="5">
        <v>2023</v>
      </c>
      <c r="C69" s="1">
        <v>90604</v>
      </c>
      <c r="D69" t="s">
        <v>533</v>
      </c>
      <c r="E69" t="s">
        <v>507</v>
      </c>
      <c r="F69" s="8">
        <v>125742.94</v>
      </c>
      <c r="G69" s="8">
        <v>223277.89</v>
      </c>
      <c r="H69" s="5">
        <f t="shared" si="3"/>
        <v>349020.83</v>
      </c>
      <c r="I69">
        <f>IFERROR(VLOOKUP(D69,'LEAID Match'!$A$2:$B$251,2,FALSE),"")</f>
        <v>0</v>
      </c>
    </row>
    <row r="70" spans="1:9" x14ac:dyDescent="0.2">
      <c r="A70">
        <f t="shared" si="2"/>
        <v>0</v>
      </c>
      <c r="B70" s="5">
        <v>2016</v>
      </c>
      <c r="C70" s="1">
        <v>90605</v>
      </c>
      <c r="D70" t="s">
        <v>534</v>
      </c>
      <c r="E70" t="s">
        <v>534</v>
      </c>
      <c r="F70" s="8" t="s">
        <v>591</v>
      </c>
      <c r="G70" s="8">
        <v>287991</v>
      </c>
      <c r="H70" s="5">
        <f t="shared" si="3"/>
        <v>287991</v>
      </c>
      <c r="I70">
        <f>IFERROR(VLOOKUP(D70,'LEAID Match'!$A$2:$B$251,2,FALSE),"")</f>
        <v>0</v>
      </c>
    </row>
    <row r="71" spans="1:9" x14ac:dyDescent="0.2">
      <c r="A71">
        <f t="shared" si="2"/>
        <v>0</v>
      </c>
      <c r="B71" s="5">
        <v>2017</v>
      </c>
      <c r="C71" s="1">
        <v>90605</v>
      </c>
      <c r="D71" t="s">
        <v>534</v>
      </c>
      <c r="E71" t="s">
        <v>215</v>
      </c>
      <c r="F71" s="8">
        <v>143090</v>
      </c>
      <c r="G71" s="8">
        <v>290361</v>
      </c>
      <c r="H71" s="5">
        <f t="shared" si="3"/>
        <v>433451</v>
      </c>
      <c r="I71">
        <f>IFERROR(VLOOKUP(D71,'LEAID Match'!$A$2:$B$251,2,FALSE),"")</f>
        <v>0</v>
      </c>
    </row>
    <row r="72" spans="1:9" x14ac:dyDescent="0.2">
      <c r="A72">
        <f t="shared" si="2"/>
        <v>0</v>
      </c>
      <c r="B72" s="5">
        <v>2018</v>
      </c>
      <c r="C72" s="1">
        <v>90605</v>
      </c>
      <c r="D72" t="s">
        <v>534</v>
      </c>
      <c r="E72" t="s">
        <v>435</v>
      </c>
      <c r="F72" s="8">
        <v>163670</v>
      </c>
      <c r="G72" s="8">
        <v>302060</v>
      </c>
      <c r="H72" s="5">
        <f t="shared" si="3"/>
        <v>465730</v>
      </c>
      <c r="I72">
        <f>IFERROR(VLOOKUP(D72,'LEAID Match'!$A$2:$B$251,2,FALSE),"")</f>
        <v>0</v>
      </c>
    </row>
    <row r="73" spans="1:9" x14ac:dyDescent="0.2">
      <c r="A73">
        <f t="shared" si="2"/>
        <v>0</v>
      </c>
      <c r="B73" s="5">
        <v>2019</v>
      </c>
      <c r="C73" s="1">
        <v>90605</v>
      </c>
      <c r="D73" t="s">
        <v>534</v>
      </c>
      <c r="E73" t="s">
        <v>215</v>
      </c>
      <c r="F73" s="8">
        <v>93114</v>
      </c>
      <c r="G73" s="8">
        <v>286804</v>
      </c>
      <c r="H73" s="5">
        <f t="shared" si="3"/>
        <v>379918</v>
      </c>
      <c r="I73">
        <f>IFERROR(VLOOKUP(D73,'LEAID Match'!$A$2:$B$251,2,FALSE),"")</f>
        <v>0</v>
      </c>
    </row>
    <row r="74" spans="1:9" x14ac:dyDescent="0.2">
      <c r="A74">
        <f t="shared" si="2"/>
        <v>0</v>
      </c>
      <c r="B74" s="5">
        <v>2020</v>
      </c>
      <c r="C74" s="1">
        <v>90605</v>
      </c>
      <c r="D74" t="s">
        <v>534</v>
      </c>
      <c r="E74" t="s">
        <v>215</v>
      </c>
      <c r="F74" s="8">
        <v>107213</v>
      </c>
      <c r="G74" s="8">
        <v>290522</v>
      </c>
      <c r="H74" s="5">
        <f t="shared" si="3"/>
        <v>397735</v>
      </c>
      <c r="I74">
        <f>IFERROR(VLOOKUP(D74,'LEAID Match'!$A$2:$B$251,2,FALSE),"")</f>
        <v>0</v>
      </c>
    </row>
    <row r="75" spans="1:9" x14ac:dyDescent="0.2">
      <c r="A75">
        <f t="shared" si="2"/>
        <v>0</v>
      </c>
      <c r="B75" s="5">
        <v>2021</v>
      </c>
      <c r="C75" s="1">
        <v>90605</v>
      </c>
      <c r="D75" t="s">
        <v>534</v>
      </c>
      <c r="E75" t="s">
        <v>215</v>
      </c>
      <c r="F75" s="8">
        <v>104505</v>
      </c>
      <c r="G75" s="8">
        <v>267420</v>
      </c>
      <c r="H75" s="5">
        <f t="shared" si="3"/>
        <v>371925</v>
      </c>
      <c r="I75">
        <f>IFERROR(VLOOKUP(D75,'LEAID Match'!$A$2:$B$251,2,FALSE),"")</f>
        <v>0</v>
      </c>
    </row>
    <row r="76" spans="1:9" x14ac:dyDescent="0.2">
      <c r="A76">
        <f t="shared" si="2"/>
        <v>0</v>
      </c>
      <c r="B76" s="5">
        <v>2022</v>
      </c>
      <c r="C76" s="1">
        <v>90605</v>
      </c>
      <c r="D76" t="s">
        <v>534</v>
      </c>
      <c r="E76" t="s">
        <v>215</v>
      </c>
      <c r="F76" s="8">
        <v>118920.62</v>
      </c>
      <c r="G76" s="8">
        <v>282014.65000000002</v>
      </c>
      <c r="H76" s="5">
        <f t="shared" si="3"/>
        <v>400935.27</v>
      </c>
      <c r="I76">
        <f>IFERROR(VLOOKUP(D76,'LEAID Match'!$A$2:$B$251,2,FALSE),"")</f>
        <v>0</v>
      </c>
    </row>
    <row r="77" spans="1:9" x14ac:dyDescent="0.2">
      <c r="A77">
        <f t="shared" si="2"/>
        <v>0</v>
      </c>
      <c r="B77" s="5">
        <v>2023</v>
      </c>
      <c r="C77" s="1">
        <v>90605</v>
      </c>
      <c r="D77" t="s">
        <v>534</v>
      </c>
      <c r="E77" t="s">
        <v>508</v>
      </c>
      <c r="F77" s="8">
        <v>204124.92</v>
      </c>
      <c r="G77" s="8">
        <v>260943.48</v>
      </c>
      <c r="H77" s="5">
        <f t="shared" si="3"/>
        <v>465068.4</v>
      </c>
      <c r="I77">
        <f>IFERROR(VLOOKUP(D77,'LEAID Match'!$A$2:$B$251,2,FALSE),"")</f>
        <v>0</v>
      </c>
    </row>
    <row r="78" spans="1:9" x14ac:dyDescent="0.2">
      <c r="A78">
        <f t="shared" si="2"/>
        <v>0</v>
      </c>
      <c r="B78" s="5">
        <v>2016</v>
      </c>
      <c r="C78" s="1">
        <v>90608</v>
      </c>
      <c r="D78" t="s">
        <v>535</v>
      </c>
      <c r="E78" t="s">
        <v>535</v>
      </c>
      <c r="F78" s="8" t="s">
        <v>591</v>
      </c>
      <c r="G78" s="8">
        <v>78063</v>
      </c>
      <c r="H78" s="5">
        <f t="shared" si="3"/>
        <v>78063</v>
      </c>
      <c r="I78">
        <f>IFERROR(VLOOKUP(D78,'LEAID Match'!$A$2:$B$251,2,FALSE),"")</f>
        <v>0</v>
      </c>
    </row>
    <row r="79" spans="1:9" x14ac:dyDescent="0.2">
      <c r="A79">
        <f t="shared" si="2"/>
        <v>0</v>
      </c>
      <c r="B79" s="5">
        <v>2017</v>
      </c>
      <c r="C79" s="1">
        <v>90608</v>
      </c>
      <c r="D79" t="s">
        <v>535</v>
      </c>
      <c r="E79" t="s">
        <v>216</v>
      </c>
      <c r="F79" s="8">
        <v>44085</v>
      </c>
      <c r="G79" s="8">
        <v>106703</v>
      </c>
      <c r="H79" s="5">
        <f t="shared" si="3"/>
        <v>150788</v>
      </c>
      <c r="I79">
        <f>IFERROR(VLOOKUP(D79,'LEAID Match'!$A$2:$B$251,2,FALSE),"")</f>
        <v>0</v>
      </c>
    </row>
    <row r="80" spans="1:9" x14ac:dyDescent="0.2">
      <c r="A80">
        <f t="shared" si="2"/>
        <v>0</v>
      </c>
      <c r="B80" s="5">
        <v>2018</v>
      </c>
      <c r="C80" s="1">
        <v>90608</v>
      </c>
      <c r="D80" t="s">
        <v>535</v>
      </c>
      <c r="E80" t="s">
        <v>436</v>
      </c>
      <c r="F80" s="8">
        <v>67367</v>
      </c>
      <c r="G80" s="8">
        <v>113752</v>
      </c>
      <c r="H80" s="5">
        <f t="shared" si="3"/>
        <v>181119</v>
      </c>
      <c r="I80">
        <f>IFERROR(VLOOKUP(D80,'LEAID Match'!$A$2:$B$251,2,FALSE),"")</f>
        <v>0</v>
      </c>
    </row>
    <row r="81" spans="1:9" x14ac:dyDescent="0.2">
      <c r="A81">
        <f t="shared" si="2"/>
        <v>0</v>
      </c>
      <c r="B81" s="5">
        <v>2019</v>
      </c>
      <c r="C81" s="1">
        <v>90608</v>
      </c>
      <c r="D81" t="s">
        <v>535</v>
      </c>
      <c r="E81" t="s">
        <v>216</v>
      </c>
      <c r="F81" s="8">
        <v>61823</v>
      </c>
      <c r="G81" s="8">
        <v>161168</v>
      </c>
      <c r="H81" s="5">
        <f t="shared" si="3"/>
        <v>222991</v>
      </c>
      <c r="I81">
        <f>IFERROR(VLOOKUP(D81,'LEAID Match'!$A$2:$B$251,2,FALSE),"")</f>
        <v>0</v>
      </c>
    </row>
    <row r="82" spans="1:9" x14ac:dyDescent="0.2">
      <c r="A82">
        <f t="shared" si="2"/>
        <v>0</v>
      </c>
      <c r="B82" s="5">
        <v>2020</v>
      </c>
      <c r="C82" s="1">
        <v>90608</v>
      </c>
      <c r="D82" t="s">
        <v>535</v>
      </c>
      <c r="E82" t="s">
        <v>216</v>
      </c>
      <c r="F82" s="8">
        <v>60961</v>
      </c>
      <c r="G82" s="8">
        <v>166414</v>
      </c>
      <c r="H82" s="5">
        <f t="shared" si="3"/>
        <v>227375</v>
      </c>
      <c r="I82">
        <f>IFERROR(VLOOKUP(D82,'LEAID Match'!$A$2:$B$251,2,FALSE),"")</f>
        <v>0</v>
      </c>
    </row>
    <row r="83" spans="1:9" x14ac:dyDescent="0.2">
      <c r="A83">
        <f t="shared" si="2"/>
        <v>0</v>
      </c>
      <c r="B83" s="5">
        <v>2021</v>
      </c>
      <c r="C83" s="1">
        <v>90608</v>
      </c>
      <c r="D83" t="s">
        <v>535</v>
      </c>
      <c r="E83" t="s">
        <v>216</v>
      </c>
      <c r="F83" s="8">
        <v>70652</v>
      </c>
      <c r="G83" s="8">
        <v>172811</v>
      </c>
      <c r="H83" s="5">
        <f t="shared" si="3"/>
        <v>243463</v>
      </c>
      <c r="I83">
        <f>IFERROR(VLOOKUP(D83,'LEAID Match'!$A$2:$B$251,2,FALSE),"")</f>
        <v>0</v>
      </c>
    </row>
    <row r="84" spans="1:9" x14ac:dyDescent="0.2">
      <c r="A84">
        <f t="shared" si="2"/>
        <v>0</v>
      </c>
      <c r="B84" s="5">
        <v>2022</v>
      </c>
      <c r="C84" s="1">
        <v>90608</v>
      </c>
      <c r="D84" t="s">
        <v>535</v>
      </c>
      <c r="E84" t="s">
        <v>216</v>
      </c>
      <c r="F84" s="8">
        <v>75650.509999999893</v>
      </c>
      <c r="G84" s="8">
        <v>172389.22</v>
      </c>
      <c r="H84" s="5">
        <f t="shared" si="3"/>
        <v>248039.72999999989</v>
      </c>
      <c r="I84">
        <f>IFERROR(VLOOKUP(D84,'LEAID Match'!$A$2:$B$251,2,FALSE),"")</f>
        <v>0</v>
      </c>
    </row>
    <row r="85" spans="1:9" x14ac:dyDescent="0.2">
      <c r="A85">
        <f t="shared" si="2"/>
        <v>0</v>
      </c>
      <c r="B85" s="5">
        <v>2023</v>
      </c>
      <c r="C85" s="1">
        <v>90608</v>
      </c>
      <c r="D85" t="s">
        <v>535</v>
      </c>
      <c r="E85" t="s">
        <v>511</v>
      </c>
      <c r="F85" s="8">
        <v>110036.25</v>
      </c>
      <c r="G85" s="8">
        <v>135660.34</v>
      </c>
      <c r="H85" s="5">
        <f t="shared" si="3"/>
        <v>245696.59</v>
      </c>
      <c r="I85">
        <f>IFERROR(VLOOKUP(D85,'LEAID Match'!$A$2:$B$251,2,FALSE),"")</f>
        <v>0</v>
      </c>
    </row>
    <row r="86" spans="1:9" x14ac:dyDescent="0.2">
      <c r="A86">
        <f t="shared" si="2"/>
        <v>0</v>
      </c>
      <c r="B86" s="5">
        <v>2016</v>
      </c>
      <c r="C86" s="1">
        <v>90609</v>
      </c>
      <c r="D86" t="s">
        <v>536</v>
      </c>
      <c r="E86" t="s">
        <v>536</v>
      </c>
      <c r="F86" s="8" t="s">
        <v>591</v>
      </c>
      <c r="G86" s="8">
        <v>37181</v>
      </c>
      <c r="H86" s="5">
        <f t="shared" si="3"/>
        <v>37181</v>
      </c>
      <c r="I86">
        <f>IFERROR(VLOOKUP(D86,'LEAID Match'!$A$2:$B$251,2,FALSE),"")</f>
        <v>0</v>
      </c>
    </row>
    <row r="87" spans="1:9" x14ac:dyDescent="0.2">
      <c r="A87">
        <f t="shared" si="2"/>
        <v>0</v>
      </c>
      <c r="B87" s="5">
        <v>2017</v>
      </c>
      <c r="C87" s="1">
        <v>90609</v>
      </c>
      <c r="D87" t="s">
        <v>536</v>
      </c>
      <c r="E87" t="s">
        <v>217</v>
      </c>
      <c r="F87" s="8">
        <v>74410</v>
      </c>
      <c r="G87" s="8">
        <v>51533</v>
      </c>
      <c r="H87" s="5">
        <f t="shared" si="3"/>
        <v>125943</v>
      </c>
      <c r="I87">
        <f>IFERROR(VLOOKUP(D87,'LEAID Match'!$A$2:$B$251,2,FALSE),"")</f>
        <v>0</v>
      </c>
    </row>
    <row r="88" spans="1:9" x14ac:dyDescent="0.2">
      <c r="A88">
        <f t="shared" si="2"/>
        <v>0</v>
      </c>
      <c r="B88" s="5">
        <v>2018</v>
      </c>
      <c r="C88" s="1">
        <v>90609</v>
      </c>
      <c r="D88" t="s">
        <v>536</v>
      </c>
      <c r="E88" t="s">
        <v>437</v>
      </c>
      <c r="F88" s="8">
        <v>94479</v>
      </c>
      <c r="G88" s="8">
        <v>63465</v>
      </c>
      <c r="H88" s="5">
        <f t="shared" si="3"/>
        <v>157944</v>
      </c>
      <c r="I88">
        <f>IFERROR(VLOOKUP(D88,'LEAID Match'!$A$2:$B$251,2,FALSE),"")</f>
        <v>0</v>
      </c>
    </row>
    <row r="89" spans="1:9" x14ac:dyDescent="0.2">
      <c r="A89">
        <f t="shared" si="2"/>
        <v>0</v>
      </c>
      <c r="B89" s="5">
        <v>2019</v>
      </c>
      <c r="C89" s="1">
        <v>90609</v>
      </c>
      <c r="D89" t="s">
        <v>536</v>
      </c>
      <c r="E89" t="s">
        <v>217</v>
      </c>
      <c r="F89" s="8">
        <v>79348</v>
      </c>
      <c r="G89" s="8">
        <v>60840</v>
      </c>
      <c r="H89" s="5">
        <f t="shared" si="3"/>
        <v>140188</v>
      </c>
      <c r="I89">
        <f>IFERROR(VLOOKUP(D89,'LEAID Match'!$A$2:$B$251,2,FALSE),"")</f>
        <v>0</v>
      </c>
    </row>
    <row r="90" spans="1:9" x14ac:dyDescent="0.2">
      <c r="A90">
        <f t="shared" si="2"/>
        <v>0</v>
      </c>
      <c r="B90" s="5">
        <v>2020</v>
      </c>
      <c r="C90" s="1">
        <v>90609</v>
      </c>
      <c r="D90" t="s">
        <v>536</v>
      </c>
      <c r="E90" t="s">
        <v>217</v>
      </c>
      <c r="F90" s="8">
        <v>87893</v>
      </c>
      <c r="G90" s="8">
        <v>46379</v>
      </c>
      <c r="H90" s="5">
        <f t="shared" si="3"/>
        <v>134272</v>
      </c>
      <c r="I90">
        <f>IFERROR(VLOOKUP(D90,'LEAID Match'!$A$2:$B$251,2,FALSE),"")</f>
        <v>0</v>
      </c>
    </row>
    <row r="91" spans="1:9" x14ac:dyDescent="0.2">
      <c r="A91">
        <f t="shared" si="2"/>
        <v>0</v>
      </c>
      <c r="B91" s="5">
        <v>2021</v>
      </c>
      <c r="C91" s="1">
        <v>90609</v>
      </c>
      <c r="D91" t="s">
        <v>536</v>
      </c>
      <c r="E91" t="s">
        <v>217</v>
      </c>
      <c r="F91" s="8" t="s">
        <v>591</v>
      </c>
      <c r="G91" s="8" t="s">
        <v>591</v>
      </c>
      <c r="H91" s="5">
        <f t="shared" si="3"/>
        <v>0</v>
      </c>
      <c r="I91">
        <f>IFERROR(VLOOKUP(D91,'LEAID Match'!$A$2:$B$251,2,FALSE),"")</f>
        <v>0</v>
      </c>
    </row>
    <row r="92" spans="1:9" x14ac:dyDescent="0.2">
      <c r="A92">
        <f t="shared" si="2"/>
        <v>0</v>
      </c>
      <c r="B92" s="5">
        <v>2022</v>
      </c>
      <c r="C92" s="1">
        <v>90609</v>
      </c>
      <c r="D92" t="s">
        <v>536</v>
      </c>
      <c r="E92" t="s">
        <v>217</v>
      </c>
      <c r="F92" s="8" t="s">
        <v>591</v>
      </c>
      <c r="G92" s="8" t="s">
        <v>591</v>
      </c>
      <c r="H92" s="5">
        <f t="shared" si="3"/>
        <v>0</v>
      </c>
      <c r="I92">
        <f>IFERROR(VLOOKUP(D92,'LEAID Match'!$A$2:$B$251,2,FALSE),"")</f>
        <v>0</v>
      </c>
    </row>
    <row r="93" spans="1:9" x14ac:dyDescent="0.2">
      <c r="A93">
        <f t="shared" si="2"/>
        <v>0</v>
      </c>
      <c r="B93" s="5">
        <v>2023</v>
      </c>
      <c r="C93" s="1">
        <v>90609</v>
      </c>
      <c r="D93" t="s">
        <v>536</v>
      </c>
      <c r="E93" t="s">
        <v>512</v>
      </c>
      <c r="F93" s="8" t="s">
        <v>591</v>
      </c>
      <c r="G93" s="8" t="s">
        <v>591</v>
      </c>
      <c r="H93" s="5">
        <f t="shared" si="3"/>
        <v>0</v>
      </c>
      <c r="I93">
        <f>IFERROR(VLOOKUP(D93,'LEAID Match'!$A$2:$B$251,2,FALSE),"")</f>
        <v>0</v>
      </c>
    </row>
    <row r="94" spans="1:9" x14ac:dyDescent="0.2">
      <c r="A94">
        <f t="shared" si="2"/>
        <v>0</v>
      </c>
      <c r="B94" s="5">
        <v>2016</v>
      </c>
      <c r="C94" s="1">
        <v>90602</v>
      </c>
      <c r="D94" t="s">
        <v>537</v>
      </c>
      <c r="E94" t="s">
        <v>537</v>
      </c>
      <c r="F94" s="8" t="s">
        <v>591</v>
      </c>
      <c r="G94" s="8">
        <v>131003</v>
      </c>
      <c r="H94" s="5">
        <f t="shared" si="3"/>
        <v>131003</v>
      </c>
      <c r="I94">
        <f>IFERROR(VLOOKUP(D94,'LEAID Match'!$A$2:$B$251,2,FALSE),"")</f>
        <v>0</v>
      </c>
    </row>
    <row r="95" spans="1:9" x14ac:dyDescent="0.2">
      <c r="A95">
        <f t="shared" si="2"/>
        <v>0</v>
      </c>
      <c r="B95" s="5">
        <v>2017</v>
      </c>
      <c r="C95" s="1">
        <v>90602</v>
      </c>
      <c r="D95" t="s">
        <v>537</v>
      </c>
      <c r="E95" t="s">
        <v>218</v>
      </c>
      <c r="F95" s="8">
        <v>50794</v>
      </c>
      <c r="G95" s="8">
        <v>112862</v>
      </c>
      <c r="H95" s="5">
        <f t="shared" si="3"/>
        <v>163656</v>
      </c>
      <c r="I95">
        <f>IFERROR(VLOOKUP(D95,'LEAID Match'!$A$2:$B$251,2,FALSE),"")</f>
        <v>0</v>
      </c>
    </row>
    <row r="96" spans="1:9" x14ac:dyDescent="0.2">
      <c r="A96">
        <f t="shared" si="2"/>
        <v>0</v>
      </c>
      <c r="B96" s="5">
        <v>2018</v>
      </c>
      <c r="C96" s="1">
        <v>90602</v>
      </c>
      <c r="D96" t="s">
        <v>537</v>
      </c>
      <c r="E96" t="s">
        <v>438</v>
      </c>
      <c r="F96" s="8" t="s">
        <v>591</v>
      </c>
      <c r="G96" s="8" t="s">
        <v>591</v>
      </c>
      <c r="H96" s="5">
        <f t="shared" si="3"/>
        <v>0</v>
      </c>
      <c r="I96">
        <f>IFERROR(VLOOKUP(D96,'LEAID Match'!$A$2:$B$251,2,FALSE),"")</f>
        <v>0</v>
      </c>
    </row>
    <row r="97" spans="1:9" x14ac:dyDescent="0.2">
      <c r="A97">
        <f t="shared" si="2"/>
        <v>0</v>
      </c>
      <c r="B97" s="5">
        <v>2019</v>
      </c>
      <c r="C97" s="1">
        <v>90602</v>
      </c>
      <c r="D97" t="s">
        <v>537</v>
      </c>
      <c r="E97" t="s">
        <v>218</v>
      </c>
      <c r="F97" s="8" t="s">
        <v>591</v>
      </c>
      <c r="G97" s="8" t="s">
        <v>591</v>
      </c>
      <c r="H97" s="5">
        <f t="shared" si="3"/>
        <v>0</v>
      </c>
      <c r="I97">
        <f>IFERROR(VLOOKUP(D97,'LEAID Match'!$A$2:$B$251,2,FALSE),"")</f>
        <v>0</v>
      </c>
    </row>
    <row r="98" spans="1:9" x14ac:dyDescent="0.2">
      <c r="A98">
        <f t="shared" si="2"/>
        <v>0</v>
      </c>
      <c r="B98" s="5">
        <v>2020</v>
      </c>
      <c r="C98" s="1">
        <v>90602</v>
      </c>
      <c r="D98" t="s">
        <v>537</v>
      </c>
      <c r="E98" t="s">
        <v>218</v>
      </c>
      <c r="F98" s="8" t="s">
        <v>591</v>
      </c>
      <c r="G98" s="8" t="s">
        <v>591</v>
      </c>
      <c r="H98" s="5">
        <f t="shared" si="3"/>
        <v>0</v>
      </c>
      <c r="I98">
        <f>IFERROR(VLOOKUP(D98,'LEAID Match'!$A$2:$B$251,2,FALSE),"")</f>
        <v>0</v>
      </c>
    </row>
    <row r="99" spans="1:9" x14ac:dyDescent="0.2">
      <c r="A99">
        <f t="shared" si="2"/>
        <v>0</v>
      </c>
      <c r="B99" s="5">
        <v>2021</v>
      </c>
      <c r="C99" s="1">
        <v>90602</v>
      </c>
      <c r="D99" t="s">
        <v>537</v>
      </c>
      <c r="E99" t="s">
        <v>218</v>
      </c>
      <c r="F99" s="8" t="s">
        <v>591</v>
      </c>
      <c r="G99" s="8" t="s">
        <v>591</v>
      </c>
      <c r="H99" s="5">
        <f t="shared" si="3"/>
        <v>0</v>
      </c>
      <c r="I99">
        <f>IFERROR(VLOOKUP(D99,'LEAID Match'!$A$2:$B$251,2,FALSE),"")</f>
        <v>0</v>
      </c>
    </row>
    <row r="100" spans="1:9" x14ac:dyDescent="0.2">
      <c r="A100">
        <f t="shared" si="2"/>
        <v>0</v>
      </c>
      <c r="B100" s="5">
        <v>2022</v>
      </c>
      <c r="C100" s="1">
        <v>90602</v>
      </c>
      <c r="D100" t="s">
        <v>537</v>
      </c>
      <c r="E100" t="s">
        <v>218</v>
      </c>
      <c r="F100" s="8" t="s">
        <v>591</v>
      </c>
      <c r="G100" s="8" t="s">
        <v>591</v>
      </c>
      <c r="H100" s="5">
        <f t="shared" si="3"/>
        <v>0</v>
      </c>
      <c r="I100">
        <f>IFERROR(VLOOKUP(D100,'LEAID Match'!$A$2:$B$251,2,FALSE),"")</f>
        <v>0</v>
      </c>
    </row>
    <row r="101" spans="1:9" x14ac:dyDescent="0.2">
      <c r="A101">
        <f t="shared" si="2"/>
        <v>0</v>
      </c>
      <c r="B101" s="5">
        <v>2023</v>
      </c>
      <c r="C101" s="1">
        <v>90602</v>
      </c>
      <c r="D101" t="s">
        <v>537</v>
      </c>
      <c r="E101" t="s">
        <v>506</v>
      </c>
      <c r="F101" s="8" t="s">
        <v>591</v>
      </c>
      <c r="G101" s="8" t="s">
        <v>591</v>
      </c>
      <c r="H101" s="5">
        <f t="shared" si="3"/>
        <v>0</v>
      </c>
      <c r="I101">
        <f>IFERROR(VLOOKUP(D101,'LEAID Match'!$A$2:$B$251,2,FALSE),"")</f>
        <v>0</v>
      </c>
    </row>
    <row r="102" spans="1:9" x14ac:dyDescent="0.2">
      <c r="A102">
        <f t="shared" si="2"/>
        <v>0</v>
      </c>
      <c r="B102" s="5">
        <v>2016</v>
      </c>
      <c r="C102" s="1">
        <v>90607</v>
      </c>
      <c r="D102" t="s">
        <v>538</v>
      </c>
      <c r="E102" t="s">
        <v>538</v>
      </c>
      <c r="F102" s="8" t="s">
        <v>591</v>
      </c>
      <c r="G102" s="8">
        <v>82939</v>
      </c>
      <c r="H102" s="5">
        <f t="shared" si="3"/>
        <v>82939</v>
      </c>
      <c r="I102">
        <f>IFERROR(VLOOKUP(D102,'LEAID Match'!$A$2:$B$251,2,FALSE),"")</f>
        <v>0</v>
      </c>
    </row>
    <row r="103" spans="1:9" x14ac:dyDescent="0.2">
      <c r="A103">
        <f t="shared" si="2"/>
        <v>0</v>
      </c>
      <c r="B103" s="5">
        <v>2017</v>
      </c>
      <c r="C103" s="1">
        <v>90607</v>
      </c>
      <c r="D103" t="s">
        <v>538</v>
      </c>
      <c r="E103" t="s">
        <v>219</v>
      </c>
      <c r="F103" s="8">
        <v>39120</v>
      </c>
      <c r="G103" s="8">
        <v>69351</v>
      </c>
      <c r="H103" s="5">
        <f t="shared" si="3"/>
        <v>108471</v>
      </c>
      <c r="I103">
        <f>IFERROR(VLOOKUP(D103,'LEAID Match'!$A$2:$B$251,2,FALSE),"")</f>
        <v>0</v>
      </c>
    </row>
    <row r="104" spans="1:9" x14ac:dyDescent="0.2">
      <c r="A104">
        <f t="shared" si="2"/>
        <v>0</v>
      </c>
      <c r="B104" s="5">
        <v>2018</v>
      </c>
      <c r="C104" s="1">
        <v>90607</v>
      </c>
      <c r="D104" t="s">
        <v>538</v>
      </c>
      <c r="E104" t="s">
        <v>439</v>
      </c>
      <c r="F104" s="8">
        <v>37329</v>
      </c>
      <c r="G104" s="8">
        <v>80230</v>
      </c>
      <c r="H104" s="5">
        <f t="shared" si="3"/>
        <v>117559</v>
      </c>
      <c r="I104">
        <f>IFERROR(VLOOKUP(D104,'LEAID Match'!$A$2:$B$251,2,FALSE),"")</f>
        <v>0</v>
      </c>
    </row>
    <row r="105" spans="1:9" x14ac:dyDescent="0.2">
      <c r="A105">
        <f t="shared" si="2"/>
        <v>0</v>
      </c>
      <c r="B105" s="5">
        <v>2019</v>
      </c>
      <c r="C105" s="1">
        <v>90607</v>
      </c>
      <c r="D105" t="s">
        <v>538</v>
      </c>
      <c r="E105" t="s">
        <v>219</v>
      </c>
      <c r="F105" s="8" t="s">
        <v>591</v>
      </c>
      <c r="G105" s="8" t="s">
        <v>591</v>
      </c>
      <c r="H105" s="5">
        <f t="shared" si="3"/>
        <v>0</v>
      </c>
      <c r="I105">
        <f>IFERROR(VLOOKUP(D105,'LEAID Match'!$A$2:$B$251,2,FALSE),"")</f>
        <v>0</v>
      </c>
    </row>
    <row r="106" spans="1:9" x14ac:dyDescent="0.2">
      <c r="A106">
        <f t="shared" si="2"/>
        <v>0</v>
      </c>
      <c r="B106" s="5">
        <v>2020</v>
      </c>
      <c r="C106" s="1">
        <v>90607</v>
      </c>
      <c r="D106" t="s">
        <v>538</v>
      </c>
      <c r="E106" t="s">
        <v>219</v>
      </c>
      <c r="F106" s="8" t="s">
        <v>591</v>
      </c>
      <c r="G106" s="8" t="s">
        <v>591</v>
      </c>
      <c r="H106" s="5">
        <f t="shared" si="3"/>
        <v>0</v>
      </c>
      <c r="I106">
        <f>IFERROR(VLOOKUP(D106,'LEAID Match'!$A$2:$B$251,2,FALSE),"")</f>
        <v>0</v>
      </c>
    </row>
    <row r="107" spans="1:9" x14ac:dyDescent="0.2">
      <c r="A107">
        <f t="shared" si="2"/>
        <v>0</v>
      </c>
      <c r="B107" s="5">
        <v>2021</v>
      </c>
      <c r="C107" s="1">
        <v>90607</v>
      </c>
      <c r="D107" t="s">
        <v>538</v>
      </c>
      <c r="E107" t="s">
        <v>219</v>
      </c>
      <c r="F107" s="8" t="s">
        <v>591</v>
      </c>
      <c r="G107" s="8" t="s">
        <v>591</v>
      </c>
      <c r="H107" s="5">
        <f t="shared" si="3"/>
        <v>0</v>
      </c>
      <c r="I107">
        <f>IFERROR(VLOOKUP(D107,'LEAID Match'!$A$2:$B$251,2,FALSE),"")</f>
        <v>0</v>
      </c>
    </row>
    <row r="108" spans="1:9" x14ac:dyDescent="0.2">
      <c r="A108">
        <f t="shared" si="2"/>
        <v>0</v>
      </c>
      <c r="B108" s="5">
        <v>2022</v>
      </c>
      <c r="C108" s="1">
        <v>90607</v>
      </c>
      <c r="D108" t="s">
        <v>538</v>
      </c>
      <c r="E108" t="s">
        <v>219</v>
      </c>
      <c r="F108" s="8" t="s">
        <v>591</v>
      </c>
      <c r="G108" s="8" t="s">
        <v>591</v>
      </c>
      <c r="H108" s="5">
        <f t="shared" si="3"/>
        <v>0</v>
      </c>
      <c r="I108">
        <f>IFERROR(VLOOKUP(D108,'LEAID Match'!$A$2:$B$251,2,FALSE),"")</f>
        <v>0</v>
      </c>
    </row>
    <row r="109" spans="1:9" x14ac:dyDescent="0.2">
      <c r="A109">
        <f t="shared" si="2"/>
        <v>0</v>
      </c>
      <c r="B109" s="5">
        <v>2023</v>
      </c>
      <c r="C109" s="1">
        <v>90607</v>
      </c>
      <c r="D109" t="s">
        <v>538</v>
      </c>
      <c r="E109" t="s">
        <v>510</v>
      </c>
      <c r="F109" s="8" t="s">
        <v>591</v>
      </c>
      <c r="G109" s="8" t="s">
        <v>591</v>
      </c>
      <c r="H109" s="5">
        <f t="shared" si="3"/>
        <v>0</v>
      </c>
      <c r="I109">
        <f>IFERROR(VLOOKUP(D109,'LEAID Match'!$A$2:$B$251,2,FALSE),"")</f>
        <v>0</v>
      </c>
    </row>
    <row r="110" spans="1:9" x14ac:dyDescent="0.2">
      <c r="A110">
        <f t="shared" si="2"/>
        <v>0</v>
      </c>
      <c r="B110" s="5">
        <v>2016</v>
      </c>
      <c r="C110" s="1">
        <v>90610</v>
      </c>
      <c r="D110" t="s">
        <v>539</v>
      </c>
      <c r="E110" t="s">
        <v>539</v>
      </c>
      <c r="F110" s="8" t="s">
        <v>591</v>
      </c>
      <c r="G110" s="8">
        <v>200207</v>
      </c>
      <c r="H110" s="5">
        <f t="shared" si="3"/>
        <v>200207</v>
      </c>
      <c r="I110">
        <f>IFERROR(VLOOKUP(D110,'LEAID Match'!$A$2:$B$251,2,FALSE),"")</f>
        <v>0</v>
      </c>
    </row>
    <row r="111" spans="1:9" x14ac:dyDescent="0.2">
      <c r="A111">
        <f t="shared" si="2"/>
        <v>0</v>
      </c>
      <c r="B111" s="5">
        <v>2017</v>
      </c>
      <c r="C111" s="1">
        <v>90610</v>
      </c>
      <c r="D111" t="s">
        <v>539</v>
      </c>
      <c r="E111" t="s">
        <v>220</v>
      </c>
      <c r="F111" s="8">
        <v>178151</v>
      </c>
      <c r="G111" s="8">
        <v>422020</v>
      </c>
      <c r="H111" s="5">
        <f t="shared" si="3"/>
        <v>600171</v>
      </c>
      <c r="I111">
        <f>IFERROR(VLOOKUP(D111,'LEAID Match'!$A$2:$B$251,2,FALSE),"")</f>
        <v>0</v>
      </c>
    </row>
    <row r="112" spans="1:9" x14ac:dyDescent="0.2">
      <c r="A112">
        <f t="shared" si="2"/>
        <v>0</v>
      </c>
      <c r="B112" s="5">
        <v>2018</v>
      </c>
      <c r="C112" s="1">
        <v>90610</v>
      </c>
      <c r="D112" t="s">
        <v>539</v>
      </c>
      <c r="E112" t="s">
        <v>440</v>
      </c>
      <c r="F112" s="8">
        <v>165758</v>
      </c>
      <c r="G112" s="8">
        <v>436985</v>
      </c>
      <c r="H112" s="5">
        <f t="shared" si="3"/>
        <v>602743</v>
      </c>
      <c r="I112">
        <f>IFERROR(VLOOKUP(D112,'LEAID Match'!$A$2:$B$251,2,FALSE),"")</f>
        <v>0</v>
      </c>
    </row>
    <row r="113" spans="1:9" x14ac:dyDescent="0.2">
      <c r="A113">
        <f t="shared" si="2"/>
        <v>0</v>
      </c>
      <c r="B113" s="5">
        <v>2019</v>
      </c>
      <c r="C113" s="1">
        <v>90610</v>
      </c>
      <c r="D113" t="s">
        <v>539</v>
      </c>
      <c r="E113" t="s">
        <v>220</v>
      </c>
      <c r="F113" s="8">
        <v>83256</v>
      </c>
      <c r="G113" s="8">
        <v>530334</v>
      </c>
      <c r="H113" s="5">
        <f t="shared" si="3"/>
        <v>613590</v>
      </c>
      <c r="I113">
        <f>IFERROR(VLOOKUP(D113,'LEAID Match'!$A$2:$B$251,2,FALSE),"")</f>
        <v>0</v>
      </c>
    </row>
    <row r="114" spans="1:9" x14ac:dyDescent="0.2">
      <c r="A114">
        <f t="shared" si="2"/>
        <v>0</v>
      </c>
      <c r="B114" s="5">
        <v>2020</v>
      </c>
      <c r="C114" s="1">
        <v>90610</v>
      </c>
      <c r="D114" t="s">
        <v>539</v>
      </c>
      <c r="E114" t="s">
        <v>220</v>
      </c>
      <c r="F114" s="8">
        <v>66924.929999999906</v>
      </c>
      <c r="G114" s="8">
        <v>528418</v>
      </c>
      <c r="H114" s="5">
        <f t="shared" si="3"/>
        <v>595342.92999999993</v>
      </c>
      <c r="I114">
        <f>IFERROR(VLOOKUP(D114,'LEAID Match'!$A$2:$B$251,2,FALSE),"")</f>
        <v>0</v>
      </c>
    </row>
    <row r="115" spans="1:9" x14ac:dyDescent="0.2">
      <c r="A115">
        <f t="shared" si="2"/>
        <v>0</v>
      </c>
      <c r="B115" s="5">
        <v>2021</v>
      </c>
      <c r="C115" s="1">
        <v>90610</v>
      </c>
      <c r="D115" t="s">
        <v>539</v>
      </c>
      <c r="E115" t="s">
        <v>220</v>
      </c>
      <c r="F115" s="8">
        <v>77570</v>
      </c>
      <c r="G115" s="8">
        <v>444546</v>
      </c>
      <c r="H115" s="5">
        <f t="shared" si="3"/>
        <v>522116</v>
      </c>
      <c r="I115">
        <f>IFERROR(VLOOKUP(D115,'LEAID Match'!$A$2:$B$251,2,FALSE),"")</f>
        <v>0</v>
      </c>
    </row>
    <row r="116" spans="1:9" x14ac:dyDescent="0.2">
      <c r="A116">
        <f t="shared" si="2"/>
        <v>0</v>
      </c>
      <c r="B116" s="5">
        <v>2022</v>
      </c>
      <c r="C116" s="1">
        <v>90610</v>
      </c>
      <c r="D116" t="s">
        <v>539</v>
      </c>
      <c r="E116" t="s">
        <v>220</v>
      </c>
      <c r="F116" s="8">
        <v>83471.210000000006</v>
      </c>
      <c r="G116" s="8">
        <v>469862.71</v>
      </c>
      <c r="H116" s="5">
        <f t="shared" si="3"/>
        <v>553333.92000000004</v>
      </c>
      <c r="I116">
        <f>IFERROR(VLOOKUP(D116,'LEAID Match'!$A$2:$B$251,2,FALSE),"")</f>
        <v>0</v>
      </c>
    </row>
    <row r="117" spans="1:9" x14ac:dyDescent="0.2">
      <c r="A117">
        <f t="shared" si="2"/>
        <v>0</v>
      </c>
      <c r="B117" s="5">
        <v>2023</v>
      </c>
      <c r="C117" s="1">
        <v>90610</v>
      </c>
      <c r="D117" t="s">
        <v>539</v>
      </c>
      <c r="E117" t="s">
        <v>513</v>
      </c>
      <c r="F117" s="8">
        <v>143604.35999999999</v>
      </c>
      <c r="G117" s="8">
        <v>420157.55</v>
      </c>
      <c r="H117" s="5">
        <f t="shared" si="3"/>
        <v>563761.90999999992</v>
      </c>
      <c r="I117">
        <f>IFERROR(VLOOKUP(D117,'LEAID Match'!$A$2:$B$251,2,FALSE),"")</f>
        <v>0</v>
      </c>
    </row>
    <row r="118" spans="1:9" x14ac:dyDescent="0.2">
      <c r="A118">
        <f t="shared" si="2"/>
        <v>0</v>
      </c>
      <c r="B118" s="5">
        <v>2016</v>
      </c>
      <c r="C118" s="1">
        <v>90606</v>
      </c>
      <c r="D118" t="s">
        <v>540</v>
      </c>
      <c r="E118" t="s">
        <v>540</v>
      </c>
      <c r="F118" s="8" t="s">
        <v>591</v>
      </c>
      <c r="G118" s="8">
        <v>233541</v>
      </c>
      <c r="H118" s="5">
        <f t="shared" si="3"/>
        <v>233541</v>
      </c>
      <c r="I118">
        <f>IFERROR(VLOOKUP(D118,'LEAID Match'!$A$2:$B$251,2,FALSE),"")</f>
        <v>0</v>
      </c>
    </row>
    <row r="119" spans="1:9" x14ac:dyDescent="0.2">
      <c r="A119">
        <f t="shared" si="2"/>
        <v>0</v>
      </c>
      <c r="B119" s="5">
        <v>2017</v>
      </c>
      <c r="C119" s="1">
        <v>90606</v>
      </c>
      <c r="D119" t="s">
        <v>540</v>
      </c>
      <c r="E119" t="s">
        <v>221</v>
      </c>
      <c r="F119" s="8">
        <v>92487</v>
      </c>
      <c r="G119" s="8">
        <v>219557</v>
      </c>
      <c r="H119" s="5">
        <f t="shared" si="3"/>
        <v>312044</v>
      </c>
      <c r="I119">
        <f>IFERROR(VLOOKUP(D119,'LEAID Match'!$A$2:$B$251,2,FALSE),"")</f>
        <v>0</v>
      </c>
    </row>
    <row r="120" spans="1:9" x14ac:dyDescent="0.2">
      <c r="A120">
        <f t="shared" si="2"/>
        <v>0</v>
      </c>
      <c r="B120" s="5">
        <v>2018</v>
      </c>
      <c r="C120" s="1">
        <v>90606</v>
      </c>
      <c r="D120" t="s">
        <v>540</v>
      </c>
      <c r="E120" t="s">
        <v>441</v>
      </c>
      <c r="F120" s="8">
        <v>108189</v>
      </c>
      <c r="G120" s="8">
        <v>181407</v>
      </c>
      <c r="H120" s="5">
        <f t="shared" si="3"/>
        <v>289596</v>
      </c>
      <c r="I120">
        <f>IFERROR(VLOOKUP(D120,'LEAID Match'!$A$2:$B$251,2,FALSE),"")</f>
        <v>0</v>
      </c>
    </row>
    <row r="121" spans="1:9" x14ac:dyDescent="0.2">
      <c r="A121">
        <f t="shared" si="2"/>
        <v>0</v>
      </c>
      <c r="B121" s="5">
        <v>2019</v>
      </c>
      <c r="C121" s="1">
        <v>90606</v>
      </c>
      <c r="D121" t="s">
        <v>540</v>
      </c>
      <c r="E121" t="s">
        <v>221</v>
      </c>
      <c r="F121" s="8">
        <v>56925</v>
      </c>
      <c r="G121" s="8">
        <v>134768</v>
      </c>
      <c r="H121" s="5">
        <f t="shared" si="3"/>
        <v>191693</v>
      </c>
      <c r="I121">
        <f>IFERROR(VLOOKUP(D121,'LEAID Match'!$A$2:$B$251,2,FALSE),"")</f>
        <v>0</v>
      </c>
    </row>
    <row r="122" spans="1:9" x14ac:dyDescent="0.2">
      <c r="A122">
        <f t="shared" si="2"/>
        <v>0</v>
      </c>
      <c r="B122" s="5">
        <v>2020</v>
      </c>
      <c r="C122" s="1">
        <v>90606</v>
      </c>
      <c r="D122" t="s">
        <v>540</v>
      </c>
      <c r="E122" t="s">
        <v>221</v>
      </c>
      <c r="F122" s="8">
        <v>53233</v>
      </c>
      <c r="G122" s="8">
        <v>150085</v>
      </c>
      <c r="H122" s="5">
        <f t="shared" si="3"/>
        <v>203318</v>
      </c>
      <c r="I122">
        <f>IFERROR(VLOOKUP(D122,'LEAID Match'!$A$2:$B$251,2,FALSE),"")</f>
        <v>0</v>
      </c>
    </row>
    <row r="123" spans="1:9" x14ac:dyDescent="0.2">
      <c r="A123">
        <f t="shared" si="2"/>
        <v>0</v>
      </c>
      <c r="B123" s="5">
        <v>2021</v>
      </c>
      <c r="C123" s="1">
        <v>90606</v>
      </c>
      <c r="D123" t="s">
        <v>540</v>
      </c>
      <c r="E123" t="s">
        <v>221</v>
      </c>
      <c r="F123" s="8">
        <v>15777</v>
      </c>
      <c r="G123" s="8">
        <v>56500</v>
      </c>
      <c r="H123" s="5">
        <f t="shared" si="3"/>
        <v>72277</v>
      </c>
      <c r="I123">
        <f>IFERROR(VLOOKUP(D123,'LEAID Match'!$A$2:$B$251,2,FALSE),"")</f>
        <v>0</v>
      </c>
    </row>
    <row r="124" spans="1:9" x14ac:dyDescent="0.2">
      <c r="A124">
        <f t="shared" si="2"/>
        <v>0</v>
      </c>
      <c r="B124" s="5">
        <v>2022</v>
      </c>
      <c r="C124" s="1">
        <v>90606</v>
      </c>
      <c r="D124" t="s">
        <v>540</v>
      </c>
      <c r="E124" t="s">
        <v>221</v>
      </c>
      <c r="F124" s="8">
        <v>8816.3700000000008</v>
      </c>
      <c r="G124" s="8">
        <v>70808.570000000007</v>
      </c>
      <c r="H124" s="5">
        <f t="shared" si="3"/>
        <v>79624.94</v>
      </c>
      <c r="I124">
        <f>IFERROR(VLOOKUP(D124,'LEAID Match'!$A$2:$B$251,2,FALSE),"")</f>
        <v>0</v>
      </c>
    </row>
    <row r="125" spans="1:9" x14ac:dyDescent="0.2">
      <c r="A125">
        <f t="shared" si="2"/>
        <v>0</v>
      </c>
      <c r="B125" s="5">
        <v>2023</v>
      </c>
      <c r="C125" s="1">
        <v>90606</v>
      </c>
      <c r="D125" t="s">
        <v>540</v>
      </c>
      <c r="E125" t="s">
        <v>509</v>
      </c>
      <c r="F125" s="8">
        <v>494.47</v>
      </c>
      <c r="G125" s="8">
        <v>247.81</v>
      </c>
      <c r="H125" s="5">
        <f t="shared" si="3"/>
        <v>742.28</v>
      </c>
      <c r="I125">
        <f>IFERROR(VLOOKUP(D125,'LEAID Match'!$A$2:$B$251,2,FALSE),"")</f>
        <v>0</v>
      </c>
    </row>
    <row r="126" spans="1:9" x14ac:dyDescent="0.2">
      <c r="A126">
        <f t="shared" si="2"/>
        <v>0</v>
      </c>
      <c r="B126" s="5">
        <v>2016</v>
      </c>
      <c r="C126" s="1">
        <v>90601</v>
      </c>
      <c r="D126" t="s">
        <v>541</v>
      </c>
      <c r="E126" t="s">
        <v>541</v>
      </c>
      <c r="F126" s="8" t="s">
        <v>591</v>
      </c>
      <c r="G126" s="8">
        <v>99259</v>
      </c>
      <c r="H126" s="5">
        <f t="shared" si="3"/>
        <v>99259</v>
      </c>
      <c r="I126">
        <f>IFERROR(VLOOKUP(D126,'LEAID Match'!$A$2:$B$251,2,FALSE),"")</f>
        <v>0</v>
      </c>
    </row>
    <row r="127" spans="1:9" x14ac:dyDescent="0.2">
      <c r="A127">
        <f t="shared" si="2"/>
        <v>0</v>
      </c>
      <c r="B127" s="5">
        <v>2017</v>
      </c>
      <c r="C127" s="1">
        <v>90601</v>
      </c>
      <c r="D127" t="s">
        <v>541</v>
      </c>
      <c r="E127" t="s">
        <v>222</v>
      </c>
      <c r="F127" s="8">
        <v>62586</v>
      </c>
      <c r="G127" s="8">
        <v>70239</v>
      </c>
      <c r="H127" s="5">
        <f t="shared" si="3"/>
        <v>132825</v>
      </c>
      <c r="I127">
        <f>IFERROR(VLOOKUP(D127,'LEAID Match'!$A$2:$B$251,2,FALSE),"")</f>
        <v>0</v>
      </c>
    </row>
    <row r="128" spans="1:9" x14ac:dyDescent="0.2">
      <c r="A128">
        <f t="shared" si="2"/>
        <v>0</v>
      </c>
      <c r="B128" s="5">
        <v>2018</v>
      </c>
      <c r="C128" s="1">
        <v>90601</v>
      </c>
      <c r="D128" t="s">
        <v>541</v>
      </c>
      <c r="E128" t="s">
        <v>442</v>
      </c>
      <c r="F128" s="8">
        <v>68772</v>
      </c>
      <c r="G128" s="8">
        <v>90302</v>
      </c>
      <c r="H128" s="5">
        <f t="shared" si="3"/>
        <v>159074</v>
      </c>
      <c r="I128">
        <f>IFERROR(VLOOKUP(D128,'LEAID Match'!$A$2:$B$251,2,FALSE),"")</f>
        <v>0</v>
      </c>
    </row>
    <row r="129" spans="1:9" x14ac:dyDescent="0.2">
      <c r="A129">
        <f t="shared" si="2"/>
        <v>0</v>
      </c>
      <c r="B129" s="5">
        <v>2019</v>
      </c>
      <c r="C129" s="1">
        <v>90601</v>
      </c>
      <c r="D129" t="s">
        <v>541</v>
      </c>
      <c r="E129" t="s">
        <v>222</v>
      </c>
      <c r="F129" s="8">
        <v>38812</v>
      </c>
      <c r="G129" s="8">
        <v>99779</v>
      </c>
      <c r="H129" s="5">
        <f t="shared" si="3"/>
        <v>138591</v>
      </c>
      <c r="I129">
        <f>IFERROR(VLOOKUP(D129,'LEAID Match'!$A$2:$B$251,2,FALSE),"")</f>
        <v>0</v>
      </c>
    </row>
    <row r="130" spans="1:9" x14ac:dyDescent="0.2">
      <c r="A130">
        <f t="shared" si="2"/>
        <v>0</v>
      </c>
      <c r="B130" s="5">
        <v>2020</v>
      </c>
      <c r="C130" s="1">
        <v>90601</v>
      </c>
      <c r="D130" t="s">
        <v>541</v>
      </c>
      <c r="E130" t="s">
        <v>222</v>
      </c>
      <c r="F130" s="8">
        <v>49633</v>
      </c>
      <c r="G130" s="8">
        <v>102765</v>
      </c>
      <c r="H130" s="5">
        <f t="shared" si="3"/>
        <v>152398</v>
      </c>
      <c r="I130">
        <f>IFERROR(VLOOKUP(D130,'LEAID Match'!$A$2:$B$251,2,FALSE),"")</f>
        <v>0</v>
      </c>
    </row>
    <row r="131" spans="1:9" x14ac:dyDescent="0.2">
      <c r="A131">
        <f t="shared" ref="A131:A194" si="4">I131</f>
        <v>0</v>
      </c>
      <c r="B131" s="5">
        <v>2021</v>
      </c>
      <c r="C131" s="1">
        <v>90601</v>
      </c>
      <c r="D131" t="s">
        <v>541</v>
      </c>
      <c r="E131" t="s">
        <v>222</v>
      </c>
      <c r="F131" s="8">
        <v>53032</v>
      </c>
      <c r="G131" s="8">
        <v>64601</v>
      </c>
      <c r="H131" s="5">
        <f t="shared" ref="H131:H194" si="5">SUM(F131:G131)</f>
        <v>117633</v>
      </c>
      <c r="I131">
        <f>IFERROR(VLOOKUP(D131,'LEAID Match'!$A$2:$B$251,2,FALSE),"")</f>
        <v>0</v>
      </c>
    </row>
    <row r="132" spans="1:9" x14ac:dyDescent="0.2">
      <c r="A132">
        <f t="shared" si="4"/>
        <v>0</v>
      </c>
      <c r="B132" s="5">
        <v>2022</v>
      </c>
      <c r="C132" s="1">
        <v>90601</v>
      </c>
      <c r="D132" t="s">
        <v>541</v>
      </c>
      <c r="E132" t="s">
        <v>222</v>
      </c>
      <c r="F132" s="8">
        <v>49167.61</v>
      </c>
      <c r="G132" s="8">
        <v>57318.75</v>
      </c>
      <c r="H132" s="5">
        <f t="shared" si="5"/>
        <v>106486.36</v>
      </c>
      <c r="I132">
        <f>IFERROR(VLOOKUP(D132,'LEAID Match'!$A$2:$B$251,2,FALSE),"")</f>
        <v>0</v>
      </c>
    </row>
    <row r="133" spans="1:9" x14ac:dyDescent="0.2">
      <c r="A133">
        <f t="shared" si="4"/>
        <v>0</v>
      </c>
      <c r="B133" s="5">
        <v>2023</v>
      </c>
      <c r="C133" s="1">
        <v>90601</v>
      </c>
      <c r="D133" t="s">
        <v>541</v>
      </c>
      <c r="E133" t="s">
        <v>505</v>
      </c>
      <c r="F133" s="8">
        <v>63829.27</v>
      </c>
      <c r="G133" s="8">
        <v>37999.08</v>
      </c>
      <c r="H133" s="5">
        <f t="shared" si="5"/>
        <v>101828.35</v>
      </c>
      <c r="I133">
        <f>IFERROR(VLOOKUP(D133,'LEAID Match'!$A$2:$B$251,2,FALSE),"")</f>
        <v>0</v>
      </c>
    </row>
    <row r="134" spans="1:9" x14ac:dyDescent="0.2">
      <c r="A134">
        <f t="shared" si="4"/>
        <v>0</v>
      </c>
      <c r="B134" s="5">
        <v>2016</v>
      </c>
      <c r="C134" s="1">
        <v>90615</v>
      </c>
      <c r="D134" t="s">
        <v>542</v>
      </c>
      <c r="E134" t="s">
        <v>542</v>
      </c>
      <c r="F134" s="8" t="s">
        <v>591</v>
      </c>
      <c r="G134" s="8">
        <v>37696</v>
      </c>
      <c r="H134" s="5">
        <f t="shared" si="5"/>
        <v>37696</v>
      </c>
      <c r="I134">
        <f>IFERROR(VLOOKUP(D134,'LEAID Match'!$A$2:$B$251,2,FALSE),"")</f>
        <v>0</v>
      </c>
    </row>
    <row r="135" spans="1:9" x14ac:dyDescent="0.2">
      <c r="A135">
        <f t="shared" si="4"/>
        <v>0</v>
      </c>
      <c r="B135" s="5">
        <v>2017</v>
      </c>
      <c r="C135" s="1">
        <v>90615</v>
      </c>
      <c r="D135" t="s">
        <v>542</v>
      </c>
      <c r="E135" t="s">
        <v>223</v>
      </c>
      <c r="F135" s="8">
        <v>5560</v>
      </c>
      <c r="G135" s="8">
        <v>56239</v>
      </c>
      <c r="H135" s="5">
        <f t="shared" si="5"/>
        <v>61799</v>
      </c>
      <c r="I135">
        <f>IFERROR(VLOOKUP(D135,'LEAID Match'!$A$2:$B$251,2,FALSE),"")</f>
        <v>0</v>
      </c>
    </row>
    <row r="136" spans="1:9" x14ac:dyDescent="0.2">
      <c r="A136">
        <f t="shared" si="4"/>
        <v>0</v>
      </c>
      <c r="B136" s="5">
        <v>2018</v>
      </c>
      <c r="C136" s="1">
        <v>90615</v>
      </c>
      <c r="D136" t="s">
        <v>542</v>
      </c>
      <c r="E136" t="s">
        <v>443</v>
      </c>
      <c r="F136" s="8">
        <v>6719</v>
      </c>
      <c r="G136" s="8">
        <v>59220</v>
      </c>
      <c r="H136" s="5">
        <f t="shared" si="5"/>
        <v>65939</v>
      </c>
      <c r="I136">
        <f>IFERROR(VLOOKUP(D136,'LEAID Match'!$A$2:$B$251,2,FALSE),"")</f>
        <v>0</v>
      </c>
    </row>
    <row r="137" spans="1:9" x14ac:dyDescent="0.2">
      <c r="A137">
        <f t="shared" si="4"/>
        <v>0</v>
      </c>
      <c r="B137" s="5">
        <v>2019</v>
      </c>
      <c r="C137" s="1">
        <v>90615</v>
      </c>
      <c r="D137" t="s">
        <v>542</v>
      </c>
      <c r="E137" t="s">
        <v>223</v>
      </c>
      <c r="F137" s="8">
        <v>1093</v>
      </c>
      <c r="G137" s="8">
        <v>64279</v>
      </c>
      <c r="H137" s="5">
        <f t="shared" si="5"/>
        <v>65372</v>
      </c>
      <c r="I137">
        <f>IFERROR(VLOOKUP(D137,'LEAID Match'!$A$2:$B$251,2,FALSE),"")</f>
        <v>0</v>
      </c>
    </row>
    <row r="138" spans="1:9" x14ac:dyDescent="0.2">
      <c r="A138">
        <f t="shared" si="4"/>
        <v>0</v>
      </c>
      <c r="B138" s="5">
        <v>2020</v>
      </c>
      <c r="C138" s="1">
        <v>90615</v>
      </c>
      <c r="D138" t="s">
        <v>542</v>
      </c>
      <c r="E138" t="s">
        <v>223</v>
      </c>
      <c r="F138" s="8">
        <v>16375</v>
      </c>
      <c r="G138" s="8">
        <v>95180</v>
      </c>
      <c r="H138" s="5">
        <f t="shared" si="5"/>
        <v>111555</v>
      </c>
      <c r="I138">
        <f>IFERROR(VLOOKUP(D138,'LEAID Match'!$A$2:$B$251,2,FALSE),"")</f>
        <v>0</v>
      </c>
    </row>
    <row r="139" spans="1:9" x14ac:dyDescent="0.2">
      <c r="A139">
        <f t="shared" si="4"/>
        <v>0</v>
      </c>
      <c r="B139" s="5">
        <v>2021</v>
      </c>
      <c r="C139" s="1">
        <v>90615</v>
      </c>
      <c r="D139" t="s">
        <v>542</v>
      </c>
      <c r="E139" t="s">
        <v>223</v>
      </c>
      <c r="F139" s="8">
        <v>27523</v>
      </c>
      <c r="G139" s="8">
        <v>106649</v>
      </c>
      <c r="H139" s="5">
        <f t="shared" si="5"/>
        <v>134172</v>
      </c>
      <c r="I139">
        <f>IFERROR(VLOOKUP(D139,'LEAID Match'!$A$2:$B$251,2,FALSE),"")</f>
        <v>0</v>
      </c>
    </row>
    <row r="140" spans="1:9" x14ac:dyDescent="0.2">
      <c r="A140">
        <f t="shared" si="4"/>
        <v>0</v>
      </c>
      <c r="B140" s="5">
        <v>2022</v>
      </c>
      <c r="C140" s="1">
        <v>90615</v>
      </c>
      <c r="D140" t="s">
        <v>542</v>
      </c>
      <c r="E140" t="s">
        <v>223</v>
      </c>
      <c r="F140" s="8">
        <v>30922.37</v>
      </c>
      <c r="G140" s="8">
        <v>89721.25</v>
      </c>
      <c r="H140" s="5">
        <f t="shared" si="5"/>
        <v>120643.62</v>
      </c>
      <c r="I140">
        <f>IFERROR(VLOOKUP(D140,'LEAID Match'!$A$2:$B$251,2,FALSE),"")</f>
        <v>0</v>
      </c>
    </row>
    <row r="141" spans="1:9" x14ac:dyDescent="0.2">
      <c r="A141">
        <f t="shared" si="4"/>
        <v>0</v>
      </c>
      <c r="B141" s="5">
        <v>2023</v>
      </c>
      <c r="C141" s="1">
        <v>90615</v>
      </c>
      <c r="D141" t="s">
        <v>542</v>
      </c>
      <c r="E141" t="s">
        <v>517</v>
      </c>
      <c r="F141" s="8">
        <v>45032.800000000003</v>
      </c>
      <c r="G141" s="8">
        <v>82200.67</v>
      </c>
      <c r="H141" s="5">
        <f t="shared" si="5"/>
        <v>127233.47</v>
      </c>
      <c r="I141">
        <f>IFERROR(VLOOKUP(D141,'LEAID Match'!$A$2:$B$251,2,FALSE),"")</f>
        <v>0</v>
      </c>
    </row>
    <row r="142" spans="1:9" x14ac:dyDescent="0.2">
      <c r="A142">
        <f t="shared" si="4"/>
        <v>0</v>
      </c>
      <c r="B142" s="5">
        <v>2016</v>
      </c>
      <c r="C142" s="1">
        <v>90612</v>
      </c>
      <c r="D142" t="s">
        <v>543</v>
      </c>
      <c r="E142" t="s">
        <v>543</v>
      </c>
      <c r="F142" s="8" t="s">
        <v>591</v>
      </c>
      <c r="G142" s="8">
        <v>57892</v>
      </c>
      <c r="H142" s="5">
        <f t="shared" si="5"/>
        <v>57892</v>
      </c>
      <c r="I142">
        <f>IFERROR(VLOOKUP(D142,'LEAID Match'!$A$2:$B$251,2,FALSE),"")</f>
        <v>0</v>
      </c>
    </row>
    <row r="143" spans="1:9" x14ac:dyDescent="0.2">
      <c r="A143">
        <f t="shared" si="4"/>
        <v>0</v>
      </c>
      <c r="B143" s="5">
        <v>2017</v>
      </c>
      <c r="C143" s="1">
        <v>90612</v>
      </c>
      <c r="D143" t="s">
        <v>543</v>
      </c>
      <c r="E143" t="s">
        <v>224</v>
      </c>
      <c r="F143" s="8">
        <v>19336</v>
      </c>
      <c r="G143" s="8">
        <v>51469</v>
      </c>
      <c r="H143" s="5">
        <f t="shared" si="5"/>
        <v>70805</v>
      </c>
      <c r="I143">
        <f>IFERROR(VLOOKUP(D143,'LEAID Match'!$A$2:$B$251,2,FALSE),"")</f>
        <v>0</v>
      </c>
    </row>
    <row r="144" spans="1:9" x14ac:dyDescent="0.2">
      <c r="A144">
        <f t="shared" si="4"/>
        <v>0</v>
      </c>
      <c r="B144" s="5">
        <v>2018</v>
      </c>
      <c r="C144" s="1">
        <v>90612</v>
      </c>
      <c r="D144" t="s">
        <v>543</v>
      </c>
      <c r="E144" t="s">
        <v>444</v>
      </c>
      <c r="F144" s="8">
        <v>27260</v>
      </c>
      <c r="G144" s="8">
        <v>27409</v>
      </c>
      <c r="H144" s="5">
        <f t="shared" si="5"/>
        <v>54669</v>
      </c>
      <c r="I144">
        <f>IFERROR(VLOOKUP(D144,'LEAID Match'!$A$2:$B$251,2,FALSE),"")</f>
        <v>0</v>
      </c>
    </row>
    <row r="145" spans="1:9" x14ac:dyDescent="0.2">
      <c r="A145">
        <f t="shared" si="4"/>
        <v>0</v>
      </c>
      <c r="B145" s="5">
        <v>2019</v>
      </c>
      <c r="C145" s="1">
        <v>90612</v>
      </c>
      <c r="D145" t="s">
        <v>543</v>
      </c>
      <c r="E145" t="s">
        <v>224</v>
      </c>
      <c r="F145" s="8">
        <v>13389</v>
      </c>
      <c r="G145" s="8">
        <v>31948</v>
      </c>
      <c r="H145" s="5">
        <f t="shared" si="5"/>
        <v>45337</v>
      </c>
      <c r="I145">
        <f>IFERROR(VLOOKUP(D145,'LEAID Match'!$A$2:$B$251,2,FALSE),"")</f>
        <v>0</v>
      </c>
    </row>
    <row r="146" spans="1:9" x14ac:dyDescent="0.2">
      <c r="A146">
        <f t="shared" si="4"/>
        <v>0</v>
      </c>
      <c r="B146" s="5">
        <v>2020</v>
      </c>
      <c r="C146" s="1">
        <v>90612</v>
      </c>
      <c r="D146" t="s">
        <v>543</v>
      </c>
      <c r="E146" t="s">
        <v>224</v>
      </c>
      <c r="F146" s="8">
        <v>12562</v>
      </c>
      <c r="G146" s="8">
        <v>40624</v>
      </c>
      <c r="H146" s="5">
        <f t="shared" si="5"/>
        <v>53186</v>
      </c>
      <c r="I146">
        <f>IFERROR(VLOOKUP(D146,'LEAID Match'!$A$2:$B$251,2,FALSE),"")</f>
        <v>0</v>
      </c>
    </row>
    <row r="147" spans="1:9" x14ac:dyDescent="0.2">
      <c r="A147">
        <f t="shared" si="4"/>
        <v>0</v>
      </c>
      <c r="B147" s="5">
        <v>2021</v>
      </c>
      <c r="C147" s="1">
        <v>90612</v>
      </c>
      <c r="D147" t="s">
        <v>543</v>
      </c>
      <c r="E147" t="s">
        <v>224</v>
      </c>
      <c r="F147" s="8">
        <v>12171</v>
      </c>
      <c r="G147" s="8">
        <v>32108</v>
      </c>
      <c r="H147" s="5">
        <f t="shared" si="5"/>
        <v>44279</v>
      </c>
      <c r="I147">
        <f>IFERROR(VLOOKUP(D147,'LEAID Match'!$A$2:$B$251,2,FALSE),"")</f>
        <v>0</v>
      </c>
    </row>
    <row r="148" spans="1:9" x14ac:dyDescent="0.2">
      <c r="A148">
        <f t="shared" si="4"/>
        <v>0</v>
      </c>
      <c r="B148" s="5">
        <v>2022</v>
      </c>
      <c r="C148" s="1">
        <v>90612</v>
      </c>
      <c r="D148" t="s">
        <v>543</v>
      </c>
      <c r="E148" t="s">
        <v>224</v>
      </c>
      <c r="F148" s="8">
        <v>9190.08</v>
      </c>
      <c r="G148" s="8">
        <v>11567.56</v>
      </c>
      <c r="H148" s="5">
        <f t="shared" si="5"/>
        <v>20757.64</v>
      </c>
      <c r="I148">
        <f>IFERROR(VLOOKUP(D148,'LEAID Match'!$A$2:$B$251,2,FALSE),"")</f>
        <v>0</v>
      </c>
    </row>
    <row r="149" spans="1:9" x14ac:dyDescent="0.2">
      <c r="A149">
        <f t="shared" si="4"/>
        <v>0</v>
      </c>
      <c r="B149" s="5">
        <v>2023</v>
      </c>
      <c r="C149" s="1">
        <v>90612</v>
      </c>
      <c r="D149" t="s">
        <v>543</v>
      </c>
      <c r="E149" t="s">
        <v>515</v>
      </c>
      <c r="F149" s="8">
        <v>2972.55</v>
      </c>
      <c r="G149" s="8">
        <v>1087.98</v>
      </c>
      <c r="H149" s="5">
        <f t="shared" si="5"/>
        <v>4060.53</v>
      </c>
      <c r="I149">
        <f>IFERROR(VLOOKUP(D149,'LEAID Match'!$A$2:$B$251,2,FALSE),"")</f>
        <v>0</v>
      </c>
    </row>
    <row r="150" spans="1:9" x14ac:dyDescent="0.2">
      <c r="A150">
        <f t="shared" si="4"/>
        <v>0</v>
      </c>
      <c r="B150" s="5">
        <v>2016</v>
      </c>
      <c r="C150" s="1">
        <v>90611</v>
      </c>
      <c r="D150" t="s">
        <v>544</v>
      </c>
      <c r="E150" t="s">
        <v>544</v>
      </c>
      <c r="F150" s="8" t="s">
        <v>591</v>
      </c>
      <c r="G150" s="8">
        <v>36948</v>
      </c>
      <c r="H150" s="5">
        <f t="shared" si="5"/>
        <v>36948</v>
      </c>
      <c r="I150">
        <f>IFERROR(VLOOKUP(D150,'LEAID Match'!$A$2:$B$251,2,FALSE),"")</f>
        <v>0</v>
      </c>
    </row>
    <row r="151" spans="1:9" x14ac:dyDescent="0.2">
      <c r="A151">
        <f t="shared" si="4"/>
        <v>0</v>
      </c>
      <c r="B151" s="5">
        <v>2017</v>
      </c>
      <c r="C151" s="1">
        <v>90611</v>
      </c>
      <c r="D151" t="s">
        <v>544</v>
      </c>
      <c r="E151" t="s">
        <v>225</v>
      </c>
      <c r="F151" s="8">
        <v>23160</v>
      </c>
      <c r="G151" s="8">
        <v>33617</v>
      </c>
      <c r="H151" s="5">
        <f t="shared" si="5"/>
        <v>56777</v>
      </c>
      <c r="I151">
        <f>IFERROR(VLOOKUP(D151,'LEAID Match'!$A$2:$B$251,2,FALSE),"")</f>
        <v>0</v>
      </c>
    </row>
    <row r="152" spans="1:9" x14ac:dyDescent="0.2">
      <c r="A152">
        <f t="shared" si="4"/>
        <v>0</v>
      </c>
      <c r="B152" s="5">
        <v>2018</v>
      </c>
      <c r="C152" s="1">
        <v>90611</v>
      </c>
      <c r="D152" t="s">
        <v>544</v>
      </c>
      <c r="E152" t="s">
        <v>445</v>
      </c>
      <c r="F152" s="8">
        <v>32769</v>
      </c>
      <c r="G152" s="8">
        <v>39090</v>
      </c>
      <c r="H152" s="5">
        <f t="shared" si="5"/>
        <v>71859</v>
      </c>
      <c r="I152">
        <f>IFERROR(VLOOKUP(D152,'LEAID Match'!$A$2:$B$251,2,FALSE),"")</f>
        <v>0</v>
      </c>
    </row>
    <row r="153" spans="1:9" x14ac:dyDescent="0.2">
      <c r="A153">
        <f t="shared" si="4"/>
        <v>0</v>
      </c>
      <c r="B153" s="5">
        <v>2019</v>
      </c>
      <c r="C153" s="1">
        <v>90611</v>
      </c>
      <c r="D153" t="s">
        <v>544</v>
      </c>
      <c r="E153" t="s">
        <v>481</v>
      </c>
      <c r="F153" s="8">
        <v>24236</v>
      </c>
      <c r="G153" s="8">
        <v>79166</v>
      </c>
      <c r="H153" s="5">
        <f t="shared" si="5"/>
        <v>103402</v>
      </c>
      <c r="I153">
        <f>IFERROR(VLOOKUP(D153,'LEAID Match'!$A$2:$B$251,2,FALSE),"")</f>
        <v>0</v>
      </c>
    </row>
    <row r="154" spans="1:9" x14ac:dyDescent="0.2">
      <c r="A154">
        <f t="shared" si="4"/>
        <v>0</v>
      </c>
      <c r="B154" s="5">
        <v>2020</v>
      </c>
      <c r="C154" s="1">
        <v>90611</v>
      </c>
      <c r="D154" t="s">
        <v>544</v>
      </c>
      <c r="E154" t="s">
        <v>481</v>
      </c>
      <c r="F154" s="8">
        <v>26757</v>
      </c>
      <c r="G154" s="8">
        <v>66075</v>
      </c>
      <c r="H154" s="5">
        <f t="shared" si="5"/>
        <v>92832</v>
      </c>
      <c r="I154">
        <f>IFERROR(VLOOKUP(D154,'LEAID Match'!$A$2:$B$251,2,FALSE),"")</f>
        <v>0</v>
      </c>
    </row>
    <row r="155" spans="1:9" x14ac:dyDescent="0.2">
      <c r="A155">
        <f t="shared" si="4"/>
        <v>0</v>
      </c>
      <c r="B155" s="5">
        <v>2021</v>
      </c>
      <c r="C155" s="1">
        <v>90611</v>
      </c>
      <c r="D155" t="s">
        <v>544</v>
      </c>
      <c r="E155" t="s">
        <v>481</v>
      </c>
      <c r="F155" s="8">
        <v>17407</v>
      </c>
      <c r="G155" s="8">
        <v>64194</v>
      </c>
      <c r="H155" s="5">
        <f t="shared" si="5"/>
        <v>81601</v>
      </c>
      <c r="I155">
        <f>IFERROR(VLOOKUP(D155,'LEAID Match'!$A$2:$B$251,2,FALSE),"")</f>
        <v>0</v>
      </c>
    </row>
    <row r="156" spans="1:9" x14ac:dyDescent="0.2">
      <c r="A156">
        <f t="shared" si="4"/>
        <v>0</v>
      </c>
      <c r="B156" s="5">
        <v>2022</v>
      </c>
      <c r="C156" s="1">
        <v>90611</v>
      </c>
      <c r="D156" t="s">
        <v>544</v>
      </c>
      <c r="E156" t="s">
        <v>481</v>
      </c>
      <c r="F156" s="8">
        <v>19248.54</v>
      </c>
      <c r="G156" s="8">
        <v>63762.42</v>
      </c>
      <c r="H156" s="5">
        <f t="shared" si="5"/>
        <v>83010.959999999992</v>
      </c>
      <c r="I156">
        <f>IFERROR(VLOOKUP(D156,'LEAID Match'!$A$2:$B$251,2,FALSE),"")</f>
        <v>0</v>
      </c>
    </row>
    <row r="157" spans="1:9" x14ac:dyDescent="0.2">
      <c r="A157">
        <f t="shared" si="4"/>
        <v>0</v>
      </c>
      <c r="B157" s="5">
        <v>2023</v>
      </c>
      <c r="C157" s="1">
        <v>90611</v>
      </c>
      <c r="D157" t="s">
        <v>544</v>
      </c>
      <c r="E157" t="s">
        <v>514</v>
      </c>
      <c r="F157" s="8">
        <v>29482.26</v>
      </c>
      <c r="G157" s="8">
        <v>57658.67</v>
      </c>
      <c r="H157" s="5">
        <f t="shared" si="5"/>
        <v>87140.93</v>
      </c>
      <c r="I157">
        <f>IFERROR(VLOOKUP(D157,'LEAID Match'!$A$2:$B$251,2,FALSE),"")</f>
        <v>0</v>
      </c>
    </row>
    <row r="158" spans="1:9" x14ac:dyDescent="0.2">
      <c r="A158">
        <f t="shared" si="4"/>
        <v>0</v>
      </c>
      <c r="B158" s="5">
        <v>2016</v>
      </c>
      <c r="C158" s="1">
        <v>90613</v>
      </c>
      <c r="D158" t="s">
        <v>545</v>
      </c>
      <c r="E158" t="s">
        <v>545</v>
      </c>
      <c r="F158" s="8" t="s">
        <v>591</v>
      </c>
      <c r="G158" s="8">
        <v>66363</v>
      </c>
      <c r="H158" s="5">
        <f t="shared" si="5"/>
        <v>66363</v>
      </c>
      <c r="I158">
        <f>IFERROR(VLOOKUP(D158,'LEAID Match'!$A$2:$B$251,2,FALSE),"")</f>
        <v>0</v>
      </c>
    </row>
    <row r="159" spans="1:9" x14ac:dyDescent="0.2">
      <c r="A159">
        <f t="shared" si="4"/>
        <v>0</v>
      </c>
      <c r="B159" s="5">
        <v>2017</v>
      </c>
      <c r="C159" s="1">
        <v>90613</v>
      </c>
      <c r="D159" t="s">
        <v>545</v>
      </c>
      <c r="E159" t="s">
        <v>226</v>
      </c>
      <c r="F159" s="8">
        <v>78741</v>
      </c>
      <c r="G159" s="8">
        <v>208117</v>
      </c>
      <c r="H159" s="5">
        <f t="shared" si="5"/>
        <v>286858</v>
      </c>
      <c r="I159">
        <f>IFERROR(VLOOKUP(D159,'LEAID Match'!$A$2:$B$251,2,FALSE),"")</f>
        <v>0</v>
      </c>
    </row>
    <row r="160" spans="1:9" x14ac:dyDescent="0.2">
      <c r="A160">
        <f t="shared" si="4"/>
        <v>0</v>
      </c>
      <c r="B160" s="5">
        <v>2018</v>
      </c>
      <c r="C160" s="1">
        <v>90613</v>
      </c>
      <c r="D160" t="s">
        <v>545</v>
      </c>
      <c r="E160" t="s">
        <v>473</v>
      </c>
      <c r="F160" s="8">
        <v>76289</v>
      </c>
      <c r="G160" s="8">
        <v>153069</v>
      </c>
      <c r="H160" s="5">
        <f t="shared" si="5"/>
        <v>229358</v>
      </c>
      <c r="I160">
        <f>IFERROR(VLOOKUP(D160,'LEAID Match'!$A$2:$B$251,2,FALSE),"")</f>
        <v>0</v>
      </c>
    </row>
    <row r="161" spans="1:9" x14ac:dyDescent="0.2">
      <c r="A161">
        <f t="shared" si="4"/>
        <v>0</v>
      </c>
      <c r="B161" s="5">
        <v>2019</v>
      </c>
      <c r="C161" s="1">
        <v>90613</v>
      </c>
      <c r="D161" t="s">
        <v>545</v>
      </c>
      <c r="E161" t="s">
        <v>494</v>
      </c>
      <c r="F161" s="8">
        <v>46061</v>
      </c>
      <c r="G161" s="8">
        <v>163112</v>
      </c>
      <c r="H161" s="5">
        <f t="shared" si="5"/>
        <v>209173</v>
      </c>
      <c r="I161">
        <f>IFERROR(VLOOKUP(D161,'LEAID Match'!$A$2:$B$251,2,FALSE),"")</f>
        <v>0</v>
      </c>
    </row>
    <row r="162" spans="1:9" x14ac:dyDescent="0.2">
      <c r="A162">
        <f t="shared" si="4"/>
        <v>0</v>
      </c>
      <c r="B162" s="5">
        <v>2020</v>
      </c>
      <c r="C162" s="1">
        <v>90613</v>
      </c>
      <c r="D162" t="s">
        <v>545</v>
      </c>
      <c r="E162" t="s">
        <v>494</v>
      </c>
      <c r="F162" s="8">
        <v>46952</v>
      </c>
      <c r="G162" s="8">
        <v>105714</v>
      </c>
      <c r="H162" s="5">
        <f t="shared" si="5"/>
        <v>152666</v>
      </c>
      <c r="I162">
        <f>IFERROR(VLOOKUP(D162,'LEAID Match'!$A$2:$B$251,2,FALSE),"")</f>
        <v>0</v>
      </c>
    </row>
    <row r="163" spans="1:9" x14ac:dyDescent="0.2">
      <c r="A163">
        <f t="shared" si="4"/>
        <v>0</v>
      </c>
      <c r="B163" s="5">
        <v>2021</v>
      </c>
      <c r="C163" s="1">
        <v>90613</v>
      </c>
      <c r="D163" t="s">
        <v>545</v>
      </c>
      <c r="E163" t="s">
        <v>494</v>
      </c>
      <c r="F163" s="8">
        <v>49842</v>
      </c>
      <c r="G163" s="8">
        <v>145909</v>
      </c>
      <c r="H163" s="5">
        <f t="shared" si="5"/>
        <v>195751</v>
      </c>
      <c r="I163">
        <f>IFERROR(VLOOKUP(D163,'LEAID Match'!$A$2:$B$251,2,FALSE),"")</f>
        <v>0</v>
      </c>
    </row>
    <row r="164" spans="1:9" x14ac:dyDescent="0.2">
      <c r="A164">
        <f t="shared" si="4"/>
        <v>0</v>
      </c>
      <c r="B164" s="5">
        <v>2022</v>
      </c>
      <c r="C164" s="1">
        <v>90613</v>
      </c>
      <c r="D164" t="s">
        <v>545</v>
      </c>
      <c r="E164" t="s">
        <v>494</v>
      </c>
      <c r="F164" s="8">
        <v>38446.980000000003</v>
      </c>
      <c r="G164" s="8">
        <v>103579.15</v>
      </c>
      <c r="H164" s="5">
        <f t="shared" si="5"/>
        <v>142026.13</v>
      </c>
      <c r="I164">
        <f>IFERROR(VLOOKUP(D164,'LEAID Match'!$A$2:$B$251,2,FALSE),"")</f>
        <v>0</v>
      </c>
    </row>
    <row r="165" spans="1:9" x14ac:dyDescent="0.2">
      <c r="A165">
        <f t="shared" si="4"/>
        <v>0</v>
      </c>
      <c r="B165" s="5">
        <v>2023</v>
      </c>
      <c r="C165" s="1">
        <v>90613</v>
      </c>
      <c r="D165" t="s">
        <v>545</v>
      </c>
      <c r="E165" t="s">
        <v>516</v>
      </c>
      <c r="F165" s="8">
        <v>50292.83</v>
      </c>
      <c r="G165" s="8">
        <v>80438.34</v>
      </c>
      <c r="H165" s="5">
        <f t="shared" si="5"/>
        <v>130731.17</v>
      </c>
      <c r="I165">
        <f>IFERROR(VLOOKUP(D165,'LEAID Match'!$A$2:$B$251,2,FALSE),"")</f>
        <v>0</v>
      </c>
    </row>
    <row r="166" spans="1:9" x14ac:dyDescent="0.2">
      <c r="A166">
        <f t="shared" si="4"/>
        <v>0</v>
      </c>
      <c r="B166" s="5">
        <v>2017</v>
      </c>
      <c r="C166" s="1">
        <v>97965</v>
      </c>
      <c r="D166" t="s">
        <v>531</v>
      </c>
      <c r="E166" t="s">
        <v>227</v>
      </c>
      <c r="F166" s="8">
        <v>2032</v>
      </c>
      <c r="G166" s="8">
        <v>22496</v>
      </c>
      <c r="H166" s="5">
        <f t="shared" si="5"/>
        <v>24528</v>
      </c>
      <c r="I166">
        <f>IFERROR(VLOOKUP(D166,'LEAID Match'!$A$2:$B$251,2,FALSE),"")</f>
        <v>0</v>
      </c>
    </row>
    <row r="167" spans="1:9" x14ac:dyDescent="0.2">
      <c r="A167">
        <f t="shared" si="4"/>
        <v>0</v>
      </c>
      <c r="B167" s="5">
        <v>2018</v>
      </c>
      <c r="C167" s="1">
        <v>97965</v>
      </c>
      <c r="D167" t="s">
        <v>531</v>
      </c>
      <c r="E167" t="s">
        <v>446</v>
      </c>
      <c r="F167" s="8">
        <v>12044</v>
      </c>
      <c r="G167" s="8">
        <v>49399</v>
      </c>
      <c r="H167" s="5">
        <f t="shared" si="5"/>
        <v>61443</v>
      </c>
      <c r="I167">
        <f>IFERROR(VLOOKUP(D167,'LEAID Match'!$A$2:$B$251,2,FALSE),"")</f>
        <v>0</v>
      </c>
    </row>
    <row r="168" spans="1:9" x14ac:dyDescent="0.2">
      <c r="A168">
        <f t="shared" si="4"/>
        <v>0</v>
      </c>
      <c r="B168" s="5">
        <v>2019</v>
      </c>
      <c r="C168" s="1">
        <v>97965</v>
      </c>
      <c r="D168" t="s">
        <v>531</v>
      </c>
      <c r="E168" t="s">
        <v>227</v>
      </c>
      <c r="F168" s="8">
        <v>7314</v>
      </c>
      <c r="G168" s="8">
        <v>82912</v>
      </c>
      <c r="H168" s="5">
        <f t="shared" si="5"/>
        <v>90226</v>
      </c>
      <c r="I168">
        <f>IFERROR(VLOOKUP(D168,'LEAID Match'!$A$2:$B$251,2,FALSE),"")</f>
        <v>0</v>
      </c>
    </row>
    <row r="169" spans="1:9" x14ac:dyDescent="0.2">
      <c r="A169">
        <f t="shared" si="4"/>
        <v>0</v>
      </c>
      <c r="B169" s="5">
        <v>2020</v>
      </c>
      <c r="C169" s="1">
        <v>97965</v>
      </c>
      <c r="D169" t="s">
        <v>531</v>
      </c>
      <c r="E169" t="s">
        <v>227</v>
      </c>
      <c r="F169" s="8">
        <v>8089</v>
      </c>
      <c r="G169" s="8">
        <v>116893</v>
      </c>
      <c r="H169" s="5">
        <f t="shared" si="5"/>
        <v>124982</v>
      </c>
      <c r="I169">
        <f>IFERROR(VLOOKUP(D169,'LEAID Match'!$A$2:$B$251,2,FALSE),"")</f>
        <v>0</v>
      </c>
    </row>
    <row r="170" spans="1:9" x14ac:dyDescent="0.2">
      <c r="A170">
        <f t="shared" si="4"/>
        <v>0</v>
      </c>
      <c r="B170" s="5">
        <v>2021</v>
      </c>
      <c r="C170" s="1">
        <v>97965</v>
      </c>
      <c r="D170" t="s">
        <v>531</v>
      </c>
      <c r="E170" t="s">
        <v>227</v>
      </c>
      <c r="F170" s="8">
        <v>9170</v>
      </c>
      <c r="G170" s="8">
        <v>111885</v>
      </c>
      <c r="H170" s="5">
        <f t="shared" si="5"/>
        <v>121055</v>
      </c>
      <c r="I170">
        <f>IFERROR(VLOOKUP(D170,'LEAID Match'!$A$2:$B$251,2,FALSE),"")</f>
        <v>0</v>
      </c>
    </row>
    <row r="171" spans="1:9" x14ac:dyDescent="0.2">
      <c r="A171">
        <f t="shared" si="4"/>
        <v>0</v>
      </c>
      <c r="B171" s="5">
        <v>2022</v>
      </c>
      <c r="C171" s="1">
        <v>97965</v>
      </c>
      <c r="D171" t="s">
        <v>531</v>
      </c>
      <c r="E171" t="s">
        <v>227</v>
      </c>
      <c r="F171" s="8">
        <v>9315.23</v>
      </c>
      <c r="G171" s="8">
        <v>124047.61</v>
      </c>
      <c r="H171" s="5">
        <f t="shared" si="5"/>
        <v>133362.84</v>
      </c>
      <c r="I171">
        <f>IFERROR(VLOOKUP(D171,'LEAID Match'!$A$2:$B$251,2,FALSE),"")</f>
        <v>0</v>
      </c>
    </row>
    <row r="172" spans="1:9" x14ac:dyDescent="0.2">
      <c r="A172">
        <f t="shared" si="4"/>
        <v>0</v>
      </c>
      <c r="B172" s="5">
        <v>2023</v>
      </c>
      <c r="C172" s="1">
        <v>97965</v>
      </c>
      <c r="D172" t="s">
        <v>531</v>
      </c>
      <c r="E172" t="s">
        <v>531</v>
      </c>
      <c r="F172" s="8">
        <v>7790.08</v>
      </c>
      <c r="G172" s="8">
        <v>103516.28</v>
      </c>
      <c r="H172" s="5">
        <f t="shared" si="5"/>
        <v>111306.36</v>
      </c>
      <c r="I172">
        <f>IFERROR(VLOOKUP(D172,'LEAID Match'!$A$2:$B$251,2,FALSE),"")</f>
        <v>0</v>
      </c>
    </row>
    <row r="173" spans="1:9" x14ac:dyDescent="0.2">
      <c r="A173">
        <f t="shared" si="4"/>
        <v>0</v>
      </c>
      <c r="B173" s="5">
        <v>2020</v>
      </c>
      <c r="C173" s="1">
        <v>97975</v>
      </c>
      <c r="D173" t="s">
        <v>496</v>
      </c>
      <c r="E173" t="s">
        <v>496</v>
      </c>
      <c r="F173" s="8">
        <v>2144</v>
      </c>
      <c r="G173" s="8">
        <v>1683</v>
      </c>
      <c r="H173" s="5">
        <f t="shared" si="5"/>
        <v>3827</v>
      </c>
      <c r="I173">
        <f>IFERROR(VLOOKUP(D173,'LEAID Match'!$A$2:$B$251,2,FALSE),"")</f>
        <v>0</v>
      </c>
    </row>
    <row r="174" spans="1:9" x14ac:dyDescent="0.2">
      <c r="A174">
        <f t="shared" si="4"/>
        <v>0</v>
      </c>
      <c r="B174" s="5">
        <v>2021</v>
      </c>
      <c r="C174" s="1">
        <v>97975</v>
      </c>
      <c r="D174" t="s">
        <v>496</v>
      </c>
      <c r="E174" t="s">
        <v>496</v>
      </c>
      <c r="F174" s="8" t="s">
        <v>591</v>
      </c>
      <c r="G174" s="8" t="s">
        <v>591</v>
      </c>
      <c r="H174" s="5">
        <f t="shared" si="5"/>
        <v>0</v>
      </c>
      <c r="I174">
        <f>IFERROR(VLOOKUP(D174,'LEAID Match'!$A$2:$B$251,2,FALSE),"")</f>
        <v>0</v>
      </c>
    </row>
    <row r="175" spans="1:9" x14ac:dyDescent="0.2">
      <c r="A175">
        <f t="shared" si="4"/>
        <v>0</v>
      </c>
      <c r="B175" s="5">
        <v>2022</v>
      </c>
      <c r="C175" s="1">
        <v>97975</v>
      </c>
      <c r="D175" t="s">
        <v>496</v>
      </c>
      <c r="E175" t="s">
        <v>496</v>
      </c>
      <c r="F175" s="8" t="s">
        <v>591</v>
      </c>
      <c r="G175" s="8" t="s">
        <v>591</v>
      </c>
      <c r="H175" s="5">
        <f t="shared" si="5"/>
        <v>0</v>
      </c>
      <c r="I175">
        <f>IFERROR(VLOOKUP(D175,'LEAID Match'!$A$2:$B$251,2,FALSE),"")</f>
        <v>0</v>
      </c>
    </row>
    <row r="176" spans="1:9" x14ac:dyDescent="0.2">
      <c r="A176">
        <f t="shared" si="4"/>
        <v>0</v>
      </c>
      <c r="B176" s="5">
        <v>2023</v>
      </c>
      <c r="C176" s="1">
        <v>97975</v>
      </c>
      <c r="D176" t="s">
        <v>496</v>
      </c>
      <c r="E176" t="s">
        <v>496</v>
      </c>
      <c r="F176" s="8" t="s">
        <v>591</v>
      </c>
      <c r="G176" s="8" t="s">
        <v>591</v>
      </c>
      <c r="H176" s="5">
        <f t="shared" si="5"/>
        <v>0</v>
      </c>
      <c r="I176">
        <f>IFERROR(VLOOKUP(D176,'LEAID Match'!$A$2:$B$251,2,FALSE),"")</f>
        <v>0</v>
      </c>
    </row>
    <row r="177" spans="1:9" x14ac:dyDescent="0.2">
      <c r="A177">
        <f t="shared" si="4"/>
        <v>4700120</v>
      </c>
      <c r="B177" s="5">
        <v>2015</v>
      </c>
      <c r="C177" s="1">
        <v>99154</v>
      </c>
      <c r="D177" t="s">
        <v>228</v>
      </c>
      <c r="E177" t="s">
        <v>7</v>
      </c>
      <c r="F177" s="8">
        <v>28770</v>
      </c>
      <c r="G177" s="8">
        <v>649018</v>
      </c>
      <c r="H177" s="5">
        <f t="shared" si="5"/>
        <v>677788</v>
      </c>
      <c r="I177">
        <f>IFERROR(VLOOKUP(D177,'LEAID Match'!$A$2:$B$251,2,FALSE),"")</f>
        <v>4700120</v>
      </c>
    </row>
    <row r="178" spans="1:9" x14ac:dyDescent="0.2">
      <c r="A178">
        <f t="shared" si="4"/>
        <v>4700120</v>
      </c>
      <c r="B178" s="5">
        <v>2016</v>
      </c>
      <c r="C178" s="1">
        <v>99154</v>
      </c>
      <c r="D178" t="s">
        <v>228</v>
      </c>
      <c r="E178" t="s">
        <v>7</v>
      </c>
      <c r="F178" s="8">
        <v>35049</v>
      </c>
      <c r="G178" s="8">
        <v>656609</v>
      </c>
      <c r="H178" s="5">
        <f t="shared" si="5"/>
        <v>691658</v>
      </c>
      <c r="I178">
        <f>IFERROR(VLOOKUP(D178,'LEAID Match'!$A$2:$B$251,2,FALSE),"")</f>
        <v>4700120</v>
      </c>
    </row>
    <row r="179" spans="1:9" x14ac:dyDescent="0.2">
      <c r="A179">
        <f t="shared" si="4"/>
        <v>4700120</v>
      </c>
      <c r="B179" s="5">
        <v>2017</v>
      </c>
      <c r="C179" s="1">
        <v>99154</v>
      </c>
      <c r="D179" t="s">
        <v>228</v>
      </c>
      <c r="E179" t="s">
        <v>228</v>
      </c>
      <c r="F179" s="8">
        <v>44110</v>
      </c>
      <c r="G179" s="8">
        <v>624934</v>
      </c>
      <c r="H179" s="5">
        <f t="shared" si="5"/>
        <v>669044</v>
      </c>
      <c r="I179">
        <f>IFERROR(VLOOKUP(D179,'LEAID Match'!$A$2:$B$251,2,FALSE),"")</f>
        <v>4700120</v>
      </c>
    </row>
    <row r="180" spans="1:9" x14ac:dyDescent="0.2">
      <c r="A180">
        <f t="shared" si="4"/>
        <v>4700120</v>
      </c>
      <c r="B180" s="5">
        <v>2018</v>
      </c>
      <c r="C180" s="1">
        <v>99154</v>
      </c>
      <c r="D180" t="s">
        <v>228</v>
      </c>
      <c r="E180" t="s">
        <v>7</v>
      </c>
      <c r="F180" s="8">
        <v>65195</v>
      </c>
      <c r="G180" s="8">
        <v>601539</v>
      </c>
      <c r="H180" s="5">
        <f t="shared" si="5"/>
        <v>666734</v>
      </c>
      <c r="I180">
        <f>IFERROR(VLOOKUP(D180,'LEAID Match'!$A$2:$B$251,2,FALSE),"")</f>
        <v>4700120</v>
      </c>
    </row>
    <row r="181" spans="1:9" x14ac:dyDescent="0.2">
      <c r="A181">
        <f t="shared" si="4"/>
        <v>4700120</v>
      </c>
      <c r="B181" s="5">
        <v>2019</v>
      </c>
      <c r="C181" s="1">
        <v>99154</v>
      </c>
      <c r="D181" t="s">
        <v>228</v>
      </c>
      <c r="E181" t="s">
        <v>228</v>
      </c>
      <c r="F181" s="8">
        <v>36662</v>
      </c>
      <c r="G181" s="8">
        <v>678635</v>
      </c>
      <c r="H181" s="5">
        <f t="shared" si="5"/>
        <v>715297</v>
      </c>
      <c r="I181">
        <f>IFERROR(VLOOKUP(D181,'LEAID Match'!$A$2:$B$251,2,FALSE),"")</f>
        <v>4700120</v>
      </c>
    </row>
    <row r="182" spans="1:9" x14ac:dyDescent="0.2">
      <c r="A182">
        <f t="shared" si="4"/>
        <v>4700120</v>
      </c>
      <c r="B182" s="5">
        <v>2020</v>
      </c>
      <c r="C182" s="1">
        <v>99154</v>
      </c>
      <c r="D182" t="s">
        <v>228</v>
      </c>
      <c r="E182" t="s">
        <v>228</v>
      </c>
      <c r="F182" s="8">
        <v>47145</v>
      </c>
      <c r="G182" s="8">
        <v>650650</v>
      </c>
      <c r="H182" s="5">
        <f t="shared" si="5"/>
        <v>697795</v>
      </c>
      <c r="I182">
        <f>IFERROR(VLOOKUP(D182,'LEAID Match'!$A$2:$B$251,2,FALSE),"")</f>
        <v>4700120</v>
      </c>
    </row>
    <row r="183" spans="1:9" x14ac:dyDescent="0.2">
      <c r="A183">
        <f t="shared" si="4"/>
        <v>4700120</v>
      </c>
      <c r="B183" s="5">
        <v>2021</v>
      </c>
      <c r="C183" s="1">
        <v>99154</v>
      </c>
      <c r="D183" t="s">
        <v>228</v>
      </c>
      <c r="E183" t="s">
        <v>228</v>
      </c>
      <c r="F183" s="8">
        <v>52749</v>
      </c>
      <c r="G183" s="8">
        <v>598911</v>
      </c>
      <c r="H183" s="5">
        <f t="shared" si="5"/>
        <v>651660</v>
      </c>
      <c r="I183">
        <f>IFERROR(VLOOKUP(D183,'LEAID Match'!$A$2:$B$251,2,FALSE),"")</f>
        <v>4700120</v>
      </c>
    </row>
    <row r="184" spans="1:9" x14ac:dyDescent="0.2">
      <c r="A184">
        <f t="shared" si="4"/>
        <v>4700120</v>
      </c>
      <c r="B184" s="5">
        <v>2022</v>
      </c>
      <c r="C184" s="1">
        <v>99154</v>
      </c>
      <c r="D184" t="s">
        <v>228</v>
      </c>
      <c r="E184" t="s">
        <v>228</v>
      </c>
      <c r="F184" s="8">
        <v>62892.91</v>
      </c>
      <c r="G184" s="8">
        <v>624917.97</v>
      </c>
      <c r="H184" s="5">
        <f t="shared" si="5"/>
        <v>687810.88</v>
      </c>
      <c r="I184">
        <f>IFERROR(VLOOKUP(D184,'LEAID Match'!$A$2:$B$251,2,FALSE),"")</f>
        <v>4700120</v>
      </c>
    </row>
    <row r="185" spans="1:9" x14ac:dyDescent="0.2">
      <c r="A185">
        <f t="shared" si="4"/>
        <v>4700120</v>
      </c>
      <c r="B185" s="5">
        <v>2023</v>
      </c>
      <c r="C185" s="1">
        <v>99154</v>
      </c>
      <c r="D185" t="s">
        <v>228</v>
      </c>
      <c r="E185" t="s">
        <v>228</v>
      </c>
      <c r="F185" s="8">
        <v>90788.75</v>
      </c>
      <c r="G185" s="8">
        <v>564794.66</v>
      </c>
      <c r="H185" s="5">
        <f t="shared" si="5"/>
        <v>655583.41</v>
      </c>
      <c r="I185">
        <f>IFERROR(VLOOKUP(D185,'LEAID Match'!$A$2:$B$251,2,FALSE),"")</f>
        <v>4700120</v>
      </c>
    </row>
    <row r="186" spans="1:9" x14ac:dyDescent="0.2">
      <c r="A186">
        <f t="shared" si="4"/>
        <v>0</v>
      </c>
      <c r="B186" s="5">
        <v>2015</v>
      </c>
      <c r="C186" s="1">
        <v>97916</v>
      </c>
      <c r="D186" t="s">
        <v>229</v>
      </c>
      <c r="E186" t="s">
        <v>8</v>
      </c>
      <c r="F186" s="8">
        <v>7962</v>
      </c>
      <c r="G186" s="8">
        <v>22059</v>
      </c>
      <c r="H186" s="5">
        <f t="shared" si="5"/>
        <v>30021</v>
      </c>
      <c r="I186">
        <f>IFERROR(VLOOKUP(D186,'LEAID Match'!$A$2:$B$251,2,FALSE),"")</f>
        <v>0</v>
      </c>
    </row>
    <row r="187" spans="1:9" x14ac:dyDescent="0.2">
      <c r="A187">
        <f t="shared" si="4"/>
        <v>0</v>
      </c>
      <c r="B187" s="5">
        <v>2016</v>
      </c>
      <c r="C187" s="1">
        <v>97916</v>
      </c>
      <c r="D187" t="s">
        <v>229</v>
      </c>
      <c r="E187" t="s">
        <v>8</v>
      </c>
      <c r="F187" s="8">
        <v>11587</v>
      </c>
      <c r="G187" s="8">
        <v>33645</v>
      </c>
      <c r="H187" s="5">
        <f t="shared" si="5"/>
        <v>45232</v>
      </c>
      <c r="I187">
        <f>IFERROR(VLOOKUP(D187,'LEAID Match'!$A$2:$B$251,2,FALSE),"")</f>
        <v>0</v>
      </c>
    </row>
    <row r="188" spans="1:9" x14ac:dyDescent="0.2">
      <c r="A188">
        <f t="shared" si="4"/>
        <v>0</v>
      </c>
      <c r="B188" s="5">
        <v>2017</v>
      </c>
      <c r="C188" s="1">
        <v>97916</v>
      </c>
      <c r="D188" t="s">
        <v>229</v>
      </c>
      <c r="E188" t="s">
        <v>229</v>
      </c>
      <c r="F188" s="8">
        <v>24866</v>
      </c>
      <c r="G188" s="8">
        <v>32924</v>
      </c>
      <c r="H188" s="5">
        <f t="shared" si="5"/>
        <v>57790</v>
      </c>
      <c r="I188">
        <f>IFERROR(VLOOKUP(D188,'LEAID Match'!$A$2:$B$251,2,FALSE),"")</f>
        <v>0</v>
      </c>
    </row>
    <row r="189" spans="1:9" x14ac:dyDescent="0.2">
      <c r="A189">
        <f t="shared" si="4"/>
        <v>0</v>
      </c>
      <c r="B189" s="5">
        <v>2018</v>
      </c>
      <c r="C189" s="1">
        <v>97916</v>
      </c>
      <c r="D189" t="s">
        <v>229</v>
      </c>
      <c r="E189" t="s">
        <v>8</v>
      </c>
      <c r="F189" s="8">
        <v>34635</v>
      </c>
      <c r="G189" s="8">
        <v>46915</v>
      </c>
      <c r="H189" s="5">
        <f t="shared" si="5"/>
        <v>81550</v>
      </c>
      <c r="I189">
        <f>IFERROR(VLOOKUP(D189,'LEAID Match'!$A$2:$B$251,2,FALSE),"")</f>
        <v>0</v>
      </c>
    </row>
    <row r="190" spans="1:9" x14ac:dyDescent="0.2">
      <c r="A190">
        <f t="shared" si="4"/>
        <v>0</v>
      </c>
      <c r="B190" s="5">
        <v>2019</v>
      </c>
      <c r="C190" s="1">
        <v>97916</v>
      </c>
      <c r="D190" t="s">
        <v>229</v>
      </c>
      <c r="E190" t="s">
        <v>229</v>
      </c>
      <c r="F190" s="8">
        <v>18670</v>
      </c>
      <c r="G190" s="8">
        <v>64269</v>
      </c>
      <c r="H190" s="5">
        <f t="shared" si="5"/>
        <v>82939</v>
      </c>
      <c r="I190">
        <f>IFERROR(VLOOKUP(D190,'LEAID Match'!$A$2:$B$251,2,FALSE),"")</f>
        <v>0</v>
      </c>
    </row>
    <row r="191" spans="1:9" x14ac:dyDescent="0.2">
      <c r="A191">
        <f t="shared" si="4"/>
        <v>0</v>
      </c>
      <c r="B191" s="5">
        <v>2020</v>
      </c>
      <c r="C191" s="1">
        <v>97916</v>
      </c>
      <c r="D191" t="s">
        <v>229</v>
      </c>
      <c r="E191" t="s">
        <v>229</v>
      </c>
      <c r="F191" s="8">
        <v>20988</v>
      </c>
      <c r="G191" s="8">
        <v>51228</v>
      </c>
      <c r="H191" s="5">
        <f t="shared" si="5"/>
        <v>72216</v>
      </c>
      <c r="I191">
        <f>IFERROR(VLOOKUP(D191,'LEAID Match'!$A$2:$B$251,2,FALSE),"")</f>
        <v>0</v>
      </c>
    </row>
    <row r="192" spans="1:9" x14ac:dyDescent="0.2">
      <c r="A192">
        <f t="shared" si="4"/>
        <v>0</v>
      </c>
      <c r="B192" s="5">
        <v>2021</v>
      </c>
      <c r="C192" s="1">
        <v>97916</v>
      </c>
      <c r="D192" t="s">
        <v>229</v>
      </c>
      <c r="E192" t="s">
        <v>229</v>
      </c>
      <c r="F192" s="8">
        <v>22154</v>
      </c>
      <c r="G192" s="8">
        <v>58284</v>
      </c>
      <c r="H192" s="5">
        <f t="shared" si="5"/>
        <v>80438</v>
      </c>
      <c r="I192">
        <f>IFERROR(VLOOKUP(D192,'LEAID Match'!$A$2:$B$251,2,FALSE),"")</f>
        <v>0</v>
      </c>
    </row>
    <row r="193" spans="1:9" x14ac:dyDescent="0.2">
      <c r="A193">
        <f t="shared" si="4"/>
        <v>0</v>
      </c>
      <c r="B193" s="5">
        <v>2022</v>
      </c>
      <c r="C193" s="1">
        <v>97916</v>
      </c>
      <c r="D193" t="s">
        <v>229</v>
      </c>
      <c r="E193" t="s">
        <v>229</v>
      </c>
      <c r="F193" s="8">
        <v>22880.9</v>
      </c>
      <c r="G193" s="8">
        <v>35863.279999999999</v>
      </c>
      <c r="H193" s="5">
        <f t="shared" si="5"/>
        <v>58744.18</v>
      </c>
      <c r="I193">
        <f>IFERROR(VLOOKUP(D193,'LEAID Match'!$A$2:$B$251,2,FALSE),"")</f>
        <v>0</v>
      </c>
    </row>
    <row r="194" spans="1:9" x14ac:dyDescent="0.2">
      <c r="A194">
        <f t="shared" si="4"/>
        <v>0</v>
      </c>
      <c r="B194" s="5">
        <v>2023</v>
      </c>
      <c r="C194" s="1">
        <v>97916</v>
      </c>
      <c r="D194" t="s">
        <v>229</v>
      </c>
      <c r="E194" t="s">
        <v>229</v>
      </c>
      <c r="F194" s="8">
        <v>35181.08</v>
      </c>
      <c r="G194" s="8">
        <v>27729.42</v>
      </c>
      <c r="H194" s="5">
        <f t="shared" si="5"/>
        <v>62910.5</v>
      </c>
      <c r="I194">
        <f>IFERROR(VLOOKUP(D194,'LEAID Match'!$A$2:$B$251,2,FALSE),"")</f>
        <v>0</v>
      </c>
    </row>
    <row r="195" spans="1:9" x14ac:dyDescent="0.2">
      <c r="A195">
        <f t="shared" ref="A195:A258" si="6">I195</f>
        <v>0</v>
      </c>
      <c r="B195" s="5">
        <v>2023</v>
      </c>
      <c r="C195" s="1">
        <v>99199</v>
      </c>
      <c r="D195" t="s">
        <v>532</v>
      </c>
      <c r="E195" t="s">
        <v>532</v>
      </c>
      <c r="F195" s="8">
        <v>21905.99</v>
      </c>
      <c r="G195" s="8">
        <v>22202.98</v>
      </c>
      <c r="H195" s="5">
        <f t="shared" ref="H195:H258" si="7">SUM(F195:G195)</f>
        <v>44108.97</v>
      </c>
      <c r="I195">
        <f>IFERROR(VLOOKUP(D195,'LEAID Match'!$A$2:$B$251,2,FALSE),"")</f>
        <v>0</v>
      </c>
    </row>
    <row r="196" spans="1:9" x14ac:dyDescent="0.2">
      <c r="A196">
        <f t="shared" si="6"/>
        <v>4700153</v>
      </c>
      <c r="B196" s="5">
        <v>2015</v>
      </c>
      <c r="C196" s="1">
        <v>97902</v>
      </c>
      <c r="D196" t="s">
        <v>230</v>
      </c>
      <c r="E196" t="s">
        <v>9</v>
      </c>
      <c r="F196" s="8">
        <v>22220</v>
      </c>
      <c r="G196" s="8">
        <v>3009957</v>
      </c>
      <c r="H196" s="5">
        <f t="shared" si="7"/>
        <v>3032177</v>
      </c>
      <c r="I196">
        <f>IFERROR(VLOOKUP(D196,'LEAID Match'!$A$2:$B$251,2,FALSE),"")</f>
        <v>4700153</v>
      </c>
    </row>
    <row r="197" spans="1:9" x14ac:dyDescent="0.2">
      <c r="A197">
        <f t="shared" si="6"/>
        <v>4700153</v>
      </c>
      <c r="B197" s="5">
        <v>2016</v>
      </c>
      <c r="C197" s="1">
        <v>97902</v>
      </c>
      <c r="D197" t="s">
        <v>230</v>
      </c>
      <c r="E197" t="s">
        <v>9</v>
      </c>
      <c r="F197" s="8">
        <v>78901</v>
      </c>
      <c r="G197" s="8">
        <v>3159107</v>
      </c>
      <c r="H197" s="5">
        <f t="shared" si="7"/>
        <v>3238008</v>
      </c>
      <c r="I197">
        <f>IFERROR(VLOOKUP(D197,'LEAID Match'!$A$2:$B$251,2,FALSE),"")</f>
        <v>4700153</v>
      </c>
    </row>
    <row r="198" spans="1:9" x14ac:dyDescent="0.2">
      <c r="A198">
        <f t="shared" si="6"/>
        <v>4700153</v>
      </c>
      <c r="B198" s="5">
        <v>2017</v>
      </c>
      <c r="C198" s="1">
        <v>97902</v>
      </c>
      <c r="D198" t="s">
        <v>230</v>
      </c>
      <c r="E198" t="s">
        <v>230</v>
      </c>
      <c r="F198" s="8">
        <v>129954</v>
      </c>
      <c r="G198" s="8">
        <v>3129243</v>
      </c>
      <c r="H198" s="5">
        <f t="shared" si="7"/>
        <v>3259197</v>
      </c>
      <c r="I198">
        <f>IFERROR(VLOOKUP(D198,'LEAID Match'!$A$2:$B$251,2,FALSE),"")</f>
        <v>4700153</v>
      </c>
    </row>
    <row r="199" spans="1:9" x14ac:dyDescent="0.2">
      <c r="A199">
        <f t="shared" si="6"/>
        <v>4700153</v>
      </c>
      <c r="B199" s="5">
        <v>2018</v>
      </c>
      <c r="C199" s="1">
        <v>97902</v>
      </c>
      <c r="D199" t="s">
        <v>230</v>
      </c>
      <c r="E199" t="s">
        <v>9</v>
      </c>
      <c r="F199" s="8">
        <v>201329</v>
      </c>
      <c r="G199" s="8">
        <v>3244749</v>
      </c>
      <c r="H199" s="5">
        <f t="shared" si="7"/>
        <v>3446078</v>
      </c>
      <c r="I199">
        <f>IFERROR(VLOOKUP(D199,'LEAID Match'!$A$2:$B$251,2,FALSE),"")</f>
        <v>4700153</v>
      </c>
    </row>
    <row r="200" spans="1:9" x14ac:dyDescent="0.2">
      <c r="A200">
        <f t="shared" si="6"/>
        <v>4700153</v>
      </c>
      <c r="B200" s="5">
        <v>2019</v>
      </c>
      <c r="C200" s="1">
        <v>97902</v>
      </c>
      <c r="D200" t="s">
        <v>230</v>
      </c>
      <c r="E200" t="s">
        <v>230</v>
      </c>
      <c r="F200" s="8">
        <v>124810</v>
      </c>
      <c r="G200" s="8">
        <v>3695366</v>
      </c>
      <c r="H200" s="5">
        <f t="shared" si="7"/>
        <v>3820176</v>
      </c>
      <c r="I200">
        <f>IFERROR(VLOOKUP(D200,'LEAID Match'!$A$2:$B$251,2,FALSE),"")</f>
        <v>4700153</v>
      </c>
    </row>
    <row r="201" spans="1:9" x14ac:dyDescent="0.2">
      <c r="A201">
        <f t="shared" si="6"/>
        <v>4700153</v>
      </c>
      <c r="B201" s="5">
        <v>2020</v>
      </c>
      <c r="C201" s="1">
        <v>97902</v>
      </c>
      <c r="D201" t="s">
        <v>230</v>
      </c>
      <c r="E201" t="s">
        <v>230</v>
      </c>
      <c r="F201" s="8">
        <v>155113</v>
      </c>
      <c r="G201" s="8">
        <v>3784489</v>
      </c>
      <c r="H201" s="5">
        <f t="shared" si="7"/>
        <v>3939602</v>
      </c>
      <c r="I201">
        <f>IFERROR(VLOOKUP(D201,'LEAID Match'!$A$2:$B$251,2,FALSE),"")</f>
        <v>4700153</v>
      </c>
    </row>
    <row r="202" spans="1:9" x14ac:dyDescent="0.2">
      <c r="A202">
        <f t="shared" si="6"/>
        <v>4700153</v>
      </c>
      <c r="B202" s="5">
        <v>2021</v>
      </c>
      <c r="C202" s="1">
        <v>97902</v>
      </c>
      <c r="D202" t="s">
        <v>230</v>
      </c>
      <c r="E202" t="s">
        <v>230</v>
      </c>
      <c r="F202" s="8">
        <v>179757</v>
      </c>
      <c r="G202" s="8">
        <v>3719185</v>
      </c>
      <c r="H202" s="5">
        <f t="shared" si="7"/>
        <v>3898942</v>
      </c>
      <c r="I202">
        <f>IFERROR(VLOOKUP(D202,'LEAID Match'!$A$2:$B$251,2,FALSE),"")</f>
        <v>4700153</v>
      </c>
    </row>
    <row r="203" spans="1:9" x14ac:dyDescent="0.2">
      <c r="A203">
        <f t="shared" si="6"/>
        <v>4700153</v>
      </c>
      <c r="B203" s="5">
        <v>2022</v>
      </c>
      <c r="C203" s="1">
        <v>97902</v>
      </c>
      <c r="D203" t="s">
        <v>230</v>
      </c>
      <c r="E203" t="s">
        <v>230</v>
      </c>
      <c r="F203" s="8">
        <v>237795.19</v>
      </c>
      <c r="G203" s="8">
        <v>3661594.14</v>
      </c>
      <c r="H203" s="5">
        <f t="shared" si="7"/>
        <v>3899389.33</v>
      </c>
      <c r="I203">
        <f>IFERROR(VLOOKUP(D203,'LEAID Match'!$A$2:$B$251,2,FALSE),"")</f>
        <v>4700153</v>
      </c>
    </row>
    <row r="204" spans="1:9" x14ac:dyDescent="0.2">
      <c r="A204">
        <f t="shared" si="6"/>
        <v>4700153</v>
      </c>
      <c r="B204" s="5">
        <v>2023</v>
      </c>
      <c r="C204" s="1">
        <v>97902</v>
      </c>
      <c r="D204" t="s">
        <v>230</v>
      </c>
      <c r="E204" t="s">
        <v>230</v>
      </c>
      <c r="F204" s="8">
        <v>369182.87</v>
      </c>
      <c r="G204" s="8">
        <v>3047426.01</v>
      </c>
      <c r="H204" s="5">
        <f t="shared" si="7"/>
        <v>3416608.88</v>
      </c>
      <c r="I204">
        <f>IFERROR(VLOOKUP(D204,'LEAID Match'!$A$2:$B$251,2,FALSE),"")</f>
        <v>4700153</v>
      </c>
    </row>
    <row r="205" spans="1:9" x14ac:dyDescent="0.2">
      <c r="A205">
        <f t="shared" si="6"/>
        <v>0</v>
      </c>
      <c r="B205" s="5">
        <v>2021</v>
      </c>
      <c r="C205" s="1">
        <v>97976</v>
      </c>
      <c r="D205" t="s">
        <v>501</v>
      </c>
      <c r="E205" t="s">
        <v>501</v>
      </c>
      <c r="F205" s="8">
        <v>6943</v>
      </c>
      <c r="G205" s="8">
        <v>2262</v>
      </c>
      <c r="H205" s="5">
        <f t="shared" si="7"/>
        <v>9205</v>
      </c>
      <c r="I205">
        <f>IFERROR(VLOOKUP(D205,'LEAID Match'!$A$2:$B$251,2,FALSE),"")</f>
        <v>0</v>
      </c>
    </row>
    <row r="206" spans="1:9" x14ac:dyDescent="0.2">
      <c r="A206">
        <f t="shared" si="6"/>
        <v>0</v>
      </c>
      <c r="B206" s="5">
        <v>2022</v>
      </c>
      <c r="C206" s="1">
        <v>97976</v>
      </c>
      <c r="D206" t="s">
        <v>501</v>
      </c>
      <c r="E206" t="s">
        <v>501</v>
      </c>
      <c r="F206" s="8">
        <v>12746.26</v>
      </c>
      <c r="G206" s="8" t="s">
        <v>591</v>
      </c>
      <c r="H206" s="5">
        <f t="shared" si="7"/>
        <v>12746.26</v>
      </c>
      <c r="I206">
        <f>IFERROR(VLOOKUP(D206,'LEAID Match'!$A$2:$B$251,2,FALSE),"")</f>
        <v>0</v>
      </c>
    </row>
    <row r="207" spans="1:9" x14ac:dyDescent="0.2">
      <c r="A207">
        <f t="shared" si="6"/>
        <v>0</v>
      </c>
      <c r="B207" s="5">
        <v>2023</v>
      </c>
      <c r="C207" s="1">
        <v>97976</v>
      </c>
      <c r="D207" t="s">
        <v>501</v>
      </c>
      <c r="E207" t="s">
        <v>501</v>
      </c>
      <c r="F207" s="8">
        <v>27086.78</v>
      </c>
      <c r="G207" s="8" t="s">
        <v>591</v>
      </c>
      <c r="H207" s="5">
        <f t="shared" si="7"/>
        <v>27086.78</v>
      </c>
      <c r="I207">
        <f>IFERROR(VLOOKUP(D207,'LEAID Match'!$A$2:$B$251,2,FALSE),"")</f>
        <v>0</v>
      </c>
    </row>
    <row r="208" spans="1:9" x14ac:dyDescent="0.2">
      <c r="A208">
        <f t="shared" si="6"/>
        <v>4700180</v>
      </c>
      <c r="B208" s="5">
        <v>2015</v>
      </c>
      <c r="C208" s="1">
        <v>99002</v>
      </c>
      <c r="D208" t="s">
        <v>231</v>
      </c>
      <c r="E208" t="s">
        <v>10</v>
      </c>
      <c r="F208" s="8">
        <v>63047</v>
      </c>
      <c r="G208" s="8">
        <v>2431813</v>
      </c>
      <c r="H208" s="5">
        <f t="shared" si="7"/>
        <v>2494860</v>
      </c>
      <c r="I208">
        <f>IFERROR(VLOOKUP(D208,'LEAID Match'!$A$2:$B$251,2,FALSE),"")</f>
        <v>4700180</v>
      </c>
    </row>
    <row r="209" spans="1:9" x14ac:dyDescent="0.2">
      <c r="A209">
        <f t="shared" si="6"/>
        <v>4700180</v>
      </c>
      <c r="B209" s="5">
        <v>2016</v>
      </c>
      <c r="C209" s="1">
        <v>99002</v>
      </c>
      <c r="D209" t="s">
        <v>231</v>
      </c>
      <c r="E209" t="s">
        <v>10</v>
      </c>
      <c r="F209" s="8">
        <v>117678</v>
      </c>
      <c r="G209" s="8">
        <v>2376076</v>
      </c>
      <c r="H209" s="5">
        <f t="shared" si="7"/>
        <v>2493754</v>
      </c>
      <c r="I209">
        <f>IFERROR(VLOOKUP(D209,'LEAID Match'!$A$2:$B$251,2,FALSE),"")</f>
        <v>4700180</v>
      </c>
    </row>
    <row r="210" spans="1:9" x14ac:dyDescent="0.2">
      <c r="A210">
        <f t="shared" si="6"/>
        <v>4700180</v>
      </c>
      <c r="B210" s="5">
        <v>2017</v>
      </c>
      <c r="C210" s="1">
        <v>99002</v>
      </c>
      <c r="D210" t="s">
        <v>231</v>
      </c>
      <c r="E210" t="s">
        <v>231</v>
      </c>
      <c r="F210" s="8">
        <v>188479</v>
      </c>
      <c r="G210" s="8">
        <v>2321193</v>
      </c>
      <c r="H210" s="5">
        <f t="shared" si="7"/>
        <v>2509672</v>
      </c>
      <c r="I210">
        <f>IFERROR(VLOOKUP(D210,'LEAID Match'!$A$2:$B$251,2,FALSE),"")</f>
        <v>4700180</v>
      </c>
    </row>
    <row r="211" spans="1:9" x14ac:dyDescent="0.2">
      <c r="A211">
        <f t="shared" si="6"/>
        <v>4700180</v>
      </c>
      <c r="B211" s="5">
        <v>2018</v>
      </c>
      <c r="C211" s="1">
        <v>99002</v>
      </c>
      <c r="D211" t="s">
        <v>231</v>
      </c>
      <c r="E211" t="s">
        <v>10</v>
      </c>
      <c r="F211" s="8">
        <v>244934</v>
      </c>
      <c r="G211" s="8">
        <v>2330442</v>
      </c>
      <c r="H211" s="5">
        <f t="shared" si="7"/>
        <v>2575376</v>
      </c>
      <c r="I211">
        <f>IFERROR(VLOOKUP(D211,'LEAID Match'!$A$2:$B$251,2,FALSE),"")</f>
        <v>4700180</v>
      </c>
    </row>
    <row r="212" spans="1:9" x14ac:dyDescent="0.2">
      <c r="A212">
        <f t="shared" si="6"/>
        <v>4700180</v>
      </c>
      <c r="B212" s="5">
        <v>2019</v>
      </c>
      <c r="C212" s="1">
        <v>99002</v>
      </c>
      <c r="D212" t="s">
        <v>231</v>
      </c>
      <c r="E212" t="s">
        <v>231</v>
      </c>
      <c r="F212" s="8">
        <v>143635</v>
      </c>
      <c r="G212" s="8">
        <v>2650604</v>
      </c>
      <c r="H212" s="5">
        <f t="shared" si="7"/>
        <v>2794239</v>
      </c>
      <c r="I212">
        <f>IFERROR(VLOOKUP(D212,'LEAID Match'!$A$2:$B$251,2,FALSE),"")</f>
        <v>4700180</v>
      </c>
    </row>
    <row r="213" spans="1:9" x14ac:dyDescent="0.2">
      <c r="A213">
        <f t="shared" si="6"/>
        <v>4700180</v>
      </c>
      <c r="B213" s="5">
        <v>2020</v>
      </c>
      <c r="C213" s="1">
        <v>99002</v>
      </c>
      <c r="D213" t="s">
        <v>231</v>
      </c>
      <c r="E213" t="s">
        <v>231</v>
      </c>
      <c r="F213" s="8">
        <v>169729</v>
      </c>
      <c r="G213" s="8">
        <v>2766583</v>
      </c>
      <c r="H213" s="5">
        <f t="shared" si="7"/>
        <v>2936312</v>
      </c>
      <c r="I213">
        <f>IFERROR(VLOOKUP(D213,'LEAID Match'!$A$2:$B$251,2,FALSE),"")</f>
        <v>4700180</v>
      </c>
    </row>
    <row r="214" spans="1:9" x14ac:dyDescent="0.2">
      <c r="A214">
        <f t="shared" si="6"/>
        <v>4700180</v>
      </c>
      <c r="B214" s="5">
        <v>2021</v>
      </c>
      <c r="C214" s="1">
        <v>99002</v>
      </c>
      <c r="D214" t="s">
        <v>231</v>
      </c>
      <c r="E214" t="s">
        <v>231</v>
      </c>
      <c r="F214" s="8">
        <v>208667</v>
      </c>
      <c r="G214" s="8">
        <v>2659304</v>
      </c>
      <c r="H214" s="5">
        <f t="shared" si="7"/>
        <v>2867971</v>
      </c>
      <c r="I214">
        <f>IFERROR(VLOOKUP(D214,'LEAID Match'!$A$2:$B$251,2,FALSE),"")</f>
        <v>4700180</v>
      </c>
    </row>
    <row r="215" spans="1:9" x14ac:dyDescent="0.2">
      <c r="A215">
        <f t="shared" si="6"/>
        <v>4700180</v>
      </c>
      <c r="B215" s="5">
        <v>2022</v>
      </c>
      <c r="C215" s="1">
        <v>99002</v>
      </c>
      <c r="D215" t="s">
        <v>231</v>
      </c>
      <c r="E215" t="s">
        <v>231</v>
      </c>
      <c r="F215" s="8">
        <v>238865.05</v>
      </c>
      <c r="G215" s="8">
        <v>2560884.4900000002</v>
      </c>
      <c r="H215" s="5">
        <f t="shared" si="7"/>
        <v>2799749.54</v>
      </c>
      <c r="I215">
        <f>IFERROR(VLOOKUP(D215,'LEAID Match'!$A$2:$B$251,2,FALSE),"")</f>
        <v>4700180</v>
      </c>
    </row>
    <row r="216" spans="1:9" x14ac:dyDescent="0.2">
      <c r="A216">
        <f t="shared" si="6"/>
        <v>4700180</v>
      </c>
      <c r="B216" s="5">
        <v>2023</v>
      </c>
      <c r="C216" s="1">
        <v>99002</v>
      </c>
      <c r="D216" t="s">
        <v>231</v>
      </c>
      <c r="E216" t="s">
        <v>231</v>
      </c>
      <c r="F216" s="8">
        <v>427743.91</v>
      </c>
      <c r="G216" s="8">
        <v>2174954.4</v>
      </c>
      <c r="H216" s="5">
        <f t="shared" si="7"/>
        <v>2602698.31</v>
      </c>
      <c r="I216">
        <f>IFERROR(VLOOKUP(D216,'LEAID Match'!$A$2:$B$251,2,FALSE),"")</f>
        <v>4700180</v>
      </c>
    </row>
    <row r="217" spans="1:9" x14ac:dyDescent="0.2">
      <c r="A217">
        <f t="shared" si="6"/>
        <v>0</v>
      </c>
      <c r="B217" s="5">
        <v>2018</v>
      </c>
      <c r="C217" s="1">
        <v>97970</v>
      </c>
      <c r="D217" t="s">
        <v>482</v>
      </c>
      <c r="E217" t="s">
        <v>447</v>
      </c>
      <c r="F217" s="8">
        <v>375</v>
      </c>
      <c r="G217" s="8">
        <v>1022</v>
      </c>
      <c r="H217" s="5">
        <f t="shared" si="7"/>
        <v>1397</v>
      </c>
      <c r="I217">
        <f>IFERROR(VLOOKUP(D217,'LEAID Match'!$A$2:$B$251,2,FALSE),"")</f>
        <v>0</v>
      </c>
    </row>
    <row r="218" spans="1:9" x14ac:dyDescent="0.2">
      <c r="A218">
        <f t="shared" si="6"/>
        <v>0</v>
      </c>
      <c r="B218" s="5">
        <v>2019</v>
      </c>
      <c r="C218" s="1">
        <v>97970</v>
      </c>
      <c r="D218" t="s">
        <v>482</v>
      </c>
      <c r="E218" t="s">
        <v>482</v>
      </c>
      <c r="F218" s="8">
        <v>11529</v>
      </c>
      <c r="G218" s="8">
        <v>14993</v>
      </c>
      <c r="H218" s="5">
        <f t="shared" si="7"/>
        <v>26522</v>
      </c>
      <c r="I218">
        <f>IFERROR(VLOOKUP(D218,'LEAID Match'!$A$2:$B$251,2,FALSE),"")</f>
        <v>0</v>
      </c>
    </row>
    <row r="219" spans="1:9" x14ac:dyDescent="0.2">
      <c r="A219">
        <f t="shared" si="6"/>
        <v>0</v>
      </c>
      <c r="B219" s="5">
        <v>2020</v>
      </c>
      <c r="C219" s="1">
        <v>97970</v>
      </c>
      <c r="D219" t="s">
        <v>482</v>
      </c>
      <c r="E219" t="s">
        <v>482</v>
      </c>
      <c r="F219" s="8">
        <v>23498.27</v>
      </c>
      <c r="G219" s="8">
        <v>22510</v>
      </c>
      <c r="H219" s="5">
        <f t="shared" si="7"/>
        <v>46008.270000000004</v>
      </c>
      <c r="I219">
        <f>IFERROR(VLOOKUP(D219,'LEAID Match'!$A$2:$B$251,2,FALSE),"")</f>
        <v>0</v>
      </c>
    </row>
    <row r="220" spans="1:9" x14ac:dyDescent="0.2">
      <c r="A220">
        <f t="shared" si="6"/>
        <v>0</v>
      </c>
      <c r="B220" s="5">
        <v>2021</v>
      </c>
      <c r="C220" s="1">
        <v>97970</v>
      </c>
      <c r="D220" t="s">
        <v>482</v>
      </c>
      <c r="E220" t="s">
        <v>482</v>
      </c>
      <c r="F220" s="8">
        <v>28193</v>
      </c>
      <c r="G220" s="8">
        <v>30511</v>
      </c>
      <c r="H220" s="5">
        <f t="shared" si="7"/>
        <v>58704</v>
      </c>
      <c r="I220">
        <f>IFERROR(VLOOKUP(D220,'LEAID Match'!$A$2:$B$251,2,FALSE),"")</f>
        <v>0</v>
      </c>
    </row>
    <row r="221" spans="1:9" x14ac:dyDescent="0.2">
      <c r="A221">
        <f t="shared" si="6"/>
        <v>0</v>
      </c>
      <c r="B221" s="5">
        <v>2022</v>
      </c>
      <c r="C221" s="1">
        <v>97970</v>
      </c>
      <c r="D221" t="s">
        <v>482</v>
      </c>
      <c r="E221" t="s">
        <v>482</v>
      </c>
      <c r="F221" s="8">
        <v>42414.14</v>
      </c>
      <c r="G221" s="8">
        <v>37377.269999999997</v>
      </c>
      <c r="H221" s="5">
        <f t="shared" si="7"/>
        <v>79791.41</v>
      </c>
      <c r="I221">
        <f>IFERROR(VLOOKUP(D221,'LEAID Match'!$A$2:$B$251,2,FALSE),"")</f>
        <v>0</v>
      </c>
    </row>
    <row r="222" spans="1:9" x14ac:dyDescent="0.2">
      <c r="A222">
        <f t="shared" si="6"/>
        <v>0</v>
      </c>
      <c r="B222" s="5">
        <v>2023</v>
      </c>
      <c r="C222" s="1">
        <v>97970</v>
      </c>
      <c r="D222" t="s">
        <v>482</v>
      </c>
      <c r="E222" t="s">
        <v>482</v>
      </c>
      <c r="F222" s="8">
        <v>54745.22</v>
      </c>
      <c r="G222" s="8">
        <v>27556.67</v>
      </c>
      <c r="H222" s="5">
        <f t="shared" si="7"/>
        <v>82301.89</v>
      </c>
      <c r="I222">
        <f>IFERROR(VLOOKUP(D222,'LEAID Match'!$A$2:$B$251,2,FALSE),"")</f>
        <v>0</v>
      </c>
    </row>
    <row r="223" spans="1:9" x14ac:dyDescent="0.2">
      <c r="A223">
        <f t="shared" si="6"/>
        <v>4700210</v>
      </c>
      <c r="B223" s="5">
        <v>2015</v>
      </c>
      <c r="C223" s="1">
        <v>99217</v>
      </c>
      <c r="D223" t="s">
        <v>11</v>
      </c>
      <c r="E223" t="s">
        <v>11</v>
      </c>
      <c r="F223" s="8" t="s">
        <v>591</v>
      </c>
      <c r="G223" s="8">
        <v>152686</v>
      </c>
      <c r="H223" s="5">
        <f t="shared" si="7"/>
        <v>152686</v>
      </c>
      <c r="I223">
        <f>IFERROR(VLOOKUP(D223,'LEAID Match'!$A$2:$B$251,2,FALSE),"")</f>
        <v>4700210</v>
      </c>
    </row>
    <row r="224" spans="1:9" x14ac:dyDescent="0.2">
      <c r="A224">
        <f t="shared" si="6"/>
        <v>4700210</v>
      </c>
      <c r="B224" s="5">
        <v>2016</v>
      </c>
      <c r="C224" s="1">
        <v>99217</v>
      </c>
      <c r="D224" t="s">
        <v>11</v>
      </c>
      <c r="E224" t="s">
        <v>11</v>
      </c>
      <c r="F224" s="8">
        <v>1489</v>
      </c>
      <c r="G224" s="8">
        <v>146368</v>
      </c>
      <c r="H224" s="5">
        <f t="shared" si="7"/>
        <v>147857</v>
      </c>
      <c r="I224">
        <f>IFERROR(VLOOKUP(D224,'LEAID Match'!$A$2:$B$251,2,FALSE),"")</f>
        <v>4700210</v>
      </c>
    </row>
    <row r="225" spans="1:9" x14ac:dyDescent="0.2">
      <c r="A225">
        <f t="shared" si="6"/>
        <v>4700210</v>
      </c>
      <c r="B225" s="5">
        <v>2017</v>
      </c>
      <c r="C225" s="1">
        <v>99217</v>
      </c>
      <c r="D225" t="s">
        <v>11</v>
      </c>
      <c r="E225" t="s">
        <v>232</v>
      </c>
      <c r="F225" s="8">
        <v>4567</v>
      </c>
      <c r="G225" s="8">
        <v>140544</v>
      </c>
      <c r="H225" s="5">
        <f t="shared" si="7"/>
        <v>145111</v>
      </c>
      <c r="I225">
        <f>IFERROR(VLOOKUP(D225,'LEAID Match'!$A$2:$B$251,2,FALSE),"")</f>
        <v>4700210</v>
      </c>
    </row>
    <row r="226" spans="1:9" x14ac:dyDescent="0.2">
      <c r="A226">
        <f t="shared" si="6"/>
        <v>4700210</v>
      </c>
      <c r="B226" s="5">
        <v>2018</v>
      </c>
      <c r="C226" s="1">
        <v>99217</v>
      </c>
      <c r="D226" t="s">
        <v>11</v>
      </c>
      <c r="E226" t="s">
        <v>11</v>
      </c>
      <c r="F226" s="8">
        <v>4767</v>
      </c>
      <c r="G226" s="8">
        <v>149107</v>
      </c>
      <c r="H226" s="5">
        <f t="shared" si="7"/>
        <v>153874</v>
      </c>
      <c r="I226">
        <f>IFERROR(VLOOKUP(D226,'LEAID Match'!$A$2:$B$251,2,FALSE),"")</f>
        <v>4700210</v>
      </c>
    </row>
    <row r="227" spans="1:9" x14ac:dyDescent="0.2">
      <c r="A227">
        <f t="shared" si="6"/>
        <v>4700210</v>
      </c>
      <c r="B227" s="5">
        <v>2019</v>
      </c>
      <c r="C227" s="1">
        <v>99217</v>
      </c>
      <c r="D227" t="s">
        <v>11</v>
      </c>
      <c r="E227" t="s">
        <v>232</v>
      </c>
      <c r="F227" s="8">
        <v>4495</v>
      </c>
      <c r="G227" s="8">
        <v>169151</v>
      </c>
      <c r="H227" s="5">
        <f t="shared" si="7"/>
        <v>173646</v>
      </c>
      <c r="I227">
        <f>IFERROR(VLOOKUP(D227,'LEAID Match'!$A$2:$B$251,2,FALSE),"")</f>
        <v>4700210</v>
      </c>
    </row>
    <row r="228" spans="1:9" x14ac:dyDescent="0.2">
      <c r="A228">
        <f t="shared" si="6"/>
        <v>4700210</v>
      </c>
      <c r="B228" s="5">
        <v>2020</v>
      </c>
      <c r="C228" s="1">
        <v>99217</v>
      </c>
      <c r="D228" t="s">
        <v>11</v>
      </c>
      <c r="E228" t="s">
        <v>232</v>
      </c>
      <c r="F228" s="8">
        <v>6381</v>
      </c>
      <c r="G228" s="8">
        <v>164581</v>
      </c>
      <c r="H228" s="5">
        <f t="shared" si="7"/>
        <v>170962</v>
      </c>
      <c r="I228">
        <f>IFERROR(VLOOKUP(D228,'LEAID Match'!$A$2:$B$251,2,FALSE),"")</f>
        <v>4700210</v>
      </c>
    </row>
    <row r="229" spans="1:9" x14ac:dyDescent="0.2">
      <c r="A229">
        <f t="shared" si="6"/>
        <v>4700210</v>
      </c>
      <c r="B229" s="5">
        <v>2021</v>
      </c>
      <c r="C229" s="1">
        <v>99217</v>
      </c>
      <c r="D229" t="s">
        <v>11</v>
      </c>
      <c r="E229" t="s">
        <v>232</v>
      </c>
      <c r="F229" s="8">
        <v>7621</v>
      </c>
      <c r="G229" s="8">
        <v>164311</v>
      </c>
      <c r="H229" s="5">
        <f t="shared" si="7"/>
        <v>171932</v>
      </c>
      <c r="I229">
        <f>IFERROR(VLOOKUP(D229,'LEAID Match'!$A$2:$B$251,2,FALSE),"")</f>
        <v>4700210</v>
      </c>
    </row>
    <row r="230" spans="1:9" x14ac:dyDescent="0.2">
      <c r="A230">
        <f t="shared" si="6"/>
        <v>4700210</v>
      </c>
      <c r="B230" s="5">
        <v>2022</v>
      </c>
      <c r="C230" s="1">
        <v>99217</v>
      </c>
      <c r="D230" t="s">
        <v>11</v>
      </c>
      <c r="E230" t="s">
        <v>232</v>
      </c>
      <c r="F230" s="8">
        <v>7733.63</v>
      </c>
      <c r="G230" s="8">
        <v>169212.55</v>
      </c>
      <c r="H230" s="5">
        <f t="shared" si="7"/>
        <v>176946.18</v>
      </c>
      <c r="I230">
        <f>IFERROR(VLOOKUP(D230,'LEAID Match'!$A$2:$B$251,2,FALSE),"")</f>
        <v>4700210</v>
      </c>
    </row>
    <row r="231" spans="1:9" x14ac:dyDescent="0.2">
      <c r="A231">
        <f t="shared" si="6"/>
        <v>4700210</v>
      </c>
      <c r="B231" s="5">
        <v>2023</v>
      </c>
      <c r="C231" s="1">
        <v>99217</v>
      </c>
      <c r="D231" t="s">
        <v>11</v>
      </c>
      <c r="E231" t="s">
        <v>232</v>
      </c>
      <c r="F231" s="8">
        <v>11866.94</v>
      </c>
      <c r="G231" s="8">
        <v>146457.95000000001</v>
      </c>
      <c r="H231" s="5">
        <f t="shared" si="7"/>
        <v>158324.89000000001</v>
      </c>
      <c r="I231">
        <f>IFERROR(VLOOKUP(D231,'LEAID Match'!$A$2:$B$251,2,FALSE),"")</f>
        <v>4700210</v>
      </c>
    </row>
    <row r="232" spans="1:9" x14ac:dyDescent="0.2">
      <c r="A232">
        <f t="shared" si="6"/>
        <v>4700240</v>
      </c>
      <c r="B232" s="5">
        <v>2015</v>
      </c>
      <c r="C232" s="1">
        <v>99003</v>
      </c>
      <c r="D232" t="s">
        <v>233</v>
      </c>
      <c r="E232" t="s">
        <v>554</v>
      </c>
      <c r="F232" s="8">
        <v>16822</v>
      </c>
      <c r="G232" s="8">
        <v>797954</v>
      </c>
      <c r="H232" s="5">
        <f t="shared" si="7"/>
        <v>814776</v>
      </c>
      <c r="I232">
        <f>IFERROR(VLOOKUP(D232,'LEAID Match'!$A$2:$B$251,2,FALSE),"")</f>
        <v>4700240</v>
      </c>
    </row>
    <row r="233" spans="1:9" x14ac:dyDescent="0.2">
      <c r="A233">
        <f t="shared" si="6"/>
        <v>4700240</v>
      </c>
      <c r="B233" s="5">
        <v>2016</v>
      </c>
      <c r="C233" s="1">
        <v>99003</v>
      </c>
      <c r="D233" t="s">
        <v>233</v>
      </c>
      <c r="E233" t="s">
        <v>12</v>
      </c>
      <c r="F233" s="8">
        <v>25353</v>
      </c>
      <c r="G233" s="8">
        <v>794948</v>
      </c>
      <c r="H233" s="5">
        <f t="shared" si="7"/>
        <v>820301</v>
      </c>
      <c r="I233">
        <f>IFERROR(VLOOKUP(D233,'LEAID Match'!$A$2:$B$251,2,FALSE),"")</f>
        <v>4700240</v>
      </c>
    </row>
    <row r="234" spans="1:9" x14ac:dyDescent="0.2">
      <c r="A234">
        <f t="shared" si="6"/>
        <v>4700240</v>
      </c>
      <c r="B234" s="5">
        <v>2017</v>
      </c>
      <c r="C234" s="1">
        <v>99003</v>
      </c>
      <c r="D234" t="s">
        <v>233</v>
      </c>
      <c r="E234" t="s">
        <v>233</v>
      </c>
      <c r="F234" s="8">
        <v>29455</v>
      </c>
      <c r="G234" s="8">
        <v>810256</v>
      </c>
      <c r="H234" s="5">
        <f t="shared" si="7"/>
        <v>839711</v>
      </c>
      <c r="I234">
        <f>IFERROR(VLOOKUP(D234,'LEAID Match'!$A$2:$B$251,2,FALSE),"")</f>
        <v>4700240</v>
      </c>
    </row>
    <row r="235" spans="1:9" x14ac:dyDescent="0.2">
      <c r="A235">
        <f t="shared" si="6"/>
        <v>4700240</v>
      </c>
      <c r="B235" s="5">
        <v>2018</v>
      </c>
      <c r="C235" s="1">
        <v>99003</v>
      </c>
      <c r="D235" t="s">
        <v>233</v>
      </c>
      <c r="E235" t="s">
        <v>12</v>
      </c>
      <c r="F235" s="8">
        <v>39714</v>
      </c>
      <c r="G235" s="8">
        <v>799084</v>
      </c>
      <c r="H235" s="5">
        <f t="shared" si="7"/>
        <v>838798</v>
      </c>
      <c r="I235">
        <f>IFERROR(VLOOKUP(D235,'LEAID Match'!$A$2:$B$251,2,FALSE),"")</f>
        <v>4700240</v>
      </c>
    </row>
    <row r="236" spans="1:9" x14ac:dyDescent="0.2">
      <c r="A236">
        <f t="shared" si="6"/>
        <v>4700240</v>
      </c>
      <c r="B236" s="5">
        <v>2019</v>
      </c>
      <c r="C236" s="1">
        <v>99003</v>
      </c>
      <c r="D236" t="s">
        <v>233</v>
      </c>
      <c r="E236" t="s">
        <v>233</v>
      </c>
      <c r="F236" s="8">
        <v>25729</v>
      </c>
      <c r="G236" s="8">
        <v>913168</v>
      </c>
      <c r="H236" s="5">
        <f t="shared" si="7"/>
        <v>938897</v>
      </c>
      <c r="I236">
        <f>IFERROR(VLOOKUP(D236,'LEAID Match'!$A$2:$B$251,2,FALSE),"")</f>
        <v>4700240</v>
      </c>
    </row>
    <row r="237" spans="1:9" x14ac:dyDescent="0.2">
      <c r="A237">
        <f t="shared" si="6"/>
        <v>4700240</v>
      </c>
      <c r="B237" s="5">
        <v>2020</v>
      </c>
      <c r="C237" s="1">
        <v>99003</v>
      </c>
      <c r="D237" t="s">
        <v>233</v>
      </c>
      <c r="E237" t="s">
        <v>233</v>
      </c>
      <c r="F237" s="8">
        <v>35654</v>
      </c>
      <c r="G237" s="8">
        <v>923818</v>
      </c>
      <c r="H237" s="5">
        <f t="shared" si="7"/>
        <v>959472</v>
      </c>
      <c r="I237">
        <f>IFERROR(VLOOKUP(D237,'LEAID Match'!$A$2:$B$251,2,FALSE),"")</f>
        <v>4700240</v>
      </c>
    </row>
    <row r="238" spans="1:9" x14ac:dyDescent="0.2">
      <c r="A238">
        <f t="shared" si="6"/>
        <v>4700240</v>
      </c>
      <c r="B238" s="5">
        <v>2021</v>
      </c>
      <c r="C238" s="1">
        <v>99003</v>
      </c>
      <c r="D238" t="s">
        <v>233</v>
      </c>
      <c r="E238" t="s">
        <v>233</v>
      </c>
      <c r="F238" s="8">
        <v>37921</v>
      </c>
      <c r="G238" s="8">
        <v>888983</v>
      </c>
      <c r="H238" s="5">
        <f t="shared" si="7"/>
        <v>926904</v>
      </c>
      <c r="I238">
        <f>IFERROR(VLOOKUP(D238,'LEAID Match'!$A$2:$B$251,2,FALSE),"")</f>
        <v>4700240</v>
      </c>
    </row>
    <row r="239" spans="1:9" x14ac:dyDescent="0.2">
      <c r="A239">
        <f t="shared" si="6"/>
        <v>4700240</v>
      </c>
      <c r="B239" s="5">
        <v>2022</v>
      </c>
      <c r="C239" s="1">
        <v>99003</v>
      </c>
      <c r="D239" t="s">
        <v>233</v>
      </c>
      <c r="E239" t="s">
        <v>233</v>
      </c>
      <c r="F239" s="8">
        <v>47843.18</v>
      </c>
      <c r="G239" s="8">
        <v>906863.09</v>
      </c>
      <c r="H239" s="5">
        <f t="shared" si="7"/>
        <v>954706.27</v>
      </c>
      <c r="I239">
        <f>IFERROR(VLOOKUP(D239,'LEAID Match'!$A$2:$B$251,2,FALSE),"")</f>
        <v>4700240</v>
      </c>
    </row>
    <row r="240" spans="1:9" x14ac:dyDescent="0.2">
      <c r="A240">
        <f t="shared" si="6"/>
        <v>4700240</v>
      </c>
      <c r="B240" s="5">
        <v>2023</v>
      </c>
      <c r="C240" s="1">
        <v>99003</v>
      </c>
      <c r="D240" t="s">
        <v>233</v>
      </c>
      <c r="E240" t="s">
        <v>233</v>
      </c>
      <c r="F240" s="8">
        <v>78874.12</v>
      </c>
      <c r="G240" s="8">
        <v>693595.24</v>
      </c>
      <c r="H240" s="5">
        <f t="shared" si="7"/>
        <v>772469.36</v>
      </c>
      <c r="I240">
        <f>IFERROR(VLOOKUP(D240,'LEAID Match'!$A$2:$B$251,2,FALSE),"")</f>
        <v>4700240</v>
      </c>
    </row>
    <row r="241" spans="1:9" x14ac:dyDescent="0.2">
      <c r="A241">
        <f t="shared" si="6"/>
        <v>4700270</v>
      </c>
      <c r="B241" s="5">
        <v>2015</v>
      </c>
      <c r="C241" s="1">
        <v>99004</v>
      </c>
      <c r="D241" t="s">
        <v>234</v>
      </c>
      <c r="E241" t="s">
        <v>555</v>
      </c>
      <c r="F241" s="8">
        <v>4664</v>
      </c>
      <c r="G241" s="8">
        <v>649696</v>
      </c>
      <c r="H241" s="5">
        <f t="shared" si="7"/>
        <v>654360</v>
      </c>
      <c r="I241">
        <f>IFERROR(VLOOKUP(D241,'LEAID Match'!$A$2:$B$251,2,FALSE),"")</f>
        <v>4700270</v>
      </c>
    </row>
    <row r="242" spans="1:9" x14ac:dyDescent="0.2">
      <c r="A242">
        <f t="shared" si="6"/>
        <v>4700270</v>
      </c>
      <c r="B242" s="5">
        <v>2016</v>
      </c>
      <c r="C242" s="1">
        <v>99004</v>
      </c>
      <c r="D242" t="s">
        <v>234</v>
      </c>
      <c r="E242" t="s">
        <v>13</v>
      </c>
      <c r="F242" s="8">
        <v>14672</v>
      </c>
      <c r="G242" s="8">
        <v>659171</v>
      </c>
      <c r="H242" s="5">
        <f t="shared" si="7"/>
        <v>673843</v>
      </c>
      <c r="I242">
        <f>IFERROR(VLOOKUP(D242,'LEAID Match'!$A$2:$B$251,2,FALSE),"")</f>
        <v>4700270</v>
      </c>
    </row>
    <row r="243" spans="1:9" x14ac:dyDescent="0.2">
      <c r="A243">
        <f t="shared" si="6"/>
        <v>4700270</v>
      </c>
      <c r="B243" s="5">
        <v>2017</v>
      </c>
      <c r="C243" s="1">
        <v>99004</v>
      </c>
      <c r="D243" t="s">
        <v>234</v>
      </c>
      <c r="E243" t="s">
        <v>234</v>
      </c>
      <c r="F243" s="8">
        <v>22277</v>
      </c>
      <c r="G243" s="8">
        <v>650375</v>
      </c>
      <c r="H243" s="5">
        <f t="shared" si="7"/>
        <v>672652</v>
      </c>
      <c r="I243">
        <f>IFERROR(VLOOKUP(D243,'LEAID Match'!$A$2:$B$251,2,FALSE),"")</f>
        <v>4700270</v>
      </c>
    </row>
    <row r="244" spans="1:9" x14ac:dyDescent="0.2">
      <c r="A244">
        <f t="shared" si="6"/>
        <v>4700270</v>
      </c>
      <c r="B244" s="5">
        <v>2018</v>
      </c>
      <c r="C244" s="1">
        <v>99004</v>
      </c>
      <c r="D244" t="s">
        <v>234</v>
      </c>
      <c r="E244" t="s">
        <v>13</v>
      </c>
      <c r="F244" s="8">
        <v>33426</v>
      </c>
      <c r="G244" s="8">
        <v>654272</v>
      </c>
      <c r="H244" s="5">
        <f t="shared" si="7"/>
        <v>687698</v>
      </c>
      <c r="I244">
        <f>IFERROR(VLOOKUP(D244,'LEAID Match'!$A$2:$B$251,2,FALSE),"")</f>
        <v>4700270</v>
      </c>
    </row>
    <row r="245" spans="1:9" x14ac:dyDescent="0.2">
      <c r="A245">
        <f t="shared" si="6"/>
        <v>4700270</v>
      </c>
      <c r="B245" s="5">
        <v>2019</v>
      </c>
      <c r="C245" s="1">
        <v>99004</v>
      </c>
      <c r="D245" t="s">
        <v>234</v>
      </c>
      <c r="E245" t="s">
        <v>234</v>
      </c>
      <c r="F245" s="8">
        <v>18773</v>
      </c>
      <c r="G245" s="8">
        <v>751088</v>
      </c>
      <c r="H245" s="5">
        <f t="shared" si="7"/>
        <v>769861</v>
      </c>
      <c r="I245">
        <f>IFERROR(VLOOKUP(D245,'LEAID Match'!$A$2:$B$251,2,FALSE),"")</f>
        <v>4700270</v>
      </c>
    </row>
    <row r="246" spans="1:9" x14ac:dyDescent="0.2">
      <c r="A246">
        <f t="shared" si="6"/>
        <v>4700270</v>
      </c>
      <c r="B246" s="5">
        <v>2020</v>
      </c>
      <c r="C246" s="1">
        <v>99004</v>
      </c>
      <c r="D246" t="s">
        <v>234</v>
      </c>
      <c r="E246" t="s">
        <v>234</v>
      </c>
      <c r="F246" s="8">
        <v>25216</v>
      </c>
      <c r="G246" s="8">
        <v>703122</v>
      </c>
      <c r="H246" s="5">
        <f t="shared" si="7"/>
        <v>728338</v>
      </c>
      <c r="I246">
        <f>IFERROR(VLOOKUP(D246,'LEAID Match'!$A$2:$B$251,2,FALSE),"")</f>
        <v>4700270</v>
      </c>
    </row>
    <row r="247" spans="1:9" x14ac:dyDescent="0.2">
      <c r="A247">
        <f t="shared" si="6"/>
        <v>4700270</v>
      </c>
      <c r="B247" s="5">
        <v>2021</v>
      </c>
      <c r="C247" s="1">
        <v>99004</v>
      </c>
      <c r="D247" t="s">
        <v>234</v>
      </c>
      <c r="E247" t="s">
        <v>234</v>
      </c>
      <c r="F247" s="8">
        <v>29398</v>
      </c>
      <c r="G247" s="8">
        <v>665496</v>
      </c>
      <c r="H247" s="5">
        <f t="shared" si="7"/>
        <v>694894</v>
      </c>
      <c r="I247">
        <f>IFERROR(VLOOKUP(D247,'LEAID Match'!$A$2:$B$251,2,FALSE),"")</f>
        <v>4700270</v>
      </c>
    </row>
    <row r="248" spans="1:9" x14ac:dyDescent="0.2">
      <c r="A248">
        <f t="shared" si="6"/>
        <v>4700270</v>
      </c>
      <c r="B248" s="5">
        <v>2022</v>
      </c>
      <c r="C248" s="1">
        <v>99004</v>
      </c>
      <c r="D248" t="s">
        <v>234</v>
      </c>
      <c r="E248" t="s">
        <v>234</v>
      </c>
      <c r="F248" s="8">
        <v>38807.050000000003</v>
      </c>
      <c r="G248" s="8">
        <v>648363.53</v>
      </c>
      <c r="H248" s="5">
        <f t="shared" si="7"/>
        <v>687170.58000000007</v>
      </c>
      <c r="I248">
        <f>IFERROR(VLOOKUP(D248,'LEAID Match'!$A$2:$B$251,2,FALSE),"")</f>
        <v>4700270</v>
      </c>
    </row>
    <row r="249" spans="1:9" x14ac:dyDescent="0.2">
      <c r="A249">
        <f t="shared" si="6"/>
        <v>4700270</v>
      </c>
      <c r="B249" s="5">
        <v>2023</v>
      </c>
      <c r="C249" s="1">
        <v>99004</v>
      </c>
      <c r="D249" t="s">
        <v>234</v>
      </c>
      <c r="E249" t="s">
        <v>234</v>
      </c>
      <c r="F249" s="8">
        <v>74198.64</v>
      </c>
      <c r="G249" s="8">
        <v>493094.67</v>
      </c>
      <c r="H249" s="5">
        <f t="shared" si="7"/>
        <v>567293.30999999994</v>
      </c>
      <c r="I249">
        <f>IFERROR(VLOOKUP(D249,'LEAID Match'!$A$2:$B$251,2,FALSE),"")</f>
        <v>4700270</v>
      </c>
    </row>
    <row r="250" spans="1:9" x14ac:dyDescent="0.2">
      <c r="A250">
        <f t="shared" si="6"/>
        <v>4700300</v>
      </c>
      <c r="B250" s="5">
        <v>2015</v>
      </c>
      <c r="C250" s="1">
        <v>99005</v>
      </c>
      <c r="D250" t="s">
        <v>235</v>
      </c>
      <c r="E250" t="s">
        <v>556</v>
      </c>
      <c r="F250" s="8">
        <v>38074</v>
      </c>
      <c r="G250" s="8">
        <v>3672032</v>
      </c>
      <c r="H250" s="5">
        <f t="shared" si="7"/>
        <v>3710106</v>
      </c>
      <c r="I250">
        <f>IFERROR(VLOOKUP(D250,'LEAID Match'!$A$2:$B$251,2,FALSE),"")</f>
        <v>4700300</v>
      </c>
    </row>
    <row r="251" spans="1:9" x14ac:dyDescent="0.2">
      <c r="A251">
        <f t="shared" si="6"/>
        <v>4700300</v>
      </c>
      <c r="B251" s="5">
        <v>2016</v>
      </c>
      <c r="C251" s="1">
        <v>99005</v>
      </c>
      <c r="D251" t="s">
        <v>235</v>
      </c>
      <c r="E251" t="s">
        <v>14</v>
      </c>
      <c r="F251" s="8">
        <v>93397</v>
      </c>
      <c r="G251" s="8">
        <v>3714171</v>
      </c>
      <c r="H251" s="5">
        <f t="shared" si="7"/>
        <v>3807568</v>
      </c>
      <c r="I251">
        <f>IFERROR(VLOOKUP(D251,'LEAID Match'!$A$2:$B$251,2,FALSE),"")</f>
        <v>4700300</v>
      </c>
    </row>
    <row r="252" spans="1:9" x14ac:dyDescent="0.2">
      <c r="A252">
        <f t="shared" si="6"/>
        <v>4700300</v>
      </c>
      <c r="B252" s="5">
        <v>2017</v>
      </c>
      <c r="C252" s="1">
        <v>99005</v>
      </c>
      <c r="D252" t="s">
        <v>235</v>
      </c>
      <c r="E252" t="s">
        <v>235</v>
      </c>
      <c r="F252" s="8">
        <v>142883</v>
      </c>
      <c r="G252" s="8">
        <v>3715782</v>
      </c>
      <c r="H252" s="5">
        <f t="shared" si="7"/>
        <v>3858665</v>
      </c>
      <c r="I252">
        <f>IFERROR(VLOOKUP(D252,'LEAID Match'!$A$2:$B$251,2,FALSE),"")</f>
        <v>4700300</v>
      </c>
    </row>
    <row r="253" spans="1:9" x14ac:dyDescent="0.2">
      <c r="A253">
        <f t="shared" si="6"/>
        <v>4700300</v>
      </c>
      <c r="B253" s="5">
        <v>2018</v>
      </c>
      <c r="C253" s="1">
        <v>99005</v>
      </c>
      <c r="D253" t="s">
        <v>235</v>
      </c>
      <c r="E253" t="s">
        <v>14</v>
      </c>
      <c r="F253" s="8">
        <v>187118</v>
      </c>
      <c r="G253" s="8">
        <v>3641833</v>
      </c>
      <c r="H253" s="5">
        <f t="shared" si="7"/>
        <v>3828951</v>
      </c>
      <c r="I253">
        <f>IFERROR(VLOOKUP(D253,'LEAID Match'!$A$2:$B$251,2,FALSE),"")</f>
        <v>4700300</v>
      </c>
    </row>
    <row r="254" spans="1:9" x14ac:dyDescent="0.2">
      <c r="A254">
        <f t="shared" si="6"/>
        <v>4700300</v>
      </c>
      <c r="B254" s="5">
        <v>2019</v>
      </c>
      <c r="C254" s="1">
        <v>99005</v>
      </c>
      <c r="D254" t="s">
        <v>235</v>
      </c>
      <c r="E254" t="s">
        <v>235</v>
      </c>
      <c r="F254" s="8">
        <v>121289</v>
      </c>
      <c r="G254" s="8">
        <v>4079688</v>
      </c>
      <c r="H254" s="5">
        <f t="shared" si="7"/>
        <v>4200977</v>
      </c>
      <c r="I254">
        <f>IFERROR(VLOOKUP(D254,'LEAID Match'!$A$2:$B$251,2,FALSE),"")</f>
        <v>4700300</v>
      </c>
    </row>
    <row r="255" spans="1:9" x14ac:dyDescent="0.2">
      <c r="A255">
        <f t="shared" si="6"/>
        <v>4700300</v>
      </c>
      <c r="B255" s="5">
        <v>2020</v>
      </c>
      <c r="C255" s="1">
        <v>99005</v>
      </c>
      <c r="D255" t="s">
        <v>235</v>
      </c>
      <c r="E255" t="s">
        <v>235</v>
      </c>
      <c r="F255" s="8">
        <v>155193</v>
      </c>
      <c r="G255" s="8">
        <v>4258769</v>
      </c>
      <c r="H255" s="5">
        <f t="shared" si="7"/>
        <v>4413962</v>
      </c>
      <c r="I255">
        <f>IFERROR(VLOOKUP(D255,'LEAID Match'!$A$2:$B$251,2,FALSE),"")</f>
        <v>4700300</v>
      </c>
    </row>
    <row r="256" spans="1:9" x14ac:dyDescent="0.2">
      <c r="A256">
        <f t="shared" si="6"/>
        <v>4700300</v>
      </c>
      <c r="B256" s="5">
        <v>2021</v>
      </c>
      <c r="C256" s="1">
        <v>99005</v>
      </c>
      <c r="D256" t="s">
        <v>235</v>
      </c>
      <c r="E256" t="s">
        <v>235</v>
      </c>
      <c r="F256" s="8">
        <v>177677</v>
      </c>
      <c r="G256" s="8">
        <v>3986453</v>
      </c>
      <c r="H256" s="5">
        <f t="shared" si="7"/>
        <v>4164130</v>
      </c>
      <c r="I256">
        <f>IFERROR(VLOOKUP(D256,'LEAID Match'!$A$2:$B$251,2,FALSE),"")</f>
        <v>4700300</v>
      </c>
    </row>
    <row r="257" spans="1:9" x14ac:dyDescent="0.2">
      <c r="A257">
        <f t="shared" si="6"/>
        <v>4700300</v>
      </c>
      <c r="B257" s="5">
        <v>2022</v>
      </c>
      <c r="C257" s="1">
        <v>99005</v>
      </c>
      <c r="D257" t="s">
        <v>235</v>
      </c>
      <c r="E257" t="s">
        <v>235</v>
      </c>
      <c r="F257" s="8">
        <v>236080.85</v>
      </c>
      <c r="G257" s="8">
        <v>3978745.37</v>
      </c>
      <c r="H257" s="5">
        <f t="shared" si="7"/>
        <v>4214826.22</v>
      </c>
      <c r="I257">
        <f>IFERROR(VLOOKUP(D257,'LEAID Match'!$A$2:$B$251,2,FALSE),"")</f>
        <v>4700300</v>
      </c>
    </row>
    <row r="258" spans="1:9" x14ac:dyDescent="0.2">
      <c r="A258">
        <f t="shared" si="6"/>
        <v>4700300</v>
      </c>
      <c r="B258" s="5">
        <v>2023</v>
      </c>
      <c r="C258" s="1">
        <v>99005</v>
      </c>
      <c r="D258" t="s">
        <v>235</v>
      </c>
      <c r="E258" t="s">
        <v>235</v>
      </c>
      <c r="F258" s="8">
        <v>409623.66</v>
      </c>
      <c r="G258" s="8">
        <v>3330010.58</v>
      </c>
      <c r="H258" s="5">
        <f t="shared" si="7"/>
        <v>3739634.24</v>
      </c>
      <c r="I258">
        <f>IFERROR(VLOOKUP(D258,'LEAID Match'!$A$2:$B$251,2,FALSE),"")</f>
        <v>4700300</v>
      </c>
    </row>
    <row r="259" spans="1:9" x14ac:dyDescent="0.2">
      <c r="A259">
        <f t="shared" ref="A259:A322" si="8">I259</f>
        <v>0</v>
      </c>
      <c r="B259" s="5">
        <v>2018</v>
      </c>
      <c r="C259" s="1">
        <v>90617</v>
      </c>
      <c r="D259" t="s">
        <v>483</v>
      </c>
      <c r="E259" t="s">
        <v>448</v>
      </c>
      <c r="F259" s="8">
        <v>15457</v>
      </c>
      <c r="G259" s="8">
        <v>27588</v>
      </c>
      <c r="H259" s="5">
        <f t="shared" ref="H259:H322" si="9">SUM(F259:G259)</f>
        <v>43045</v>
      </c>
      <c r="I259">
        <f>IFERROR(VLOOKUP(D259,'LEAID Match'!$A$2:$B$251,2,FALSE),"")</f>
        <v>0</v>
      </c>
    </row>
    <row r="260" spans="1:9" x14ac:dyDescent="0.2">
      <c r="A260">
        <f t="shared" si="8"/>
        <v>0</v>
      </c>
      <c r="B260" s="5">
        <v>2019</v>
      </c>
      <c r="C260" s="1">
        <v>90617</v>
      </c>
      <c r="D260" t="s">
        <v>483</v>
      </c>
      <c r="E260" t="s">
        <v>483</v>
      </c>
      <c r="F260" s="8">
        <v>15433</v>
      </c>
      <c r="G260" s="8">
        <v>42003</v>
      </c>
      <c r="H260" s="5">
        <f t="shared" si="9"/>
        <v>57436</v>
      </c>
      <c r="I260">
        <f>IFERROR(VLOOKUP(D260,'LEAID Match'!$A$2:$B$251,2,FALSE),"")</f>
        <v>0</v>
      </c>
    </row>
    <row r="261" spans="1:9" x14ac:dyDescent="0.2">
      <c r="A261">
        <f t="shared" si="8"/>
        <v>0</v>
      </c>
      <c r="B261" s="5">
        <v>2020</v>
      </c>
      <c r="C261" s="1">
        <v>90617</v>
      </c>
      <c r="D261" t="s">
        <v>483</v>
      </c>
      <c r="E261" t="s">
        <v>483</v>
      </c>
      <c r="F261" s="8">
        <v>20782.77</v>
      </c>
      <c r="G261" s="8">
        <v>48551</v>
      </c>
      <c r="H261" s="5">
        <f t="shared" si="9"/>
        <v>69333.77</v>
      </c>
      <c r="I261">
        <f>IFERROR(VLOOKUP(D261,'LEAID Match'!$A$2:$B$251,2,FALSE),"")</f>
        <v>0</v>
      </c>
    </row>
    <row r="262" spans="1:9" x14ac:dyDescent="0.2">
      <c r="A262">
        <f t="shared" si="8"/>
        <v>0</v>
      </c>
      <c r="B262" s="5">
        <v>2021</v>
      </c>
      <c r="C262" s="1">
        <v>90617</v>
      </c>
      <c r="D262" t="s">
        <v>483</v>
      </c>
      <c r="E262" t="s">
        <v>483</v>
      </c>
      <c r="F262" s="8">
        <v>27921</v>
      </c>
      <c r="G262" s="8">
        <v>63722</v>
      </c>
      <c r="H262" s="5">
        <f t="shared" si="9"/>
        <v>91643</v>
      </c>
      <c r="I262">
        <f>IFERROR(VLOOKUP(D262,'LEAID Match'!$A$2:$B$251,2,FALSE),"")</f>
        <v>0</v>
      </c>
    </row>
    <row r="263" spans="1:9" x14ac:dyDescent="0.2">
      <c r="A263">
        <f t="shared" si="8"/>
        <v>0</v>
      </c>
      <c r="B263" s="5">
        <v>2022</v>
      </c>
      <c r="C263" s="1">
        <v>90617</v>
      </c>
      <c r="D263" t="s">
        <v>483</v>
      </c>
      <c r="E263" t="s">
        <v>483</v>
      </c>
      <c r="F263" s="8">
        <v>25894.14</v>
      </c>
      <c r="G263" s="8">
        <v>94755.56</v>
      </c>
      <c r="H263" s="5">
        <f t="shared" si="9"/>
        <v>120649.7</v>
      </c>
      <c r="I263">
        <f>IFERROR(VLOOKUP(D263,'LEAID Match'!$A$2:$B$251,2,FALSE),"")</f>
        <v>0</v>
      </c>
    </row>
    <row r="264" spans="1:9" x14ac:dyDescent="0.2">
      <c r="A264">
        <f t="shared" si="8"/>
        <v>0</v>
      </c>
      <c r="B264" s="5">
        <v>2023</v>
      </c>
      <c r="C264" s="1">
        <v>90617</v>
      </c>
      <c r="D264" t="s">
        <v>483</v>
      </c>
      <c r="E264" t="s">
        <v>483</v>
      </c>
      <c r="F264" s="8">
        <v>40008.589999999997</v>
      </c>
      <c r="G264" s="8">
        <v>75037.929999999906</v>
      </c>
      <c r="H264" s="5">
        <f t="shared" si="9"/>
        <v>115046.5199999999</v>
      </c>
      <c r="I264">
        <f>IFERROR(VLOOKUP(D264,'LEAID Match'!$A$2:$B$251,2,FALSE),"")</f>
        <v>0</v>
      </c>
    </row>
    <row r="265" spans="1:9" x14ac:dyDescent="0.2">
      <c r="A265">
        <f t="shared" si="8"/>
        <v>4701390</v>
      </c>
      <c r="B265" s="5">
        <v>2015</v>
      </c>
      <c r="C265" s="1">
        <v>99627</v>
      </c>
      <c r="D265" t="s">
        <v>15</v>
      </c>
      <c r="E265" t="s">
        <v>15</v>
      </c>
      <c r="F265" s="8" t="s">
        <v>591</v>
      </c>
      <c r="G265" s="8">
        <v>196551</v>
      </c>
      <c r="H265" s="5">
        <f t="shared" si="9"/>
        <v>196551</v>
      </c>
      <c r="I265">
        <f>IFERROR(VLOOKUP(D265,'LEAID Match'!$A$2:$B$251,2,FALSE),"")</f>
        <v>4701390</v>
      </c>
    </row>
    <row r="266" spans="1:9" x14ac:dyDescent="0.2">
      <c r="A266">
        <f t="shared" si="8"/>
        <v>4701390</v>
      </c>
      <c r="B266" s="5">
        <v>2016</v>
      </c>
      <c r="C266" s="1">
        <v>99627</v>
      </c>
      <c r="D266" t="s">
        <v>15</v>
      </c>
      <c r="E266" t="s">
        <v>15</v>
      </c>
      <c r="F266" s="8">
        <v>3893</v>
      </c>
      <c r="G266" s="8">
        <v>196596</v>
      </c>
      <c r="H266" s="5">
        <f t="shared" si="9"/>
        <v>200489</v>
      </c>
      <c r="I266">
        <f>IFERROR(VLOOKUP(D266,'LEAID Match'!$A$2:$B$251,2,FALSE),"")</f>
        <v>4701390</v>
      </c>
    </row>
    <row r="267" spans="1:9" x14ac:dyDescent="0.2">
      <c r="A267">
        <f t="shared" si="8"/>
        <v>4701390</v>
      </c>
      <c r="B267" s="5">
        <v>2017</v>
      </c>
      <c r="C267" s="1">
        <v>99627</v>
      </c>
      <c r="D267" t="s">
        <v>15</v>
      </c>
      <c r="E267" t="s">
        <v>236</v>
      </c>
      <c r="F267" s="8">
        <v>4033</v>
      </c>
      <c r="G267" s="8">
        <v>185426</v>
      </c>
      <c r="H267" s="5">
        <f t="shared" si="9"/>
        <v>189459</v>
      </c>
      <c r="I267">
        <f>IFERROR(VLOOKUP(D267,'LEAID Match'!$A$2:$B$251,2,FALSE),"")</f>
        <v>4701390</v>
      </c>
    </row>
    <row r="268" spans="1:9" x14ac:dyDescent="0.2">
      <c r="A268">
        <f t="shared" si="8"/>
        <v>4701390</v>
      </c>
      <c r="B268" s="5">
        <v>2018</v>
      </c>
      <c r="C268" s="1">
        <v>99627</v>
      </c>
      <c r="D268" t="s">
        <v>15</v>
      </c>
      <c r="E268" t="s">
        <v>15</v>
      </c>
      <c r="F268" s="8">
        <v>10732</v>
      </c>
      <c r="G268" s="8">
        <v>185718</v>
      </c>
      <c r="H268" s="5">
        <f t="shared" si="9"/>
        <v>196450</v>
      </c>
      <c r="I268">
        <f>IFERROR(VLOOKUP(D268,'LEAID Match'!$A$2:$B$251,2,FALSE),"")</f>
        <v>4701390</v>
      </c>
    </row>
    <row r="269" spans="1:9" x14ac:dyDescent="0.2">
      <c r="A269">
        <f t="shared" si="8"/>
        <v>4701390</v>
      </c>
      <c r="B269" s="5">
        <v>2019</v>
      </c>
      <c r="C269" s="1">
        <v>99627</v>
      </c>
      <c r="D269" t="s">
        <v>15</v>
      </c>
      <c r="E269" t="s">
        <v>236</v>
      </c>
      <c r="F269" s="8">
        <v>9418</v>
      </c>
      <c r="G269" s="8">
        <v>196239</v>
      </c>
      <c r="H269" s="5">
        <f t="shared" si="9"/>
        <v>205657</v>
      </c>
      <c r="I269">
        <f>IFERROR(VLOOKUP(D269,'LEAID Match'!$A$2:$B$251,2,FALSE),"")</f>
        <v>4701390</v>
      </c>
    </row>
    <row r="270" spans="1:9" x14ac:dyDescent="0.2">
      <c r="A270">
        <f t="shared" si="8"/>
        <v>4701390</v>
      </c>
      <c r="B270" s="5">
        <v>2020</v>
      </c>
      <c r="C270" s="1">
        <v>99627</v>
      </c>
      <c r="D270" t="s">
        <v>15</v>
      </c>
      <c r="E270" t="s">
        <v>236</v>
      </c>
      <c r="F270" s="8">
        <v>12946</v>
      </c>
      <c r="G270" s="8">
        <v>184048</v>
      </c>
      <c r="H270" s="5">
        <f t="shared" si="9"/>
        <v>196994</v>
      </c>
      <c r="I270">
        <f>IFERROR(VLOOKUP(D270,'LEAID Match'!$A$2:$B$251,2,FALSE),"")</f>
        <v>4701390</v>
      </c>
    </row>
    <row r="271" spans="1:9" x14ac:dyDescent="0.2">
      <c r="A271">
        <f t="shared" si="8"/>
        <v>4701390</v>
      </c>
      <c r="B271" s="5">
        <v>2021</v>
      </c>
      <c r="C271" s="1">
        <v>99627</v>
      </c>
      <c r="D271" t="s">
        <v>15</v>
      </c>
      <c r="E271" t="s">
        <v>236</v>
      </c>
      <c r="F271" s="8">
        <v>17372</v>
      </c>
      <c r="G271" s="8">
        <v>177963</v>
      </c>
      <c r="H271" s="5">
        <f t="shared" si="9"/>
        <v>195335</v>
      </c>
      <c r="I271">
        <f>IFERROR(VLOOKUP(D271,'LEAID Match'!$A$2:$B$251,2,FALSE),"")</f>
        <v>4701390</v>
      </c>
    </row>
    <row r="272" spans="1:9" x14ac:dyDescent="0.2">
      <c r="A272">
        <f t="shared" si="8"/>
        <v>4701390</v>
      </c>
      <c r="B272" s="5">
        <v>2022</v>
      </c>
      <c r="C272" s="1">
        <v>99627</v>
      </c>
      <c r="D272" t="s">
        <v>15</v>
      </c>
      <c r="E272" t="s">
        <v>236</v>
      </c>
      <c r="F272" s="8">
        <v>20634.28</v>
      </c>
      <c r="G272" s="8">
        <v>187587.53</v>
      </c>
      <c r="H272" s="5">
        <f t="shared" si="9"/>
        <v>208221.81</v>
      </c>
      <c r="I272">
        <f>IFERROR(VLOOKUP(D272,'LEAID Match'!$A$2:$B$251,2,FALSE),"")</f>
        <v>4701390</v>
      </c>
    </row>
    <row r="273" spans="1:9" x14ac:dyDescent="0.2">
      <c r="A273">
        <f t="shared" si="8"/>
        <v>4701390</v>
      </c>
      <c r="B273" s="5">
        <v>2023</v>
      </c>
      <c r="C273" s="1">
        <v>99627</v>
      </c>
      <c r="D273" t="s">
        <v>15</v>
      </c>
      <c r="E273" t="s">
        <v>236</v>
      </c>
      <c r="F273" s="8">
        <v>33617.120000000003</v>
      </c>
      <c r="G273" s="8">
        <v>154099.49</v>
      </c>
      <c r="H273" s="5">
        <f t="shared" si="9"/>
        <v>187716.61</v>
      </c>
      <c r="I273">
        <f>IFERROR(VLOOKUP(D273,'LEAID Match'!$A$2:$B$251,2,FALSE),"")</f>
        <v>4701390</v>
      </c>
    </row>
    <row r="274" spans="1:9" x14ac:dyDescent="0.2">
      <c r="A274">
        <f t="shared" si="8"/>
        <v>4700330</v>
      </c>
      <c r="B274" s="5">
        <v>2015</v>
      </c>
      <c r="C274" s="1">
        <v>99006</v>
      </c>
      <c r="D274" t="s">
        <v>237</v>
      </c>
      <c r="E274" t="s">
        <v>557</v>
      </c>
      <c r="F274" s="8">
        <v>51319</v>
      </c>
      <c r="G274" s="8">
        <v>3406765</v>
      </c>
      <c r="H274" s="5">
        <f t="shared" si="9"/>
        <v>3458084</v>
      </c>
      <c r="I274">
        <f>IFERROR(VLOOKUP(D274,'LEAID Match'!$A$2:$B$251,2,FALSE),"")</f>
        <v>4700330</v>
      </c>
    </row>
    <row r="275" spans="1:9" x14ac:dyDescent="0.2">
      <c r="A275">
        <f t="shared" si="8"/>
        <v>4700330</v>
      </c>
      <c r="B275" s="5">
        <v>2016</v>
      </c>
      <c r="C275" s="1">
        <v>99006</v>
      </c>
      <c r="D275" t="s">
        <v>237</v>
      </c>
      <c r="E275" t="s">
        <v>16</v>
      </c>
      <c r="F275" s="8">
        <v>106452</v>
      </c>
      <c r="G275" s="8">
        <v>3322756</v>
      </c>
      <c r="H275" s="5">
        <f t="shared" si="9"/>
        <v>3429208</v>
      </c>
      <c r="I275">
        <f>IFERROR(VLOOKUP(D275,'LEAID Match'!$A$2:$B$251,2,FALSE),"")</f>
        <v>4700330</v>
      </c>
    </row>
    <row r="276" spans="1:9" x14ac:dyDescent="0.2">
      <c r="A276">
        <f t="shared" si="8"/>
        <v>4700330</v>
      </c>
      <c r="B276" s="5">
        <v>2017</v>
      </c>
      <c r="C276" s="1">
        <v>99006</v>
      </c>
      <c r="D276" t="s">
        <v>237</v>
      </c>
      <c r="E276" t="s">
        <v>237</v>
      </c>
      <c r="F276" s="8">
        <v>166245</v>
      </c>
      <c r="G276" s="8">
        <v>3225667</v>
      </c>
      <c r="H276" s="5">
        <f t="shared" si="9"/>
        <v>3391912</v>
      </c>
      <c r="I276">
        <f>IFERROR(VLOOKUP(D276,'LEAID Match'!$A$2:$B$251,2,FALSE),"")</f>
        <v>4700330</v>
      </c>
    </row>
    <row r="277" spans="1:9" x14ac:dyDescent="0.2">
      <c r="A277">
        <f t="shared" si="8"/>
        <v>4700330</v>
      </c>
      <c r="B277" s="5">
        <v>2018</v>
      </c>
      <c r="C277" s="1">
        <v>99006</v>
      </c>
      <c r="D277" t="s">
        <v>237</v>
      </c>
      <c r="E277" t="s">
        <v>16</v>
      </c>
      <c r="F277" s="8">
        <v>225377</v>
      </c>
      <c r="G277" s="8">
        <v>3175879</v>
      </c>
      <c r="H277" s="5">
        <f t="shared" si="9"/>
        <v>3401256</v>
      </c>
      <c r="I277">
        <f>IFERROR(VLOOKUP(D277,'LEAID Match'!$A$2:$B$251,2,FALSE),"")</f>
        <v>4700330</v>
      </c>
    </row>
    <row r="278" spans="1:9" x14ac:dyDescent="0.2">
      <c r="A278">
        <f t="shared" si="8"/>
        <v>4700330</v>
      </c>
      <c r="B278" s="5">
        <v>2019</v>
      </c>
      <c r="C278" s="1">
        <v>99006</v>
      </c>
      <c r="D278" t="s">
        <v>237</v>
      </c>
      <c r="E278" t="s">
        <v>237</v>
      </c>
      <c r="F278" s="8">
        <v>149592</v>
      </c>
      <c r="G278" s="8">
        <v>3564747</v>
      </c>
      <c r="H278" s="5">
        <f t="shared" si="9"/>
        <v>3714339</v>
      </c>
      <c r="I278">
        <f>IFERROR(VLOOKUP(D278,'LEAID Match'!$A$2:$B$251,2,FALSE),"")</f>
        <v>4700330</v>
      </c>
    </row>
    <row r="279" spans="1:9" x14ac:dyDescent="0.2">
      <c r="A279">
        <f t="shared" si="8"/>
        <v>4700330</v>
      </c>
      <c r="B279" s="5">
        <v>2020</v>
      </c>
      <c r="C279" s="1">
        <v>99006</v>
      </c>
      <c r="D279" t="s">
        <v>237</v>
      </c>
      <c r="E279" t="s">
        <v>237</v>
      </c>
      <c r="F279" s="8">
        <v>201378</v>
      </c>
      <c r="G279" s="8">
        <v>3495015</v>
      </c>
      <c r="H279" s="5">
        <f t="shared" si="9"/>
        <v>3696393</v>
      </c>
      <c r="I279">
        <f>IFERROR(VLOOKUP(D279,'LEAID Match'!$A$2:$B$251,2,FALSE),"")</f>
        <v>4700330</v>
      </c>
    </row>
    <row r="280" spans="1:9" x14ac:dyDescent="0.2">
      <c r="A280">
        <f t="shared" si="8"/>
        <v>4700330</v>
      </c>
      <c r="B280" s="5">
        <v>2021</v>
      </c>
      <c r="C280" s="1">
        <v>99006</v>
      </c>
      <c r="D280" t="s">
        <v>237</v>
      </c>
      <c r="E280" t="s">
        <v>237</v>
      </c>
      <c r="F280" s="8">
        <v>235903</v>
      </c>
      <c r="G280" s="8">
        <v>3297993</v>
      </c>
      <c r="H280" s="5">
        <f t="shared" si="9"/>
        <v>3533896</v>
      </c>
      <c r="I280">
        <f>IFERROR(VLOOKUP(D280,'LEAID Match'!$A$2:$B$251,2,FALSE),"")</f>
        <v>4700330</v>
      </c>
    </row>
    <row r="281" spans="1:9" x14ac:dyDescent="0.2">
      <c r="A281">
        <f t="shared" si="8"/>
        <v>4700330</v>
      </c>
      <c r="B281" s="5">
        <v>2022</v>
      </c>
      <c r="C281" s="1">
        <v>99006</v>
      </c>
      <c r="D281" t="s">
        <v>237</v>
      </c>
      <c r="E281" t="s">
        <v>237</v>
      </c>
      <c r="F281" s="8">
        <v>264599.71000000002</v>
      </c>
      <c r="G281" s="8">
        <v>3316084.99</v>
      </c>
      <c r="H281" s="5">
        <f t="shared" si="9"/>
        <v>3580684.7</v>
      </c>
      <c r="I281">
        <f>IFERROR(VLOOKUP(D281,'LEAID Match'!$A$2:$B$251,2,FALSE),"")</f>
        <v>4700330</v>
      </c>
    </row>
    <row r="282" spans="1:9" x14ac:dyDescent="0.2">
      <c r="A282">
        <f t="shared" si="8"/>
        <v>4700330</v>
      </c>
      <c r="B282" s="5">
        <v>2023</v>
      </c>
      <c r="C282" s="1">
        <v>99006</v>
      </c>
      <c r="D282" t="s">
        <v>237</v>
      </c>
      <c r="E282" t="s">
        <v>237</v>
      </c>
      <c r="F282" s="8">
        <v>449080.74</v>
      </c>
      <c r="G282" s="8">
        <v>2798911.13</v>
      </c>
      <c r="H282" s="5">
        <f t="shared" si="9"/>
        <v>3247991.87</v>
      </c>
      <c r="I282">
        <f>IFERROR(VLOOKUP(D282,'LEAID Match'!$A$2:$B$251,2,FALSE),"")</f>
        <v>4700330</v>
      </c>
    </row>
    <row r="283" spans="1:9" x14ac:dyDescent="0.2">
      <c r="A283">
        <f t="shared" si="8"/>
        <v>4700360</v>
      </c>
      <c r="B283" s="5">
        <v>2015</v>
      </c>
      <c r="C283" s="1">
        <v>99182</v>
      </c>
      <c r="D283" t="s">
        <v>238</v>
      </c>
      <c r="E283" t="s">
        <v>17</v>
      </c>
      <c r="F283" s="8">
        <v>27576</v>
      </c>
      <c r="G283" s="8">
        <v>1548204</v>
      </c>
      <c r="H283" s="5">
        <f t="shared" si="9"/>
        <v>1575780</v>
      </c>
      <c r="I283">
        <f>IFERROR(VLOOKUP(D283,'LEAID Match'!$A$2:$B$251,2,FALSE),"")</f>
        <v>4700360</v>
      </c>
    </row>
    <row r="284" spans="1:9" x14ac:dyDescent="0.2">
      <c r="A284">
        <f t="shared" si="8"/>
        <v>4700360</v>
      </c>
      <c r="B284" s="5">
        <v>2016</v>
      </c>
      <c r="C284" s="1">
        <v>99182</v>
      </c>
      <c r="D284" t="s">
        <v>238</v>
      </c>
      <c r="E284" t="s">
        <v>17</v>
      </c>
      <c r="F284" s="8">
        <v>51508</v>
      </c>
      <c r="G284" s="8">
        <v>1512414</v>
      </c>
      <c r="H284" s="5">
        <f t="shared" si="9"/>
        <v>1563922</v>
      </c>
      <c r="I284">
        <f>IFERROR(VLOOKUP(D284,'LEAID Match'!$A$2:$B$251,2,FALSE),"")</f>
        <v>4700360</v>
      </c>
    </row>
    <row r="285" spans="1:9" x14ac:dyDescent="0.2">
      <c r="A285">
        <f t="shared" si="8"/>
        <v>4700360</v>
      </c>
      <c r="B285" s="5">
        <v>2017</v>
      </c>
      <c r="C285" s="1">
        <v>99182</v>
      </c>
      <c r="D285" t="s">
        <v>238</v>
      </c>
      <c r="E285" t="s">
        <v>238</v>
      </c>
      <c r="F285" s="8">
        <v>84141</v>
      </c>
      <c r="G285" s="8">
        <v>1488483</v>
      </c>
      <c r="H285" s="5">
        <f t="shared" si="9"/>
        <v>1572624</v>
      </c>
      <c r="I285">
        <f>IFERROR(VLOOKUP(D285,'LEAID Match'!$A$2:$B$251,2,FALSE),"")</f>
        <v>4700360</v>
      </c>
    </row>
    <row r="286" spans="1:9" x14ac:dyDescent="0.2">
      <c r="A286">
        <f t="shared" si="8"/>
        <v>4700360</v>
      </c>
      <c r="B286" s="5">
        <v>2018</v>
      </c>
      <c r="C286" s="1">
        <v>99182</v>
      </c>
      <c r="D286" t="s">
        <v>238</v>
      </c>
      <c r="E286" t="s">
        <v>17</v>
      </c>
      <c r="F286" s="8">
        <v>112971</v>
      </c>
      <c r="G286" s="8">
        <v>1494862</v>
      </c>
      <c r="H286" s="5">
        <f t="shared" si="9"/>
        <v>1607833</v>
      </c>
      <c r="I286">
        <f>IFERROR(VLOOKUP(D286,'LEAID Match'!$A$2:$B$251,2,FALSE),"")</f>
        <v>4700360</v>
      </c>
    </row>
    <row r="287" spans="1:9" x14ac:dyDescent="0.2">
      <c r="A287">
        <f t="shared" si="8"/>
        <v>4700360</v>
      </c>
      <c r="B287" s="5">
        <v>2019</v>
      </c>
      <c r="C287" s="1">
        <v>99182</v>
      </c>
      <c r="D287" t="s">
        <v>238</v>
      </c>
      <c r="E287" t="s">
        <v>238</v>
      </c>
      <c r="F287" s="8">
        <v>64808</v>
      </c>
      <c r="G287" s="8">
        <v>1687135</v>
      </c>
      <c r="H287" s="5">
        <f t="shared" si="9"/>
        <v>1751943</v>
      </c>
      <c r="I287">
        <f>IFERROR(VLOOKUP(D287,'LEAID Match'!$A$2:$B$251,2,FALSE),"")</f>
        <v>4700360</v>
      </c>
    </row>
    <row r="288" spans="1:9" x14ac:dyDescent="0.2">
      <c r="A288">
        <f t="shared" si="8"/>
        <v>4700360</v>
      </c>
      <c r="B288" s="5">
        <v>2020</v>
      </c>
      <c r="C288" s="1">
        <v>99182</v>
      </c>
      <c r="D288" t="s">
        <v>238</v>
      </c>
      <c r="E288" t="s">
        <v>238</v>
      </c>
      <c r="F288" s="8">
        <v>76072</v>
      </c>
      <c r="G288" s="8">
        <v>1735561</v>
      </c>
      <c r="H288" s="5">
        <f t="shared" si="9"/>
        <v>1811633</v>
      </c>
      <c r="I288">
        <f>IFERROR(VLOOKUP(D288,'LEAID Match'!$A$2:$B$251,2,FALSE),"")</f>
        <v>4700360</v>
      </c>
    </row>
    <row r="289" spans="1:9" x14ac:dyDescent="0.2">
      <c r="A289">
        <f t="shared" si="8"/>
        <v>4700360</v>
      </c>
      <c r="B289" s="5">
        <v>2021</v>
      </c>
      <c r="C289" s="1">
        <v>99182</v>
      </c>
      <c r="D289" t="s">
        <v>238</v>
      </c>
      <c r="E289" t="s">
        <v>238</v>
      </c>
      <c r="F289" s="8">
        <v>87499</v>
      </c>
      <c r="G289" s="8">
        <v>1683456</v>
      </c>
      <c r="H289" s="5">
        <f t="shared" si="9"/>
        <v>1770955</v>
      </c>
      <c r="I289">
        <f>IFERROR(VLOOKUP(D289,'LEAID Match'!$A$2:$B$251,2,FALSE),"")</f>
        <v>4700360</v>
      </c>
    </row>
    <row r="290" spans="1:9" x14ac:dyDescent="0.2">
      <c r="A290">
        <f t="shared" si="8"/>
        <v>4700360</v>
      </c>
      <c r="B290" s="5">
        <v>2022</v>
      </c>
      <c r="C290" s="1">
        <v>99182</v>
      </c>
      <c r="D290" t="s">
        <v>238</v>
      </c>
      <c r="E290" t="s">
        <v>238</v>
      </c>
      <c r="F290" s="8">
        <v>119335.6</v>
      </c>
      <c r="G290" s="8">
        <v>1694303.85</v>
      </c>
      <c r="H290" s="5">
        <f t="shared" si="9"/>
        <v>1813639.4500000002</v>
      </c>
      <c r="I290">
        <f>IFERROR(VLOOKUP(D290,'LEAID Match'!$A$2:$B$251,2,FALSE),"")</f>
        <v>4700360</v>
      </c>
    </row>
    <row r="291" spans="1:9" x14ac:dyDescent="0.2">
      <c r="A291">
        <f t="shared" si="8"/>
        <v>4700360</v>
      </c>
      <c r="B291" s="5">
        <v>2023</v>
      </c>
      <c r="C291" s="1">
        <v>99182</v>
      </c>
      <c r="D291" t="s">
        <v>238</v>
      </c>
      <c r="E291" t="s">
        <v>238</v>
      </c>
      <c r="F291" s="8">
        <v>200363</v>
      </c>
      <c r="G291" s="8">
        <v>1387428.97</v>
      </c>
      <c r="H291" s="5">
        <f t="shared" si="9"/>
        <v>1587791.97</v>
      </c>
      <c r="I291">
        <f>IFERROR(VLOOKUP(D291,'LEAID Match'!$A$2:$B$251,2,FALSE),"")</f>
        <v>4700360</v>
      </c>
    </row>
    <row r="292" spans="1:9" x14ac:dyDescent="0.2">
      <c r="A292">
        <f t="shared" si="8"/>
        <v>4700420</v>
      </c>
      <c r="B292" s="5">
        <v>2015</v>
      </c>
      <c r="C292" s="1">
        <v>99007</v>
      </c>
      <c r="D292" t="s">
        <v>240</v>
      </c>
      <c r="E292" t="s">
        <v>558</v>
      </c>
      <c r="F292" s="8">
        <v>25542</v>
      </c>
      <c r="G292" s="8">
        <v>1739023</v>
      </c>
      <c r="H292" s="5">
        <f t="shared" si="9"/>
        <v>1764565</v>
      </c>
      <c r="I292">
        <f>IFERROR(VLOOKUP(D292,'LEAID Match'!$A$2:$B$251,2,FALSE),"")</f>
        <v>4700420</v>
      </c>
    </row>
    <row r="293" spans="1:9" ht="17" customHeight="1" x14ac:dyDescent="0.2">
      <c r="A293">
        <f t="shared" si="8"/>
        <v>4700420</v>
      </c>
      <c r="B293" s="5">
        <v>2016</v>
      </c>
      <c r="C293" s="1">
        <v>99007</v>
      </c>
      <c r="D293" t="s">
        <v>240</v>
      </c>
      <c r="E293" t="s">
        <v>19</v>
      </c>
      <c r="F293" s="8">
        <v>51319</v>
      </c>
      <c r="G293" s="8">
        <v>1709909</v>
      </c>
      <c r="H293" s="5">
        <f t="shared" si="9"/>
        <v>1761228</v>
      </c>
      <c r="I293">
        <f>IFERROR(VLOOKUP(D293,'LEAID Match'!$A$2:$B$251,2,FALSE),"")</f>
        <v>4700420</v>
      </c>
    </row>
    <row r="294" spans="1:9" x14ac:dyDescent="0.2">
      <c r="A294">
        <f t="shared" si="8"/>
        <v>4700420</v>
      </c>
      <c r="B294" s="5">
        <v>2017</v>
      </c>
      <c r="C294" s="1">
        <v>99007</v>
      </c>
      <c r="D294" t="s">
        <v>240</v>
      </c>
      <c r="E294" t="s">
        <v>240</v>
      </c>
      <c r="F294" s="8">
        <v>90738</v>
      </c>
      <c r="G294" s="8">
        <v>1658538</v>
      </c>
      <c r="H294" s="5">
        <f t="shared" si="9"/>
        <v>1749276</v>
      </c>
      <c r="I294">
        <f>IFERROR(VLOOKUP(D294,'LEAID Match'!$A$2:$B$251,2,FALSE),"")</f>
        <v>4700420</v>
      </c>
    </row>
    <row r="295" spans="1:9" x14ac:dyDescent="0.2">
      <c r="A295">
        <f t="shared" si="8"/>
        <v>4700420</v>
      </c>
      <c r="B295" s="5">
        <v>2018</v>
      </c>
      <c r="C295" s="1">
        <v>99007</v>
      </c>
      <c r="D295" t="s">
        <v>240</v>
      </c>
      <c r="E295" t="s">
        <v>19</v>
      </c>
      <c r="F295" s="8">
        <v>104976</v>
      </c>
      <c r="G295" s="8">
        <v>1680421</v>
      </c>
      <c r="H295" s="5">
        <f t="shared" si="9"/>
        <v>1785397</v>
      </c>
      <c r="I295">
        <f>IFERROR(VLOOKUP(D295,'LEAID Match'!$A$2:$B$251,2,FALSE),"")</f>
        <v>4700420</v>
      </c>
    </row>
    <row r="296" spans="1:9" x14ac:dyDescent="0.2">
      <c r="A296">
        <f t="shared" si="8"/>
        <v>4700420</v>
      </c>
      <c r="B296" s="5">
        <v>2019</v>
      </c>
      <c r="C296" s="1">
        <v>99007</v>
      </c>
      <c r="D296" t="s">
        <v>240</v>
      </c>
      <c r="E296" t="s">
        <v>240</v>
      </c>
      <c r="F296" s="8">
        <v>69049</v>
      </c>
      <c r="G296" s="8">
        <v>1858639</v>
      </c>
      <c r="H296" s="5">
        <f t="shared" si="9"/>
        <v>1927688</v>
      </c>
      <c r="I296">
        <f>IFERROR(VLOOKUP(D296,'LEAID Match'!$A$2:$B$251,2,FALSE),"")</f>
        <v>4700420</v>
      </c>
    </row>
    <row r="297" spans="1:9" x14ac:dyDescent="0.2">
      <c r="A297">
        <f t="shared" si="8"/>
        <v>4700420</v>
      </c>
      <c r="B297" s="5">
        <v>2020</v>
      </c>
      <c r="C297" s="1">
        <v>99007</v>
      </c>
      <c r="D297" t="s">
        <v>240</v>
      </c>
      <c r="E297" t="s">
        <v>240</v>
      </c>
      <c r="F297" s="8">
        <v>83916</v>
      </c>
      <c r="G297" s="8">
        <v>1789229</v>
      </c>
      <c r="H297" s="5">
        <f t="shared" si="9"/>
        <v>1873145</v>
      </c>
      <c r="I297">
        <f>IFERROR(VLOOKUP(D297,'LEAID Match'!$A$2:$B$251,2,FALSE),"")</f>
        <v>4700420</v>
      </c>
    </row>
    <row r="298" spans="1:9" x14ac:dyDescent="0.2">
      <c r="A298">
        <f t="shared" si="8"/>
        <v>4700420</v>
      </c>
      <c r="B298" s="5">
        <v>2021</v>
      </c>
      <c r="C298" s="1">
        <v>99007</v>
      </c>
      <c r="D298" t="s">
        <v>240</v>
      </c>
      <c r="E298" t="s">
        <v>240</v>
      </c>
      <c r="F298" s="8">
        <v>105757</v>
      </c>
      <c r="G298" s="8">
        <v>1647447</v>
      </c>
      <c r="H298" s="5">
        <f t="shared" si="9"/>
        <v>1753204</v>
      </c>
      <c r="I298">
        <f>IFERROR(VLOOKUP(D298,'LEAID Match'!$A$2:$B$251,2,FALSE),"")</f>
        <v>4700420</v>
      </c>
    </row>
    <row r="299" spans="1:9" x14ac:dyDescent="0.2">
      <c r="A299">
        <f t="shared" si="8"/>
        <v>4700420</v>
      </c>
      <c r="B299" s="5">
        <v>2022</v>
      </c>
      <c r="C299" s="1">
        <v>99007</v>
      </c>
      <c r="D299" t="s">
        <v>240</v>
      </c>
      <c r="E299" t="s">
        <v>240</v>
      </c>
      <c r="F299" s="8">
        <v>141747.28</v>
      </c>
      <c r="G299" s="8">
        <v>1608142.28</v>
      </c>
      <c r="H299" s="5">
        <f t="shared" si="9"/>
        <v>1749889.56</v>
      </c>
      <c r="I299">
        <f>IFERROR(VLOOKUP(D299,'LEAID Match'!$A$2:$B$251,2,FALSE),"")</f>
        <v>4700420</v>
      </c>
    </row>
    <row r="300" spans="1:9" x14ac:dyDescent="0.2">
      <c r="A300">
        <f t="shared" si="8"/>
        <v>4700420</v>
      </c>
      <c r="B300" s="5">
        <v>2023</v>
      </c>
      <c r="C300" s="1">
        <v>99007</v>
      </c>
      <c r="D300" t="s">
        <v>240</v>
      </c>
      <c r="E300" t="s">
        <v>240</v>
      </c>
      <c r="F300" s="8">
        <v>232219.15</v>
      </c>
      <c r="G300" s="8">
        <v>1344663.86</v>
      </c>
      <c r="H300" s="5">
        <f t="shared" si="9"/>
        <v>1576883.01</v>
      </c>
      <c r="I300">
        <f>IFERROR(VLOOKUP(D300,'LEAID Match'!$A$2:$B$251,2,FALSE),"")</f>
        <v>4700420</v>
      </c>
    </row>
    <row r="301" spans="1:9" x14ac:dyDescent="0.2">
      <c r="A301">
        <f t="shared" si="8"/>
        <v>4700450</v>
      </c>
      <c r="B301" s="5">
        <v>2015</v>
      </c>
      <c r="C301" s="1">
        <v>99008</v>
      </c>
      <c r="D301" t="s">
        <v>241</v>
      </c>
      <c r="E301" t="s">
        <v>559</v>
      </c>
      <c r="F301" s="8">
        <v>8173</v>
      </c>
      <c r="G301" s="8">
        <v>667670</v>
      </c>
      <c r="H301" s="5">
        <f t="shared" si="9"/>
        <v>675843</v>
      </c>
      <c r="I301">
        <f>IFERROR(VLOOKUP(D301,'LEAID Match'!$A$2:$B$251,2,FALSE),"")</f>
        <v>4700450</v>
      </c>
    </row>
    <row r="302" spans="1:9" x14ac:dyDescent="0.2">
      <c r="A302">
        <f t="shared" si="8"/>
        <v>4700450</v>
      </c>
      <c r="B302" s="5">
        <v>2016</v>
      </c>
      <c r="C302" s="1">
        <v>99008</v>
      </c>
      <c r="D302" t="s">
        <v>241</v>
      </c>
      <c r="E302" t="s">
        <v>20</v>
      </c>
      <c r="F302" s="8">
        <v>20475</v>
      </c>
      <c r="G302" s="8">
        <v>648617</v>
      </c>
      <c r="H302" s="5">
        <f t="shared" si="9"/>
        <v>669092</v>
      </c>
      <c r="I302">
        <f>IFERROR(VLOOKUP(D302,'LEAID Match'!$A$2:$B$251,2,FALSE),"")</f>
        <v>4700450</v>
      </c>
    </row>
    <row r="303" spans="1:9" x14ac:dyDescent="0.2">
      <c r="A303">
        <f t="shared" si="8"/>
        <v>4700450</v>
      </c>
      <c r="B303" s="5">
        <v>2017</v>
      </c>
      <c r="C303" s="1">
        <v>99008</v>
      </c>
      <c r="D303" t="s">
        <v>241</v>
      </c>
      <c r="E303" t="s">
        <v>241</v>
      </c>
      <c r="F303" s="8">
        <v>36777</v>
      </c>
      <c r="G303" s="8">
        <v>643024</v>
      </c>
      <c r="H303" s="5">
        <f t="shared" si="9"/>
        <v>679801</v>
      </c>
      <c r="I303">
        <f>IFERROR(VLOOKUP(D303,'LEAID Match'!$A$2:$B$251,2,FALSE),"")</f>
        <v>4700450</v>
      </c>
    </row>
    <row r="304" spans="1:9" x14ac:dyDescent="0.2">
      <c r="A304">
        <f t="shared" si="8"/>
        <v>4700450</v>
      </c>
      <c r="B304" s="5">
        <v>2018</v>
      </c>
      <c r="C304" s="1">
        <v>99008</v>
      </c>
      <c r="D304" t="s">
        <v>241</v>
      </c>
      <c r="E304" t="s">
        <v>20</v>
      </c>
      <c r="F304" s="8">
        <v>53451</v>
      </c>
      <c r="G304" s="8">
        <v>639814</v>
      </c>
      <c r="H304" s="5">
        <f t="shared" si="9"/>
        <v>693265</v>
      </c>
      <c r="I304">
        <f>IFERROR(VLOOKUP(D304,'LEAID Match'!$A$2:$B$251,2,FALSE),"")</f>
        <v>4700450</v>
      </c>
    </row>
    <row r="305" spans="1:9" x14ac:dyDescent="0.2">
      <c r="A305">
        <f t="shared" si="8"/>
        <v>4700450</v>
      </c>
      <c r="B305" s="5">
        <v>2019</v>
      </c>
      <c r="C305" s="1">
        <v>99008</v>
      </c>
      <c r="D305" t="s">
        <v>241</v>
      </c>
      <c r="E305" t="s">
        <v>241</v>
      </c>
      <c r="F305" s="8">
        <v>35584</v>
      </c>
      <c r="G305" s="8">
        <v>738528</v>
      </c>
      <c r="H305" s="5">
        <f t="shared" si="9"/>
        <v>774112</v>
      </c>
      <c r="I305">
        <f>IFERROR(VLOOKUP(D305,'LEAID Match'!$A$2:$B$251,2,FALSE),"")</f>
        <v>4700450</v>
      </c>
    </row>
    <row r="306" spans="1:9" x14ac:dyDescent="0.2">
      <c r="A306">
        <f t="shared" si="8"/>
        <v>4700450</v>
      </c>
      <c r="B306" s="5">
        <v>2020</v>
      </c>
      <c r="C306" s="1">
        <v>99008</v>
      </c>
      <c r="D306" t="s">
        <v>241</v>
      </c>
      <c r="E306" t="s">
        <v>241</v>
      </c>
      <c r="F306" s="8">
        <v>41854</v>
      </c>
      <c r="G306" s="8">
        <v>726303</v>
      </c>
      <c r="H306" s="5">
        <f t="shared" si="9"/>
        <v>768157</v>
      </c>
      <c r="I306">
        <f>IFERROR(VLOOKUP(D306,'LEAID Match'!$A$2:$B$251,2,FALSE),"")</f>
        <v>4700450</v>
      </c>
    </row>
    <row r="307" spans="1:9" x14ac:dyDescent="0.2">
      <c r="A307">
        <f t="shared" si="8"/>
        <v>4700450</v>
      </c>
      <c r="B307" s="5">
        <v>2021</v>
      </c>
      <c r="C307" s="1">
        <v>99008</v>
      </c>
      <c r="D307" t="s">
        <v>241</v>
      </c>
      <c r="E307" t="s">
        <v>241</v>
      </c>
      <c r="F307" s="8">
        <v>44794</v>
      </c>
      <c r="G307" s="8">
        <v>643809</v>
      </c>
      <c r="H307" s="5">
        <f t="shared" si="9"/>
        <v>688603</v>
      </c>
      <c r="I307">
        <f>IFERROR(VLOOKUP(D307,'LEAID Match'!$A$2:$B$251,2,FALSE),"")</f>
        <v>4700450</v>
      </c>
    </row>
    <row r="308" spans="1:9" x14ac:dyDescent="0.2">
      <c r="A308">
        <f t="shared" si="8"/>
        <v>4700450</v>
      </c>
      <c r="B308" s="5">
        <v>2022</v>
      </c>
      <c r="C308" s="1">
        <v>99008</v>
      </c>
      <c r="D308" t="s">
        <v>241</v>
      </c>
      <c r="E308" t="s">
        <v>241</v>
      </c>
      <c r="F308" s="8">
        <v>57938.52</v>
      </c>
      <c r="G308" s="8">
        <v>665737.32999999996</v>
      </c>
      <c r="H308" s="5">
        <f t="shared" si="9"/>
        <v>723675.85</v>
      </c>
      <c r="I308">
        <f>IFERROR(VLOOKUP(D308,'LEAID Match'!$A$2:$B$251,2,FALSE),"")</f>
        <v>4700450</v>
      </c>
    </row>
    <row r="309" spans="1:9" x14ac:dyDescent="0.2">
      <c r="A309">
        <f t="shared" si="8"/>
        <v>4700450</v>
      </c>
      <c r="B309" s="5">
        <v>2023</v>
      </c>
      <c r="C309" s="1">
        <v>99008</v>
      </c>
      <c r="D309" t="s">
        <v>241</v>
      </c>
      <c r="E309" t="s">
        <v>241</v>
      </c>
      <c r="F309" s="8">
        <v>83153.070000000007</v>
      </c>
      <c r="G309" s="8">
        <v>494455.12</v>
      </c>
      <c r="H309" s="5">
        <f t="shared" si="9"/>
        <v>577608.18999999994</v>
      </c>
      <c r="I309">
        <f>IFERROR(VLOOKUP(D309,'LEAID Match'!$A$2:$B$251,2,FALSE),"")</f>
        <v>4700450</v>
      </c>
    </row>
    <row r="310" spans="1:9" x14ac:dyDescent="0.2">
      <c r="A310">
        <f t="shared" si="8"/>
        <v>4700480</v>
      </c>
      <c r="B310" s="5">
        <v>2015</v>
      </c>
      <c r="C310" s="1">
        <v>99009</v>
      </c>
      <c r="D310" t="s">
        <v>449</v>
      </c>
      <c r="E310" t="s">
        <v>449</v>
      </c>
      <c r="F310" s="8" t="s">
        <v>591</v>
      </c>
      <c r="G310" s="8">
        <v>78125</v>
      </c>
      <c r="H310" s="5">
        <f t="shared" si="9"/>
        <v>78125</v>
      </c>
      <c r="I310">
        <f>IFERROR(VLOOKUP(D310,'LEAID Match'!$A$2:$B$251,2,FALSE),"")</f>
        <v>4700480</v>
      </c>
    </row>
    <row r="311" spans="1:9" x14ac:dyDescent="0.2">
      <c r="A311">
        <f t="shared" si="8"/>
        <v>4700480</v>
      </c>
      <c r="B311" s="5">
        <v>2016</v>
      </c>
      <c r="C311" s="1">
        <v>99009</v>
      </c>
      <c r="D311" t="s">
        <v>449</v>
      </c>
      <c r="E311" t="s">
        <v>449</v>
      </c>
      <c r="F311" s="8" t="s">
        <v>591</v>
      </c>
      <c r="G311" s="8">
        <v>65412</v>
      </c>
      <c r="H311" s="5">
        <f t="shared" si="9"/>
        <v>65412</v>
      </c>
      <c r="I311">
        <f>IFERROR(VLOOKUP(D311,'LEAID Match'!$A$2:$B$251,2,FALSE),"")</f>
        <v>4700480</v>
      </c>
    </row>
    <row r="312" spans="1:9" x14ac:dyDescent="0.2">
      <c r="A312">
        <f t="shared" si="8"/>
        <v>4700480</v>
      </c>
      <c r="B312" s="5">
        <v>2017</v>
      </c>
      <c r="C312" s="1">
        <v>99009</v>
      </c>
      <c r="D312" t="s">
        <v>449</v>
      </c>
      <c r="E312" t="s">
        <v>242</v>
      </c>
      <c r="F312" s="8">
        <v>4202</v>
      </c>
      <c r="G312" s="8">
        <v>69925</v>
      </c>
      <c r="H312" s="5">
        <f t="shared" si="9"/>
        <v>74127</v>
      </c>
      <c r="I312">
        <f>IFERROR(VLOOKUP(D312,'LEAID Match'!$A$2:$B$251,2,FALSE),"")</f>
        <v>4700480</v>
      </c>
    </row>
    <row r="313" spans="1:9" x14ac:dyDescent="0.2">
      <c r="A313">
        <f t="shared" si="8"/>
        <v>4700480</v>
      </c>
      <c r="B313" s="5">
        <v>2018</v>
      </c>
      <c r="C313" s="1">
        <v>99009</v>
      </c>
      <c r="D313" t="s">
        <v>449</v>
      </c>
      <c r="E313" t="s">
        <v>449</v>
      </c>
      <c r="F313" s="8">
        <v>9390</v>
      </c>
      <c r="G313" s="8">
        <v>62831</v>
      </c>
      <c r="H313" s="5">
        <f t="shared" si="9"/>
        <v>72221</v>
      </c>
      <c r="I313">
        <f>IFERROR(VLOOKUP(D313,'LEAID Match'!$A$2:$B$251,2,FALSE),"")</f>
        <v>4700480</v>
      </c>
    </row>
    <row r="314" spans="1:9" x14ac:dyDescent="0.2">
      <c r="A314">
        <f t="shared" si="8"/>
        <v>4700480</v>
      </c>
      <c r="B314" s="5">
        <v>2019</v>
      </c>
      <c r="C314" s="1">
        <v>99009</v>
      </c>
      <c r="D314" t="s">
        <v>449</v>
      </c>
      <c r="E314" t="s">
        <v>242</v>
      </c>
      <c r="F314" s="8">
        <v>3494</v>
      </c>
      <c r="G314" s="8">
        <v>50144</v>
      </c>
      <c r="H314" s="5">
        <f t="shared" si="9"/>
        <v>53638</v>
      </c>
      <c r="I314">
        <f>IFERROR(VLOOKUP(D314,'LEAID Match'!$A$2:$B$251,2,FALSE),"")</f>
        <v>4700480</v>
      </c>
    </row>
    <row r="315" spans="1:9" x14ac:dyDescent="0.2">
      <c r="A315">
        <f t="shared" si="8"/>
        <v>4700480</v>
      </c>
      <c r="B315" s="5">
        <v>2020</v>
      </c>
      <c r="C315" s="1">
        <v>99009</v>
      </c>
      <c r="D315" t="s">
        <v>449</v>
      </c>
      <c r="E315" t="s">
        <v>242</v>
      </c>
      <c r="F315" s="8">
        <v>4529</v>
      </c>
      <c r="G315" s="8">
        <v>45169</v>
      </c>
      <c r="H315" s="5">
        <f t="shared" si="9"/>
        <v>49698</v>
      </c>
      <c r="I315">
        <f>IFERROR(VLOOKUP(D315,'LEAID Match'!$A$2:$B$251,2,FALSE),"")</f>
        <v>4700480</v>
      </c>
    </row>
    <row r="316" spans="1:9" x14ac:dyDescent="0.2">
      <c r="A316">
        <f t="shared" si="8"/>
        <v>4700480</v>
      </c>
      <c r="B316" s="5">
        <v>2021</v>
      </c>
      <c r="C316" s="1">
        <v>99009</v>
      </c>
      <c r="D316" t="s">
        <v>449</v>
      </c>
      <c r="E316" t="s">
        <v>242</v>
      </c>
      <c r="F316" s="8">
        <v>4682</v>
      </c>
      <c r="G316" s="8">
        <v>45249</v>
      </c>
      <c r="H316" s="5">
        <f t="shared" si="9"/>
        <v>49931</v>
      </c>
      <c r="I316">
        <f>IFERROR(VLOOKUP(D316,'LEAID Match'!$A$2:$B$251,2,FALSE),"")</f>
        <v>4700480</v>
      </c>
    </row>
    <row r="317" spans="1:9" x14ac:dyDescent="0.2">
      <c r="A317">
        <f t="shared" si="8"/>
        <v>4700480</v>
      </c>
      <c r="B317" s="5">
        <v>2022</v>
      </c>
      <c r="C317" s="1">
        <v>99009</v>
      </c>
      <c r="D317" t="s">
        <v>449</v>
      </c>
      <c r="E317" t="s">
        <v>242</v>
      </c>
      <c r="F317" s="8">
        <v>4930.63</v>
      </c>
      <c r="G317" s="8">
        <v>47095.83</v>
      </c>
      <c r="H317" s="5">
        <f t="shared" si="9"/>
        <v>52026.46</v>
      </c>
      <c r="I317">
        <f>IFERROR(VLOOKUP(D317,'LEAID Match'!$A$2:$B$251,2,FALSE),"")</f>
        <v>4700480</v>
      </c>
    </row>
    <row r="318" spans="1:9" x14ac:dyDescent="0.2">
      <c r="A318">
        <f t="shared" si="8"/>
        <v>4700480</v>
      </c>
      <c r="B318" s="5">
        <v>2023</v>
      </c>
      <c r="C318" s="1">
        <v>99009</v>
      </c>
      <c r="D318" t="s">
        <v>449</v>
      </c>
      <c r="E318" t="s">
        <v>242</v>
      </c>
      <c r="F318" s="8">
        <v>7184.27</v>
      </c>
      <c r="G318" s="8">
        <v>41064.839999999997</v>
      </c>
      <c r="H318" s="5">
        <f t="shared" si="9"/>
        <v>48249.11</v>
      </c>
      <c r="I318">
        <f>IFERROR(VLOOKUP(D318,'LEAID Match'!$A$2:$B$251,2,FALSE),"")</f>
        <v>4700480</v>
      </c>
    </row>
    <row r="319" spans="1:9" x14ac:dyDescent="0.2">
      <c r="A319">
        <f t="shared" si="8"/>
        <v>4700510</v>
      </c>
      <c r="B319" s="5">
        <v>2015</v>
      </c>
      <c r="C319" s="1">
        <v>99010</v>
      </c>
      <c r="D319" t="s">
        <v>243</v>
      </c>
      <c r="E319" t="s">
        <v>560</v>
      </c>
      <c r="F319" s="8">
        <v>28892</v>
      </c>
      <c r="G319" s="8">
        <v>1862080</v>
      </c>
      <c r="H319" s="5">
        <f t="shared" si="9"/>
        <v>1890972</v>
      </c>
      <c r="I319">
        <f>IFERROR(VLOOKUP(D319,'LEAID Match'!$A$2:$B$251,2,FALSE),"")</f>
        <v>4700510</v>
      </c>
    </row>
    <row r="320" spans="1:9" x14ac:dyDescent="0.2">
      <c r="A320">
        <f t="shared" si="8"/>
        <v>4700510</v>
      </c>
      <c r="B320" s="5">
        <v>2016</v>
      </c>
      <c r="C320" s="1">
        <v>99010</v>
      </c>
      <c r="D320" t="s">
        <v>243</v>
      </c>
      <c r="E320" t="s">
        <v>21</v>
      </c>
      <c r="F320" s="8">
        <v>60931</v>
      </c>
      <c r="G320" s="8">
        <v>1826476</v>
      </c>
      <c r="H320" s="5">
        <f t="shared" si="9"/>
        <v>1887407</v>
      </c>
      <c r="I320">
        <f>IFERROR(VLOOKUP(D320,'LEAID Match'!$A$2:$B$251,2,FALSE),"")</f>
        <v>4700510</v>
      </c>
    </row>
    <row r="321" spans="1:9" x14ac:dyDescent="0.2">
      <c r="A321">
        <f t="shared" si="8"/>
        <v>4700510</v>
      </c>
      <c r="B321" s="5">
        <v>2017</v>
      </c>
      <c r="C321" s="1">
        <v>99010</v>
      </c>
      <c r="D321" t="s">
        <v>243</v>
      </c>
      <c r="E321" t="s">
        <v>243</v>
      </c>
      <c r="F321" s="8">
        <v>103169</v>
      </c>
      <c r="G321" s="8">
        <v>1804892</v>
      </c>
      <c r="H321" s="5">
        <f t="shared" si="9"/>
        <v>1908061</v>
      </c>
      <c r="I321">
        <f>IFERROR(VLOOKUP(D321,'LEAID Match'!$A$2:$B$251,2,FALSE),"")</f>
        <v>4700510</v>
      </c>
    </row>
    <row r="322" spans="1:9" x14ac:dyDescent="0.2">
      <c r="A322">
        <f t="shared" si="8"/>
        <v>4700510</v>
      </c>
      <c r="B322" s="5">
        <v>2018</v>
      </c>
      <c r="C322" s="1">
        <v>99010</v>
      </c>
      <c r="D322" t="s">
        <v>243</v>
      </c>
      <c r="E322" t="s">
        <v>21</v>
      </c>
      <c r="F322" s="8">
        <v>124703</v>
      </c>
      <c r="G322" s="8">
        <v>1806782</v>
      </c>
      <c r="H322" s="5">
        <f t="shared" si="9"/>
        <v>1931485</v>
      </c>
      <c r="I322">
        <f>IFERROR(VLOOKUP(D322,'LEAID Match'!$A$2:$B$251,2,FALSE),"")</f>
        <v>4700510</v>
      </c>
    </row>
    <row r="323" spans="1:9" x14ac:dyDescent="0.2">
      <c r="A323">
        <f t="shared" ref="A323:A386" si="10">I323</f>
        <v>4700510</v>
      </c>
      <c r="B323" s="5">
        <v>2019</v>
      </c>
      <c r="C323" s="1">
        <v>99010</v>
      </c>
      <c r="D323" t="s">
        <v>243</v>
      </c>
      <c r="E323" t="s">
        <v>243</v>
      </c>
      <c r="F323" s="8">
        <v>68531</v>
      </c>
      <c r="G323" s="8">
        <v>2043113</v>
      </c>
      <c r="H323" s="5">
        <f t="shared" ref="H323:H386" si="11">SUM(F323:G323)</f>
        <v>2111644</v>
      </c>
      <c r="I323">
        <f>IFERROR(VLOOKUP(D323,'LEAID Match'!$A$2:$B$251,2,FALSE),"")</f>
        <v>4700510</v>
      </c>
    </row>
    <row r="324" spans="1:9" x14ac:dyDescent="0.2">
      <c r="A324">
        <f t="shared" si="10"/>
        <v>4700510</v>
      </c>
      <c r="B324" s="5">
        <v>2020</v>
      </c>
      <c r="C324" s="1">
        <v>99010</v>
      </c>
      <c r="D324" t="s">
        <v>243</v>
      </c>
      <c r="E324" t="s">
        <v>243</v>
      </c>
      <c r="F324" s="8">
        <v>81430</v>
      </c>
      <c r="G324" s="8">
        <v>2003669</v>
      </c>
      <c r="H324" s="5">
        <f t="shared" si="11"/>
        <v>2085099</v>
      </c>
      <c r="I324">
        <f>IFERROR(VLOOKUP(D324,'LEAID Match'!$A$2:$B$251,2,FALSE),"")</f>
        <v>4700510</v>
      </c>
    </row>
    <row r="325" spans="1:9" x14ac:dyDescent="0.2">
      <c r="A325">
        <f t="shared" si="10"/>
        <v>4700510</v>
      </c>
      <c r="B325" s="5">
        <v>2021</v>
      </c>
      <c r="C325" s="1">
        <v>99010</v>
      </c>
      <c r="D325" t="s">
        <v>243</v>
      </c>
      <c r="E325" t="s">
        <v>243</v>
      </c>
      <c r="F325" s="8">
        <v>98291</v>
      </c>
      <c r="G325" s="8">
        <v>1802339</v>
      </c>
      <c r="H325" s="5">
        <f t="shared" si="11"/>
        <v>1900630</v>
      </c>
      <c r="I325">
        <f>IFERROR(VLOOKUP(D325,'LEAID Match'!$A$2:$B$251,2,FALSE),"")</f>
        <v>4700510</v>
      </c>
    </row>
    <row r="326" spans="1:9" x14ac:dyDescent="0.2">
      <c r="A326">
        <f t="shared" si="10"/>
        <v>4700510</v>
      </c>
      <c r="B326" s="5">
        <v>2022</v>
      </c>
      <c r="C326" s="1">
        <v>99010</v>
      </c>
      <c r="D326" t="s">
        <v>243</v>
      </c>
      <c r="E326" t="s">
        <v>243</v>
      </c>
      <c r="F326" s="8">
        <v>135727.09</v>
      </c>
      <c r="G326" s="8">
        <v>1841770.93</v>
      </c>
      <c r="H326" s="5">
        <f t="shared" si="11"/>
        <v>1977498.02</v>
      </c>
      <c r="I326">
        <f>IFERROR(VLOOKUP(D326,'LEAID Match'!$A$2:$B$251,2,FALSE),"")</f>
        <v>4700510</v>
      </c>
    </row>
    <row r="327" spans="1:9" x14ac:dyDescent="0.2">
      <c r="A327">
        <f t="shared" si="10"/>
        <v>4700510</v>
      </c>
      <c r="B327" s="5">
        <v>2023</v>
      </c>
      <c r="C327" s="1">
        <v>99010</v>
      </c>
      <c r="D327" t="s">
        <v>243</v>
      </c>
      <c r="E327" t="s">
        <v>243</v>
      </c>
      <c r="F327" s="8">
        <v>219344.94</v>
      </c>
      <c r="G327" s="8">
        <v>1498600.12</v>
      </c>
      <c r="H327" s="5">
        <f t="shared" si="11"/>
        <v>1717945.06</v>
      </c>
      <c r="I327">
        <f>IFERROR(VLOOKUP(D327,'LEAID Match'!$A$2:$B$251,2,FALSE),"")</f>
        <v>4700510</v>
      </c>
    </row>
    <row r="328" spans="1:9" x14ac:dyDescent="0.2">
      <c r="A328">
        <f t="shared" si="10"/>
        <v>0</v>
      </c>
      <c r="B328" s="5">
        <v>2015</v>
      </c>
      <c r="C328" s="1">
        <v>93302</v>
      </c>
      <c r="D328" t="s">
        <v>519</v>
      </c>
      <c r="E328" t="s">
        <v>178</v>
      </c>
      <c r="F328" s="8">
        <v>10082</v>
      </c>
      <c r="G328" s="8">
        <v>76232</v>
      </c>
      <c r="H328" s="5">
        <f t="shared" si="11"/>
        <v>86314</v>
      </c>
      <c r="I328">
        <f>IFERROR(VLOOKUP(D328,'LEAID Match'!$A$2:$B$251,2,FALSE),"")</f>
        <v>0</v>
      </c>
    </row>
    <row r="329" spans="1:9" x14ac:dyDescent="0.2">
      <c r="A329">
        <f t="shared" si="10"/>
        <v>0</v>
      </c>
      <c r="B329" s="5">
        <v>2016</v>
      </c>
      <c r="C329" s="1">
        <v>93302</v>
      </c>
      <c r="D329" t="s">
        <v>519</v>
      </c>
      <c r="E329" t="s">
        <v>178</v>
      </c>
      <c r="F329" s="8">
        <v>28531</v>
      </c>
      <c r="G329" s="8">
        <v>64845</v>
      </c>
      <c r="H329" s="5">
        <f t="shared" si="11"/>
        <v>93376</v>
      </c>
      <c r="I329">
        <f>IFERROR(VLOOKUP(D329,'LEAID Match'!$A$2:$B$251,2,FALSE),"")</f>
        <v>0</v>
      </c>
    </row>
    <row r="330" spans="1:9" x14ac:dyDescent="0.2">
      <c r="A330">
        <f t="shared" si="10"/>
        <v>0</v>
      </c>
      <c r="B330" s="5">
        <v>2017</v>
      </c>
      <c r="C330" s="1">
        <v>93302</v>
      </c>
      <c r="D330" t="s">
        <v>519</v>
      </c>
      <c r="E330" t="s">
        <v>244</v>
      </c>
      <c r="F330" s="8">
        <v>44034</v>
      </c>
      <c r="G330" s="8">
        <v>51367</v>
      </c>
      <c r="H330" s="5">
        <f t="shared" si="11"/>
        <v>95401</v>
      </c>
      <c r="I330">
        <f>IFERROR(VLOOKUP(D330,'LEAID Match'!$A$2:$B$251,2,FALSE),"")</f>
        <v>0</v>
      </c>
    </row>
    <row r="331" spans="1:9" x14ac:dyDescent="0.2">
      <c r="A331">
        <f t="shared" si="10"/>
        <v>0</v>
      </c>
      <c r="B331" s="5">
        <v>2018</v>
      </c>
      <c r="C331" s="1">
        <v>93302</v>
      </c>
      <c r="D331" t="s">
        <v>519</v>
      </c>
      <c r="E331" t="s">
        <v>450</v>
      </c>
      <c r="F331" s="8">
        <v>34789</v>
      </c>
      <c r="G331" s="8">
        <v>45764</v>
      </c>
      <c r="H331" s="5">
        <f t="shared" si="11"/>
        <v>80553</v>
      </c>
      <c r="I331">
        <f>IFERROR(VLOOKUP(D331,'LEAID Match'!$A$2:$B$251,2,FALSE),"")</f>
        <v>0</v>
      </c>
    </row>
    <row r="332" spans="1:9" x14ac:dyDescent="0.2">
      <c r="A332">
        <f t="shared" si="10"/>
        <v>0</v>
      </c>
      <c r="B332" s="5">
        <v>2019</v>
      </c>
      <c r="C332" s="1">
        <v>93302</v>
      </c>
      <c r="D332" t="s">
        <v>519</v>
      </c>
      <c r="E332" t="s">
        <v>585</v>
      </c>
      <c r="F332" s="8">
        <v>18613</v>
      </c>
      <c r="G332" s="8">
        <v>51632</v>
      </c>
      <c r="H332" s="5">
        <f t="shared" si="11"/>
        <v>70245</v>
      </c>
      <c r="I332">
        <f>IFERROR(VLOOKUP(D332,'LEAID Match'!$A$2:$B$251,2,FALSE),"")</f>
        <v>0</v>
      </c>
    </row>
    <row r="333" spans="1:9" x14ac:dyDescent="0.2">
      <c r="A333">
        <f t="shared" si="10"/>
        <v>0</v>
      </c>
      <c r="B333" s="5">
        <v>2020</v>
      </c>
      <c r="C333" s="1">
        <v>93302</v>
      </c>
      <c r="D333" t="s">
        <v>519</v>
      </c>
      <c r="E333" t="s">
        <v>244</v>
      </c>
      <c r="F333" s="8">
        <v>22882</v>
      </c>
      <c r="G333" s="8">
        <v>35713</v>
      </c>
      <c r="H333" s="5">
        <f t="shared" si="11"/>
        <v>58595</v>
      </c>
      <c r="I333">
        <f>IFERROR(VLOOKUP(D333,'LEAID Match'!$A$2:$B$251,2,FALSE),"")</f>
        <v>0</v>
      </c>
    </row>
    <row r="334" spans="1:9" x14ac:dyDescent="0.2">
      <c r="A334">
        <f t="shared" si="10"/>
        <v>0</v>
      </c>
      <c r="B334" s="5">
        <v>2021</v>
      </c>
      <c r="C334" s="1">
        <v>93302</v>
      </c>
      <c r="D334" t="s">
        <v>519</v>
      </c>
      <c r="E334" t="s">
        <v>244</v>
      </c>
      <c r="F334" s="8">
        <v>33390</v>
      </c>
      <c r="G334" s="8">
        <v>43753</v>
      </c>
      <c r="H334" s="5">
        <f t="shared" si="11"/>
        <v>77143</v>
      </c>
      <c r="I334">
        <f>IFERROR(VLOOKUP(D334,'LEAID Match'!$A$2:$B$251,2,FALSE),"")</f>
        <v>0</v>
      </c>
    </row>
    <row r="335" spans="1:9" x14ac:dyDescent="0.2">
      <c r="A335">
        <f t="shared" si="10"/>
        <v>0</v>
      </c>
      <c r="B335" s="5">
        <v>2022</v>
      </c>
      <c r="C335" s="1">
        <v>93302</v>
      </c>
      <c r="D335" t="s">
        <v>519</v>
      </c>
      <c r="E335" t="s">
        <v>244</v>
      </c>
      <c r="F335" s="8">
        <v>37692.620000000003</v>
      </c>
      <c r="G335" s="8">
        <v>50727.48</v>
      </c>
      <c r="H335" s="5">
        <f t="shared" si="11"/>
        <v>88420.1</v>
      </c>
      <c r="I335">
        <f>IFERROR(VLOOKUP(D335,'LEAID Match'!$A$2:$B$251,2,FALSE),"")</f>
        <v>0</v>
      </c>
    </row>
    <row r="336" spans="1:9" x14ac:dyDescent="0.2">
      <c r="A336">
        <f t="shared" si="10"/>
        <v>0</v>
      </c>
      <c r="B336" s="5">
        <v>2023</v>
      </c>
      <c r="C336" s="1">
        <v>93302</v>
      </c>
      <c r="D336" t="s">
        <v>519</v>
      </c>
      <c r="E336" t="s">
        <v>519</v>
      </c>
      <c r="F336" s="8">
        <v>48614.45</v>
      </c>
      <c r="G336" s="8">
        <v>31387.32</v>
      </c>
      <c r="H336" s="5">
        <f t="shared" si="11"/>
        <v>80001.76999999999</v>
      </c>
      <c r="I336">
        <f>IFERROR(VLOOKUP(D336,'LEAID Match'!$A$2:$B$251,2,FALSE),"")</f>
        <v>0</v>
      </c>
    </row>
    <row r="337" spans="1:9" x14ac:dyDescent="0.2">
      <c r="A337">
        <f t="shared" si="10"/>
        <v>0</v>
      </c>
      <c r="B337" s="5">
        <v>2018</v>
      </c>
      <c r="C337" s="1">
        <v>93303</v>
      </c>
      <c r="D337" t="s">
        <v>520</v>
      </c>
      <c r="E337" t="s">
        <v>451</v>
      </c>
      <c r="F337" s="8">
        <v>20672</v>
      </c>
      <c r="G337" s="8">
        <v>10440</v>
      </c>
      <c r="H337" s="5">
        <f t="shared" si="11"/>
        <v>31112</v>
      </c>
      <c r="I337">
        <f>IFERROR(VLOOKUP(D337,'LEAID Match'!$A$2:$B$251,2,FALSE),"")</f>
        <v>0</v>
      </c>
    </row>
    <row r="338" spans="1:9" x14ac:dyDescent="0.2">
      <c r="A338">
        <f t="shared" si="10"/>
        <v>0</v>
      </c>
      <c r="B338" s="5">
        <v>2019</v>
      </c>
      <c r="C338" s="1">
        <v>93303</v>
      </c>
      <c r="D338" t="s">
        <v>520</v>
      </c>
      <c r="E338" t="s">
        <v>497</v>
      </c>
      <c r="F338" s="8">
        <v>11877</v>
      </c>
      <c r="G338" s="8">
        <v>7968</v>
      </c>
      <c r="H338" s="5">
        <f t="shared" si="11"/>
        <v>19845</v>
      </c>
      <c r="I338">
        <f>IFERROR(VLOOKUP(D338,'LEAID Match'!$A$2:$B$251,2,FALSE),"")</f>
        <v>0</v>
      </c>
    </row>
    <row r="339" spans="1:9" x14ac:dyDescent="0.2">
      <c r="A339">
        <f t="shared" si="10"/>
        <v>0</v>
      </c>
      <c r="B339" s="5">
        <v>2020</v>
      </c>
      <c r="C339" s="1">
        <v>93303</v>
      </c>
      <c r="D339" t="s">
        <v>520</v>
      </c>
      <c r="E339" t="s">
        <v>497</v>
      </c>
      <c r="F339" s="8">
        <v>15163</v>
      </c>
      <c r="G339" s="8">
        <v>19220</v>
      </c>
      <c r="H339" s="5">
        <f t="shared" si="11"/>
        <v>34383</v>
      </c>
      <c r="I339">
        <f>IFERROR(VLOOKUP(D339,'LEAID Match'!$A$2:$B$251,2,FALSE),"")</f>
        <v>0</v>
      </c>
    </row>
    <row r="340" spans="1:9" x14ac:dyDescent="0.2">
      <c r="A340">
        <f t="shared" si="10"/>
        <v>0</v>
      </c>
      <c r="B340" s="5">
        <v>2021</v>
      </c>
      <c r="C340" s="1">
        <v>93303</v>
      </c>
      <c r="D340" t="s">
        <v>520</v>
      </c>
      <c r="E340" t="s">
        <v>497</v>
      </c>
      <c r="F340" s="8">
        <v>21792</v>
      </c>
      <c r="G340" s="8">
        <v>16954</v>
      </c>
      <c r="H340" s="5">
        <f t="shared" si="11"/>
        <v>38746</v>
      </c>
      <c r="I340">
        <f>IFERROR(VLOOKUP(D340,'LEAID Match'!$A$2:$B$251,2,FALSE),"")</f>
        <v>0</v>
      </c>
    </row>
    <row r="341" spans="1:9" x14ac:dyDescent="0.2">
      <c r="A341">
        <f t="shared" si="10"/>
        <v>0</v>
      </c>
      <c r="B341" s="5">
        <v>2022</v>
      </c>
      <c r="C341" s="1">
        <v>93303</v>
      </c>
      <c r="D341" t="s">
        <v>520</v>
      </c>
      <c r="E341" t="s">
        <v>497</v>
      </c>
      <c r="F341" s="8">
        <v>21775.81</v>
      </c>
      <c r="G341" s="8">
        <v>18063.62</v>
      </c>
      <c r="H341" s="5">
        <f t="shared" si="11"/>
        <v>39839.43</v>
      </c>
      <c r="I341">
        <f>IFERROR(VLOOKUP(D341,'LEAID Match'!$A$2:$B$251,2,FALSE),"")</f>
        <v>0</v>
      </c>
    </row>
    <row r="342" spans="1:9" x14ac:dyDescent="0.2">
      <c r="A342">
        <f t="shared" si="10"/>
        <v>0</v>
      </c>
      <c r="B342" s="5">
        <v>2023</v>
      </c>
      <c r="C342" s="1">
        <v>93303</v>
      </c>
      <c r="D342" t="s">
        <v>520</v>
      </c>
      <c r="E342" t="s">
        <v>520</v>
      </c>
      <c r="F342" s="8">
        <v>22248.46</v>
      </c>
      <c r="G342" s="8">
        <v>15197.19</v>
      </c>
      <c r="H342" s="5">
        <f t="shared" si="11"/>
        <v>37445.65</v>
      </c>
      <c r="I342">
        <f>IFERROR(VLOOKUP(D342,'LEAID Match'!$A$2:$B$251,2,FALSE),"")</f>
        <v>0</v>
      </c>
    </row>
    <row r="343" spans="1:9" x14ac:dyDescent="0.2">
      <c r="A343">
        <f t="shared" si="10"/>
        <v>0</v>
      </c>
      <c r="B343" s="5">
        <v>2015</v>
      </c>
      <c r="C343" s="1">
        <v>93300</v>
      </c>
      <c r="D343" t="s">
        <v>245</v>
      </c>
      <c r="E343" t="s">
        <v>22</v>
      </c>
      <c r="F343" s="8">
        <v>12041</v>
      </c>
      <c r="G343" s="8">
        <v>97371</v>
      </c>
      <c r="H343" s="5">
        <f t="shared" si="11"/>
        <v>109412</v>
      </c>
      <c r="I343">
        <f>IFERROR(VLOOKUP(D343,'LEAID Match'!$A$2:$B$251,2,FALSE),"")</f>
        <v>0</v>
      </c>
    </row>
    <row r="344" spans="1:9" x14ac:dyDescent="0.2">
      <c r="A344">
        <f t="shared" si="10"/>
        <v>0</v>
      </c>
      <c r="B344" s="5">
        <v>2016</v>
      </c>
      <c r="C344" s="1">
        <v>93300</v>
      </c>
      <c r="D344" t="s">
        <v>245</v>
      </c>
      <c r="E344" t="s">
        <v>22</v>
      </c>
      <c r="F344" s="8">
        <v>18839</v>
      </c>
      <c r="G344" s="8">
        <v>91424</v>
      </c>
      <c r="H344" s="5">
        <f t="shared" si="11"/>
        <v>110263</v>
      </c>
      <c r="I344">
        <f>IFERROR(VLOOKUP(D344,'LEAID Match'!$A$2:$B$251,2,FALSE),"")</f>
        <v>0</v>
      </c>
    </row>
    <row r="345" spans="1:9" x14ac:dyDescent="0.2">
      <c r="A345">
        <f t="shared" si="10"/>
        <v>0</v>
      </c>
      <c r="B345" s="5">
        <v>2017</v>
      </c>
      <c r="C345" s="1">
        <v>93300</v>
      </c>
      <c r="D345" t="s">
        <v>245</v>
      </c>
      <c r="E345" t="s">
        <v>245</v>
      </c>
      <c r="F345" s="8">
        <v>40832</v>
      </c>
      <c r="G345" s="8">
        <v>55933</v>
      </c>
      <c r="H345" s="5">
        <f t="shared" si="11"/>
        <v>96765</v>
      </c>
      <c r="I345">
        <f>IFERROR(VLOOKUP(D345,'LEAID Match'!$A$2:$B$251,2,FALSE),"")</f>
        <v>0</v>
      </c>
    </row>
    <row r="346" spans="1:9" x14ac:dyDescent="0.2">
      <c r="A346">
        <f t="shared" si="10"/>
        <v>0</v>
      </c>
      <c r="B346" s="5">
        <v>2018</v>
      </c>
      <c r="C346" s="1">
        <v>93300</v>
      </c>
      <c r="D346" t="s">
        <v>245</v>
      </c>
      <c r="E346" t="s">
        <v>22</v>
      </c>
      <c r="F346" s="8">
        <v>37526</v>
      </c>
      <c r="G346" s="8">
        <v>79390</v>
      </c>
      <c r="H346" s="5">
        <f t="shared" si="11"/>
        <v>116916</v>
      </c>
      <c r="I346">
        <f>IFERROR(VLOOKUP(D346,'LEAID Match'!$A$2:$B$251,2,FALSE),"")</f>
        <v>0</v>
      </c>
    </row>
    <row r="347" spans="1:9" x14ac:dyDescent="0.2">
      <c r="A347">
        <f t="shared" si="10"/>
        <v>0</v>
      </c>
      <c r="B347" s="5">
        <v>2019</v>
      </c>
      <c r="C347" s="1">
        <v>93300</v>
      </c>
      <c r="D347" t="s">
        <v>245</v>
      </c>
      <c r="E347" t="s">
        <v>245</v>
      </c>
      <c r="F347" s="8">
        <v>20607</v>
      </c>
      <c r="G347" s="8">
        <v>89524</v>
      </c>
      <c r="H347" s="5">
        <f t="shared" si="11"/>
        <v>110131</v>
      </c>
      <c r="I347">
        <f>IFERROR(VLOOKUP(D347,'LEAID Match'!$A$2:$B$251,2,FALSE),"")</f>
        <v>0</v>
      </c>
    </row>
    <row r="348" spans="1:9" x14ac:dyDescent="0.2">
      <c r="A348">
        <f t="shared" si="10"/>
        <v>0</v>
      </c>
      <c r="B348" s="5">
        <v>2020</v>
      </c>
      <c r="C348" s="1">
        <v>93300</v>
      </c>
      <c r="D348" t="s">
        <v>245</v>
      </c>
      <c r="E348" t="s">
        <v>245</v>
      </c>
      <c r="F348" s="8">
        <v>22759</v>
      </c>
      <c r="G348" s="8">
        <v>105330</v>
      </c>
      <c r="H348" s="5">
        <f t="shared" si="11"/>
        <v>128089</v>
      </c>
      <c r="I348">
        <f>IFERROR(VLOOKUP(D348,'LEAID Match'!$A$2:$B$251,2,FALSE),"")</f>
        <v>0</v>
      </c>
    </row>
    <row r="349" spans="1:9" x14ac:dyDescent="0.2">
      <c r="A349">
        <f t="shared" si="10"/>
        <v>0</v>
      </c>
      <c r="B349" s="5">
        <v>2021</v>
      </c>
      <c r="C349" s="1">
        <v>93300</v>
      </c>
      <c r="D349" t="s">
        <v>245</v>
      </c>
      <c r="E349" t="s">
        <v>245</v>
      </c>
      <c r="F349" s="8">
        <v>24575</v>
      </c>
      <c r="G349" s="8">
        <v>85565</v>
      </c>
      <c r="H349" s="5">
        <f t="shared" si="11"/>
        <v>110140</v>
      </c>
      <c r="I349">
        <f>IFERROR(VLOOKUP(D349,'LEAID Match'!$A$2:$B$251,2,FALSE),"")</f>
        <v>0</v>
      </c>
    </row>
    <row r="350" spans="1:9" x14ac:dyDescent="0.2">
      <c r="A350">
        <f t="shared" si="10"/>
        <v>0</v>
      </c>
      <c r="B350" s="5">
        <v>2022</v>
      </c>
      <c r="C350" s="1">
        <v>93300</v>
      </c>
      <c r="D350" t="s">
        <v>245</v>
      </c>
      <c r="E350" t="s">
        <v>245</v>
      </c>
      <c r="F350" s="8">
        <v>27479.75</v>
      </c>
      <c r="G350" s="8">
        <v>93417.289999999906</v>
      </c>
      <c r="H350" s="5">
        <f t="shared" si="11"/>
        <v>120897.03999999991</v>
      </c>
      <c r="I350">
        <f>IFERROR(VLOOKUP(D350,'LEAID Match'!$A$2:$B$251,2,FALSE),"")</f>
        <v>0</v>
      </c>
    </row>
    <row r="351" spans="1:9" x14ac:dyDescent="0.2">
      <c r="A351">
        <f t="shared" si="10"/>
        <v>0</v>
      </c>
      <c r="B351" s="5">
        <v>2023</v>
      </c>
      <c r="C351" s="1">
        <v>93300</v>
      </c>
      <c r="D351" t="s">
        <v>245</v>
      </c>
      <c r="E351" t="s">
        <v>245</v>
      </c>
      <c r="F351" s="8">
        <v>40393.65</v>
      </c>
      <c r="G351" s="8">
        <v>64831.72</v>
      </c>
      <c r="H351" s="5">
        <f t="shared" si="11"/>
        <v>105225.37</v>
      </c>
      <c r="I351">
        <f>IFERROR(VLOOKUP(D351,'LEAID Match'!$A$2:$B$251,2,FALSE),"")</f>
        <v>0</v>
      </c>
    </row>
    <row r="352" spans="1:9" x14ac:dyDescent="0.2">
      <c r="A352">
        <f t="shared" si="10"/>
        <v>0</v>
      </c>
      <c r="B352" s="5">
        <v>2018</v>
      </c>
      <c r="C352" s="1">
        <v>93304</v>
      </c>
      <c r="D352" t="s">
        <v>484</v>
      </c>
      <c r="E352" t="s">
        <v>452</v>
      </c>
      <c r="F352" s="8">
        <v>3367</v>
      </c>
      <c r="G352" s="8" t="s">
        <v>591</v>
      </c>
      <c r="H352" s="5">
        <f t="shared" si="11"/>
        <v>3367</v>
      </c>
      <c r="I352">
        <f>IFERROR(VLOOKUP(D352,'LEAID Match'!$A$2:$B$251,2,FALSE),"")</f>
        <v>0</v>
      </c>
    </row>
    <row r="353" spans="1:9" x14ac:dyDescent="0.2">
      <c r="A353">
        <f t="shared" si="10"/>
        <v>0</v>
      </c>
      <c r="B353" s="5">
        <v>2019</v>
      </c>
      <c r="C353" s="1">
        <v>93304</v>
      </c>
      <c r="D353" t="s">
        <v>484</v>
      </c>
      <c r="E353" t="s">
        <v>484</v>
      </c>
      <c r="F353" s="8">
        <v>10419</v>
      </c>
      <c r="G353" s="8">
        <v>12129</v>
      </c>
      <c r="H353" s="5">
        <f t="shared" si="11"/>
        <v>22548</v>
      </c>
      <c r="I353">
        <f>IFERROR(VLOOKUP(D353,'LEAID Match'!$A$2:$B$251,2,FALSE),"")</f>
        <v>0</v>
      </c>
    </row>
    <row r="354" spans="1:9" x14ac:dyDescent="0.2">
      <c r="A354">
        <f t="shared" si="10"/>
        <v>0</v>
      </c>
      <c r="B354" s="5">
        <v>2020</v>
      </c>
      <c r="C354" s="1">
        <v>93304</v>
      </c>
      <c r="D354" t="s">
        <v>484</v>
      </c>
      <c r="E354" t="s">
        <v>484</v>
      </c>
      <c r="F354" s="8">
        <v>16211</v>
      </c>
      <c r="G354" s="8">
        <v>23676</v>
      </c>
      <c r="H354" s="5">
        <f t="shared" si="11"/>
        <v>39887</v>
      </c>
      <c r="I354">
        <f>IFERROR(VLOOKUP(D354,'LEAID Match'!$A$2:$B$251,2,FALSE),"")</f>
        <v>0</v>
      </c>
    </row>
    <row r="355" spans="1:9" x14ac:dyDescent="0.2">
      <c r="A355">
        <f t="shared" si="10"/>
        <v>0</v>
      </c>
      <c r="B355" s="5">
        <v>2021</v>
      </c>
      <c r="C355" s="1">
        <v>93304</v>
      </c>
      <c r="D355" t="s">
        <v>484</v>
      </c>
      <c r="E355" t="s">
        <v>484</v>
      </c>
      <c r="F355" s="8">
        <v>20316</v>
      </c>
      <c r="G355" s="8">
        <v>36270</v>
      </c>
      <c r="H355" s="5">
        <f t="shared" si="11"/>
        <v>56586</v>
      </c>
      <c r="I355">
        <f>IFERROR(VLOOKUP(D355,'LEAID Match'!$A$2:$B$251,2,FALSE),"")</f>
        <v>0</v>
      </c>
    </row>
    <row r="356" spans="1:9" x14ac:dyDescent="0.2">
      <c r="A356">
        <f t="shared" si="10"/>
        <v>0</v>
      </c>
      <c r="B356" s="5">
        <v>2022</v>
      </c>
      <c r="C356" s="1">
        <v>93304</v>
      </c>
      <c r="D356" t="s">
        <v>484</v>
      </c>
      <c r="E356" t="s">
        <v>484</v>
      </c>
      <c r="F356" s="8">
        <v>26131.67</v>
      </c>
      <c r="G356" s="8">
        <v>59626.31</v>
      </c>
      <c r="H356" s="5">
        <f t="shared" si="11"/>
        <v>85757.98</v>
      </c>
      <c r="I356">
        <f>IFERROR(VLOOKUP(D356,'LEAID Match'!$A$2:$B$251,2,FALSE),"")</f>
        <v>0</v>
      </c>
    </row>
    <row r="357" spans="1:9" x14ac:dyDescent="0.2">
      <c r="A357">
        <f t="shared" si="10"/>
        <v>0</v>
      </c>
      <c r="B357" s="5">
        <v>2023</v>
      </c>
      <c r="C357" s="1">
        <v>93304</v>
      </c>
      <c r="D357" t="s">
        <v>484</v>
      </c>
      <c r="E357" t="s">
        <v>484</v>
      </c>
      <c r="F357" s="8">
        <v>27565.86</v>
      </c>
      <c r="G357" s="8">
        <v>66356.679999999906</v>
      </c>
      <c r="H357" s="5">
        <f t="shared" si="11"/>
        <v>93922.539999999906</v>
      </c>
      <c r="I357">
        <f>IFERROR(VLOOKUP(D357,'LEAID Match'!$A$2:$B$251,2,FALSE),"")</f>
        <v>0</v>
      </c>
    </row>
    <row r="358" spans="1:9" x14ac:dyDescent="0.2">
      <c r="A358">
        <f t="shared" si="10"/>
        <v>0</v>
      </c>
      <c r="B358" s="5">
        <v>2023</v>
      </c>
      <c r="C358" s="1">
        <v>93307</v>
      </c>
      <c r="D358" t="s">
        <v>521</v>
      </c>
      <c r="E358" t="s">
        <v>521</v>
      </c>
      <c r="F358" s="8">
        <v>11380.62</v>
      </c>
      <c r="G358" s="8" t="s">
        <v>591</v>
      </c>
      <c r="H358" s="5">
        <f t="shared" si="11"/>
        <v>11380.62</v>
      </c>
      <c r="I358">
        <f>IFERROR(VLOOKUP(D358,'LEAID Match'!$A$2:$B$251,2,FALSE),"")</f>
        <v>0</v>
      </c>
    </row>
    <row r="359" spans="1:9" x14ac:dyDescent="0.2">
      <c r="A359">
        <f t="shared" si="10"/>
        <v>4700570</v>
      </c>
      <c r="B359" s="5">
        <v>2015</v>
      </c>
      <c r="C359" s="1">
        <v>99011</v>
      </c>
      <c r="D359" t="s">
        <v>246</v>
      </c>
      <c r="E359" t="s">
        <v>23</v>
      </c>
      <c r="F359" s="8">
        <v>75997</v>
      </c>
      <c r="G359" s="8">
        <v>1741936</v>
      </c>
      <c r="H359" s="5">
        <f t="shared" si="11"/>
        <v>1817933</v>
      </c>
      <c r="I359">
        <f>IFERROR(VLOOKUP(D359,'LEAID Match'!$A$2:$B$251,2,FALSE),"")</f>
        <v>4700570</v>
      </c>
    </row>
    <row r="360" spans="1:9" x14ac:dyDescent="0.2">
      <c r="A360">
        <f t="shared" si="10"/>
        <v>4700570</v>
      </c>
      <c r="B360" s="5">
        <v>2016</v>
      </c>
      <c r="C360" s="1">
        <v>99011</v>
      </c>
      <c r="D360" t="s">
        <v>246</v>
      </c>
      <c r="E360" t="s">
        <v>23</v>
      </c>
      <c r="F360" s="8">
        <v>154627</v>
      </c>
      <c r="G360" s="8">
        <v>1823573</v>
      </c>
      <c r="H360" s="5">
        <f t="shared" si="11"/>
        <v>1978200</v>
      </c>
      <c r="I360">
        <f>IFERROR(VLOOKUP(D360,'LEAID Match'!$A$2:$B$251,2,FALSE),"")</f>
        <v>4700570</v>
      </c>
    </row>
    <row r="361" spans="1:9" x14ac:dyDescent="0.2">
      <c r="A361">
        <f t="shared" si="10"/>
        <v>4700570</v>
      </c>
      <c r="B361" s="5">
        <v>2017</v>
      </c>
      <c r="C361" s="1">
        <v>99011</v>
      </c>
      <c r="D361" t="s">
        <v>246</v>
      </c>
      <c r="E361" t="s">
        <v>246</v>
      </c>
      <c r="F361" s="8">
        <v>195302</v>
      </c>
      <c r="G361" s="8">
        <v>1751072</v>
      </c>
      <c r="H361" s="5">
        <f t="shared" si="11"/>
        <v>1946374</v>
      </c>
      <c r="I361">
        <f>IFERROR(VLOOKUP(D361,'LEAID Match'!$A$2:$B$251,2,FALSE),"")</f>
        <v>4700570</v>
      </c>
    </row>
    <row r="362" spans="1:9" x14ac:dyDescent="0.2">
      <c r="A362">
        <f t="shared" si="10"/>
        <v>4700570</v>
      </c>
      <c r="B362" s="5">
        <v>2018</v>
      </c>
      <c r="C362" s="1">
        <v>99011</v>
      </c>
      <c r="D362" t="s">
        <v>246</v>
      </c>
      <c r="E362" t="s">
        <v>23</v>
      </c>
      <c r="F362" s="8">
        <v>221589</v>
      </c>
      <c r="G362" s="8">
        <v>1706416</v>
      </c>
      <c r="H362" s="5">
        <f t="shared" si="11"/>
        <v>1928005</v>
      </c>
      <c r="I362">
        <f>IFERROR(VLOOKUP(D362,'LEAID Match'!$A$2:$B$251,2,FALSE),"")</f>
        <v>4700570</v>
      </c>
    </row>
    <row r="363" spans="1:9" x14ac:dyDescent="0.2">
      <c r="A363">
        <f t="shared" si="10"/>
        <v>4700570</v>
      </c>
      <c r="B363" s="5">
        <v>2019</v>
      </c>
      <c r="C363" s="1">
        <v>99011</v>
      </c>
      <c r="D363" t="s">
        <v>246</v>
      </c>
      <c r="E363" t="s">
        <v>246</v>
      </c>
      <c r="F363" s="8">
        <v>116035</v>
      </c>
      <c r="G363" s="8">
        <v>1872310</v>
      </c>
      <c r="H363" s="5">
        <f t="shared" si="11"/>
        <v>1988345</v>
      </c>
      <c r="I363">
        <f>IFERROR(VLOOKUP(D363,'LEAID Match'!$A$2:$B$251,2,FALSE),"")</f>
        <v>4700570</v>
      </c>
    </row>
    <row r="364" spans="1:9" x14ac:dyDescent="0.2">
      <c r="A364">
        <f t="shared" si="10"/>
        <v>4700570</v>
      </c>
      <c r="B364" s="5">
        <v>2020</v>
      </c>
      <c r="C364" s="1">
        <v>99011</v>
      </c>
      <c r="D364" t="s">
        <v>246</v>
      </c>
      <c r="E364" t="s">
        <v>246</v>
      </c>
      <c r="F364" s="8">
        <v>140698</v>
      </c>
      <c r="G364" s="8">
        <v>1803256</v>
      </c>
      <c r="H364" s="5">
        <f t="shared" si="11"/>
        <v>1943954</v>
      </c>
      <c r="I364">
        <f>IFERROR(VLOOKUP(D364,'LEAID Match'!$A$2:$B$251,2,FALSE),"")</f>
        <v>4700570</v>
      </c>
    </row>
    <row r="365" spans="1:9" x14ac:dyDescent="0.2">
      <c r="A365">
        <f t="shared" si="10"/>
        <v>4700570</v>
      </c>
      <c r="B365" s="5">
        <v>2021</v>
      </c>
      <c r="C365" s="1">
        <v>99011</v>
      </c>
      <c r="D365" t="s">
        <v>246</v>
      </c>
      <c r="E365" t="s">
        <v>246</v>
      </c>
      <c r="F365" s="8">
        <v>170294</v>
      </c>
      <c r="G365" s="8">
        <v>1653119</v>
      </c>
      <c r="H365" s="5">
        <f t="shared" si="11"/>
        <v>1823413</v>
      </c>
      <c r="I365">
        <f>IFERROR(VLOOKUP(D365,'LEAID Match'!$A$2:$B$251,2,FALSE),"")</f>
        <v>4700570</v>
      </c>
    </row>
    <row r="366" spans="1:9" x14ac:dyDescent="0.2">
      <c r="A366">
        <f t="shared" si="10"/>
        <v>4700570</v>
      </c>
      <c r="B366" s="5">
        <v>2022</v>
      </c>
      <c r="C366" s="1">
        <v>99011</v>
      </c>
      <c r="D366" t="s">
        <v>246</v>
      </c>
      <c r="E366" t="s">
        <v>246</v>
      </c>
      <c r="F366" s="8">
        <v>208572.14</v>
      </c>
      <c r="G366" s="8">
        <v>1633802.87</v>
      </c>
      <c r="H366" s="5">
        <f t="shared" si="11"/>
        <v>1842375.0100000002</v>
      </c>
      <c r="I366">
        <f>IFERROR(VLOOKUP(D366,'LEAID Match'!$A$2:$B$251,2,FALSE),"")</f>
        <v>4700570</v>
      </c>
    </row>
    <row r="367" spans="1:9" x14ac:dyDescent="0.2">
      <c r="A367">
        <f t="shared" si="10"/>
        <v>4700570</v>
      </c>
      <c r="B367" s="5">
        <v>2023</v>
      </c>
      <c r="C367" s="1">
        <v>99011</v>
      </c>
      <c r="D367" t="s">
        <v>246</v>
      </c>
      <c r="E367" t="s">
        <v>246</v>
      </c>
      <c r="F367" s="8">
        <v>339195.98</v>
      </c>
      <c r="G367" s="8">
        <v>1380632.3</v>
      </c>
      <c r="H367" s="5">
        <f t="shared" si="11"/>
        <v>1719828.28</v>
      </c>
      <c r="I367">
        <f>IFERROR(VLOOKUP(D367,'LEAID Match'!$A$2:$B$251,2,FALSE),"")</f>
        <v>4700570</v>
      </c>
    </row>
    <row r="368" spans="1:9" x14ac:dyDescent="0.2">
      <c r="A368">
        <f t="shared" si="10"/>
        <v>4700600</v>
      </c>
      <c r="B368" s="5">
        <v>2015</v>
      </c>
      <c r="C368" s="1">
        <v>99012</v>
      </c>
      <c r="D368" t="s">
        <v>247</v>
      </c>
      <c r="E368" t="s">
        <v>24</v>
      </c>
      <c r="F368" s="8">
        <v>6757</v>
      </c>
      <c r="G368" s="8">
        <v>751302</v>
      </c>
      <c r="H368" s="5">
        <f t="shared" si="11"/>
        <v>758059</v>
      </c>
      <c r="I368">
        <f>IFERROR(VLOOKUP(D368,'LEAID Match'!$A$2:$B$251,2,FALSE),"")</f>
        <v>4700600</v>
      </c>
    </row>
    <row r="369" spans="1:9" x14ac:dyDescent="0.2">
      <c r="A369">
        <f t="shared" si="10"/>
        <v>4700600</v>
      </c>
      <c r="B369" s="5">
        <v>2016</v>
      </c>
      <c r="C369" s="1">
        <v>99012</v>
      </c>
      <c r="D369" t="s">
        <v>247</v>
      </c>
      <c r="E369" t="s">
        <v>24</v>
      </c>
      <c r="F369" s="8">
        <v>25760</v>
      </c>
      <c r="G369" s="8">
        <v>857910</v>
      </c>
      <c r="H369" s="5">
        <f t="shared" si="11"/>
        <v>883670</v>
      </c>
      <c r="I369">
        <f>IFERROR(VLOOKUP(D369,'LEAID Match'!$A$2:$B$251,2,FALSE),"")</f>
        <v>4700600</v>
      </c>
    </row>
    <row r="370" spans="1:9" x14ac:dyDescent="0.2">
      <c r="A370">
        <f t="shared" si="10"/>
        <v>4700600</v>
      </c>
      <c r="B370" s="5">
        <v>2017</v>
      </c>
      <c r="C370" s="1">
        <v>99012</v>
      </c>
      <c r="D370" t="s">
        <v>247</v>
      </c>
      <c r="E370" t="s">
        <v>247</v>
      </c>
      <c r="F370" s="8">
        <v>47175</v>
      </c>
      <c r="G370" s="8">
        <v>856439</v>
      </c>
      <c r="H370" s="5">
        <f t="shared" si="11"/>
        <v>903614</v>
      </c>
      <c r="I370">
        <f>IFERROR(VLOOKUP(D370,'LEAID Match'!$A$2:$B$251,2,FALSE),"")</f>
        <v>4700600</v>
      </c>
    </row>
    <row r="371" spans="1:9" x14ac:dyDescent="0.2">
      <c r="A371">
        <f t="shared" si="10"/>
        <v>4700600</v>
      </c>
      <c r="B371" s="5">
        <v>2018</v>
      </c>
      <c r="C371" s="1">
        <v>99012</v>
      </c>
      <c r="D371" t="s">
        <v>247</v>
      </c>
      <c r="E371" t="s">
        <v>24</v>
      </c>
      <c r="F371" s="8">
        <v>73739</v>
      </c>
      <c r="G371" s="8">
        <v>840745</v>
      </c>
      <c r="H371" s="5">
        <f t="shared" si="11"/>
        <v>914484</v>
      </c>
      <c r="I371">
        <f>IFERROR(VLOOKUP(D371,'LEAID Match'!$A$2:$B$251,2,FALSE),"")</f>
        <v>4700600</v>
      </c>
    </row>
    <row r="372" spans="1:9" x14ac:dyDescent="0.2">
      <c r="A372">
        <f t="shared" si="10"/>
        <v>4700600</v>
      </c>
      <c r="B372" s="5">
        <v>2019</v>
      </c>
      <c r="C372" s="1">
        <v>99012</v>
      </c>
      <c r="D372" t="s">
        <v>247</v>
      </c>
      <c r="E372" t="s">
        <v>247</v>
      </c>
      <c r="F372" s="8">
        <v>44779</v>
      </c>
      <c r="G372" s="8">
        <v>880150</v>
      </c>
      <c r="H372" s="5">
        <f t="shared" si="11"/>
        <v>924929</v>
      </c>
      <c r="I372">
        <f>IFERROR(VLOOKUP(D372,'LEAID Match'!$A$2:$B$251,2,FALSE),"")</f>
        <v>4700600</v>
      </c>
    </row>
    <row r="373" spans="1:9" x14ac:dyDescent="0.2">
      <c r="A373">
        <f t="shared" si="10"/>
        <v>4700600</v>
      </c>
      <c r="B373" s="5">
        <v>2020</v>
      </c>
      <c r="C373" s="1">
        <v>99012</v>
      </c>
      <c r="D373" t="s">
        <v>247</v>
      </c>
      <c r="E373" t="s">
        <v>247</v>
      </c>
      <c r="F373" s="8">
        <v>52557</v>
      </c>
      <c r="G373" s="8">
        <v>878993</v>
      </c>
      <c r="H373" s="5">
        <f t="shared" si="11"/>
        <v>931550</v>
      </c>
      <c r="I373">
        <f>IFERROR(VLOOKUP(D373,'LEAID Match'!$A$2:$B$251,2,FALSE),"")</f>
        <v>4700600</v>
      </c>
    </row>
    <row r="374" spans="1:9" x14ac:dyDescent="0.2">
      <c r="A374">
        <f t="shared" si="10"/>
        <v>4700600</v>
      </c>
      <c r="B374" s="5">
        <v>2021</v>
      </c>
      <c r="C374" s="1">
        <v>99012</v>
      </c>
      <c r="D374" t="s">
        <v>247</v>
      </c>
      <c r="E374" t="s">
        <v>247</v>
      </c>
      <c r="F374" s="8">
        <v>60270</v>
      </c>
      <c r="G374" s="8">
        <v>904519</v>
      </c>
      <c r="H374" s="5">
        <f t="shared" si="11"/>
        <v>964789</v>
      </c>
      <c r="I374">
        <f>IFERROR(VLOOKUP(D374,'LEAID Match'!$A$2:$B$251,2,FALSE),"")</f>
        <v>4700600</v>
      </c>
    </row>
    <row r="375" spans="1:9" x14ac:dyDescent="0.2">
      <c r="A375">
        <f t="shared" si="10"/>
        <v>4700600</v>
      </c>
      <c r="B375" s="5">
        <v>2022</v>
      </c>
      <c r="C375" s="1">
        <v>99012</v>
      </c>
      <c r="D375" t="s">
        <v>247</v>
      </c>
      <c r="E375" t="s">
        <v>247</v>
      </c>
      <c r="F375" s="8">
        <v>39724.67</v>
      </c>
      <c r="G375" s="8">
        <v>908245.55</v>
      </c>
      <c r="H375" s="5">
        <f t="shared" si="11"/>
        <v>947970.22000000009</v>
      </c>
      <c r="I375">
        <f>IFERROR(VLOOKUP(D375,'LEAID Match'!$A$2:$B$251,2,FALSE),"")</f>
        <v>4700600</v>
      </c>
    </row>
    <row r="376" spans="1:9" x14ac:dyDescent="0.2">
      <c r="A376">
        <f t="shared" si="10"/>
        <v>4700600</v>
      </c>
      <c r="B376" s="5">
        <v>2023</v>
      </c>
      <c r="C376" s="1">
        <v>99012</v>
      </c>
      <c r="D376" t="s">
        <v>247</v>
      </c>
      <c r="E376" t="s">
        <v>247</v>
      </c>
      <c r="F376" s="8">
        <v>99142.67</v>
      </c>
      <c r="G376" s="8">
        <v>763578.11</v>
      </c>
      <c r="H376" s="5">
        <f t="shared" si="11"/>
        <v>862720.78</v>
      </c>
      <c r="I376">
        <f>IFERROR(VLOOKUP(D376,'LEAID Match'!$A$2:$B$251,2,FALSE),"")</f>
        <v>4700600</v>
      </c>
    </row>
    <row r="377" spans="1:9" x14ac:dyDescent="0.2">
      <c r="A377">
        <f t="shared" si="10"/>
        <v>0</v>
      </c>
      <c r="B377" s="5">
        <v>2015</v>
      </c>
      <c r="C377" s="1">
        <v>97917</v>
      </c>
      <c r="D377" t="s">
        <v>248</v>
      </c>
      <c r="E377" t="s">
        <v>25</v>
      </c>
      <c r="F377" s="8">
        <v>2742</v>
      </c>
      <c r="G377" s="8">
        <v>66870</v>
      </c>
      <c r="H377" s="5">
        <f t="shared" si="11"/>
        <v>69612</v>
      </c>
      <c r="I377">
        <f>IFERROR(VLOOKUP(D377,'LEAID Match'!$A$2:$B$251,2,FALSE),"")</f>
        <v>0</v>
      </c>
    </row>
    <row r="378" spans="1:9" x14ac:dyDescent="0.2">
      <c r="A378">
        <f t="shared" si="10"/>
        <v>0</v>
      </c>
      <c r="B378" s="5">
        <v>2016</v>
      </c>
      <c r="C378" s="1">
        <v>97917</v>
      </c>
      <c r="D378" t="s">
        <v>248</v>
      </c>
      <c r="E378" t="s">
        <v>25</v>
      </c>
      <c r="F378" s="8">
        <v>1954</v>
      </c>
      <c r="G378" s="8">
        <v>71393</v>
      </c>
      <c r="H378" s="5">
        <f t="shared" si="11"/>
        <v>73347</v>
      </c>
      <c r="I378">
        <f>IFERROR(VLOOKUP(D378,'LEAID Match'!$A$2:$B$251,2,FALSE),"")</f>
        <v>0</v>
      </c>
    </row>
    <row r="379" spans="1:9" x14ac:dyDescent="0.2">
      <c r="A379">
        <f t="shared" si="10"/>
        <v>0</v>
      </c>
      <c r="B379" s="5">
        <v>2017</v>
      </c>
      <c r="C379" s="1">
        <v>97917</v>
      </c>
      <c r="D379" t="s">
        <v>248</v>
      </c>
      <c r="E379" t="s">
        <v>248</v>
      </c>
      <c r="F379" s="8">
        <v>1705</v>
      </c>
      <c r="G379" s="8">
        <v>65135</v>
      </c>
      <c r="H379" s="5">
        <f t="shared" si="11"/>
        <v>66840</v>
      </c>
      <c r="I379">
        <f>IFERROR(VLOOKUP(D379,'LEAID Match'!$A$2:$B$251,2,FALSE),"")</f>
        <v>0</v>
      </c>
    </row>
    <row r="380" spans="1:9" x14ac:dyDescent="0.2">
      <c r="A380">
        <f t="shared" si="10"/>
        <v>0</v>
      </c>
      <c r="B380" s="5">
        <v>2018</v>
      </c>
      <c r="C380" s="1">
        <v>97917</v>
      </c>
      <c r="D380" t="s">
        <v>248</v>
      </c>
      <c r="E380" t="s">
        <v>25</v>
      </c>
      <c r="F380" s="8">
        <v>5010</v>
      </c>
      <c r="G380" s="8">
        <v>58856</v>
      </c>
      <c r="H380" s="5">
        <f t="shared" si="11"/>
        <v>63866</v>
      </c>
      <c r="I380">
        <f>IFERROR(VLOOKUP(D380,'LEAID Match'!$A$2:$B$251,2,FALSE),"")</f>
        <v>0</v>
      </c>
    </row>
    <row r="381" spans="1:9" x14ac:dyDescent="0.2">
      <c r="A381">
        <f t="shared" si="10"/>
        <v>0</v>
      </c>
      <c r="B381" s="5">
        <v>2019</v>
      </c>
      <c r="C381" s="1">
        <v>97917</v>
      </c>
      <c r="D381" t="s">
        <v>248</v>
      </c>
      <c r="E381" t="s">
        <v>248</v>
      </c>
      <c r="F381" s="8">
        <v>2428</v>
      </c>
      <c r="G381" s="8">
        <v>68706</v>
      </c>
      <c r="H381" s="5">
        <f t="shared" si="11"/>
        <v>71134</v>
      </c>
      <c r="I381">
        <f>IFERROR(VLOOKUP(D381,'LEAID Match'!$A$2:$B$251,2,FALSE),"")</f>
        <v>0</v>
      </c>
    </row>
    <row r="382" spans="1:9" x14ac:dyDescent="0.2">
      <c r="A382">
        <f t="shared" si="10"/>
        <v>0</v>
      </c>
      <c r="B382" s="5">
        <v>2020</v>
      </c>
      <c r="C382" s="1">
        <v>97917</v>
      </c>
      <c r="D382" t="s">
        <v>248</v>
      </c>
      <c r="E382" t="s">
        <v>248</v>
      </c>
      <c r="F382" s="8">
        <v>4012</v>
      </c>
      <c r="G382" s="8">
        <v>69791</v>
      </c>
      <c r="H382" s="5">
        <f t="shared" si="11"/>
        <v>73803</v>
      </c>
      <c r="I382">
        <f>IFERROR(VLOOKUP(D382,'LEAID Match'!$A$2:$B$251,2,FALSE),"")</f>
        <v>0</v>
      </c>
    </row>
    <row r="383" spans="1:9" x14ac:dyDescent="0.2">
      <c r="A383">
        <f t="shared" si="10"/>
        <v>0</v>
      </c>
      <c r="B383" s="5">
        <v>2021</v>
      </c>
      <c r="C383" s="1">
        <v>97917</v>
      </c>
      <c r="D383" t="s">
        <v>248</v>
      </c>
      <c r="E383" t="s">
        <v>248</v>
      </c>
      <c r="F383" s="8">
        <v>4233</v>
      </c>
      <c r="G383" s="8">
        <v>80313</v>
      </c>
      <c r="H383" s="5">
        <f t="shared" si="11"/>
        <v>84546</v>
      </c>
      <c r="I383">
        <f>IFERROR(VLOOKUP(D383,'LEAID Match'!$A$2:$B$251,2,FALSE),"")</f>
        <v>0</v>
      </c>
    </row>
    <row r="384" spans="1:9" x14ac:dyDescent="0.2">
      <c r="A384">
        <f t="shared" si="10"/>
        <v>0</v>
      </c>
      <c r="B384" s="5">
        <v>2022</v>
      </c>
      <c r="C384" s="1">
        <v>97917</v>
      </c>
      <c r="D384" t="s">
        <v>248</v>
      </c>
      <c r="E384" t="s">
        <v>248</v>
      </c>
      <c r="F384" s="8">
        <v>7358.4</v>
      </c>
      <c r="G384" s="8">
        <v>80420.850000000006</v>
      </c>
      <c r="H384" s="5">
        <f t="shared" si="11"/>
        <v>87779.25</v>
      </c>
      <c r="I384">
        <f>IFERROR(VLOOKUP(D384,'LEAID Match'!$A$2:$B$251,2,FALSE),"")</f>
        <v>0</v>
      </c>
    </row>
    <row r="385" spans="1:9" x14ac:dyDescent="0.2">
      <c r="A385">
        <f t="shared" si="10"/>
        <v>0</v>
      </c>
      <c r="B385" s="5">
        <v>2023</v>
      </c>
      <c r="C385" s="1">
        <v>97917</v>
      </c>
      <c r="D385" t="s">
        <v>248</v>
      </c>
      <c r="E385" t="s">
        <v>248</v>
      </c>
      <c r="F385" s="8">
        <v>16632.509999999998</v>
      </c>
      <c r="G385" s="8">
        <v>58834.99</v>
      </c>
      <c r="H385" s="5">
        <f t="shared" si="11"/>
        <v>75467.5</v>
      </c>
      <c r="I385">
        <f>IFERROR(VLOOKUP(D385,'LEAID Match'!$A$2:$B$251,2,FALSE),"")</f>
        <v>0</v>
      </c>
    </row>
    <row r="386" spans="1:9" x14ac:dyDescent="0.2">
      <c r="A386">
        <f t="shared" si="10"/>
        <v>0</v>
      </c>
      <c r="B386" s="5">
        <v>2015</v>
      </c>
      <c r="C386" s="1">
        <v>97918</v>
      </c>
      <c r="D386" t="s">
        <v>179</v>
      </c>
      <c r="E386" t="s">
        <v>179</v>
      </c>
      <c r="F386" s="8" t="s">
        <v>591</v>
      </c>
      <c r="G386" s="8">
        <v>14893</v>
      </c>
      <c r="H386" s="5">
        <f t="shared" si="11"/>
        <v>14893</v>
      </c>
      <c r="I386">
        <f>IFERROR(VLOOKUP(D386,'LEAID Match'!$A$2:$B$251,2,FALSE),"")</f>
        <v>0</v>
      </c>
    </row>
    <row r="387" spans="1:9" x14ac:dyDescent="0.2">
      <c r="A387">
        <f t="shared" ref="A387:A450" si="12">I387</f>
        <v>0</v>
      </c>
      <c r="B387" s="5">
        <v>2016</v>
      </c>
      <c r="C387" s="1">
        <v>97918</v>
      </c>
      <c r="D387" t="s">
        <v>179</v>
      </c>
      <c r="E387" t="s">
        <v>179</v>
      </c>
      <c r="F387" s="8">
        <v>3583</v>
      </c>
      <c r="G387" s="8">
        <v>10497</v>
      </c>
      <c r="H387" s="5">
        <f t="shared" ref="H387:H450" si="13">SUM(F387:G387)</f>
        <v>14080</v>
      </c>
      <c r="I387">
        <f>IFERROR(VLOOKUP(D387,'LEAID Match'!$A$2:$B$251,2,FALSE),"")</f>
        <v>0</v>
      </c>
    </row>
    <row r="388" spans="1:9" x14ac:dyDescent="0.2">
      <c r="A388">
        <f t="shared" si="12"/>
        <v>0</v>
      </c>
      <c r="B388" s="5">
        <v>2017</v>
      </c>
      <c r="C388" s="1">
        <v>97918</v>
      </c>
      <c r="D388" t="s">
        <v>179</v>
      </c>
      <c r="E388" t="s">
        <v>249</v>
      </c>
      <c r="F388" s="8">
        <v>4122</v>
      </c>
      <c r="G388" s="8">
        <v>7065</v>
      </c>
      <c r="H388" s="5">
        <f t="shared" si="13"/>
        <v>11187</v>
      </c>
      <c r="I388">
        <f>IFERROR(VLOOKUP(D388,'LEAID Match'!$A$2:$B$251,2,FALSE),"")</f>
        <v>0</v>
      </c>
    </row>
    <row r="389" spans="1:9" x14ac:dyDescent="0.2">
      <c r="A389">
        <f t="shared" si="12"/>
        <v>0</v>
      </c>
      <c r="B389" s="5">
        <v>2018</v>
      </c>
      <c r="C389" s="1">
        <v>97918</v>
      </c>
      <c r="D389" t="s">
        <v>179</v>
      </c>
      <c r="E389" t="s">
        <v>179</v>
      </c>
      <c r="F389" s="8">
        <v>6171</v>
      </c>
      <c r="G389" s="8">
        <v>6689</v>
      </c>
      <c r="H389" s="5">
        <f t="shared" si="13"/>
        <v>12860</v>
      </c>
      <c r="I389">
        <f>IFERROR(VLOOKUP(D389,'LEAID Match'!$A$2:$B$251,2,FALSE),"")</f>
        <v>0</v>
      </c>
    </row>
    <row r="390" spans="1:9" x14ac:dyDescent="0.2">
      <c r="A390">
        <f t="shared" si="12"/>
        <v>0</v>
      </c>
      <c r="B390" s="5">
        <v>2019</v>
      </c>
      <c r="C390" s="1">
        <v>97918</v>
      </c>
      <c r="D390" t="s">
        <v>179</v>
      </c>
      <c r="E390" t="s">
        <v>249</v>
      </c>
      <c r="F390" s="8" t="s">
        <v>591</v>
      </c>
      <c r="G390" s="8" t="s">
        <v>591</v>
      </c>
      <c r="H390" s="5">
        <f t="shared" si="13"/>
        <v>0</v>
      </c>
      <c r="I390">
        <f>IFERROR(VLOOKUP(D390,'LEAID Match'!$A$2:$B$251,2,FALSE),"")</f>
        <v>0</v>
      </c>
    </row>
    <row r="391" spans="1:9" x14ac:dyDescent="0.2">
      <c r="A391">
        <f t="shared" si="12"/>
        <v>0</v>
      </c>
      <c r="B391" s="5">
        <v>2020</v>
      </c>
      <c r="C391" s="1">
        <v>97918</v>
      </c>
      <c r="D391" t="s">
        <v>179</v>
      </c>
      <c r="E391" t="s">
        <v>249</v>
      </c>
      <c r="F391" s="8" t="s">
        <v>591</v>
      </c>
      <c r="G391" s="8" t="s">
        <v>591</v>
      </c>
      <c r="H391" s="5">
        <f t="shared" si="13"/>
        <v>0</v>
      </c>
      <c r="I391">
        <f>IFERROR(VLOOKUP(D391,'LEAID Match'!$A$2:$B$251,2,FALSE),"")</f>
        <v>0</v>
      </c>
    </row>
    <row r="392" spans="1:9" x14ac:dyDescent="0.2">
      <c r="A392">
        <f t="shared" si="12"/>
        <v>0</v>
      </c>
      <c r="B392" s="5">
        <v>2021</v>
      </c>
      <c r="C392" s="1">
        <v>97918</v>
      </c>
      <c r="D392" t="s">
        <v>179</v>
      </c>
      <c r="E392" t="s">
        <v>249</v>
      </c>
      <c r="F392" s="8" t="s">
        <v>591</v>
      </c>
      <c r="G392" s="8" t="s">
        <v>591</v>
      </c>
      <c r="H392" s="5">
        <f t="shared" si="13"/>
        <v>0</v>
      </c>
      <c r="I392">
        <f>IFERROR(VLOOKUP(D392,'LEAID Match'!$A$2:$B$251,2,FALSE),"")</f>
        <v>0</v>
      </c>
    </row>
    <row r="393" spans="1:9" x14ac:dyDescent="0.2">
      <c r="A393">
        <f t="shared" si="12"/>
        <v>0</v>
      </c>
      <c r="B393" s="5">
        <v>2022</v>
      </c>
      <c r="C393" s="1">
        <v>97918</v>
      </c>
      <c r="D393" t="s">
        <v>179</v>
      </c>
      <c r="E393" t="s">
        <v>249</v>
      </c>
      <c r="F393" s="8" t="s">
        <v>591</v>
      </c>
      <c r="G393" s="8" t="s">
        <v>591</v>
      </c>
      <c r="H393" s="5">
        <f t="shared" si="13"/>
        <v>0</v>
      </c>
      <c r="I393">
        <f>IFERROR(VLOOKUP(D393,'LEAID Match'!$A$2:$B$251,2,FALSE),"")</f>
        <v>0</v>
      </c>
    </row>
    <row r="394" spans="1:9" x14ac:dyDescent="0.2">
      <c r="A394">
        <f t="shared" si="12"/>
        <v>0</v>
      </c>
      <c r="B394" s="5">
        <v>2023</v>
      </c>
      <c r="C394" s="1">
        <v>97918</v>
      </c>
      <c r="D394" t="s">
        <v>179</v>
      </c>
      <c r="E394" t="s">
        <v>249</v>
      </c>
      <c r="F394" s="8" t="s">
        <v>591</v>
      </c>
      <c r="G394" s="8" t="s">
        <v>591</v>
      </c>
      <c r="H394" s="5">
        <f t="shared" si="13"/>
        <v>0</v>
      </c>
      <c r="I394">
        <f>IFERROR(VLOOKUP(D394,'LEAID Match'!$A$2:$B$251,2,FALSE),"")</f>
        <v>0</v>
      </c>
    </row>
    <row r="395" spans="1:9" x14ac:dyDescent="0.2">
      <c r="A395">
        <f t="shared" si="12"/>
        <v>0</v>
      </c>
      <c r="B395" s="5">
        <v>2015</v>
      </c>
      <c r="C395" s="1">
        <v>97919</v>
      </c>
      <c r="D395" t="s">
        <v>456</v>
      </c>
      <c r="E395" t="s">
        <v>456</v>
      </c>
      <c r="F395" s="8" t="s">
        <v>591</v>
      </c>
      <c r="G395" s="8">
        <v>13182</v>
      </c>
      <c r="H395" s="5">
        <f t="shared" si="13"/>
        <v>13182</v>
      </c>
      <c r="I395">
        <f>IFERROR(VLOOKUP(D395,'LEAID Match'!$A$2:$B$251,2,FALSE),"")</f>
        <v>0</v>
      </c>
    </row>
    <row r="396" spans="1:9" x14ac:dyDescent="0.2">
      <c r="A396">
        <f t="shared" si="12"/>
        <v>0</v>
      </c>
      <c r="B396" s="5">
        <v>2016</v>
      </c>
      <c r="C396" s="1">
        <v>97919</v>
      </c>
      <c r="D396" t="s">
        <v>456</v>
      </c>
      <c r="E396" t="s">
        <v>456</v>
      </c>
      <c r="F396" s="8" t="s">
        <v>591</v>
      </c>
      <c r="G396" s="8">
        <v>11437</v>
      </c>
      <c r="H396" s="5">
        <f t="shared" si="13"/>
        <v>11437</v>
      </c>
      <c r="I396">
        <f>IFERROR(VLOOKUP(D396,'LEAID Match'!$A$2:$B$251,2,FALSE),"")</f>
        <v>0</v>
      </c>
    </row>
    <row r="397" spans="1:9" x14ac:dyDescent="0.2">
      <c r="A397">
        <f t="shared" si="12"/>
        <v>0</v>
      </c>
      <c r="B397" s="5">
        <v>2017</v>
      </c>
      <c r="C397" s="1">
        <v>97919</v>
      </c>
      <c r="D397" t="s">
        <v>456</v>
      </c>
      <c r="E397" t="s">
        <v>250</v>
      </c>
      <c r="F397" s="8">
        <v>3400</v>
      </c>
      <c r="G397" s="8">
        <v>10220</v>
      </c>
      <c r="H397" s="5">
        <f t="shared" si="13"/>
        <v>13620</v>
      </c>
      <c r="I397">
        <f>IFERROR(VLOOKUP(D397,'LEAID Match'!$A$2:$B$251,2,FALSE),"")</f>
        <v>0</v>
      </c>
    </row>
    <row r="398" spans="1:9" x14ac:dyDescent="0.2">
      <c r="A398">
        <f t="shared" si="12"/>
        <v>0</v>
      </c>
      <c r="B398" s="5">
        <v>2018</v>
      </c>
      <c r="C398" s="1">
        <v>97919</v>
      </c>
      <c r="D398" t="s">
        <v>456</v>
      </c>
      <c r="E398" t="s">
        <v>456</v>
      </c>
      <c r="F398" s="8">
        <v>3885</v>
      </c>
      <c r="G398" s="8">
        <v>10342</v>
      </c>
      <c r="H398" s="5">
        <f t="shared" si="13"/>
        <v>14227</v>
      </c>
      <c r="I398">
        <f>IFERROR(VLOOKUP(D398,'LEAID Match'!$A$2:$B$251,2,FALSE),"")</f>
        <v>0</v>
      </c>
    </row>
    <row r="399" spans="1:9" x14ac:dyDescent="0.2">
      <c r="A399">
        <f t="shared" si="12"/>
        <v>0</v>
      </c>
      <c r="B399" s="5">
        <v>2019</v>
      </c>
      <c r="C399" s="1">
        <v>97919</v>
      </c>
      <c r="D399" t="s">
        <v>456</v>
      </c>
      <c r="E399" t="s">
        <v>250</v>
      </c>
      <c r="F399" s="8" t="s">
        <v>591</v>
      </c>
      <c r="G399" s="8" t="s">
        <v>591</v>
      </c>
      <c r="H399" s="5">
        <f t="shared" si="13"/>
        <v>0</v>
      </c>
      <c r="I399">
        <f>IFERROR(VLOOKUP(D399,'LEAID Match'!$A$2:$B$251,2,FALSE),"")</f>
        <v>0</v>
      </c>
    </row>
    <row r="400" spans="1:9" x14ac:dyDescent="0.2">
      <c r="A400">
        <f t="shared" si="12"/>
        <v>0</v>
      </c>
      <c r="B400" s="5">
        <v>2020</v>
      </c>
      <c r="C400" s="1">
        <v>97919</v>
      </c>
      <c r="D400" t="s">
        <v>456</v>
      </c>
      <c r="E400" t="s">
        <v>250</v>
      </c>
      <c r="F400" s="8" t="s">
        <v>591</v>
      </c>
      <c r="G400" s="8" t="s">
        <v>591</v>
      </c>
      <c r="H400" s="5">
        <f t="shared" si="13"/>
        <v>0</v>
      </c>
      <c r="I400">
        <f>IFERROR(VLOOKUP(D400,'LEAID Match'!$A$2:$B$251,2,FALSE),"")</f>
        <v>0</v>
      </c>
    </row>
    <row r="401" spans="1:9" x14ac:dyDescent="0.2">
      <c r="A401">
        <f t="shared" si="12"/>
        <v>0</v>
      </c>
      <c r="B401" s="5">
        <v>2021</v>
      </c>
      <c r="C401" s="1">
        <v>97919</v>
      </c>
      <c r="D401" t="s">
        <v>456</v>
      </c>
      <c r="E401" t="s">
        <v>250</v>
      </c>
      <c r="F401" s="8" t="s">
        <v>591</v>
      </c>
      <c r="G401" s="8" t="s">
        <v>591</v>
      </c>
      <c r="H401" s="5">
        <f t="shared" si="13"/>
        <v>0</v>
      </c>
      <c r="I401">
        <f>IFERROR(VLOOKUP(D401,'LEAID Match'!$A$2:$B$251,2,FALSE),"")</f>
        <v>0</v>
      </c>
    </row>
    <row r="402" spans="1:9" x14ac:dyDescent="0.2">
      <c r="A402">
        <f t="shared" si="12"/>
        <v>0</v>
      </c>
      <c r="B402" s="5">
        <v>2022</v>
      </c>
      <c r="C402" s="1">
        <v>97919</v>
      </c>
      <c r="D402" t="s">
        <v>456</v>
      </c>
      <c r="E402" t="s">
        <v>250</v>
      </c>
      <c r="F402" s="8" t="s">
        <v>591</v>
      </c>
      <c r="G402" s="8" t="s">
        <v>591</v>
      </c>
      <c r="H402" s="5">
        <f t="shared" si="13"/>
        <v>0</v>
      </c>
      <c r="I402">
        <f>IFERROR(VLOOKUP(D402,'LEAID Match'!$A$2:$B$251,2,FALSE),"")</f>
        <v>0</v>
      </c>
    </row>
    <row r="403" spans="1:9" x14ac:dyDescent="0.2">
      <c r="A403">
        <f t="shared" si="12"/>
        <v>0</v>
      </c>
      <c r="B403" s="5">
        <v>2023</v>
      </c>
      <c r="C403" s="1">
        <v>97919</v>
      </c>
      <c r="D403" t="s">
        <v>456</v>
      </c>
      <c r="E403" t="s">
        <v>250</v>
      </c>
      <c r="F403" s="8" t="s">
        <v>591</v>
      </c>
      <c r="G403" s="8" t="s">
        <v>591</v>
      </c>
      <c r="H403" s="5">
        <f t="shared" si="13"/>
        <v>0</v>
      </c>
      <c r="I403">
        <f>IFERROR(VLOOKUP(D403,'LEAID Match'!$A$2:$B$251,2,FALSE),"")</f>
        <v>0</v>
      </c>
    </row>
    <row r="404" spans="1:9" x14ac:dyDescent="0.2">
      <c r="A404">
        <f t="shared" si="12"/>
        <v>0</v>
      </c>
      <c r="B404" s="5">
        <v>2015</v>
      </c>
      <c r="C404" s="1">
        <v>97920</v>
      </c>
      <c r="D404" t="s">
        <v>251</v>
      </c>
      <c r="E404" t="s">
        <v>180</v>
      </c>
      <c r="F404" s="8">
        <v>1361</v>
      </c>
      <c r="G404" s="8">
        <v>68454</v>
      </c>
      <c r="H404" s="5">
        <f t="shared" si="13"/>
        <v>69815</v>
      </c>
      <c r="I404">
        <f>IFERROR(VLOOKUP(D404,'LEAID Match'!$A$2:$B$251,2,FALSE),"")</f>
        <v>0</v>
      </c>
    </row>
    <row r="405" spans="1:9" x14ac:dyDescent="0.2">
      <c r="A405">
        <f t="shared" si="12"/>
        <v>0</v>
      </c>
      <c r="B405" s="5">
        <v>2016</v>
      </c>
      <c r="C405" s="1">
        <v>97920</v>
      </c>
      <c r="D405" t="s">
        <v>251</v>
      </c>
      <c r="E405" t="s">
        <v>180</v>
      </c>
      <c r="F405" s="8">
        <v>11054</v>
      </c>
      <c r="G405" s="8">
        <v>58689</v>
      </c>
      <c r="H405" s="5">
        <f t="shared" si="13"/>
        <v>69743</v>
      </c>
      <c r="I405">
        <f>IFERROR(VLOOKUP(D405,'LEAID Match'!$A$2:$B$251,2,FALSE),"")</f>
        <v>0</v>
      </c>
    </row>
    <row r="406" spans="1:9" x14ac:dyDescent="0.2">
      <c r="A406">
        <f t="shared" si="12"/>
        <v>0</v>
      </c>
      <c r="B406" s="5">
        <v>2017</v>
      </c>
      <c r="C406" s="1">
        <v>97920</v>
      </c>
      <c r="D406" t="s">
        <v>251</v>
      </c>
      <c r="E406" t="s">
        <v>251</v>
      </c>
      <c r="F406" s="8">
        <v>16039</v>
      </c>
      <c r="G406" s="8">
        <v>66796</v>
      </c>
      <c r="H406" s="5">
        <f t="shared" si="13"/>
        <v>82835</v>
      </c>
      <c r="I406">
        <f>IFERROR(VLOOKUP(D406,'LEAID Match'!$A$2:$B$251,2,FALSE),"")</f>
        <v>0</v>
      </c>
    </row>
    <row r="407" spans="1:9" x14ac:dyDescent="0.2">
      <c r="A407">
        <f t="shared" si="12"/>
        <v>0</v>
      </c>
      <c r="B407" s="5">
        <v>2018</v>
      </c>
      <c r="C407" s="1">
        <v>97920</v>
      </c>
      <c r="D407" t="s">
        <v>251</v>
      </c>
      <c r="E407" t="s">
        <v>180</v>
      </c>
      <c r="F407" s="8">
        <v>23542</v>
      </c>
      <c r="G407" s="8">
        <v>58589</v>
      </c>
      <c r="H407" s="5">
        <f t="shared" si="13"/>
        <v>82131</v>
      </c>
      <c r="I407">
        <f>IFERROR(VLOOKUP(D407,'LEAID Match'!$A$2:$B$251,2,FALSE),"")</f>
        <v>0</v>
      </c>
    </row>
    <row r="408" spans="1:9" x14ac:dyDescent="0.2">
      <c r="A408">
        <f t="shared" si="12"/>
        <v>0</v>
      </c>
      <c r="B408" s="5">
        <v>2019</v>
      </c>
      <c r="C408" s="1">
        <v>97920</v>
      </c>
      <c r="D408" t="s">
        <v>251</v>
      </c>
      <c r="E408" t="s">
        <v>251</v>
      </c>
      <c r="F408" s="8">
        <v>17222</v>
      </c>
      <c r="G408" s="8">
        <v>105924</v>
      </c>
      <c r="H408" s="5">
        <f t="shared" si="13"/>
        <v>123146</v>
      </c>
      <c r="I408">
        <f>IFERROR(VLOOKUP(D408,'LEAID Match'!$A$2:$B$251,2,FALSE),"")</f>
        <v>0</v>
      </c>
    </row>
    <row r="409" spans="1:9" x14ac:dyDescent="0.2">
      <c r="A409">
        <f t="shared" si="12"/>
        <v>0</v>
      </c>
      <c r="B409" s="5">
        <v>2020</v>
      </c>
      <c r="C409" s="1">
        <v>97920</v>
      </c>
      <c r="D409" t="s">
        <v>251</v>
      </c>
      <c r="E409" t="s">
        <v>251</v>
      </c>
      <c r="F409" s="8">
        <v>14502</v>
      </c>
      <c r="G409" s="8">
        <v>118459</v>
      </c>
      <c r="H409" s="5">
        <f t="shared" si="13"/>
        <v>132961</v>
      </c>
      <c r="I409">
        <f>IFERROR(VLOOKUP(D409,'LEAID Match'!$A$2:$B$251,2,FALSE),"")</f>
        <v>0</v>
      </c>
    </row>
    <row r="410" spans="1:9" x14ac:dyDescent="0.2">
      <c r="A410">
        <f t="shared" si="12"/>
        <v>0</v>
      </c>
      <c r="B410" s="5">
        <v>2021</v>
      </c>
      <c r="C410" s="1">
        <v>97920</v>
      </c>
      <c r="D410" t="s">
        <v>251</v>
      </c>
      <c r="E410" t="s">
        <v>251</v>
      </c>
      <c r="F410" s="8">
        <v>13684</v>
      </c>
      <c r="G410" s="8">
        <v>110533</v>
      </c>
      <c r="H410" s="5">
        <f t="shared" si="13"/>
        <v>124217</v>
      </c>
      <c r="I410">
        <f>IFERROR(VLOOKUP(D410,'LEAID Match'!$A$2:$B$251,2,FALSE),"")</f>
        <v>0</v>
      </c>
    </row>
    <row r="411" spans="1:9" x14ac:dyDescent="0.2">
      <c r="A411">
        <f t="shared" si="12"/>
        <v>0</v>
      </c>
      <c r="B411" s="5">
        <v>2022</v>
      </c>
      <c r="C411" s="1">
        <v>97920</v>
      </c>
      <c r="D411" t="s">
        <v>251</v>
      </c>
      <c r="E411" t="s">
        <v>251</v>
      </c>
      <c r="F411" s="8">
        <v>15675.19</v>
      </c>
      <c r="G411" s="8">
        <v>114033.95</v>
      </c>
      <c r="H411" s="5">
        <f t="shared" si="13"/>
        <v>129709.14</v>
      </c>
      <c r="I411">
        <f>IFERROR(VLOOKUP(D411,'LEAID Match'!$A$2:$B$251,2,FALSE),"")</f>
        <v>0</v>
      </c>
    </row>
    <row r="412" spans="1:9" x14ac:dyDescent="0.2">
      <c r="A412">
        <f t="shared" si="12"/>
        <v>0</v>
      </c>
      <c r="B412" s="5">
        <v>2023</v>
      </c>
      <c r="C412" s="1">
        <v>97920</v>
      </c>
      <c r="D412" t="s">
        <v>251</v>
      </c>
      <c r="E412" t="s">
        <v>251</v>
      </c>
      <c r="F412" s="8">
        <v>25118.799999999999</v>
      </c>
      <c r="G412" s="8">
        <v>86820.84</v>
      </c>
      <c r="H412" s="5">
        <f t="shared" si="13"/>
        <v>111939.64</v>
      </c>
      <c r="I412">
        <f>IFERROR(VLOOKUP(D412,'LEAID Match'!$A$2:$B$251,2,FALSE),"")</f>
        <v>0</v>
      </c>
    </row>
    <row r="413" spans="1:9" x14ac:dyDescent="0.2">
      <c r="A413">
        <f t="shared" si="12"/>
        <v>4700630</v>
      </c>
      <c r="B413" s="5">
        <v>2015</v>
      </c>
      <c r="C413" s="1">
        <v>99013</v>
      </c>
      <c r="D413" t="s">
        <v>252</v>
      </c>
      <c r="E413" t="s">
        <v>26</v>
      </c>
      <c r="F413" s="8">
        <v>29816</v>
      </c>
      <c r="G413" s="8">
        <v>1596791</v>
      </c>
      <c r="H413" s="5">
        <f t="shared" si="13"/>
        <v>1626607</v>
      </c>
      <c r="I413">
        <f>IFERROR(VLOOKUP(D413,'LEAID Match'!$A$2:$B$251,2,FALSE),"")</f>
        <v>4700630</v>
      </c>
    </row>
    <row r="414" spans="1:9" x14ac:dyDescent="0.2">
      <c r="A414">
        <f t="shared" si="12"/>
        <v>4700630</v>
      </c>
      <c r="B414" s="5">
        <v>2016</v>
      </c>
      <c r="C414" s="1">
        <v>99013</v>
      </c>
      <c r="D414" t="s">
        <v>252</v>
      </c>
      <c r="E414" t="s">
        <v>26</v>
      </c>
      <c r="F414" s="8">
        <v>63261</v>
      </c>
      <c r="G414" s="8">
        <v>1588945</v>
      </c>
      <c r="H414" s="5">
        <f t="shared" si="13"/>
        <v>1652206</v>
      </c>
      <c r="I414">
        <f>IFERROR(VLOOKUP(D414,'LEAID Match'!$A$2:$B$251,2,FALSE),"")</f>
        <v>4700630</v>
      </c>
    </row>
    <row r="415" spans="1:9" x14ac:dyDescent="0.2">
      <c r="A415">
        <f t="shared" si="12"/>
        <v>4700630</v>
      </c>
      <c r="B415" s="5">
        <v>2017</v>
      </c>
      <c r="C415" s="1">
        <v>99013</v>
      </c>
      <c r="D415" t="s">
        <v>252</v>
      </c>
      <c r="E415" t="s">
        <v>252</v>
      </c>
      <c r="F415" s="8">
        <v>78620</v>
      </c>
      <c r="G415" s="8">
        <v>1564008</v>
      </c>
      <c r="H415" s="5">
        <f t="shared" si="13"/>
        <v>1642628</v>
      </c>
      <c r="I415">
        <f>IFERROR(VLOOKUP(D415,'LEAID Match'!$A$2:$B$251,2,FALSE),"")</f>
        <v>4700630</v>
      </c>
    </row>
    <row r="416" spans="1:9" x14ac:dyDescent="0.2">
      <c r="A416">
        <f t="shared" si="12"/>
        <v>4700630</v>
      </c>
      <c r="B416" s="5">
        <v>2018</v>
      </c>
      <c r="C416" s="1">
        <v>99013</v>
      </c>
      <c r="D416" t="s">
        <v>252</v>
      </c>
      <c r="E416" t="s">
        <v>26</v>
      </c>
      <c r="F416" s="8">
        <v>90147</v>
      </c>
      <c r="G416" s="8">
        <v>1552517</v>
      </c>
      <c r="H416" s="5">
        <f t="shared" si="13"/>
        <v>1642664</v>
      </c>
      <c r="I416">
        <f>IFERROR(VLOOKUP(D416,'LEAID Match'!$A$2:$B$251,2,FALSE),"")</f>
        <v>4700630</v>
      </c>
    </row>
    <row r="417" spans="1:9" x14ac:dyDescent="0.2">
      <c r="A417">
        <f t="shared" si="12"/>
        <v>4700630</v>
      </c>
      <c r="B417" s="5">
        <v>2019</v>
      </c>
      <c r="C417" s="1">
        <v>99013</v>
      </c>
      <c r="D417" t="s">
        <v>252</v>
      </c>
      <c r="E417" t="s">
        <v>252</v>
      </c>
      <c r="F417" s="8">
        <v>46878</v>
      </c>
      <c r="G417" s="8">
        <v>1724199</v>
      </c>
      <c r="H417" s="5">
        <f t="shared" si="13"/>
        <v>1771077</v>
      </c>
      <c r="I417">
        <f>IFERROR(VLOOKUP(D417,'LEAID Match'!$A$2:$B$251,2,FALSE),"")</f>
        <v>4700630</v>
      </c>
    </row>
    <row r="418" spans="1:9" x14ac:dyDescent="0.2">
      <c r="A418">
        <f t="shared" si="12"/>
        <v>4700630</v>
      </c>
      <c r="B418" s="5">
        <v>2020</v>
      </c>
      <c r="C418" s="1">
        <v>99013</v>
      </c>
      <c r="D418" t="s">
        <v>252</v>
      </c>
      <c r="E418" t="s">
        <v>252</v>
      </c>
      <c r="F418" s="8">
        <v>61129</v>
      </c>
      <c r="G418" s="8">
        <v>1734623</v>
      </c>
      <c r="H418" s="5">
        <f t="shared" si="13"/>
        <v>1795752</v>
      </c>
      <c r="I418">
        <f>IFERROR(VLOOKUP(D418,'LEAID Match'!$A$2:$B$251,2,FALSE),"")</f>
        <v>4700630</v>
      </c>
    </row>
    <row r="419" spans="1:9" x14ac:dyDescent="0.2">
      <c r="A419">
        <f t="shared" si="12"/>
        <v>4700630</v>
      </c>
      <c r="B419" s="5">
        <v>2021</v>
      </c>
      <c r="C419" s="1">
        <v>99013</v>
      </c>
      <c r="D419" t="s">
        <v>252</v>
      </c>
      <c r="E419" t="s">
        <v>252</v>
      </c>
      <c r="F419" s="8">
        <v>71517</v>
      </c>
      <c r="G419" s="8">
        <v>1562223</v>
      </c>
      <c r="H419" s="5">
        <f t="shared" si="13"/>
        <v>1633740</v>
      </c>
      <c r="I419">
        <f>IFERROR(VLOOKUP(D419,'LEAID Match'!$A$2:$B$251,2,FALSE),"")</f>
        <v>4700630</v>
      </c>
    </row>
    <row r="420" spans="1:9" x14ac:dyDescent="0.2">
      <c r="A420">
        <f t="shared" si="12"/>
        <v>4700630</v>
      </c>
      <c r="B420" s="5">
        <v>2022</v>
      </c>
      <c r="C420" s="1">
        <v>99013</v>
      </c>
      <c r="D420" t="s">
        <v>252</v>
      </c>
      <c r="E420" t="s">
        <v>252</v>
      </c>
      <c r="F420" s="8">
        <v>103155.82</v>
      </c>
      <c r="G420" s="8">
        <v>1674236.93</v>
      </c>
      <c r="H420" s="5">
        <f t="shared" si="13"/>
        <v>1777392.75</v>
      </c>
      <c r="I420">
        <f>IFERROR(VLOOKUP(D420,'LEAID Match'!$A$2:$B$251,2,FALSE),"")</f>
        <v>4700630</v>
      </c>
    </row>
    <row r="421" spans="1:9" x14ac:dyDescent="0.2">
      <c r="A421">
        <f t="shared" si="12"/>
        <v>4700630</v>
      </c>
      <c r="B421" s="5">
        <v>2023</v>
      </c>
      <c r="C421" s="1">
        <v>99013</v>
      </c>
      <c r="D421" t="s">
        <v>252</v>
      </c>
      <c r="E421" t="s">
        <v>252</v>
      </c>
      <c r="F421" s="8">
        <v>158721.34</v>
      </c>
      <c r="G421" s="8">
        <v>1279537.21</v>
      </c>
      <c r="H421" s="5">
        <f t="shared" si="13"/>
        <v>1438258.55</v>
      </c>
      <c r="I421">
        <f>IFERROR(VLOOKUP(D421,'LEAID Match'!$A$2:$B$251,2,FALSE),"")</f>
        <v>4700630</v>
      </c>
    </row>
    <row r="422" spans="1:9" x14ac:dyDescent="0.2">
      <c r="A422">
        <f t="shared" si="12"/>
        <v>4700660</v>
      </c>
      <c r="B422" s="5">
        <v>2015</v>
      </c>
      <c r="C422" s="1">
        <v>99014</v>
      </c>
      <c r="D422" t="s">
        <v>253</v>
      </c>
      <c r="E422" t="s">
        <v>27</v>
      </c>
      <c r="F422" s="8">
        <v>8526</v>
      </c>
      <c r="G422" s="8">
        <v>368885</v>
      </c>
      <c r="H422" s="5">
        <f t="shared" si="13"/>
        <v>377411</v>
      </c>
      <c r="I422">
        <f>IFERROR(VLOOKUP(D422,'LEAID Match'!$A$2:$B$251,2,FALSE),"")</f>
        <v>4700660</v>
      </c>
    </row>
    <row r="423" spans="1:9" x14ac:dyDescent="0.2">
      <c r="A423">
        <f t="shared" si="12"/>
        <v>4700660</v>
      </c>
      <c r="B423" s="5">
        <v>2016</v>
      </c>
      <c r="C423" s="1">
        <v>99014</v>
      </c>
      <c r="D423" t="s">
        <v>253</v>
      </c>
      <c r="E423" t="s">
        <v>27</v>
      </c>
      <c r="F423" s="8">
        <v>15753</v>
      </c>
      <c r="G423" s="8">
        <v>345024</v>
      </c>
      <c r="H423" s="5">
        <f t="shared" si="13"/>
        <v>360777</v>
      </c>
      <c r="I423">
        <f>IFERROR(VLOOKUP(D423,'LEAID Match'!$A$2:$B$251,2,FALSE),"")</f>
        <v>4700660</v>
      </c>
    </row>
    <row r="424" spans="1:9" x14ac:dyDescent="0.2">
      <c r="A424">
        <f t="shared" si="12"/>
        <v>4700660</v>
      </c>
      <c r="B424" s="5">
        <v>2017</v>
      </c>
      <c r="C424" s="1">
        <v>99014</v>
      </c>
      <c r="D424" t="s">
        <v>253</v>
      </c>
      <c r="E424" t="s">
        <v>253</v>
      </c>
      <c r="F424" s="8">
        <v>22262</v>
      </c>
      <c r="G424" s="8">
        <v>353013</v>
      </c>
      <c r="H424" s="5">
        <f t="shared" si="13"/>
        <v>375275</v>
      </c>
      <c r="I424">
        <f>IFERROR(VLOOKUP(D424,'LEAID Match'!$A$2:$B$251,2,FALSE),"")</f>
        <v>4700660</v>
      </c>
    </row>
    <row r="425" spans="1:9" x14ac:dyDescent="0.2">
      <c r="A425">
        <f t="shared" si="12"/>
        <v>4700660</v>
      </c>
      <c r="B425" s="5">
        <v>2018</v>
      </c>
      <c r="C425" s="1">
        <v>99014</v>
      </c>
      <c r="D425" t="s">
        <v>253</v>
      </c>
      <c r="E425" t="s">
        <v>27</v>
      </c>
      <c r="F425" s="8">
        <v>28054</v>
      </c>
      <c r="G425" s="8">
        <v>358448</v>
      </c>
      <c r="H425" s="5">
        <f t="shared" si="13"/>
        <v>386502</v>
      </c>
      <c r="I425">
        <f>IFERROR(VLOOKUP(D425,'LEAID Match'!$A$2:$B$251,2,FALSE),"")</f>
        <v>4700660</v>
      </c>
    </row>
    <row r="426" spans="1:9" x14ac:dyDescent="0.2">
      <c r="A426">
        <f t="shared" si="12"/>
        <v>4700660</v>
      </c>
      <c r="B426" s="5">
        <v>2019</v>
      </c>
      <c r="C426" s="1">
        <v>99014</v>
      </c>
      <c r="D426" t="s">
        <v>253</v>
      </c>
      <c r="E426" t="s">
        <v>253</v>
      </c>
      <c r="F426" s="8">
        <v>18036</v>
      </c>
      <c r="G426" s="8">
        <v>394262</v>
      </c>
      <c r="H426" s="5">
        <f t="shared" si="13"/>
        <v>412298</v>
      </c>
      <c r="I426">
        <f>IFERROR(VLOOKUP(D426,'LEAID Match'!$A$2:$B$251,2,FALSE),"")</f>
        <v>4700660</v>
      </c>
    </row>
    <row r="427" spans="1:9" x14ac:dyDescent="0.2">
      <c r="A427">
        <f t="shared" si="12"/>
        <v>4700660</v>
      </c>
      <c r="B427" s="5">
        <v>2020</v>
      </c>
      <c r="C427" s="1">
        <v>99014</v>
      </c>
      <c r="D427" t="s">
        <v>253</v>
      </c>
      <c r="E427" t="s">
        <v>253</v>
      </c>
      <c r="F427" s="8">
        <v>22098</v>
      </c>
      <c r="G427" s="8">
        <v>398111</v>
      </c>
      <c r="H427" s="5">
        <f t="shared" si="13"/>
        <v>420209</v>
      </c>
      <c r="I427">
        <f>IFERROR(VLOOKUP(D427,'LEAID Match'!$A$2:$B$251,2,FALSE),"")</f>
        <v>4700660</v>
      </c>
    </row>
    <row r="428" spans="1:9" x14ac:dyDescent="0.2">
      <c r="A428">
        <f t="shared" si="12"/>
        <v>4700660</v>
      </c>
      <c r="B428" s="5">
        <v>2021</v>
      </c>
      <c r="C428" s="1">
        <v>99014</v>
      </c>
      <c r="D428" t="s">
        <v>253</v>
      </c>
      <c r="E428" t="s">
        <v>253</v>
      </c>
      <c r="F428" s="8">
        <v>30329</v>
      </c>
      <c r="G428" s="8">
        <v>396722</v>
      </c>
      <c r="H428" s="5">
        <f t="shared" si="13"/>
        <v>427051</v>
      </c>
      <c r="I428">
        <f>IFERROR(VLOOKUP(D428,'LEAID Match'!$A$2:$B$251,2,FALSE),"")</f>
        <v>4700660</v>
      </c>
    </row>
    <row r="429" spans="1:9" x14ac:dyDescent="0.2">
      <c r="A429">
        <f t="shared" si="12"/>
        <v>4700660</v>
      </c>
      <c r="B429" s="5">
        <v>2022</v>
      </c>
      <c r="C429" s="1">
        <v>99014</v>
      </c>
      <c r="D429" t="s">
        <v>253</v>
      </c>
      <c r="E429" t="s">
        <v>253</v>
      </c>
      <c r="F429" s="8">
        <v>31363.49</v>
      </c>
      <c r="G429" s="8">
        <v>402210.79</v>
      </c>
      <c r="H429" s="5">
        <f t="shared" si="13"/>
        <v>433574.27999999997</v>
      </c>
      <c r="I429">
        <f>IFERROR(VLOOKUP(D429,'LEAID Match'!$A$2:$B$251,2,FALSE),"")</f>
        <v>4700660</v>
      </c>
    </row>
    <row r="430" spans="1:9" x14ac:dyDescent="0.2">
      <c r="A430">
        <f t="shared" si="12"/>
        <v>4700660</v>
      </c>
      <c r="B430" s="5">
        <v>2023</v>
      </c>
      <c r="C430" s="1">
        <v>99014</v>
      </c>
      <c r="D430" t="s">
        <v>253</v>
      </c>
      <c r="E430" t="s">
        <v>253</v>
      </c>
      <c r="F430" s="8">
        <v>50884.07</v>
      </c>
      <c r="G430" s="8">
        <v>351039.72</v>
      </c>
      <c r="H430" s="5">
        <f t="shared" si="13"/>
        <v>401923.79</v>
      </c>
      <c r="I430">
        <f>IFERROR(VLOOKUP(D430,'LEAID Match'!$A$2:$B$251,2,FALSE),"")</f>
        <v>4700660</v>
      </c>
    </row>
    <row r="431" spans="1:9" x14ac:dyDescent="0.2">
      <c r="A431">
        <f t="shared" si="12"/>
        <v>4700690</v>
      </c>
      <c r="B431" s="5">
        <v>2015</v>
      </c>
      <c r="C431" s="1">
        <v>99106</v>
      </c>
      <c r="D431" t="s">
        <v>254</v>
      </c>
      <c r="E431" t="s">
        <v>561</v>
      </c>
      <c r="F431" s="8">
        <v>34645</v>
      </c>
      <c r="G431" s="8">
        <v>1818353</v>
      </c>
      <c r="H431" s="5">
        <f t="shared" si="13"/>
        <v>1852998</v>
      </c>
      <c r="I431">
        <f>IFERROR(VLOOKUP(D431,'LEAID Match'!$A$2:$B$251,2,FALSE),"")</f>
        <v>4700690</v>
      </c>
    </row>
    <row r="432" spans="1:9" x14ac:dyDescent="0.2">
      <c r="A432">
        <f t="shared" si="12"/>
        <v>4700690</v>
      </c>
      <c r="B432" s="5">
        <v>2016</v>
      </c>
      <c r="C432" s="1">
        <v>99106</v>
      </c>
      <c r="D432" t="s">
        <v>254</v>
      </c>
      <c r="E432" t="s">
        <v>28</v>
      </c>
      <c r="F432" s="8">
        <v>64271</v>
      </c>
      <c r="G432" s="8">
        <v>1865104</v>
      </c>
      <c r="H432" s="5">
        <f t="shared" si="13"/>
        <v>1929375</v>
      </c>
      <c r="I432">
        <f>IFERROR(VLOOKUP(D432,'LEAID Match'!$A$2:$B$251,2,FALSE),"")</f>
        <v>4700690</v>
      </c>
    </row>
    <row r="433" spans="1:9" x14ac:dyDescent="0.2">
      <c r="A433">
        <f t="shared" si="12"/>
        <v>4700690</v>
      </c>
      <c r="B433" s="5">
        <v>2017</v>
      </c>
      <c r="C433" s="1">
        <v>99106</v>
      </c>
      <c r="D433" t="s">
        <v>254</v>
      </c>
      <c r="E433" t="s">
        <v>254</v>
      </c>
      <c r="F433" s="8">
        <v>103429</v>
      </c>
      <c r="G433" s="8">
        <v>1880671</v>
      </c>
      <c r="H433" s="5">
        <f t="shared" si="13"/>
        <v>1984100</v>
      </c>
      <c r="I433">
        <f>IFERROR(VLOOKUP(D433,'LEAID Match'!$A$2:$B$251,2,FALSE),"")</f>
        <v>4700690</v>
      </c>
    </row>
    <row r="434" spans="1:9" x14ac:dyDescent="0.2">
      <c r="A434">
        <f t="shared" si="12"/>
        <v>4700690</v>
      </c>
      <c r="B434" s="5">
        <v>2018</v>
      </c>
      <c r="C434" s="1">
        <v>99106</v>
      </c>
      <c r="D434" t="s">
        <v>254</v>
      </c>
      <c r="E434" t="s">
        <v>28</v>
      </c>
      <c r="F434" s="8">
        <v>146066</v>
      </c>
      <c r="G434" s="8">
        <v>1950283</v>
      </c>
      <c r="H434" s="5">
        <f t="shared" si="13"/>
        <v>2096349</v>
      </c>
      <c r="I434">
        <f>IFERROR(VLOOKUP(D434,'LEAID Match'!$A$2:$B$251,2,FALSE),"")</f>
        <v>4700690</v>
      </c>
    </row>
    <row r="435" spans="1:9" x14ac:dyDescent="0.2">
      <c r="A435">
        <f t="shared" si="12"/>
        <v>4700690</v>
      </c>
      <c r="B435" s="5">
        <v>2019</v>
      </c>
      <c r="C435" s="1">
        <v>99106</v>
      </c>
      <c r="D435" t="s">
        <v>254</v>
      </c>
      <c r="E435" t="s">
        <v>254</v>
      </c>
      <c r="F435" s="8">
        <v>84841</v>
      </c>
      <c r="G435" s="8">
        <v>2252900</v>
      </c>
      <c r="H435" s="5">
        <f t="shared" si="13"/>
        <v>2337741</v>
      </c>
      <c r="I435">
        <f>IFERROR(VLOOKUP(D435,'LEAID Match'!$A$2:$B$251,2,FALSE),"")</f>
        <v>4700690</v>
      </c>
    </row>
    <row r="436" spans="1:9" x14ac:dyDescent="0.2">
      <c r="A436">
        <f t="shared" si="12"/>
        <v>4700690</v>
      </c>
      <c r="B436" s="5">
        <v>2020</v>
      </c>
      <c r="C436" s="1">
        <v>99106</v>
      </c>
      <c r="D436" t="s">
        <v>254</v>
      </c>
      <c r="E436" t="s">
        <v>254</v>
      </c>
      <c r="F436" s="8">
        <v>110280</v>
      </c>
      <c r="G436" s="8">
        <v>2276845</v>
      </c>
      <c r="H436" s="5">
        <f t="shared" si="13"/>
        <v>2387125</v>
      </c>
      <c r="I436">
        <f>IFERROR(VLOOKUP(D436,'LEAID Match'!$A$2:$B$251,2,FALSE),"")</f>
        <v>4700690</v>
      </c>
    </row>
    <row r="437" spans="1:9" x14ac:dyDescent="0.2">
      <c r="A437">
        <f t="shared" si="12"/>
        <v>4700690</v>
      </c>
      <c r="B437" s="5">
        <v>2021</v>
      </c>
      <c r="C437" s="1">
        <v>99106</v>
      </c>
      <c r="D437" t="s">
        <v>254</v>
      </c>
      <c r="E437" t="s">
        <v>254</v>
      </c>
      <c r="F437" s="8">
        <v>135315</v>
      </c>
      <c r="G437" s="8">
        <v>2150852</v>
      </c>
      <c r="H437" s="5">
        <f t="shared" si="13"/>
        <v>2286167</v>
      </c>
      <c r="I437">
        <f>IFERROR(VLOOKUP(D437,'LEAID Match'!$A$2:$B$251,2,FALSE),"")</f>
        <v>4700690</v>
      </c>
    </row>
    <row r="438" spans="1:9" x14ac:dyDescent="0.2">
      <c r="A438">
        <f t="shared" si="12"/>
        <v>4700690</v>
      </c>
      <c r="B438" s="5">
        <v>2022</v>
      </c>
      <c r="C438" s="1">
        <v>99106</v>
      </c>
      <c r="D438" t="s">
        <v>254</v>
      </c>
      <c r="E438" t="s">
        <v>254</v>
      </c>
      <c r="F438" s="8">
        <v>160938.46</v>
      </c>
      <c r="G438" s="8">
        <v>2192548.85</v>
      </c>
      <c r="H438" s="5">
        <f t="shared" si="13"/>
        <v>2353487.31</v>
      </c>
      <c r="I438">
        <f>IFERROR(VLOOKUP(D438,'LEAID Match'!$A$2:$B$251,2,FALSE),"")</f>
        <v>4700690</v>
      </c>
    </row>
    <row r="439" spans="1:9" x14ac:dyDescent="0.2">
      <c r="A439">
        <f t="shared" si="12"/>
        <v>4700690</v>
      </c>
      <c r="B439" s="5">
        <v>2023</v>
      </c>
      <c r="C439" s="1">
        <v>99106</v>
      </c>
      <c r="D439" t="s">
        <v>254</v>
      </c>
      <c r="E439" t="s">
        <v>254</v>
      </c>
      <c r="F439" s="8">
        <v>290828.56</v>
      </c>
      <c r="G439" s="8">
        <v>1838389.66</v>
      </c>
      <c r="H439" s="5">
        <f t="shared" si="13"/>
        <v>2129218.2199999997</v>
      </c>
      <c r="I439">
        <f>IFERROR(VLOOKUP(D439,'LEAID Match'!$A$2:$B$251,2,FALSE),"")</f>
        <v>4700690</v>
      </c>
    </row>
    <row r="440" spans="1:9" x14ac:dyDescent="0.2">
      <c r="A440">
        <f t="shared" si="12"/>
        <v>0</v>
      </c>
      <c r="B440" s="5">
        <v>2015</v>
      </c>
      <c r="C440" s="1">
        <v>91927</v>
      </c>
      <c r="D440" t="s">
        <v>29</v>
      </c>
      <c r="E440" t="s">
        <v>29</v>
      </c>
      <c r="F440" s="8" t="s">
        <v>591</v>
      </c>
      <c r="G440" s="8">
        <v>8132</v>
      </c>
      <c r="H440" s="5">
        <f t="shared" si="13"/>
        <v>8132</v>
      </c>
      <c r="I440">
        <f>IFERROR(VLOOKUP(D440,'LEAID Match'!$A$2:$B$251,2,FALSE),"")</f>
        <v>0</v>
      </c>
    </row>
    <row r="441" spans="1:9" x14ac:dyDescent="0.2">
      <c r="A441">
        <f t="shared" si="12"/>
        <v>0</v>
      </c>
      <c r="B441" s="5">
        <v>2016</v>
      </c>
      <c r="C441" s="1">
        <v>91927</v>
      </c>
      <c r="D441" t="s">
        <v>29</v>
      </c>
      <c r="E441" t="s">
        <v>29</v>
      </c>
      <c r="F441" s="8">
        <v>798</v>
      </c>
      <c r="G441" s="8">
        <v>6844</v>
      </c>
      <c r="H441" s="5">
        <f t="shared" si="13"/>
        <v>7642</v>
      </c>
      <c r="I441">
        <f>IFERROR(VLOOKUP(D441,'LEAID Match'!$A$2:$B$251,2,FALSE),"")</f>
        <v>0</v>
      </c>
    </row>
    <row r="442" spans="1:9" x14ac:dyDescent="0.2">
      <c r="A442">
        <f t="shared" si="12"/>
        <v>0</v>
      </c>
      <c r="B442" s="5">
        <v>2017</v>
      </c>
      <c r="C442" s="1">
        <v>91927</v>
      </c>
      <c r="D442" t="s">
        <v>29</v>
      </c>
      <c r="E442" t="s">
        <v>255</v>
      </c>
      <c r="F442" s="8">
        <v>1116</v>
      </c>
      <c r="G442" s="8">
        <v>7107</v>
      </c>
      <c r="H442" s="5">
        <f t="shared" si="13"/>
        <v>8223</v>
      </c>
      <c r="I442">
        <f>IFERROR(VLOOKUP(D442,'LEAID Match'!$A$2:$B$251,2,FALSE),"")</f>
        <v>0</v>
      </c>
    </row>
    <row r="443" spans="1:9" x14ac:dyDescent="0.2">
      <c r="A443">
        <f t="shared" si="12"/>
        <v>0</v>
      </c>
      <c r="B443" s="5">
        <v>2018</v>
      </c>
      <c r="C443" s="1">
        <v>91927</v>
      </c>
      <c r="D443" t="s">
        <v>29</v>
      </c>
      <c r="E443" t="s">
        <v>29</v>
      </c>
      <c r="F443" s="8" t="s">
        <v>591</v>
      </c>
      <c r="G443" s="8">
        <v>9218</v>
      </c>
      <c r="H443" s="5">
        <f t="shared" si="13"/>
        <v>9218</v>
      </c>
      <c r="I443">
        <f>IFERROR(VLOOKUP(D443,'LEAID Match'!$A$2:$B$251,2,FALSE),"")</f>
        <v>0</v>
      </c>
    </row>
    <row r="444" spans="1:9" x14ac:dyDescent="0.2">
      <c r="A444">
        <f t="shared" si="12"/>
        <v>0</v>
      </c>
      <c r="B444" s="5">
        <v>2019</v>
      </c>
      <c r="C444" s="1">
        <v>91927</v>
      </c>
      <c r="D444" t="s">
        <v>29</v>
      </c>
      <c r="E444" t="s">
        <v>255</v>
      </c>
      <c r="F444" s="8">
        <v>30</v>
      </c>
      <c r="G444" s="8">
        <v>12093</v>
      </c>
      <c r="H444" s="5">
        <f t="shared" si="13"/>
        <v>12123</v>
      </c>
      <c r="I444">
        <f>IFERROR(VLOOKUP(D444,'LEAID Match'!$A$2:$B$251,2,FALSE),"")</f>
        <v>0</v>
      </c>
    </row>
    <row r="445" spans="1:9" x14ac:dyDescent="0.2">
      <c r="A445">
        <f t="shared" si="12"/>
        <v>0</v>
      </c>
      <c r="B445" s="5">
        <v>2020</v>
      </c>
      <c r="C445" s="1">
        <v>91927</v>
      </c>
      <c r="D445" t="s">
        <v>29</v>
      </c>
      <c r="E445" t="s">
        <v>255</v>
      </c>
      <c r="F445" s="8">
        <v>404.08</v>
      </c>
      <c r="G445" s="8">
        <v>13288</v>
      </c>
      <c r="H445" s="5">
        <f t="shared" si="13"/>
        <v>13692.08</v>
      </c>
      <c r="I445">
        <f>IFERROR(VLOOKUP(D445,'LEAID Match'!$A$2:$B$251,2,FALSE),"")</f>
        <v>0</v>
      </c>
    </row>
    <row r="446" spans="1:9" x14ac:dyDescent="0.2">
      <c r="A446">
        <f t="shared" si="12"/>
        <v>0</v>
      </c>
      <c r="B446" s="5">
        <v>2021</v>
      </c>
      <c r="C446" s="1">
        <v>91927</v>
      </c>
      <c r="D446" t="s">
        <v>29</v>
      </c>
      <c r="E446" t="s">
        <v>255</v>
      </c>
      <c r="F446" s="8">
        <v>640</v>
      </c>
      <c r="G446" s="8">
        <v>15610</v>
      </c>
      <c r="H446" s="5">
        <f t="shared" si="13"/>
        <v>16250</v>
      </c>
      <c r="I446">
        <f>IFERROR(VLOOKUP(D446,'LEAID Match'!$A$2:$B$251,2,FALSE),"")</f>
        <v>0</v>
      </c>
    </row>
    <row r="447" spans="1:9" x14ac:dyDescent="0.2">
      <c r="A447">
        <f t="shared" si="12"/>
        <v>0</v>
      </c>
      <c r="B447" s="5">
        <v>2022</v>
      </c>
      <c r="C447" s="1">
        <v>91927</v>
      </c>
      <c r="D447" t="s">
        <v>29</v>
      </c>
      <c r="E447" t="s">
        <v>255</v>
      </c>
      <c r="F447" s="8">
        <v>662.48</v>
      </c>
      <c r="G447" s="8">
        <v>16174.32</v>
      </c>
      <c r="H447" s="5">
        <f t="shared" si="13"/>
        <v>16836.8</v>
      </c>
      <c r="I447">
        <f>IFERROR(VLOOKUP(D447,'LEAID Match'!$A$2:$B$251,2,FALSE),"")</f>
        <v>0</v>
      </c>
    </row>
    <row r="448" spans="1:9" x14ac:dyDescent="0.2">
      <c r="A448">
        <f t="shared" si="12"/>
        <v>0</v>
      </c>
      <c r="B448" s="5">
        <v>2023</v>
      </c>
      <c r="C448" s="1">
        <v>91927</v>
      </c>
      <c r="D448" t="s">
        <v>29</v>
      </c>
      <c r="E448" t="s">
        <v>255</v>
      </c>
      <c r="F448" s="8">
        <v>757.38</v>
      </c>
      <c r="G448" s="8">
        <v>17938.71</v>
      </c>
      <c r="H448" s="5">
        <f t="shared" si="13"/>
        <v>18696.09</v>
      </c>
      <c r="I448">
        <f>IFERROR(VLOOKUP(D448,'LEAID Match'!$A$2:$B$251,2,FALSE),"")</f>
        <v>0</v>
      </c>
    </row>
    <row r="449" spans="1:9" x14ac:dyDescent="0.2">
      <c r="A449">
        <f t="shared" si="12"/>
        <v>4700720</v>
      </c>
      <c r="B449" s="5">
        <v>2015</v>
      </c>
      <c r="C449" s="1">
        <v>99101</v>
      </c>
      <c r="D449" t="s">
        <v>256</v>
      </c>
      <c r="E449" t="s">
        <v>30</v>
      </c>
      <c r="F449" s="8">
        <v>6729</v>
      </c>
      <c r="G449" s="8">
        <v>350705</v>
      </c>
      <c r="H449" s="5">
        <f t="shared" si="13"/>
        <v>357434</v>
      </c>
      <c r="I449">
        <f>IFERROR(VLOOKUP(D449,'LEAID Match'!$A$2:$B$251,2,FALSE),"")</f>
        <v>4700720</v>
      </c>
    </row>
    <row r="450" spans="1:9" x14ac:dyDescent="0.2">
      <c r="A450">
        <f t="shared" si="12"/>
        <v>4700720</v>
      </c>
      <c r="B450" s="5">
        <v>2016</v>
      </c>
      <c r="C450" s="1">
        <v>99101</v>
      </c>
      <c r="D450" t="s">
        <v>256</v>
      </c>
      <c r="E450" t="s">
        <v>30</v>
      </c>
      <c r="F450" s="8">
        <v>14689</v>
      </c>
      <c r="G450" s="8">
        <v>333952</v>
      </c>
      <c r="H450" s="5">
        <f t="shared" si="13"/>
        <v>348641</v>
      </c>
      <c r="I450">
        <f>IFERROR(VLOOKUP(D450,'LEAID Match'!$A$2:$B$251,2,FALSE),"")</f>
        <v>4700720</v>
      </c>
    </row>
    <row r="451" spans="1:9" x14ac:dyDescent="0.2">
      <c r="A451">
        <f t="shared" ref="A451:A514" si="14">I451</f>
        <v>4700720</v>
      </c>
      <c r="B451" s="5">
        <v>2017</v>
      </c>
      <c r="C451" s="1">
        <v>99101</v>
      </c>
      <c r="D451" t="s">
        <v>256</v>
      </c>
      <c r="E451" t="s">
        <v>256</v>
      </c>
      <c r="F451" s="8">
        <v>18308</v>
      </c>
      <c r="G451" s="8">
        <v>331862</v>
      </c>
      <c r="H451" s="5">
        <f t="shared" ref="H451:H514" si="15">SUM(F451:G451)</f>
        <v>350170</v>
      </c>
      <c r="I451">
        <f>IFERROR(VLOOKUP(D451,'LEAID Match'!$A$2:$B$251,2,FALSE),"")</f>
        <v>4700720</v>
      </c>
    </row>
    <row r="452" spans="1:9" x14ac:dyDescent="0.2">
      <c r="A452">
        <f t="shared" si="14"/>
        <v>4700720</v>
      </c>
      <c r="B452" s="5">
        <v>2018</v>
      </c>
      <c r="C452" s="1">
        <v>99101</v>
      </c>
      <c r="D452" t="s">
        <v>256</v>
      </c>
      <c r="E452" t="s">
        <v>30</v>
      </c>
      <c r="F452" s="8">
        <v>27281</v>
      </c>
      <c r="G452" s="8">
        <v>336674</v>
      </c>
      <c r="H452" s="5">
        <f t="shared" si="15"/>
        <v>363955</v>
      </c>
      <c r="I452">
        <f>IFERROR(VLOOKUP(D452,'LEAID Match'!$A$2:$B$251,2,FALSE),"")</f>
        <v>4700720</v>
      </c>
    </row>
    <row r="453" spans="1:9" x14ac:dyDescent="0.2">
      <c r="A453">
        <f t="shared" si="14"/>
        <v>4700720</v>
      </c>
      <c r="B453" s="5">
        <v>2019</v>
      </c>
      <c r="C453" s="1">
        <v>99101</v>
      </c>
      <c r="D453" t="s">
        <v>256</v>
      </c>
      <c r="E453" t="s">
        <v>256</v>
      </c>
      <c r="F453" s="8">
        <v>19191</v>
      </c>
      <c r="G453" s="8">
        <v>386141</v>
      </c>
      <c r="H453" s="5">
        <f t="shared" si="15"/>
        <v>405332</v>
      </c>
      <c r="I453">
        <f>IFERROR(VLOOKUP(D453,'LEAID Match'!$A$2:$B$251,2,FALSE),"")</f>
        <v>4700720</v>
      </c>
    </row>
    <row r="454" spans="1:9" x14ac:dyDescent="0.2">
      <c r="A454">
        <f t="shared" si="14"/>
        <v>4700720</v>
      </c>
      <c r="B454" s="5">
        <v>2020</v>
      </c>
      <c r="C454" s="1">
        <v>99101</v>
      </c>
      <c r="D454" t="s">
        <v>256</v>
      </c>
      <c r="E454" t="s">
        <v>256</v>
      </c>
      <c r="F454" s="8">
        <v>26039.15</v>
      </c>
      <c r="G454" s="8">
        <v>383668</v>
      </c>
      <c r="H454" s="5">
        <f t="shared" si="15"/>
        <v>409707.15</v>
      </c>
      <c r="I454">
        <f>IFERROR(VLOOKUP(D454,'LEAID Match'!$A$2:$B$251,2,FALSE),"")</f>
        <v>4700720</v>
      </c>
    </row>
    <row r="455" spans="1:9" x14ac:dyDescent="0.2">
      <c r="A455">
        <f t="shared" si="14"/>
        <v>4700720</v>
      </c>
      <c r="B455" s="5">
        <v>2021</v>
      </c>
      <c r="C455" s="1">
        <v>99101</v>
      </c>
      <c r="D455" t="s">
        <v>256</v>
      </c>
      <c r="E455" t="s">
        <v>256</v>
      </c>
      <c r="F455" s="8">
        <v>27972</v>
      </c>
      <c r="G455" s="8">
        <v>382641</v>
      </c>
      <c r="H455" s="5">
        <f t="shared" si="15"/>
        <v>410613</v>
      </c>
      <c r="I455">
        <f>IFERROR(VLOOKUP(D455,'LEAID Match'!$A$2:$B$251,2,FALSE),"")</f>
        <v>4700720</v>
      </c>
    </row>
    <row r="456" spans="1:9" x14ac:dyDescent="0.2">
      <c r="A456">
        <f t="shared" si="14"/>
        <v>4700720</v>
      </c>
      <c r="B456" s="5">
        <v>2022</v>
      </c>
      <c r="C456" s="1">
        <v>99101</v>
      </c>
      <c r="D456" t="s">
        <v>256</v>
      </c>
      <c r="E456" t="s">
        <v>256</v>
      </c>
      <c r="F456" s="8">
        <v>35205.86</v>
      </c>
      <c r="G456" s="8">
        <v>378160.66</v>
      </c>
      <c r="H456" s="5">
        <f t="shared" si="15"/>
        <v>413366.51999999996</v>
      </c>
      <c r="I456">
        <f>IFERROR(VLOOKUP(D456,'LEAID Match'!$A$2:$B$251,2,FALSE),"")</f>
        <v>4700720</v>
      </c>
    </row>
    <row r="457" spans="1:9" x14ac:dyDescent="0.2">
      <c r="A457">
        <f t="shared" si="14"/>
        <v>4700720</v>
      </c>
      <c r="B457" s="5">
        <v>2023</v>
      </c>
      <c r="C457" s="1">
        <v>99101</v>
      </c>
      <c r="D457" t="s">
        <v>256</v>
      </c>
      <c r="E457" t="s">
        <v>256</v>
      </c>
      <c r="F457" s="8">
        <v>60693.85</v>
      </c>
      <c r="G457" s="8">
        <v>311434.5</v>
      </c>
      <c r="H457" s="5">
        <f t="shared" si="15"/>
        <v>372128.35</v>
      </c>
      <c r="I457">
        <f>IFERROR(VLOOKUP(D457,'LEAID Match'!$A$2:$B$251,2,FALSE),"")</f>
        <v>4700720</v>
      </c>
    </row>
    <row r="458" spans="1:9" x14ac:dyDescent="0.2">
      <c r="A458">
        <f t="shared" si="14"/>
        <v>4700750</v>
      </c>
      <c r="B458" s="5">
        <v>2015</v>
      </c>
      <c r="C458" s="1">
        <v>99015</v>
      </c>
      <c r="D458" t="s">
        <v>257</v>
      </c>
      <c r="E458" t="s">
        <v>31</v>
      </c>
      <c r="F458" s="8">
        <v>32106</v>
      </c>
      <c r="G458" s="8">
        <v>1556534</v>
      </c>
      <c r="H458" s="5">
        <f t="shared" si="15"/>
        <v>1588640</v>
      </c>
      <c r="I458">
        <f>IFERROR(VLOOKUP(D458,'LEAID Match'!$A$2:$B$251,2,FALSE),"")</f>
        <v>4700750</v>
      </c>
    </row>
    <row r="459" spans="1:9" x14ac:dyDescent="0.2">
      <c r="A459">
        <f t="shared" si="14"/>
        <v>4700750</v>
      </c>
      <c r="B459" s="5">
        <v>2016</v>
      </c>
      <c r="C459" s="1">
        <v>99015</v>
      </c>
      <c r="D459" t="s">
        <v>257</v>
      </c>
      <c r="E459" t="s">
        <v>31</v>
      </c>
      <c r="F459" s="8">
        <v>73126</v>
      </c>
      <c r="G459" s="8">
        <v>1509402</v>
      </c>
      <c r="H459" s="5">
        <f t="shared" si="15"/>
        <v>1582528</v>
      </c>
      <c r="I459">
        <f>IFERROR(VLOOKUP(D459,'LEAID Match'!$A$2:$B$251,2,FALSE),"")</f>
        <v>4700750</v>
      </c>
    </row>
    <row r="460" spans="1:9" x14ac:dyDescent="0.2">
      <c r="A460">
        <f t="shared" si="14"/>
        <v>4700750</v>
      </c>
      <c r="B460" s="5">
        <v>2017</v>
      </c>
      <c r="C460" s="1">
        <v>99015</v>
      </c>
      <c r="D460" t="s">
        <v>257</v>
      </c>
      <c r="E460" t="s">
        <v>257</v>
      </c>
      <c r="F460" s="8">
        <v>91438</v>
      </c>
      <c r="G460" s="8">
        <v>1467722</v>
      </c>
      <c r="H460" s="5">
        <f t="shared" si="15"/>
        <v>1559160</v>
      </c>
      <c r="I460">
        <f>IFERROR(VLOOKUP(D460,'LEAID Match'!$A$2:$B$251,2,FALSE),"")</f>
        <v>4700750</v>
      </c>
    </row>
    <row r="461" spans="1:9" x14ac:dyDescent="0.2">
      <c r="A461">
        <f t="shared" si="14"/>
        <v>4700750</v>
      </c>
      <c r="B461" s="5">
        <v>2018</v>
      </c>
      <c r="C461" s="1">
        <v>99015</v>
      </c>
      <c r="D461" t="s">
        <v>257</v>
      </c>
      <c r="E461" t="s">
        <v>31</v>
      </c>
      <c r="F461" s="8">
        <v>113833</v>
      </c>
      <c r="G461" s="8">
        <v>1466880</v>
      </c>
      <c r="H461" s="5">
        <f t="shared" si="15"/>
        <v>1580713</v>
      </c>
      <c r="I461">
        <f>IFERROR(VLOOKUP(D461,'LEAID Match'!$A$2:$B$251,2,FALSE),"")</f>
        <v>4700750</v>
      </c>
    </row>
    <row r="462" spans="1:9" x14ac:dyDescent="0.2">
      <c r="A462">
        <f t="shared" si="14"/>
        <v>4700750</v>
      </c>
      <c r="B462" s="5">
        <v>2019</v>
      </c>
      <c r="C462" s="1">
        <v>99015</v>
      </c>
      <c r="D462" t="s">
        <v>257</v>
      </c>
      <c r="E462" t="s">
        <v>257</v>
      </c>
      <c r="F462" s="8">
        <v>65143</v>
      </c>
      <c r="G462" s="8">
        <v>1670843</v>
      </c>
      <c r="H462" s="5">
        <f t="shared" si="15"/>
        <v>1735986</v>
      </c>
      <c r="I462">
        <f>IFERROR(VLOOKUP(D462,'LEAID Match'!$A$2:$B$251,2,FALSE),"")</f>
        <v>4700750</v>
      </c>
    </row>
    <row r="463" spans="1:9" x14ac:dyDescent="0.2">
      <c r="A463">
        <f t="shared" si="14"/>
        <v>4700750</v>
      </c>
      <c r="B463" s="5">
        <v>2020</v>
      </c>
      <c r="C463" s="1">
        <v>99015</v>
      </c>
      <c r="D463" t="s">
        <v>257</v>
      </c>
      <c r="E463" t="s">
        <v>257</v>
      </c>
      <c r="F463" s="8">
        <v>75952</v>
      </c>
      <c r="G463" s="8">
        <v>1630969</v>
      </c>
      <c r="H463" s="5">
        <f t="shared" si="15"/>
        <v>1706921</v>
      </c>
      <c r="I463">
        <f>IFERROR(VLOOKUP(D463,'LEAID Match'!$A$2:$B$251,2,FALSE),"")</f>
        <v>4700750</v>
      </c>
    </row>
    <row r="464" spans="1:9" x14ac:dyDescent="0.2">
      <c r="A464">
        <f t="shared" si="14"/>
        <v>4700750</v>
      </c>
      <c r="B464" s="5">
        <v>2021</v>
      </c>
      <c r="C464" s="1">
        <v>99015</v>
      </c>
      <c r="D464" t="s">
        <v>257</v>
      </c>
      <c r="E464" t="s">
        <v>257</v>
      </c>
      <c r="F464" s="8">
        <v>97933</v>
      </c>
      <c r="G464" s="8">
        <v>1508717</v>
      </c>
      <c r="H464" s="5">
        <f t="shared" si="15"/>
        <v>1606650</v>
      </c>
      <c r="I464">
        <f>IFERROR(VLOOKUP(D464,'LEAID Match'!$A$2:$B$251,2,FALSE),"")</f>
        <v>4700750</v>
      </c>
    </row>
    <row r="465" spans="1:9" x14ac:dyDescent="0.2">
      <c r="A465">
        <f t="shared" si="14"/>
        <v>4700750</v>
      </c>
      <c r="B465" s="5">
        <v>2022</v>
      </c>
      <c r="C465" s="1">
        <v>99015</v>
      </c>
      <c r="D465" t="s">
        <v>257</v>
      </c>
      <c r="E465" t="s">
        <v>257</v>
      </c>
      <c r="F465" s="8">
        <v>110681.16</v>
      </c>
      <c r="G465" s="8">
        <v>1485007.75</v>
      </c>
      <c r="H465" s="5">
        <f t="shared" si="15"/>
        <v>1595688.91</v>
      </c>
      <c r="I465">
        <f>IFERROR(VLOOKUP(D465,'LEAID Match'!$A$2:$B$251,2,FALSE),"")</f>
        <v>4700750</v>
      </c>
    </row>
    <row r="466" spans="1:9" x14ac:dyDescent="0.2">
      <c r="A466">
        <f t="shared" si="14"/>
        <v>4700750</v>
      </c>
      <c r="B466" s="5">
        <v>2023</v>
      </c>
      <c r="C466" s="1">
        <v>99015</v>
      </c>
      <c r="D466" t="s">
        <v>257</v>
      </c>
      <c r="E466" t="s">
        <v>257</v>
      </c>
      <c r="F466" s="8">
        <v>180531.85</v>
      </c>
      <c r="G466" s="8">
        <v>1239411.33</v>
      </c>
      <c r="H466" s="5">
        <f t="shared" si="15"/>
        <v>1419943.1800000002</v>
      </c>
      <c r="I466">
        <f>IFERROR(VLOOKUP(D466,'LEAID Match'!$A$2:$B$251,2,FALSE),"")</f>
        <v>4700750</v>
      </c>
    </row>
    <row r="467" spans="1:9" x14ac:dyDescent="0.2">
      <c r="A467">
        <f t="shared" si="14"/>
        <v>4700780</v>
      </c>
      <c r="B467" s="5">
        <v>2015</v>
      </c>
      <c r="C467" s="1">
        <v>99016</v>
      </c>
      <c r="D467" t="s">
        <v>258</v>
      </c>
      <c r="E467" t="s">
        <v>32</v>
      </c>
      <c r="F467" s="8">
        <v>39296</v>
      </c>
      <c r="G467" s="8">
        <v>1511533</v>
      </c>
      <c r="H467" s="5">
        <f t="shared" si="15"/>
        <v>1550829</v>
      </c>
      <c r="I467">
        <f>IFERROR(VLOOKUP(D467,'LEAID Match'!$A$2:$B$251,2,FALSE),"")</f>
        <v>4700780</v>
      </c>
    </row>
    <row r="468" spans="1:9" x14ac:dyDescent="0.2">
      <c r="A468">
        <f t="shared" si="14"/>
        <v>4700780</v>
      </c>
      <c r="B468" s="5">
        <v>2016</v>
      </c>
      <c r="C468" s="1">
        <v>99016</v>
      </c>
      <c r="D468" t="s">
        <v>258</v>
      </c>
      <c r="E468" t="s">
        <v>32</v>
      </c>
      <c r="F468" s="8">
        <v>80348</v>
      </c>
      <c r="G468" s="8">
        <v>1472309</v>
      </c>
      <c r="H468" s="5">
        <f t="shared" si="15"/>
        <v>1552657</v>
      </c>
      <c r="I468">
        <f>IFERROR(VLOOKUP(D468,'LEAID Match'!$A$2:$B$251,2,FALSE),"")</f>
        <v>4700780</v>
      </c>
    </row>
    <row r="469" spans="1:9" x14ac:dyDescent="0.2">
      <c r="A469">
        <f t="shared" si="14"/>
        <v>4700780</v>
      </c>
      <c r="B469" s="5">
        <v>2017</v>
      </c>
      <c r="C469" s="1">
        <v>99016</v>
      </c>
      <c r="D469" t="s">
        <v>258</v>
      </c>
      <c r="E469" t="s">
        <v>258</v>
      </c>
      <c r="F469" s="8">
        <v>96911</v>
      </c>
      <c r="G469" s="8">
        <v>1469413</v>
      </c>
      <c r="H469" s="5">
        <f t="shared" si="15"/>
        <v>1566324</v>
      </c>
      <c r="I469">
        <f>IFERROR(VLOOKUP(D469,'LEAID Match'!$A$2:$B$251,2,FALSE),"")</f>
        <v>4700780</v>
      </c>
    </row>
    <row r="470" spans="1:9" x14ac:dyDescent="0.2">
      <c r="A470">
        <f t="shared" si="14"/>
        <v>4700780</v>
      </c>
      <c r="B470" s="5">
        <v>2018</v>
      </c>
      <c r="C470" s="1">
        <v>99016</v>
      </c>
      <c r="D470" t="s">
        <v>258</v>
      </c>
      <c r="E470" t="s">
        <v>32</v>
      </c>
      <c r="F470" s="8">
        <v>136508</v>
      </c>
      <c r="G470" s="8">
        <v>1425101</v>
      </c>
      <c r="H470" s="5">
        <f t="shared" si="15"/>
        <v>1561609</v>
      </c>
      <c r="I470">
        <f>IFERROR(VLOOKUP(D470,'LEAID Match'!$A$2:$B$251,2,FALSE),"")</f>
        <v>4700780</v>
      </c>
    </row>
    <row r="471" spans="1:9" x14ac:dyDescent="0.2">
      <c r="A471">
        <f t="shared" si="14"/>
        <v>4700780</v>
      </c>
      <c r="B471" s="5">
        <v>2019</v>
      </c>
      <c r="C471" s="1">
        <v>99016</v>
      </c>
      <c r="D471" t="s">
        <v>258</v>
      </c>
      <c r="E471" t="s">
        <v>258</v>
      </c>
      <c r="F471" s="8">
        <v>81961</v>
      </c>
      <c r="G471" s="8">
        <v>1608994</v>
      </c>
      <c r="H471" s="5">
        <f t="shared" si="15"/>
        <v>1690955</v>
      </c>
      <c r="I471">
        <f>IFERROR(VLOOKUP(D471,'LEAID Match'!$A$2:$B$251,2,FALSE),"")</f>
        <v>4700780</v>
      </c>
    </row>
    <row r="472" spans="1:9" x14ac:dyDescent="0.2">
      <c r="A472">
        <f t="shared" si="14"/>
        <v>4700780</v>
      </c>
      <c r="B472" s="5">
        <v>2020</v>
      </c>
      <c r="C472" s="1">
        <v>99016</v>
      </c>
      <c r="D472" t="s">
        <v>258</v>
      </c>
      <c r="E472" t="s">
        <v>258</v>
      </c>
      <c r="F472" s="8">
        <v>100332</v>
      </c>
      <c r="G472" s="8">
        <v>1583206</v>
      </c>
      <c r="H472" s="5">
        <f t="shared" si="15"/>
        <v>1683538</v>
      </c>
      <c r="I472">
        <f>IFERROR(VLOOKUP(D472,'LEAID Match'!$A$2:$B$251,2,FALSE),"")</f>
        <v>4700780</v>
      </c>
    </row>
    <row r="473" spans="1:9" x14ac:dyDescent="0.2">
      <c r="A473">
        <f t="shared" si="14"/>
        <v>4700780</v>
      </c>
      <c r="B473" s="5">
        <v>2021</v>
      </c>
      <c r="C473" s="1">
        <v>99016</v>
      </c>
      <c r="D473" t="s">
        <v>258</v>
      </c>
      <c r="E473" t="s">
        <v>258</v>
      </c>
      <c r="F473" s="8">
        <v>112522</v>
      </c>
      <c r="G473" s="8">
        <v>1576585</v>
      </c>
      <c r="H473" s="5">
        <f t="shared" si="15"/>
        <v>1689107</v>
      </c>
      <c r="I473">
        <f>IFERROR(VLOOKUP(D473,'LEAID Match'!$A$2:$B$251,2,FALSE),"")</f>
        <v>4700780</v>
      </c>
    </row>
    <row r="474" spans="1:9" x14ac:dyDescent="0.2">
      <c r="A474">
        <f t="shared" si="14"/>
        <v>4700780</v>
      </c>
      <c r="B474" s="5">
        <v>2022</v>
      </c>
      <c r="C474" s="1">
        <v>99016</v>
      </c>
      <c r="D474" t="s">
        <v>258</v>
      </c>
      <c r="E474" t="s">
        <v>258</v>
      </c>
      <c r="F474" s="8">
        <v>129304.34</v>
      </c>
      <c r="G474" s="8">
        <v>1622374.31</v>
      </c>
      <c r="H474" s="5">
        <f t="shared" si="15"/>
        <v>1751678.6500000001</v>
      </c>
      <c r="I474">
        <f>IFERROR(VLOOKUP(D474,'LEAID Match'!$A$2:$B$251,2,FALSE),"")</f>
        <v>4700780</v>
      </c>
    </row>
    <row r="475" spans="1:9" x14ac:dyDescent="0.2">
      <c r="A475">
        <f t="shared" si="14"/>
        <v>4700780</v>
      </c>
      <c r="B475" s="5">
        <v>2023</v>
      </c>
      <c r="C475" s="1">
        <v>99016</v>
      </c>
      <c r="D475" t="s">
        <v>258</v>
      </c>
      <c r="E475" t="s">
        <v>258</v>
      </c>
      <c r="F475" s="8">
        <v>210910.26</v>
      </c>
      <c r="G475" s="8">
        <v>1397900.39</v>
      </c>
      <c r="H475" s="5">
        <f t="shared" si="15"/>
        <v>1608810.65</v>
      </c>
      <c r="I475">
        <f>IFERROR(VLOOKUP(D475,'LEAID Match'!$A$2:$B$251,2,FALSE),"")</f>
        <v>4700780</v>
      </c>
    </row>
    <row r="476" spans="1:9" x14ac:dyDescent="0.2">
      <c r="A476">
        <f t="shared" si="14"/>
        <v>4700149</v>
      </c>
      <c r="B476" s="5">
        <v>2015</v>
      </c>
      <c r="C476" s="1">
        <v>97903</v>
      </c>
      <c r="D476" t="s">
        <v>259</v>
      </c>
      <c r="E476" t="s">
        <v>33</v>
      </c>
      <c r="F476" s="8">
        <v>36463</v>
      </c>
      <c r="G476" s="8">
        <v>2729499</v>
      </c>
      <c r="H476" s="5">
        <f t="shared" si="15"/>
        <v>2765962</v>
      </c>
      <c r="I476">
        <f>IFERROR(VLOOKUP(D476,'LEAID Match'!$A$2:$B$251,2,FALSE),"")</f>
        <v>4700149</v>
      </c>
    </row>
    <row r="477" spans="1:9" x14ac:dyDescent="0.2">
      <c r="A477">
        <f t="shared" si="14"/>
        <v>4700149</v>
      </c>
      <c r="B477" s="5">
        <v>2016</v>
      </c>
      <c r="C477" s="1">
        <v>97903</v>
      </c>
      <c r="D477" t="s">
        <v>259</v>
      </c>
      <c r="E477" t="s">
        <v>33</v>
      </c>
      <c r="F477" s="8">
        <v>83396</v>
      </c>
      <c r="G477" s="8">
        <v>2969500</v>
      </c>
      <c r="H477" s="5">
        <f t="shared" si="15"/>
        <v>3052896</v>
      </c>
      <c r="I477">
        <f>IFERROR(VLOOKUP(D477,'LEAID Match'!$A$2:$B$251,2,FALSE),"")</f>
        <v>4700149</v>
      </c>
    </row>
    <row r="478" spans="1:9" x14ac:dyDescent="0.2">
      <c r="A478">
        <f t="shared" si="14"/>
        <v>4700149</v>
      </c>
      <c r="B478" s="5">
        <v>2017</v>
      </c>
      <c r="C478" s="1">
        <v>97903</v>
      </c>
      <c r="D478" t="s">
        <v>259</v>
      </c>
      <c r="E478" t="s">
        <v>259</v>
      </c>
      <c r="F478" s="8">
        <v>166701</v>
      </c>
      <c r="G478" s="8">
        <v>2928624</v>
      </c>
      <c r="H478" s="5">
        <f t="shared" si="15"/>
        <v>3095325</v>
      </c>
      <c r="I478">
        <f>IFERROR(VLOOKUP(D478,'LEAID Match'!$A$2:$B$251,2,FALSE),"")</f>
        <v>4700149</v>
      </c>
    </row>
    <row r="479" spans="1:9" x14ac:dyDescent="0.2">
      <c r="A479">
        <f t="shared" si="14"/>
        <v>4700149</v>
      </c>
      <c r="B479" s="5">
        <v>2018</v>
      </c>
      <c r="C479" s="1">
        <v>97903</v>
      </c>
      <c r="D479" t="s">
        <v>259</v>
      </c>
      <c r="E479" t="s">
        <v>33</v>
      </c>
      <c r="F479" s="8">
        <v>261693</v>
      </c>
      <c r="G479" s="8">
        <v>2974058</v>
      </c>
      <c r="H479" s="5">
        <f t="shared" si="15"/>
        <v>3235751</v>
      </c>
      <c r="I479">
        <f>IFERROR(VLOOKUP(D479,'LEAID Match'!$A$2:$B$251,2,FALSE),"")</f>
        <v>4700149</v>
      </c>
    </row>
    <row r="480" spans="1:9" x14ac:dyDescent="0.2">
      <c r="A480">
        <f t="shared" si="14"/>
        <v>4700149</v>
      </c>
      <c r="B480" s="5">
        <v>2019</v>
      </c>
      <c r="C480" s="1">
        <v>97903</v>
      </c>
      <c r="D480" t="s">
        <v>259</v>
      </c>
      <c r="E480" t="s">
        <v>259</v>
      </c>
      <c r="F480" s="8">
        <v>177679</v>
      </c>
      <c r="G480" s="8">
        <v>3559959</v>
      </c>
      <c r="H480" s="5">
        <f t="shared" si="15"/>
        <v>3737638</v>
      </c>
      <c r="I480">
        <f>IFERROR(VLOOKUP(D480,'LEAID Match'!$A$2:$B$251,2,FALSE),"")</f>
        <v>4700149</v>
      </c>
    </row>
    <row r="481" spans="1:9" x14ac:dyDescent="0.2">
      <c r="A481">
        <f t="shared" si="14"/>
        <v>4700149</v>
      </c>
      <c r="B481" s="5">
        <v>2020</v>
      </c>
      <c r="C481" s="1">
        <v>97903</v>
      </c>
      <c r="D481" t="s">
        <v>259</v>
      </c>
      <c r="E481" t="s">
        <v>259</v>
      </c>
      <c r="F481" s="8">
        <v>209442</v>
      </c>
      <c r="G481" s="8">
        <v>3611136</v>
      </c>
      <c r="H481" s="5">
        <f t="shared" si="15"/>
        <v>3820578</v>
      </c>
      <c r="I481">
        <f>IFERROR(VLOOKUP(D481,'LEAID Match'!$A$2:$B$251,2,FALSE),"")</f>
        <v>4700149</v>
      </c>
    </row>
    <row r="482" spans="1:9" x14ac:dyDescent="0.2">
      <c r="A482">
        <f t="shared" si="14"/>
        <v>4700149</v>
      </c>
      <c r="B482" s="5">
        <v>2021</v>
      </c>
      <c r="C482" s="1">
        <v>97903</v>
      </c>
      <c r="D482" t="s">
        <v>259</v>
      </c>
      <c r="E482" t="s">
        <v>259</v>
      </c>
      <c r="F482" s="8">
        <v>252885</v>
      </c>
      <c r="G482" s="8">
        <v>3449727</v>
      </c>
      <c r="H482" s="5">
        <f t="shared" si="15"/>
        <v>3702612</v>
      </c>
      <c r="I482">
        <f>IFERROR(VLOOKUP(D482,'LEAID Match'!$A$2:$B$251,2,FALSE),"")</f>
        <v>4700149</v>
      </c>
    </row>
    <row r="483" spans="1:9" x14ac:dyDescent="0.2">
      <c r="A483">
        <f t="shared" si="14"/>
        <v>4700149</v>
      </c>
      <c r="B483" s="5">
        <v>2022</v>
      </c>
      <c r="C483" s="1">
        <v>97903</v>
      </c>
      <c r="D483" t="s">
        <v>259</v>
      </c>
      <c r="E483" t="s">
        <v>259</v>
      </c>
      <c r="F483" s="8">
        <v>310077.13</v>
      </c>
      <c r="G483" s="8">
        <v>3436197.89</v>
      </c>
      <c r="H483" s="5">
        <f t="shared" si="15"/>
        <v>3746275.02</v>
      </c>
      <c r="I483">
        <f>IFERROR(VLOOKUP(D483,'LEAID Match'!$A$2:$B$251,2,FALSE),"")</f>
        <v>4700149</v>
      </c>
    </row>
    <row r="484" spans="1:9" x14ac:dyDescent="0.2">
      <c r="A484">
        <f t="shared" si="14"/>
        <v>4700149</v>
      </c>
      <c r="B484" s="5">
        <v>2023</v>
      </c>
      <c r="C484" s="1">
        <v>97903</v>
      </c>
      <c r="D484" t="s">
        <v>259</v>
      </c>
      <c r="E484" t="s">
        <v>259</v>
      </c>
      <c r="F484" s="8">
        <v>507353.16</v>
      </c>
      <c r="G484" s="8">
        <v>2986115.29</v>
      </c>
      <c r="H484" s="5">
        <f t="shared" si="15"/>
        <v>3493468.45</v>
      </c>
      <c r="I484">
        <f>IFERROR(VLOOKUP(D484,'LEAID Match'!$A$2:$B$251,2,FALSE),"")</f>
        <v>4700149</v>
      </c>
    </row>
    <row r="485" spans="1:9" x14ac:dyDescent="0.2">
      <c r="A485">
        <f t="shared" si="14"/>
        <v>0</v>
      </c>
      <c r="B485" s="5">
        <v>2020</v>
      </c>
      <c r="C485" s="1">
        <v>97973</v>
      </c>
      <c r="D485" t="s">
        <v>498</v>
      </c>
      <c r="E485" t="s">
        <v>498</v>
      </c>
      <c r="F485" s="8">
        <v>79475</v>
      </c>
      <c r="G485" s="8">
        <v>112681</v>
      </c>
      <c r="H485" s="5">
        <f t="shared" si="15"/>
        <v>192156</v>
      </c>
      <c r="I485">
        <f>IFERROR(VLOOKUP(D485,'LEAID Match'!$A$2:$B$251,2,FALSE),"")</f>
        <v>0</v>
      </c>
    </row>
    <row r="486" spans="1:9" x14ac:dyDescent="0.2">
      <c r="A486">
        <f t="shared" si="14"/>
        <v>0</v>
      </c>
      <c r="B486" s="5">
        <v>2021</v>
      </c>
      <c r="C486" s="1">
        <v>97973</v>
      </c>
      <c r="D486" t="s">
        <v>498</v>
      </c>
      <c r="E486" t="s">
        <v>498</v>
      </c>
      <c r="F486" s="8">
        <v>109094</v>
      </c>
      <c r="G486" s="8">
        <v>123951</v>
      </c>
      <c r="H486" s="5">
        <f t="shared" si="15"/>
        <v>233045</v>
      </c>
      <c r="I486">
        <f>IFERROR(VLOOKUP(D486,'LEAID Match'!$A$2:$B$251,2,FALSE),"")</f>
        <v>0</v>
      </c>
    </row>
    <row r="487" spans="1:9" x14ac:dyDescent="0.2">
      <c r="A487">
        <f t="shared" si="14"/>
        <v>0</v>
      </c>
      <c r="B487" s="5">
        <v>2022</v>
      </c>
      <c r="C487" s="1">
        <v>97973</v>
      </c>
      <c r="D487" t="s">
        <v>498</v>
      </c>
      <c r="E487" t="s">
        <v>498</v>
      </c>
      <c r="F487" s="8">
        <v>112552.61</v>
      </c>
      <c r="G487" s="8">
        <v>117194.76</v>
      </c>
      <c r="H487" s="5">
        <f t="shared" si="15"/>
        <v>229747.37</v>
      </c>
      <c r="I487">
        <f>IFERROR(VLOOKUP(D487,'LEAID Match'!$A$2:$B$251,2,FALSE),"")</f>
        <v>0</v>
      </c>
    </row>
    <row r="488" spans="1:9" x14ac:dyDescent="0.2">
      <c r="A488">
        <f t="shared" si="14"/>
        <v>0</v>
      </c>
      <c r="B488" s="5">
        <v>2023</v>
      </c>
      <c r="C488" s="1">
        <v>97973</v>
      </c>
      <c r="D488" t="s">
        <v>498</v>
      </c>
      <c r="E488" t="s">
        <v>498</v>
      </c>
      <c r="F488" s="8">
        <v>173060.79</v>
      </c>
      <c r="G488" s="8">
        <v>122332.89</v>
      </c>
      <c r="H488" s="5">
        <f t="shared" si="15"/>
        <v>295393.68</v>
      </c>
      <c r="I488">
        <f>IFERROR(VLOOKUP(D488,'LEAID Match'!$A$2:$B$251,2,FALSE),"")</f>
        <v>0</v>
      </c>
    </row>
    <row r="489" spans="1:9" x14ac:dyDescent="0.2">
      <c r="A489">
        <f t="shared" si="14"/>
        <v>0</v>
      </c>
      <c r="B489" s="5">
        <v>2015</v>
      </c>
      <c r="C489" s="1">
        <v>99017</v>
      </c>
      <c r="D489" t="s">
        <v>260</v>
      </c>
      <c r="E489" t="s">
        <v>34</v>
      </c>
      <c r="F489" s="8">
        <v>12877</v>
      </c>
      <c r="G489" s="8">
        <v>641647</v>
      </c>
      <c r="H489" s="5">
        <f t="shared" si="15"/>
        <v>654524</v>
      </c>
      <c r="I489">
        <f>IFERROR(VLOOKUP(D489,'LEAID Match'!$A$2:$B$251,2,FALSE),"")</f>
        <v>0</v>
      </c>
    </row>
    <row r="490" spans="1:9" x14ac:dyDescent="0.2">
      <c r="A490">
        <f t="shared" si="14"/>
        <v>0</v>
      </c>
      <c r="B490" s="5">
        <v>2016</v>
      </c>
      <c r="C490" s="1">
        <v>99017</v>
      </c>
      <c r="D490" t="s">
        <v>260</v>
      </c>
      <c r="E490" t="s">
        <v>34</v>
      </c>
      <c r="F490" s="8">
        <v>25464</v>
      </c>
      <c r="G490" s="8">
        <v>634945</v>
      </c>
      <c r="H490" s="5">
        <f t="shared" si="15"/>
        <v>660409</v>
      </c>
      <c r="I490">
        <f>IFERROR(VLOOKUP(D490,'LEAID Match'!$A$2:$B$251,2,FALSE),"")</f>
        <v>0</v>
      </c>
    </row>
    <row r="491" spans="1:9" x14ac:dyDescent="0.2">
      <c r="A491">
        <f t="shared" si="14"/>
        <v>0</v>
      </c>
      <c r="B491" s="5">
        <v>2017</v>
      </c>
      <c r="C491" s="1">
        <v>99017</v>
      </c>
      <c r="D491" t="s">
        <v>260</v>
      </c>
      <c r="E491" t="s">
        <v>260</v>
      </c>
      <c r="F491" s="8">
        <v>35131</v>
      </c>
      <c r="G491" s="8">
        <v>630366</v>
      </c>
      <c r="H491" s="5">
        <f t="shared" si="15"/>
        <v>665497</v>
      </c>
      <c r="I491">
        <f>IFERROR(VLOOKUP(D491,'LEAID Match'!$A$2:$B$251,2,FALSE),"")</f>
        <v>0</v>
      </c>
    </row>
    <row r="492" spans="1:9" x14ac:dyDescent="0.2">
      <c r="A492">
        <f t="shared" si="14"/>
        <v>0</v>
      </c>
      <c r="B492" s="5">
        <v>2018</v>
      </c>
      <c r="C492" s="1">
        <v>99017</v>
      </c>
      <c r="D492" t="s">
        <v>260</v>
      </c>
      <c r="E492" t="s">
        <v>34</v>
      </c>
      <c r="F492" s="8">
        <v>41805</v>
      </c>
      <c r="G492" s="8">
        <v>616165</v>
      </c>
      <c r="H492" s="5">
        <f t="shared" si="15"/>
        <v>657970</v>
      </c>
      <c r="I492">
        <f>IFERROR(VLOOKUP(D492,'LEAID Match'!$A$2:$B$251,2,FALSE),"")</f>
        <v>0</v>
      </c>
    </row>
    <row r="493" spans="1:9" x14ac:dyDescent="0.2">
      <c r="A493">
        <f t="shared" si="14"/>
        <v>0</v>
      </c>
      <c r="B493" s="5">
        <v>2019</v>
      </c>
      <c r="C493" s="1">
        <v>99017</v>
      </c>
      <c r="D493" t="s">
        <v>260</v>
      </c>
      <c r="E493" t="s">
        <v>260</v>
      </c>
      <c r="F493" s="8">
        <v>25318</v>
      </c>
      <c r="G493" s="8">
        <v>701700</v>
      </c>
      <c r="H493" s="5">
        <f t="shared" si="15"/>
        <v>727018</v>
      </c>
      <c r="I493">
        <f>IFERROR(VLOOKUP(D493,'LEAID Match'!$A$2:$B$251,2,FALSE),"")</f>
        <v>0</v>
      </c>
    </row>
    <row r="494" spans="1:9" x14ac:dyDescent="0.2">
      <c r="A494">
        <f t="shared" si="14"/>
        <v>0</v>
      </c>
      <c r="B494" s="5">
        <v>2020</v>
      </c>
      <c r="C494" s="1">
        <v>99017</v>
      </c>
      <c r="D494" t="s">
        <v>260</v>
      </c>
      <c r="E494" t="s">
        <v>260</v>
      </c>
      <c r="F494" s="8">
        <v>31355</v>
      </c>
      <c r="G494" s="8">
        <v>704610</v>
      </c>
      <c r="H494" s="5">
        <f t="shared" si="15"/>
        <v>735965</v>
      </c>
      <c r="I494">
        <f>IFERROR(VLOOKUP(D494,'LEAID Match'!$A$2:$B$251,2,FALSE),"")</f>
        <v>0</v>
      </c>
    </row>
    <row r="495" spans="1:9" x14ac:dyDescent="0.2">
      <c r="A495">
        <f t="shared" si="14"/>
        <v>0</v>
      </c>
      <c r="B495" s="5">
        <v>2021</v>
      </c>
      <c r="C495" s="1">
        <v>99017</v>
      </c>
      <c r="D495" t="s">
        <v>260</v>
      </c>
      <c r="E495" t="s">
        <v>260</v>
      </c>
      <c r="F495" s="8">
        <v>35497</v>
      </c>
      <c r="G495" s="8">
        <v>681964</v>
      </c>
      <c r="H495" s="5">
        <f t="shared" si="15"/>
        <v>717461</v>
      </c>
      <c r="I495">
        <f>IFERROR(VLOOKUP(D495,'LEAID Match'!$A$2:$B$251,2,FALSE),"")</f>
        <v>0</v>
      </c>
    </row>
    <row r="496" spans="1:9" x14ac:dyDescent="0.2">
      <c r="A496">
        <f t="shared" si="14"/>
        <v>0</v>
      </c>
      <c r="B496" s="5">
        <v>2022</v>
      </c>
      <c r="C496" s="1">
        <v>99017</v>
      </c>
      <c r="D496" t="s">
        <v>260</v>
      </c>
      <c r="E496" t="s">
        <v>260</v>
      </c>
      <c r="F496" s="8">
        <v>49735.9</v>
      </c>
      <c r="G496" s="8">
        <v>678367.37</v>
      </c>
      <c r="H496" s="5">
        <f t="shared" si="15"/>
        <v>728103.27</v>
      </c>
      <c r="I496">
        <f>IFERROR(VLOOKUP(D496,'LEAID Match'!$A$2:$B$251,2,FALSE),"")</f>
        <v>0</v>
      </c>
    </row>
    <row r="497" spans="1:9" x14ac:dyDescent="0.2">
      <c r="A497">
        <f t="shared" si="14"/>
        <v>0</v>
      </c>
      <c r="B497" s="5">
        <v>2023</v>
      </c>
      <c r="C497" s="1">
        <v>99017</v>
      </c>
      <c r="D497" t="s">
        <v>260</v>
      </c>
      <c r="E497" t="s">
        <v>260</v>
      </c>
      <c r="F497" s="8">
        <v>75601.98</v>
      </c>
      <c r="G497" s="8">
        <v>565330.78</v>
      </c>
      <c r="H497" s="5">
        <f t="shared" si="15"/>
        <v>640932.76</v>
      </c>
      <c r="I497">
        <f>IFERROR(VLOOKUP(D497,'LEAID Match'!$A$2:$B$251,2,FALSE),"")</f>
        <v>0</v>
      </c>
    </row>
    <row r="498" spans="1:9" x14ac:dyDescent="0.2">
      <c r="A498">
        <f t="shared" si="14"/>
        <v>0</v>
      </c>
      <c r="B498" s="5">
        <v>2018</v>
      </c>
      <c r="C498" s="1">
        <v>97972</v>
      </c>
      <c r="D498" t="s">
        <v>485</v>
      </c>
      <c r="E498" t="s">
        <v>457</v>
      </c>
      <c r="F498" s="8">
        <v>1774</v>
      </c>
      <c r="G498" s="8" t="s">
        <v>591</v>
      </c>
      <c r="H498" s="5">
        <f t="shared" si="15"/>
        <v>1774</v>
      </c>
      <c r="I498">
        <f>IFERROR(VLOOKUP(D498,'LEAID Match'!$A$2:$B$251,2,FALSE),"")</f>
        <v>0</v>
      </c>
    </row>
    <row r="499" spans="1:9" x14ac:dyDescent="0.2">
      <c r="A499">
        <f t="shared" si="14"/>
        <v>0</v>
      </c>
      <c r="B499" s="5">
        <v>2019</v>
      </c>
      <c r="C499" s="1">
        <v>97972</v>
      </c>
      <c r="D499" t="s">
        <v>485</v>
      </c>
      <c r="E499" t="s">
        <v>485</v>
      </c>
      <c r="F499" s="8">
        <v>18594</v>
      </c>
      <c r="G499" s="8">
        <v>8091</v>
      </c>
      <c r="H499" s="5">
        <f t="shared" si="15"/>
        <v>26685</v>
      </c>
      <c r="I499">
        <f>IFERROR(VLOOKUP(D499,'LEAID Match'!$A$2:$B$251,2,FALSE),"")</f>
        <v>0</v>
      </c>
    </row>
    <row r="500" spans="1:9" x14ac:dyDescent="0.2">
      <c r="A500">
        <f t="shared" si="14"/>
        <v>0</v>
      </c>
      <c r="B500" s="5">
        <v>2020</v>
      </c>
      <c r="C500" s="1">
        <v>97972</v>
      </c>
      <c r="D500" t="s">
        <v>485</v>
      </c>
      <c r="E500" t="s">
        <v>485</v>
      </c>
      <c r="F500" s="8">
        <v>33987</v>
      </c>
      <c r="G500" s="8">
        <v>33707</v>
      </c>
      <c r="H500" s="5">
        <f t="shared" si="15"/>
        <v>67694</v>
      </c>
      <c r="I500">
        <f>IFERROR(VLOOKUP(D500,'LEAID Match'!$A$2:$B$251,2,FALSE),"")</f>
        <v>0</v>
      </c>
    </row>
    <row r="501" spans="1:9" x14ac:dyDescent="0.2">
      <c r="A501">
        <f t="shared" si="14"/>
        <v>0</v>
      </c>
      <c r="B501" s="5">
        <v>2021</v>
      </c>
      <c r="C501" s="1">
        <v>97972</v>
      </c>
      <c r="D501" t="s">
        <v>485</v>
      </c>
      <c r="E501" t="s">
        <v>485</v>
      </c>
      <c r="F501" s="8">
        <v>39914</v>
      </c>
      <c r="G501" s="8">
        <v>41348</v>
      </c>
      <c r="H501" s="5">
        <f t="shared" si="15"/>
        <v>81262</v>
      </c>
      <c r="I501">
        <f>IFERROR(VLOOKUP(D501,'LEAID Match'!$A$2:$B$251,2,FALSE),"")</f>
        <v>0</v>
      </c>
    </row>
    <row r="502" spans="1:9" x14ac:dyDescent="0.2">
      <c r="A502">
        <f t="shared" si="14"/>
        <v>0</v>
      </c>
      <c r="B502" s="5">
        <v>2022</v>
      </c>
      <c r="C502" s="1">
        <v>97972</v>
      </c>
      <c r="D502" t="s">
        <v>485</v>
      </c>
      <c r="E502" t="s">
        <v>485</v>
      </c>
      <c r="F502" s="8">
        <v>42471.05</v>
      </c>
      <c r="G502" s="8">
        <v>50118.55</v>
      </c>
      <c r="H502" s="5">
        <f t="shared" si="15"/>
        <v>92589.6</v>
      </c>
      <c r="I502">
        <f>IFERROR(VLOOKUP(D502,'LEAID Match'!$A$2:$B$251,2,FALSE),"")</f>
        <v>0</v>
      </c>
    </row>
    <row r="503" spans="1:9" x14ac:dyDescent="0.2">
      <c r="A503">
        <f t="shared" si="14"/>
        <v>0</v>
      </c>
      <c r="B503" s="5">
        <v>2023</v>
      </c>
      <c r="C503" s="1">
        <v>97972</v>
      </c>
      <c r="D503" t="s">
        <v>485</v>
      </c>
      <c r="E503" t="s">
        <v>485</v>
      </c>
      <c r="F503" s="8">
        <v>56544.04</v>
      </c>
      <c r="G503" s="8">
        <v>54003.42</v>
      </c>
      <c r="H503" s="5">
        <f t="shared" si="15"/>
        <v>110547.45999999999</v>
      </c>
      <c r="I503">
        <f>IFERROR(VLOOKUP(D503,'LEAID Match'!$A$2:$B$251,2,FALSE),"")</f>
        <v>0</v>
      </c>
    </row>
    <row r="504" spans="1:9" x14ac:dyDescent="0.2">
      <c r="A504">
        <f t="shared" si="14"/>
        <v>4700900</v>
      </c>
      <c r="B504" s="5">
        <v>2015</v>
      </c>
      <c r="C504" s="1">
        <v>99018</v>
      </c>
      <c r="D504" t="s">
        <v>261</v>
      </c>
      <c r="E504" t="s">
        <v>35</v>
      </c>
      <c r="F504" s="8">
        <v>49159</v>
      </c>
      <c r="G504" s="8">
        <v>2158102</v>
      </c>
      <c r="H504" s="5">
        <f t="shared" si="15"/>
        <v>2207261</v>
      </c>
      <c r="I504">
        <f>IFERROR(VLOOKUP(D504,'LEAID Match'!$A$2:$B$251,2,FALSE),"")</f>
        <v>4700900</v>
      </c>
    </row>
    <row r="505" spans="1:9" x14ac:dyDescent="0.2">
      <c r="A505">
        <f t="shared" si="14"/>
        <v>4700900</v>
      </c>
      <c r="B505" s="5">
        <v>2016</v>
      </c>
      <c r="C505" s="1">
        <v>99018</v>
      </c>
      <c r="D505" t="s">
        <v>261</v>
      </c>
      <c r="E505" t="s">
        <v>35</v>
      </c>
      <c r="F505" s="8">
        <v>90993</v>
      </c>
      <c r="G505" s="8">
        <v>2061033</v>
      </c>
      <c r="H505" s="5">
        <f t="shared" si="15"/>
        <v>2152026</v>
      </c>
      <c r="I505">
        <f>IFERROR(VLOOKUP(D505,'LEAID Match'!$A$2:$B$251,2,FALSE),"")</f>
        <v>4700900</v>
      </c>
    </row>
    <row r="506" spans="1:9" x14ac:dyDescent="0.2">
      <c r="A506">
        <f t="shared" si="14"/>
        <v>4700900</v>
      </c>
      <c r="B506" s="5">
        <v>2017</v>
      </c>
      <c r="C506" s="1">
        <v>99018</v>
      </c>
      <c r="D506" t="s">
        <v>261</v>
      </c>
      <c r="E506" t="s">
        <v>261</v>
      </c>
      <c r="F506" s="8">
        <v>130376</v>
      </c>
      <c r="G506" s="8">
        <v>1959643</v>
      </c>
      <c r="H506" s="5">
        <f t="shared" si="15"/>
        <v>2090019</v>
      </c>
      <c r="I506">
        <f>IFERROR(VLOOKUP(D506,'LEAID Match'!$A$2:$B$251,2,FALSE),"")</f>
        <v>4700900</v>
      </c>
    </row>
    <row r="507" spans="1:9" x14ac:dyDescent="0.2">
      <c r="A507">
        <f t="shared" si="14"/>
        <v>4700900</v>
      </c>
      <c r="B507" s="5">
        <v>2018</v>
      </c>
      <c r="C507" s="1">
        <v>99018</v>
      </c>
      <c r="D507" t="s">
        <v>261</v>
      </c>
      <c r="E507" t="s">
        <v>35</v>
      </c>
      <c r="F507" s="8">
        <v>161067</v>
      </c>
      <c r="G507" s="8">
        <v>1969075</v>
      </c>
      <c r="H507" s="5">
        <f t="shared" si="15"/>
        <v>2130142</v>
      </c>
      <c r="I507">
        <f>IFERROR(VLOOKUP(D507,'LEAID Match'!$A$2:$B$251,2,FALSE),"")</f>
        <v>4700900</v>
      </c>
    </row>
    <row r="508" spans="1:9" x14ac:dyDescent="0.2">
      <c r="A508">
        <f t="shared" si="14"/>
        <v>4700900</v>
      </c>
      <c r="B508" s="5">
        <v>2019</v>
      </c>
      <c r="C508" s="1">
        <v>99018</v>
      </c>
      <c r="D508" t="s">
        <v>261</v>
      </c>
      <c r="E508" t="s">
        <v>261</v>
      </c>
      <c r="F508" s="8">
        <v>96610</v>
      </c>
      <c r="G508" s="8">
        <v>2178516</v>
      </c>
      <c r="H508" s="5">
        <f t="shared" si="15"/>
        <v>2275126</v>
      </c>
      <c r="I508">
        <f>IFERROR(VLOOKUP(D508,'LEAID Match'!$A$2:$B$251,2,FALSE),"")</f>
        <v>4700900</v>
      </c>
    </row>
    <row r="509" spans="1:9" x14ac:dyDescent="0.2">
      <c r="A509">
        <f t="shared" si="14"/>
        <v>4700900</v>
      </c>
      <c r="B509" s="5">
        <v>2020</v>
      </c>
      <c r="C509" s="1">
        <v>99018</v>
      </c>
      <c r="D509" t="s">
        <v>261</v>
      </c>
      <c r="E509" t="s">
        <v>261</v>
      </c>
      <c r="F509" s="8">
        <v>121763</v>
      </c>
      <c r="G509" s="8">
        <v>2145941</v>
      </c>
      <c r="H509" s="5">
        <f t="shared" si="15"/>
        <v>2267704</v>
      </c>
      <c r="I509">
        <f>IFERROR(VLOOKUP(D509,'LEAID Match'!$A$2:$B$251,2,FALSE),"")</f>
        <v>4700900</v>
      </c>
    </row>
    <row r="510" spans="1:9" x14ac:dyDescent="0.2">
      <c r="A510">
        <f t="shared" si="14"/>
        <v>4700900</v>
      </c>
      <c r="B510" s="5">
        <v>2021</v>
      </c>
      <c r="C510" s="1">
        <v>99018</v>
      </c>
      <c r="D510" t="s">
        <v>261</v>
      </c>
      <c r="E510" t="s">
        <v>261</v>
      </c>
      <c r="F510" s="8">
        <v>133861</v>
      </c>
      <c r="G510" s="8">
        <v>2036984</v>
      </c>
      <c r="H510" s="5">
        <f t="shared" si="15"/>
        <v>2170845</v>
      </c>
      <c r="I510">
        <f>IFERROR(VLOOKUP(D510,'LEAID Match'!$A$2:$B$251,2,FALSE),"")</f>
        <v>4700900</v>
      </c>
    </row>
    <row r="511" spans="1:9" x14ac:dyDescent="0.2">
      <c r="A511">
        <f t="shared" si="14"/>
        <v>4700900</v>
      </c>
      <c r="B511" s="5">
        <v>2022</v>
      </c>
      <c r="C511" s="1">
        <v>99018</v>
      </c>
      <c r="D511" t="s">
        <v>261</v>
      </c>
      <c r="E511" t="s">
        <v>261</v>
      </c>
      <c r="F511" s="8">
        <v>151823.29999999999</v>
      </c>
      <c r="G511" s="8">
        <v>2049922.81</v>
      </c>
      <c r="H511" s="5">
        <f t="shared" si="15"/>
        <v>2201746.11</v>
      </c>
      <c r="I511">
        <f>IFERROR(VLOOKUP(D511,'LEAID Match'!$A$2:$B$251,2,FALSE),"")</f>
        <v>4700900</v>
      </c>
    </row>
    <row r="512" spans="1:9" x14ac:dyDescent="0.2">
      <c r="A512">
        <f t="shared" si="14"/>
        <v>4700900</v>
      </c>
      <c r="B512" s="5">
        <v>2023</v>
      </c>
      <c r="C512" s="1">
        <v>99018</v>
      </c>
      <c r="D512" t="s">
        <v>261</v>
      </c>
      <c r="E512" t="s">
        <v>261</v>
      </c>
      <c r="F512" s="8">
        <v>259493.94</v>
      </c>
      <c r="G512" s="8">
        <v>1720972.31</v>
      </c>
      <c r="H512" s="5">
        <f t="shared" si="15"/>
        <v>1980466.25</v>
      </c>
      <c r="I512">
        <f>IFERROR(VLOOKUP(D512,'LEAID Match'!$A$2:$B$251,2,FALSE),"")</f>
        <v>4700900</v>
      </c>
    </row>
    <row r="513" spans="1:9" x14ac:dyDescent="0.2">
      <c r="A513">
        <f t="shared" si="14"/>
        <v>0</v>
      </c>
      <c r="B513" s="5">
        <v>2015</v>
      </c>
      <c r="C513" s="1">
        <v>92019</v>
      </c>
      <c r="D513" t="s">
        <v>551</v>
      </c>
      <c r="E513" t="s">
        <v>574</v>
      </c>
      <c r="F513" s="8" t="s">
        <v>591</v>
      </c>
      <c r="G513" s="8" t="s">
        <v>591</v>
      </c>
      <c r="H513" s="5">
        <f t="shared" si="15"/>
        <v>0</v>
      </c>
      <c r="I513">
        <f>IFERROR(VLOOKUP(D513,'LEAID Match'!$A$2:$B$251,2,FALSE),"")</f>
        <v>0</v>
      </c>
    </row>
    <row r="514" spans="1:9" x14ac:dyDescent="0.2">
      <c r="A514">
        <f t="shared" si="14"/>
        <v>0</v>
      </c>
      <c r="B514" s="5">
        <v>2016</v>
      </c>
      <c r="C514" s="1">
        <v>92019</v>
      </c>
      <c r="D514" t="s">
        <v>551</v>
      </c>
      <c r="E514" t="s">
        <v>546</v>
      </c>
      <c r="F514" s="8" t="s">
        <v>591</v>
      </c>
      <c r="G514" s="8" t="s">
        <v>591</v>
      </c>
      <c r="H514" s="5">
        <f t="shared" si="15"/>
        <v>0</v>
      </c>
      <c r="I514">
        <f>IFERROR(VLOOKUP(D514,'LEAID Match'!$A$2:$B$251,2,FALSE),"")</f>
        <v>0</v>
      </c>
    </row>
    <row r="515" spans="1:9" x14ac:dyDescent="0.2">
      <c r="A515">
        <f t="shared" ref="A515:A578" si="16">I515</f>
        <v>0</v>
      </c>
      <c r="B515" s="5">
        <v>2017</v>
      </c>
      <c r="C515" s="1">
        <v>92019</v>
      </c>
      <c r="D515" t="s">
        <v>551</v>
      </c>
      <c r="E515" t="s">
        <v>546</v>
      </c>
      <c r="F515" s="8" t="s">
        <v>591</v>
      </c>
      <c r="G515" s="8" t="s">
        <v>591</v>
      </c>
      <c r="H515" s="5">
        <f t="shared" ref="H515:H578" si="17">SUM(F515:G515)</f>
        <v>0</v>
      </c>
      <c r="I515">
        <f>IFERROR(VLOOKUP(D515,'LEAID Match'!$A$2:$B$251,2,FALSE),"")</f>
        <v>0</v>
      </c>
    </row>
    <row r="516" spans="1:9" x14ac:dyDescent="0.2">
      <c r="A516">
        <f t="shared" si="16"/>
        <v>0</v>
      </c>
      <c r="B516" s="5">
        <v>2018</v>
      </c>
      <c r="C516" s="1">
        <v>92019</v>
      </c>
      <c r="D516" t="s">
        <v>551</v>
      </c>
      <c r="E516" t="s">
        <v>546</v>
      </c>
      <c r="F516" s="8" t="s">
        <v>591</v>
      </c>
      <c r="H516" s="5">
        <f t="shared" si="17"/>
        <v>0</v>
      </c>
      <c r="I516">
        <f>IFERROR(VLOOKUP(D516,'LEAID Match'!$A$2:$B$251,2,FALSE),"")</f>
        <v>0</v>
      </c>
    </row>
    <row r="517" spans="1:9" x14ac:dyDescent="0.2">
      <c r="A517">
        <f t="shared" si="16"/>
        <v>0</v>
      </c>
      <c r="B517" s="5">
        <v>2019</v>
      </c>
      <c r="C517" s="1">
        <v>92019</v>
      </c>
      <c r="D517" t="s">
        <v>551</v>
      </c>
      <c r="E517" t="s">
        <v>546</v>
      </c>
      <c r="F517" s="8" t="s">
        <v>591</v>
      </c>
      <c r="G517" s="8" t="s">
        <v>591</v>
      </c>
      <c r="H517" s="5">
        <f t="shared" si="17"/>
        <v>0</v>
      </c>
      <c r="I517">
        <f>IFERROR(VLOOKUP(D517,'LEAID Match'!$A$2:$B$251,2,FALSE),"")</f>
        <v>0</v>
      </c>
    </row>
    <row r="518" spans="1:9" x14ac:dyDescent="0.2">
      <c r="A518">
        <f t="shared" si="16"/>
        <v>0</v>
      </c>
      <c r="B518" s="5">
        <v>2020</v>
      </c>
      <c r="C518" s="1">
        <v>92019</v>
      </c>
      <c r="D518" t="s">
        <v>551</v>
      </c>
      <c r="E518" t="s">
        <v>551</v>
      </c>
      <c r="F518" s="8" t="s">
        <v>591</v>
      </c>
      <c r="G518" s="8" t="s">
        <v>591</v>
      </c>
      <c r="H518" s="5">
        <f t="shared" si="17"/>
        <v>0</v>
      </c>
      <c r="I518">
        <f>IFERROR(VLOOKUP(D518,'LEAID Match'!$A$2:$B$251,2,FALSE),"")</f>
        <v>0</v>
      </c>
    </row>
    <row r="519" spans="1:9" x14ac:dyDescent="0.2">
      <c r="A519">
        <f t="shared" si="16"/>
        <v>0</v>
      </c>
      <c r="B519" s="5">
        <v>2021</v>
      </c>
      <c r="C519">
        <v>92019</v>
      </c>
      <c r="D519" t="s">
        <v>551</v>
      </c>
      <c r="E519" t="s">
        <v>546</v>
      </c>
      <c r="F519" s="8" t="s">
        <v>591</v>
      </c>
      <c r="G519" s="8" t="s">
        <v>591</v>
      </c>
      <c r="H519" s="5">
        <f t="shared" si="17"/>
        <v>0</v>
      </c>
      <c r="I519">
        <f>IFERROR(VLOOKUP(D519,'LEAID Match'!$A$2:$B$251,2,FALSE),"")</f>
        <v>0</v>
      </c>
    </row>
    <row r="520" spans="1:9" x14ac:dyDescent="0.2">
      <c r="A520">
        <f t="shared" si="16"/>
        <v>0</v>
      </c>
      <c r="B520" s="5">
        <v>2022</v>
      </c>
      <c r="C520">
        <v>92019</v>
      </c>
      <c r="D520" t="s">
        <v>551</v>
      </c>
      <c r="E520" t="s">
        <v>546</v>
      </c>
      <c r="F520" s="8" t="s">
        <v>591</v>
      </c>
      <c r="G520" s="8" t="s">
        <v>591</v>
      </c>
      <c r="H520" s="5">
        <f t="shared" si="17"/>
        <v>0</v>
      </c>
      <c r="I520">
        <f>IFERROR(VLOOKUP(D520,'LEAID Match'!$A$2:$B$251,2,FALSE),"")</f>
        <v>0</v>
      </c>
    </row>
    <row r="521" spans="1:9" x14ac:dyDescent="0.2">
      <c r="A521">
        <f t="shared" si="16"/>
        <v>0</v>
      </c>
      <c r="B521" s="5">
        <v>2023</v>
      </c>
      <c r="C521">
        <v>92019</v>
      </c>
      <c r="D521" t="s">
        <v>551</v>
      </c>
      <c r="E521" t="s">
        <v>551</v>
      </c>
      <c r="F521" s="8" t="s">
        <v>591</v>
      </c>
      <c r="G521" s="8" t="s">
        <v>591</v>
      </c>
      <c r="H521" s="5">
        <f t="shared" si="17"/>
        <v>0</v>
      </c>
      <c r="I521">
        <f>IFERROR(VLOOKUP(D521,'LEAID Match'!$A$2:$B$251,2,FALSE),"")</f>
        <v>0</v>
      </c>
    </row>
    <row r="522" spans="1:9" x14ac:dyDescent="0.2">
      <c r="A522">
        <f t="shared" si="16"/>
        <v>4703180</v>
      </c>
      <c r="B522" s="5">
        <v>2015</v>
      </c>
      <c r="C522" s="1">
        <v>99019</v>
      </c>
      <c r="D522" t="s">
        <v>262</v>
      </c>
      <c r="E522" t="s">
        <v>36</v>
      </c>
      <c r="F522" s="8">
        <v>1174675</v>
      </c>
      <c r="G522" s="8">
        <v>28722365</v>
      </c>
      <c r="H522" s="5">
        <f t="shared" si="17"/>
        <v>29897040</v>
      </c>
      <c r="I522">
        <f>IFERROR(VLOOKUP(D522,'LEAID Match'!$A$2:$B$251,2,FALSE),"")</f>
        <v>4703180</v>
      </c>
    </row>
    <row r="523" spans="1:9" x14ac:dyDescent="0.2">
      <c r="A523">
        <f t="shared" si="16"/>
        <v>4703180</v>
      </c>
      <c r="B523" s="5">
        <v>2016</v>
      </c>
      <c r="C523" s="1">
        <v>99019</v>
      </c>
      <c r="D523" t="s">
        <v>262</v>
      </c>
      <c r="E523" t="s">
        <v>36</v>
      </c>
      <c r="F523" s="8">
        <v>2243099</v>
      </c>
      <c r="G523" s="8">
        <v>27085193</v>
      </c>
      <c r="H523" s="5">
        <f t="shared" si="17"/>
        <v>29328292</v>
      </c>
      <c r="I523">
        <f>IFERROR(VLOOKUP(D523,'LEAID Match'!$A$2:$B$251,2,FALSE),"")</f>
        <v>4703180</v>
      </c>
    </row>
    <row r="524" spans="1:9" x14ac:dyDescent="0.2">
      <c r="A524">
        <f t="shared" si="16"/>
        <v>4703180</v>
      </c>
      <c r="B524" s="5">
        <v>2017</v>
      </c>
      <c r="C524" s="1">
        <v>99019</v>
      </c>
      <c r="D524" t="s">
        <v>262</v>
      </c>
      <c r="E524" t="s">
        <v>262</v>
      </c>
      <c r="F524" s="8">
        <v>3222337</v>
      </c>
      <c r="G524" s="8">
        <v>26034290</v>
      </c>
      <c r="H524" s="5">
        <f t="shared" si="17"/>
        <v>29256627</v>
      </c>
      <c r="I524">
        <f>IFERROR(VLOOKUP(D524,'LEAID Match'!$A$2:$B$251,2,FALSE),"")</f>
        <v>4703180</v>
      </c>
    </row>
    <row r="525" spans="1:9" x14ac:dyDescent="0.2">
      <c r="A525">
        <f t="shared" si="16"/>
        <v>4703180</v>
      </c>
      <c r="B525" s="5">
        <v>2018</v>
      </c>
      <c r="C525" s="1">
        <v>99019</v>
      </c>
      <c r="D525" t="s">
        <v>262</v>
      </c>
      <c r="E525" t="s">
        <v>36</v>
      </c>
      <c r="F525" s="8">
        <v>4048842</v>
      </c>
      <c r="G525" s="8">
        <v>25370355</v>
      </c>
      <c r="H525" s="5">
        <f t="shared" si="17"/>
        <v>29419197</v>
      </c>
      <c r="I525">
        <f>IFERROR(VLOOKUP(D525,'LEAID Match'!$A$2:$B$251,2,FALSE),"")</f>
        <v>4703180</v>
      </c>
    </row>
    <row r="526" spans="1:9" x14ac:dyDescent="0.2">
      <c r="A526">
        <f t="shared" si="16"/>
        <v>4703180</v>
      </c>
      <c r="B526" s="5">
        <v>2019</v>
      </c>
      <c r="C526" s="1">
        <v>99019</v>
      </c>
      <c r="D526" t="s">
        <v>262</v>
      </c>
      <c r="E526" t="s">
        <v>262</v>
      </c>
      <c r="F526" s="8">
        <v>2185885</v>
      </c>
      <c r="G526" s="8">
        <v>26954693</v>
      </c>
      <c r="H526" s="5">
        <f t="shared" si="17"/>
        <v>29140578</v>
      </c>
      <c r="I526">
        <f>IFERROR(VLOOKUP(D526,'LEAID Match'!$A$2:$B$251,2,FALSE),"")</f>
        <v>4703180</v>
      </c>
    </row>
    <row r="527" spans="1:9" x14ac:dyDescent="0.2">
      <c r="A527">
        <f t="shared" si="16"/>
        <v>4703180</v>
      </c>
      <c r="B527" s="5">
        <v>2020</v>
      </c>
      <c r="C527" s="1">
        <v>99019</v>
      </c>
      <c r="D527" t="s">
        <v>262</v>
      </c>
      <c r="E527" t="s">
        <v>262</v>
      </c>
      <c r="F527" s="8">
        <v>2637096</v>
      </c>
      <c r="G527" s="8">
        <v>26305624</v>
      </c>
      <c r="H527" s="5">
        <f t="shared" si="17"/>
        <v>28942720</v>
      </c>
      <c r="I527">
        <f>IFERROR(VLOOKUP(D527,'LEAID Match'!$A$2:$B$251,2,FALSE),"")</f>
        <v>4703180</v>
      </c>
    </row>
    <row r="528" spans="1:9" x14ac:dyDescent="0.2">
      <c r="A528">
        <f t="shared" si="16"/>
        <v>4703180</v>
      </c>
      <c r="B528" s="5">
        <v>2021</v>
      </c>
      <c r="C528" s="1">
        <v>99019</v>
      </c>
      <c r="D528" t="s">
        <v>262</v>
      </c>
      <c r="E528" t="s">
        <v>262</v>
      </c>
      <c r="F528" s="8">
        <v>3020584</v>
      </c>
      <c r="G528" s="8">
        <v>25546548</v>
      </c>
      <c r="H528" s="5">
        <f t="shared" si="17"/>
        <v>28567132</v>
      </c>
      <c r="I528">
        <f>IFERROR(VLOOKUP(D528,'LEAID Match'!$A$2:$B$251,2,FALSE),"")</f>
        <v>4703180</v>
      </c>
    </row>
    <row r="529" spans="1:9" x14ac:dyDescent="0.2">
      <c r="A529">
        <f t="shared" si="16"/>
        <v>4703180</v>
      </c>
      <c r="B529" s="5">
        <v>2022</v>
      </c>
      <c r="C529" s="1">
        <v>99019</v>
      </c>
      <c r="D529" t="s">
        <v>262</v>
      </c>
      <c r="E529" t="s">
        <v>262</v>
      </c>
      <c r="F529" s="8">
        <v>3509800.96</v>
      </c>
      <c r="G529" s="8">
        <v>27221945.82</v>
      </c>
      <c r="H529" s="5">
        <f t="shared" si="17"/>
        <v>30731746.780000001</v>
      </c>
      <c r="I529">
        <f>IFERROR(VLOOKUP(D529,'LEAID Match'!$A$2:$B$251,2,FALSE),"")</f>
        <v>4703180</v>
      </c>
    </row>
    <row r="530" spans="1:9" x14ac:dyDescent="0.2">
      <c r="A530">
        <f t="shared" si="16"/>
        <v>4703180</v>
      </c>
      <c r="B530" s="5">
        <v>2023</v>
      </c>
      <c r="C530" s="1">
        <v>99019</v>
      </c>
      <c r="D530" t="s">
        <v>262</v>
      </c>
      <c r="E530" t="s">
        <v>262</v>
      </c>
      <c r="F530" s="8">
        <v>5666077.5499999998</v>
      </c>
      <c r="G530" s="8">
        <v>23020413.93</v>
      </c>
      <c r="H530" s="5">
        <f t="shared" si="17"/>
        <v>28686491.48</v>
      </c>
      <c r="I530">
        <f>IFERROR(VLOOKUP(D530,'LEAID Match'!$A$2:$B$251,2,FALSE),"")</f>
        <v>4703180</v>
      </c>
    </row>
    <row r="531" spans="1:9" x14ac:dyDescent="0.2">
      <c r="A531">
        <f t="shared" si="16"/>
        <v>4700930</v>
      </c>
      <c r="B531" s="5">
        <v>2015</v>
      </c>
      <c r="C531" s="1">
        <v>99172</v>
      </c>
      <c r="D531" t="s">
        <v>263</v>
      </c>
      <c r="E531" t="s">
        <v>37</v>
      </c>
      <c r="F531" s="8">
        <v>8515</v>
      </c>
      <c r="G531" s="8">
        <v>246087</v>
      </c>
      <c r="H531" s="5">
        <f t="shared" si="17"/>
        <v>254602</v>
      </c>
      <c r="I531">
        <f>IFERROR(VLOOKUP(D531,'LEAID Match'!$A$2:$B$251,2,FALSE),"")</f>
        <v>4700930</v>
      </c>
    </row>
    <row r="532" spans="1:9" x14ac:dyDescent="0.2">
      <c r="A532">
        <f t="shared" si="16"/>
        <v>4700930</v>
      </c>
      <c r="B532" s="5">
        <v>2016</v>
      </c>
      <c r="C532" s="1">
        <v>99172</v>
      </c>
      <c r="D532" t="s">
        <v>263</v>
      </c>
      <c r="E532" t="s">
        <v>37</v>
      </c>
      <c r="F532" s="8">
        <v>12279</v>
      </c>
      <c r="G532" s="8">
        <v>245153</v>
      </c>
      <c r="H532" s="5">
        <f t="shared" si="17"/>
        <v>257432</v>
      </c>
      <c r="I532">
        <f>IFERROR(VLOOKUP(D532,'LEAID Match'!$A$2:$B$251,2,FALSE),"")</f>
        <v>4700930</v>
      </c>
    </row>
    <row r="533" spans="1:9" x14ac:dyDescent="0.2">
      <c r="A533">
        <f t="shared" si="16"/>
        <v>4700930</v>
      </c>
      <c r="B533" s="5">
        <v>2017</v>
      </c>
      <c r="C533" s="1">
        <v>99172</v>
      </c>
      <c r="D533" t="s">
        <v>263</v>
      </c>
      <c r="E533" t="s">
        <v>263</v>
      </c>
      <c r="F533" s="8">
        <v>18927</v>
      </c>
      <c r="G533" s="8">
        <v>244589</v>
      </c>
      <c r="H533" s="5">
        <f t="shared" si="17"/>
        <v>263516</v>
      </c>
      <c r="I533">
        <f>IFERROR(VLOOKUP(D533,'LEAID Match'!$A$2:$B$251,2,FALSE),"")</f>
        <v>4700930</v>
      </c>
    </row>
    <row r="534" spans="1:9" x14ac:dyDescent="0.2">
      <c r="A534">
        <f t="shared" si="16"/>
        <v>4700930</v>
      </c>
      <c r="B534" s="5">
        <v>2018</v>
      </c>
      <c r="C534" s="1">
        <v>99172</v>
      </c>
      <c r="D534" t="s">
        <v>263</v>
      </c>
      <c r="E534" t="s">
        <v>37</v>
      </c>
      <c r="F534" s="8">
        <v>20827</v>
      </c>
      <c r="G534" s="8">
        <v>239259</v>
      </c>
      <c r="H534" s="5">
        <f t="shared" si="17"/>
        <v>260086</v>
      </c>
      <c r="I534">
        <f>IFERROR(VLOOKUP(D534,'LEAID Match'!$A$2:$B$251,2,FALSE),"")</f>
        <v>4700930</v>
      </c>
    </row>
    <row r="535" spans="1:9" x14ac:dyDescent="0.2">
      <c r="A535">
        <f t="shared" si="16"/>
        <v>4700930</v>
      </c>
      <c r="B535" s="5">
        <v>2019</v>
      </c>
      <c r="C535" s="1">
        <v>99172</v>
      </c>
      <c r="D535" t="s">
        <v>263</v>
      </c>
      <c r="E535" t="s">
        <v>263</v>
      </c>
      <c r="F535" s="8">
        <v>9968</v>
      </c>
      <c r="G535" s="8">
        <v>292545</v>
      </c>
      <c r="H535" s="5">
        <f t="shared" si="17"/>
        <v>302513</v>
      </c>
      <c r="I535">
        <f>IFERROR(VLOOKUP(D535,'LEAID Match'!$A$2:$B$251,2,FALSE),"")</f>
        <v>4700930</v>
      </c>
    </row>
    <row r="536" spans="1:9" x14ac:dyDescent="0.2">
      <c r="A536">
        <f t="shared" si="16"/>
        <v>4700930</v>
      </c>
      <c r="B536" s="5">
        <v>2020</v>
      </c>
      <c r="C536" s="1">
        <v>99172</v>
      </c>
      <c r="D536" t="s">
        <v>263</v>
      </c>
      <c r="E536" t="s">
        <v>263</v>
      </c>
      <c r="F536" s="8">
        <v>14067</v>
      </c>
      <c r="G536" s="8">
        <v>288408</v>
      </c>
      <c r="H536" s="5">
        <f t="shared" si="17"/>
        <v>302475</v>
      </c>
      <c r="I536">
        <f>IFERROR(VLOOKUP(D536,'LEAID Match'!$A$2:$B$251,2,FALSE),"")</f>
        <v>4700930</v>
      </c>
    </row>
    <row r="537" spans="1:9" x14ac:dyDescent="0.2">
      <c r="A537">
        <f t="shared" si="16"/>
        <v>4700930</v>
      </c>
      <c r="B537" s="5">
        <v>2021</v>
      </c>
      <c r="C537" s="1">
        <v>99172</v>
      </c>
      <c r="D537" t="s">
        <v>263</v>
      </c>
      <c r="E537" t="s">
        <v>263</v>
      </c>
      <c r="F537" s="8">
        <v>16437</v>
      </c>
      <c r="G537" s="8">
        <v>283475</v>
      </c>
      <c r="H537" s="5">
        <f t="shared" si="17"/>
        <v>299912</v>
      </c>
      <c r="I537">
        <f>IFERROR(VLOOKUP(D537,'LEAID Match'!$A$2:$B$251,2,FALSE),"")</f>
        <v>4700930</v>
      </c>
    </row>
    <row r="538" spans="1:9" x14ac:dyDescent="0.2">
      <c r="A538">
        <f t="shared" si="16"/>
        <v>4700930</v>
      </c>
      <c r="B538" s="5">
        <v>2022</v>
      </c>
      <c r="C538" s="1">
        <v>99172</v>
      </c>
      <c r="D538" t="s">
        <v>263</v>
      </c>
      <c r="E538" t="s">
        <v>263</v>
      </c>
      <c r="F538" s="8">
        <v>24365.279999999999</v>
      </c>
      <c r="G538" s="8">
        <v>259435.19</v>
      </c>
      <c r="H538" s="5">
        <f t="shared" si="17"/>
        <v>283800.46999999997</v>
      </c>
      <c r="I538">
        <f>IFERROR(VLOOKUP(D538,'LEAID Match'!$A$2:$B$251,2,FALSE),"")</f>
        <v>4700930</v>
      </c>
    </row>
    <row r="539" spans="1:9" x14ac:dyDescent="0.2">
      <c r="A539">
        <f t="shared" si="16"/>
        <v>4700930</v>
      </c>
      <c r="B539" s="5">
        <v>2023</v>
      </c>
      <c r="C539" s="1">
        <v>99172</v>
      </c>
      <c r="D539" t="s">
        <v>263</v>
      </c>
      <c r="E539" t="s">
        <v>263</v>
      </c>
      <c r="F539" s="8">
        <v>41039.160000000003</v>
      </c>
      <c r="G539" s="8">
        <v>215443.68</v>
      </c>
      <c r="H539" s="5">
        <f t="shared" si="17"/>
        <v>256482.84</v>
      </c>
      <c r="I539">
        <f>IFERROR(VLOOKUP(D539,'LEAID Match'!$A$2:$B$251,2,FALSE),"")</f>
        <v>4700930</v>
      </c>
    </row>
    <row r="540" spans="1:9" x14ac:dyDescent="0.2">
      <c r="A540">
        <f t="shared" si="16"/>
        <v>4700960</v>
      </c>
      <c r="B540" s="5">
        <v>2015</v>
      </c>
      <c r="C540" s="1">
        <v>99020</v>
      </c>
      <c r="D540" t="s">
        <v>264</v>
      </c>
      <c r="E540" t="s">
        <v>38</v>
      </c>
      <c r="F540" s="8">
        <v>8699</v>
      </c>
      <c r="G540" s="8">
        <v>539183</v>
      </c>
      <c r="H540" s="5">
        <f t="shared" si="17"/>
        <v>547882</v>
      </c>
      <c r="I540">
        <f>IFERROR(VLOOKUP(D540,'LEAID Match'!$A$2:$B$251,2,FALSE),"")</f>
        <v>4700960</v>
      </c>
    </row>
    <row r="541" spans="1:9" x14ac:dyDescent="0.2">
      <c r="A541">
        <f t="shared" si="16"/>
        <v>4700960</v>
      </c>
      <c r="B541" s="5">
        <v>2016</v>
      </c>
      <c r="C541" s="1">
        <v>99020</v>
      </c>
      <c r="D541" t="s">
        <v>264</v>
      </c>
      <c r="E541" t="s">
        <v>38</v>
      </c>
      <c r="F541" s="8">
        <v>18664</v>
      </c>
      <c r="G541" s="8">
        <v>574771</v>
      </c>
      <c r="H541" s="5">
        <f t="shared" si="17"/>
        <v>593435</v>
      </c>
      <c r="I541">
        <f>IFERROR(VLOOKUP(D541,'LEAID Match'!$A$2:$B$251,2,FALSE),"")</f>
        <v>4700960</v>
      </c>
    </row>
    <row r="542" spans="1:9" x14ac:dyDescent="0.2">
      <c r="A542">
        <f t="shared" si="16"/>
        <v>4700960</v>
      </c>
      <c r="B542" s="5">
        <v>2017</v>
      </c>
      <c r="C542" s="1">
        <v>99020</v>
      </c>
      <c r="D542" t="s">
        <v>264</v>
      </c>
      <c r="E542" t="s">
        <v>264</v>
      </c>
      <c r="F542" s="8">
        <v>20940</v>
      </c>
      <c r="G542" s="8">
        <v>577875</v>
      </c>
      <c r="H542" s="5">
        <f t="shared" si="17"/>
        <v>598815</v>
      </c>
      <c r="I542">
        <f>IFERROR(VLOOKUP(D542,'LEAID Match'!$A$2:$B$251,2,FALSE),"")</f>
        <v>4700960</v>
      </c>
    </row>
    <row r="543" spans="1:9" x14ac:dyDescent="0.2">
      <c r="A543">
        <f t="shared" si="16"/>
        <v>4700960</v>
      </c>
      <c r="B543" s="5">
        <v>2018</v>
      </c>
      <c r="C543" s="1">
        <v>99020</v>
      </c>
      <c r="D543" t="s">
        <v>264</v>
      </c>
      <c r="E543" t="s">
        <v>38</v>
      </c>
      <c r="F543" s="8">
        <v>19274</v>
      </c>
      <c r="G543" s="8">
        <v>587137</v>
      </c>
      <c r="H543" s="5">
        <f t="shared" si="17"/>
        <v>606411</v>
      </c>
      <c r="I543">
        <f>IFERROR(VLOOKUP(D543,'LEAID Match'!$A$2:$B$251,2,FALSE),"")</f>
        <v>4700960</v>
      </c>
    </row>
    <row r="544" spans="1:9" x14ac:dyDescent="0.2">
      <c r="A544">
        <f t="shared" si="16"/>
        <v>4700960</v>
      </c>
      <c r="B544" s="5">
        <v>2019</v>
      </c>
      <c r="C544" s="1">
        <v>99020</v>
      </c>
      <c r="D544" t="s">
        <v>264</v>
      </c>
      <c r="E544" t="s">
        <v>264</v>
      </c>
      <c r="F544" s="8">
        <v>15939</v>
      </c>
      <c r="G544" s="8">
        <v>647136</v>
      </c>
      <c r="H544" s="5">
        <f t="shared" si="17"/>
        <v>663075</v>
      </c>
      <c r="I544">
        <f>IFERROR(VLOOKUP(D544,'LEAID Match'!$A$2:$B$251,2,FALSE),"")</f>
        <v>4700960</v>
      </c>
    </row>
    <row r="545" spans="1:9" x14ac:dyDescent="0.2">
      <c r="A545">
        <f t="shared" si="16"/>
        <v>4700960</v>
      </c>
      <c r="B545" s="5">
        <v>2020</v>
      </c>
      <c r="C545" s="1">
        <v>99020</v>
      </c>
      <c r="D545" t="s">
        <v>264</v>
      </c>
      <c r="E545" t="s">
        <v>264</v>
      </c>
      <c r="F545" s="8">
        <v>17012</v>
      </c>
      <c r="G545" s="8">
        <v>678601</v>
      </c>
      <c r="H545" s="5">
        <f t="shared" si="17"/>
        <v>695613</v>
      </c>
      <c r="I545">
        <f>IFERROR(VLOOKUP(D545,'LEAID Match'!$A$2:$B$251,2,FALSE),"")</f>
        <v>4700960</v>
      </c>
    </row>
    <row r="546" spans="1:9" x14ac:dyDescent="0.2">
      <c r="A546">
        <f t="shared" si="16"/>
        <v>4700960</v>
      </c>
      <c r="B546" s="5">
        <v>2021</v>
      </c>
      <c r="C546" s="1">
        <v>99020</v>
      </c>
      <c r="D546" t="s">
        <v>264</v>
      </c>
      <c r="E546" t="s">
        <v>264</v>
      </c>
      <c r="F546" s="8">
        <v>18939</v>
      </c>
      <c r="G546" s="8">
        <v>673687</v>
      </c>
      <c r="H546" s="5">
        <f t="shared" si="17"/>
        <v>692626</v>
      </c>
      <c r="I546">
        <f>IFERROR(VLOOKUP(D546,'LEAID Match'!$A$2:$B$251,2,FALSE),"")</f>
        <v>4700960</v>
      </c>
    </row>
    <row r="547" spans="1:9" x14ac:dyDescent="0.2">
      <c r="A547">
        <f t="shared" si="16"/>
        <v>4700960</v>
      </c>
      <c r="B547" s="5">
        <v>2022</v>
      </c>
      <c r="C547" s="1">
        <v>99020</v>
      </c>
      <c r="D547" t="s">
        <v>264</v>
      </c>
      <c r="E547" t="s">
        <v>264</v>
      </c>
      <c r="F547" s="8">
        <v>24700.14</v>
      </c>
      <c r="G547" s="8">
        <v>690580.81999999902</v>
      </c>
      <c r="H547" s="5">
        <f t="shared" si="17"/>
        <v>715280.95999999903</v>
      </c>
      <c r="I547">
        <f>IFERROR(VLOOKUP(D547,'LEAID Match'!$A$2:$B$251,2,FALSE),"")</f>
        <v>4700960</v>
      </c>
    </row>
    <row r="548" spans="1:9" x14ac:dyDescent="0.2">
      <c r="A548">
        <f t="shared" si="16"/>
        <v>4700960</v>
      </c>
      <c r="B548" s="5">
        <v>2023</v>
      </c>
      <c r="C548" s="1">
        <v>99020</v>
      </c>
      <c r="D548" t="s">
        <v>264</v>
      </c>
      <c r="E548" t="s">
        <v>264</v>
      </c>
      <c r="F548" s="8">
        <v>50669.01</v>
      </c>
      <c r="G548" s="8">
        <v>553128.91</v>
      </c>
      <c r="H548" s="5">
        <f t="shared" si="17"/>
        <v>603797.92000000004</v>
      </c>
      <c r="I548">
        <f>IFERROR(VLOOKUP(D548,'LEAID Match'!$A$2:$B$251,2,FALSE),"")</f>
        <v>4700960</v>
      </c>
    </row>
    <row r="549" spans="1:9" x14ac:dyDescent="0.2">
      <c r="A549">
        <f t="shared" si="16"/>
        <v>4700990</v>
      </c>
      <c r="B549" s="5">
        <v>2015</v>
      </c>
      <c r="C549" s="1">
        <v>99021</v>
      </c>
      <c r="D549" t="s">
        <v>265</v>
      </c>
      <c r="E549" t="s">
        <v>39</v>
      </c>
      <c r="F549" s="8">
        <v>27669</v>
      </c>
      <c r="G549" s="8">
        <v>968749</v>
      </c>
      <c r="H549" s="5">
        <f t="shared" si="17"/>
        <v>996418</v>
      </c>
      <c r="I549">
        <f>IFERROR(VLOOKUP(D549,'LEAID Match'!$A$2:$B$251,2,FALSE),"")</f>
        <v>4700990</v>
      </c>
    </row>
    <row r="550" spans="1:9" x14ac:dyDescent="0.2">
      <c r="A550">
        <f t="shared" si="16"/>
        <v>4700990</v>
      </c>
      <c r="B550" s="5">
        <v>2016</v>
      </c>
      <c r="C550" s="1">
        <v>99021</v>
      </c>
      <c r="D550" t="s">
        <v>265</v>
      </c>
      <c r="E550" t="s">
        <v>39</v>
      </c>
      <c r="F550" s="8">
        <v>43375</v>
      </c>
      <c r="G550" s="8">
        <v>926674</v>
      </c>
      <c r="H550" s="5">
        <f t="shared" si="17"/>
        <v>970049</v>
      </c>
      <c r="I550">
        <f>IFERROR(VLOOKUP(D550,'LEAID Match'!$A$2:$B$251,2,FALSE),"")</f>
        <v>4700990</v>
      </c>
    </row>
    <row r="551" spans="1:9" x14ac:dyDescent="0.2">
      <c r="A551">
        <f t="shared" si="16"/>
        <v>4700990</v>
      </c>
      <c r="B551" s="5">
        <v>2017</v>
      </c>
      <c r="C551" s="1">
        <v>99021</v>
      </c>
      <c r="D551" t="s">
        <v>265</v>
      </c>
      <c r="E551" t="s">
        <v>265</v>
      </c>
      <c r="F551" s="8">
        <v>51968</v>
      </c>
      <c r="G551" s="8">
        <v>922414</v>
      </c>
      <c r="H551" s="5">
        <f t="shared" si="17"/>
        <v>974382</v>
      </c>
      <c r="I551">
        <f>IFERROR(VLOOKUP(D551,'LEAID Match'!$A$2:$B$251,2,FALSE),"")</f>
        <v>4700990</v>
      </c>
    </row>
    <row r="552" spans="1:9" x14ac:dyDescent="0.2">
      <c r="A552">
        <f t="shared" si="16"/>
        <v>4700990</v>
      </c>
      <c r="B552" s="5">
        <v>2018</v>
      </c>
      <c r="C552" s="1">
        <v>99021</v>
      </c>
      <c r="D552" t="s">
        <v>265</v>
      </c>
      <c r="E552" t="s">
        <v>458</v>
      </c>
      <c r="F552" s="8">
        <v>72732</v>
      </c>
      <c r="G552" s="8">
        <v>892162</v>
      </c>
      <c r="H552" s="5">
        <f t="shared" si="17"/>
        <v>964894</v>
      </c>
      <c r="I552">
        <f>IFERROR(VLOOKUP(D552,'LEAID Match'!$A$2:$B$251,2,FALSE),"")</f>
        <v>4700990</v>
      </c>
    </row>
    <row r="553" spans="1:9" x14ac:dyDescent="0.2">
      <c r="A553">
        <f t="shared" si="16"/>
        <v>4700990</v>
      </c>
      <c r="B553" s="5">
        <v>2019</v>
      </c>
      <c r="C553" s="1">
        <v>99021</v>
      </c>
      <c r="D553" t="s">
        <v>265</v>
      </c>
      <c r="E553" t="s">
        <v>265</v>
      </c>
      <c r="F553" s="8">
        <v>47376</v>
      </c>
      <c r="G553" s="8">
        <v>973695</v>
      </c>
      <c r="H553" s="5">
        <f t="shared" si="17"/>
        <v>1021071</v>
      </c>
      <c r="I553">
        <f>IFERROR(VLOOKUP(D553,'LEAID Match'!$A$2:$B$251,2,FALSE),"")</f>
        <v>4700990</v>
      </c>
    </row>
    <row r="554" spans="1:9" x14ac:dyDescent="0.2">
      <c r="A554">
        <f t="shared" si="16"/>
        <v>4700990</v>
      </c>
      <c r="B554" s="5">
        <v>2020</v>
      </c>
      <c r="C554" s="1">
        <v>99021</v>
      </c>
      <c r="D554" t="s">
        <v>265</v>
      </c>
      <c r="E554" t="s">
        <v>265</v>
      </c>
      <c r="F554" s="8">
        <v>62653</v>
      </c>
      <c r="G554" s="8">
        <v>981135</v>
      </c>
      <c r="H554" s="5">
        <f t="shared" si="17"/>
        <v>1043788</v>
      </c>
      <c r="I554">
        <f>IFERROR(VLOOKUP(D554,'LEAID Match'!$A$2:$B$251,2,FALSE),"")</f>
        <v>4700990</v>
      </c>
    </row>
    <row r="555" spans="1:9" x14ac:dyDescent="0.2">
      <c r="A555">
        <f t="shared" si="16"/>
        <v>4700990</v>
      </c>
      <c r="B555" s="5">
        <v>2021</v>
      </c>
      <c r="C555" s="1">
        <v>99021</v>
      </c>
      <c r="D555" t="s">
        <v>265</v>
      </c>
      <c r="E555" t="s">
        <v>265</v>
      </c>
      <c r="F555" s="8">
        <v>69788</v>
      </c>
      <c r="G555" s="8">
        <v>957826</v>
      </c>
      <c r="H555" s="5">
        <f t="shared" si="17"/>
        <v>1027614</v>
      </c>
      <c r="I555">
        <f>IFERROR(VLOOKUP(D555,'LEAID Match'!$A$2:$B$251,2,FALSE),"")</f>
        <v>4700990</v>
      </c>
    </row>
    <row r="556" spans="1:9" x14ac:dyDescent="0.2">
      <c r="A556">
        <f t="shared" si="16"/>
        <v>4700990</v>
      </c>
      <c r="B556" s="5">
        <v>2022</v>
      </c>
      <c r="C556" s="1">
        <v>99021</v>
      </c>
      <c r="D556" t="s">
        <v>265</v>
      </c>
      <c r="E556" t="s">
        <v>265</v>
      </c>
      <c r="F556" s="8">
        <v>87561.649999999907</v>
      </c>
      <c r="G556" s="8">
        <v>1006418.98</v>
      </c>
      <c r="H556" s="5">
        <f t="shared" si="17"/>
        <v>1093980.6299999999</v>
      </c>
      <c r="I556">
        <f>IFERROR(VLOOKUP(D556,'LEAID Match'!$A$2:$B$251,2,FALSE),"")</f>
        <v>4700990</v>
      </c>
    </row>
    <row r="557" spans="1:9" x14ac:dyDescent="0.2">
      <c r="A557">
        <f t="shared" si="16"/>
        <v>4700990</v>
      </c>
      <c r="B557" s="5">
        <v>2023</v>
      </c>
      <c r="C557" s="1">
        <v>99021</v>
      </c>
      <c r="D557" t="s">
        <v>265</v>
      </c>
      <c r="E557" t="s">
        <v>265</v>
      </c>
      <c r="F557" s="8">
        <v>148984.51</v>
      </c>
      <c r="G557" s="8">
        <v>858102.21</v>
      </c>
      <c r="H557" s="5">
        <f t="shared" si="17"/>
        <v>1007086.72</v>
      </c>
      <c r="I557">
        <f>IFERROR(VLOOKUP(D557,'LEAID Match'!$A$2:$B$251,2,FALSE),"")</f>
        <v>4700990</v>
      </c>
    </row>
    <row r="558" spans="1:9" x14ac:dyDescent="0.2">
      <c r="A558">
        <f t="shared" si="16"/>
        <v>4701020</v>
      </c>
      <c r="B558" s="5">
        <v>2015</v>
      </c>
      <c r="C558" s="1">
        <v>99022</v>
      </c>
      <c r="D558" t="s">
        <v>266</v>
      </c>
      <c r="E558" t="s">
        <v>562</v>
      </c>
      <c r="F558" s="8">
        <v>53134</v>
      </c>
      <c r="G558" s="8">
        <v>2658821</v>
      </c>
      <c r="H558" s="5">
        <f t="shared" si="17"/>
        <v>2711955</v>
      </c>
      <c r="I558">
        <f>IFERROR(VLOOKUP(D558,'LEAID Match'!$A$2:$B$251,2,FALSE),"")</f>
        <v>4701020</v>
      </c>
    </row>
    <row r="559" spans="1:9" x14ac:dyDescent="0.2">
      <c r="A559">
        <f t="shared" si="16"/>
        <v>4701020</v>
      </c>
      <c r="B559" s="5">
        <v>2016</v>
      </c>
      <c r="C559" s="1">
        <v>99022</v>
      </c>
      <c r="D559" t="s">
        <v>266</v>
      </c>
      <c r="E559" t="s">
        <v>40</v>
      </c>
      <c r="F559" s="8">
        <v>98050</v>
      </c>
      <c r="G559" s="8">
        <v>2614783</v>
      </c>
      <c r="H559" s="5">
        <f t="shared" si="17"/>
        <v>2712833</v>
      </c>
      <c r="I559">
        <f>IFERROR(VLOOKUP(D559,'LEAID Match'!$A$2:$B$251,2,FALSE),"")</f>
        <v>4701020</v>
      </c>
    </row>
    <row r="560" spans="1:9" x14ac:dyDescent="0.2">
      <c r="A560">
        <f t="shared" si="16"/>
        <v>4701020</v>
      </c>
      <c r="B560" s="5">
        <v>2017</v>
      </c>
      <c r="C560" s="1">
        <v>99022</v>
      </c>
      <c r="D560" t="s">
        <v>266</v>
      </c>
      <c r="E560" t="s">
        <v>266</v>
      </c>
      <c r="F560" s="8">
        <v>165498</v>
      </c>
      <c r="G560" s="8">
        <v>2505563</v>
      </c>
      <c r="H560" s="5">
        <f t="shared" si="17"/>
        <v>2671061</v>
      </c>
      <c r="I560">
        <f>IFERROR(VLOOKUP(D560,'LEAID Match'!$A$2:$B$251,2,FALSE),"")</f>
        <v>4701020</v>
      </c>
    </row>
    <row r="561" spans="1:9" x14ac:dyDescent="0.2">
      <c r="A561">
        <f t="shared" si="16"/>
        <v>4701020</v>
      </c>
      <c r="B561" s="5">
        <v>2018</v>
      </c>
      <c r="C561" s="1">
        <v>99022</v>
      </c>
      <c r="D561" t="s">
        <v>266</v>
      </c>
      <c r="E561" t="s">
        <v>40</v>
      </c>
      <c r="F561" s="8">
        <v>228897</v>
      </c>
      <c r="G561" s="8">
        <v>2572480</v>
      </c>
      <c r="H561" s="5">
        <f t="shared" si="17"/>
        <v>2801377</v>
      </c>
      <c r="I561">
        <f>IFERROR(VLOOKUP(D561,'LEAID Match'!$A$2:$B$251,2,FALSE),"")</f>
        <v>4701020</v>
      </c>
    </row>
    <row r="562" spans="1:9" x14ac:dyDescent="0.2">
      <c r="A562">
        <f t="shared" si="16"/>
        <v>4701020</v>
      </c>
      <c r="B562" s="5">
        <v>2019</v>
      </c>
      <c r="C562" s="1">
        <v>99022</v>
      </c>
      <c r="D562" t="s">
        <v>266</v>
      </c>
      <c r="E562" t="s">
        <v>266</v>
      </c>
      <c r="F562" s="8">
        <v>144542</v>
      </c>
      <c r="G562" s="8">
        <v>2872343</v>
      </c>
      <c r="H562" s="5">
        <f t="shared" si="17"/>
        <v>3016885</v>
      </c>
      <c r="I562">
        <f>IFERROR(VLOOKUP(D562,'LEAID Match'!$A$2:$B$251,2,FALSE),"")</f>
        <v>4701020</v>
      </c>
    </row>
    <row r="563" spans="1:9" x14ac:dyDescent="0.2">
      <c r="A563">
        <f t="shared" si="16"/>
        <v>4701020</v>
      </c>
      <c r="B563" s="5">
        <v>2020</v>
      </c>
      <c r="C563" s="1">
        <v>99022</v>
      </c>
      <c r="D563" t="s">
        <v>266</v>
      </c>
      <c r="E563" t="s">
        <v>266</v>
      </c>
      <c r="F563" s="8">
        <v>185273</v>
      </c>
      <c r="G563" s="8">
        <v>2863398</v>
      </c>
      <c r="H563" s="5">
        <f t="shared" si="17"/>
        <v>3048671</v>
      </c>
      <c r="I563">
        <f>IFERROR(VLOOKUP(D563,'LEAID Match'!$A$2:$B$251,2,FALSE),"")</f>
        <v>4701020</v>
      </c>
    </row>
    <row r="564" spans="1:9" x14ac:dyDescent="0.2">
      <c r="A564">
        <f t="shared" si="16"/>
        <v>4701020</v>
      </c>
      <c r="B564" s="5">
        <v>2021</v>
      </c>
      <c r="C564" s="1">
        <v>99022</v>
      </c>
      <c r="D564" t="s">
        <v>266</v>
      </c>
      <c r="E564" t="s">
        <v>266</v>
      </c>
      <c r="F564" s="8">
        <v>210603</v>
      </c>
      <c r="G564" s="8">
        <v>2654288</v>
      </c>
      <c r="H564" s="5">
        <f t="shared" si="17"/>
        <v>2864891</v>
      </c>
      <c r="I564">
        <f>IFERROR(VLOOKUP(D564,'LEAID Match'!$A$2:$B$251,2,FALSE),"")</f>
        <v>4701020</v>
      </c>
    </row>
    <row r="565" spans="1:9" x14ac:dyDescent="0.2">
      <c r="A565">
        <f t="shared" si="16"/>
        <v>4701020</v>
      </c>
      <c r="B565" s="5">
        <v>2022</v>
      </c>
      <c r="C565" s="1">
        <v>99022</v>
      </c>
      <c r="D565" t="s">
        <v>266</v>
      </c>
      <c r="E565" t="s">
        <v>266</v>
      </c>
      <c r="F565" s="8">
        <v>244594.59</v>
      </c>
      <c r="G565" s="8">
        <v>2686376.34</v>
      </c>
      <c r="H565" s="5">
        <f t="shared" si="17"/>
        <v>2930970.9299999997</v>
      </c>
      <c r="I565">
        <f>IFERROR(VLOOKUP(D565,'LEAID Match'!$A$2:$B$251,2,FALSE),"")</f>
        <v>4701020</v>
      </c>
    </row>
    <row r="566" spans="1:9" x14ac:dyDescent="0.2">
      <c r="A566">
        <f t="shared" si="16"/>
        <v>4701020</v>
      </c>
      <c r="B566" s="5">
        <v>2023</v>
      </c>
      <c r="C566" s="1">
        <v>99022</v>
      </c>
      <c r="D566" t="s">
        <v>266</v>
      </c>
      <c r="E566" t="s">
        <v>266</v>
      </c>
      <c r="F566" s="8">
        <v>419978.76</v>
      </c>
      <c r="G566" s="8">
        <v>2233473.13</v>
      </c>
      <c r="H566" s="5">
        <f t="shared" si="17"/>
        <v>2653451.8899999997</v>
      </c>
      <c r="I566">
        <f>IFERROR(VLOOKUP(D566,'LEAID Match'!$A$2:$B$251,2,FALSE),"")</f>
        <v>4701020</v>
      </c>
    </row>
    <row r="567" spans="1:9" x14ac:dyDescent="0.2">
      <c r="A567">
        <f t="shared" si="16"/>
        <v>4701050</v>
      </c>
      <c r="B567" s="5">
        <v>2015</v>
      </c>
      <c r="C567" s="1">
        <v>99023</v>
      </c>
      <c r="D567" t="s">
        <v>267</v>
      </c>
      <c r="E567" t="s">
        <v>41</v>
      </c>
      <c r="F567" s="8">
        <v>18815</v>
      </c>
      <c r="G567" s="8">
        <v>1104333</v>
      </c>
      <c r="H567" s="5">
        <f t="shared" si="17"/>
        <v>1123148</v>
      </c>
      <c r="I567">
        <f>IFERROR(VLOOKUP(D567,'LEAID Match'!$A$2:$B$251,2,FALSE),"")</f>
        <v>4701050</v>
      </c>
    </row>
    <row r="568" spans="1:9" x14ac:dyDescent="0.2">
      <c r="A568">
        <f t="shared" si="16"/>
        <v>4701050</v>
      </c>
      <c r="B568" s="5">
        <v>2016</v>
      </c>
      <c r="C568" s="1">
        <v>99023</v>
      </c>
      <c r="D568" t="s">
        <v>267</v>
      </c>
      <c r="E568" t="s">
        <v>41</v>
      </c>
      <c r="F568" s="8">
        <v>37639</v>
      </c>
      <c r="G568" s="8">
        <v>1116078</v>
      </c>
      <c r="H568" s="5">
        <f t="shared" si="17"/>
        <v>1153717</v>
      </c>
      <c r="I568">
        <f>IFERROR(VLOOKUP(D568,'LEAID Match'!$A$2:$B$251,2,FALSE),"")</f>
        <v>4701050</v>
      </c>
    </row>
    <row r="569" spans="1:9" x14ac:dyDescent="0.2">
      <c r="A569">
        <f t="shared" si="16"/>
        <v>4701050</v>
      </c>
      <c r="B569" s="5">
        <v>2017</v>
      </c>
      <c r="C569" s="1">
        <v>99023</v>
      </c>
      <c r="D569" t="s">
        <v>267</v>
      </c>
      <c r="E569" t="s">
        <v>267</v>
      </c>
      <c r="F569" s="8">
        <v>53444</v>
      </c>
      <c r="G569" s="8">
        <v>1161749</v>
      </c>
      <c r="H569" s="5">
        <f t="shared" si="17"/>
        <v>1215193</v>
      </c>
      <c r="I569">
        <f>IFERROR(VLOOKUP(D569,'LEAID Match'!$A$2:$B$251,2,FALSE),"")</f>
        <v>4701050</v>
      </c>
    </row>
    <row r="570" spans="1:9" x14ac:dyDescent="0.2">
      <c r="A570">
        <f t="shared" si="16"/>
        <v>4701050</v>
      </c>
      <c r="B570" s="5">
        <v>2018</v>
      </c>
      <c r="C570" s="1">
        <v>99023</v>
      </c>
      <c r="D570" t="s">
        <v>267</v>
      </c>
      <c r="E570" t="s">
        <v>41</v>
      </c>
      <c r="F570" s="8">
        <v>75757</v>
      </c>
      <c r="G570" s="8">
        <v>1184075</v>
      </c>
      <c r="H570" s="5">
        <f t="shared" si="17"/>
        <v>1259832</v>
      </c>
      <c r="I570">
        <f>IFERROR(VLOOKUP(D570,'LEAID Match'!$A$2:$B$251,2,FALSE),"")</f>
        <v>4701050</v>
      </c>
    </row>
    <row r="571" spans="1:9" x14ac:dyDescent="0.2">
      <c r="A571">
        <f t="shared" si="16"/>
        <v>4701050</v>
      </c>
      <c r="B571" s="5">
        <v>2019</v>
      </c>
      <c r="C571" s="1">
        <v>99023</v>
      </c>
      <c r="D571" t="s">
        <v>267</v>
      </c>
      <c r="E571" t="s">
        <v>267</v>
      </c>
      <c r="F571" s="8">
        <v>45267</v>
      </c>
      <c r="G571" s="8">
        <v>1349437</v>
      </c>
      <c r="H571" s="5">
        <f t="shared" si="17"/>
        <v>1394704</v>
      </c>
      <c r="I571">
        <f>IFERROR(VLOOKUP(D571,'LEAID Match'!$A$2:$B$251,2,FALSE),"")</f>
        <v>4701050</v>
      </c>
    </row>
    <row r="572" spans="1:9" x14ac:dyDescent="0.2">
      <c r="A572">
        <f t="shared" si="16"/>
        <v>4701050</v>
      </c>
      <c r="B572" s="5">
        <v>2020</v>
      </c>
      <c r="C572" s="1">
        <v>99023</v>
      </c>
      <c r="D572" t="s">
        <v>267</v>
      </c>
      <c r="E572" t="s">
        <v>267</v>
      </c>
      <c r="F572" s="8">
        <v>60885</v>
      </c>
      <c r="G572" s="8">
        <v>1351672</v>
      </c>
      <c r="H572" s="5">
        <f t="shared" si="17"/>
        <v>1412557</v>
      </c>
      <c r="I572">
        <f>IFERROR(VLOOKUP(D572,'LEAID Match'!$A$2:$B$251,2,FALSE),"")</f>
        <v>4701050</v>
      </c>
    </row>
    <row r="573" spans="1:9" x14ac:dyDescent="0.2">
      <c r="A573">
        <f t="shared" si="16"/>
        <v>4701050</v>
      </c>
      <c r="B573" s="5">
        <v>2021</v>
      </c>
      <c r="C573" s="1">
        <v>99023</v>
      </c>
      <c r="D573" t="s">
        <v>267</v>
      </c>
      <c r="E573" t="s">
        <v>267</v>
      </c>
      <c r="F573" s="8">
        <v>62084</v>
      </c>
      <c r="G573" s="8">
        <v>1125813</v>
      </c>
      <c r="H573" s="5">
        <f t="shared" si="17"/>
        <v>1187897</v>
      </c>
      <c r="I573">
        <f>IFERROR(VLOOKUP(D573,'LEAID Match'!$A$2:$B$251,2,FALSE),"")</f>
        <v>4701050</v>
      </c>
    </row>
    <row r="574" spans="1:9" x14ac:dyDescent="0.2">
      <c r="A574">
        <f t="shared" si="16"/>
        <v>4701050</v>
      </c>
      <c r="B574" s="5">
        <v>2022</v>
      </c>
      <c r="C574" s="1">
        <v>99023</v>
      </c>
      <c r="D574" t="s">
        <v>267</v>
      </c>
      <c r="E574" t="s">
        <v>267</v>
      </c>
      <c r="F574" s="8">
        <v>92239.34</v>
      </c>
      <c r="G574" s="8">
        <v>1517990.7</v>
      </c>
      <c r="H574" s="5">
        <f t="shared" si="17"/>
        <v>1610230.04</v>
      </c>
      <c r="I574">
        <f>IFERROR(VLOOKUP(D574,'LEAID Match'!$A$2:$B$251,2,FALSE),"")</f>
        <v>4701050</v>
      </c>
    </row>
    <row r="575" spans="1:9" x14ac:dyDescent="0.2">
      <c r="A575">
        <f t="shared" si="16"/>
        <v>4701050</v>
      </c>
      <c r="B575" s="5">
        <v>2023</v>
      </c>
      <c r="C575" s="1">
        <v>99023</v>
      </c>
      <c r="D575" t="s">
        <v>267</v>
      </c>
      <c r="E575" t="s">
        <v>267</v>
      </c>
      <c r="F575" s="8">
        <v>132303.39000000001</v>
      </c>
      <c r="G575" s="8">
        <v>1128904.6200000001</v>
      </c>
      <c r="H575" s="5">
        <f t="shared" si="17"/>
        <v>1261208.0100000002</v>
      </c>
      <c r="I575">
        <f>IFERROR(VLOOKUP(D575,'LEAID Match'!$A$2:$B$251,2,FALSE),"")</f>
        <v>4701050</v>
      </c>
    </row>
    <row r="576" spans="1:9" x14ac:dyDescent="0.2">
      <c r="A576">
        <f t="shared" si="16"/>
        <v>4701080</v>
      </c>
      <c r="B576" s="5">
        <v>2015</v>
      </c>
      <c r="C576" s="1">
        <v>99123</v>
      </c>
      <c r="D576" t="s">
        <v>268</v>
      </c>
      <c r="E576" t="s">
        <v>42</v>
      </c>
      <c r="F576" s="8">
        <v>20634</v>
      </c>
      <c r="G576" s="8">
        <v>990327</v>
      </c>
      <c r="H576" s="5">
        <f t="shared" si="17"/>
        <v>1010961</v>
      </c>
      <c r="I576">
        <f>IFERROR(VLOOKUP(D576,'LEAID Match'!$A$2:$B$251,2,FALSE),"")</f>
        <v>4701080</v>
      </c>
    </row>
    <row r="577" spans="1:9" x14ac:dyDescent="0.2">
      <c r="A577">
        <f t="shared" si="16"/>
        <v>4701080</v>
      </c>
      <c r="B577" s="5">
        <v>2016</v>
      </c>
      <c r="C577" s="1">
        <v>99123</v>
      </c>
      <c r="D577" t="s">
        <v>268</v>
      </c>
      <c r="E577" t="s">
        <v>42</v>
      </c>
      <c r="F577" s="8">
        <v>37449</v>
      </c>
      <c r="G577" s="8">
        <v>966175</v>
      </c>
      <c r="H577" s="5">
        <f t="shared" si="17"/>
        <v>1003624</v>
      </c>
      <c r="I577">
        <f>IFERROR(VLOOKUP(D577,'LEAID Match'!$A$2:$B$251,2,FALSE),"")</f>
        <v>4701080</v>
      </c>
    </row>
    <row r="578" spans="1:9" x14ac:dyDescent="0.2">
      <c r="A578">
        <f t="shared" si="16"/>
        <v>4701080</v>
      </c>
      <c r="B578" s="5">
        <v>2017</v>
      </c>
      <c r="C578" s="1">
        <v>99123</v>
      </c>
      <c r="D578" t="s">
        <v>268</v>
      </c>
      <c r="E578" t="s">
        <v>268</v>
      </c>
      <c r="F578" s="8">
        <v>52112</v>
      </c>
      <c r="G578" s="8">
        <v>988444</v>
      </c>
      <c r="H578" s="5">
        <f t="shared" si="17"/>
        <v>1040556</v>
      </c>
      <c r="I578">
        <f>IFERROR(VLOOKUP(D578,'LEAID Match'!$A$2:$B$251,2,FALSE),"")</f>
        <v>4701080</v>
      </c>
    </row>
    <row r="579" spans="1:9" x14ac:dyDescent="0.2">
      <c r="A579">
        <f t="shared" ref="A579:A642" si="18">I579</f>
        <v>4701080</v>
      </c>
      <c r="B579" s="5">
        <v>2018</v>
      </c>
      <c r="C579" s="1">
        <v>99123</v>
      </c>
      <c r="D579" t="s">
        <v>268</v>
      </c>
      <c r="E579" t="s">
        <v>42</v>
      </c>
      <c r="F579" s="8">
        <v>67734</v>
      </c>
      <c r="G579" s="8">
        <v>974419</v>
      </c>
      <c r="H579" s="5">
        <f t="shared" ref="H579:H642" si="19">SUM(F579:G579)</f>
        <v>1042153</v>
      </c>
      <c r="I579">
        <f>IFERROR(VLOOKUP(D579,'LEAID Match'!$A$2:$B$251,2,FALSE),"")</f>
        <v>4701080</v>
      </c>
    </row>
    <row r="580" spans="1:9" x14ac:dyDescent="0.2">
      <c r="A580">
        <f t="shared" si="18"/>
        <v>4701080</v>
      </c>
      <c r="B580" s="5">
        <v>2019</v>
      </c>
      <c r="C580" s="1">
        <v>99123</v>
      </c>
      <c r="D580" t="s">
        <v>268</v>
      </c>
      <c r="E580" t="s">
        <v>268</v>
      </c>
      <c r="F580" s="8">
        <v>37510</v>
      </c>
      <c r="G580" s="8">
        <v>1105174</v>
      </c>
      <c r="H580" s="5">
        <f t="shared" si="19"/>
        <v>1142684</v>
      </c>
      <c r="I580">
        <f>IFERROR(VLOOKUP(D580,'LEAID Match'!$A$2:$B$251,2,FALSE),"")</f>
        <v>4701080</v>
      </c>
    </row>
    <row r="581" spans="1:9" x14ac:dyDescent="0.2">
      <c r="A581">
        <f t="shared" si="18"/>
        <v>4701080</v>
      </c>
      <c r="B581" s="5">
        <v>2020</v>
      </c>
      <c r="C581" s="1">
        <v>99123</v>
      </c>
      <c r="D581" t="s">
        <v>268</v>
      </c>
      <c r="E581" t="s">
        <v>268</v>
      </c>
      <c r="F581" s="8">
        <v>46646</v>
      </c>
      <c r="G581" s="8">
        <v>1096600</v>
      </c>
      <c r="H581" s="5">
        <f t="shared" si="19"/>
        <v>1143246</v>
      </c>
      <c r="I581">
        <f>IFERROR(VLOOKUP(D581,'LEAID Match'!$A$2:$B$251,2,FALSE),"")</f>
        <v>4701080</v>
      </c>
    </row>
    <row r="582" spans="1:9" x14ac:dyDescent="0.2">
      <c r="A582">
        <f t="shared" si="18"/>
        <v>4701080</v>
      </c>
      <c r="B582" s="5">
        <v>2021</v>
      </c>
      <c r="C582" s="1">
        <v>99123</v>
      </c>
      <c r="D582" t="s">
        <v>268</v>
      </c>
      <c r="E582" t="s">
        <v>268</v>
      </c>
      <c r="F582" s="8">
        <v>49284</v>
      </c>
      <c r="G582" s="8">
        <v>1073408</v>
      </c>
      <c r="H582" s="5">
        <f t="shared" si="19"/>
        <v>1122692</v>
      </c>
      <c r="I582">
        <f>IFERROR(VLOOKUP(D582,'LEAID Match'!$A$2:$B$251,2,FALSE),"")</f>
        <v>4701080</v>
      </c>
    </row>
    <row r="583" spans="1:9" x14ac:dyDescent="0.2">
      <c r="A583">
        <f t="shared" si="18"/>
        <v>4701080</v>
      </c>
      <c r="B583" s="5">
        <v>2022</v>
      </c>
      <c r="C583" s="1">
        <v>99123</v>
      </c>
      <c r="D583" t="s">
        <v>268</v>
      </c>
      <c r="E583" t="s">
        <v>268</v>
      </c>
      <c r="F583" s="8">
        <v>68093.179999999906</v>
      </c>
      <c r="G583" s="8">
        <v>1043321.83</v>
      </c>
      <c r="H583" s="5">
        <f t="shared" si="19"/>
        <v>1111415.0099999998</v>
      </c>
      <c r="I583">
        <f>IFERROR(VLOOKUP(D583,'LEAID Match'!$A$2:$B$251,2,FALSE),"")</f>
        <v>4701080</v>
      </c>
    </row>
    <row r="584" spans="1:9" x14ac:dyDescent="0.2">
      <c r="A584">
        <f t="shared" si="18"/>
        <v>4701080</v>
      </c>
      <c r="B584" s="5">
        <v>2023</v>
      </c>
      <c r="C584" s="1">
        <v>99123</v>
      </c>
      <c r="D584" t="s">
        <v>268</v>
      </c>
      <c r="E584" t="s">
        <v>268</v>
      </c>
      <c r="F584" s="8">
        <v>129698.88</v>
      </c>
      <c r="G584" s="8">
        <v>844735.78</v>
      </c>
      <c r="H584" s="5">
        <f t="shared" si="19"/>
        <v>974434.66</v>
      </c>
      <c r="I584">
        <f>IFERROR(VLOOKUP(D584,'LEAID Match'!$A$2:$B$251,2,FALSE),"")</f>
        <v>4701080</v>
      </c>
    </row>
    <row r="585" spans="1:9" x14ac:dyDescent="0.2">
      <c r="A585">
        <f t="shared" si="18"/>
        <v>4701110</v>
      </c>
      <c r="B585" s="5">
        <v>2015</v>
      </c>
      <c r="C585" s="1">
        <v>99110</v>
      </c>
      <c r="D585" t="s">
        <v>269</v>
      </c>
      <c r="E585" t="s">
        <v>43</v>
      </c>
      <c r="F585" s="8">
        <v>22729</v>
      </c>
      <c r="G585" s="8">
        <v>917543</v>
      </c>
      <c r="H585" s="5">
        <f t="shared" si="19"/>
        <v>940272</v>
      </c>
      <c r="I585">
        <f>IFERROR(VLOOKUP(D585,'LEAID Match'!$A$2:$B$251,2,FALSE),"")</f>
        <v>4701110</v>
      </c>
    </row>
    <row r="586" spans="1:9" x14ac:dyDescent="0.2">
      <c r="A586">
        <f t="shared" si="18"/>
        <v>4701110</v>
      </c>
      <c r="B586" s="5">
        <v>2016</v>
      </c>
      <c r="C586" s="1">
        <v>99110</v>
      </c>
      <c r="D586" t="s">
        <v>269</v>
      </c>
      <c r="E586" t="s">
        <v>43</v>
      </c>
      <c r="F586" s="8">
        <v>42359</v>
      </c>
      <c r="G586" s="8">
        <v>918965</v>
      </c>
      <c r="H586" s="5">
        <f t="shared" si="19"/>
        <v>961324</v>
      </c>
      <c r="I586">
        <f>IFERROR(VLOOKUP(D586,'LEAID Match'!$A$2:$B$251,2,FALSE),"")</f>
        <v>4701110</v>
      </c>
    </row>
    <row r="587" spans="1:9" x14ac:dyDescent="0.2">
      <c r="A587">
        <f t="shared" si="18"/>
        <v>4701110</v>
      </c>
      <c r="B587" s="5">
        <v>2017</v>
      </c>
      <c r="C587" s="1">
        <v>99110</v>
      </c>
      <c r="D587" t="s">
        <v>269</v>
      </c>
      <c r="E587" t="s">
        <v>269</v>
      </c>
      <c r="F587" s="8">
        <v>53451</v>
      </c>
      <c r="G587" s="8">
        <v>934250</v>
      </c>
      <c r="H587" s="5">
        <f t="shared" si="19"/>
        <v>987701</v>
      </c>
      <c r="I587">
        <f>IFERROR(VLOOKUP(D587,'LEAID Match'!$A$2:$B$251,2,FALSE),"")</f>
        <v>4701110</v>
      </c>
    </row>
    <row r="588" spans="1:9" x14ac:dyDescent="0.2">
      <c r="A588">
        <f t="shared" si="18"/>
        <v>4701110</v>
      </c>
      <c r="B588" s="5">
        <v>2018</v>
      </c>
      <c r="C588" s="1">
        <v>99110</v>
      </c>
      <c r="D588" t="s">
        <v>269</v>
      </c>
      <c r="E588" t="s">
        <v>43</v>
      </c>
      <c r="F588" s="8">
        <v>68091</v>
      </c>
      <c r="G588" s="8">
        <v>906730</v>
      </c>
      <c r="H588" s="5">
        <f t="shared" si="19"/>
        <v>974821</v>
      </c>
      <c r="I588">
        <f>IFERROR(VLOOKUP(D588,'LEAID Match'!$A$2:$B$251,2,FALSE),"")</f>
        <v>4701110</v>
      </c>
    </row>
    <row r="589" spans="1:9" x14ac:dyDescent="0.2">
      <c r="A589">
        <f t="shared" si="18"/>
        <v>4701110</v>
      </c>
      <c r="B589" s="5">
        <v>2019</v>
      </c>
      <c r="C589" s="1">
        <v>99110</v>
      </c>
      <c r="D589" t="s">
        <v>269</v>
      </c>
      <c r="E589" t="s">
        <v>269</v>
      </c>
      <c r="F589" s="8">
        <v>41022</v>
      </c>
      <c r="G589" s="8">
        <v>1027194</v>
      </c>
      <c r="H589" s="5">
        <f t="shared" si="19"/>
        <v>1068216</v>
      </c>
      <c r="I589">
        <f>IFERROR(VLOOKUP(D589,'LEAID Match'!$A$2:$B$251,2,FALSE),"")</f>
        <v>4701110</v>
      </c>
    </row>
    <row r="590" spans="1:9" x14ac:dyDescent="0.2">
      <c r="A590">
        <f t="shared" si="18"/>
        <v>4701110</v>
      </c>
      <c r="B590" s="5">
        <v>2020</v>
      </c>
      <c r="C590" s="1">
        <v>99110</v>
      </c>
      <c r="D590" t="s">
        <v>269</v>
      </c>
      <c r="E590" t="s">
        <v>269</v>
      </c>
      <c r="F590" s="8">
        <v>48256</v>
      </c>
      <c r="G590" s="8">
        <v>1051091</v>
      </c>
      <c r="H590" s="5">
        <f t="shared" si="19"/>
        <v>1099347</v>
      </c>
      <c r="I590">
        <f>IFERROR(VLOOKUP(D590,'LEAID Match'!$A$2:$B$251,2,FALSE),"")</f>
        <v>4701110</v>
      </c>
    </row>
    <row r="591" spans="1:9" x14ac:dyDescent="0.2">
      <c r="A591">
        <f t="shared" si="18"/>
        <v>4701110</v>
      </c>
      <c r="B591" s="5">
        <v>2021</v>
      </c>
      <c r="C591" s="1">
        <v>99110</v>
      </c>
      <c r="D591" t="s">
        <v>269</v>
      </c>
      <c r="E591" t="s">
        <v>269</v>
      </c>
      <c r="F591" s="8">
        <v>58460</v>
      </c>
      <c r="G591" s="8">
        <v>913267</v>
      </c>
      <c r="H591" s="5">
        <f t="shared" si="19"/>
        <v>971727</v>
      </c>
      <c r="I591">
        <f>IFERROR(VLOOKUP(D591,'LEAID Match'!$A$2:$B$251,2,FALSE),"")</f>
        <v>4701110</v>
      </c>
    </row>
    <row r="592" spans="1:9" x14ac:dyDescent="0.2">
      <c r="A592">
        <f t="shared" si="18"/>
        <v>4701110</v>
      </c>
      <c r="B592" s="5">
        <v>2022</v>
      </c>
      <c r="C592" s="1">
        <v>99110</v>
      </c>
      <c r="D592" t="s">
        <v>269</v>
      </c>
      <c r="E592" t="s">
        <v>269</v>
      </c>
      <c r="F592" s="8">
        <v>75204.25</v>
      </c>
      <c r="G592" s="8">
        <v>937682.83</v>
      </c>
      <c r="H592" s="5">
        <f t="shared" si="19"/>
        <v>1012887.08</v>
      </c>
      <c r="I592">
        <f>IFERROR(VLOOKUP(D592,'LEAID Match'!$A$2:$B$251,2,FALSE),"")</f>
        <v>4701110</v>
      </c>
    </row>
    <row r="593" spans="1:9" x14ac:dyDescent="0.2">
      <c r="A593">
        <f t="shared" si="18"/>
        <v>4701110</v>
      </c>
      <c r="B593" s="5">
        <v>2023</v>
      </c>
      <c r="C593" s="1">
        <v>99110</v>
      </c>
      <c r="D593" t="s">
        <v>269</v>
      </c>
      <c r="E593" t="s">
        <v>269</v>
      </c>
      <c r="F593" s="8">
        <v>127576.97</v>
      </c>
      <c r="G593" s="8">
        <v>917111.49</v>
      </c>
      <c r="H593" s="5">
        <f t="shared" si="19"/>
        <v>1044688.46</v>
      </c>
      <c r="I593">
        <f>IFERROR(VLOOKUP(D593,'LEAID Match'!$A$2:$B$251,2,FALSE),"")</f>
        <v>4701110</v>
      </c>
    </row>
    <row r="594" spans="1:9" x14ac:dyDescent="0.2">
      <c r="A594">
        <f t="shared" si="18"/>
        <v>0</v>
      </c>
      <c r="B594" s="5">
        <v>2015</v>
      </c>
      <c r="C594" s="1">
        <v>94700</v>
      </c>
      <c r="D594" t="s">
        <v>44</v>
      </c>
      <c r="E594" t="s">
        <v>44</v>
      </c>
      <c r="F594" s="8" t="s">
        <v>591</v>
      </c>
      <c r="G594" s="8">
        <v>8018</v>
      </c>
      <c r="H594" s="5">
        <f t="shared" si="19"/>
        <v>8018</v>
      </c>
      <c r="I594">
        <f>IFERROR(VLOOKUP(D594,'LEAID Match'!$A$2:$B$251,2,FALSE),"")</f>
        <v>0</v>
      </c>
    </row>
    <row r="595" spans="1:9" x14ac:dyDescent="0.2">
      <c r="A595">
        <f t="shared" si="18"/>
        <v>0</v>
      </c>
      <c r="B595" s="5">
        <v>2016</v>
      </c>
      <c r="C595" s="1">
        <v>94700</v>
      </c>
      <c r="D595" t="s">
        <v>44</v>
      </c>
      <c r="E595" t="s">
        <v>44</v>
      </c>
      <c r="F595" s="8">
        <v>8796</v>
      </c>
      <c r="G595" s="8">
        <v>39392</v>
      </c>
      <c r="H595" s="5">
        <f t="shared" si="19"/>
        <v>48188</v>
      </c>
      <c r="I595">
        <f>IFERROR(VLOOKUP(D595,'LEAID Match'!$A$2:$B$251,2,FALSE),"")</f>
        <v>0</v>
      </c>
    </row>
    <row r="596" spans="1:9" x14ac:dyDescent="0.2">
      <c r="A596">
        <f t="shared" si="18"/>
        <v>0</v>
      </c>
      <c r="B596" s="5">
        <v>2017</v>
      </c>
      <c r="C596" s="1">
        <v>94700</v>
      </c>
      <c r="D596" t="s">
        <v>44</v>
      </c>
      <c r="E596" t="s">
        <v>270</v>
      </c>
      <c r="F596" s="8">
        <v>27444</v>
      </c>
      <c r="G596" s="8">
        <v>53761</v>
      </c>
      <c r="H596" s="5">
        <f t="shared" si="19"/>
        <v>81205</v>
      </c>
      <c r="I596">
        <f>IFERROR(VLOOKUP(D596,'LEAID Match'!$A$2:$B$251,2,FALSE),"")</f>
        <v>0</v>
      </c>
    </row>
    <row r="597" spans="1:9" x14ac:dyDescent="0.2">
      <c r="A597">
        <f t="shared" si="18"/>
        <v>0</v>
      </c>
      <c r="B597" s="5">
        <v>2018</v>
      </c>
      <c r="C597" s="1">
        <v>94700</v>
      </c>
      <c r="D597" t="s">
        <v>44</v>
      </c>
      <c r="E597" t="s">
        <v>44</v>
      </c>
      <c r="F597" s="8">
        <v>38204</v>
      </c>
      <c r="G597" s="8">
        <v>73744</v>
      </c>
      <c r="H597" s="5">
        <f t="shared" si="19"/>
        <v>111948</v>
      </c>
      <c r="I597">
        <f>IFERROR(VLOOKUP(D597,'LEAID Match'!$A$2:$B$251,2,FALSE),"")</f>
        <v>0</v>
      </c>
    </row>
    <row r="598" spans="1:9" x14ac:dyDescent="0.2">
      <c r="A598">
        <f t="shared" si="18"/>
        <v>0</v>
      </c>
      <c r="B598" s="5">
        <v>2019</v>
      </c>
      <c r="C598" s="1">
        <v>94700</v>
      </c>
      <c r="D598" t="s">
        <v>44</v>
      </c>
      <c r="E598" t="s">
        <v>270</v>
      </c>
      <c r="F598" s="8">
        <v>26897</v>
      </c>
      <c r="G598" s="8">
        <v>95310</v>
      </c>
      <c r="H598" s="5">
        <f t="shared" si="19"/>
        <v>122207</v>
      </c>
      <c r="I598">
        <f>IFERROR(VLOOKUP(D598,'LEAID Match'!$A$2:$B$251,2,FALSE),"")</f>
        <v>0</v>
      </c>
    </row>
    <row r="599" spans="1:9" x14ac:dyDescent="0.2">
      <c r="A599">
        <f t="shared" si="18"/>
        <v>0</v>
      </c>
      <c r="B599" s="5">
        <v>2020</v>
      </c>
      <c r="C599" s="1">
        <v>94700</v>
      </c>
      <c r="D599" t="s">
        <v>44</v>
      </c>
      <c r="E599" t="s">
        <v>270</v>
      </c>
      <c r="F599" s="8">
        <v>29871</v>
      </c>
      <c r="G599" s="8">
        <v>108162</v>
      </c>
      <c r="H599" s="5">
        <f t="shared" si="19"/>
        <v>138033</v>
      </c>
      <c r="I599">
        <f>IFERROR(VLOOKUP(D599,'LEAID Match'!$A$2:$B$251,2,FALSE),"")</f>
        <v>0</v>
      </c>
    </row>
    <row r="600" spans="1:9" x14ac:dyDescent="0.2">
      <c r="A600">
        <f t="shared" si="18"/>
        <v>0</v>
      </c>
      <c r="B600" s="5">
        <v>2021</v>
      </c>
      <c r="C600" s="1">
        <v>94700</v>
      </c>
      <c r="D600" t="s">
        <v>44</v>
      </c>
      <c r="E600" t="s">
        <v>270</v>
      </c>
      <c r="F600" s="8">
        <v>29071</v>
      </c>
      <c r="G600" s="8">
        <v>58831</v>
      </c>
      <c r="H600" s="5">
        <f t="shared" si="19"/>
        <v>87902</v>
      </c>
      <c r="I600">
        <f>IFERROR(VLOOKUP(D600,'LEAID Match'!$A$2:$B$251,2,FALSE),"")</f>
        <v>0</v>
      </c>
    </row>
    <row r="601" spans="1:9" x14ac:dyDescent="0.2">
      <c r="A601">
        <f t="shared" si="18"/>
        <v>0</v>
      </c>
      <c r="B601" s="5">
        <v>2022</v>
      </c>
      <c r="C601" s="1">
        <v>94700</v>
      </c>
      <c r="D601" t="s">
        <v>44</v>
      </c>
      <c r="E601" t="s">
        <v>270</v>
      </c>
      <c r="F601" s="8">
        <v>30851</v>
      </c>
      <c r="G601" s="8">
        <v>47705.72</v>
      </c>
      <c r="H601" s="5">
        <f t="shared" si="19"/>
        <v>78556.72</v>
      </c>
      <c r="I601">
        <f>IFERROR(VLOOKUP(D601,'LEAID Match'!$A$2:$B$251,2,FALSE),"")</f>
        <v>0</v>
      </c>
    </row>
    <row r="602" spans="1:9" x14ac:dyDescent="0.2">
      <c r="A602">
        <f t="shared" si="18"/>
        <v>0</v>
      </c>
      <c r="B602" s="5">
        <v>2023</v>
      </c>
      <c r="C602" s="1">
        <v>94700</v>
      </c>
      <c r="D602" t="s">
        <v>44</v>
      </c>
      <c r="E602" t="s">
        <v>270</v>
      </c>
      <c r="F602" s="8">
        <v>50864.42</v>
      </c>
      <c r="G602" s="8">
        <v>38566.01</v>
      </c>
      <c r="H602" s="5">
        <f t="shared" si="19"/>
        <v>89430.43</v>
      </c>
      <c r="I602">
        <f>IFERROR(VLOOKUP(D602,'LEAID Match'!$A$2:$B$251,2,FALSE),"")</f>
        <v>0</v>
      </c>
    </row>
    <row r="603" spans="1:9" x14ac:dyDescent="0.2">
      <c r="A603">
        <f t="shared" si="18"/>
        <v>4701140</v>
      </c>
      <c r="B603" s="5">
        <v>2015</v>
      </c>
      <c r="C603" s="1">
        <v>99254</v>
      </c>
      <c r="D603" t="s">
        <v>271</v>
      </c>
      <c r="E603" t="s">
        <v>45</v>
      </c>
      <c r="F603" s="8">
        <v>4238</v>
      </c>
      <c r="G603" s="8">
        <v>122198</v>
      </c>
      <c r="H603" s="5">
        <f t="shared" si="19"/>
        <v>126436</v>
      </c>
      <c r="I603">
        <f>IFERROR(VLOOKUP(D603,'LEAID Match'!$A$2:$B$251,2,FALSE),"")</f>
        <v>4701140</v>
      </c>
    </row>
    <row r="604" spans="1:9" x14ac:dyDescent="0.2">
      <c r="A604">
        <f t="shared" si="18"/>
        <v>4701140</v>
      </c>
      <c r="B604" s="5">
        <v>2016</v>
      </c>
      <c r="C604" s="1">
        <v>99254</v>
      </c>
      <c r="D604" t="s">
        <v>271</v>
      </c>
      <c r="E604" t="s">
        <v>45</v>
      </c>
      <c r="F604" s="8">
        <v>4650</v>
      </c>
      <c r="G604" s="8">
        <v>123276</v>
      </c>
      <c r="H604" s="5">
        <f t="shared" si="19"/>
        <v>127926</v>
      </c>
      <c r="I604">
        <f>IFERROR(VLOOKUP(D604,'LEAID Match'!$A$2:$B$251,2,FALSE),"")</f>
        <v>4701140</v>
      </c>
    </row>
    <row r="605" spans="1:9" x14ac:dyDescent="0.2">
      <c r="A605">
        <f t="shared" si="18"/>
        <v>4701140</v>
      </c>
      <c r="B605" s="5">
        <v>2017</v>
      </c>
      <c r="C605" s="1">
        <v>99254</v>
      </c>
      <c r="D605" t="s">
        <v>271</v>
      </c>
      <c r="E605" t="s">
        <v>271</v>
      </c>
      <c r="F605" s="8">
        <v>7943</v>
      </c>
      <c r="G605" s="8">
        <v>120919</v>
      </c>
      <c r="H605" s="5">
        <f t="shared" si="19"/>
        <v>128862</v>
      </c>
      <c r="I605">
        <f>IFERROR(VLOOKUP(D605,'LEAID Match'!$A$2:$B$251,2,FALSE),"")</f>
        <v>4701140</v>
      </c>
    </row>
    <row r="606" spans="1:9" x14ac:dyDescent="0.2">
      <c r="A606">
        <f t="shared" si="18"/>
        <v>4701140</v>
      </c>
      <c r="B606" s="5">
        <v>2018</v>
      </c>
      <c r="C606" s="1">
        <v>99254</v>
      </c>
      <c r="D606" t="s">
        <v>271</v>
      </c>
      <c r="E606" t="s">
        <v>45</v>
      </c>
      <c r="F606" s="8">
        <v>7378</v>
      </c>
      <c r="G606" s="8">
        <v>121396</v>
      </c>
      <c r="H606" s="5">
        <f t="shared" si="19"/>
        <v>128774</v>
      </c>
      <c r="I606">
        <f>IFERROR(VLOOKUP(D606,'LEAID Match'!$A$2:$B$251,2,FALSE),"")</f>
        <v>4701140</v>
      </c>
    </row>
    <row r="607" spans="1:9" x14ac:dyDescent="0.2">
      <c r="A607">
        <f t="shared" si="18"/>
        <v>4701140</v>
      </c>
      <c r="B607" s="5">
        <v>2019</v>
      </c>
      <c r="C607" s="1">
        <v>99254</v>
      </c>
      <c r="D607" t="s">
        <v>271</v>
      </c>
      <c r="E607" t="s">
        <v>271</v>
      </c>
      <c r="F607" s="8">
        <v>5335</v>
      </c>
      <c r="G607" s="8">
        <v>127780</v>
      </c>
      <c r="H607" s="5">
        <f t="shared" si="19"/>
        <v>133115</v>
      </c>
      <c r="I607">
        <f>IFERROR(VLOOKUP(D607,'LEAID Match'!$A$2:$B$251,2,FALSE),"")</f>
        <v>4701140</v>
      </c>
    </row>
    <row r="608" spans="1:9" x14ac:dyDescent="0.2">
      <c r="A608">
        <f t="shared" si="18"/>
        <v>4701140</v>
      </c>
      <c r="B608" s="5">
        <v>2020</v>
      </c>
      <c r="C608" s="1">
        <v>99254</v>
      </c>
      <c r="D608" t="s">
        <v>271</v>
      </c>
      <c r="E608" t="s">
        <v>271</v>
      </c>
      <c r="F608" s="8">
        <v>5077</v>
      </c>
      <c r="G608" s="8">
        <v>132922</v>
      </c>
      <c r="H608" s="5">
        <f t="shared" si="19"/>
        <v>137999</v>
      </c>
      <c r="I608">
        <f>IFERROR(VLOOKUP(D608,'LEAID Match'!$A$2:$B$251,2,FALSE),"")</f>
        <v>4701140</v>
      </c>
    </row>
    <row r="609" spans="1:9" x14ac:dyDescent="0.2">
      <c r="A609">
        <f t="shared" si="18"/>
        <v>4701140</v>
      </c>
      <c r="B609" s="5">
        <v>2021</v>
      </c>
      <c r="C609" s="1">
        <v>99254</v>
      </c>
      <c r="D609" t="s">
        <v>271</v>
      </c>
      <c r="E609" t="s">
        <v>271</v>
      </c>
      <c r="F609" s="8">
        <v>9131</v>
      </c>
      <c r="G609" s="8">
        <v>113301</v>
      </c>
      <c r="H609" s="5">
        <f t="shared" si="19"/>
        <v>122432</v>
      </c>
      <c r="I609">
        <f>IFERROR(VLOOKUP(D609,'LEAID Match'!$A$2:$B$251,2,FALSE),"")</f>
        <v>4701140</v>
      </c>
    </row>
    <row r="610" spans="1:9" x14ac:dyDescent="0.2">
      <c r="A610">
        <f t="shared" si="18"/>
        <v>4701140</v>
      </c>
      <c r="B610" s="5">
        <v>2022</v>
      </c>
      <c r="C610" s="1">
        <v>99254</v>
      </c>
      <c r="D610" t="s">
        <v>271</v>
      </c>
      <c r="E610" t="s">
        <v>271</v>
      </c>
      <c r="F610" s="8">
        <v>9474.95999999999</v>
      </c>
      <c r="G610" s="8">
        <v>116596.54</v>
      </c>
      <c r="H610" s="5">
        <f t="shared" si="19"/>
        <v>126071.49999999999</v>
      </c>
      <c r="I610">
        <f>IFERROR(VLOOKUP(D610,'LEAID Match'!$A$2:$B$251,2,FALSE),"")</f>
        <v>4701140</v>
      </c>
    </row>
    <row r="611" spans="1:9" x14ac:dyDescent="0.2">
      <c r="A611">
        <f t="shared" si="18"/>
        <v>4701140</v>
      </c>
      <c r="B611" s="5">
        <v>2023</v>
      </c>
      <c r="C611" s="1">
        <v>99254</v>
      </c>
      <c r="D611" t="s">
        <v>271</v>
      </c>
      <c r="E611" t="s">
        <v>271</v>
      </c>
      <c r="F611" s="8">
        <v>15323.76</v>
      </c>
      <c r="G611" s="8">
        <v>86836.71</v>
      </c>
      <c r="H611" s="5">
        <f t="shared" si="19"/>
        <v>102160.47</v>
      </c>
      <c r="I611">
        <f>IFERROR(VLOOKUP(D611,'LEAID Match'!$A$2:$B$251,2,FALSE),"")</f>
        <v>4701140</v>
      </c>
    </row>
    <row r="612" spans="1:9" x14ac:dyDescent="0.2">
      <c r="A612">
        <f t="shared" si="18"/>
        <v>0</v>
      </c>
      <c r="B612" s="5">
        <v>2015</v>
      </c>
      <c r="C612" s="1">
        <v>91925</v>
      </c>
      <c r="D612" t="s">
        <v>46</v>
      </c>
      <c r="E612" t="s">
        <v>46</v>
      </c>
      <c r="F612" s="8" t="s">
        <v>591</v>
      </c>
      <c r="G612" s="8">
        <v>9572</v>
      </c>
      <c r="H612" s="5">
        <f t="shared" si="19"/>
        <v>9572</v>
      </c>
      <c r="I612">
        <f>IFERROR(VLOOKUP(D612,'LEAID Match'!$A$2:$B$251,2,FALSE),"")</f>
        <v>0</v>
      </c>
    </row>
    <row r="613" spans="1:9" x14ac:dyDescent="0.2">
      <c r="A613">
        <f t="shared" si="18"/>
        <v>0</v>
      </c>
      <c r="B613" s="5">
        <v>2016</v>
      </c>
      <c r="C613" s="1">
        <v>91925</v>
      </c>
      <c r="D613" t="s">
        <v>46</v>
      </c>
      <c r="E613" t="s">
        <v>46</v>
      </c>
      <c r="F613" s="8">
        <v>11608</v>
      </c>
      <c r="G613" s="8">
        <v>20668</v>
      </c>
      <c r="H613" s="5">
        <f t="shared" si="19"/>
        <v>32276</v>
      </c>
      <c r="I613">
        <f>IFERROR(VLOOKUP(D613,'LEAID Match'!$A$2:$B$251,2,FALSE),"")</f>
        <v>0</v>
      </c>
    </row>
    <row r="614" spans="1:9" x14ac:dyDescent="0.2">
      <c r="A614">
        <f t="shared" si="18"/>
        <v>0</v>
      </c>
      <c r="B614" s="5">
        <v>2017</v>
      </c>
      <c r="C614" s="1">
        <v>91925</v>
      </c>
      <c r="D614" t="s">
        <v>46</v>
      </c>
      <c r="E614" t="s">
        <v>272</v>
      </c>
      <c r="F614" s="8">
        <v>13862</v>
      </c>
      <c r="G614" s="8">
        <v>24416</v>
      </c>
      <c r="H614" s="5">
        <f t="shared" si="19"/>
        <v>38278</v>
      </c>
      <c r="I614">
        <f>IFERROR(VLOOKUP(D614,'LEAID Match'!$A$2:$B$251,2,FALSE),"")</f>
        <v>0</v>
      </c>
    </row>
    <row r="615" spans="1:9" x14ac:dyDescent="0.2">
      <c r="A615">
        <f t="shared" si="18"/>
        <v>0</v>
      </c>
      <c r="B615" s="5">
        <v>2018</v>
      </c>
      <c r="C615" s="1">
        <v>91925</v>
      </c>
      <c r="D615" t="s">
        <v>46</v>
      </c>
      <c r="E615" t="s">
        <v>46</v>
      </c>
      <c r="F615" s="8">
        <v>23728</v>
      </c>
      <c r="G615" s="8">
        <v>27685</v>
      </c>
      <c r="H615" s="5">
        <f t="shared" si="19"/>
        <v>51413</v>
      </c>
      <c r="I615">
        <f>IFERROR(VLOOKUP(D615,'LEAID Match'!$A$2:$B$251,2,FALSE),"")</f>
        <v>0</v>
      </c>
    </row>
    <row r="616" spans="1:9" x14ac:dyDescent="0.2">
      <c r="A616">
        <f t="shared" si="18"/>
        <v>0</v>
      </c>
      <c r="B616" s="5">
        <v>2019</v>
      </c>
      <c r="C616" s="1">
        <v>91925</v>
      </c>
      <c r="D616" t="s">
        <v>46</v>
      </c>
      <c r="E616" t="s">
        <v>272</v>
      </c>
      <c r="F616" s="8">
        <v>16177</v>
      </c>
      <c r="G616" s="8">
        <v>28841</v>
      </c>
      <c r="H616" s="5">
        <f t="shared" si="19"/>
        <v>45018</v>
      </c>
      <c r="I616">
        <f>IFERROR(VLOOKUP(D616,'LEAID Match'!$A$2:$B$251,2,FALSE),"")</f>
        <v>0</v>
      </c>
    </row>
    <row r="617" spans="1:9" x14ac:dyDescent="0.2">
      <c r="A617">
        <f t="shared" si="18"/>
        <v>0</v>
      </c>
      <c r="B617" s="5">
        <v>2020</v>
      </c>
      <c r="C617" s="1">
        <v>91925</v>
      </c>
      <c r="D617" t="s">
        <v>46</v>
      </c>
      <c r="E617" t="s">
        <v>272</v>
      </c>
      <c r="F617" s="8">
        <v>20967</v>
      </c>
      <c r="G617" s="8">
        <v>37107</v>
      </c>
      <c r="H617" s="5">
        <f t="shared" si="19"/>
        <v>58074</v>
      </c>
      <c r="I617">
        <f>IFERROR(VLOOKUP(D617,'LEAID Match'!$A$2:$B$251,2,FALSE),"")</f>
        <v>0</v>
      </c>
    </row>
    <row r="618" spans="1:9" x14ac:dyDescent="0.2">
      <c r="A618">
        <f t="shared" si="18"/>
        <v>0</v>
      </c>
      <c r="B618" s="5">
        <v>2021</v>
      </c>
      <c r="C618" s="1">
        <v>91925</v>
      </c>
      <c r="D618" t="s">
        <v>46</v>
      </c>
      <c r="E618" t="s">
        <v>272</v>
      </c>
      <c r="F618" s="8">
        <v>26592</v>
      </c>
      <c r="G618" s="8">
        <v>46157</v>
      </c>
      <c r="H618" s="5">
        <f t="shared" si="19"/>
        <v>72749</v>
      </c>
      <c r="I618">
        <f>IFERROR(VLOOKUP(D618,'LEAID Match'!$A$2:$B$251,2,FALSE),"")</f>
        <v>0</v>
      </c>
    </row>
    <row r="619" spans="1:9" x14ac:dyDescent="0.2">
      <c r="A619">
        <f t="shared" si="18"/>
        <v>0</v>
      </c>
      <c r="B619" s="5">
        <v>2022</v>
      </c>
      <c r="C619" s="1">
        <v>91925</v>
      </c>
      <c r="D619" t="s">
        <v>46</v>
      </c>
      <c r="E619" t="s">
        <v>272</v>
      </c>
      <c r="F619" s="8">
        <v>33475.89</v>
      </c>
      <c r="G619" s="8">
        <v>34784.019999999997</v>
      </c>
      <c r="H619" s="5">
        <f t="shared" si="19"/>
        <v>68259.91</v>
      </c>
      <c r="I619">
        <f>IFERROR(VLOOKUP(D619,'LEAID Match'!$A$2:$B$251,2,FALSE),"")</f>
        <v>0</v>
      </c>
    </row>
    <row r="620" spans="1:9" x14ac:dyDescent="0.2">
      <c r="A620">
        <f t="shared" si="18"/>
        <v>0</v>
      </c>
      <c r="B620" s="5">
        <v>2023</v>
      </c>
      <c r="C620" s="1">
        <v>91925</v>
      </c>
      <c r="D620" t="s">
        <v>46</v>
      </c>
      <c r="E620" t="s">
        <v>272</v>
      </c>
      <c r="F620" s="8">
        <v>69324.740000000005</v>
      </c>
      <c r="G620" s="8">
        <v>55592.53</v>
      </c>
      <c r="H620" s="5">
        <f t="shared" si="19"/>
        <v>124917.27</v>
      </c>
      <c r="I620">
        <f>IFERROR(VLOOKUP(D620,'LEAID Match'!$A$2:$B$251,2,FALSE),"")</f>
        <v>0</v>
      </c>
    </row>
    <row r="621" spans="1:9" x14ac:dyDescent="0.2">
      <c r="A621">
        <f t="shared" si="18"/>
        <v>0</v>
      </c>
      <c r="B621" s="5">
        <v>2015</v>
      </c>
      <c r="C621" s="1">
        <v>99024</v>
      </c>
      <c r="D621" t="s">
        <v>273</v>
      </c>
      <c r="E621" t="s">
        <v>47</v>
      </c>
      <c r="F621" s="8">
        <v>53945</v>
      </c>
      <c r="G621" s="8">
        <v>979435</v>
      </c>
      <c r="H621" s="5">
        <f t="shared" si="19"/>
        <v>1033380</v>
      </c>
      <c r="I621">
        <f>IFERROR(VLOOKUP(D621,'LEAID Match'!$A$2:$B$251,2,FALSE),"")</f>
        <v>0</v>
      </c>
    </row>
    <row r="622" spans="1:9" x14ac:dyDescent="0.2">
      <c r="A622">
        <f t="shared" si="18"/>
        <v>0</v>
      </c>
      <c r="B622" s="5">
        <v>2016</v>
      </c>
      <c r="C622" s="1">
        <v>99024</v>
      </c>
      <c r="D622" t="s">
        <v>273</v>
      </c>
      <c r="E622" t="s">
        <v>47</v>
      </c>
      <c r="F622" s="8">
        <v>89653</v>
      </c>
      <c r="G622" s="8">
        <v>861228</v>
      </c>
      <c r="H622" s="5">
        <f t="shared" si="19"/>
        <v>950881</v>
      </c>
      <c r="I622">
        <f>IFERROR(VLOOKUP(D622,'LEAID Match'!$A$2:$B$251,2,FALSE),"")</f>
        <v>0</v>
      </c>
    </row>
    <row r="623" spans="1:9" x14ac:dyDescent="0.2">
      <c r="A623">
        <f t="shared" si="18"/>
        <v>0</v>
      </c>
      <c r="B623" s="5">
        <v>2017</v>
      </c>
      <c r="C623" s="1">
        <v>99024</v>
      </c>
      <c r="D623" t="s">
        <v>273</v>
      </c>
      <c r="E623" t="s">
        <v>273</v>
      </c>
      <c r="F623" s="8">
        <v>118255</v>
      </c>
      <c r="G623" s="8">
        <v>909327</v>
      </c>
      <c r="H623" s="5">
        <f t="shared" si="19"/>
        <v>1027582</v>
      </c>
      <c r="I623">
        <f>IFERROR(VLOOKUP(D623,'LEAID Match'!$A$2:$B$251,2,FALSE),"")</f>
        <v>0</v>
      </c>
    </row>
    <row r="624" spans="1:9" x14ac:dyDescent="0.2">
      <c r="A624">
        <f t="shared" si="18"/>
        <v>0</v>
      </c>
      <c r="B624" s="5">
        <v>2018</v>
      </c>
      <c r="C624" s="1">
        <v>99024</v>
      </c>
      <c r="D624" t="s">
        <v>273</v>
      </c>
      <c r="E624" t="s">
        <v>47</v>
      </c>
      <c r="F624" s="8">
        <v>147131</v>
      </c>
      <c r="G624" s="8">
        <v>899213</v>
      </c>
      <c r="H624" s="5">
        <f t="shared" si="19"/>
        <v>1046344</v>
      </c>
      <c r="I624">
        <f>IFERROR(VLOOKUP(D624,'LEAID Match'!$A$2:$B$251,2,FALSE),"")</f>
        <v>0</v>
      </c>
    </row>
    <row r="625" spans="1:9" x14ac:dyDescent="0.2">
      <c r="A625">
        <f t="shared" si="18"/>
        <v>0</v>
      </c>
      <c r="B625" s="5">
        <v>2019</v>
      </c>
      <c r="C625" s="1">
        <v>99024</v>
      </c>
      <c r="D625" t="s">
        <v>273</v>
      </c>
      <c r="E625" t="s">
        <v>273</v>
      </c>
      <c r="F625" s="8">
        <v>83885</v>
      </c>
      <c r="G625" s="8">
        <v>987264</v>
      </c>
      <c r="H625" s="5">
        <f t="shared" si="19"/>
        <v>1071149</v>
      </c>
      <c r="I625">
        <f>IFERROR(VLOOKUP(D625,'LEAID Match'!$A$2:$B$251,2,FALSE),"")</f>
        <v>0</v>
      </c>
    </row>
    <row r="626" spans="1:9" x14ac:dyDescent="0.2">
      <c r="A626">
        <f t="shared" si="18"/>
        <v>0</v>
      </c>
      <c r="B626" s="5">
        <v>2020</v>
      </c>
      <c r="C626" s="1">
        <v>99024</v>
      </c>
      <c r="D626" t="s">
        <v>273</v>
      </c>
      <c r="E626" t="s">
        <v>273</v>
      </c>
      <c r="F626" s="8">
        <v>89568</v>
      </c>
      <c r="G626" s="8">
        <v>963551</v>
      </c>
      <c r="H626" s="5">
        <f t="shared" si="19"/>
        <v>1053119</v>
      </c>
      <c r="I626">
        <f>IFERROR(VLOOKUP(D626,'LEAID Match'!$A$2:$B$251,2,FALSE),"")</f>
        <v>0</v>
      </c>
    </row>
    <row r="627" spans="1:9" x14ac:dyDescent="0.2">
      <c r="A627">
        <f t="shared" si="18"/>
        <v>0</v>
      </c>
      <c r="B627" s="5">
        <v>2021</v>
      </c>
      <c r="C627" s="1">
        <v>99024</v>
      </c>
      <c r="D627" t="s">
        <v>273</v>
      </c>
      <c r="E627" t="s">
        <v>273</v>
      </c>
      <c r="F627" s="8">
        <v>91276</v>
      </c>
      <c r="G627" s="8">
        <v>917735</v>
      </c>
      <c r="H627" s="5">
        <f t="shared" si="19"/>
        <v>1009011</v>
      </c>
      <c r="I627">
        <f>IFERROR(VLOOKUP(D627,'LEAID Match'!$A$2:$B$251,2,FALSE),"")</f>
        <v>0</v>
      </c>
    </row>
    <row r="628" spans="1:9" x14ac:dyDescent="0.2">
      <c r="A628">
        <f t="shared" si="18"/>
        <v>0</v>
      </c>
      <c r="B628" s="5">
        <v>2022</v>
      </c>
      <c r="C628" s="1">
        <v>99024</v>
      </c>
      <c r="D628" t="s">
        <v>273</v>
      </c>
      <c r="E628" t="s">
        <v>273</v>
      </c>
      <c r="F628" s="8">
        <v>134596.87</v>
      </c>
      <c r="G628" s="8">
        <v>911417.22</v>
      </c>
      <c r="H628" s="5">
        <f t="shared" si="19"/>
        <v>1046014.09</v>
      </c>
      <c r="I628">
        <f>IFERROR(VLOOKUP(D628,'LEAID Match'!$A$2:$B$251,2,FALSE),"")</f>
        <v>0</v>
      </c>
    </row>
    <row r="629" spans="1:9" x14ac:dyDescent="0.2">
      <c r="A629">
        <f t="shared" si="18"/>
        <v>0</v>
      </c>
      <c r="B629" s="5">
        <v>2023</v>
      </c>
      <c r="C629" s="1">
        <v>99024</v>
      </c>
      <c r="D629" t="s">
        <v>273</v>
      </c>
      <c r="E629" t="s">
        <v>273</v>
      </c>
      <c r="F629" s="8">
        <v>216988.94</v>
      </c>
      <c r="G629" s="8">
        <v>663704.84</v>
      </c>
      <c r="H629" s="5">
        <f t="shared" si="19"/>
        <v>880693.78</v>
      </c>
      <c r="I629">
        <f>IFERROR(VLOOKUP(D629,'LEAID Match'!$A$2:$B$251,2,FALSE),"")</f>
        <v>0</v>
      </c>
    </row>
    <row r="630" spans="1:9" x14ac:dyDescent="0.2">
      <c r="A630">
        <f t="shared" si="18"/>
        <v>4701200</v>
      </c>
      <c r="B630" s="5">
        <v>2015</v>
      </c>
      <c r="C630" s="1">
        <v>99152</v>
      </c>
      <c r="D630" t="s">
        <v>274</v>
      </c>
      <c r="E630" t="s">
        <v>48</v>
      </c>
      <c r="F630" s="8">
        <v>8868</v>
      </c>
      <c r="G630" s="8">
        <v>529211</v>
      </c>
      <c r="H630" s="5">
        <f t="shared" si="19"/>
        <v>538079</v>
      </c>
      <c r="I630">
        <f>IFERROR(VLOOKUP(D630,'LEAID Match'!$A$2:$B$251,2,FALSE),"")</f>
        <v>4701200</v>
      </c>
    </row>
    <row r="631" spans="1:9" x14ac:dyDescent="0.2">
      <c r="A631">
        <f t="shared" si="18"/>
        <v>4701200</v>
      </c>
      <c r="B631" s="5">
        <v>2016</v>
      </c>
      <c r="C631" s="1">
        <v>99152</v>
      </c>
      <c r="D631" t="s">
        <v>274</v>
      </c>
      <c r="E631" t="s">
        <v>48</v>
      </c>
      <c r="F631" s="8">
        <v>22231</v>
      </c>
      <c r="G631" s="8">
        <v>495369</v>
      </c>
      <c r="H631" s="5">
        <f t="shared" si="19"/>
        <v>517600</v>
      </c>
      <c r="I631">
        <f>IFERROR(VLOOKUP(D631,'LEAID Match'!$A$2:$B$251,2,FALSE),"")</f>
        <v>4701200</v>
      </c>
    </row>
    <row r="632" spans="1:9" x14ac:dyDescent="0.2">
      <c r="A632">
        <f t="shared" si="18"/>
        <v>4701200</v>
      </c>
      <c r="B632" s="5">
        <v>2017</v>
      </c>
      <c r="C632" s="1">
        <v>99152</v>
      </c>
      <c r="D632" t="s">
        <v>274</v>
      </c>
      <c r="E632" t="s">
        <v>274</v>
      </c>
      <c r="F632" s="8">
        <v>18497</v>
      </c>
      <c r="G632" s="8">
        <v>464639</v>
      </c>
      <c r="H632" s="5">
        <f t="shared" si="19"/>
        <v>483136</v>
      </c>
      <c r="I632">
        <f>IFERROR(VLOOKUP(D632,'LEAID Match'!$A$2:$B$251,2,FALSE),"")</f>
        <v>4701200</v>
      </c>
    </row>
    <row r="633" spans="1:9" x14ac:dyDescent="0.2">
      <c r="A633">
        <f t="shared" si="18"/>
        <v>4701200</v>
      </c>
      <c r="B633" s="5">
        <v>2018</v>
      </c>
      <c r="C633" s="1">
        <v>99152</v>
      </c>
      <c r="D633" t="s">
        <v>274</v>
      </c>
      <c r="E633" t="s">
        <v>48</v>
      </c>
      <c r="F633" s="8">
        <v>28072</v>
      </c>
      <c r="G633" s="8">
        <v>543992</v>
      </c>
      <c r="H633" s="5">
        <f t="shared" si="19"/>
        <v>572064</v>
      </c>
      <c r="I633">
        <f>IFERROR(VLOOKUP(D633,'LEAID Match'!$A$2:$B$251,2,FALSE),"")</f>
        <v>4701200</v>
      </c>
    </row>
    <row r="634" spans="1:9" x14ac:dyDescent="0.2">
      <c r="A634">
        <f t="shared" si="18"/>
        <v>4701200</v>
      </c>
      <c r="B634" s="5">
        <v>2019</v>
      </c>
      <c r="C634" s="1">
        <v>99152</v>
      </c>
      <c r="D634" t="s">
        <v>274</v>
      </c>
      <c r="E634" t="s">
        <v>274</v>
      </c>
      <c r="F634" s="8">
        <v>24268</v>
      </c>
      <c r="G634" s="8">
        <v>554084</v>
      </c>
      <c r="H634" s="5">
        <f t="shared" si="19"/>
        <v>578352</v>
      </c>
      <c r="I634">
        <f>IFERROR(VLOOKUP(D634,'LEAID Match'!$A$2:$B$251,2,FALSE),"")</f>
        <v>4701200</v>
      </c>
    </row>
    <row r="635" spans="1:9" x14ac:dyDescent="0.2">
      <c r="A635">
        <f t="shared" si="18"/>
        <v>4701200</v>
      </c>
      <c r="B635" s="5">
        <v>2020</v>
      </c>
      <c r="C635" s="1">
        <v>99152</v>
      </c>
      <c r="D635" t="s">
        <v>274</v>
      </c>
      <c r="E635" t="s">
        <v>274</v>
      </c>
      <c r="F635" s="8">
        <v>31419</v>
      </c>
      <c r="G635" s="8">
        <v>556679</v>
      </c>
      <c r="H635" s="5">
        <f t="shared" si="19"/>
        <v>588098</v>
      </c>
      <c r="I635">
        <f>IFERROR(VLOOKUP(D635,'LEAID Match'!$A$2:$B$251,2,FALSE),"")</f>
        <v>4701200</v>
      </c>
    </row>
    <row r="636" spans="1:9" x14ac:dyDescent="0.2">
      <c r="A636">
        <f t="shared" si="18"/>
        <v>4701200</v>
      </c>
      <c r="B636" s="5">
        <v>2021</v>
      </c>
      <c r="C636" s="1">
        <v>99152</v>
      </c>
      <c r="D636" t="s">
        <v>274</v>
      </c>
      <c r="E636" t="s">
        <v>274</v>
      </c>
      <c r="F636" s="8">
        <v>40362</v>
      </c>
      <c r="G636" s="8">
        <v>485565</v>
      </c>
      <c r="H636" s="5">
        <f t="shared" si="19"/>
        <v>525927</v>
      </c>
      <c r="I636">
        <f>IFERROR(VLOOKUP(D636,'LEAID Match'!$A$2:$B$251,2,FALSE),"")</f>
        <v>4701200</v>
      </c>
    </row>
    <row r="637" spans="1:9" x14ac:dyDescent="0.2">
      <c r="A637">
        <f t="shared" si="18"/>
        <v>4701200</v>
      </c>
      <c r="B637" s="5">
        <v>2022</v>
      </c>
      <c r="C637" s="1">
        <v>99152</v>
      </c>
      <c r="D637" t="s">
        <v>274</v>
      </c>
      <c r="E637" t="s">
        <v>274</v>
      </c>
      <c r="F637" s="8">
        <v>49393.69</v>
      </c>
      <c r="G637" s="8">
        <v>538391.35</v>
      </c>
      <c r="H637" s="5">
        <f t="shared" si="19"/>
        <v>587785.04</v>
      </c>
      <c r="I637">
        <f>IFERROR(VLOOKUP(D637,'LEAID Match'!$A$2:$B$251,2,FALSE),"")</f>
        <v>4701200</v>
      </c>
    </row>
    <row r="638" spans="1:9" x14ac:dyDescent="0.2">
      <c r="A638">
        <f t="shared" si="18"/>
        <v>4701200</v>
      </c>
      <c r="B638" s="5">
        <v>2023</v>
      </c>
      <c r="C638" s="1">
        <v>99152</v>
      </c>
      <c r="D638" t="s">
        <v>274</v>
      </c>
      <c r="E638" t="s">
        <v>274</v>
      </c>
      <c r="F638" s="8">
        <v>69976.19</v>
      </c>
      <c r="G638" s="8">
        <v>385265.22</v>
      </c>
      <c r="H638" s="5">
        <f t="shared" si="19"/>
        <v>455241.41</v>
      </c>
      <c r="I638">
        <f>IFERROR(VLOOKUP(D638,'LEAID Match'!$A$2:$B$251,2,FALSE),"")</f>
        <v>4701200</v>
      </c>
    </row>
    <row r="639" spans="1:9" x14ac:dyDescent="0.2">
      <c r="A639">
        <f t="shared" si="18"/>
        <v>4701230</v>
      </c>
      <c r="B639" s="5">
        <v>2015</v>
      </c>
      <c r="C639" s="1">
        <v>99025</v>
      </c>
      <c r="D639" t="s">
        <v>275</v>
      </c>
      <c r="E639" t="s">
        <v>49</v>
      </c>
      <c r="F639" s="8">
        <v>10900</v>
      </c>
      <c r="G639" s="8">
        <v>758729</v>
      </c>
      <c r="H639" s="5">
        <f t="shared" si="19"/>
        <v>769629</v>
      </c>
      <c r="I639">
        <f>IFERROR(VLOOKUP(D639,'LEAID Match'!$A$2:$B$251,2,FALSE),"")</f>
        <v>4701230</v>
      </c>
    </row>
    <row r="640" spans="1:9" x14ac:dyDescent="0.2">
      <c r="A640">
        <f t="shared" si="18"/>
        <v>4701230</v>
      </c>
      <c r="B640" s="5">
        <v>2016</v>
      </c>
      <c r="C640" s="1">
        <v>99025</v>
      </c>
      <c r="D640" t="s">
        <v>275</v>
      </c>
      <c r="E640" t="s">
        <v>49</v>
      </c>
      <c r="F640" s="8">
        <v>32845</v>
      </c>
      <c r="G640" s="8">
        <v>741440</v>
      </c>
      <c r="H640" s="5">
        <f t="shared" si="19"/>
        <v>774285</v>
      </c>
      <c r="I640">
        <f>IFERROR(VLOOKUP(D640,'LEAID Match'!$A$2:$B$251,2,FALSE),"")</f>
        <v>4701230</v>
      </c>
    </row>
    <row r="641" spans="1:9" x14ac:dyDescent="0.2">
      <c r="A641">
        <f t="shared" si="18"/>
        <v>4701230</v>
      </c>
      <c r="B641" s="5">
        <v>2017</v>
      </c>
      <c r="C641" s="1">
        <v>99025</v>
      </c>
      <c r="D641" t="s">
        <v>275</v>
      </c>
      <c r="E641" t="s">
        <v>275</v>
      </c>
      <c r="F641" s="8">
        <v>44099</v>
      </c>
      <c r="G641" s="8">
        <v>706114</v>
      </c>
      <c r="H641" s="5">
        <f t="shared" si="19"/>
        <v>750213</v>
      </c>
      <c r="I641">
        <f>IFERROR(VLOOKUP(D641,'LEAID Match'!$A$2:$B$251,2,FALSE),"")</f>
        <v>4701230</v>
      </c>
    </row>
    <row r="642" spans="1:9" x14ac:dyDescent="0.2">
      <c r="A642">
        <f t="shared" si="18"/>
        <v>4701230</v>
      </c>
      <c r="B642" s="5">
        <v>2018</v>
      </c>
      <c r="C642" s="1">
        <v>99025</v>
      </c>
      <c r="D642" t="s">
        <v>275</v>
      </c>
      <c r="E642" t="s">
        <v>49</v>
      </c>
      <c r="F642" s="8">
        <v>51227</v>
      </c>
      <c r="G642" s="8">
        <v>706905</v>
      </c>
      <c r="H642" s="5">
        <f t="shared" si="19"/>
        <v>758132</v>
      </c>
      <c r="I642">
        <f>IFERROR(VLOOKUP(D642,'LEAID Match'!$A$2:$B$251,2,FALSE),"")</f>
        <v>4701230</v>
      </c>
    </row>
    <row r="643" spans="1:9" x14ac:dyDescent="0.2">
      <c r="A643">
        <f t="shared" ref="A643:A706" si="20">I643</f>
        <v>4701230</v>
      </c>
      <c r="B643" s="5">
        <v>2019</v>
      </c>
      <c r="C643" s="1">
        <v>99025</v>
      </c>
      <c r="D643" t="s">
        <v>275</v>
      </c>
      <c r="E643" t="s">
        <v>275</v>
      </c>
      <c r="F643" s="8">
        <v>28571</v>
      </c>
      <c r="G643" s="8">
        <v>786546</v>
      </c>
      <c r="H643" s="5">
        <f t="shared" ref="H643:H706" si="21">SUM(F643:G643)</f>
        <v>815117</v>
      </c>
      <c r="I643">
        <f>IFERROR(VLOOKUP(D643,'LEAID Match'!$A$2:$B$251,2,FALSE),"")</f>
        <v>4701230</v>
      </c>
    </row>
    <row r="644" spans="1:9" x14ac:dyDescent="0.2">
      <c r="A644">
        <f t="shared" si="20"/>
        <v>4701230</v>
      </c>
      <c r="B644" s="5">
        <v>2020</v>
      </c>
      <c r="C644" s="1">
        <v>99025</v>
      </c>
      <c r="D644" t="s">
        <v>275</v>
      </c>
      <c r="E644" t="s">
        <v>275</v>
      </c>
      <c r="F644" s="8">
        <v>31213</v>
      </c>
      <c r="G644" s="8">
        <v>799733</v>
      </c>
      <c r="H644" s="5">
        <f t="shared" si="21"/>
        <v>830946</v>
      </c>
      <c r="I644">
        <f>IFERROR(VLOOKUP(D644,'LEAID Match'!$A$2:$B$251,2,FALSE),"")</f>
        <v>4701230</v>
      </c>
    </row>
    <row r="645" spans="1:9" x14ac:dyDescent="0.2">
      <c r="A645">
        <f t="shared" si="20"/>
        <v>4701230</v>
      </c>
      <c r="B645" s="5">
        <v>2021</v>
      </c>
      <c r="C645" s="1">
        <v>99025</v>
      </c>
      <c r="D645" t="s">
        <v>275</v>
      </c>
      <c r="E645" t="s">
        <v>275</v>
      </c>
      <c r="F645" s="8">
        <v>38544</v>
      </c>
      <c r="G645" s="8">
        <v>766022</v>
      </c>
      <c r="H645" s="5">
        <f t="shared" si="21"/>
        <v>804566</v>
      </c>
      <c r="I645">
        <f>IFERROR(VLOOKUP(D645,'LEAID Match'!$A$2:$B$251,2,FALSE),"")</f>
        <v>4701230</v>
      </c>
    </row>
    <row r="646" spans="1:9" x14ac:dyDescent="0.2">
      <c r="A646">
        <f t="shared" si="20"/>
        <v>4701230</v>
      </c>
      <c r="B646" s="5">
        <v>2022</v>
      </c>
      <c r="C646" s="1">
        <v>99025</v>
      </c>
      <c r="D646" t="s">
        <v>275</v>
      </c>
      <c r="E646" t="s">
        <v>275</v>
      </c>
      <c r="F646" s="8">
        <v>49207.41</v>
      </c>
      <c r="G646" s="8">
        <v>724390.96</v>
      </c>
      <c r="H646" s="5">
        <f t="shared" si="21"/>
        <v>773598.37</v>
      </c>
      <c r="I646">
        <f>IFERROR(VLOOKUP(D646,'LEAID Match'!$A$2:$B$251,2,FALSE),"")</f>
        <v>4701230</v>
      </c>
    </row>
    <row r="647" spans="1:9" x14ac:dyDescent="0.2">
      <c r="A647">
        <f t="shared" si="20"/>
        <v>4701230</v>
      </c>
      <c r="B647" s="5">
        <v>2023</v>
      </c>
      <c r="C647" s="1">
        <v>99025</v>
      </c>
      <c r="D647" t="s">
        <v>275</v>
      </c>
      <c r="E647" t="s">
        <v>275</v>
      </c>
      <c r="F647" s="8">
        <v>94855.19</v>
      </c>
      <c r="G647" s="8">
        <v>634830.91</v>
      </c>
      <c r="H647" s="5">
        <f t="shared" si="21"/>
        <v>729686.10000000009</v>
      </c>
      <c r="I647">
        <f>IFERROR(VLOOKUP(D647,'LEAID Match'!$A$2:$B$251,2,FALSE),"")</f>
        <v>4701230</v>
      </c>
    </row>
    <row r="648" spans="1:9" x14ac:dyDescent="0.2">
      <c r="A648">
        <f t="shared" si="20"/>
        <v>4701290</v>
      </c>
      <c r="B648" s="5">
        <v>2015</v>
      </c>
      <c r="C648" s="1">
        <v>99026</v>
      </c>
      <c r="D648" t="s">
        <v>276</v>
      </c>
      <c r="E648" t="s">
        <v>563</v>
      </c>
      <c r="F648" s="8">
        <v>25890</v>
      </c>
      <c r="G648" s="8">
        <v>1779184</v>
      </c>
      <c r="H648" s="5">
        <f t="shared" si="21"/>
        <v>1805074</v>
      </c>
      <c r="I648">
        <f>IFERROR(VLOOKUP(D648,'LEAID Match'!$A$2:$B$251,2,FALSE),"")</f>
        <v>4701290</v>
      </c>
    </row>
    <row r="649" spans="1:9" x14ac:dyDescent="0.2">
      <c r="A649">
        <f t="shared" si="20"/>
        <v>4701290</v>
      </c>
      <c r="B649" s="5">
        <v>2016</v>
      </c>
      <c r="C649" s="1">
        <v>99026</v>
      </c>
      <c r="D649" t="s">
        <v>276</v>
      </c>
      <c r="E649" t="s">
        <v>50</v>
      </c>
      <c r="F649" s="8">
        <v>59257</v>
      </c>
      <c r="G649" s="8">
        <v>1758044</v>
      </c>
      <c r="H649" s="5">
        <f t="shared" si="21"/>
        <v>1817301</v>
      </c>
      <c r="I649">
        <f>IFERROR(VLOOKUP(D649,'LEAID Match'!$A$2:$B$251,2,FALSE),"")</f>
        <v>4701290</v>
      </c>
    </row>
    <row r="650" spans="1:9" x14ac:dyDescent="0.2">
      <c r="A650">
        <f t="shared" si="20"/>
        <v>4701290</v>
      </c>
      <c r="B650" s="5">
        <v>2017</v>
      </c>
      <c r="C650" s="1">
        <v>99026</v>
      </c>
      <c r="D650" t="s">
        <v>276</v>
      </c>
      <c r="E650" t="s">
        <v>276</v>
      </c>
      <c r="F650" s="8">
        <v>80206</v>
      </c>
      <c r="G650" s="8">
        <v>1751126</v>
      </c>
      <c r="H650" s="5">
        <f t="shared" si="21"/>
        <v>1831332</v>
      </c>
      <c r="I650">
        <f>IFERROR(VLOOKUP(D650,'LEAID Match'!$A$2:$B$251,2,FALSE),"")</f>
        <v>4701290</v>
      </c>
    </row>
    <row r="651" spans="1:9" x14ac:dyDescent="0.2">
      <c r="A651">
        <f t="shared" si="20"/>
        <v>4701290</v>
      </c>
      <c r="B651" s="5">
        <v>2018</v>
      </c>
      <c r="C651" s="1">
        <v>99026</v>
      </c>
      <c r="D651" t="s">
        <v>276</v>
      </c>
      <c r="E651" t="s">
        <v>50</v>
      </c>
      <c r="F651" s="8">
        <v>101341</v>
      </c>
      <c r="G651" s="8">
        <v>1744158</v>
      </c>
      <c r="H651" s="5">
        <f t="shared" si="21"/>
        <v>1845499</v>
      </c>
      <c r="I651">
        <f>IFERROR(VLOOKUP(D651,'LEAID Match'!$A$2:$B$251,2,FALSE),"")</f>
        <v>4701290</v>
      </c>
    </row>
    <row r="652" spans="1:9" x14ac:dyDescent="0.2">
      <c r="A652">
        <f t="shared" si="20"/>
        <v>4701290</v>
      </c>
      <c r="B652" s="5">
        <v>2019</v>
      </c>
      <c r="C652" s="1">
        <v>99026</v>
      </c>
      <c r="D652" t="s">
        <v>276</v>
      </c>
      <c r="E652" t="s">
        <v>276</v>
      </c>
      <c r="F652" s="8">
        <v>59381</v>
      </c>
      <c r="G652" s="8">
        <v>1989865</v>
      </c>
      <c r="H652" s="5">
        <f t="shared" si="21"/>
        <v>2049246</v>
      </c>
      <c r="I652">
        <f>IFERROR(VLOOKUP(D652,'LEAID Match'!$A$2:$B$251,2,FALSE),"")</f>
        <v>4701290</v>
      </c>
    </row>
    <row r="653" spans="1:9" x14ac:dyDescent="0.2">
      <c r="A653">
        <f t="shared" si="20"/>
        <v>4701290</v>
      </c>
      <c r="B653" s="5">
        <v>2020</v>
      </c>
      <c r="C653" s="1">
        <v>99026</v>
      </c>
      <c r="D653" t="s">
        <v>276</v>
      </c>
      <c r="E653" t="s">
        <v>276</v>
      </c>
      <c r="F653" s="8">
        <v>69635</v>
      </c>
      <c r="G653" s="8">
        <v>1977519</v>
      </c>
      <c r="H653" s="5">
        <f t="shared" si="21"/>
        <v>2047154</v>
      </c>
      <c r="I653">
        <f>IFERROR(VLOOKUP(D653,'LEAID Match'!$A$2:$B$251,2,FALSE),"")</f>
        <v>4701290</v>
      </c>
    </row>
    <row r="654" spans="1:9" x14ac:dyDescent="0.2">
      <c r="A654">
        <f t="shared" si="20"/>
        <v>4701290</v>
      </c>
      <c r="B654" s="5">
        <v>2021</v>
      </c>
      <c r="C654" s="1">
        <v>99026</v>
      </c>
      <c r="D654" t="s">
        <v>276</v>
      </c>
      <c r="E654" t="s">
        <v>276</v>
      </c>
      <c r="F654" s="8">
        <v>84282</v>
      </c>
      <c r="G654" s="8">
        <v>1793161</v>
      </c>
      <c r="H654" s="5">
        <f t="shared" si="21"/>
        <v>1877443</v>
      </c>
      <c r="I654">
        <f>IFERROR(VLOOKUP(D654,'LEAID Match'!$A$2:$B$251,2,FALSE),"")</f>
        <v>4701290</v>
      </c>
    </row>
    <row r="655" spans="1:9" x14ac:dyDescent="0.2">
      <c r="A655">
        <f t="shared" si="20"/>
        <v>4701290</v>
      </c>
      <c r="B655" s="5">
        <v>2022</v>
      </c>
      <c r="C655" s="1">
        <v>99026</v>
      </c>
      <c r="D655" t="s">
        <v>276</v>
      </c>
      <c r="E655" t="s">
        <v>276</v>
      </c>
      <c r="F655" s="8">
        <v>125369.69</v>
      </c>
      <c r="G655" s="8">
        <v>1782559.7</v>
      </c>
      <c r="H655" s="5">
        <f t="shared" si="21"/>
        <v>1907929.39</v>
      </c>
      <c r="I655">
        <f>IFERROR(VLOOKUP(D655,'LEAID Match'!$A$2:$B$251,2,FALSE),"")</f>
        <v>4701290</v>
      </c>
    </row>
    <row r="656" spans="1:9" x14ac:dyDescent="0.2">
      <c r="A656">
        <f t="shared" si="20"/>
        <v>4701290</v>
      </c>
      <c r="B656" s="5">
        <v>2023</v>
      </c>
      <c r="C656" s="1">
        <v>99026</v>
      </c>
      <c r="D656" t="s">
        <v>276</v>
      </c>
      <c r="E656" t="s">
        <v>276</v>
      </c>
      <c r="F656" s="8">
        <v>209100.87</v>
      </c>
      <c r="G656" s="8">
        <v>1415534.55</v>
      </c>
      <c r="H656" s="5">
        <f t="shared" si="21"/>
        <v>1624635.42</v>
      </c>
      <c r="I656">
        <f>IFERROR(VLOOKUP(D656,'LEAID Match'!$A$2:$B$251,2,FALSE),"")</f>
        <v>4701290</v>
      </c>
    </row>
    <row r="657" spans="1:9" x14ac:dyDescent="0.2">
      <c r="A657">
        <f t="shared" si="20"/>
        <v>4701260</v>
      </c>
      <c r="B657" s="5">
        <v>2015</v>
      </c>
      <c r="C657" s="1">
        <v>99194</v>
      </c>
      <c r="D657" t="s">
        <v>277</v>
      </c>
      <c r="E657" t="s">
        <v>181</v>
      </c>
      <c r="F657" s="8">
        <v>33539</v>
      </c>
      <c r="G657" s="8">
        <v>1988098</v>
      </c>
      <c r="H657" s="5">
        <f t="shared" si="21"/>
        <v>2021637</v>
      </c>
      <c r="I657">
        <f>IFERROR(VLOOKUP(D657,'LEAID Match'!$A$2:$B$251,2,FALSE),"")</f>
        <v>4701260</v>
      </c>
    </row>
    <row r="658" spans="1:9" x14ac:dyDescent="0.2">
      <c r="A658">
        <f t="shared" si="20"/>
        <v>4701260</v>
      </c>
      <c r="B658" s="5">
        <v>2016</v>
      </c>
      <c r="C658" s="1">
        <v>99194</v>
      </c>
      <c r="D658" t="s">
        <v>277</v>
      </c>
      <c r="E658" t="s">
        <v>181</v>
      </c>
      <c r="F658" s="8">
        <v>73627</v>
      </c>
      <c r="G658" s="8">
        <v>1874148</v>
      </c>
      <c r="H658" s="5">
        <f t="shared" si="21"/>
        <v>1947775</v>
      </c>
      <c r="I658">
        <f>IFERROR(VLOOKUP(D658,'LEAID Match'!$A$2:$B$251,2,FALSE),"")</f>
        <v>4701260</v>
      </c>
    </row>
    <row r="659" spans="1:9" x14ac:dyDescent="0.2">
      <c r="A659">
        <f t="shared" si="20"/>
        <v>4701260</v>
      </c>
      <c r="B659" s="5">
        <v>2017</v>
      </c>
      <c r="C659" s="1">
        <v>99194</v>
      </c>
      <c r="D659" t="s">
        <v>277</v>
      </c>
      <c r="E659" t="s">
        <v>277</v>
      </c>
      <c r="F659" s="8">
        <v>102741</v>
      </c>
      <c r="G659" s="8">
        <v>1928065</v>
      </c>
      <c r="H659" s="5">
        <f t="shared" si="21"/>
        <v>2030806</v>
      </c>
      <c r="I659">
        <f>IFERROR(VLOOKUP(D659,'LEAID Match'!$A$2:$B$251,2,FALSE),"")</f>
        <v>4701260</v>
      </c>
    </row>
    <row r="660" spans="1:9" x14ac:dyDescent="0.2">
      <c r="A660">
        <f t="shared" si="20"/>
        <v>4701260</v>
      </c>
      <c r="B660" s="5">
        <v>2018</v>
      </c>
      <c r="C660" s="1">
        <v>99194</v>
      </c>
      <c r="D660" t="s">
        <v>277</v>
      </c>
      <c r="E660" t="s">
        <v>181</v>
      </c>
      <c r="F660" s="8">
        <v>138392</v>
      </c>
      <c r="G660" s="8">
        <v>1841295</v>
      </c>
      <c r="H660" s="5">
        <f t="shared" si="21"/>
        <v>1979687</v>
      </c>
      <c r="I660">
        <f>IFERROR(VLOOKUP(D660,'LEAID Match'!$A$2:$B$251,2,FALSE),"")</f>
        <v>4701260</v>
      </c>
    </row>
    <row r="661" spans="1:9" x14ac:dyDescent="0.2">
      <c r="A661">
        <f t="shared" si="20"/>
        <v>4701260</v>
      </c>
      <c r="B661" s="5">
        <v>2019</v>
      </c>
      <c r="C661" s="1">
        <v>99194</v>
      </c>
      <c r="D661" t="s">
        <v>277</v>
      </c>
      <c r="E661" t="s">
        <v>277</v>
      </c>
      <c r="F661" s="8">
        <v>86219</v>
      </c>
      <c r="G661" s="8">
        <v>2168914</v>
      </c>
      <c r="H661" s="5">
        <f t="shared" si="21"/>
        <v>2255133</v>
      </c>
      <c r="I661">
        <f>IFERROR(VLOOKUP(D661,'LEAID Match'!$A$2:$B$251,2,FALSE),"")</f>
        <v>4701260</v>
      </c>
    </row>
    <row r="662" spans="1:9" x14ac:dyDescent="0.2">
      <c r="A662">
        <f t="shared" si="20"/>
        <v>4701260</v>
      </c>
      <c r="B662" s="5">
        <v>2020</v>
      </c>
      <c r="C662" s="1">
        <v>99194</v>
      </c>
      <c r="D662" t="s">
        <v>277</v>
      </c>
      <c r="E662" t="s">
        <v>277</v>
      </c>
      <c r="F662" s="8">
        <v>107781</v>
      </c>
      <c r="G662" s="8">
        <v>2209711</v>
      </c>
      <c r="H662" s="5">
        <f t="shared" si="21"/>
        <v>2317492</v>
      </c>
      <c r="I662">
        <f>IFERROR(VLOOKUP(D662,'LEAID Match'!$A$2:$B$251,2,FALSE),"")</f>
        <v>4701260</v>
      </c>
    </row>
    <row r="663" spans="1:9" x14ac:dyDescent="0.2">
      <c r="A663">
        <f t="shared" si="20"/>
        <v>4701260</v>
      </c>
      <c r="B663" s="5">
        <v>2021</v>
      </c>
      <c r="C663" s="1">
        <v>99194</v>
      </c>
      <c r="D663" t="s">
        <v>277</v>
      </c>
      <c r="E663" t="s">
        <v>277</v>
      </c>
      <c r="F663" s="8">
        <v>124791</v>
      </c>
      <c r="G663" s="8">
        <v>2084405</v>
      </c>
      <c r="H663" s="5">
        <f t="shared" si="21"/>
        <v>2209196</v>
      </c>
      <c r="I663">
        <f>IFERROR(VLOOKUP(D663,'LEAID Match'!$A$2:$B$251,2,FALSE),"")</f>
        <v>4701260</v>
      </c>
    </row>
    <row r="664" spans="1:9" x14ac:dyDescent="0.2">
      <c r="A664">
        <f t="shared" si="20"/>
        <v>4701260</v>
      </c>
      <c r="B664" s="5">
        <v>2022</v>
      </c>
      <c r="C664" s="1">
        <v>99194</v>
      </c>
      <c r="D664" t="s">
        <v>277</v>
      </c>
      <c r="E664" t="s">
        <v>277</v>
      </c>
      <c r="F664" s="8">
        <v>132162.57</v>
      </c>
      <c r="G664" s="8">
        <v>2100099.42</v>
      </c>
      <c r="H664" s="5">
        <f t="shared" si="21"/>
        <v>2232261.9899999998</v>
      </c>
      <c r="I664">
        <f>IFERROR(VLOOKUP(D664,'LEAID Match'!$A$2:$B$251,2,FALSE),"")</f>
        <v>4701260</v>
      </c>
    </row>
    <row r="665" spans="1:9" x14ac:dyDescent="0.2">
      <c r="A665">
        <f t="shared" si="20"/>
        <v>4701260</v>
      </c>
      <c r="B665" s="5">
        <v>2023</v>
      </c>
      <c r="C665" s="1">
        <v>99194</v>
      </c>
      <c r="D665" t="s">
        <v>277</v>
      </c>
      <c r="E665" t="s">
        <v>277</v>
      </c>
      <c r="F665" s="8">
        <v>224655.31</v>
      </c>
      <c r="G665" s="8">
        <v>1753785.38</v>
      </c>
      <c r="H665" s="5">
        <f t="shared" si="21"/>
        <v>1978440.69</v>
      </c>
      <c r="I665">
        <f>IFERROR(VLOOKUP(D665,'LEAID Match'!$A$2:$B$251,2,FALSE),"")</f>
        <v>4701260</v>
      </c>
    </row>
    <row r="666" spans="1:9" x14ac:dyDescent="0.2">
      <c r="A666">
        <f t="shared" si="20"/>
        <v>0</v>
      </c>
      <c r="B666" s="5">
        <v>2015</v>
      </c>
      <c r="C666" s="1">
        <v>97926</v>
      </c>
      <c r="D666" t="s">
        <v>526</v>
      </c>
      <c r="E666" t="s">
        <v>564</v>
      </c>
      <c r="F666" s="8">
        <v>19218</v>
      </c>
      <c r="G666" s="8">
        <v>129292</v>
      </c>
      <c r="H666" s="5">
        <f t="shared" si="21"/>
        <v>148510</v>
      </c>
      <c r="I666">
        <f>IFERROR(VLOOKUP(D666,'LEAID Match'!$A$2:$B$251,2,FALSE),"")</f>
        <v>0</v>
      </c>
    </row>
    <row r="667" spans="1:9" x14ac:dyDescent="0.2">
      <c r="A667">
        <f t="shared" si="20"/>
        <v>0</v>
      </c>
      <c r="B667" s="5">
        <v>2016</v>
      </c>
      <c r="C667" s="1">
        <v>97926</v>
      </c>
      <c r="D667" t="s">
        <v>526</v>
      </c>
      <c r="E667" t="s">
        <v>182</v>
      </c>
      <c r="F667" s="8">
        <v>47082</v>
      </c>
      <c r="G667" s="8">
        <v>122274</v>
      </c>
      <c r="H667" s="5">
        <f t="shared" si="21"/>
        <v>169356</v>
      </c>
      <c r="I667">
        <f>IFERROR(VLOOKUP(D667,'LEAID Match'!$A$2:$B$251,2,FALSE),"")</f>
        <v>0</v>
      </c>
    </row>
    <row r="668" spans="1:9" x14ac:dyDescent="0.2">
      <c r="A668">
        <f t="shared" si="20"/>
        <v>0</v>
      </c>
      <c r="B668" s="5">
        <v>2017</v>
      </c>
      <c r="C668" s="1">
        <v>97926</v>
      </c>
      <c r="D668" t="s">
        <v>526</v>
      </c>
      <c r="E668" t="s">
        <v>278</v>
      </c>
      <c r="F668" s="8">
        <v>97632</v>
      </c>
      <c r="G668" s="8">
        <v>131003</v>
      </c>
      <c r="H668" s="5">
        <f t="shared" si="21"/>
        <v>228635</v>
      </c>
      <c r="I668">
        <f>IFERROR(VLOOKUP(D668,'LEAID Match'!$A$2:$B$251,2,FALSE),"")</f>
        <v>0</v>
      </c>
    </row>
    <row r="669" spans="1:9" x14ac:dyDescent="0.2">
      <c r="A669">
        <f t="shared" si="20"/>
        <v>0</v>
      </c>
      <c r="B669" s="5">
        <v>2018</v>
      </c>
      <c r="C669" s="1">
        <v>97926</v>
      </c>
      <c r="D669" t="s">
        <v>526</v>
      </c>
      <c r="E669" t="s">
        <v>459</v>
      </c>
      <c r="F669" s="8">
        <v>133858</v>
      </c>
      <c r="G669" s="8">
        <v>148991</v>
      </c>
      <c r="H669" s="5">
        <f t="shared" si="21"/>
        <v>282849</v>
      </c>
      <c r="I669">
        <f>IFERROR(VLOOKUP(D669,'LEAID Match'!$A$2:$B$251,2,FALSE),"")</f>
        <v>0</v>
      </c>
    </row>
    <row r="670" spans="1:9" x14ac:dyDescent="0.2">
      <c r="A670">
        <f t="shared" si="20"/>
        <v>0</v>
      </c>
      <c r="B670" s="5">
        <v>2019</v>
      </c>
      <c r="C670" s="1">
        <v>97926</v>
      </c>
      <c r="D670" t="s">
        <v>526</v>
      </c>
      <c r="E670" t="s">
        <v>278</v>
      </c>
      <c r="F670" s="8">
        <v>57229</v>
      </c>
      <c r="G670" s="8">
        <v>162265</v>
      </c>
      <c r="H670" s="5">
        <f t="shared" si="21"/>
        <v>219494</v>
      </c>
      <c r="I670">
        <f>IFERROR(VLOOKUP(D670,'LEAID Match'!$A$2:$B$251,2,FALSE),"")</f>
        <v>0</v>
      </c>
    </row>
    <row r="671" spans="1:9" x14ac:dyDescent="0.2">
      <c r="A671">
        <f t="shared" si="20"/>
        <v>0</v>
      </c>
      <c r="B671" s="5">
        <v>2020</v>
      </c>
      <c r="C671" s="1">
        <v>97926</v>
      </c>
      <c r="D671" t="s">
        <v>526</v>
      </c>
      <c r="E671" t="s">
        <v>278</v>
      </c>
      <c r="F671" s="8">
        <v>77415</v>
      </c>
      <c r="G671" s="8">
        <v>169978</v>
      </c>
      <c r="H671" s="5">
        <f t="shared" si="21"/>
        <v>247393</v>
      </c>
      <c r="I671">
        <f>IFERROR(VLOOKUP(D671,'LEAID Match'!$A$2:$B$251,2,FALSE),"")</f>
        <v>0</v>
      </c>
    </row>
    <row r="672" spans="1:9" x14ac:dyDescent="0.2">
      <c r="A672">
        <f t="shared" si="20"/>
        <v>0</v>
      </c>
      <c r="B672" s="5">
        <v>2021</v>
      </c>
      <c r="C672" s="1">
        <v>97926</v>
      </c>
      <c r="D672" t="s">
        <v>526</v>
      </c>
      <c r="E672" t="s">
        <v>278</v>
      </c>
      <c r="F672" s="8">
        <v>176213</v>
      </c>
      <c r="G672" s="8">
        <v>199204</v>
      </c>
      <c r="H672" s="5">
        <f t="shared" si="21"/>
        <v>375417</v>
      </c>
      <c r="I672">
        <f>IFERROR(VLOOKUP(D672,'LEAID Match'!$A$2:$B$251,2,FALSE),"")</f>
        <v>0</v>
      </c>
    </row>
    <row r="673" spans="1:9" x14ac:dyDescent="0.2">
      <c r="A673">
        <f t="shared" si="20"/>
        <v>0</v>
      </c>
      <c r="B673" s="5">
        <v>2022</v>
      </c>
      <c r="C673" s="1">
        <v>97926</v>
      </c>
      <c r="D673" t="s">
        <v>526</v>
      </c>
      <c r="E673" t="s">
        <v>584</v>
      </c>
      <c r="F673" s="8">
        <v>187903.3</v>
      </c>
      <c r="G673" s="8">
        <v>210522.53</v>
      </c>
      <c r="H673" s="5">
        <f t="shared" si="21"/>
        <v>398425.82999999996</v>
      </c>
      <c r="I673">
        <f>IFERROR(VLOOKUP(D673,'LEAID Match'!$A$2:$B$251,2,FALSE),"")</f>
        <v>0</v>
      </c>
    </row>
    <row r="674" spans="1:9" x14ac:dyDescent="0.2">
      <c r="A674">
        <f t="shared" si="20"/>
        <v>0</v>
      </c>
      <c r="B674" s="5">
        <v>2023</v>
      </c>
      <c r="C674" s="1">
        <v>97926</v>
      </c>
      <c r="D674" t="s">
        <v>526</v>
      </c>
      <c r="E674" t="s">
        <v>526</v>
      </c>
      <c r="F674" s="8">
        <v>251605.89</v>
      </c>
      <c r="G674" s="8">
        <v>189924.27</v>
      </c>
      <c r="H674" s="5">
        <f t="shared" si="21"/>
        <v>441530.16000000003</v>
      </c>
      <c r="I674">
        <f>IFERROR(VLOOKUP(D674,'LEAID Match'!$A$2:$B$251,2,FALSE),"")</f>
        <v>0</v>
      </c>
    </row>
    <row r="675" spans="1:9" x14ac:dyDescent="0.2">
      <c r="A675">
        <f t="shared" si="20"/>
        <v>0</v>
      </c>
      <c r="B675" s="5">
        <v>2018</v>
      </c>
      <c r="C675" s="1">
        <v>97967</v>
      </c>
      <c r="D675" t="s">
        <v>486</v>
      </c>
      <c r="E675" t="s">
        <v>460</v>
      </c>
      <c r="F675" s="8">
        <v>6590</v>
      </c>
      <c r="G675" s="8">
        <v>12995</v>
      </c>
      <c r="H675" s="5">
        <f t="shared" si="21"/>
        <v>19585</v>
      </c>
      <c r="I675">
        <f>IFERROR(VLOOKUP(D675,'LEAID Match'!$A$2:$B$251,2,FALSE),"")</f>
        <v>0</v>
      </c>
    </row>
    <row r="676" spans="1:9" x14ac:dyDescent="0.2">
      <c r="A676">
        <f t="shared" si="20"/>
        <v>0</v>
      </c>
      <c r="B676" s="5">
        <v>2019</v>
      </c>
      <c r="C676" s="1">
        <v>97967</v>
      </c>
      <c r="D676" t="s">
        <v>486</v>
      </c>
      <c r="E676" t="s">
        <v>486</v>
      </c>
      <c r="F676" s="8">
        <v>6670</v>
      </c>
      <c r="G676" s="8">
        <v>28211</v>
      </c>
      <c r="H676" s="5">
        <f t="shared" si="21"/>
        <v>34881</v>
      </c>
      <c r="I676">
        <f>IFERROR(VLOOKUP(D676,'LEAID Match'!$A$2:$B$251,2,FALSE),"")</f>
        <v>0</v>
      </c>
    </row>
    <row r="677" spans="1:9" x14ac:dyDescent="0.2">
      <c r="A677">
        <f t="shared" si="20"/>
        <v>0</v>
      </c>
      <c r="B677" s="5">
        <v>2020</v>
      </c>
      <c r="C677" s="1">
        <v>97967</v>
      </c>
      <c r="D677" t="s">
        <v>486</v>
      </c>
      <c r="E677" t="s">
        <v>486</v>
      </c>
      <c r="F677" s="8" t="s">
        <v>591</v>
      </c>
      <c r="G677" s="8">
        <v>7026</v>
      </c>
      <c r="H677" s="5">
        <f t="shared" si="21"/>
        <v>7026</v>
      </c>
      <c r="I677">
        <f>IFERROR(VLOOKUP(D677,'LEAID Match'!$A$2:$B$251,2,FALSE),"")</f>
        <v>0</v>
      </c>
    </row>
    <row r="678" spans="1:9" x14ac:dyDescent="0.2">
      <c r="A678">
        <f t="shared" si="20"/>
        <v>0</v>
      </c>
      <c r="B678" s="5">
        <v>2021</v>
      </c>
      <c r="C678" s="1">
        <v>97967</v>
      </c>
      <c r="D678" t="s">
        <v>486</v>
      </c>
      <c r="E678" t="s">
        <v>486</v>
      </c>
      <c r="F678" s="8" t="s">
        <v>591</v>
      </c>
      <c r="G678" s="8" t="s">
        <v>591</v>
      </c>
      <c r="H678" s="5">
        <f t="shared" si="21"/>
        <v>0</v>
      </c>
      <c r="I678">
        <f>IFERROR(VLOOKUP(D678,'LEAID Match'!$A$2:$B$251,2,FALSE),"")</f>
        <v>0</v>
      </c>
    </row>
    <row r="679" spans="1:9" x14ac:dyDescent="0.2">
      <c r="A679">
        <f t="shared" si="20"/>
        <v>0</v>
      </c>
      <c r="B679" s="5">
        <v>2022</v>
      </c>
      <c r="C679" s="1">
        <v>97967</v>
      </c>
      <c r="D679" t="s">
        <v>486</v>
      </c>
      <c r="E679" t="s">
        <v>486</v>
      </c>
      <c r="F679" s="8" t="s">
        <v>591</v>
      </c>
      <c r="G679" s="8" t="s">
        <v>591</v>
      </c>
      <c r="H679" s="5">
        <f t="shared" si="21"/>
        <v>0</v>
      </c>
      <c r="I679">
        <f>IFERROR(VLOOKUP(D679,'LEAID Match'!$A$2:$B$251,2,FALSE),"")</f>
        <v>0</v>
      </c>
    </row>
    <row r="680" spans="1:9" x14ac:dyDescent="0.2">
      <c r="A680">
        <f t="shared" si="20"/>
        <v>0</v>
      </c>
      <c r="B680" s="5">
        <v>2023</v>
      </c>
      <c r="C680" s="1">
        <v>97967</v>
      </c>
      <c r="D680" t="s">
        <v>486</v>
      </c>
      <c r="E680" t="s">
        <v>486</v>
      </c>
      <c r="F680" s="8" t="s">
        <v>591</v>
      </c>
      <c r="G680" s="8" t="s">
        <v>591</v>
      </c>
      <c r="H680" s="5">
        <f t="shared" si="21"/>
        <v>0</v>
      </c>
      <c r="I680">
        <f>IFERROR(VLOOKUP(D680,'LEAID Match'!$A$2:$B$251,2,FALSE),"")</f>
        <v>0</v>
      </c>
    </row>
    <row r="681" spans="1:9" x14ac:dyDescent="0.2">
      <c r="A681">
        <f t="shared" si="20"/>
        <v>4700151</v>
      </c>
      <c r="B681" s="5">
        <v>2015</v>
      </c>
      <c r="C681" s="1">
        <v>97904</v>
      </c>
      <c r="D681" t="s">
        <v>279</v>
      </c>
      <c r="E681" t="s">
        <v>51</v>
      </c>
      <c r="F681" s="8">
        <v>49918</v>
      </c>
      <c r="G681" s="8">
        <v>1807972</v>
      </c>
      <c r="H681" s="5">
        <f t="shared" si="21"/>
        <v>1857890</v>
      </c>
      <c r="I681">
        <f>IFERROR(VLOOKUP(D681,'LEAID Match'!$A$2:$B$251,2,FALSE),"")</f>
        <v>4700151</v>
      </c>
    </row>
    <row r="682" spans="1:9" x14ac:dyDescent="0.2">
      <c r="A682">
        <f t="shared" si="20"/>
        <v>4700151</v>
      </c>
      <c r="B682" s="5">
        <v>2016</v>
      </c>
      <c r="C682" s="1">
        <v>97904</v>
      </c>
      <c r="D682" t="s">
        <v>279</v>
      </c>
      <c r="E682" t="s">
        <v>51</v>
      </c>
      <c r="F682" s="8">
        <v>92267</v>
      </c>
      <c r="G682" s="8">
        <v>1995561</v>
      </c>
      <c r="H682" s="5">
        <f t="shared" si="21"/>
        <v>2087828</v>
      </c>
      <c r="I682">
        <f>IFERROR(VLOOKUP(D682,'LEAID Match'!$A$2:$B$251,2,FALSE),"")</f>
        <v>4700151</v>
      </c>
    </row>
    <row r="683" spans="1:9" x14ac:dyDescent="0.2">
      <c r="A683">
        <f t="shared" si="20"/>
        <v>4700151</v>
      </c>
      <c r="B683" s="5">
        <v>2017</v>
      </c>
      <c r="C683" s="1">
        <v>97904</v>
      </c>
      <c r="D683" t="s">
        <v>279</v>
      </c>
      <c r="E683" t="s">
        <v>279</v>
      </c>
      <c r="F683" s="8">
        <v>145944</v>
      </c>
      <c r="G683" s="8">
        <v>1973361</v>
      </c>
      <c r="H683" s="5">
        <f t="shared" si="21"/>
        <v>2119305</v>
      </c>
      <c r="I683">
        <f>IFERROR(VLOOKUP(D683,'LEAID Match'!$A$2:$B$251,2,FALSE),"")</f>
        <v>4700151</v>
      </c>
    </row>
    <row r="684" spans="1:9" x14ac:dyDescent="0.2">
      <c r="A684">
        <f t="shared" si="20"/>
        <v>4700151</v>
      </c>
      <c r="B684" s="5">
        <v>2018</v>
      </c>
      <c r="C684" s="1">
        <v>97904</v>
      </c>
      <c r="D684" t="s">
        <v>279</v>
      </c>
      <c r="E684" t="s">
        <v>51</v>
      </c>
      <c r="F684" s="8">
        <v>194915</v>
      </c>
      <c r="G684" s="8">
        <v>1958758</v>
      </c>
      <c r="H684" s="5">
        <f t="shared" si="21"/>
        <v>2153673</v>
      </c>
      <c r="I684">
        <f>IFERROR(VLOOKUP(D684,'LEAID Match'!$A$2:$B$251,2,FALSE),"")</f>
        <v>4700151</v>
      </c>
    </row>
    <row r="685" spans="1:9" x14ac:dyDescent="0.2">
      <c r="A685">
        <f t="shared" si="20"/>
        <v>4700151</v>
      </c>
      <c r="B685" s="5">
        <v>2019</v>
      </c>
      <c r="C685" s="1">
        <v>97904</v>
      </c>
      <c r="D685" t="s">
        <v>279</v>
      </c>
      <c r="E685" t="s">
        <v>279</v>
      </c>
      <c r="F685" s="8">
        <v>120830</v>
      </c>
      <c r="G685" s="8">
        <v>2239978</v>
      </c>
      <c r="H685" s="5">
        <f t="shared" si="21"/>
        <v>2360808</v>
      </c>
      <c r="I685">
        <f>IFERROR(VLOOKUP(D685,'LEAID Match'!$A$2:$B$251,2,FALSE),"")</f>
        <v>4700151</v>
      </c>
    </row>
    <row r="686" spans="1:9" x14ac:dyDescent="0.2">
      <c r="A686">
        <f t="shared" si="20"/>
        <v>4700151</v>
      </c>
      <c r="B686" s="5">
        <v>2020</v>
      </c>
      <c r="C686" s="1">
        <v>97904</v>
      </c>
      <c r="D686" t="s">
        <v>279</v>
      </c>
      <c r="E686" t="s">
        <v>279</v>
      </c>
      <c r="F686" s="8">
        <v>161601</v>
      </c>
      <c r="G686" s="8">
        <v>2294249</v>
      </c>
      <c r="H686" s="5">
        <f t="shared" si="21"/>
        <v>2455850</v>
      </c>
      <c r="I686">
        <f>IFERROR(VLOOKUP(D686,'LEAID Match'!$A$2:$B$251,2,FALSE),"")</f>
        <v>4700151</v>
      </c>
    </row>
    <row r="687" spans="1:9" x14ac:dyDescent="0.2">
      <c r="A687">
        <f t="shared" si="20"/>
        <v>4700151</v>
      </c>
      <c r="B687" s="5">
        <v>2021</v>
      </c>
      <c r="C687" s="1">
        <v>97904</v>
      </c>
      <c r="D687" t="s">
        <v>279</v>
      </c>
      <c r="E687" t="s">
        <v>279</v>
      </c>
      <c r="F687" s="8">
        <v>193711</v>
      </c>
      <c r="G687" s="8">
        <v>2215191</v>
      </c>
      <c r="H687" s="5">
        <f t="shared" si="21"/>
        <v>2408902</v>
      </c>
      <c r="I687">
        <f>IFERROR(VLOOKUP(D687,'LEAID Match'!$A$2:$B$251,2,FALSE),"")</f>
        <v>4700151</v>
      </c>
    </row>
    <row r="688" spans="1:9" x14ac:dyDescent="0.2">
      <c r="A688">
        <f t="shared" si="20"/>
        <v>4700151</v>
      </c>
      <c r="B688" s="5">
        <v>2022</v>
      </c>
      <c r="C688" s="1">
        <v>97904</v>
      </c>
      <c r="D688" t="s">
        <v>279</v>
      </c>
      <c r="E688" t="s">
        <v>279</v>
      </c>
      <c r="F688" s="8">
        <v>228144.47</v>
      </c>
      <c r="G688" s="8">
        <v>2189176.79</v>
      </c>
      <c r="H688" s="5">
        <f t="shared" si="21"/>
        <v>2417321.2600000002</v>
      </c>
      <c r="I688">
        <f>IFERROR(VLOOKUP(D688,'LEAID Match'!$A$2:$B$251,2,FALSE),"")</f>
        <v>4700151</v>
      </c>
    </row>
    <row r="689" spans="1:9" x14ac:dyDescent="0.2">
      <c r="A689">
        <f t="shared" si="20"/>
        <v>4700151</v>
      </c>
      <c r="B689" s="5">
        <v>2023</v>
      </c>
      <c r="C689" s="1">
        <v>97904</v>
      </c>
      <c r="D689" t="s">
        <v>279</v>
      </c>
      <c r="E689" t="s">
        <v>279</v>
      </c>
      <c r="F689" s="8">
        <v>377451.92</v>
      </c>
      <c r="G689" s="8">
        <v>1840875.69</v>
      </c>
      <c r="H689" s="5">
        <f t="shared" si="21"/>
        <v>2218327.61</v>
      </c>
      <c r="I689">
        <f>IFERROR(VLOOKUP(D689,'LEAID Match'!$A$2:$B$251,2,FALSE),"")</f>
        <v>4700151</v>
      </c>
    </row>
    <row r="690" spans="1:9" x14ac:dyDescent="0.2">
      <c r="A690">
        <f t="shared" si="20"/>
        <v>0</v>
      </c>
      <c r="B690" s="5">
        <v>2015</v>
      </c>
      <c r="C690" s="1">
        <v>97944</v>
      </c>
      <c r="D690" t="s">
        <v>280</v>
      </c>
      <c r="E690" t="s">
        <v>134</v>
      </c>
      <c r="F690" s="8">
        <v>17825</v>
      </c>
      <c r="G690" s="8">
        <v>157908</v>
      </c>
      <c r="H690" s="5">
        <f t="shared" si="21"/>
        <v>175733</v>
      </c>
      <c r="I690">
        <f>IFERROR(VLOOKUP(D690,'LEAID Match'!$A$2:$B$251,2,FALSE),"")</f>
        <v>0</v>
      </c>
    </row>
    <row r="691" spans="1:9" x14ac:dyDescent="0.2">
      <c r="A691">
        <f t="shared" si="20"/>
        <v>0</v>
      </c>
      <c r="B691" s="5">
        <v>2016</v>
      </c>
      <c r="C691" s="1">
        <v>97944</v>
      </c>
      <c r="D691" t="s">
        <v>280</v>
      </c>
      <c r="E691" t="s">
        <v>134</v>
      </c>
      <c r="F691" s="8">
        <v>26028</v>
      </c>
      <c r="G691" s="8">
        <v>198946</v>
      </c>
      <c r="H691" s="5">
        <f t="shared" si="21"/>
        <v>224974</v>
      </c>
      <c r="I691">
        <f>IFERROR(VLOOKUP(D691,'LEAID Match'!$A$2:$B$251,2,FALSE),"")</f>
        <v>0</v>
      </c>
    </row>
    <row r="692" spans="1:9" x14ac:dyDescent="0.2">
      <c r="A692">
        <f t="shared" si="20"/>
        <v>0</v>
      </c>
      <c r="B692" s="5">
        <v>2017</v>
      </c>
      <c r="C692" s="1">
        <v>97944</v>
      </c>
      <c r="D692" t="s">
        <v>280</v>
      </c>
      <c r="E692" t="s">
        <v>280</v>
      </c>
      <c r="F692" s="8">
        <v>86730</v>
      </c>
      <c r="G692" s="8">
        <v>229589</v>
      </c>
      <c r="H692" s="5">
        <f t="shared" si="21"/>
        <v>316319</v>
      </c>
      <c r="I692">
        <f>IFERROR(VLOOKUP(D692,'LEAID Match'!$A$2:$B$251,2,FALSE),"")</f>
        <v>0</v>
      </c>
    </row>
    <row r="693" spans="1:9" x14ac:dyDescent="0.2">
      <c r="A693">
        <f t="shared" si="20"/>
        <v>0</v>
      </c>
      <c r="B693" s="5">
        <v>2018</v>
      </c>
      <c r="C693" s="1">
        <v>97944</v>
      </c>
      <c r="D693" t="s">
        <v>280</v>
      </c>
      <c r="E693" t="s">
        <v>461</v>
      </c>
      <c r="F693" s="8">
        <v>155507</v>
      </c>
      <c r="G693" s="8">
        <v>338003</v>
      </c>
      <c r="H693" s="5">
        <f t="shared" si="21"/>
        <v>493510</v>
      </c>
      <c r="I693">
        <f>IFERROR(VLOOKUP(D693,'LEAID Match'!$A$2:$B$251,2,FALSE),"")</f>
        <v>0</v>
      </c>
    </row>
    <row r="694" spans="1:9" x14ac:dyDescent="0.2">
      <c r="A694">
        <f t="shared" si="20"/>
        <v>0</v>
      </c>
      <c r="B694" s="5">
        <v>2019</v>
      </c>
      <c r="C694" s="1">
        <v>97944</v>
      </c>
      <c r="D694" t="s">
        <v>280</v>
      </c>
      <c r="E694" t="s">
        <v>280</v>
      </c>
      <c r="F694" s="8">
        <v>112687</v>
      </c>
      <c r="G694" s="8">
        <v>360863</v>
      </c>
      <c r="H694" s="5">
        <f t="shared" si="21"/>
        <v>473550</v>
      </c>
      <c r="I694">
        <f>IFERROR(VLOOKUP(D694,'LEAID Match'!$A$2:$B$251,2,FALSE),"")</f>
        <v>0</v>
      </c>
    </row>
    <row r="695" spans="1:9" x14ac:dyDescent="0.2">
      <c r="A695">
        <f t="shared" si="20"/>
        <v>0</v>
      </c>
      <c r="B695" s="5">
        <v>2020</v>
      </c>
      <c r="C695" s="1">
        <v>97944</v>
      </c>
      <c r="D695" t="s">
        <v>280</v>
      </c>
      <c r="E695" t="s">
        <v>280</v>
      </c>
      <c r="F695" s="8">
        <v>160025</v>
      </c>
      <c r="G695" s="8">
        <v>400610</v>
      </c>
      <c r="H695" s="5">
        <f t="shared" si="21"/>
        <v>560635</v>
      </c>
      <c r="I695">
        <f>IFERROR(VLOOKUP(D695,'LEAID Match'!$A$2:$B$251,2,FALSE),"")</f>
        <v>0</v>
      </c>
    </row>
    <row r="696" spans="1:9" x14ac:dyDescent="0.2">
      <c r="A696">
        <f t="shared" si="20"/>
        <v>0</v>
      </c>
      <c r="B696" s="5">
        <v>2021</v>
      </c>
      <c r="C696" s="1">
        <v>97944</v>
      </c>
      <c r="D696" t="s">
        <v>280</v>
      </c>
      <c r="E696" t="s">
        <v>280</v>
      </c>
      <c r="F696" s="8">
        <v>135695</v>
      </c>
      <c r="G696" s="8">
        <v>404019</v>
      </c>
      <c r="H696" s="5">
        <f t="shared" si="21"/>
        <v>539714</v>
      </c>
      <c r="I696">
        <f>IFERROR(VLOOKUP(D696,'LEAID Match'!$A$2:$B$251,2,FALSE),"")</f>
        <v>0</v>
      </c>
    </row>
    <row r="697" spans="1:9" x14ac:dyDescent="0.2">
      <c r="A697">
        <f t="shared" si="20"/>
        <v>0</v>
      </c>
      <c r="B697" s="5">
        <v>2022</v>
      </c>
      <c r="C697" s="1">
        <v>97944</v>
      </c>
      <c r="D697" t="s">
        <v>280</v>
      </c>
      <c r="E697" t="s">
        <v>280</v>
      </c>
      <c r="F697" s="8">
        <v>151065.07</v>
      </c>
      <c r="G697" s="8">
        <v>424572.07</v>
      </c>
      <c r="H697" s="5">
        <f t="shared" si="21"/>
        <v>575637.14</v>
      </c>
      <c r="I697">
        <f>IFERROR(VLOOKUP(D697,'LEAID Match'!$A$2:$B$251,2,FALSE),"")</f>
        <v>0</v>
      </c>
    </row>
    <row r="698" spans="1:9" x14ac:dyDescent="0.2">
      <c r="A698">
        <f t="shared" si="20"/>
        <v>0</v>
      </c>
      <c r="B698" s="5">
        <v>2023</v>
      </c>
      <c r="C698" s="1">
        <v>97944</v>
      </c>
      <c r="D698" t="s">
        <v>280</v>
      </c>
      <c r="E698" t="s">
        <v>280</v>
      </c>
      <c r="F698" s="8">
        <v>242990.75</v>
      </c>
      <c r="G698" s="8">
        <v>357211.99</v>
      </c>
      <c r="H698" s="5">
        <f t="shared" si="21"/>
        <v>600202.74</v>
      </c>
      <c r="I698">
        <f>IFERROR(VLOOKUP(D698,'LEAID Match'!$A$2:$B$251,2,FALSE),"")</f>
        <v>0</v>
      </c>
    </row>
    <row r="699" spans="1:9" x14ac:dyDescent="0.2">
      <c r="A699">
        <f t="shared" si="20"/>
        <v>4701400</v>
      </c>
      <c r="B699" s="5">
        <v>2015</v>
      </c>
      <c r="C699" s="1">
        <v>99027</v>
      </c>
      <c r="D699" t="s">
        <v>281</v>
      </c>
      <c r="E699" t="s">
        <v>52</v>
      </c>
      <c r="F699" s="8">
        <v>17505</v>
      </c>
      <c r="G699" s="8">
        <v>1146315</v>
      </c>
      <c r="H699" s="5">
        <f t="shared" si="21"/>
        <v>1163820</v>
      </c>
      <c r="I699">
        <f>IFERROR(VLOOKUP(D699,'LEAID Match'!$A$2:$B$251,2,FALSE),"")</f>
        <v>4701400</v>
      </c>
    </row>
    <row r="700" spans="1:9" x14ac:dyDescent="0.2">
      <c r="A700">
        <f t="shared" si="20"/>
        <v>4701400</v>
      </c>
      <c r="B700" s="5">
        <v>2016</v>
      </c>
      <c r="C700" s="1">
        <v>99027</v>
      </c>
      <c r="D700" t="s">
        <v>281</v>
      </c>
      <c r="E700" t="s">
        <v>52</v>
      </c>
      <c r="F700" s="8">
        <v>40982</v>
      </c>
      <c r="G700" s="8">
        <v>1135807</v>
      </c>
      <c r="H700" s="5">
        <f t="shared" si="21"/>
        <v>1176789</v>
      </c>
      <c r="I700">
        <f>IFERROR(VLOOKUP(D700,'LEAID Match'!$A$2:$B$251,2,FALSE),"")</f>
        <v>4701400</v>
      </c>
    </row>
    <row r="701" spans="1:9" x14ac:dyDescent="0.2">
      <c r="A701">
        <f t="shared" si="20"/>
        <v>4701400</v>
      </c>
      <c r="B701" s="5">
        <v>2017</v>
      </c>
      <c r="C701" s="1">
        <v>99027</v>
      </c>
      <c r="D701" t="s">
        <v>281</v>
      </c>
      <c r="E701" t="s">
        <v>281</v>
      </c>
      <c r="F701" s="8">
        <v>60904</v>
      </c>
      <c r="G701" s="8">
        <v>1147012</v>
      </c>
      <c r="H701" s="5">
        <f t="shared" si="21"/>
        <v>1207916</v>
      </c>
      <c r="I701">
        <f>IFERROR(VLOOKUP(D701,'LEAID Match'!$A$2:$B$251,2,FALSE),"")</f>
        <v>4701400</v>
      </c>
    </row>
    <row r="702" spans="1:9" x14ac:dyDescent="0.2">
      <c r="A702">
        <f t="shared" si="20"/>
        <v>4701400</v>
      </c>
      <c r="B702" s="5">
        <v>2018</v>
      </c>
      <c r="C702" s="1">
        <v>99027</v>
      </c>
      <c r="D702" t="s">
        <v>281</v>
      </c>
      <c r="E702" t="s">
        <v>52</v>
      </c>
      <c r="F702" s="8">
        <v>85599</v>
      </c>
      <c r="G702" s="8">
        <v>1149183</v>
      </c>
      <c r="H702" s="5">
        <f t="shared" si="21"/>
        <v>1234782</v>
      </c>
      <c r="I702">
        <f>IFERROR(VLOOKUP(D702,'LEAID Match'!$A$2:$B$251,2,FALSE),"")</f>
        <v>4701400</v>
      </c>
    </row>
    <row r="703" spans="1:9" x14ac:dyDescent="0.2">
      <c r="A703">
        <f t="shared" si="20"/>
        <v>4701400</v>
      </c>
      <c r="B703" s="5">
        <v>2019</v>
      </c>
      <c r="C703" s="1">
        <v>99027</v>
      </c>
      <c r="D703" t="s">
        <v>281</v>
      </c>
      <c r="E703" t="s">
        <v>281</v>
      </c>
      <c r="F703" s="8">
        <v>44083</v>
      </c>
      <c r="G703" s="8">
        <v>1125333</v>
      </c>
      <c r="H703" s="5">
        <f t="shared" si="21"/>
        <v>1169416</v>
      </c>
      <c r="I703">
        <f>IFERROR(VLOOKUP(D703,'LEAID Match'!$A$2:$B$251,2,FALSE),"")</f>
        <v>4701400</v>
      </c>
    </row>
    <row r="704" spans="1:9" x14ac:dyDescent="0.2">
      <c r="A704">
        <f t="shared" si="20"/>
        <v>4701400</v>
      </c>
      <c r="B704" s="5">
        <v>2020</v>
      </c>
      <c r="C704" s="1">
        <v>99027</v>
      </c>
      <c r="D704" t="s">
        <v>281</v>
      </c>
      <c r="E704" t="s">
        <v>281</v>
      </c>
      <c r="F704" s="8">
        <v>62113</v>
      </c>
      <c r="G704" s="8">
        <v>1298102</v>
      </c>
      <c r="H704" s="5">
        <f t="shared" si="21"/>
        <v>1360215</v>
      </c>
      <c r="I704">
        <f>IFERROR(VLOOKUP(D704,'LEAID Match'!$A$2:$B$251,2,FALSE),"")</f>
        <v>4701400</v>
      </c>
    </row>
    <row r="705" spans="1:9" x14ac:dyDescent="0.2">
      <c r="A705">
        <f t="shared" si="20"/>
        <v>4701400</v>
      </c>
      <c r="B705" s="5">
        <v>2021</v>
      </c>
      <c r="C705" s="1">
        <v>99027</v>
      </c>
      <c r="D705" t="s">
        <v>281</v>
      </c>
      <c r="E705" t="s">
        <v>281</v>
      </c>
      <c r="F705" s="8">
        <v>71499</v>
      </c>
      <c r="G705" s="8">
        <v>1281781</v>
      </c>
      <c r="H705" s="5">
        <f t="shared" si="21"/>
        <v>1353280</v>
      </c>
      <c r="I705">
        <f>IFERROR(VLOOKUP(D705,'LEAID Match'!$A$2:$B$251,2,FALSE),"")</f>
        <v>4701400</v>
      </c>
    </row>
    <row r="706" spans="1:9" x14ac:dyDescent="0.2">
      <c r="A706">
        <f t="shared" si="20"/>
        <v>4701400</v>
      </c>
      <c r="B706" s="5">
        <v>2022</v>
      </c>
      <c r="C706" s="1">
        <v>99027</v>
      </c>
      <c r="D706" t="s">
        <v>281</v>
      </c>
      <c r="E706" t="s">
        <v>281</v>
      </c>
      <c r="F706" s="8">
        <v>90533.16</v>
      </c>
      <c r="G706" s="8">
        <v>1252470.04</v>
      </c>
      <c r="H706" s="5">
        <f t="shared" si="21"/>
        <v>1343003.2</v>
      </c>
      <c r="I706">
        <f>IFERROR(VLOOKUP(D706,'LEAID Match'!$A$2:$B$251,2,FALSE),"")</f>
        <v>4701400</v>
      </c>
    </row>
    <row r="707" spans="1:9" x14ac:dyDescent="0.2">
      <c r="A707">
        <f t="shared" ref="A707:A770" si="22">I707</f>
        <v>4701400</v>
      </c>
      <c r="B707" s="5">
        <v>2023</v>
      </c>
      <c r="C707" s="1">
        <v>99027</v>
      </c>
      <c r="D707" t="s">
        <v>281</v>
      </c>
      <c r="E707" t="s">
        <v>281</v>
      </c>
      <c r="F707" s="8">
        <v>160782.69</v>
      </c>
      <c r="G707" s="8">
        <v>1036161.14</v>
      </c>
      <c r="H707" s="5">
        <f t="shared" ref="H707:H770" si="23">SUM(F707:G707)</f>
        <v>1196943.83</v>
      </c>
      <c r="I707">
        <f>IFERROR(VLOOKUP(D707,'LEAID Match'!$A$2:$B$251,2,FALSE),"")</f>
        <v>4701400</v>
      </c>
    </row>
    <row r="708" spans="1:9" x14ac:dyDescent="0.2">
      <c r="A708">
        <f t="shared" si="22"/>
        <v>4701410</v>
      </c>
      <c r="B708" s="5">
        <v>2015</v>
      </c>
      <c r="C708" s="1">
        <v>99028</v>
      </c>
      <c r="D708" t="s">
        <v>282</v>
      </c>
      <c r="E708" t="s">
        <v>53</v>
      </c>
      <c r="F708" s="8">
        <v>28966</v>
      </c>
      <c r="G708" s="8">
        <v>1261575</v>
      </c>
      <c r="H708" s="5">
        <f t="shared" si="23"/>
        <v>1290541</v>
      </c>
      <c r="I708">
        <f>IFERROR(VLOOKUP(D708,'LEAID Match'!$A$2:$B$251,2,FALSE),"")</f>
        <v>4701410</v>
      </c>
    </row>
    <row r="709" spans="1:9" x14ac:dyDescent="0.2">
      <c r="A709">
        <f t="shared" si="22"/>
        <v>4701410</v>
      </c>
      <c r="B709" s="5">
        <v>2016</v>
      </c>
      <c r="C709" s="1">
        <v>99028</v>
      </c>
      <c r="D709" t="s">
        <v>282</v>
      </c>
      <c r="E709" t="s">
        <v>53</v>
      </c>
      <c r="F709" s="8">
        <v>59717</v>
      </c>
      <c r="G709" s="8">
        <v>1241432</v>
      </c>
      <c r="H709" s="5">
        <f t="shared" si="23"/>
        <v>1301149</v>
      </c>
      <c r="I709">
        <f>IFERROR(VLOOKUP(D709,'LEAID Match'!$A$2:$B$251,2,FALSE),"")</f>
        <v>4701410</v>
      </c>
    </row>
    <row r="710" spans="1:9" x14ac:dyDescent="0.2">
      <c r="A710">
        <f t="shared" si="22"/>
        <v>4701410</v>
      </c>
      <c r="B710" s="5">
        <v>2017</v>
      </c>
      <c r="C710" s="1">
        <v>99028</v>
      </c>
      <c r="D710" t="s">
        <v>282</v>
      </c>
      <c r="E710" t="s">
        <v>282</v>
      </c>
      <c r="F710" s="8">
        <v>104782</v>
      </c>
      <c r="G710" s="8">
        <v>1195473</v>
      </c>
      <c r="H710" s="5">
        <f t="shared" si="23"/>
        <v>1300255</v>
      </c>
      <c r="I710">
        <f>IFERROR(VLOOKUP(D710,'LEAID Match'!$A$2:$B$251,2,FALSE),"")</f>
        <v>4701410</v>
      </c>
    </row>
    <row r="711" spans="1:9" x14ac:dyDescent="0.2">
      <c r="A711">
        <f t="shared" si="22"/>
        <v>4701410</v>
      </c>
      <c r="B711" s="5">
        <v>2018</v>
      </c>
      <c r="C711" s="1">
        <v>99028</v>
      </c>
      <c r="D711" t="s">
        <v>282</v>
      </c>
      <c r="E711" t="s">
        <v>53</v>
      </c>
      <c r="F711" s="8">
        <v>151405</v>
      </c>
      <c r="G711" s="8">
        <v>1132204</v>
      </c>
      <c r="H711" s="5">
        <f t="shared" si="23"/>
        <v>1283609</v>
      </c>
      <c r="I711">
        <f>IFERROR(VLOOKUP(D711,'LEAID Match'!$A$2:$B$251,2,FALSE),"")</f>
        <v>4701410</v>
      </c>
    </row>
    <row r="712" spans="1:9" x14ac:dyDescent="0.2">
      <c r="A712">
        <f t="shared" si="22"/>
        <v>4701410</v>
      </c>
      <c r="B712" s="5">
        <v>2019</v>
      </c>
      <c r="C712" s="1">
        <v>99028</v>
      </c>
      <c r="D712" t="s">
        <v>282</v>
      </c>
      <c r="E712" t="s">
        <v>282</v>
      </c>
      <c r="F712" s="8">
        <v>81032</v>
      </c>
      <c r="G712" s="8">
        <v>1271070</v>
      </c>
      <c r="H712" s="5">
        <f t="shared" si="23"/>
        <v>1352102</v>
      </c>
      <c r="I712">
        <f>IFERROR(VLOOKUP(D712,'LEAID Match'!$A$2:$B$251,2,FALSE),"")</f>
        <v>4701410</v>
      </c>
    </row>
    <row r="713" spans="1:9" x14ac:dyDescent="0.2">
      <c r="A713">
        <f t="shared" si="22"/>
        <v>4701410</v>
      </c>
      <c r="B713" s="5">
        <v>2020</v>
      </c>
      <c r="C713" s="1">
        <v>99028</v>
      </c>
      <c r="D713" t="s">
        <v>282</v>
      </c>
      <c r="E713" t="s">
        <v>282</v>
      </c>
      <c r="F713" s="8">
        <v>94513</v>
      </c>
      <c r="G713" s="8">
        <v>1266832</v>
      </c>
      <c r="H713" s="5">
        <f t="shared" si="23"/>
        <v>1361345</v>
      </c>
      <c r="I713">
        <f>IFERROR(VLOOKUP(D713,'LEAID Match'!$A$2:$B$251,2,FALSE),"")</f>
        <v>4701410</v>
      </c>
    </row>
    <row r="714" spans="1:9" x14ac:dyDescent="0.2">
      <c r="A714">
        <f t="shared" si="22"/>
        <v>4701410</v>
      </c>
      <c r="B714" s="5">
        <v>2021</v>
      </c>
      <c r="C714" s="1">
        <v>99028</v>
      </c>
      <c r="D714" t="s">
        <v>282</v>
      </c>
      <c r="E714" t="s">
        <v>282</v>
      </c>
      <c r="F714" s="8">
        <v>102398</v>
      </c>
      <c r="G714" s="8">
        <v>1252042</v>
      </c>
      <c r="H714" s="5">
        <f t="shared" si="23"/>
        <v>1354440</v>
      </c>
      <c r="I714">
        <f>IFERROR(VLOOKUP(D714,'LEAID Match'!$A$2:$B$251,2,FALSE),"")</f>
        <v>4701410</v>
      </c>
    </row>
    <row r="715" spans="1:9" x14ac:dyDescent="0.2">
      <c r="A715">
        <f t="shared" si="22"/>
        <v>4701410</v>
      </c>
      <c r="B715" s="5">
        <v>2022</v>
      </c>
      <c r="C715" s="1">
        <v>99028</v>
      </c>
      <c r="D715" t="s">
        <v>282</v>
      </c>
      <c r="E715" t="s">
        <v>282</v>
      </c>
      <c r="F715" s="8">
        <v>111745.37</v>
      </c>
      <c r="G715" s="8">
        <v>1192767.27</v>
      </c>
      <c r="H715" s="5">
        <f t="shared" si="23"/>
        <v>1304512.6400000001</v>
      </c>
      <c r="I715">
        <f>IFERROR(VLOOKUP(D715,'LEAID Match'!$A$2:$B$251,2,FALSE),"")</f>
        <v>4701410</v>
      </c>
    </row>
    <row r="716" spans="1:9" x14ac:dyDescent="0.2">
      <c r="A716">
        <f t="shared" si="22"/>
        <v>4701410</v>
      </c>
      <c r="B716" s="5">
        <v>2023</v>
      </c>
      <c r="C716" s="1">
        <v>99028</v>
      </c>
      <c r="D716" t="s">
        <v>282</v>
      </c>
      <c r="E716" t="s">
        <v>282</v>
      </c>
      <c r="F716" s="8">
        <v>181209.17</v>
      </c>
      <c r="G716" s="8">
        <v>974602.6</v>
      </c>
      <c r="H716" s="5">
        <f t="shared" si="23"/>
        <v>1155811.77</v>
      </c>
      <c r="I716">
        <f>IFERROR(VLOOKUP(D716,'LEAID Match'!$A$2:$B$251,2,FALSE),"")</f>
        <v>4701410</v>
      </c>
    </row>
    <row r="717" spans="1:9" x14ac:dyDescent="0.2">
      <c r="A717">
        <f t="shared" si="22"/>
        <v>0</v>
      </c>
      <c r="B717" s="5">
        <v>2016</v>
      </c>
      <c r="C717" s="1">
        <v>97955</v>
      </c>
      <c r="D717" t="s">
        <v>283</v>
      </c>
      <c r="E717" t="s">
        <v>54</v>
      </c>
      <c r="F717" s="8">
        <v>7001</v>
      </c>
      <c r="G717" s="8">
        <v>24600</v>
      </c>
      <c r="H717" s="5">
        <f t="shared" si="23"/>
        <v>31601</v>
      </c>
      <c r="I717">
        <f>IFERROR(VLOOKUP(D717,'LEAID Match'!$A$2:$B$251,2,FALSE),"")</f>
        <v>0</v>
      </c>
    </row>
    <row r="718" spans="1:9" x14ac:dyDescent="0.2">
      <c r="A718">
        <f t="shared" si="22"/>
        <v>0</v>
      </c>
      <c r="B718" s="5">
        <v>2017</v>
      </c>
      <c r="C718" s="1">
        <v>97955</v>
      </c>
      <c r="D718" t="s">
        <v>283</v>
      </c>
      <c r="E718" t="s">
        <v>283</v>
      </c>
      <c r="F718" s="8">
        <v>1276</v>
      </c>
      <c r="G718" s="8">
        <v>30618</v>
      </c>
      <c r="H718" s="5">
        <f t="shared" si="23"/>
        <v>31894</v>
      </c>
      <c r="I718">
        <f>IFERROR(VLOOKUP(D718,'LEAID Match'!$A$2:$B$251,2,FALSE),"")</f>
        <v>0</v>
      </c>
    </row>
    <row r="719" spans="1:9" x14ac:dyDescent="0.2">
      <c r="A719">
        <f t="shared" si="22"/>
        <v>0</v>
      </c>
      <c r="B719" s="5">
        <v>2018</v>
      </c>
      <c r="C719" s="1">
        <v>97955</v>
      </c>
      <c r="D719" t="s">
        <v>283</v>
      </c>
      <c r="E719" t="s">
        <v>54</v>
      </c>
      <c r="F719" s="8">
        <v>9837</v>
      </c>
      <c r="G719" s="8">
        <v>30515</v>
      </c>
      <c r="H719" s="5">
        <f t="shared" si="23"/>
        <v>40352</v>
      </c>
      <c r="I719">
        <f>IFERROR(VLOOKUP(D719,'LEAID Match'!$A$2:$B$251,2,FALSE),"")</f>
        <v>0</v>
      </c>
    </row>
    <row r="720" spans="1:9" x14ac:dyDescent="0.2">
      <c r="A720">
        <f t="shared" si="22"/>
        <v>0</v>
      </c>
      <c r="B720" s="5">
        <v>2019</v>
      </c>
      <c r="C720" s="1">
        <v>97955</v>
      </c>
      <c r="D720" t="s">
        <v>283</v>
      </c>
      <c r="E720" t="s">
        <v>283</v>
      </c>
      <c r="F720" s="8">
        <v>6263</v>
      </c>
      <c r="G720" s="8">
        <v>32963</v>
      </c>
      <c r="H720" s="5">
        <f t="shared" si="23"/>
        <v>39226</v>
      </c>
      <c r="I720">
        <f>IFERROR(VLOOKUP(D720,'LEAID Match'!$A$2:$B$251,2,FALSE),"")</f>
        <v>0</v>
      </c>
    </row>
    <row r="721" spans="1:9" x14ac:dyDescent="0.2">
      <c r="A721">
        <f t="shared" si="22"/>
        <v>0</v>
      </c>
      <c r="B721" s="5">
        <v>2020</v>
      </c>
      <c r="C721" s="1">
        <v>97955</v>
      </c>
      <c r="D721" t="s">
        <v>283</v>
      </c>
      <c r="E721" t="s">
        <v>283</v>
      </c>
      <c r="F721" s="8">
        <v>268</v>
      </c>
      <c r="G721" s="8">
        <v>1067</v>
      </c>
      <c r="H721" s="5">
        <f t="shared" si="23"/>
        <v>1335</v>
      </c>
      <c r="I721">
        <f>IFERROR(VLOOKUP(D721,'LEAID Match'!$A$2:$B$251,2,FALSE),"")</f>
        <v>0</v>
      </c>
    </row>
    <row r="722" spans="1:9" x14ac:dyDescent="0.2">
      <c r="A722">
        <f t="shared" si="22"/>
        <v>0</v>
      </c>
      <c r="B722" s="5">
        <v>2021</v>
      </c>
      <c r="C722" s="1">
        <v>97955</v>
      </c>
      <c r="D722" t="s">
        <v>283</v>
      </c>
      <c r="E722" t="s">
        <v>283</v>
      </c>
      <c r="F722" s="8" t="s">
        <v>591</v>
      </c>
      <c r="G722" s="8" t="s">
        <v>591</v>
      </c>
      <c r="H722" s="5">
        <f t="shared" si="23"/>
        <v>0</v>
      </c>
      <c r="I722">
        <f>IFERROR(VLOOKUP(D722,'LEAID Match'!$A$2:$B$251,2,FALSE),"")</f>
        <v>0</v>
      </c>
    </row>
    <row r="723" spans="1:9" x14ac:dyDescent="0.2">
      <c r="A723">
        <f t="shared" si="22"/>
        <v>0</v>
      </c>
      <c r="B723" s="5">
        <v>2022</v>
      </c>
      <c r="C723" s="1">
        <v>97955</v>
      </c>
      <c r="D723" t="s">
        <v>283</v>
      </c>
      <c r="E723" t="s">
        <v>283</v>
      </c>
      <c r="F723" s="8" t="s">
        <v>591</v>
      </c>
      <c r="G723" s="8" t="s">
        <v>591</v>
      </c>
      <c r="H723" s="5">
        <f t="shared" si="23"/>
        <v>0</v>
      </c>
      <c r="I723">
        <f>IFERROR(VLOOKUP(D723,'LEAID Match'!$A$2:$B$251,2,FALSE),"")</f>
        <v>0</v>
      </c>
    </row>
    <row r="724" spans="1:9" x14ac:dyDescent="0.2">
      <c r="A724">
        <f t="shared" si="22"/>
        <v>0</v>
      </c>
      <c r="B724" s="5">
        <v>2023</v>
      </c>
      <c r="C724" s="1">
        <v>97955</v>
      </c>
      <c r="D724" t="s">
        <v>283</v>
      </c>
      <c r="E724" t="s">
        <v>283</v>
      </c>
      <c r="F724" s="8" t="s">
        <v>591</v>
      </c>
      <c r="G724" s="8" t="s">
        <v>591</v>
      </c>
      <c r="H724" s="5">
        <f t="shared" si="23"/>
        <v>0</v>
      </c>
      <c r="I724">
        <f>IFERROR(VLOOKUP(D724,'LEAID Match'!$A$2:$B$251,2,FALSE),"")</f>
        <v>0</v>
      </c>
    </row>
    <row r="725" spans="1:9" x14ac:dyDescent="0.2">
      <c r="A725">
        <f t="shared" si="22"/>
        <v>4701440</v>
      </c>
      <c r="B725" s="5">
        <v>2015</v>
      </c>
      <c r="C725" s="1">
        <v>99029</v>
      </c>
      <c r="D725" t="s">
        <v>284</v>
      </c>
      <c r="E725" t="s">
        <v>55</v>
      </c>
      <c r="F725" s="8">
        <v>9858</v>
      </c>
      <c r="G725" s="8">
        <v>1078825</v>
      </c>
      <c r="H725" s="5">
        <f t="shared" si="23"/>
        <v>1088683</v>
      </c>
      <c r="I725">
        <f>IFERROR(VLOOKUP(D725,'LEAID Match'!$A$2:$B$251,2,FALSE),"")</f>
        <v>4701440</v>
      </c>
    </row>
    <row r="726" spans="1:9" x14ac:dyDescent="0.2">
      <c r="A726">
        <f t="shared" si="22"/>
        <v>4701440</v>
      </c>
      <c r="B726" s="5">
        <v>2016</v>
      </c>
      <c r="C726" s="1">
        <v>99029</v>
      </c>
      <c r="D726" t="s">
        <v>284</v>
      </c>
      <c r="E726" t="s">
        <v>55</v>
      </c>
      <c r="F726" s="8">
        <v>21892</v>
      </c>
      <c r="G726" s="8">
        <v>1065829</v>
      </c>
      <c r="H726" s="5">
        <f t="shared" si="23"/>
        <v>1087721</v>
      </c>
      <c r="I726">
        <f>IFERROR(VLOOKUP(D726,'LEAID Match'!$A$2:$B$251,2,FALSE),"")</f>
        <v>4701440</v>
      </c>
    </row>
    <row r="727" spans="1:9" x14ac:dyDescent="0.2">
      <c r="A727">
        <f t="shared" si="22"/>
        <v>4701440</v>
      </c>
      <c r="B727" s="5">
        <v>2017</v>
      </c>
      <c r="C727" s="1">
        <v>99029</v>
      </c>
      <c r="D727" t="s">
        <v>284</v>
      </c>
      <c r="E727" t="s">
        <v>284</v>
      </c>
      <c r="F727" s="8">
        <v>43287</v>
      </c>
      <c r="G727" s="8">
        <v>1098564</v>
      </c>
      <c r="H727" s="5">
        <f t="shared" si="23"/>
        <v>1141851</v>
      </c>
      <c r="I727">
        <f>IFERROR(VLOOKUP(D727,'LEAID Match'!$A$2:$B$251,2,FALSE),"")</f>
        <v>4701440</v>
      </c>
    </row>
    <row r="728" spans="1:9" x14ac:dyDescent="0.2">
      <c r="A728">
        <f t="shared" si="22"/>
        <v>4701440</v>
      </c>
      <c r="B728" s="5">
        <v>2018</v>
      </c>
      <c r="C728" s="1">
        <v>99029</v>
      </c>
      <c r="D728" t="s">
        <v>284</v>
      </c>
      <c r="E728" t="s">
        <v>55</v>
      </c>
      <c r="F728" s="8">
        <v>55157</v>
      </c>
      <c r="G728" s="8">
        <v>1075901</v>
      </c>
      <c r="H728" s="5">
        <f t="shared" si="23"/>
        <v>1131058</v>
      </c>
      <c r="I728">
        <f>IFERROR(VLOOKUP(D728,'LEAID Match'!$A$2:$B$251,2,FALSE),"")</f>
        <v>4701440</v>
      </c>
    </row>
    <row r="729" spans="1:9" x14ac:dyDescent="0.2">
      <c r="A729">
        <f t="shared" si="22"/>
        <v>4701440</v>
      </c>
      <c r="B729" s="5">
        <v>2019</v>
      </c>
      <c r="C729" s="1">
        <v>99029</v>
      </c>
      <c r="D729" t="s">
        <v>284</v>
      </c>
      <c r="E729" t="s">
        <v>284</v>
      </c>
      <c r="F729" s="8">
        <v>33315</v>
      </c>
      <c r="G729" s="8">
        <v>1218806</v>
      </c>
      <c r="H729" s="5">
        <f t="shared" si="23"/>
        <v>1252121</v>
      </c>
      <c r="I729">
        <f>IFERROR(VLOOKUP(D729,'LEAID Match'!$A$2:$B$251,2,FALSE),"")</f>
        <v>4701440</v>
      </c>
    </row>
    <row r="730" spans="1:9" x14ac:dyDescent="0.2">
      <c r="A730">
        <f t="shared" si="22"/>
        <v>4701440</v>
      </c>
      <c r="B730" s="5">
        <v>2020</v>
      </c>
      <c r="C730" s="1">
        <v>99029</v>
      </c>
      <c r="D730" t="s">
        <v>284</v>
      </c>
      <c r="E730" t="s">
        <v>284</v>
      </c>
      <c r="F730" s="8">
        <v>41329</v>
      </c>
      <c r="G730" s="8">
        <v>1233899</v>
      </c>
      <c r="H730" s="5">
        <f t="shared" si="23"/>
        <v>1275228</v>
      </c>
      <c r="I730">
        <f>IFERROR(VLOOKUP(D730,'LEAID Match'!$A$2:$B$251,2,FALSE),"")</f>
        <v>4701440</v>
      </c>
    </row>
    <row r="731" spans="1:9" x14ac:dyDescent="0.2">
      <c r="A731">
        <f t="shared" si="22"/>
        <v>4701440</v>
      </c>
      <c r="B731" s="5">
        <v>2021</v>
      </c>
      <c r="C731" s="1">
        <v>99029</v>
      </c>
      <c r="D731" t="s">
        <v>284</v>
      </c>
      <c r="E731" t="s">
        <v>284</v>
      </c>
      <c r="F731" s="8">
        <v>45593</v>
      </c>
      <c r="G731" s="8">
        <v>1266938</v>
      </c>
      <c r="H731" s="5">
        <f t="shared" si="23"/>
        <v>1312531</v>
      </c>
      <c r="I731">
        <f>IFERROR(VLOOKUP(D731,'LEAID Match'!$A$2:$B$251,2,FALSE),"")</f>
        <v>4701440</v>
      </c>
    </row>
    <row r="732" spans="1:9" x14ac:dyDescent="0.2">
      <c r="A732">
        <f t="shared" si="22"/>
        <v>4701440</v>
      </c>
      <c r="B732" s="5">
        <v>2022</v>
      </c>
      <c r="C732" s="1">
        <v>99029</v>
      </c>
      <c r="D732" t="s">
        <v>284</v>
      </c>
      <c r="E732" t="s">
        <v>284</v>
      </c>
      <c r="F732" s="8">
        <v>56575.85</v>
      </c>
      <c r="G732" s="8">
        <v>1291445.8999999999</v>
      </c>
      <c r="H732" s="5">
        <f t="shared" si="23"/>
        <v>1348021.75</v>
      </c>
      <c r="I732">
        <f>IFERROR(VLOOKUP(D732,'LEAID Match'!$A$2:$B$251,2,FALSE),"")</f>
        <v>4701440</v>
      </c>
    </row>
    <row r="733" spans="1:9" x14ac:dyDescent="0.2">
      <c r="A733">
        <f t="shared" si="22"/>
        <v>4701440</v>
      </c>
      <c r="B733" s="5">
        <v>2023</v>
      </c>
      <c r="C733" s="1">
        <v>99029</v>
      </c>
      <c r="D733" t="s">
        <v>284</v>
      </c>
      <c r="E733" t="s">
        <v>284</v>
      </c>
      <c r="F733" s="8">
        <v>95160.17</v>
      </c>
      <c r="G733" s="8">
        <v>1038285.29</v>
      </c>
      <c r="H733" s="5">
        <f t="shared" si="23"/>
        <v>1133445.46</v>
      </c>
      <c r="I733">
        <f>IFERROR(VLOOKUP(D733,'LEAID Match'!$A$2:$B$251,2,FALSE),"")</f>
        <v>4701440</v>
      </c>
    </row>
    <row r="734" spans="1:9" x14ac:dyDescent="0.2">
      <c r="A734">
        <f t="shared" si="22"/>
        <v>0</v>
      </c>
      <c r="B734" s="5">
        <v>2016</v>
      </c>
      <c r="C734" s="1">
        <v>97958</v>
      </c>
      <c r="D734" t="s">
        <v>285</v>
      </c>
      <c r="E734" t="s">
        <v>183</v>
      </c>
      <c r="F734" s="8">
        <v>1153</v>
      </c>
      <c r="G734" s="8">
        <v>4731</v>
      </c>
      <c r="H734" s="5">
        <f t="shared" si="23"/>
        <v>5884</v>
      </c>
      <c r="I734">
        <f>IFERROR(VLOOKUP(D734,'LEAID Match'!$A$2:$B$251,2,FALSE),"")</f>
        <v>0</v>
      </c>
    </row>
    <row r="735" spans="1:9" x14ac:dyDescent="0.2">
      <c r="A735">
        <f t="shared" si="22"/>
        <v>0</v>
      </c>
      <c r="B735" s="5">
        <v>2017</v>
      </c>
      <c r="C735" s="1">
        <v>97958</v>
      </c>
      <c r="D735" t="s">
        <v>285</v>
      </c>
      <c r="E735" t="s">
        <v>285</v>
      </c>
      <c r="F735" s="8">
        <v>15192</v>
      </c>
      <c r="G735" s="8">
        <v>31535</v>
      </c>
      <c r="H735" s="5">
        <f t="shared" si="23"/>
        <v>46727</v>
      </c>
      <c r="I735">
        <f>IFERROR(VLOOKUP(D735,'LEAID Match'!$A$2:$B$251,2,FALSE),"")</f>
        <v>0</v>
      </c>
    </row>
    <row r="736" spans="1:9" x14ac:dyDescent="0.2">
      <c r="A736">
        <f t="shared" si="22"/>
        <v>0</v>
      </c>
      <c r="B736" s="5">
        <v>2018</v>
      </c>
      <c r="C736" s="1">
        <v>97958</v>
      </c>
      <c r="D736" t="s">
        <v>285</v>
      </c>
      <c r="E736" t="s">
        <v>183</v>
      </c>
      <c r="F736" s="8">
        <v>21387</v>
      </c>
      <c r="G736" s="8">
        <v>47133</v>
      </c>
      <c r="H736" s="5">
        <f t="shared" si="23"/>
        <v>68520</v>
      </c>
      <c r="I736">
        <f>IFERROR(VLOOKUP(D736,'LEAID Match'!$A$2:$B$251,2,FALSE),"")</f>
        <v>0</v>
      </c>
    </row>
    <row r="737" spans="1:9" x14ac:dyDescent="0.2">
      <c r="A737">
        <f t="shared" si="22"/>
        <v>0</v>
      </c>
      <c r="B737" s="5">
        <v>2019</v>
      </c>
      <c r="C737" s="1">
        <v>97958</v>
      </c>
      <c r="D737" t="s">
        <v>285</v>
      </c>
      <c r="E737" t="s">
        <v>586</v>
      </c>
      <c r="F737" s="8">
        <v>21064</v>
      </c>
      <c r="G737" s="8">
        <v>60340</v>
      </c>
      <c r="H737" s="5">
        <f t="shared" si="23"/>
        <v>81404</v>
      </c>
      <c r="I737">
        <f>IFERROR(VLOOKUP(D737,'LEAID Match'!$A$2:$B$251,2,FALSE),"")</f>
        <v>0</v>
      </c>
    </row>
    <row r="738" spans="1:9" x14ac:dyDescent="0.2">
      <c r="A738">
        <f t="shared" si="22"/>
        <v>0</v>
      </c>
      <c r="B738" s="5">
        <v>2020</v>
      </c>
      <c r="C738" s="1">
        <v>97958</v>
      </c>
      <c r="D738" t="s">
        <v>285</v>
      </c>
      <c r="E738" t="s">
        <v>285</v>
      </c>
      <c r="F738" s="8">
        <v>29580</v>
      </c>
      <c r="G738" s="8">
        <v>57539</v>
      </c>
      <c r="H738" s="5">
        <f t="shared" si="23"/>
        <v>87119</v>
      </c>
      <c r="I738">
        <f>IFERROR(VLOOKUP(D738,'LEAID Match'!$A$2:$B$251,2,FALSE),"")</f>
        <v>0</v>
      </c>
    </row>
    <row r="739" spans="1:9" x14ac:dyDescent="0.2">
      <c r="A739">
        <f t="shared" si="22"/>
        <v>0</v>
      </c>
      <c r="B739" s="5">
        <v>2021</v>
      </c>
      <c r="C739" s="1">
        <v>97958</v>
      </c>
      <c r="D739" t="s">
        <v>285</v>
      </c>
      <c r="E739" t="s">
        <v>285</v>
      </c>
      <c r="F739" s="8">
        <v>73191</v>
      </c>
      <c r="G739" s="8">
        <v>45421</v>
      </c>
      <c r="H739" s="5">
        <f t="shared" si="23"/>
        <v>118612</v>
      </c>
      <c r="I739">
        <f>IFERROR(VLOOKUP(D739,'LEAID Match'!$A$2:$B$251,2,FALSE),"")</f>
        <v>0</v>
      </c>
    </row>
    <row r="740" spans="1:9" x14ac:dyDescent="0.2">
      <c r="A740">
        <f t="shared" si="22"/>
        <v>0</v>
      </c>
      <c r="B740" s="5">
        <v>2022</v>
      </c>
      <c r="C740" s="1">
        <v>97958</v>
      </c>
      <c r="D740" t="s">
        <v>285</v>
      </c>
      <c r="E740" t="s">
        <v>285</v>
      </c>
      <c r="F740" s="8">
        <v>28861.05</v>
      </c>
      <c r="G740" s="8">
        <v>51486.94</v>
      </c>
      <c r="H740" s="5">
        <f t="shared" si="23"/>
        <v>80347.990000000005</v>
      </c>
      <c r="I740">
        <f>IFERROR(VLOOKUP(D740,'LEAID Match'!$A$2:$B$251,2,FALSE),"")</f>
        <v>0</v>
      </c>
    </row>
    <row r="741" spans="1:9" x14ac:dyDescent="0.2">
      <c r="A741">
        <f t="shared" si="22"/>
        <v>0</v>
      </c>
      <c r="B741" s="5">
        <v>2023</v>
      </c>
      <c r="C741" s="1">
        <v>97958</v>
      </c>
      <c r="D741" t="s">
        <v>285</v>
      </c>
      <c r="E741" t="s">
        <v>285</v>
      </c>
      <c r="F741" s="8">
        <v>45915.69</v>
      </c>
      <c r="G741" s="8">
        <v>38032.22</v>
      </c>
      <c r="H741" s="5">
        <f t="shared" si="23"/>
        <v>83947.91</v>
      </c>
      <c r="I741">
        <f>IFERROR(VLOOKUP(D741,'LEAID Match'!$A$2:$B$251,2,FALSE),"")</f>
        <v>0</v>
      </c>
    </row>
    <row r="742" spans="1:9" x14ac:dyDescent="0.2">
      <c r="A742">
        <f t="shared" si="22"/>
        <v>4701470</v>
      </c>
      <c r="B742" s="5">
        <v>2015</v>
      </c>
      <c r="C742" s="1">
        <v>99030</v>
      </c>
      <c r="D742" t="s">
        <v>286</v>
      </c>
      <c r="E742" t="s">
        <v>56</v>
      </c>
      <c r="F742" s="8">
        <v>37077</v>
      </c>
      <c r="G742" s="8">
        <v>2235478</v>
      </c>
      <c r="H742" s="5">
        <f t="shared" si="23"/>
        <v>2272555</v>
      </c>
      <c r="I742">
        <f>IFERROR(VLOOKUP(D742,'LEAID Match'!$A$2:$B$251,2,FALSE),"")</f>
        <v>4701470</v>
      </c>
    </row>
    <row r="743" spans="1:9" x14ac:dyDescent="0.2">
      <c r="A743">
        <f t="shared" si="22"/>
        <v>4701470</v>
      </c>
      <c r="B743" s="5">
        <v>2016</v>
      </c>
      <c r="C743" s="1">
        <v>99030</v>
      </c>
      <c r="D743" t="s">
        <v>286</v>
      </c>
      <c r="E743" t="s">
        <v>56</v>
      </c>
      <c r="F743" s="8">
        <v>72889</v>
      </c>
      <c r="G743" s="8">
        <v>2231100</v>
      </c>
      <c r="H743" s="5">
        <f t="shared" si="23"/>
        <v>2303989</v>
      </c>
      <c r="I743">
        <f>IFERROR(VLOOKUP(D743,'LEAID Match'!$A$2:$B$251,2,FALSE),"")</f>
        <v>4701470</v>
      </c>
    </row>
    <row r="744" spans="1:9" x14ac:dyDescent="0.2">
      <c r="A744">
        <f t="shared" si="22"/>
        <v>4701470</v>
      </c>
      <c r="B744" s="5">
        <v>2017</v>
      </c>
      <c r="C744" s="1">
        <v>99030</v>
      </c>
      <c r="D744" t="s">
        <v>286</v>
      </c>
      <c r="E744" t="s">
        <v>286</v>
      </c>
      <c r="F744" s="8">
        <v>98732</v>
      </c>
      <c r="G744" s="8">
        <v>2204930</v>
      </c>
      <c r="H744" s="5">
        <f t="shared" si="23"/>
        <v>2303662</v>
      </c>
      <c r="I744">
        <f>IFERROR(VLOOKUP(D744,'LEAID Match'!$A$2:$B$251,2,FALSE),"")</f>
        <v>4701470</v>
      </c>
    </row>
    <row r="745" spans="1:9" x14ac:dyDescent="0.2">
      <c r="A745">
        <f t="shared" si="22"/>
        <v>4701470</v>
      </c>
      <c r="B745" s="5">
        <v>2018</v>
      </c>
      <c r="C745" s="1">
        <v>99030</v>
      </c>
      <c r="D745" t="s">
        <v>286</v>
      </c>
      <c r="E745" t="s">
        <v>56</v>
      </c>
      <c r="F745" s="8">
        <v>135902</v>
      </c>
      <c r="G745" s="8">
        <v>2178129</v>
      </c>
      <c r="H745" s="5">
        <f t="shared" si="23"/>
        <v>2314031</v>
      </c>
      <c r="I745">
        <f>IFERROR(VLOOKUP(D745,'LEAID Match'!$A$2:$B$251,2,FALSE),"")</f>
        <v>4701470</v>
      </c>
    </row>
    <row r="746" spans="1:9" x14ac:dyDescent="0.2">
      <c r="A746">
        <f t="shared" si="22"/>
        <v>4701470</v>
      </c>
      <c r="B746" s="5">
        <v>2019</v>
      </c>
      <c r="C746" s="1">
        <v>99030</v>
      </c>
      <c r="D746" t="s">
        <v>286</v>
      </c>
      <c r="E746" t="s">
        <v>286</v>
      </c>
      <c r="F746" s="8">
        <v>85121</v>
      </c>
      <c r="G746" s="8">
        <v>2471644</v>
      </c>
      <c r="H746" s="5">
        <f t="shared" si="23"/>
        <v>2556765</v>
      </c>
      <c r="I746">
        <f>IFERROR(VLOOKUP(D746,'LEAID Match'!$A$2:$B$251,2,FALSE),"")</f>
        <v>4701470</v>
      </c>
    </row>
    <row r="747" spans="1:9" x14ac:dyDescent="0.2">
      <c r="A747">
        <f t="shared" si="22"/>
        <v>4701470</v>
      </c>
      <c r="B747" s="5">
        <v>2020</v>
      </c>
      <c r="C747" s="1">
        <v>99030</v>
      </c>
      <c r="D747" t="s">
        <v>286</v>
      </c>
      <c r="E747" t="s">
        <v>286</v>
      </c>
      <c r="F747" s="8">
        <v>95995</v>
      </c>
      <c r="G747" s="8">
        <v>2419459</v>
      </c>
      <c r="H747" s="5">
        <f t="shared" si="23"/>
        <v>2515454</v>
      </c>
      <c r="I747">
        <f>IFERROR(VLOOKUP(D747,'LEAID Match'!$A$2:$B$251,2,FALSE),"")</f>
        <v>4701470</v>
      </c>
    </row>
    <row r="748" spans="1:9" x14ac:dyDescent="0.2">
      <c r="A748">
        <f t="shared" si="22"/>
        <v>4701470</v>
      </c>
      <c r="B748" s="5">
        <v>2021</v>
      </c>
      <c r="C748" s="1">
        <v>99030</v>
      </c>
      <c r="D748" t="s">
        <v>286</v>
      </c>
      <c r="E748" t="s">
        <v>286</v>
      </c>
      <c r="F748" s="8">
        <v>127398</v>
      </c>
      <c r="G748" s="8">
        <v>2416832</v>
      </c>
      <c r="H748" s="5">
        <f t="shared" si="23"/>
        <v>2544230</v>
      </c>
      <c r="I748">
        <f>IFERROR(VLOOKUP(D748,'LEAID Match'!$A$2:$B$251,2,FALSE),"")</f>
        <v>4701470</v>
      </c>
    </row>
    <row r="749" spans="1:9" x14ac:dyDescent="0.2">
      <c r="A749">
        <f t="shared" si="22"/>
        <v>4701470</v>
      </c>
      <c r="B749" s="5">
        <v>2022</v>
      </c>
      <c r="C749" s="1">
        <v>99030</v>
      </c>
      <c r="D749" t="s">
        <v>286</v>
      </c>
      <c r="E749" t="s">
        <v>286</v>
      </c>
      <c r="F749" s="8">
        <v>143678.75</v>
      </c>
      <c r="G749" s="8">
        <v>2317247.8199999998</v>
      </c>
      <c r="H749" s="5">
        <f t="shared" si="23"/>
        <v>2460926.5699999998</v>
      </c>
      <c r="I749">
        <f>IFERROR(VLOOKUP(D749,'LEAID Match'!$A$2:$B$251,2,FALSE),"")</f>
        <v>4701470</v>
      </c>
    </row>
    <row r="750" spans="1:9" x14ac:dyDescent="0.2">
      <c r="A750">
        <f t="shared" si="22"/>
        <v>4701470</v>
      </c>
      <c r="B750" s="5">
        <v>2023</v>
      </c>
      <c r="C750" s="1">
        <v>99030</v>
      </c>
      <c r="D750" t="s">
        <v>286</v>
      </c>
      <c r="E750" t="s">
        <v>286</v>
      </c>
      <c r="F750" s="8">
        <v>225110.34</v>
      </c>
      <c r="G750" s="8">
        <v>1945914.45</v>
      </c>
      <c r="H750" s="5">
        <f t="shared" si="23"/>
        <v>2171024.79</v>
      </c>
      <c r="I750">
        <f>IFERROR(VLOOKUP(D750,'LEAID Match'!$A$2:$B$251,2,FALSE),"")</f>
        <v>4701470</v>
      </c>
    </row>
    <row r="751" spans="1:9" x14ac:dyDescent="0.2">
      <c r="A751">
        <f t="shared" si="22"/>
        <v>4701500</v>
      </c>
      <c r="B751" s="5">
        <v>2015</v>
      </c>
      <c r="C751" s="1">
        <v>99130</v>
      </c>
      <c r="D751" t="s">
        <v>287</v>
      </c>
      <c r="E751" t="s">
        <v>57</v>
      </c>
      <c r="F751" s="8">
        <v>7236</v>
      </c>
      <c r="G751" s="8">
        <v>1154484</v>
      </c>
      <c r="H751" s="5">
        <f t="shared" si="23"/>
        <v>1161720</v>
      </c>
      <c r="I751">
        <f>IFERROR(VLOOKUP(D751,'LEAID Match'!$A$2:$B$251,2,FALSE),"")</f>
        <v>4701500</v>
      </c>
    </row>
    <row r="752" spans="1:9" x14ac:dyDescent="0.2">
      <c r="A752">
        <f t="shared" si="22"/>
        <v>4701500</v>
      </c>
      <c r="B752" s="5">
        <v>2016</v>
      </c>
      <c r="C752" s="1">
        <v>99130</v>
      </c>
      <c r="D752" t="s">
        <v>287</v>
      </c>
      <c r="E752" t="s">
        <v>57</v>
      </c>
      <c r="F752" s="8">
        <v>20871</v>
      </c>
      <c r="G752" s="8">
        <v>1142220</v>
      </c>
      <c r="H752" s="5">
        <f t="shared" si="23"/>
        <v>1163091</v>
      </c>
      <c r="I752">
        <f>IFERROR(VLOOKUP(D752,'LEAID Match'!$A$2:$B$251,2,FALSE),"")</f>
        <v>4701500</v>
      </c>
    </row>
    <row r="753" spans="1:9" x14ac:dyDescent="0.2">
      <c r="A753">
        <f t="shared" si="22"/>
        <v>4701500</v>
      </c>
      <c r="B753" s="5">
        <v>2017</v>
      </c>
      <c r="C753" s="1">
        <v>99130</v>
      </c>
      <c r="D753" t="s">
        <v>287</v>
      </c>
      <c r="E753" t="s">
        <v>287</v>
      </c>
      <c r="F753" s="8">
        <v>54827</v>
      </c>
      <c r="G753" s="8">
        <v>1099695</v>
      </c>
      <c r="H753" s="5">
        <f t="shared" si="23"/>
        <v>1154522</v>
      </c>
      <c r="I753">
        <f>IFERROR(VLOOKUP(D753,'LEAID Match'!$A$2:$B$251,2,FALSE),"")</f>
        <v>4701500</v>
      </c>
    </row>
    <row r="754" spans="1:9" x14ac:dyDescent="0.2">
      <c r="A754">
        <f t="shared" si="22"/>
        <v>4701500</v>
      </c>
      <c r="B754" s="5">
        <v>2018</v>
      </c>
      <c r="C754" s="1">
        <v>99130</v>
      </c>
      <c r="D754" t="s">
        <v>287</v>
      </c>
      <c r="E754" t="s">
        <v>57</v>
      </c>
      <c r="F754" s="8">
        <v>69953</v>
      </c>
      <c r="G754" s="8">
        <v>1102605</v>
      </c>
      <c r="H754" s="5">
        <f t="shared" si="23"/>
        <v>1172558</v>
      </c>
      <c r="I754">
        <f>IFERROR(VLOOKUP(D754,'LEAID Match'!$A$2:$B$251,2,FALSE),"")</f>
        <v>4701500</v>
      </c>
    </row>
    <row r="755" spans="1:9" x14ac:dyDescent="0.2">
      <c r="A755">
        <f t="shared" si="22"/>
        <v>4701500</v>
      </c>
      <c r="B755" s="5">
        <v>2019</v>
      </c>
      <c r="C755" s="1">
        <v>99130</v>
      </c>
      <c r="D755" t="s">
        <v>287</v>
      </c>
      <c r="E755" t="s">
        <v>287</v>
      </c>
      <c r="F755" s="8">
        <v>37462</v>
      </c>
      <c r="G755" s="8">
        <v>1258817</v>
      </c>
      <c r="H755" s="5">
        <f t="shared" si="23"/>
        <v>1296279</v>
      </c>
      <c r="I755">
        <f>IFERROR(VLOOKUP(D755,'LEAID Match'!$A$2:$B$251,2,FALSE),"")</f>
        <v>4701500</v>
      </c>
    </row>
    <row r="756" spans="1:9" x14ac:dyDescent="0.2">
      <c r="A756">
        <f t="shared" si="22"/>
        <v>4701500</v>
      </c>
      <c r="B756" s="5">
        <v>2020</v>
      </c>
      <c r="C756" s="1">
        <v>99130</v>
      </c>
      <c r="D756" t="s">
        <v>287</v>
      </c>
      <c r="E756" t="s">
        <v>287</v>
      </c>
      <c r="F756" s="8">
        <v>54654</v>
      </c>
      <c r="G756" s="8">
        <v>1246289</v>
      </c>
      <c r="H756" s="5">
        <f t="shared" si="23"/>
        <v>1300943</v>
      </c>
      <c r="I756">
        <f>IFERROR(VLOOKUP(D756,'LEAID Match'!$A$2:$B$251,2,FALSE),"")</f>
        <v>4701500</v>
      </c>
    </row>
    <row r="757" spans="1:9" x14ac:dyDescent="0.2">
      <c r="A757">
        <f t="shared" si="22"/>
        <v>4701500</v>
      </c>
      <c r="B757" s="5">
        <v>2021</v>
      </c>
      <c r="C757" s="1">
        <v>99130</v>
      </c>
      <c r="D757" t="s">
        <v>287</v>
      </c>
      <c r="E757" t="s">
        <v>287</v>
      </c>
      <c r="F757" s="8">
        <v>63258</v>
      </c>
      <c r="G757" s="8">
        <v>1242019</v>
      </c>
      <c r="H757" s="5">
        <f t="shared" si="23"/>
        <v>1305277</v>
      </c>
      <c r="I757">
        <f>IFERROR(VLOOKUP(D757,'LEAID Match'!$A$2:$B$251,2,FALSE),"")</f>
        <v>4701500</v>
      </c>
    </row>
    <row r="758" spans="1:9" x14ac:dyDescent="0.2">
      <c r="A758">
        <f t="shared" si="22"/>
        <v>4701500</v>
      </c>
      <c r="B758" s="5">
        <v>2022</v>
      </c>
      <c r="C758" s="1">
        <v>99130</v>
      </c>
      <c r="D758" t="s">
        <v>287</v>
      </c>
      <c r="E758" t="s">
        <v>287</v>
      </c>
      <c r="F758" s="8">
        <v>81631.97</v>
      </c>
      <c r="G758" s="8">
        <v>1218206.23</v>
      </c>
      <c r="H758" s="5">
        <f t="shared" si="23"/>
        <v>1299838.2</v>
      </c>
      <c r="I758">
        <f>IFERROR(VLOOKUP(D758,'LEAID Match'!$A$2:$B$251,2,FALSE),"")</f>
        <v>4701500</v>
      </c>
    </row>
    <row r="759" spans="1:9" x14ac:dyDescent="0.2">
      <c r="A759">
        <f t="shared" si="22"/>
        <v>4701500</v>
      </c>
      <c r="B759" s="5">
        <v>2023</v>
      </c>
      <c r="C759" s="1">
        <v>99130</v>
      </c>
      <c r="D759" t="s">
        <v>287</v>
      </c>
      <c r="E759" t="s">
        <v>287</v>
      </c>
      <c r="F759" s="8">
        <v>138207.54999999999</v>
      </c>
      <c r="G759" s="8">
        <v>990096.86</v>
      </c>
      <c r="H759" s="5">
        <f t="shared" si="23"/>
        <v>1128304.4099999999</v>
      </c>
      <c r="I759">
        <f>IFERROR(VLOOKUP(D759,'LEAID Match'!$A$2:$B$251,2,FALSE),"")</f>
        <v>4701500</v>
      </c>
    </row>
    <row r="760" spans="1:9" x14ac:dyDescent="0.2">
      <c r="A760">
        <f t="shared" si="22"/>
        <v>4701530</v>
      </c>
      <c r="B760" s="5">
        <v>2015</v>
      </c>
      <c r="C760" s="1">
        <v>99031</v>
      </c>
      <c r="D760" t="s">
        <v>288</v>
      </c>
      <c r="E760" t="s">
        <v>58</v>
      </c>
      <c r="F760" s="8">
        <v>12151</v>
      </c>
      <c r="G760" s="8">
        <v>760113</v>
      </c>
      <c r="H760" s="5">
        <f t="shared" si="23"/>
        <v>772264</v>
      </c>
      <c r="I760">
        <f>IFERROR(VLOOKUP(D760,'LEAID Match'!$A$2:$B$251,2,FALSE),"")</f>
        <v>4701530</v>
      </c>
    </row>
    <row r="761" spans="1:9" x14ac:dyDescent="0.2">
      <c r="A761">
        <f t="shared" si="22"/>
        <v>4701530</v>
      </c>
      <c r="B761" s="5">
        <v>2016</v>
      </c>
      <c r="C761" s="1">
        <v>99031</v>
      </c>
      <c r="D761" t="s">
        <v>288</v>
      </c>
      <c r="E761" t="s">
        <v>58</v>
      </c>
      <c r="F761" s="8">
        <v>20840</v>
      </c>
      <c r="G761" s="8">
        <v>751761</v>
      </c>
      <c r="H761" s="5">
        <f t="shared" si="23"/>
        <v>772601</v>
      </c>
      <c r="I761">
        <f>IFERROR(VLOOKUP(D761,'LEAID Match'!$A$2:$B$251,2,FALSE),"")</f>
        <v>4701530</v>
      </c>
    </row>
    <row r="762" spans="1:9" x14ac:dyDescent="0.2">
      <c r="A762">
        <f t="shared" si="22"/>
        <v>4701530</v>
      </c>
      <c r="B762" s="5">
        <v>2017</v>
      </c>
      <c r="C762" s="1">
        <v>99031</v>
      </c>
      <c r="D762" t="s">
        <v>288</v>
      </c>
      <c r="E762" t="s">
        <v>288</v>
      </c>
      <c r="F762" s="8">
        <v>34594</v>
      </c>
      <c r="G762" s="8">
        <v>718689</v>
      </c>
      <c r="H762" s="5">
        <f t="shared" si="23"/>
        <v>753283</v>
      </c>
      <c r="I762">
        <f>IFERROR(VLOOKUP(D762,'LEAID Match'!$A$2:$B$251,2,FALSE),"")</f>
        <v>4701530</v>
      </c>
    </row>
    <row r="763" spans="1:9" x14ac:dyDescent="0.2">
      <c r="A763">
        <f t="shared" si="22"/>
        <v>4701530</v>
      </c>
      <c r="B763" s="5">
        <v>2018</v>
      </c>
      <c r="C763" s="1">
        <v>99031</v>
      </c>
      <c r="D763" t="s">
        <v>288</v>
      </c>
      <c r="E763" t="s">
        <v>58</v>
      </c>
      <c r="F763" s="8">
        <v>50584</v>
      </c>
      <c r="G763" s="8">
        <v>701645</v>
      </c>
      <c r="H763" s="5">
        <f t="shared" si="23"/>
        <v>752229</v>
      </c>
      <c r="I763">
        <f>IFERROR(VLOOKUP(D763,'LEAID Match'!$A$2:$B$251,2,FALSE),"")</f>
        <v>4701530</v>
      </c>
    </row>
    <row r="764" spans="1:9" x14ac:dyDescent="0.2">
      <c r="A764">
        <f t="shared" si="22"/>
        <v>4701530</v>
      </c>
      <c r="B764" s="5">
        <v>2019</v>
      </c>
      <c r="C764" s="1">
        <v>99031</v>
      </c>
      <c r="D764" t="s">
        <v>288</v>
      </c>
      <c r="E764" t="s">
        <v>288</v>
      </c>
      <c r="F764" s="8">
        <v>33755</v>
      </c>
      <c r="G764" s="8">
        <v>738186</v>
      </c>
      <c r="H764" s="5">
        <f t="shared" si="23"/>
        <v>771941</v>
      </c>
      <c r="I764">
        <f>IFERROR(VLOOKUP(D764,'LEAID Match'!$A$2:$B$251,2,FALSE),"")</f>
        <v>4701530</v>
      </c>
    </row>
    <row r="765" spans="1:9" x14ac:dyDescent="0.2">
      <c r="A765">
        <f t="shared" si="22"/>
        <v>4701530</v>
      </c>
      <c r="B765" s="5">
        <v>2020</v>
      </c>
      <c r="C765" s="1">
        <v>99031</v>
      </c>
      <c r="D765" t="s">
        <v>288</v>
      </c>
      <c r="E765" t="s">
        <v>288</v>
      </c>
      <c r="F765" s="8">
        <v>39542</v>
      </c>
      <c r="G765" s="8">
        <v>701060</v>
      </c>
      <c r="H765" s="5">
        <f t="shared" si="23"/>
        <v>740602</v>
      </c>
      <c r="I765">
        <f>IFERROR(VLOOKUP(D765,'LEAID Match'!$A$2:$B$251,2,FALSE),"")</f>
        <v>4701530</v>
      </c>
    </row>
    <row r="766" spans="1:9" x14ac:dyDescent="0.2">
      <c r="A766">
        <f t="shared" si="22"/>
        <v>4701530</v>
      </c>
      <c r="B766" s="5">
        <v>2021</v>
      </c>
      <c r="C766" s="1">
        <v>99031</v>
      </c>
      <c r="D766" t="s">
        <v>288</v>
      </c>
      <c r="E766" t="s">
        <v>288</v>
      </c>
      <c r="F766" s="8">
        <v>40127</v>
      </c>
      <c r="G766" s="8">
        <v>646717</v>
      </c>
      <c r="H766" s="5">
        <f t="shared" si="23"/>
        <v>686844</v>
      </c>
      <c r="I766">
        <f>IFERROR(VLOOKUP(D766,'LEAID Match'!$A$2:$B$251,2,FALSE),"")</f>
        <v>4701530</v>
      </c>
    </row>
    <row r="767" spans="1:9" x14ac:dyDescent="0.2">
      <c r="A767">
        <f t="shared" si="22"/>
        <v>4701530</v>
      </c>
      <c r="B767" s="5">
        <v>2022</v>
      </c>
      <c r="C767" s="1">
        <v>99031</v>
      </c>
      <c r="D767" t="s">
        <v>288</v>
      </c>
      <c r="E767" t="s">
        <v>288</v>
      </c>
      <c r="F767" s="8">
        <v>42455.24</v>
      </c>
      <c r="G767" s="8">
        <v>626998.26</v>
      </c>
      <c r="H767" s="5">
        <f t="shared" si="23"/>
        <v>669453.5</v>
      </c>
      <c r="I767">
        <f>IFERROR(VLOOKUP(D767,'LEAID Match'!$A$2:$B$251,2,FALSE),"")</f>
        <v>4701530</v>
      </c>
    </row>
    <row r="768" spans="1:9" x14ac:dyDescent="0.2">
      <c r="A768">
        <f t="shared" si="22"/>
        <v>4701530</v>
      </c>
      <c r="B768" s="5">
        <v>2023</v>
      </c>
      <c r="C768" s="1">
        <v>99031</v>
      </c>
      <c r="D768" t="s">
        <v>288</v>
      </c>
      <c r="E768" t="s">
        <v>288</v>
      </c>
      <c r="F768" s="8">
        <v>64574.09</v>
      </c>
      <c r="G768" s="8">
        <v>510084.39</v>
      </c>
      <c r="H768" s="5">
        <f t="shared" si="23"/>
        <v>574658.48</v>
      </c>
      <c r="I768">
        <f>IFERROR(VLOOKUP(D768,'LEAID Match'!$A$2:$B$251,2,FALSE),"")</f>
        <v>4701530</v>
      </c>
    </row>
    <row r="769" spans="1:9" x14ac:dyDescent="0.2">
      <c r="A769">
        <f t="shared" si="22"/>
        <v>4700001</v>
      </c>
      <c r="B769" s="5">
        <v>2015</v>
      </c>
      <c r="C769" s="1">
        <v>99032</v>
      </c>
      <c r="D769" t="s">
        <v>289</v>
      </c>
      <c r="E769" t="s">
        <v>59</v>
      </c>
      <c r="F769" s="8">
        <v>73033</v>
      </c>
      <c r="G769" s="8">
        <v>3090554</v>
      </c>
      <c r="H769" s="5">
        <f t="shared" si="23"/>
        <v>3163587</v>
      </c>
      <c r="I769">
        <f>IFERROR(VLOOKUP(D769,'LEAID Match'!$A$2:$B$251,2,FALSE),"")</f>
        <v>4700001</v>
      </c>
    </row>
    <row r="770" spans="1:9" x14ac:dyDescent="0.2">
      <c r="A770">
        <f t="shared" si="22"/>
        <v>4700001</v>
      </c>
      <c r="B770" s="5">
        <v>2016</v>
      </c>
      <c r="C770" s="1">
        <v>99032</v>
      </c>
      <c r="D770" t="s">
        <v>289</v>
      </c>
      <c r="E770" t="s">
        <v>59</v>
      </c>
      <c r="F770" s="8">
        <v>151242</v>
      </c>
      <c r="G770" s="8">
        <v>3040114</v>
      </c>
      <c r="H770" s="5">
        <f t="shared" si="23"/>
        <v>3191356</v>
      </c>
      <c r="I770">
        <f>IFERROR(VLOOKUP(D770,'LEAID Match'!$A$2:$B$251,2,FALSE),"")</f>
        <v>4700001</v>
      </c>
    </row>
    <row r="771" spans="1:9" x14ac:dyDescent="0.2">
      <c r="A771">
        <f t="shared" ref="A771:A834" si="24">I771</f>
        <v>4700001</v>
      </c>
      <c r="B771" s="5">
        <v>2017</v>
      </c>
      <c r="C771" s="1">
        <v>99032</v>
      </c>
      <c r="D771" t="s">
        <v>289</v>
      </c>
      <c r="E771" t="s">
        <v>289</v>
      </c>
      <c r="F771" s="8">
        <v>213998</v>
      </c>
      <c r="G771" s="8">
        <v>3090762</v>
      </c>
      <c r="H771" s="5">
        <f t="shared" ref="H771:H834" si="25">SUM(F771:G771)</f>
        <v>3304760</v>
      </c>
      <c r="I771">
        <f>IFERROR(VLOOKUP(D771,'LEAID Match'!$A$2:$B$251,2,FALSE),"")</f>
        <v>4700001</v>
      </c>
    </row>
    <row r="772" spans="1:9" x14ac:dyDescent="0.2">
      <c r="A772">
        <f t="shared" si="24"/>
        <v>4700001</v>
      </c>
      <c r="B772" s="5">
        <v>2018</v>
      </c>
      <c r="C772" s="1">
        <v>99032</v>
      </c>
      <c r="D772" t="s">
        <v>289</v>
      </c>
      <c r="E772" t="s">
        <v>59</v>
      </c>
      <c r="F772" s="8">
        <v>278242</v>
      </c>
      <c r="G772" s="8">
        <v>3092144</v>
      </c>
      <c r="H772" s="5">
        <f t="shared" si="25"/>
        <v>3370386</v>
      </c>
      <c r="I772">
        <f>IFERROR(VLOOKUP(D772,'LEAID Match'!$A$2:$B$251,2,FALSE),"")</f>
        <v>4700001</v>
      </c>
    </row>
    <row r="773" spans="1:9" x14ac:dyDescent="0.2">
      <c r="A773">
        <f t="shared" si="24"/>
        <v>4700001</v>
      </c>
      <c r="B773" s="5">
        <v>2019</v>
      </c>
      <c r="C773" s="1">
        <v>99032</v>
      </c>
      <c r="D773" t="s">
        <v>289</v>
      </c>
      <c r="E773" t="s">
        <v>289</v>
      </c>
      <c r="F773" s="8">
        <v>173768</v>
      </c>
      <c r="G773" s="8">
        <v>3581208</v>
      </c>
      <c r="H773" s="5">
        <f t="shared" si="25"/>
        <v>3754976</v>
      </c>
      <c r="I773">
        <f>IFERROR(VLOOKUP(D773,'LEAID Match'!$A$2:$B$251,2,FALSE),"")</f>
        <v>4700001</v>
      </c>
    </row>
    <row r="774" spans="1:9" x14ac:dyDescent="0.2">
      <c r="A774">
        <f t="shared" si="24"/>
        <v>4700001</v>
      </c>
      <c r="B774" s="5">
        <v>2020</v>
      </c>
      <c r="C774" s="1">
        <v>99032</v>
      </c>
      <c r="D774" t="s">
        <v>289</v>
      </c>
      <c r="E774" t="s">
        <v>289</v>
      </c>
      <c r="F774" s="8">
        <v>212143</v>
      </c>
      <c r="G774" s="8">
        <v>3592640</v>
      </c>
      <c r="H774" s="5">
        <f t="shared" si="25"/>
        <v>3804783</v>
      </c>
      <c r="I774">
        <f>IFERROR(VLOOKUP(D774,'LEAID Match'!$A$2:$B$251,2,FALSE),"")</f>
        <v>4700001</v>
      </c>
    </row>
    <row r="775" spans="1:9" x14ac:dyDescent="0.2">
      <c r="A775">
        <f t="shared" si="24"/>
        <v>4700001</v>
      </c>
      <c r="B775" s="5">
        <v>2021</v>
      </c>
      <c r="C775" s="1">
        <v>99032</v>
      </c>
      <c r="D775" t="s">
        <v>289</v>
      </c>
      <c r="E775" t="s">
        <v>289</v>
      </c>
      <c r="F775" s="8">
        <v>248349</v>
      </c>
      <c r="G775" s="8">
        <v>3349565</v>
      </c>
      <c r="H775" s="5">
        <f t="shared" si="25"/>
        <v>3597914</v>
      </c>
      <c r="I775">
        <f>IFERROR(VLOOKUP(D775,'LEAID Match'!$A$2:$B$251,2,FALSE),"")</f>
        <v>4700001</v>
      </c>
    </row>
    <row r="776" spans="1:9" x14ac:dyDescent="0.2">
      <c r="A776">
        <f t="shared" si="24"/>
        <v>4700001</v>
      </c>
      <c r="B776" s="5">
        <v>2022</v>
      </c>
      <c r="C776" s="1">
        <v>99032</v>
      </c>
      <c r="D776" t="s">
        <v>289</v>
      </c>
      <c r="E776" t="s">
        <v>289</v>
      </c>
      <c r="F776" s="8">
        <v>285634.24</v>
      </c>
      <c r="G776" s="8">
        <v>3580451.51</v>
      </c>
      <c r="H776" s="5">
        <f t="shared" si="25"/>
        <v>3866085.75</v>
      </c>
      <c r="I776">
        <f>IFERROR(VLOOKUP(D776,'LEAID Match'!$A$2:$B$251,2,FALSE),"")</f>
        <v>4700001</v>
      </c>
    </row>
    <row r="777" spans="1:9" x14ac:dyDescent="0.2">
      <c r="A777">
        <f t="shared" si="24"/>
        <v>4700001</v>
      </c>
      <c r="B777" s="5">
        <v>2023</v>
      </c>
      <c r="C777" s="1">
        <v>99032</v>
      </c>
      <c r="D777" t="s">
        <v>289</v>
      </c>
      <c r="E777" t="s">
        <v>289</v>
      </c>
      <c r="F777" s="8">
        <v>468072.5</v>
      </c>
      <c r="G777" s="8">
        <v>2849859</v>
      </c>
      <c r="H777" s="5">
        <f t="shared" si="25"/>
        <v>3317931.5</v>
      </c>
      <c r="I777">
        <f>IFERROR(VLOOKUP(D777,'LEAID Match'!$A$2:$B$251,2,FALSE),"")</f>
        <v>4700001</v>
      </c>
    </row>
    <row r="778" spans="1:9" x14ac:dyDescent="0.2">
      <c r="A778">
        <f t="shared" si="24"/>
        <v>0</v>
      </c>
      <c r="B778" s="5">
        <v>2015</v>
      </c>
      <c r="C778" s="1">
        <v>92033</v>
      </c>
      <c r="D778" t="s">
        <v>552</v>
      </c>
      <c r="E778" t="s">
        <v>547</v>
      </c>
      <c r="F778" s="8" t="s">
        <v>591</v>
      </c>
      <c r="G778" s="8" t="s">
        <v>591</v>
      </c>
      <c r="H778" s="5">
        <f t="shared" si="25"/>
        <v>0</v>
      </c>
      <c r="I778">
        <f>IFERROR(VLOOKUP(D778,'LEAID Match'!$A$2:$B$251,2,FALSE),"")</f>
        <v>0</v>
      </c>
    </row>
    <row r="779" spans="1:9" x14ac:dyDescent="0.2">
      <c r="A779">
        <f t="shared" si="24"/>
        <v>0</v>
      </c>
      <c r="B779" s="5">
        <v>2016</v>
      </c>
      <c r="C779" s="1">
        <v>92033</v>
      </c>
      <c r="D779" t="s">
        <v>552</v>
      </c>
      <c r="E779" t="s">
        <v>547</v>
      </c>
      <c r="F779" s="8" t="s">
        <v>591</v>
      </c>
      <c r="G779" s="8" t="s">
        <v>591</v>
      </c>
      <c r="H779" s="5">
        <f t="shared" si="25"/>
        <v>0</v>
      </c>
      <c r="I779">
        <f>IFERROR(VLOOKUP(D779,'LEAID Match'!$A$2:$B$251,2,FALSE),"")</f>
        <v>0</v>
      </c>
    </row>
    <row r="780" spans="1:9" x14ac:dyDescent="0.2">
      <c r="A780">
        <f t="shared" si="24"/>
        <v>0</v>
      </c>
      <c r="B780" s="5">
        <v>2017</v>
      </c>
      <c r="C780" s="1">
        <v>92033</v>
      </c>
      <c r="D780" t="s">
        <v>552</v>
      </c>
      <c r="E780" t="s">
        <v>547</v>
      </c>
      <c r="F780" s="8" t="s">
        <v>591</v>
      </c>
      <c r="G780" s="8" t="s">
        <v>591</v>
      </c>
      <c r="H780" s="5">
        <f t="shared" si="25"/>
        <v>0</v>
      </c>
      <c r="I780">
        <f>IFERROR(VLOOKUP(D780,'LEAID Match'!$A$2:$B$251,2,FALSE),"")</f>
        <v>0</v>
      </c>
    </row>
    <row r="781" spans="1:9" x14ac:dyDescent="0.2">
      <c r="A781">
        <f t="shared" si="24"/>
        <v>0</v>
      </c>
      <c r="B781" s="5">
        <v>2018</v>
      </c>
      <c r="C781" s="1">
        <v>92033</v>
      </c>
      <c r="D781" t="s">
        <v>552</v>
      </c>
      <c r="E781" t="s">
        <v>547</v>
      </c>
      <c r="F781" s="8" t="s">
        <v>591</v>
      </c>
      <c r="G781" s="8" t="s">
        <v>591</v>
      </c>
      <c r="H781" s="5">
        <f t="shared" si="25"/>
        <v>0</v>
      </c>
      <c r="I781">
        <f>IFERROR(VLOOKUP(D781,'LEAID Match'!$A$2:$B$251,2,FALSE),"")</f>
        <v>0</v>
      </c>
    </row>
    <row r="782" spans="1:9" x14ac:dyDescent="0.2">
      <c r="A782">
        <f t="shared" si="24"/>
        <v>0</v>
      </c>
      <c r="B782" s="5">
        <v>2019</v>
      </c>
      <c r="C782" s="1">
        <v>92033</v>
      </c>
      <c r="D782" t="s">
        <v>552</v>
      </c>
      <c r="E782" t="s">
        <v>547</v>
      </c>
      <c r="F782" s="8" t="s">
        <v>591</v>
      </c>
      <c r="G782" s="8" t="s">
        <v>591</v>
      </c>
      <c r="H782" s="5">
        <f t="shared" si="25"/>
        <v>0</v>
      </c>
      <c r="I782">
        <f>IFERROR(VLOOKUP(D782,'LEAID Match'!$A$2:$B$251,2,FALSE),"")</f>
        <v>0</v>
      </c>
    </row>
    <row r="783" spans="1:9" x14ac:dyDescent="0.2">
      <c r="A783">
        <f t="shared" si="24"/>
        <v>0</v>
      </c>
      <c r="B783" s="5">
        <v>2020</v>
      </c>
      <c r="C783">
        <v>92033</v>
      </c>
      <c r="D783" t="s">
        <v>552</v>
      </c>
      <c r="E783" t="s">
        <v>552</v>
      </c>
      <c r="F783" s="8" t="s">
        <v>591</v>
      </c>
      <c r="G783" s="8" t="s">
        <v>591</v>
      </c>
      <c r="H783" s="5">
        <f t="shared" si="25"/>
        <v>0</v>
      </c>
      <c r="I783">
        <f>IFERROR(VLOOKUP(D783,'LEAID Match'!$A$2:$B$251,2,FALSE),"")</f>
        <v>0</v>
      </c>
    </row>
    <row r="784" spans="1:9" x14ac:dyDescent="0.2">
      <c r="A784">
        <f t="shared" si="24"/>
        <v>0</v>
      </c>
      <c r="B784" s="5">
        <v>2021</v>
      </c>
      <c r="C784">
        <v>92033</v>
      </c>
      <c r="D784" t="s">
        <v>552</v>
      </c>
      <c r="E784" t="s">
        <v>547</v>
      </c>
      <c r="F784" s="8" t="s">
        <v>591</v>
      </c>
      <c r="G784" s="8" t="s">
        <v>591</v>
      </c>
      <c r="H784" s="5">
        <f t="shared" si="25"/>
        <v>0</v>
      </c>
      <c r="I784">
        <f>IFERROR(VLOOKUP(D784,'LEAID Match'!$A$2:$B$251,2,FALSE),"")</f>
        <v>0</v>
      </c>
    </row>
    <row r="785" spans="1:9" x14ac:dyDescent="0.2">
      <c r="A785">
        <f t="shared" si="24"/>
        <v>0</v>
      </c>
      <c r="B785" s="5">
        <v>2022</v>
      </c>
      <c r="C785">
        <v>92033</v>
      </c>
      <c r="D785" t="s">
        <v>552</v>
      </c>
      <c r="E785" t="s">
        <v>547</v>
      </c>
      <c r="F785" s="8" t="s">
        <v>591</v>
      </c>
      <c r="G785" s="8" t="s">
        <v>591</v>
      </c>
      <c r="H785" s="5">
        <f t="shared" si="25"/>
        <v>0</v>
      </c>
      <c r="I785">
        <f>IFERROR(VLOOKUP(D785,'LEAID Match'!$A$2:$B$251,2,FALSE),"")</f>
        <v>0</v>
      </c>
    </row>
    <row r="786" spans="1:9" x14ac:dyDescent="0.2">
      <c r="A786">
        <f t="shared" si="24"/>
        <v>0</v>
      </c>
      <c r="B786" s="5">
        <v>2023</v>
      </c>
      <c r="C786">
        <v>92033</v>
      </c>
      <c r="D786" t="s">
        <v>552</v>
      </c>
      <c r="E786" t="s">
        <v>552</v>
      </c>
      <c r="F786" s="8" t="s">
        <v>591</v>
      </c>
      <c r="H786" s="5">
        <f t="shared" si="25"/>
        <v>0</v>
      </c>
      <c r="I786">
        <f>IFERROR(VLOOKUP(D786,'LEAID Match'!$A$2:$B$251,2,FALSE),"")</f>
        <v>0</v>
      </c>
    </row>
    <row r="787" spans="1:9" x14ac:dyDescent="0.2">
      <c r="A787">
        <f t="shared" si="24"/>
        <v>4701590</v>
      </c>
      <c r="B787" s="5">
        <v>2015</v>
      </c>
      <c r="C787" s="1">
        <v>99033</v>
      </c>
      <c r="D787" t="s">
        <v>290</v>
      </c>
      <c r="E787" t="s">
        <v>60</v>
      </c>
      <c r="F787" s="8">
        <v>413068</v>
      </c>
      <c r="G787" s="8">
        <v>14190695</v>
      </c>
      <c r="H787" s="5">
        <f t="shared" si="25"/>
        <v>14603763</v>
      </c>
      <c r="I787">
        <f>IFERROR(VLOOKUP(D787,'LEAID Match'!$A$2:$B$251,2,FALSE),"")</f>
        <v>4701590</v>
      </c>
    </row>
    <row r="788" spans="1:9" x14ac:dyDescent="0.2">
      <c r="A788">
        <f t="shared" si="24"/>
        <v>4701590</v>
      </c>
      <c r="B788" s="5">
        <v>2016</v>
      </c>
      <c r="C788" s="1">
        <v>99033</v>
      </c>
      <c r="D788" t="s">
        <v>290</v>
      </c>
      <c r="E788" t="s">
        <v>60</v>
      </c>
      <c r="F788" s="8">
        <v>1018846</v>
      </c>
      <c r="G788" s="8">
        <v>14621537</v>
      </c>
      <c r="H788" s="5">
        <f t="shared" si="25"/>
        <v>15640383</v>
      </c>
      <c r="I788">
        <f>IFERROR(VLOOKUP(D788,'LEAID Match'!$A$2:$B$251,2,FALSE),"")</f>
        <v>4701590</v>
      </c>
    </row>
    <row r="789" spans="1:9" x14ac:dyDescent="0.2">
      <c r="A789">
        <f t="shared" si="24"/>
        <v>4701590</v>
      </c>
      <c r="B789" s="5">
        <v>2017</v>
      </c>
      <c r="C789" s="1">
        <v>99033</v>
      </c>
      <c r="D789" t="s">
        <v>290</v>
      </c>
      <c r="E789" t="s">
        <v>290</v>
      </c>
      <c r="F789" s="8">
        <v>1373064</v>
      </c>
      <c r="G789" s="8">
        <v>13674126</v>
      </c>
      <c r="H789" s="5">
        <f t="shared" si="25"/>
        <v>15047190</v>
      </c>
      <c r="I789">
        <f>IFERROR(VLOOKUP(D789,'LEAID Match'!$A$2:$B$251,2,FALSE),"")</f>
        <v>4701590</v>
      </c>
    </row>
    <row r="790" spans="1:9" x14ac:dyDescent="0.2">
      <c r="A790">
        <f t="shared" si="24"/>
        <v>4701590</v>
      </c>
      <c r="B790" s="5">
        <v>2018</v>
      </c>
      <c r="C790" s="1">
        <v>99033</v>
      </c>
      <c r="D790" t="s">
        <v>290</v>
      </c>
      <c r="E790" t="s">
        <v>60</v>
      </c>
      <c r="F790" s="8">
        <v>1790374</v>
      </c>
      <c r="G790" s="8">
        <v>13511189</v>
      </c>
      <c r="H790" s="5">
        <f t="shared" si="25"/>
        <v>15301563</v>
      </c>
      <c r="I790">
        <f>IFERROR(VLOOKUP(D790,'LEAID Match'!$A$2:$B$251,2,FALSE),"")</f>
        <v>4701590</v>
      </c>
    </row>
    <row r="791" spans="1:9" x14ac:dyDescent="0.2">
      <c r="A791">
        <f t="shared" si="24"/>
        <v>4701590</v>
      </c>
      <c r="B791" s="5">
        <v>2019</v>
      </c>
      <c r="C791" s="1">
        <v>99033</v>
      </c>
      <c r="D791" t="s">
        <v>290</v>
      </c>
      <c r="E791" t="s">
        <v>290</v>
      </c>
      <c r="F791" s="8">
        <v>1139054</v>
      </c>
      <c r="G791" s="8">
        <v>14866942</v>
      </c>
      <c r="H791" s="5">
        <f t="shared" si="25"/>
        <v>16005996</v>
      </c>
      <c r="I791">
        <f>IFERROR(VLOOKUP(D791,'LEAID Match'!$A$2:$B$251,2,FALSE),"")</f>
        <v>4701590</v>
      </c>
    </row>
    <row r="792" spans="1:9" x14ac:dyDescent="0.2">
      <c r="A792">
        <f t="shared" si="24"/>
        <v>4701590</v>
      </c>
      <c r="B792" s="5">
        <v>2020</v>
      </c>
      <c r="C792" s="1">
        <v>99033</v>
      </c>
      <c r="D792" t="s">
        <v>290</v>
      </c>
      <c r="E792" t="s">
        <v>290</v>
      </c>
      <c r="F792" s="8">
        <v>1479194</v>
      </c>
      <c r="G792" s="8">
        <v>15309765</v>
      </c>
      <c r="H792" s="5">
        <f t="shared" si="25"/>
        <v>16788959</v>
      </c>
      <c r="I792">
        <f>IFERROR(VLOOKUP(D792,'LEAID Match'!$A$2:$B$251,2,FALSE),"")</f>
        <v>4701590</v>
      </c>
    </row>
    <row r="793" spans="1:9" x14ac:dyDescent="0.2">
      <c r="A793">
        <f t="shared" si="24"/>
        <v>4701590</v>
      </c>
      <c r="B793" s="5">
        <v>2021</v>
      </c>
      <c r="C793" s="1">
        <v>99033</v>
      </c>
      <c r="D793" t="s">
        <v>290</v>
      </c>
      <c r="E793" t="s">
        <v>290</v>
      </c>
      <c r="F793" s="8">
        <v>1685260</v>
      </c>
      <c r="G793" s="8">
        <v>14253975</v>
      </c>
      <c r="H793" s="5">
        <f t="shared" si="25"/>
        <v>15939235</v>
      </c>
      <c r="I793">
        <f>IFERROR(VLOOKUP(D793,'LEAID Match'!$A$2:$B$251,2,FALSE),"")</f>
        <v>4701590</v>
      </c>
    </row>
    <row r="794" spans="1:9" x14ac:dyDescent="0.2">
      <c r="A794">
        <f t="shared" si="24"/>
        <v>4701590</v>
      </c>
      <c r="B794" s="5">
        <v>2022</v>
      </c>
      <c r="C794" s="1">
        <v>99033</v>
      </c>
      <c r="D794" t="s">
        <v>290</v>
      </c>
      <c r="E794" t="s">
        <v>290</v>
      </c>
      <c r="F794" s="8">
        <v>1991723.56</v>
      </c>
      <c r="G794" s="8">
        <v>14353778.27</v>
      </c>
      <c r="H794" s="5">
        <f t="shared" si="25"/>
        <v>16345501.83</v>
      </c>
      <c r="I794">
        <f>IFERROR(VLOOKUP(D794,'LEAID Match'!$A$2:$B$251,2,FALSE),"")</f>
        <v>4701590</v>
      </c>
    </row>
    <row r="795" spans="1:9" x14ac:dyDescent="0.2">
      <c r="A795">
        <f t="shared" si="24"/>
        <v>4701590</v>
      </c>
      <c r="B795" s="5">
        <v>2023</v>
      </c>
      <c r="C795" s="1">
        <v>99033</v>
      </c>
      <c r="D795" t="s">
        <v>290</v>
      </c>
      <c r="E795" t="s">
        <v>290</v>
      </c>
      <c r="F795" s="8">
        <v>3264204.41</v>
      </c>
      <c r="G795" s="8">
        <v>11589256.68</v>
      </c>
      <c r="H795" s="5">
        <f t="shared" si="25"/>
        <v>14853461.09</v>
      </c>
      <c r="I795">
        <f>IFERROR(VLOOKUP(D795,'LEAID Match'!$A$2:$B$251,2,FALSE),"")</f>
        <v>4701590</v>
      </c>
    </row>
    <row r="796" spans="1:9" x14ac:dyDescent="0.2">
      <c r="A796">
        <f t="shared" si="24"/>
        <v>4701620</v>
      </c>
      <c r="B796" s="5">
        <v>2015</v>
      </c>
      <c r="C796" s="1">
        <v>99034</v>
      </c>
      <c r="D796" t="s">
        <v>291</v>
      </c>
      <c r="E796" t="s">
        <v>61</v>
      </c>
      <c r="F796" s="8">
        <v>8174</v>
      </c>
      <c r="G796" s="8">
        <v>399809</v>
      </c>
      <c r="H796" s="5">
        <f t="shared" si="25"/>
        <v>407983</v>
      </c>
      <c r="I796">
        <f>IFERROR(VLOOKUP(D796,'LEAID Match'!$A$2:$B$251,2,FALSE),"")</f>
        <v>4701620</v>
      </c>
    </row>
    <row r="797" spans="1:9" x14ac:dyDescent="0.2">
      <c r="A797">
        <f t="shared" si="24"/>
        <v>4701620</v>
      </c>
      <c r="B797" s="5">
        <v>2016</v>
      </c>
      <c r="C797" s="1">
        <v>99034</v>
      </c>
      <c r="D797" t="s">
        <v>291</v>
      </c>
      <c r="E797" t="s">
        <v>61</v>
      </c>
      <c r="F797" s="8">
        <v>13445</v>
      </c>
      <c r="G797" s="8">
        <v>404735</v>
      </c>
      <c r="H797" s="5">
        <f t="shared" si="25"/>
        <v>418180</v>
      </c>
      <c r="I797">
        <f>IFERROR(VLOOKUP(D797,'LEAID Match'!$A$2:$B$251,2,FALSE),"")</f>
        <v>4701620</v>
      </c>
    </row>
    <row r="798" spans="1:9" x14ac:dyDescent="0.2">
      <c r="A798">
        <f t="shared" si="24"/>
        <v>4701620</v>
      </c>
      <c r="B798" s="5">
        <v>2017</v>
      </c>
      <c r="C798" s="1">
        <v>99034</v>
      </c>
      <c r="D798" t="s">
        <v>291</v>
      </c>
      <c r="E798" t="s">
        <v>291</v>
      </c>
      <c r="F798" s="8">
        <v>21804</v>
      </c>
      <c r="G798" s="8">
        <v>390829</v>
      </c>
      <c r="H798" s="5">
        <f t="shared" si="25"/>
        <v>412633</v>
      </c>
      <c r="I798">
        <f>IFERROR(VLOOKUP(D798,'LEAID Match'!$A$2:$B$251,2,FALSE),"")</f>
        <v>4701620</v>
      </c>
    </row>
    <row r="799" spans="1:9" x14ac:dyDescent="0.2">
      <c r="A799">
        <f t="shared" si="24"/>
        <v>4701620</v>
      </c>
      <c r="B799" s="5">
        <v>2018</v>
      </c>
      <c r="C799" s="1">
        <v>99034</v>
      </c>
      <c r="D799" t="s">
        <v>291</v>
      </c>
      <c r="E799" t="s">
        <v>61</v>
      </c>
      <c r="F799" s="8">
        <v>27825</v>
      </c>
      <c r="G799" s="8">
        <v>381326</v>
      </c>
      <c r="H799" s="5">
        <f t="shared" si="25"/>
        <v>409151</v>
      </c>
      <c r="I799">
        <f>IFERROR(VLOOKUP(D799,'LEAID Match'!$A$2:$B$251,2,FALSE),"")</f>
        <v>4701620</v>
      </c>
    </row>
    <row r="800" spans="1:9" x14ac:dyDescent="0.2">
      <c r="A800">
        <f t="shared" si="24"/>
        <v>4701620</v>
      </c>
      <c r="B800" s="5">
        <v>2019</v>
      </c>
      <c r="C800" s="1">
        <v>99034</v>
      </c>
      <c r="D800" t="s">
        <v>291</v>
      </c>
      <c r="E800" t="s">
        <v>291</v>
      </c>
      <c r="F800" s="8">
        <v>15962</v>
      </c>
      <c r="G800" s="8">
        <v>422582</v>
      </c>
      <c r="H800" s="5">
        <f t="shared" si="25"/>
        <v>438544</v>
      </c>
      <c r="I800">
        <f>IFERROR(VLOOKUP(D800,'LEAID Match'!$A$2:$B$251,2,FALSE),"")</f>
        <v>4701620</v>
      </c>
    </row>
    <row r="801" spans="1:9" x14ac:dyDescent="0.2">
      <c r="A801">
        <f t="shared" si="24"/>
        <v>4701620</v>
      </c>
      <c r="B801" s="5">
        <v>2020</v>
      </c>
      <c r="C801" s="1">
        <v>99034</v>
      </c>
      <c r="D801" t="s">
        <v>291</v>
      </c>
      <c r="E801" t="s">
        <v>291</v>
      </c>
      <c r="F801" s="8">
        <v>20502</v>
      </c>
      <c r="G801" s="8">
        <v>419716</v>
      </c>
      <c r="H801" s="5">
        <f t="shared" si="25"/>
        <v>440218</v>
      </c>
      <c r="I801">
        <f>IFERROR(VLOOKUP(D801,'LEAID Match'!$A$2:$B$251,2,FALSE),"")</f>
        <v>4701620</v>
      </c>
    </row>
    <row r="802" spans="1:9" x14ac:dyDescent="0.2">
      <c r="A802">
        <f t="shared" si="24"/>
        <v>4701620</v>
      </c>
      <c r="B802" s="5">
        <v>2021</v>
      </c>
      <c r="C802" s="1">
        <v>99034</v>
      </c>
      <c r="D802" t="s">
        <v>291</v>
      </c>
      <c r="E802" t="s">
        <v>291</v>
      </c>
      <c r="F802" s="8">
        <v>23227</v>
      </c>
      <c r="G802" s="8">
        <v>389886</v>
      </c>
      <c r="H802" s="5">
        <f t="shared" si="25"/>
        <v>413113</v>
      </c>
      <c r="I802">
        <f>IFERROR(VLOOKUP(D802,'LEAID Match'!$A$2:$B$251,2,FALSE),"")</f>
        <v>4701620</v>
      </c>
    </row>
    <row r="803" spans="1:9" x14ac:dyDescent="0.2">
      <c r="A803">
        <f t="shared" si="24"/>
        <v>4701620</v>
      </c>
      <c r="B803" s="5">
        <v>2022</v>
      </c>
      <c r="C803" s="1">
        <v>99034</v>
      </c>
      <c r="D803" t="s">
        <v>291</v>
      </c>
      <c r="E803" t="s">
        <v>291</v>
      </c>
      <c r="F803" s="8">
        <v>30028.98</v>
      </c>
      <c r="G803" s="8">
        <v>388104.79</v>
      </c>
      <c r="H803" s="5">
        <f t="shared" si="25"/>
        <v>418133.76999999996</v>
      </c>
      <c r="I803">
        <f>IFERROR(VLOOKUP(D803,'LEAID Match'!$A$2:$B$251,2,FALSE),"")</f>
        <v>4701620</v>
      </c>
    </row>
    <row r="804" spans="1:9" x14ac:dyDescent="0.2">
      <c r="A804">
        <f t="shared" si="24"/>
        <v>4701620</v>
      </c>
      <c r="B804" s="5">
        <v>2023</v>
      </c>
      <c r="C804" s="1">
        <v>99034</v>
      </c>
      <c r="D804" t="s">
        <v>291</v>
      </c>
      <c r="E804" t="s">
        <v>291</v>
      </c>
      <c r="F804" s="8">
        <v>47558.45</v>
      </c>
      <c r="G804" s="8">
        <v>327071.94</v>
      </c>
      <c r="H804" s="5">
        <f t="shared" si="25"/>
        <v>374630.39</v>
      </c>
      <c r="I804">
        <f>IFERROR(VLOOKUP(D804,'LEAID Match'!$A$2:$B$251,2,FALSE),"")</f>
        <v>4701620</v>
      </c>
    </row>
    <row r="805" spans="1:9" x14ac:dyDescent="0.2">
      <c r="A805">
        <f t="shared" si="24"/>
        <v>4701650</v>
      </c>
      <c r="B805" s="5">
        <v>2015</v>
      </c>
      <c r="C805" s="1">
        <v>99035</v>
      </c>
      <c r="D805" t="s">
        <v>292</v>
      </c>
      <c r="E805" t="s">
        <v>62</v>
      </c>
      <c r="F805" s="8">
        <v>33360</v>
      </c>
      <c r="G805" s="8">
        <v>1509819</v>
      </c>
      <c r="H805" s="5">
        <f t="shared" si="25"/>
        <v>1543179</v>
      </c>
      <c r="I805">
        <f>IFERROR(VLOOKUP(D805,'LEAID Match'!$A$2:$B$251,2,FALSE),"")</f>
        <v>4701650</v>
      </c>
    </row>
    <row r="806" spans="1:9" x14ac:dyDescent="0.2">
      <c r="A806">
        <f t="shared" si="24"/>
        <v>4701650</v>
      </c>
      <c r="B806" s="5">
        <v>2016</v>
      </c>
      <c r="C806" s="1">
        <v>99035</v>
      </c>
      <c r="D806" t="s">
        <v>292</v>
      </c>
      <c r="E806" t="s">
        <v>62</v>
      </c>
      <c r="F806" s="8">
        <v>53252</v>
      </c>
      <c r="G806" s="8">
        <v>1463697</v>
      </c>
      <c r="H806" s="5">
        <f t="shared" si="25"/>
        <v>1516949</v>
      </c>
      <c r="I806">
        <f>IFERROR(VLOOKUP(D806,'LEAID Match'!$A$2:$B$251,2,FALSE),"")</f>
        <v>4701650</v>
      </c>
    </row>
    <row r="807" spans="1:9" x14ac:dyDescent="0.2">
      <c r="A807">
        <f t="shared" si="24"/>
        <v>4701650</v>
      </c>
      <c r="B807" s="5">
        <v>2017</v>
      </c>
      <c r="C807" s="1">
        <v>99035</v>
      </c>
      <c r="D807" t="s">
        <v>292</v>
      </c>
      <c r="E807" t="s">
        <v>292</v>
      </c>
      <c r="F807" s="8">
        <v>87659</v>
      </c>
      <c r="G807" s="8">
        <v>1385918</v>
      </c>
      <c r="H807" s="5">
        <f t="shared" si="25"/>
        <v>1473577</v>
      </c>
      <c r="I807">
        <f>IFERROR(VLOOKUP(D807,'LEAID Match'!$A$2:$B$251,2,FALSE),"")</f>
        <v>4701650</v>
      </c>
    </row>
    <row r="808" spans="1:9" x14ac:dyDescent="0.2">
      <c r="A808">
        <f t="shared" si="24"/>
        <v>4701650</v>
      </c>
      <c r="B808" s="5">
        <v>2018</v>
      </c>
      <c r="C808" s="1">
        <v>99035</v>
      </c>
      <c r="D808" t="s">
        <v>292</v>
      </c>
      <c r="E808" t="s">
        <v>62</v>
      </c>
      <c r="F808" s="8">
        <v>110316</v>
      </c>
      <c r="G808" s="8">
        <v>1360556</v>
      </c>
      <c r="H808" s="5">
        <f t="shared" si="25"/>
        <v>1470872</v>
      </c>
      <c r="I808">
        <f>IFERROR(VLOOKUP(D808,'LEAID Match'!$A$2:$B$251,2,FALSE),"")</f>
        <v>4701650</v>
      </c>
    </row>
    <row r="809" spans="1:9" x14ac:dyDescent="0.2">
      <c r="A809">
        <f t="shared" si="24"/>
        <v>4701650</v>
      </c>
      <c r="B809" s="5">
        <v>2019</v>
      </c>
      <c r="C809" s="1">
        <v>99035</v>
      </c>
      <c r="D809" t="s">
        <v>292</v>
      </c>
      <c r="E809" t="s">
        <v>292</v>
      </c>
      <c r="F809" s="8">
        <v>53494</v>
      </c>
      <c r="G809" s="8">
        <v>1509799</v>
      </c>
      <c r="H809" s="5">
        <f t="shared" si="25"/>
        <v>1563293</v>
      </c>
      <c r="I809">
        <f>IFERROR(VLOOKUP(D809,'LEAID Match'!$A$2:$B$251,2,FALSE),"")</f>
        <v>4701650</v>
      </c>
    </row>
    <row r="810" spans="1:9" x14ac:dyDescent="0.2">
      <c r="A810">
        <f t="shared" si="24"/>
        <v>4701650</v>
      </c>
      <c r="B810" s="5">
        <v>2020</v>
      </c>
      <c r="C810" s="1">
        <v>99035</v>
      </c>
      <c r="D810" t="s">
        <v>292</v>
      </c>
      <c r="E810" t="s">
        <v>292</v>
      </c>
      <c r="F810" s="8">
        <v>59044</v>
      </c>
      <c r="G810" s="8">
        <v>1452228</v>
      </c>
      <c r="H810" s="5">
        <f t="shared" si="25"/>
        <v>1511272</v>
      </c>
      <c r="I810">
        <f>IFERROR(VLOOKUP(D810,'LEAID Match'!$A$2:$B$251,2,FALSE),"")</f>
        <v>4701650</v>
      </c>
    </row>
    <row r="811" spans="1:9" x14ac:dyDescent="0.2">
      <c r="A811">
        <f t="shared" si="24"/>
        <v>4701650</v>
      </c>
      <c r="B811" s="5">
        <v>2021</v>
      </c>
      <c r="C811" s="1">
        <v>99035</v>
      </c>
      <c r="D811" t="s">
        <v>292</v>
      </c>
      <c r="E811" t="s">
        <v>292</v>
      </c>
      <c r="F811" s="8">
        <v>61982</v>
      </c>
      <c r="G811" s="8">
        <v>1353318</v>
      </c>
      <c r="H811" s="5">
        <f t="shared" si="25"/>
        <v>1415300</v>
      </c>
      <c r="I811">
        <f>IFERROR(VLOOKUP(D811,'LEAID Match'!$A$2:$B$251,2,FALSE),"")</f>
        <v>4701650</v>
      </c>
    </row>
    <row r="812" spans="1:9" x14ac:dyDescent="0.2">
      <c r="A812">
        <f t="shared" si="24"/>
        <v>4701650</v>
      </c>
      <c r="B812" s="5">
        <v>2022</v>
      </c>
      <c r="C812" s="1">
        <v>99035</v>
      </c>
      <c r="D812" t="s">
        <v>292</v>
      </c>
      <c r="E812" t="s">
        <v>292</v>
      </c>
      <c r="F812" s="8">
        <v>89379.91</v>
      </c>
      <c r="G812" s="8">
        <v>1347755.94</v>
      </c>
      <c r="H812" s="5">
        <f t="shared" si="25"/>
        <v>1437135.8499999999</v>
      </c>
      <c r="I812">
        <f>IFERROR(VLOOKUP(D812,'LEAID Match'!$A$2:$B$251,2,FALSE),"")</f>
        <v>4701650</v>
      </c>
    </row>
    <row r="813" spans="1:9" x14ac:dyDescent="0.2">
      <c r="A813">
        <f t="shared" si="24"/>
        <v>4701650</v>
      </c>
      <c r="B813" s="5">
        <v>2023</v>
      </c>
      <c r="C813" s="1">
        <v>99035</v>
      </c>
      <c r="D813" t="s">
        <v>292</v>
      </c>
      <c r="E813" t="s">
        <v>292</v>
      </c>
      <c r="F813" s="8">
        <v>144264.47</v>
      </c>
      <c r="G813" s="8">
        <v>1060540.67</v>
      </c>
      <c r="H813" s="5">
        <f t="shared" si="25"/>
        <v>1204805.1399999999</v>
      </c>
      <c r="I813">
        <f>IFERROR(VLOOKUP(D813,'LEAID Match'!$A$2:$B$251,2,FALSE),"")</f>
        <v>4701650</v>
      </c>
    </row>
    <row r="814" spans="1:9" x14ac:dyDescent="0.2">
      <c r="A814">
        <f t="shared" si="24"/>
        <v>4701680</v>
      </c>
      <c r="B814" s="5">
        <v>2015</v>
      </c>
      <c r="C814" s="1">
        <v>99036</v>
      </c>
      <c r="D814" t="s">
        <v>293</v>
      </c>
      <c r="E814" t="s">
        <v>63</v>
      </c>
      <c r="F814" s="8">
        <v>6511</v>
      </c>
      <c r="G814" s="8">
        <v>1180701</v>
      </c>
      <c r="H814" s="5">
        <f t="shared" si="25"/>
        <v>1187212</v>
      </c>
      <c r="I814">
        <f>IFERROR(VLOOKUP(D814,'LEAID Match'!$A$2:$B$251,2,FALSE),"")</f>
        <v>4701680</v>
      </c>
    </row>
    <row r="815" spans="1:9" x14ac:dyDescent="0.2">
      <c r="A815">
        <f t="shared" si="24"/>
        <v>4701680</v>
      </c>
      <c r="B815" s="5">
        <v>2016</v>
      </c>
      <c r="C815" s="1">
        <v>99036</v>
      </c>
      <c r="D815" t="s">
        <v>293</v>
      </c>
      <c r="E815" t="s">
        <v>63</v>
      </c>
      <c r="F815" s="8">
        <v>32298</v>
      </c>
      <c r="G815" s="8">
        <v>1167681</v>
      </c>
      <c r="H815" s="5">
        <f t="shared" si="25"/>
        <v>1199979</v>
      </c>
      <c r="I815">
        <f>IFERROR(VLOOKUP(D815,'LEAID Match'!$A$2:$B$251,2,FALSE),"")</f>
        <v>4701680</v>
      </c>
    </row>
    <row r="816" spans="1:9" x14ac:dyDescent="0.2">
      <c r="A816">
        <f t="shared" si="24"/>
        <v>4701680</v>
      </c>
      <c r="B816" s="5">
        <v>2017</v>
      </c>
      <c r="C816" s="1">
        <v>99036</v>
      </c>
      <c r="D816" t="s">
        <v>293</v>
      </c>
      <c r="E816" t="s">
        <v>293</v>
      </c>
      <c r="F816" s="8">
        <v>52196</v>
      </c>
      <c r="G816" s="8">
        <v>1162499</v>
      </c>
      <c r="H816" s="5">
        <f t="shared" si="25"/>
        <v>1214695</v>
      </c>
      <c r="I816">
        <f>IFERROR(VLOOKUP(D816,'LEAID Match'!$A$2:$B$251,2,FALSE),"")</f>
        <v>4701680</v>
      </c>
    </row>
    <row r="817" spans="1:9" x14ac:dyDescent="0.2">
      <c r="A817">
        <f t="shared" si="24"/>
        <v>4701680</v>
      </c>
      <c r="B817" s="5">
        <v>2018</v>
      </c>
      <c r="C817" s="1">
        <v>99036</v>
      </c>
      <c r="D817" t="s">
        <v>293</v>
      </c>
      <c r="E817" t="s">
        <v>63</v>
      </c>
      <c r="F817" s="8">
        <v>62858</v>
      </c>
      <c r="G817" s="8">
        <v>1134251</v>
      </c>
      <c r="H817" s="5">
        <f t="shared" si="25"/>
        <v>1197109</v>
      </c>
      <c r="I817">
        <f>IFERROR(VLOOKUP(D817,'LEAID Match'!$A$2:$B$251,2,FALSE),"")</f>
        <v>4701680</v>
      </c>
    </row>
    <row r="818" spans="1:9" x14ac:dyDescent="0.2">
      <c r="A818">
        <f t="shared" si="24"/>
        <v>4701680</v>
      </c>
      <c r="B818" s="5">
        <v>2019</v>
      </c>
      <c r="C818" s="1">
        <v>99036</v>
      </c>
      <c r="D818" t="s">
        <v>293</v>
      </c>
      <c r="E818" t="s">
        <v>293</v>
      </c>
      <c r="F818" s="8">
        <v>38262</v>
      </c>
      <c r="G818" s="8">
        <v>1273054</v>
      </c>
      <c r="H818" s="5">
        <f t="shared" si="25"/>
        <v>1311316</v>
      </c>
      <c r="I818">
        <f>IFERROR(VLOOKUP(D818,'LEAID Match'!$A$2:$B$251,2,FALSE),"")</f>
        <v>4701680</v>
      </c>
    </row>
    <row r="819" spans="1:9" x14ac:dyDescent="0.2">
      <c r="A819">
        <f t="shared" si="24"/>
        <v>4701680</v>
      </c>
      <c r="B819" s="5">
        <v>2020</v>
      </c>
      <c r="C819" s="1">
        <v>99036</v>
      </c>
      <c r="D819" t="s">
        <v>293</v>
      </c>
      <c r="E819" t="s">
        <v>293</v>
      </c>
      <c r="F819" s="8">
        <v>52226</v>
      </c>
      <c r="G819" s="8">
        <v>1285152</v>
      </c>
      <c r="H819" s="5">
        <f t="shared" si="25"/>
        <v>1337378</v>
      </c>
      <c r="I819">
        <f>IFERROR(VLOOKUP(D819,'LEAID Match'!$A$2:$B$251,2,FALSE),"")</f>
        <v>4701680</v>
      </c>
    </row>
    <row r="820" spans="1:9" x14ac:dyDescent="0.2">
      <c r="A820">
        <f t="shared" si="24"/>
        <v>4701680</v>
      </c>
      <c r="B820" s="5">
        <v>2021</v>
      </c>
      <c r="C820" s="1">
        <v>99036</v>
      </c>
      <c r="D820" t="s">
        <v>293</v>
      </c>
      <c r="E820" t="s">
        <v>293</v>
      </c>
      <c r="F820" s="8">
        <v>60089</v>
      </c>
      <c r="G820" s="8">
        <v>1268090</v>
      </c>
      <c r="H820" s="5">
        <f t="shared" si="25"/>
        <v>1328179</v>
      </c>
      <c r="I820">
        <f>IFERROR(VLOOKUP(D820,'LEAID Match'!$A$2:$B$251,2,FALSE),"")</f>
        <v>4701680</v>
      </c>
    </row>
    <row r="821" spans="1:9" x14ac:dyDescent="0.2">
      <c r="A821">
        <f t="shared" si="24"/>
        <v>4701680</v>
      </c>
      <c r="B821" s="5">
        <v>2022</v>
      </c>
      <c r="C821" s="1">
        <v>99036</v>
      </c>
      <c r="D821" t="s">
        <v>293</v>
      </c>
      <c r="E821" t="s">
        <v>293</v>
      </c>
      <c r="F821" s="8">
        <v>63767.49</v>
      </c>
      <c r="G821" s="8">
        <v>1261739.21</v>
      </c>
      <c r="H821" s="5">
        <f t="shared" si="25"/>
        <v>1325506.7</v>
      </c>
      <c r="I821">
        <f>IFERROR(VLOOKUP(D821,'LEAID Match'!$A$2:$B$251,2,FALSE),"")</f>
        <v>4701680</v>
      </c>
    </row>
    <row r="822" spans="1:9" x14ac:dyDescent="0.2">
      <c r="A822">
        <f t="shared" si="24"/>
        <v>4701680</v>
      </c>
      <c r="B822" s="5">
        <v>2023</v>
      </c>
      <c r="C822" s="1">
        <v>99036</v>
      </c>
      <c r="D822" t="s">
        <v>293</v>
      </c>
      <c r="E822" t="s">
        <v>293</v>
      </c>
      <c r="F822" s="8">
        <v>101162.32</v>
      </c>
      <c r="G822" s="8">
        <v>1052250.27</v>
      </c>
      <c r="H822" s="5">
        <f t="shared" si="25"/>
        <v>1153412.5900000001</v>
      </c>
      <c r="I822">
        <f>IFERROR(VLOOKUP(D822,'LEAID Match'!$A$2:$B$251,2,FALSE),"")</f>
        <v>4701680</v>
      </c>
    </row>
    <row r="823" spans="1:9" x14ac:dyDescent="0.2">
      <c r="A823">
        <f t="shared" si="24"/>
        <v>4704170</v>
      </c>
      <c r="B823" s="5">
        <v>2015</v>
      </c>
      <c r="C823" s="1">
        <v>99085</v>
      </c>
      <c r="D823" t="s">
        <v>294</v>
      </c>
      <c r="E823" t="s">
        <v>64</v>
      </c>
      <c r="F823" s="8">
        <v>15711</v>
      </c>
      <c r="G823" s="8">
        <v>405580</v>
      </c>
      <c r="H823" s="5">
        <f t="shared" si="25"/>
        <v>421291</v>
      </c>
      <c r="I823">
        <f>IFERROR(VLOOKUP(D823,'LEAID Match'!$A$2:$B$251,2,FALSE),"")</f>
        <v>4704170</v>
      </c>
    </row>
    <row r="824" spans="1:9" x14ac:dyDescent="0.2">
      <c r="A824">
        <f t="shared" si="24"/>
        <v>4704170</v>
      </c>
      <c r="B824" s="5">
        <v>2016</v>
      </c>
      <c r="C824" s="1">
        <v>99085</v>
      </c>
      <c r="D824" t="s">
        <v>294</v>
      </c>
      <c r="E824" t="s">
        <v>64</v>
      </c>
      <c r="F824" s="8">
        <v>23501</v>
      </c>
      <c r="G824" s="8">
        <v>368220</v>
      </c>
      <c r="H824" s="5">
        <f t="shared" si="25"/>
        <v>391721</v>
      </c>
      <c r="I824">
        <f>IFERROR(VLOOKUP(D824,'LEAID Match'!$A$2:$B$251,2,FALSE),"")</f>
        <v>4704170</v>
      </c>
    </row>
    <row r="825" spans="1:9" x14ac:dyDescent="0.2">
      <c r="A825">
        <f t="shared" si="24"/>
        <v>4704170</v>
      </c>
      <c r="B825" s="5">
        <v>2017</v>
      </c>
      <c r="C825" s="1">
        <v>99085</v>
      </c>
      <c r="D825" t="s">
        <v>294</v>
      </c>
      <c r="E825" t="s">
        <v>294</v>
      </c>
      <c r="F825" s="8">
        <v>36390</v>
      </c>
      <c r="G825" s="8">
        <v>385377</v>
      </c>
      <c r="H825" s="5">
        <f t="shared" si="25"/>
        <v>421767</v>
      </c>
      <c r="I825">
        <f>IFERROR(VLOOKUP(D825,'LEAID Match'!$A$2:$B$251,2,FALSE),"")</f>
        <v>4704170</v>
      </c>
    </row>
    <row r="826" spans="1:9" x14ac:dyDescent="0.2">
      <c r="A826">
        <f t="shared" si="24"/>
        <v>4704170</v>
      </c>
      <c r="B826" s="5">
        <v>2018</v>
      </c>
      <c r="C826" s="1">
        <v>99085</v>
      </c>
      <c r="D826" t="s">
        <v>294</v>
      </c>
      <c r="E826" t="s">
        <v>64</v>
      </c>
      <c r="F826" s="8">
        <v>53687</v>
      </c>
      <c r="G826" s="8">
        <v>355815</v>
      </c>
      <c r="H826" s="5">
        <f t="shared" si="25"/>
        <v>409502</v>
      </c>
      <c r="I826">
        <f>IFERROR(VLOOKUP(D826,'LEAID Match'!$A$2:$B$251,2,FALSE),"")</f>
        <v>4704170</v>
      </c>
    </row>
    <row r="827" spans="1:9" x14ac:dyDescent="0.2">
      <c r="A827">
        <f t="shared" si="24"/>
        <v>4704170</v>
      </c>
      <c r="B827" s="5">
        <v>2019</v>
      </c>
      <c r="C827" s="1">
        <v>99085</v>
      </c>
      <c r="D827" t="s">
        <v>294</v>
      </c>
      <c r="E827" t="s">
        <v>294</v>
      </c>
      <c r="F827" s="8">
        <v>32917</v>
      </c>
      <c r="G827" s="8">
        <v>403848</v>
      </c>
      <c r="H827" s="5">
        <f t="shared" si="25"/>
        <v>436765</v>
      </c>
      <c r="I827">
        <f>IFERROR(VLOOKUP(D827,'LEAID Match'!$A$2:$B$251,2,FALSE),"")</f>
        <v>4704170</v>
      </c>
    </row>
    <row r="828" spans="1:9" x14ac:dyDescent="0.2">
      <c r="A828">
        <f t="shared" si="24"/>
        <v>4704170</v>
      </c>
      <c r="B828" s="5">
        <v>2020</v>
      </c>
      <c r="C828" s="1">
        <v>99085</v>
      </c>
      <c r="D828" t="s">
        <v>294</v>
      </c>
      <c r="E828" t="s">
        <v>294</v>
      </c>
      <c r="F828" s="8">
        <v>38800</v>
      </c>
      <c r="G828" s="8">
        <v>389052</v>
      </c>
      <c r="H828" s="5">
        <f t="shared" si="25"/>
        <v>427852</v>
      </c>
      <c r="I828">
        <f>IFERROR(VLOOKUP(D828,'LEAID Match'!$A$2:$B$251,2,FALSE),"")</f>
        <v>4704170</v>
      </c>
    </row>
    <row r="829" spans="1:9" x14ac:dyDescent="0.2">
      <c r="A829">
        <f t="shared" si="24"/>
        <v>4704170</v>
      </c>
      <c r="B829" s="5">
        <v>2021</v>
      </c>
      <c r="C829" s="1">
        <v>99085</v>
      </c>
      <c r="D829" t="s">
        <v>294</v>
      </c>
      <c r="E829" t="s">
        <v>294</v>
      </c>
      <c r="F829" s="8">
        <v>41371</v>
      </c>
      <c r="G829" s="8">
        <v>385966</v>
      </c>
      <c r="H829" s="5">
        <f t="shared" si="25"/>
        <v>427337</v>
      </c>
      <c r="I829">
        <f>IFERROR(VLOOKUP(D829,'LEAID Match'!$A$2:$B$251,2,FALSE),"")</f>
        <v>4704170</v>
      </c>
    </row>
    <row r="830" spans="1:9" x14ac:dyDescent="0.2">
      <c r="A830">
        <f t="shared" si="24"/>
        <v>4704170</v>
      </c>
      <c r="B830" s="5">
        <v>2022</v>
      </c>
      <c r="C830" s="1">
        <v>99085</v>
      </c>
      <c r="D830" t="s">
        <v>294</v>
      </c>
      <c r="E830" t="s">
        <v>294</v>
      </c>
      <c r="F830" s="8">
        <v>49773.71</v>
      </c>
      <c r="G830" s="8">
        <v>381773.71</v>
      </c>
      <c r="H830" s="5">
        <f t="shared" si="25"/>
        <v>431547.42000000004</v>
      </c>
      <c r="I830">
        <f>IFERROR(VLOOKUP(D830,'LEAID Match'!$A$2:$B$251,2,FALSE),"")</f>
        <v>4704170</v>
      </c>
    </row>
    <row r="831" spans="1:9" x14ac:dyDescent="0.2">
      <c r="A831">
        <f t="shared" si="24"/>
        <v>4704170</v>
      </c>
      <c r="B831" s="5">
        <v>2023</v>
      </c>
      <c r="C831" s="1">
        <v>99085</v>
      </c>
      <c r="D831" t="s">
        <v>294</v>
      </c>
      <c r="E831" t="s">
        <v>294</v>
      </c>
      <c r="F831" s="8">
        <v>83794.02</v>
      </c>
      <c r="G831" s="8">
        <v>320749.14</v>
      </c>
      <c r="H831" s="5">
        <f t="shared" si="25"/>
        <v>404543.16000000003</v>
      </c>
      <c r="I831">
        <f>IFERROR(VLOOKUP(D831,'LEAID Match'!$A$2:$B$251,2,FALSE),"")</f>
        <v>4704170</v>
      </c>
    </row>
    <row r="832" spans="1:9" x14ac:dyDescent="0.2">
      <c r="A832">
        <f t="shared" si="24"/>
        <v>4701740</v>
      </c>
      <c r="B832" s="5">
        <v>2015</v>
      </c>
      <c r="C832" s="1">
        <v>99037</v>
      </c>
      <c r="D832" t="s">
        <v>295</v>
      </c>
      <c r="E832" t="s">
        <v>65</v>
      </c>
      <c r="F832" s="8">
        <v>29900</v>
      </c>
      <c r="G832" s="8">
        <v>2467027</v>
      </c>
      <c r="H832" s="5">
        <f t="shared" si="25"/>
        <v>2496927</v>
      </c>
      <c r="I832">
        <f>IFERROR(VLOOKUP(D832,'LEAID Match'!$A$2:$B$251,2,FALSE),"")</f>
        <v>4701740</v>
      </c>
    </row>
    <row r="833" spans="1:9" x14ac:dyDescent="0.2">
      <c r="A833">
        <f t="shared" si="24"/>
        <v>4701740</v>
      </c>
      <c r="B833" s="5">
        <v>2016</v>
      </c>
      <c r="C833" s="1">
        <v>99037</v>
      </c>
      <c r="D833" t="s">
        <v>295</v>
      </c>
      <c r="E833" t="s">
        <v>65</v>
      </c>
      <c r="F833" s="8">
        <v>73151</v>
      </c>
      <c r="G833" s="8">
        <v>2360520</v>
      </c>
      <c r="H833" s="5">
        <f t="shared" si="25"/>
        <v>2433671</v>
      </c>
      <c r="I833">
        <f>IFERROR(VLOOKUP(D833,'LEAID Match'!$A$2:$B$251,2,FALSE),"")</f>
        <v>4701740</v>
      </c>
    </row>
    <row r="834" spans="1:9" x14ac:dyDescent="0.2">
      <c r="A834">
        <f t="shared" si="24"/>
        <v>4701740</v>
      </c>
      <c r="B834" s="5">
        <v>2017</v>
      </c>
      <c r="C834" s="1">
        <v>99037</v>
      </c>
      <c r="D834" t="s">
        <v>295</v>
      </c>
      <c r="E834" t="s">
        <v>295</v>
      </c>
      <c r="F834" s="8">
        <v>119156</v>
      </c>
      <c r="G834" s="8">
        <v>2309898</v>
      </c>
      <c r="H834" s="5">
        <f t="shared" si="25"/>
        <v>2429054</v>
      </c>
      <c r="I834">
        <f>IFERROR(VLOOKUP(D834,'LEAID Match'!$A$2:$B$251,2,FALSE),"")</f>
        <v>4701740</v>
      </c>
    </row>
    <row r="835" spans="1:9" x14ac:dyDescent="0.2">
      <c r="A835">
        <f t="shared" ref="A835:A898" si="26">I835</f>
        <v>4701740</v>
      </c>
      <c r="B835" s="5">
        <v>2018</v>
      </c>
      <c r="C835" s="1">
        <v>99037</v>
      </c>
      <c r="D835" t="s">
        <v>295</v>
      </c>
      <c r="E835" t="s">
        <v>65</v>
      </c>
      <c r="F835" s="8">
        <v>162926</v>
      </c>
      <c r="G835" s="8">
        <v>2259837</v>
      </c>
      <c r="H835" s="5">
        <f t="shared" ref="H835:H898" si="27">SUM(F835:G835)</f>
        <v>2422763</v>
      </c>
      <c r="I835">
        <f>IFERROR(VLOOKUP(D835,'LEAID Match'!$A$2:$B$251,2,FALSE),"")</f>
        <v>4701740</v>
      </c>
    </row>
    <row r="836" spans="1:9" x14ac:dyDescent="0.2">
      <c r="A836">
        <f t="shared" si="26"/>
        <v>4701740</v>
      </c>
      <c r="B836" s="5">
        <v>2019</v>
      </c>
      <c r="C836" s="1">
        <v>99037</v>
      </c>
      <c r="D836" t="s">
        <v>295</v>
      </c>
      <c r="E836" t="s">
        <v>295</v>
      </c>
      <c r="F836" s="8">
        <v>98179</v>
      </c>
      <c r="G836" s="8">
        <v>2510225</v>
      </c>
      <c r="H836" s="5">
        <f t="shared" si="27"/>
        <v>2608404</v>
      </c>
      <c r="I836">
        <f>IFERROR(VLOOKUP(D836,'LEAID Match'!$A$2:$B$251,2,FALSE),"")</f>
        <v>4701740</v>
      </c>
    </row>
    <row r="837" spans="1:9" x14ac:dyDescent="0.2">
      <c r="A837">
        <f t="shared" si="26"/>
        <v>4701740</v>
      </c>
      <c r="B837" s="5">
        <v>2020</v>
      </c>
      <c r="C837" s="1">
        <v>99037</v>
      </c>
      <c r="D837" t="s">
        <v>295</v>
      </c>
      <c r="E837" t="s">
        <v>295</v>
      </c>
      <c r="F837" s="8">
        <v>128842</v>
      </c>
      <c r="G837" s="8">
        <v>2468721</v>
      </c>
      <c r="H837" s="5">
        <f t="shared" si="27"/>
        <v>2597563</v>
      </c>
      <c r="I837">
        <f>IFERROR(VLOOKUP(D837,'LEAID Match'!$A$2:$B$251,2,FALSE),"")</f>
        <v>4701740</v>
      </c>
    </row>
    <row r="838" spans="1:9" x14ac:dyDescent="0.2">
      <c r="A838">
        <f t="shared" si="26"/>
        <v>4701740</v>
      </c>
      <c r="B838" s="5">
        <v>2021</v>
      </c>
      <c r="C838" s="1">
        <v>99037</v>
      </c>
      <c r="D838" t="s">
        <v>295</v>
      </c>
      <c r="E838" t="s">
        <v>295</v>
      </c>
      <c r="F838" s="8">
        <v>143559</v>
      </c>
      <c r="G838" s="8">
        <v>2416019</v>
      </c>
      <c r="H838" s="5">
        <f t="shared" si="27"/>
        <v>2559578</v>
      </c>
      <c r="I838">
        <f>IFERROR(VLOOKUP(D838,'LEAID Match'!$A$2:$B$251,2,FALSE),"")</f>
        <v>4701740</v>
      </c>
    </row>
    <row r="839" spans="1:9" x14ac:dyDescent="0.2">
      <c r="A839">
        <f t="shared" si="26"/>
        <v>4701740</v>
      </c>
      <c r="B839" s="5">
        <v>2022</v>
      </c>
      <c r="C839" s="1">
        <v>99037</v>
      </c>
      <c r="D839" t="s">
        <v>295</v>
      </c>
      <c r="E839" t="s">
        <v>295</v>
      </c>
      <c r="F839" s="8">
        <v>183625.99</v>
      </c>
      <c r="G839" s="8">
        <v>2439804.7999999998</v>
      </c>
      <c r="H839" s="5">
        <f t="shared" si="27"/>
        <v>2623430.79</v>
      </c>
      <c r="I839">
        <f>IFERROR(VLOOKUP(D839,'LEAID Match'!$A$2:$B$251,2,FALSE),"")</f>
        <v>4701740</v>
      </c>
    </row>
    <row r="840" spans="1:9" x14ac:dyDescent="0.2">
      <c r="A840">
        <f t="shared" si="26"/>
        <v>4701740</v>
      </c>
      <c r="B840" s="5">
        <v>2023</v>
      </c>
      <c r="C840" s="1">
        <v>99037</v>
      </c>
      <c r="D840" t="s">
        <v>295</v>
      </c>
      <c r="E840" t="s">
        <v>295</v>
      </c>
      <c r="F840" s="8">
        <v>318345.15000000002</v>
      </c>
      <c r="G840" s="8">
        <v>1947105.25</v>
      </c>
      <c r="H840" s="5">
        <f t="shared" si="27"/>
        <v>2265450.4</v>
      </c>
      <c r="I840">
        <f>IFERROR(VLOOKUP(D840,'LEAID Match'!$A$2:$B$251,2,FALSE),"")</f>
        <v>4701740</v>
      </c>
    </row>
    <row r="841" spans="1:9" x14ac:dyDescent="0.2">
      <c r="A841">
        <f t="shared" si="26"/>
        <v>4701770</v>
      </c>
      <c r="B841" s="5">
        <v>2015</v>
      </c>
      <c r="C841" s="1">
        <v>99038</v>
      </c>
      <c r="D841" t="s">
        <v>296</v>
      </c>
      <c r="E841" t="s">
        <v>66</v>
      </c>
      <c r="F841" s="8">
        <v>33533</v>
      </c>
      <c r="G841" s="8">
        <v>1118964</v>
      </c>
      <c r="H841" s="5">
        <f t="shared" si="27"/>
        <v>1152497</v>
      </c>
      <c r="I841">
        <f>IFERROR(VLOOKUP(D841,'LEAID Match'!$A$2:$B$251,2,FALSE),"")</f>
        <v>4701770</v>
      </c>
    </row>
    <row r="842" spans="1:9" x14ac:dyDescent="0.2">
      <c r="A842">
        <f t="shared" si="26"/>
        <v>4701770</v>
      </c>
      <c r="B842" s="5">
        <v>2016</v>
      </c>
      <c r="C842" s="1">
        <v>99038</v>
      </c>
      <c r="D842" t="s">
        <v>296</v>
      </c>
      <c r="E842" t="s">
        <v>66</v>
      </c>
      <c r="F842" s="8">
        <v>50543</v>
      </c>
      <c r="G842" s="8">
        <v>1060737</v>
      </c>
      <c r="H842" s="5">
        <f t="shared" si="27"/>
        <v>1111280</v>
      </c>
      <c r="I842">
        <f>IFERROR(VLOOKUP(D842,'LEAID Match'!$A$2:$B$251,2,FALSE),"")</f>
        <v>4701770</v>
      </c>
    </row>
    <row r="843" spans="1:9" x14ac:dyDescent="0.2">
      <c r="A843">
        <f t="shared" si="26"/>
        <v>4701770</v>
      </c>
      <c r="B843" s="5">
        <v>2017</v>
      </c>
      <c r="C843" s="1">
        <v>99038</v>
      </c>
      <c r="D843" t="s">
        <v>296</v>
      </c>
      <c r="E843" t="s">
        <v>296</v>
      </c>
      <c r="F843" s="8">
        <v>72550</v>
      </c>
      <c r="G843" s="8">
        <v>1006734</v>
      </c>
      <c r="H843" s="5">
        <f t="shared" si="27"/>
        <v>1079284</v>
      </c>
      <c r="I843">
        <f>IFERROR(VLOOKUP(D843,'LEAID Match'!$A$2:$B$251,2,FALSE),"")</f>
        <v>4701770</v>
      </c>
    </row>
    <row r="844" spans="1:9" x14ac:dyDescent="0.2">
      <c r="A844">
        <f t="shared" si="26"/>
        <v>4701770</v>
      </c>
      <c r="B844" s="5">
        <v>2018</v>
      </c>
      <c r="C844" s="1">
        <v>99038</v>
      </c>
      <c r="D844" t="s">
        <v>296</v>
      </c>
      <c r="E844" t="s">
        <v>66</v>
      </c>
      <c r="F844" s="8">
        <v>89189</v>
      </c>
      <c r="G844" s="8">
        <v>993504</v>
      </c>
      <c r="H844" s="5">
        <f t="shared" si="27"/>
        <v>1082693</v>
      </c>
      <c r="I844">
        <f>IFERROR(VLOOKUP(D844,'LEAID Match'!$A$2:$B$251,2,FALSE),"")</f>
        <v>4701770</v>
      </c>
    </row>
    <row r="845" spans="1:9" x14ac:dyDescent="0.2">
      <c r="A845">
        <f t="shared" si="26"/>
        <v>4701770</v>
      </c>
      <c r="B845" s="5">
        <v>2019</v>
      </c>
      <c r="C845" s="1">
        <v>99038</v>
      </c>
      <c r="D845" t="s">
        <v>296</v>
      </c>
      <c r="E845" t="s">
        <v>296</v>
      </c>
      <c r="F845" s="8">
        <v>59835</v>
      </c>
      <c r="G845" s="8">
        <v>1032949</v>
      </c>
      <c r="H845" s="5">
        <f t="shared" si="27"/>
        <v>1092784</v>
      </c>
      <c r="I845">
        <f>IFERROR(VLOOKUP(D845,'LEAID Match'!$A$2:$B$251,2,FALSE),"")</f>
        <v>4701770</v>
      </c>
    </row>
    <row r="846" spans="1:9" x14ac:dyDescent="0.2">
      <c r="A846">
        <f t="shared" si="26"/>
        <v>4701770</v>
      </c>
      <c r="B846" s="5">
        <v>2020</v>
      </c>
      <c r="C846" s="1">
        <v>99038</v>
      </c>
      <c r="D846" t="s">
        <v>296</v>
      </c>
      <c r="E846" t="s">
        <v>296</v>
      </c>
      <c r="F846" s="8">
        <v>75323</v>
      </c>
      <c r="G846" s="8">
        <v>989382</v>
      </c>
      <c r="H846" s="5">
        <f t="shared" si="27"/>
        <v>1064705</v>
      </c>
      <c r="I846">
        <f>IFERROR(VLOOKUP(D846,'LEAID Match'!$A$2:$B$251,2,FALSE),"")</f>
        <v>4701770</v>
      </c>
    </row>
    <row r="847" spans="1:9" x14ac:dyDescent="0.2">
      <c r="A847">
        <f t="shared" si="26"/>
        <v>4701770</v>
      </c>
      <c r="B847" s="5">
        <v>2021</v>
      </c>
      <c r="C847" s="1">
        <v>99038</v>
      </c>
      <c r="D847" t="s">
        <v>296</v>
      </c>
      <c r="E847" t="s">
        <v>296</v>
      </c>
      <c r="F847" s="8">
        <v>95291</v>
      </c>
      <c r="G847" s="8">
        <v>971974</v>
      </c>
      <c r="H847" s="5">
        <f t="shared" si="27"/>
        <v>1067265</v>
      </c>
      <c r="I847">
        <f>IFERROR(VLOOKUP(D847,'LEAID Match'!$A$2:$B$251,2,FALSE),"")</f>
        <v>4701770</v>
      </c>
    </row>
    <row r="848" spans="1:9" x14ac:dyDescent="0.2">
      <c r="A848">
        <f t="shared" si="26"/>
        <v>4701770</v>
      </c>
      <c r="B848" s="5">
        <v>2022</v>
      </c>
      <c r="C848" s="1">
        <v>99038</v>
      </c>
      <c r="D848" t="s">
        <v>296</v>
      </c>
      <c r="E848" t="s">
        <v>296</v>
      </c>
      <c r="F848" s="8">
        <v>126495.38</v>
      </c>
      <c r="G848" s="8">
        <v>963762.75</v>
      </c>
      <c r="H848" s="5">
        <f t="shared" si="27"/>
        <v>1090258.1299999999</v>
      </c>
      <c r="I848">
        <f>IFERROR(VLOOKUP(D848,'LEAID Match'!$A$2:$B$251,2,FALSE),"")</f>
        <v>4701770</v>
      </c>
    </row>
    <row r="849" spans="1:9" x14ac:dyDescent="0.2">
      <c r="A849">
        <f t="shared" si="26"/>
        <v>4701770</v>
      </c>
      <c r="B849" s="5">
        <v>2023</v>
      </c>
      <c r="C849" s="1">
        <v>99038</v>
      </c>
      <c r="D849" t="s">
        <v>296</v>
      </c>
      <c r="E849" t="s">
        <v>296</v>
      </c>
      <c r="F849" s="8">
        <v>196092.55</v>
      </c>
      <c r="G849" s="8">
        <v>765399.95</v>
      </c>
      <c r="H849" s="5">
        <f t="shared" si="27"/>
        <v>961492.5</v>
      </c>
      <c r="I849">
        <f>IFERROR(VLOOKUP(D849,'LEAID Match'!$A$2:$B$251,2,FALSE),"")</f>
        <v>4701770</v>
      </c>
    </row>
    <row r="850" spans="1:9" x14ac:dyDescent="0.2">
      <c r="A850">
        <f t="shared" si="26"/>
        <v>4701800</v>
      </c>
      <c r="B850" s="5">
        <v>2015</v>
      </c>
      <c r="C850" s="1">
        <v>99039</v>
      </c>
      <c r="D850" t="s">
        <v>297</v>
      </c>
      <c r="E850" t="s">
        <v>67</v>
      </c>
      <c r="F850" s="8">
        <v>23782</v>
      </c>
      <c r="G850" s="8">
        <v>1269163</v>
      </c>
      <c r="H850" s="5">
        <f t="shared" si="27"/>
        <v>1292945</v>
      </c>
      <c r="I850">
        <f>IFERROR(VLOOKUP(D850,'LEAID Match'!$A$2:$B$251,2,FALSE),"")</f>
        <v>4701800</v>
      </c>
    </row>
    <row r="851" spans="1:9" x14ac:dyDescent="0.2">
      <c r="A851">
        <f t="shared" si="26"/>
        <v>4701800</v>
      </c>
      <c r="B851" s="5">
        <v>2016</v>
      </c>
      <c r="C851" s="1">
        <v>99039</v>
      </c>
      <c r="D851" t="s">
        <v>297</v>
      </c>
      <c r="E851" t="s">
        <v>67</v>
      </c>
      <c r="F851" s="8">
        <v>43114</v>
      </c>
      <c r="G851" s="8">
        <v>1298956</v>
      </c>
      <c r="H851" s="5">
        <f t="shared" si="27"/>
        <v>1342070</v>
      </c>
      <c r="I851">
        <f>IFERROR(VLOOKUP(D851,'LEAID Match'!$A$2:$B$251,2,FALSE),"")</f>
        <v>4701800</v>
      </c>
    </row>
    <row r="852" spans="1:9" x14ac:dyDescent="0.2">
      <c r="A852">
        <f t="shared" si="26"/>
        <v>4701800</v>
      </c>
      <c r="B852" s="5">
        <v>2017</v>
      </c>
      <c r="C852" s="1">
        <v>99039</v>
      </c>
      <c r="D852" t="s">
        <v>297</v>
      </c>
      <c r="E852" t="s">
        <v>297</v>
      </c>
      <c r="F852" s="8">
        <v>67022</v>
      </c>
      <c r="G852" s="8">
        <v>1318789</v>
      </c>
      <c r="H852" s="5">
        <f t="shared" si="27"/>
        <v>1385811</v>
      </c>
      <c r="I852">
        <f>IFERROR(VLOOKUP(D852,'LEAID Match'!$A$2:$B$251,2,FALSE),"")</f>
        <v>4701800</v>
      </c>
    </row>
    <row r="853" spans="1:9" x14ac:dyDescent="0.2">
      <c r="A853">
        <f t="shared" si="26"/>
        <v>4701800</v>
      </c>
      <c r="B853" s="5">
        <v>2018</v>
      </c>
      <c r="C853" s="1">
        <v>99039</v>
      </c>
      <c r="D853" t="s">
        <v>297</v>
      </c>
      <c r="E853" t="s">
        <v>67</v>
      </c>
      <c r="F853" s="8">
        <v>82612</v>
      </c>
      <c r="G853" s="8">
        <v>1301957</v>
      </c>
      <c r="H853" s="5">
        <f t="shared" si="27"/>
        <v>1384569</v>
      </c>
      <c r="I853">
        <f>IFERROR(VLOOKUP(D853,'LEAID Match'!$A$2:$B$251,2,FALSE),"")</f>
        <v>4701800</v>
      </c>
    </row>
    <row r="854" spans="1:9" x14ac:dyDescent="0.2">
      <c r="A854">
        <f t="shared" si="26"/>
        <v>4701800</v>
      </c>
      <c r="B854" s="5">
        <v>2019</v>
      </c>
      <c r="C854" s="1">
        <v>99039</v>
      </c>
      <c r="D854" t="s">
        <v>297</v>
      </c>
      <c r="E854" t="s">
        <v>297</v>
      </c>
      <c r="F854" s="8">
        <v>47364</v>
      </c>
      <c r="G854" s="8">
        <v>1471707</v>
      </c>
      <c r="H854" s="5">
        <f t="shared" si="27"/>
        <v>1519071</v>
      </c>
      <c r="I854">
        <f>IFERROR(VLOOKUP(D854,'LEAID Match'!$A$2:$B$251,2,FALSE),"")</f>
        <v>4701800</v>
      </c>
    </row>
    <row r="855" spans="1:9" x14ac:dyDescent="0.2">
      <c r="A855">
        <f t="shared" si="26"/>
        <v>4701800</v>
      </c>
      <c r="B855" s="5">
        <v>2020</v>
      </c>
      <c r="C855" s="1">
        <v>99039</v>
      </c>
      <c r="D855" t="s">
        <v>297</v>
      </c>
      <c r="E855" t="s">
        <v>297</v>
      </c>
      <c r="F855" s="8">
        <v>58057</v>
      </c>
      <c r="G855" s="8">
        <v>1456839</v>
      </c>
      <c r="H855" s="5">
        <f t="shared" si="27"/>
        <v>1514896</v>
      </c>
      <c r="I855">
        <f>IFERROR(VLOOKUP(D855,'LEAID Match'!$A$2:$B$251,2,FALSE),"")</f>
        <v>4701800</v>
      </c>
    </row>
    <row r="856" spans="1:9" x14ac:dyDescent="0.2">
      <c r="A856">
        <f t="shared" si="26"/>
        <v>4701800</v>
      </c>
      <c r="B856" s="5">
        <v>2021</v>
      </c>
      <c r="C856" s="1">
        <v>99039</v>
      </c>
      <c r="D856" t="s">
        <v>297</v>
      </c>
      <c r="E856" t="s">
        <v>297</v>
      </c>
      <c r="F856" s="8">
        <v>70882</v>
      </c>
      <c r="G856" s="8">
        <v>1386201</v>
      </c>
      <c r="H856" s="5">
        <f t="shared" si="27"/>
        <v>1457083</v>
      </c>
      <c r="I856">
        <f>IFERROR(VLOOKUP(D856,'LEAID Match'!$A$2:$B$251,2,FALSE),"")</f>
        <v>4701800</v>
      </c>
    </row>
    <row r="857" spans="1:9" x14ac:dyDescent="0.2">
      <c r="A857">
        <f t="shared" si="26"/>
        <v>4701800</v>
      </c>
      <c r="B857" s="5">
        <v>2022</v>
      </c>
      <c r="C857" s="1">
        <v>99039</v>
      </c>
      <c r="D857" t="s">
        <v>297</v>
      </c>
      <c r="E857" t="s">
        <v>297</v>
      </c>
      <c r="F857" s="8">
        <v>91247.73</v>
      </c>
      <c r="G857" s="8">
        <v>1389261.56</v>
      </c>
      <c r="H857" s="5">
        <f t="shared" si="27"/>
        <v>1480509.29</v>
      </c>
      <c r="I857">
        <f>IFERROR(VLOOKUP(D857,'LEAID Match'!$A$2:$B$251,2,FALSE),"")</f>
        <v>4701800</v>
      </c>
    </row>
    <row r="858" spans="1:9" x14ac:dyDescent="0.2">
      <c r="A858">
        <f t="shared" si="26"/>
        <v>4701800</v>
      </c>
      <c r="B858" s="5">
        <v>2023</v>
      </c>
      <c r="C858" s="1">
        <v>99039</v>
      </c>
      <c r="D858" t="s">
        <v>297</v>
      </c>
      <c r="E858" t="s">
        <v>297</v>
      </c>
      <c r="F858" s="8">
        <v>166414.07</v>
      </c>
      <c r="G858" s="8">
        <v>1183727.75</v>
      </c>
      <c r="H858" s="5">
        <f t="shared" si="27"/>
        <v>1350141.82</v>
      </c>
      <c r="I858">
        <f>IFERROR(VLOOKUP(D858,'LEAID Match'!$A$2:$B$251,2,FALSE),"")</f>
        <v>4701800</v>
      </c>
    </row>
    <row r="859" spans="1:9" x14ac:dyDescent="0.2">
      <c r="A859">
        <f t="shared" si="26"/>
        <v>4701830</v>
      </c>
      <c r="B859" s="5">
        <v>2015</v>
      </c>
      <c r="C859" s="1">
        <v>99040</v>
      </c>
      <c r="D859" t="s">
        <v>298</v>
      </c>
      <c r="E859" t="s">
        <v>68</v>
      </c>
      <c r="F859" s="8">
        <v>21224</v>
      </c>
      <c r="G859" s="8">
        <v>1084571</v>
      </c>
      <c r="H859" s="5">
        <f t="shared" si="27"/>
        <v>1105795</v>
      </c>
      <c r="I859">
        <f>IFERROR(VLOOKUP(D859,'LEAID Match'!$A$2:$B$251,2,FALSE),"")</f>
        <v>4701830</v>
      </c>
    </row>
    <row r="860" spans="1:9" x14ac:dyDescent="0.2">
      <c r="A860">
        <f t="shared" si="26"/>
        <v>4701830</v>
      </c>
      <c r="B860" s="5">
        <v>2016</v>
      </c>
      <c r="C860" s="1">
        <v>99040</v>
      </c>
      <c r="D860" t="s">
        <v>298</v>
      </c>
      <c r="E860" t="s">
        <v>68</v>
      </c>
      <c r="F860" s="8">
        <v>54244</v>
      </c>
      <c r="G860" s="8">
        <v>1014657</v>
      </c>
      <c r="H860" s="5">
        <f t="shared" si="27"/>
        <v>1068901</v>
      </c>
      <c r="I860">
        <f>IFERROR(VLOOKUP(D860,'LEAID Match'!$A$2:$B$251,2,FALSE),"")</f>
        <v>4701830</v>
      </c>
    </row>
    <row r="861" spans="1:9" x14ac:dyDescent="0.2">
      <c r="A861">
        <f t="shared" si="26"/>
        <v>4701830</v>
      </c>
      <c r="B861" s="5">
        <v>2017</v>
      </c>
      <c r="C861" s="1">
        <v>99040</v>
      </c>
      <c r="D861" t="s">
        <v>298</v>
      </c>
      <c r="E861" t="s">
        <v>298</v>
      </c>
      <c r="F861" s="8">
        <v>87959</v>
      </c>
      <c r="G861" s="8">
        <v>981433</v>
      </c>
      <c r="H861" s="5">
        <f t="shared" si="27"/>
        <v>1069392</v>
      </c>
      <c r="I861">
        <f>IFERROR(VLOOKUP(D861,'LEAID Match'!$A$2:$B$251,2,FALSE),"")</f>
        <v>4701830</v>
      </c>
    </row>
    <row r="862" spans="1:9" x14ac:dyDescent="0.2">
      <c r="A862">
        <f t="shared" si="26"/>
        <v>4701830</v>
      </c>
      <c r="B862" s="5">
        <v>2018</v>
      </c>
      <c r="C862" s="1">
        <v>99040</v>
      </c>
      <c r="D862" t="s">
        <v>298</v>
      </c>
      <c r="E862" t="s">
        <v>68</v>
      </c>
      <c r="F862" s="8">
        <v>104906</v>
      </c>
      <c r="G862" s="8">
        <v>975234</v>
      </c>
      <c r="H862" s="5">
        <f t="shared" si="27"/>
        <v>1080140</v>
      </c>
      <c r="I862">
        <f>IFERROR(VLOOKUP(D862,'LEAID Match'!$A$2:$B$251,2,FALSE),"")</f>
        <v>4701830</v>
      </c>
    </row>
    <row r="863" spans="1:9" x14ac:dyDescent="0.2">
      <c r="A863">
        <f t="shared" si="26"/>
        <v>4701830</v>
      </c>
      <c r="B863" s="5">
        <v>2019</v>
      </c>
      <c r="C863" s="1">
        <v>99040</v>
      </c>
      <c r="D863" t="s">
        <v>298</v>
      </c>
      <c r="E863" t="s">
        <v>298</v>
      </c>
      <c r="F863" s="8">
        <v>53663</v>
      </c>
      <c r="G863" s="8">
        <v>1086921</v>
      </c>
      <c r="H863" s="5">
        <f t="shared" si="27"/>
        <v>1140584</v>
      </c>
      <c r="I863">
        <f>IFERROR(VLOOKUP(D863,'LEAID Match'!$A$2:$B$251,2,FALSE),"")</f>
        <v>4701830</v>
      </c>
    </row>
    <row r="864" spans="1:9" x14ac:dyDescent="0.2">
      <c r="A864">
        <f t="shared" si="26"/>
        <v>4701830</v>
      </c>
      <c r="B864" s="5">
        <v>2020</v>
      </c>
      <c r="C864" s="1">
        <v>99040</v>
      </c>
      <c r="D864" t="s">
        <v>298</v>
      </c>
      <c r="E864" t="s">
        <v>298</v>
      </c>
      <c r="F864" s="8">
        <v>60355</v>
      </c>
      <c r="G864" s="8">
        <v>1125696</v>
      </c>
      <c r="H864" s="5">
        <f t="shared" si="27"/>
        <v>1186051</v>
      </c>
      <c r="I864">
        <f>IFERROR(VLOOKUP(D864,'LEAID Match'!$A$2:$B$251,2,FALSE),"")</f>
        <v>4701830</v>
      </c>
    </row>
    <row r="865" spans="1:9" x14ac:dyDescent="0.2">
      <c r="A865">
        <f t="shared" si="26"/>
        <v>4701830</v>
      </c>
      <c r="B865" s="5">
        <v>2021</v>
      </c>
      <c r="C865" s="1">
        <v>99040</v>
      </c>
      <c r="D865" t="s">
        <v>298</v>
      </c>
      <c r="E865" t="s">
        <v>298</v>
      </c>
      <c r="F865" s="8">
        <v>71417</v>
      </c>
      <c r="G865" s="8">
        <v>1093182</v>
      </c>
      <c r="H865" s="5">
        <f t="shared" si="27"/>
        <v>1164599</v>
      </c>
      <c r="I865">
        <f>IFERROR(VLOOKUP(D865,'LEAID Match'!$A$2:$B$251,2,FALSE),"")</f>
        <v>4701830</v>
      </c>
    </row>
    <row r="866" spans="1:9" x14ac:dyDescent="0.2">
      <c r="A866">
        <f t="shared" si="26"/>
        <v>4701830</v>
      </c>
      <c r="B866" s="5">
        <v>2022</v>
      </c>
      <c r="C866" s="1">
        <v>99040</v>
      </c>
      <c r="D866" t="s">
        <v>298</v>
      </c>
      <c r="E866" t="s">
        <v>298</v>
      </c>
      <c r="F866" s="8">
        <v>75585.2</v>
      </c>
      <c r="G866" s="8">
        <v>1122763.08</v>
      </c>
      <c r="H866" s="5">
        <f t="shared" si="27"/>
        <v>1198348.28</v>
      </c>
      <c r="I866">
        <f>IFERROR(VLOOKUP(D866,'LEAID Match'!$A$2:$B$251,2,FALSE),"")</f>
        <v>4701830</v>
      </c>
    </row>
    <row r="867" spans="1:9" x14ac:dyDescent="0.2">
      <c r="A867">
        <f t="shared" si="26"/>
        <v>4701830</v>
      </c>
      <c r="B867" s="5">
        <v>2023</v>
      </c>
      <c r="C867" s="1">
        <v>99040</v>
      </c>
      <c r="D867" t="s">
        <v>298</v>
      </c>
      <c r="E867" t="s">
        <v>298</v>
      </c>
      <c r="F867" s="8">
        <v>122987.6</v>
      </c>
      <c r="G867" s="8">
        <v>917424.06999999902</v>
      </c>
      <c r="H867" s="5">
        <f t="shared" si="27"/>
        <v>1040411.669999999</v>
      </c>
      <c r="I867">
        <f>IFERROR(VLOOKUP(D867,'LEAID Match'!$A$2:$B$251,2,FALSE),"")</f>
        <v>4701830</v>
      </c>
    </row>
    <row r="868" spans="1:9" x14ac:dyDescent="0.2">
      <c r="A868">
        <f t="shared" si="26"/>
        <v>4701860</v>
      </c>
      <c r="B868" s="5">
        <v>2015</v>
      </c>
      <c r="C868" s="1">
        <v>99041</v>
      </c>
      <c r="D868" t="s">
        <v>299</v>
      </c>
      <c r="E868" t="s">
        <v>69</v>
      </c>
      <c r="F868" s="8">
        <v>23634</v>
      </c>
      <c r="G868" s="8">
        <v>1169474</v>
      </c>
      <c r="H868" s="5">
        <f t="shared" si="27"/>
        <v>1193108</v>
      </c>
      <c r="I868">
        <f>IFERROR(VLOOKUP(D868,'LEAID Match'!$A$2:$B$251,2,FALSE),"")</f>
        <v>4701860</v>
      </c>
    </row>
    <row r="869" spans="1:9" x14ac:dyDescent="0.2">
      <c r="A869">
        <f t="shared" si="26"/>
        <v>4701860</v>
      </c>
      <c r="B869" s="5">
        <v>2016</v>
      </c>
      <c r="C869" s="1">
        <v>99041</v>
      </c>
      <c r="D869" t="s">
        <v>299</v>
      </c>
      <c r="E869" t="s">
        <v>69</v>
      </c>
      <c r="F869" s="8">
        <v>65173</v>
      </c>
      <c r="G869" s="8">
        <v>1159435</v>
      </c>
      <c r="H869" s="5">
        <f t="shared" si="27"/>
        <v>1224608</v>
      </c>
      <c r="I869">
        <f>IFERROR(VLOOKUP(D869,'LEAID Match'!$A$2:$B$251,2,FALSE),"")</f>
        <v>4701860</v>
      </c>
    </row>
    <row r="870" spans="1:9" x14ac:dyDescent="0.2">
      <c r="A870">
        <f t="shared" si="26"/>
        <v>4701860</v>
      </c>
      <c r="B870" s="5">
        <v>2017</v>
      </c>
      <c r="C870" s="1">
        <v>99041</v>
      </c>
      <c r="D870" t="s">
        <v>299</v>
      </c>
      <c r="E870" t="s">
        <v>299</v>
      </c>
      <c r="F870" s="8">
        <v>88360</v>
      </c>
      <c r="G870" s="8">
        <v>1114818</v>
      </c>
      <c r="H870" s="5">
        <f t="shared" si="27"/>
        <v>1203178</v>
      </c>
      <c r="I870">
        <f>IFERROR(VLOOKUP(D870,'LEAID Match'!$A$2:$B$251,2,FALSE),"")</f>
        <v>4701860</v>
      </c>
    </row>
    <row r="871" spans="1:9" x14ac:dyDescent="0.2">
      <c r="A871">
        <f t="shared" si="26"/>
        <v>4701860</v>
      </c>
      <c r="B871" s="5">
        <v>2018</v>
      </c>
      <c r="C871" s="1">
        <v>99041</v>
      </c>
      <c r="D871" t="s">
        <v>299</v>
      </c>
      <c r="E871" t="s">
        <v>69</v>
      </c>
      <c r="F871" s="8">
        <v>102607</v>
      </c>
      <c r="G871" s="8">
        <v>1115160</v>
      </c>
      <c r="H871" s="5">
        <f t="shared" si="27"/>
        <v>1217767</v>
      </c>
      <c r="I871">
        <f>IFERROR(VLOOKUP(D871,'LEAID Match'!$A$2:$B$251,2,FALSE),"")</f>
        <v>4701860</v>
      </c>
    </row>
    <row r="872" spans="1:9" x14ac:dyDescent="0.2">
      <c r="A872">
        <f t="shared" si="26"/>
        <v>4701860</v>
      </c>
      <c r="B872" s="5">
        <v>2019</v>
      </c>
      <c r="C872" s="1">
        <v>99041</v>
      </c>
      <c r="D872" t="s">
        <v>299</v>
      </c>
      <c r="E872" t="s">
        <v>299</v>
      </c>
      <c r="F872" s="8">
        <v>64881</v>
      </c>
      <c r="G872" s="8">
        <v>1232403</v>
      </c>
      <c r="H872" s="5">
        <f t="shared" si="27"/>
        <v>1297284</v>
      </c>
      <c r="I872">
        <f>IFERROR(VLOOKUP(D872,'LEAID Match'!$A$2:$B$251,2,FALSE),"")</f>
        <v>4701860</v>
      </c>
    </row>
    <row r="873" spans="1:9" x14ac:dyDescent="0.2">
      <c r="A873">
        <f t="shared" si="26"/>
        <v>4701860</v>
      </c>
      <c r="B873" s="5">
        <v>2020</v>
      </c>
      <c r="C873" s="1">
        <v>99041</v>
      </c>
      <c r="D873" t="s">
        <v>299</v>
      </c>
      <c r="E873" t="s">
        <v>299</v>
      </c>
      <c r="F873" s="8">
        <v>83379</v>
      </c>
      <c r="G873" s="8">
        <v>1213314</v>
      </c>
      <c r="H873" s="5">
        <f t="shared" si="27"/>
        <v>1296693</v>
      </c>
      <c r="I873">
        <f>IFERROR(VLOOKUP(D873,'LEAID Match'!$A$2:$B$251,2,FALSE),"")</f>
        <v>4701860</v>
      </c>
    </row>
    <row r="874" spans="1:9" x14ac:dyDescent="0.2">
      <c r="A874">
        <f t="shared" si="26"/>
        <v>4701860</v>
      </c>
      <c r="B874" s="5">
        <v>2021</v>
      </c>
      <c r="C874" s="1">
        <v>99041</v>
      </c>
      <c r="D874" t="s">
        <v>299</v>
      </c>
      <c r="E874" t="s">
        <v>299</v>
      </c>
      <c r="F874" s="8">
        <v>97113</v>
      </c>
      <c r="G874" s="8">
        <v>1179154</v>
      </c>
      <c r="H874" s="5">
        <f t="shared" si="27"/>
        <v>1276267</v>
      </c>
      <c r="I874">
        <f>IFERROR(VLOOKUP(D874,'LEAID Match'!$A$2:$B$251,2,FALSE),"")</f>
        <v>4701860</v>
      </c>
    </row>
    <row r="875" spans="1:9" x14ac:dyDescent="0.2">
      <c r="A875">
        <f t="shared" si="26"/>
        <v>4701860</v>
      </c>
      <c r="B875" s="5">
        <v>2022</v>
      </c>
      <c r="C875" s="1">
        <v>99041</v>
      </c>
      <c r="D875" t="s">
        <v>299</v>
      </c>
      <c r="E875" t="s">
        <v>299</v>
      </c>
      <c r="F875" s="8">
        <v>112294.21</v>
      </c>
      <c r="G875" s="8">
        <v>1180284.98</v>
      </c>
      <c r="H875" s="5">
        <f t="shared" si="27"/>
        <v>1292579.19</v>
      </c>
      <c r="I875">
        <f>IFERROR(VLOOKUP(D875,'LEAID Match'!$A$2:$B$251,2,FALSE),"")</f>
        <v>4701860</v>
      </c>
    </row>
    <row r="876" spans="1:9" x14ac:dyDescent="0.2">
      <c r="A876">
        <f t="shared" si="26"/>
        <v>4701860</v>
      </c>
      <c r="B876" s="5">
        <v>2023</v>
      </c>
      <c r="C876" s="1">
        <v>99041</v>
      </c>
      <c r="D876" t="s">
        <v>299</v>
      </c>
      <c r="E876" t="s">
        <v>299</v>
      </c>
      <c r="F876" s="8">
        <v>178567.5</v>
      </c>
      <c r="G876" s="8">
        <v>968867.49</v>
      </c>
      <c r="H876" s="5">
        <f t="shared" si="27"/>
        <v>1147434.99</v>
      </c>
      <c r="I876">
        <f>IFERROR(VLOOKUP(D876,'LEAID Match'!$A$2:$B$251,2,FALSE),"")</f>
        <v>4701860</v>
      </c>
    </row>
    <row r="877" spans="1:9" x14ac:dyDescent="0.2">
      <c r="A877">
        <f t="shared" si="26"/>
        <v>4701890</v>
      </c>
      <c r="B877" s="5">
        <v>2015</v>
      </c>
      <c r="C877" s="1">
        <v>99209</v>
      </c>
      <c r="D877" t="s">
        <v>300</v>
      </c>
      <c r="E877" t="s">
        <v>184</v>
      </c>
      <c r="F877" s="8">
        <v>5065</v>
      </c>
      <c r="G877" s="8">
        <v>214987</v>
      </c>
      <c r="H877" s="5">
        <f t="shared" si="27"/>
        <v>220052</v>
      </c>
      <c r="I877">
        <f>IFERROR(VLOOKUP(D877,'LEAID Match'!$A$2:$B$251,2,FALSE),"")</f>
        <v>4701890</v>
      </c>
    </row>
    <row r="878" spans="1:9" x14ac:dyDescent="0.2">
      <c r="A878">
        <f t="shared" si="26"/>
        <v>4701890</v>
      </c>
      <c r="B878" s="5">
        <v>2016</v>
      </c>
      <c r="C878" s="1">
        <v>99209</v>
      </c>
      <c r="D878" t="s">
        <v>300</v>
      </c>
      <c r="E878" t="s">
        <v>184</v>
      </c>
      <c r="F878" s="8">
        <v>9392</v>
      </c>
      <c r="G878" s="8">
        <v>175508</v>
      </c>
      <c r="H878" s="5">
        <f t="shared" si="27"/>
        <v>184900</v>
      </c>
      <c r="I878">
        <f>IFERROR(VLOOKUP(D878,'LEAID Match'!$A$2:$B$251,2,FALSE),"")</f>
        <v>4701890</v>
      </c>
    </row>
    <row r="879" spans="1:9" x14ac:dyDescent="0.2">
      <c r="A879">
        <f t="shared" si="26"/>
        <v>4701890</v>
      </c>
      <c r="B879" s="5">
        <v>2017</v>
      </c>
      <c r="C879" s="1">
        <v>99209</v>
      </c>
      <c r="D879" t="s">
        <v>300</v>
      </c>
      <c r="E879" t="s">
        <v>300</v>
      </c>
      <c r="F879" s="8">
        <v>15923</v>
      </c>
      <c r="G879" s="8">
        <v>206878</v>
      </c>
      <c r="H879" s="5">
        <f t="shared" si="27"/>
        <v>222801</v>
      </c>
      <c r="I879">
        <f>IFERROR(VLOOKUP(D879,'LEAID Match'!$A$2:$B$251,2,FALSE),"")</f>
        <v>4701890</v>
      </c>
    </row>
    <row r="880" spans="1:9" x14ac:dyDescent="0.2">
      <c r="A880">
        <f t="shared" si="26"/>
        <v>4701890</v>
      </c>
      <c r="B880" s="5">
        <v>2018</v>
      </c>
      <c r="C880" s="1">
        <v>99209</v>
      </c>
      <c r="D880" t="s">
        <v>300</v>
      </c>
      <c r="E880" t="s">
        <v>184</v>
      </c>
      <c r="F880" s="8">
        <v>17802</v>
      </c>
      <c r="G880" s="8">
        <v>215128</v>
      </c>
      <c r="H880" s="5">
        <f t="shared" si="27"/>
        <v>232930</v>
      </c>
      <c r="I880">
        <f>IFERROR(VLOOKUP(D880,'LEAID Match'!$A$2:$B$251,2,FALSE),"")</f>
        <v>4701890</v>
      </c>
    </row>
    <row r="881" spans="1:9" x14ac:dyDescent="0.2">
      <c r="A881">
        <f t="shared" si="26"/>
        <v>4701890</v>
      </c>
      <c r="B881" s="5">
        <v>2019</v>
      </c>
      <c r="C881" s="1">
        <v>99209</v>
      </c>
      <c r="D881" t="s">
        <v>300</v>
      </c>
      <c r="E881" t="s">
        <v>300</v>
      </c>
      <c r="F881" s="8">
        <v>9573</v>
      </c>
      <c r="G881" s="8">
        <v>244551</v>
      </c>
      <c r="H881" s="5">
        <f t="shared" si="27"/>
        <v>254124</v>
      </c>
      <c r="I881">
        <f>IFERROR(VLOOKUP(D881,'LEAID Match'!$A$2:$B$251,2,FALSE),"")</f>
        <v>4701890</v>
      </c>
    </row>
    <row r="882" spans="1:9" x14ac:dyDescent="0.2">
      <c r="A882">
        <f t="shared" si="26"/>
        <v>4701890</v>
      </c>
      <c r="B882" s="5">
        <v>2020</v>
      </c>
      <c r="C882" s="1">
        <v>99209</v>
      </c>
      <c r="D882" t="s">
        <v>300</v>
      </c>
      <c r="E882" t="s">
        <v>300</v>
      </c>
      <c r="F882" s="8">
        <v>10375</v>
      </c>
      <c r="G882" s="8">
        <v>244398</v>
      </c>
      <c r="H882" s="5">
        <f t="shared" si="27"/>
        <v>254773</v>
      </c>
      <c r="I882">
        <f>IFERROR(VLOOKUP(D882,'LEAID Match'!$A$2:$B$251,2,FALSE),"")</f>
        <v>4701890</v>
      </c>
    </row>
    <row r="883" spans="1:9" x14ac:dyDescent="0.2">
      <c r="A883">
        <f t="shared" si="26"/>
        <v>4701890</v>
      </c>
      <c r="B883" s="5">
        <v>2021</v>
      </c>
      <c r="C883" s="1">
        <v>99209</v>
      </c>
      <c r="D883" t="s">
        <v>300</v>
      </c>
      <c r="E883" t="s">
        <v>300</v>
      </c>
      <c r="F883" s="8">
        <v>12344</v>
      </c>
      <c r="G883" s="8">
        <v>234884</v>
      </c>
      <c r="H883" s="5">
        <f t="shared" si="27"/>
        <v>247228</v>
      </c>
      <c r="I883">
        <f>IFERROR(VLOOKUP(D883,'LEAID Match'!$A$2:$B$251,2,FALSE),"")</f>
        <v>4701890</v>
      </c>
    </row>
    <row r="884" spans="1:9" x14ac:dyDescent="0.2">
      <c r="A884">
        <f t="shared" si="26"/>
        <v>4701890</v>
      </c>
      <c r="B884" s="5">
        <v>2022</v>
      </c>
      <c r="C884" s="1">
        <v>99209</v>
      </c>
      <c r="D884" t="s">
        <v>300</v>
      </c>
      <c r="E884" t="s">
        <v>300</v>
      </c>
      <c r="F884" s="8">
        <v>17913.330000000002</v>
      </c>
      <c r="G884" s="8">
        <v>229197.01</v>
      </c>
      <c r="H884" s="5">
        <f t="shared" si="27"/>
        <v>247110.34000000003</v>
      </c>
      <c r="I884">
        <f>IFERROR(VLOOKUP(D884,'LEAID Match'!$A$2:$B$251,2,FALSE),"")</f>
        <v>4701890</v>
      </c>
    </row>
    <row r="885" spans="1:9" x14ac:dyDescent="0.2">
      <c r="A885">
        <f t="shared" si="26"/>
        <v>4701890</v>
      </c>
      <c r="B885" s="5">
        <v>2023</v>
      </c>
      <c r="C885" s="1">
        <v>99209</v>
      </c>
      <c r="D885" t="s">
        <v>300</v>
      </c>
      <c r="E885" t="s">
        <v>300</v>
      </c>
      <c r="F885" s="8">
        <v>28634.41</v>
      </c>
      <c r="G885" s="8">
        <v>180784.58</v>
      </c>
      <c r="H885" s="5">
        <f t="shared" si="27"/>
        <v>209418.99</v>
      </c>
      <c r="I885">
        <f>IFERROR(VLOOKUP(D885,'LEAID Match'!$A$2:$B$251,2,FALSE),"")</f>
        <v>4701890</v>
      </c>
    </row>
    <row r="886" spans="1:9" x14ac:dyDescent="0.2">
      <c r="A886">
        <f t="shared" si="26"/>
        <v>4701920</v>
      </c>
      <c r="B886" s="5">
        <v>2015</v>
      </c>
      <c r="C886" s="1">
        <v>99042</v>
      </c>
      <c r="D886" t="s">
        <v>301</v>
      </c>
      <c r="E886" t="s">
        <v>70</v>
      </c>
      <c r="F886" s="8">
        <v>5607</v>
      </c>
      <c r="G886" s="8">
        <v>457150</v>
      </c>
      <c r="H886" s="5">
        <f t="shared" si="27"/>
        <v>462757</v>
      </c>
      <c r="I886">
        <f>IFERROR(VLOOKUP(D886,'LEAID Match'!$A$2:$B$251,2,FALSE),"")</f>
        <v>4701920</v>
      </c>
    </row>
    <row r="887" spans="1:9" x14ac:dyDescent="0.2">
      <c r="A887">
        <f t="shared" si="26"/>
        <v>4701920</v>
      </c>
      <c r="B887" s="5">
        <v>2016</v>
      </c>
      <c r="C887" s="1">
        <v>99042</v>
      </c>
      <c r="D887" t="s">
        <v>301</v>
      </c>
      <c r="E887" t="s">
        <v>70</v>
      </c>
      <c r="F887" s="8">
        <v>9000</v>
      </c>
      <c r="G887" s="8">
        <v>455698</v>
      </c>
      <c r="H887" s="5">
        <f t="shared" si="27"/>
        <v>464698</v>
      </c>
      <c r="I887">
        <f>IFERROR(VLOOKUP(D887,'LEAID Match'!$A$2:$B$251,2,FALSE),"")</f>
        <v>4701920</v>
      </c>
    </row>
    <row r="888" spans="1:9" x14ac:dyDescent="0.2">
      <c r="A888">
        <f t="shared" si="26"/>
        <v>4701920</v>
      </c>
      <c r="B888" s="5">
        <v>2017</v>
      </c>
      <c r="C888" s="1">
        <v>99042</v>
      </c>
      <c r="D888" t="s">
        <v>301</v>
      </c>
      <c r="E888" t="s">
        <v>301</v>
      </c>
      <c r="F888" s="8">
        <v>17557</v>
      </c>
      <c r="G888" s="8">
        <v>446627</v>
      </c>
      <c r="H888" s="5">
        <f t="shared" si="27"/>
        <v>464184</v>
      </c>
      <c r="I888">
        <f>IFERROR(VLOOKUP(D888,'LEAID Match'!$A$2:$B$251,2,FALSE),"")</f>
        <v>4701920</v>
      </c>
    </row>
    <row r="889" spans="1:9" x14ac:dyDescent="0.2">
      <c r="A889">
        <f t="shared" si="26"/>
        <v>4701920</v>
      </c>
      <c r="B889" s="5">
        <v>2018</v>
      </c>
      <c r="C889" s="1">
        <v>99042</v>
      </c>
      <c r="D889" t="s">
        <v>301</v>
      </c>
      <c r="E889" t="s">
        <v>70</v>
      </c>
      <c r="F889" s="8">
        <v>25463</v>
      </c>
      <c r="G889" s="8">
        <v>454426</v>
      </c>
      <c r="H889" s="5">
        <f t="shared" si="27"/>
        <v>479889</v>
      </c>
      <c r="I889">
        <f>IFERROR(VLOOKUP(D889,'LEAID Match'!$A$2:$B$251,2,FALSE),"")</f>
        <v>4701920</v>
      </c>
    </row>
    <row r="890" spans="1:9" x14ac:dyDescent="0.2">
      <c r="A890">
        <f t="shared" si="26"/>
        <v>4701920</v>
      </c>
      <c r="B890" s="5">
        <v>2019</v>
      </c>
      <c r="C890" s="1">
        <v>99042</v>
      </c>
      <c r="D890" t="s">
        <v>301</v>
      </c>
      <c r="E890" t="s">
        <v>301</v>
      </c>
      <c r="F890" s="8">
        <v>20434</v>
      </c>
      <c r="G890" s="8">
        <v>488478</v>
      </c>
      <c r="H890" s="5">
        <f t="shared" si="27"/>
        <v>508912</v>
      </c>
      <c r="I890">
        <f>IFERROR(VLOOKUP(D890,'LEAID Match'!$A$2:$B$251,2,FALSE),"")</f>
        <v>4701920</v>
      </c>
    </row>
    <row r="891" spans="1:9" x14ac:dyDescent="0.2">
      <c r="A891">
        <f t="shared" si="26"/>
        <v>4701920</v>
      </c>
      <c r="B891" s="5">
        <v>2020</v>
      </c>
      <c r="C891" s="1">
        <v>99042</v>
      </c>
      <c r="D891" t="s">
        <v>301</v>
      </c>
      <c r="E891" t="s">
        <v>301</v>
      </c>
      <c r="F891" s="8">
        <v>24313</v>
      </c>
      <c r="G891" s="8">
        <v>497543</v>
      </c>
      <c r="H891" s="5">
        <f t="shared" si="27"/>
        <v>521856</v>
      </c>
      <c r="I891">
        <f>IFERROR(VLOOKUP(D891,'LEAID Match'!$A$2:$B$251,2,FALSE),"")</f>
        <v>4701920</v>
      </c>
    </row>
    <row r="892" spans="1:9" x14ac:dyDescent="0.2">
      <c r="A892">
        <f t="shared" si="26"/>
        <v>4701920</v>
      </c>
      <c r="B892" s="5">
        <v>2021</v>
      </c>
      <c r="C892" s="1">
        <v>99042</v>
      </c>
      <c r="D892" t="s">
        <v>301</v>
      </c>
      <c r="E892" t="s">
        <v>301</v>
      </c>
      <c r="F892" s="8">
        <v>25025</v>
      </c>
      <c r="G892" s="8">
        <v>475344</v>
      </c>
      <c r="H892" s="5">
        <f t="shared" si="27"/>
        <v>500369</v>
      </c>
      <c r="I892">
        <f>IFERROR(VLOOKUP(D892,'LEAID Match'!$A$2:$B$251,2,FALSE),"")</f>
        <v>4701920</v>
      </c>
    </row>
    <row r="893" spans="1:9" x14ac:dyDescent="0.2">
      <c r="A893">
        <f t="shared" si="26"/>
        <v>4701920</v>
      </c>
      <c r="B893" s="5">
        <v>2022</v>
      </c>
      <c r="C893" s="1">
        <v>99042</v>
      </c>
      <c r="D893" t="s">
        <v>301</v>
      </c>
      <c r="E893" t="s">
        <v>301</v>
      </c>
      <c r="F893" s="8">
        <v>34982.07</v>
      </c>
      <c r="G893" s="8">
        <v>467231.17</v>
      </c>
      <c r="H893" s="5">
        <f t="shared" si="27"/>
        <v>502213.24</v>
      </c>
      <c r="I893">
        <f>IFERROR(VLOOKUP(D893,'LEAID Match'!$A$2:$B$251,2,FALSE),"")</f>
        <v>4701920</v>
      </c>
    </row>
    <row r="894" spans="1:9" x14ac:dyDescent="0.2">
      <c r="A894">
        <f t="shared" si="26"/>
        <v>4701920</v>
      </c>
      <c r="B894" s="5">
        <v>2023</v>
      </c>
      <c r="C894" s="1">
        <v>99042</v>
      </c>
      <c r="D894" t="s">
        <v>301</v>
      </c>
      <c r="E894" t="s">
        <v>301</v>
      </c>
      <c r="F894" s="8">
        <v>57322.559999999998</v>
      </c>
      <c r="G894" s="8">
        <v>370270.19</v>
      </c>
      <c r="H894" s="5">
        <f t="shared" si="27"/>
        <v>427592.75</v>
      </c>
      <c r="I894">
        <f>IFERROR(VLOOKUP(D894,'LEAID Match'!$A$2:$B$251,2,FALSE),"")</f>
        <v>4701920</v>
      </c>
    </row>
    <row r="895" spans="1:9" x14ac:dyDescent="0.2">
      <c r="A895">
        <f t="shared" si="26"/>
        <v>4701950</v>
      </c>
      <c r="B895" s="5">
        <v>2015</v>
      </c>
      <c r="C895" s="1">
        <v>99127</v>
      </c>
      <c r="D895" t="s">
        <v>302</v>
      </c>
      <c r="E895" t="s">
        <v>71</v>
      </c>
      <c r="F895" s="8">
        <v>10991</v>
      </c>
      <c r="G895" s="8">
        <v>438853</v>
      </c>
      <c r="H895" s="5">
        <f t="shared" si="27"/>
        <v>449844</v>
      </c>
      <c r="I895">
        <f>IFERROR(VLOOKUP(D895,'LEAID Match'!$A$2:$B$251,2,FALSE),"")</f>
        <v>4701950</v>
      </c>
    </row>
    <row r="896" spans="1:9" x14ac:dyDescent="0.2">
      <c r="A896">
        <f t="shared" si="26"/>
        <v>4701950</v>
      </c>
      <c r="B896" s="5">
        <v>2016</v>
      </c>
      <c r="C896" s="1">
        <v>99127</v>
      </c>
      <c r="D896" t="s">
        <v>302</v>
      </c>
      <c r="E896" t="s">
        <v>71</v>
      </c>
      <c r="F896" s="8">
        <v>29533</v>
      </c>
      <c r="G896" s="8">
        <v>396487</v>
      </c>
      <c r="H896" s="5">
        <f t="shared" si="27"/>
        <v>426020</v>
      </c>
      <c r="I896">
        <f>IFERROR(VLOOKUP(D896,'LEAID Match'!$A$2:$B$251,2,FALSE),"")</f>
        <v>4701950</v>
      </c>
    </row>
    <row r="897" spans="1:9" x14ac:dyDescent="0.2">
      <c r="A897">
        <f t="shared" si="26"/>
        <v>4701950</v>
      </c>
      <c r="B897" s="5">
        <v>2017</v>
      </c>
      <c r="C897" s="1">
        <v>99127</v>
      </c>
      <c r="D897" t="s">
        <v>302</v>
      </c>
      <c r="E897" t="s">
        <v>302</v>
      </c>
      <c r="F897" s="8">
        <v>47182</v>
      </c>
      <c r="G897" s="8">
        <v>358717</v>
      </c>
      <c r="H897" s="5">
        <f t="shared" si="27"/>
        <v>405899</v>
      </c>
      <c r="I897">
        <f>IFERROR(VLOOKUP(D897,'LEAID Match'!$A$2:$B$251,2,FALSE),"")</f>
        <v>4701950</v>
      </c>
    </row>
    <row r="898" spans="1:9" x14ac:dyDescent="0.2">
      <c r="A898">
        <f t="shared" si="26"/>
        <v>4701950</v>
      </c>
      <c r="B898" s="5">
        <v>2018</v>
      </c>
      <c r="C898" s="1">
        <v>99127</v>
      </c>
      <c r="D898" t="s">
        <v>302</v>
      </c>
      <c r="E898" t="s">
        <v>71</v>
      </c>
      <c r="F898" s="8">
        <v>61520</v>
      </c>
      <c r="G898" s="8">
        <v>341700</v>
      </c>
      <c r="H898" s="5">
        <f t="shared" si="27"/>
        <v>403220</v>
      </c>
      <c r="I898">
        <f>IFERROR(VLOOKUP(D898,'LEAID Match'!$A$2:$B$251,2,FALSE),"")</f>
        <v>4701950</v>
      </c>
    </row>
    <row r="899" spans="1:9" x14ac:dyDescent="0.2">
      <c r="A899">
        <f t="shared" ref="A899:A962" si="28">I899</f>
        <v>4701950</v>
      </c>
      <c r="B899" s="5">
        <v>2019</v>
      </c>
      <c r="C899" s="1">
        <v>99127</v>
      </c>
      <c r="D899" t="s">
        <v>302</v>
      </c>
      <c r="E899" t="s">
        <v>302</v>
      </c>
      <c r="F899" s="8">
        <v>34685</v>
      </c>
      <c r="G899" s="8">
        <v>390861</v>
      </c>
      <c r="H899" s="5">
        <f t="shared" ref="H899:H962" si="29">SUM(F899:G899)</f>
        <v>425546</v>
      </c>
      <c r="I899">
        <f>IFERROR(VLOOKUP(D899,'LEAID Match'!$A$2:$B$251,2,FALSE),"")</f>
        <v>4701950</v>
      </c>
    </row>
    <row r="900" spans="1:9" x14ac:dyDescent="0.2">
      <c r="A900">
        <f t="shared" si="28"/>
        <v>4701950</v>
      </c>
      <c r="B900" s="5">
        <v>2020</v>
      </c>
      <c r="C900" s="1">
        <v>99127</v>
      </c>
      <c r="D900" t="s">
        <v>302</v>
      </c>
      <c r="E900" t="s">
        <v>302</v>
      </c>
      <c r="F900" s="8">
        <v>40423</v>
      </c>
      <c r="G900" s="8">
        <v>383255</v>
      </c>
      <c r="H900" s="5">
        <f t="shared" si="29"/>
        <v>423678</v>
      </c>
      <c r="I900">
        <f>IFERROR(VLOOKUP(D900,'LEAID Match'!$A$2:$B$251,2,FALSE),"")</f>
        <v>4701950</v>
      </c>
    </row>
    <row r="901" spans="1:9" x14ac:dyDescent="0.2">
      <c r="A901">
        <f t="shared" si="28"/>
        <v>4701950</v>
      </c>
      <c r="B901" s="5">
        <v>2021</v>
      </c>
      <c r="C901" s="1">
        <v>99127</v>
      </c>
      <c r="D901" t="s">
        <v>302</v>
      </c>
      <c r="E901" t="s">
        <v>302</v>
      </c>
      <c r="F901" s="8">
        <v>56398</v>
      </c>
      <c r="G901" s="8">
        <v>378624</v>
      </c>
      <c r="H901" s="5">
        <f t="shared" si="29"/>
        <v>435022</v>
      </c>
      <c r="I901">
        <f>IFERROR(VLOOKUP(D901,'LEAID Match'!$A$2:$B$251,2,FALSE),"")</f>
        <v>4701950</v>
      </c>
    </row>
    <row r="902" spans="1:9" x14ac:dyDescent="0.2">
      <c r="A902">
        <f t="shared" si="28"/>
        <v>4701950</v>
      </c>
      <c r="B902" s="5">
        <v>2022</v>
      </c>
      <c r="C902" s="1">
        <v>99127</v>
      </c>
      <c r="D902" t="s">
        <v>302</v>
      </c>
      <c r="E902" t="s">
        <v>302</v>
      </c>
      <c r="F902" s="8">
        <v>53901.68</v>
      </c>
      <c r="G902" s="8">
        <v>400535.35</v>
      </c>
      <c r="H902" s="5">
        <f t="shared" si="29"/>
        <v>454437.02999999997</v>
      </c>
      <c r="I902">
        <f>IFERROR(VLOOKUP(D902,'LEAID Match'!$A$2:$B$251,2,FALSE),"")</f>
        <v>4701950</v>
      </c>
    </row>
    <row r="903" spans="1:9" x14ac:dyDescent="0.2">
      <c r="A903">
        <f t="shared" si="28"/>
        <v>4701950</v>
      </c>
      <c r="B903" s="5">
        <v>2023</v>
      </c>
      <c r="C903" s="1">
        <v>99127</v>
      </c>
      <c r="D903" t="s">
        <v>302</v>
      </c>
      <c r="E903" t="s">
        <v>302</v>
      </c>
      <c r="F903" s="8">
        <v>85118.17</v>
      </c>
      <c r="G903" s="8">
        <v>306147.90999999997</v>
      </c>
      <c r="H903" s="5">
        <f t="shared" si="29"/>
        <v>391266.07999999996</v>
      </c>
      <c r="I903">
        <f>IFERROR(VLOOKUP(D903,'LEAID Match'!$A$2:$B$251,2,FALSE),"")</f>
        <v>4701950</v>
      </c>
    </row>
    <row r="904" spans="1:9" x14ac:dyDescent="0.2">
      <c r="A904">
        <f t="shared" si="28"/>
        <v>4701980</v>
      </c>
      <c r="B904" s="5">
        <v>2015</v>
      </c>
      <c r="C904" s="1">
        <v>99043</v>
      </c>
      <c r="D904" t="s">
        <v>303</v>
      </c>
      <c r="E904" t="s">
        <v>72</v>
      </c>
      <c r="F904" s="8">
        <v>11910</v>
      </c>
      <c r="G904" s="8">
        <v>1001240</v>
      </c>
      <c r="H904" s="5">
        <f t="shared" si="29"/>
        <v>1013150</v>
      </c>
      <c r="I904">
        <f>IFERROR(VLOOKUP(D904,'LEAID Match'!$A$2:$B$251,2,FALSE),"")</f>
        <v>4701980</v>
      </c>
    </row>
    <row r="905" spans="1:9" x14ac:dyDescent="0.2">
      <c r="A905">
        <f t="shared" si="28"/>
        <v>4701980</v>
      </c>
      <c r="B905" s="5">
        <v>2016</v>
      </c>
      <c r="C905" s="1">
        <v>99043</v>
      </c>
      <c r="D905" t="s">
        <v>303</v>
      </c>
      <c r="E905" t="s">
        <v>72</v>
      </c>
      <c r="F905" s="8">
        <v>21881</v>
      </c>
      <c r="G905" s="8">
        <v>990503</v>
      </c>
      <c r="H905" s="5">
        <f t="shared" si="29"/>
        <v>1012384</v>
      </c>
      <c r="I905">
        <f>IFERROR(VLOOKUP(D905,'LEAID Match'!$A$2:$B$251,2,FALSE),"")</f>
        <v>4701980</v>
      </c>
    </row>
    <row r="906" spans="1:9" x14ac:dyDescent="0.2">
      <c r="A906">
        <f t="shared" si="28"/>
        <v>4701980</v>
      </c>
      <c r="B906" s="5">
        <v>2017</v>
      </c>
      <c r="C906" s="1">
        <v>99043</v>
      </c>
      <c r="D906" t="s">
        <v>303</v>
      </c>
      <c r="E906" t="s">
        <v>303</v>
      </c>
      <c r="F906" s="8">
        <v>37962</v>
      </c>
      <c r="G906" s="8">
        <v>971030</v>
      </c>
      <c r="H906" s="5">
        <f t="shared" si="29"/>
        <v>1008992</v>
      </c>
      <c r="I906">
        <f>IFERROR(VLOOKUP(D906,'LEAID Match'!$A$2:$B$251,2,FALSE),"")</f>
        <v>4701980</v>
      </c>
    </row>
    <row r="907" spans="1:9" x14ac:dyDescent="0.2">
      <c r="A907">
        <f t="shared" si="28"/>
        <v>4701980</v>
      </c>
      <c r="B907" s="5">
        <v>2018</v>
      </c>
      <c r="C907" s="1">
        <v>99043</v>
      </c>
      <c r="D907" t="s">
        <v>303</v>
      </c>
      <c r="E907" t="s">
        <v>72</v>
      </c>
      <c r="F907" s="8">
        <v>41081</v>
      </c>
      <c r="G907" s="8">
        <v>896995</v>
      </c>
      <c r="H907" s="5">
        <f t="shared" si="29"/>
        <v>938076</v>
      </c>
      <c r="I907">
        <f>IFERROR(VLOOKUP(D907,'LEAID Match'!$A$2:$B$251,2,FALSE),"")</f>
        <v>4701980</v>
      </c>
    </row>
    <row r="908" spans="1:9" x14ac:dyDescent="0.2">
      <c r="A908">
        <f t="shared" si="28"/>
        <v>4701980</v>
      </c>
      <c r="B908" s="5">
        <v>2019</v>
      </c>
      <c r="C908" s="1">
        <v>99043</v>
      </c>
      <c r="D908" t="s">
        <v>303</v>
      </c>
      <c r="E908" t="s">
        <v>303</v>
      </c>
      <c r="F908" s="8">
        <v>28970</v>
      </c>
      <c r="G908" s="8">
        <v>1153137</v>
      </c>
      <c r="H908" s="5">
        <f t="shared" si="29"/>
        <v>1182107</v>
      </c>
      <c r="I908">
        <f>IFERROR(VLOOKUP(D908,'LEAID Match'!$A$2:$B$251,2,FALSE),"")</f>
        <v>4701980</v>
      </c>
    </row>
    <row r="909" spans="1:9" x14ac:dyDescent="0.2">
      <c r="A909">
        <f t="shared" si="28"/>
        <v>4701980</v>
      </c>
      <c r="B909" s="5">
        <v>2020</v>
      </c>
      <c r="C909" s="1">
        <v>99043</v>
      </c>
      <c r="D909" t="s">
        <v>303</v>
      </c>
      <c r="E909" t="s">
        <v>303</v>
      </c>
      <c r="F909" s="8">
        <v>29133</v>
      </c>
      <c r="G909" s="8">
        <v>993824</v>
      </c>
      <c r="H909" s="5">
        <f t="shared" si="29"/>
        <v>1022957</v>
      </c>
      <c r="I909">
        <f>IFERROR(VLOOKUP(D909,'LEAID Match'!$A$2:$B$251,2,FALSE),"")</f>
        <v>4701980</v>
      </c>
    </row>
    <row r="910" spans="1:9" x14ac:dyDescent="0.2">
      <c r="A910">
        <f t="shared" si="28"/>
        <v>4701980</v>
      </c>
      <c r="B910" s="5">
        <v>2021</v>
      </c>
      <c r="C910" s="1">
        <v>99043</v>
      </c>
      <c r="D910" t="s">
        <v>303</v>
      </c>
      <c r="E910" t="s">
        <v>303</v>
      </c>
      <c r="F910" s="8">
        <v>38520</v>
      </c>
      <c r="G910" s="8">
        <v>1139427</v>
      </c>
      <c r="H910" s="5">
        <f t="shared" si="29"/>
        <v>1177947</v>
      </c>
      <c r="I910">
        <f>IFERROR(VLOOKUP(D910,'LEAID Match'!$A$2:$B$251,2,FALSE),"")</f>
        <v>4701980</v>
      </c>
    </row>
    <row r="911" spans="1:9" x14ac:dyDescent="0.2">
      <c r="A911">
        <f t="shared" si="28"/>
        <v>4701980</v>
      </c>
      <c r="B911" s="5">
        <v>2022</v>
      </c>
      <c r="C911" s="1">
        <v>99043</v>
      </c>
      <c r="D911" t="s">
        <v>303</v>
      </c>
      <c r="E911" t="s">
        <v>303</v>
      </c>
      <c r="F911" s="8">
        <v>48320.08</v>
      </c>
      <c r="G911" s="8">
        <v>1082484.42</v>
      </c>
      <c r="H911" s="5">
        <f t="shared" si="29"/>
        <v>1130804.5</v>
      </c>
      <c r="I911">
        <f>IFERROR(VLOOKUP(D911,'LEAID Match'!$A$2:$B$251,2,FALSE),"")</f>
        <v>4701980</v>
      </c>
    </row>
    <row r="912" spans="1:9" x14ac:dyDescent="0.2">
      <c r="A912">
        <f t="shared" si="28"/>
        <v>4701980</v>
      </c>
      <c r="B912" s="5">
        <v>2023</v>
      </c>
      <c r="C912" s="1">
        <v>99043</v>
      </c>
      <c r="D912" t="s">
        <v>303</v>
      </c>
      <c r="E912" t="s">
        <v>303</v>
      </c>
      <c r="F912" s="8">
        <v>82471.19</v>
      </c>
      <c r="G912" s="8">
        <v>859957.83</v>
      </c>
      <c r="H912" s="5">
        <f t="shared" si="29"/>
        <v>942429.02</v>
      </c>
      <c r="I912">
        <f>IFERROR(VLOOKUP(D912,'LEAID Match'!$A$2:$B$251,2,FALSE),"")</f>
        <v>4701980</v>
      </c>
    </row>
    <row r="913" spans="1:9" x14ac:dyDescent="0.2">
      <c r="A913">
        <f t="shared" si="28"/>
        <v>4702010</v>
      </c>
      <c r="B913" s="5">
        <v>2015</v>
      </c>
      <c r="C913" s="1">
        <v>99309</v>
      </c>
      <c r="D913" t="s">
        <v>304</v>
      </c>
      <c r="E913" t="s">
        <v>73</v>
      </c>
      <c r="F913" s="8">
        <v>7787</v>
      </c>
      <c r="G913" s="8">
        <v>433603</v>
      </c>
      <c r="H913" s="5">
        <f t="shared" si="29"/>
        <v>441390</v>
      </c>
      <c r="I913">
        <f>IFERROR(VLOOKUP(D913,'LEAID Match'!$A$2:$B$251,2,FALSE),"")</f>
        <v>4702010</v>
      </c>
    </row>
    <row r="914" spans="1:9" x14ac:dyDescent="0.2">
      <c r="A914">
        <f t="shared" si="28"/>
        <v>4702010</v>
      </c>
      <c r="B914" s="5">
        <v>2016</v>
      </c>
      <c r="C914" s="1">
        <v>99309</v>
      </c>
      <c r="D914" t="s">
        <v>304</v>
      </c>
      <c r="E914" t="s">
        <v>73</v>
      </c>
      <c r="F914" s="8">
        <v>12583</v>
      </c>
      <c r="G914" s="8">
        <v>431317</v>
      </c>
      <c r="H914" s="5">
        <f t="shared" si="29"/>
        <v>443900</v>
      </c>
      <c r="I914">
        <f>IFERROR(VLOOKUP(D914,'LEAID Match'!$A$2:$B$251,2,FALSE),"")</f>
        <v>4702010</v>
      </c>
    </row>
    <row r="915" spans="1:9" x14ac:dyDescent="0.2">
      <c r="A915">
        <f t="shared" si="28"/>
        <v>4702010</v>
      </c>
      <c r="B915" s="5">
        <v>2017</v>
      </c>
      <c r="C915" s="1">
        <v>99309</v>
      </c>
      <c r="D915" t="s">
        <v>304</v>
      </c>
      <c r="E915" t="s">
        <v>304</v>
      </c>
      <c r="F915" s="8">
        <v>17975</v>
      </c>
      <c r="G915" s="8">
        <v>446550</v>
      </c>
      <c r="H915" s="5">
        <f t="shared" si="29"/>
        <v>464525</v>
      </c>
      <c r="I915">
        <f>IFERROR(VLOOKUP(D915,'LEAID Match'!$A$2:$B$251,2,FALSE),"")</f>
        <v>4702010</v>
      </c>
    </row>
    <row r="916" spans="1:9" x14ac:dyDescent="0.2">
      <c r="A916">
        <f t="shared" si="28"/>
        <v>4702010</v>
      </c>
      <c r="B916" s="5">
        <v>2018</v>
      </c>
      <c r="C916" s="1">
        <v>99309</v>
      </c>
      <c r="D916" t="s">
        <v>304</v>
      </c>
      <c r="E916" t="s">
        <v>73</v>
      </c>
      <c r="F916" s="8">
        <v>22867</v>
      </c>
      <c r="G916" s="8">
        <v>459855</v>
      </c>
      <c r="H916" s="5">
        <f t="shared" si="29"/>
        <v>482722</v>
      </c>
      <c r="I916">
        <f>IFERROR(VLOOKUP(D916,'LEAID Match'!$A$2:$B$251,2,FALSE),"")</f>
        <v>4702010</v>
      </c>
    </row>
    <row r="917" spans="1:9" x14ac:dyDescent="0.2">
      <c r="A917">
        <f t="shared" si="28"/>
        <v>4702010</v>
      </c>
      <c r="B917" s="5">
        <v>2019</v>
      </c>
      <c r="C917" s="1">
        <v>99309</v>
      </c>
      <c r="D917" t="s">
        <v>304</v>
      </c>
      <c r="E917" t="s">
        <v>304</v>
      </c>
      <c r="F917" s="8">
        <v>13198</v>
      </c>
      <c r="G917" s="8">
        <v>549223</v>
      </c>
      <c r="H917" s="5">
        <f t="shared" si="29"/>
        <v>562421</v>
      </c>
      <c r="I917">
        <f>IFERROR(VLOOKUP(D917,'LEAID Match'!$A$2:$B$251,2,FALSE),"")</f>
        <v>4702010</v>
      </c>
    </row>
    <row r="918" spans="1:9" x14ac:dyDescent="0.2">
      <c r="A918">
        <f t="shared" si="28"/>
        <v>4702010</v>
      </c>
      <c r="B918" s="5">
        <v>2020</v>
      </c>
      <c r="C918" s="1">
        <v>99309</v>
      </c>
      <c r="D918" t="s">
        <v>304</v>
      </c>
      <c r="E918" t="s">
        <v>304</v>
      </c>
      <c r="F918" s="8">
        <v>17410</v>
      </c>
      <c r="G918" s="8">
        <v>571961</v>
      </c>
      <c r="H918" s="5">
        <f t="shared" si="29"/>
        <v>589371</v>
      </c>
      <c r="I918">
        <f>IFERROR(VLOOKUP(D918,'LEAID Match'!$A$2:$B$251,2,FALSE),"")</f>
        <v>4702010</v>
      </c>
    </row>
    <row r="919" spans="1:9" x14ac:dyDescent="0.2">
      <c r="A919">
        <f t="shared" si="28"/>
        <v>4702010</v>
      </c>
      <c r="B919" s="5">
        <v>2021</v>
      </c>
      <c r="C919" s="1">
        <v>99309</v>
      </c>
      <c r="D919" t="s">
        <v>304</v>
      </c>
      <c r="E919" t="s">
        <v>304</v>
      </c>
      <c r="F919" s="8">
        <v>22337</v>
      </c>
      <c r="G919" s="8">
        <v>566414</v>
      </c>
      <c r="H919" s="5">
        <f t="shared" si="29"/>
        <v>588751</v>
      </c>
      <c r="I919">
        <f>IFERROR(VLOOKUP(D919,'LEAID Match'!$A$2:$B$251,2,FALSE),"")</f>
        <v>4702010</v>
      </c>
    </row>
    <row r="920" spans="1:9" x14ac:dyDescent="0.2">
      <c r="A920">
        <f t="shared" si="28"/>
        <v>4702010</v>
      </c>
      <c r="B920" s="5">
        <v>2022</v>
      </c>
      <c r="C920" s="1">
        <v>99309</v>
      </c>
      <c r="D920" t="s">
        <v>304</v>
      </c>
      <c r="E920" t="s">
        <v>304</v>
      </c>
      <c r="F920" s="8">
        <v>24105.43</v>
      </c>
      <c r="G920" s="8">
        <v>580057.81999999902</v>
      </c>
      <c r="H920" s="5">
        <f t="shared" si="29"/>
        <v>604163.24999999907</v>
      </c>
      <c r="I920">
        <f>IFERROR(VLOOKUP(D920,'LEAID Match'!$A$2:$B$251,2,FALSE),"")</f>
        <v>4702010</v>
      </c>
    </row>
    <row r="921" spans="1:9" x14ac:dyDescent="0.2">
      <c r="A921">
        <f t="shared" si="28"/>
        <v>4702010</v>
      </c>
      <c r="B921" s="5">
        <v>2023</v>
      </c>
      <c r="C921" s="1">
        <v>99309</v>
      </c>
      <c r="D921" t="s">
        <v>304</v>
      </c>
      <c r="E921" t="s">
        <v>304</v>
      </c>
      <c r="F921" s="8">
        <v>41742.879999999997</v>
      </c>
      <c r="G921" s="8">
        <v>479523.09</v>
      </c>
      <c r="H921" s="5">
        <f t="shared" si="29"/>
        <v>521265.97000000003</v>
      </c>
      <c r="I921">
        <f>IFERROR(VLOOKUP(D921,'LEAID Match'!$A$2:$B$251,2,FALSE),"")</f>
        <v>4702010</v>
      </c>
    </row>
    <row r="922" spans="1:9" x14ac:dyDescent="0.2">
      <c r="A922">
        <f t="shared" si="28"/>
        <v>0</v>
      </c>
      <c r="B922" s="5">
        <v>2015</v>
      </c>
      <c r="C922" s="1">
        <v>91916</v>
      </c>
      <c r="D922" t="s">
        <v>305</v>
      </c>
      <c r="E922" t="s">
        <v>74</v>
      </c>
      <c r="F922" s="8">
        <v>15183</v>
      </c>
      <c r="G922" s="8">
        <v>14233</v>
      </c>
      <c r="H922" s="5">
        <f t="shared" si="29"/>
        <v>29416</v>
      </c>
      <c r="I922">
        <f>IFERROR(VLOOKUP(D922,'LEAID Match'!$A$2:$B$251,2,FALSE),"")</f>
        <v>0</v>
      </c>
    </row>
    <row r="923" spans="1:9" x14ac:dyDescent="0.2">
      <c r="A923">
        <f t="shared" si="28"/>
        <v>0</v>
      </c>
      <c r="B923" s="5">
        <v>2016</v>
      </c>
      <c r="C923" s="1">
        <v>91916</v>
      </c>
      <c r="D923" t="s">
        <v>305</v>
      </c>
      <c r="E923" t="s">
        <v>74</v>
      </c>
      <c r="F923" s="8">
        <v>26929</v>
      </c>
      <c r="G923" s="8">
        <v>12408</v>
      </c>
      <c r="H923" s="5">
        <f t="shared" si="29"/>
        <v>39337</v>
      </c>
      <c r="I923">
        <f>IFERROR(VLOOKUP(D923,'LEAID Match'!$A$2:$B$251,2,FALSE),"")</f>
        <v>0</v>
      </c>
    </row>
    <row r="924" spans="1:9" x14ac:dyDescent="0.2">
      <c r="A924">
        <f t="shared" si="28"/>
        <v>0</v>
      </c>
      <c r="B924" s="5">
        <v>2017</v>
      </c>
      <c r="C924" s="1">
        <v>91916</v>
      </c>
      <c r="D924" t="s">
        <v>305</v>
      </c>
      <c r="E924" t="s">
        <v>305</v>
      </c>
      <c r="F924" s="8">
        <v>44584</v>
      </c>
      <c r="G924" s="8">
        <v>21434</v>
      </c>
      <c r="H924" s="5">
        <f t="shared" si="29"/>
        <v>66018</v>
      </c>
      <c r="I924">
        <f>IFERROR(VLOOKUP(D924,'LEAID Match'!$A$2:$B$251,2,FALSE),"")</f>
        <v>0</v>
      </c>
    </row>
    <row r="925" spans="1:9" x14ac:dyDescent="0.2">
      <c r="A925">
        <f t="shared" si="28"/>
        <v>0</v>
      </c>
      <c r="B925" s="5">
        <v>2018</v>
      </c>
      <c r="C925" s="1">
        <v>91916</v>
      </c>
      <c r="D925" t="s">
        <v>305</v>
      </c>
      <c r="E925" t="s">
        <v>74</v>
      </c>
      <c r="F925" s="8">
        <v>53353</v>
      </c>
      <c r="G925" s="8">
        <v>8296</v>
      </c>
      <c r="H925" s="5">
        <f t="shared" si="29"/>
        <v>61649</v>
      </c>
      <c r="I925">
        <f>IFERROR(VLOOKUP(D925,'LEAID Match'!$A$2:$B$251,2,FALSE),"")</f>
        <v>0</v>
      </c>
    </row>
    <row r="926" spans="1:9" x14ac:dyDescent="0.2">
      <c r="A926">
        <f t="shared" si="28"/>
        <v>0</v>
      </c>
      <c r="B926" s="5">
        <v>2019</v>
      </c>
      <c r="C926" s="1">
        <v>91916</v>
      </c>
      <c r="D926" t="s">
        <v>305</v>
      </c>
      <c r="E926" t="s">
        <v>74</v>
      </c>
      <c r="F926" s="8">
        <v>38855</v>
      </c>
      <c r="G926" s="8">
        <v>11638</v>
      </c>
      <c r="H926" s="5">
        <f t="shared" si="29"/>
        <v>50493</v>
      </c>
      <c r="I926">
        <f>IFERROR(VLOOKUP(D926,'LEAID Match'!$A$2:$B$251,2,FALSE),"")</f>
        <v>0</v>
      </c>
    </row>
    <row r="927" spans="1:9" x14ac:dyDescent="0.2">
      <c r="A927">
        <f t="shared" si="28"/>
        <v>0</v>
      </c>
      <c r="B927" s="5">
        <v>2020</v>
      </c>
      <c r="C927" s="1">
        <v>91916</v>
      </c>
      <c r="D927" t="s">
        <v>305</v>
      </c>
      <c r="E927" t="s">
        <v>305</v>
      </c>
      <c r="F927" s="8">
        <v>57776</v>
      </c>
      <c r="G927" s="8">
        <v>17181</v>
      </c>
      <c r="H927" s="5">
        <f t="shared" si="29"/>
        <v>74957</v>
      </c>
      <c r="I927">
        <f>IFERROR(VLOOKUP(D927,'LEAID Match'!$A$2:$B$251,2,FALSE),"")</f>
        <v>0</v>
      </c>
    </row>
    <row r="928" spans="1:9" x14ac:dyDescent="0.2">
      <c r="A928">
        <f t="shared" si="28"/>
        <v>0</v>
      </c>
      <c r="B928" s="5">
        <v>2021</v>
      </c>
      <c r="C928" s="1">
        <v>91916</v>
      </c>
      <c r="D928" t="s">
        <v>305</v>
      </c>
      <c r="E928" t="s">
        <v>74</v>
      </c>
      <c r="F928" s="8">
        <v>68521</v>
      </c>
      <c r="G928" s="8">
        <v>21714</v>
      </c>
      <c r="H928" s="5">
        <f t="shared" si="29"/>
        <v>90235</v>
      </c>
      <c r="I928">
        <f>IFERROR(VLOOKUP(D928,'LEAID Match'!$A$2:$B$251,2,FALSE),"")</f>
        <v>0</v>
      </c>
    </row>
    <row r="929" spans="1:9" x14ac:dyDescent="0.2">
      <c r="A929">
        <f t="shared" si="28"/>
        <v>0</v>
      </c>
      <c r="B929" s="5">
        <v>2022</v>
      </c>
      <c r="C929" s="1">
        <v>91916</v>
      </c>
      <c r="D929" t="s">
        <v>305</v>
      </c>
      <c r="E929" t="s">
        <v>74</v>
      </c>
      <c r="F929" s="8">
        <v>76678.259999999893</v>
      </c>
      <c r="G929" s="8">
        <v>6300.66</v>
      </c>
      <c r="H929" s="5">
        <f t="shared" si="29"/>
        <v>82978.919999999896</v>
      </c>
      <c r="I929">
        <f>IFERROR(VLOOKUP(D929,'LEAID Match'!$A$2:$B$251,2,FALSE),"")</f>
        <v>0</v>
      </c>
    </row>
    <row r="930" spans="1:9" x14ac:dyDescent="0.2">
      <c r="A930">
        <f t="shared" si="28"/>
        <v>0</v>
      </c>
      <c r="B930" s="5">
        <v>2023</v>
      </c>
      <c r="C930" s="1">
        <v>91916</v>
      </c>
      <c r="D930" t="s">
        <v>305</v>
      </c>
      <c r="E930" t="s">
        <v>305</v>
      </c>
      <c r="F930" s="8">
        <v>136501.25</v>
      </c>
      <c r="G930" s="8">
        <v>13014.11</v>
      </c>
      <c r="H930" s="5">
        <f t="shared" si="29"/>
        <v>149515.35999999999</v>
      </c>
      <c r="I930">
        <f>IFERROR(VLOOKUP(D930,'LEAID Match'!$A$2:$B$251,2,FALSE),"")</f>
        <v>0</v>
      </c>
    </row>
    <row r="931" spans="1:9" x14ac:dyDescent="0.2">
      <c r="A931">
        <f t="shared" si="28"/>
        <v>0</v>
      </c>
      <c r="B931" s="5">
        <v>2022</v>
      </c>
      <c r="C931" s="1">
        <v>93306</v>
      </c>
      <c r="D931" t="s">
        <v>503</v>
      </c>
      <c r="E931" t="s">
        <v>503</v>
      </c>
      <c r="F931" s="8">
        <v>100.5</v>
      </c>
      <c r="G931" s="8" t="s">
        <v>591</v>
      </c>
      <c r="H931" s="5">
        <f t="shared" si="29"/>
        <v>100.5</v>
      </c>
      <c r="I931">
        <f>IFERROR(VLOOKUP(D931,'LEAID Match'!$A$2:$B$251,2,FALSE),"")</f>
        <v>0</v>
      </c>
    </row>
    <row r="932" spans="1:9" x14ac:dyDescent="0.2">
      <c r="A932">
        <f t="shared" si="28"/>
        <v>0</v>
      </c>
      <c r="B932" s="5">
        <v>2023</v>
      </c>
      <c r="C932" s="1">
        <v>93306</v>
      </c>
      <c r="D932" t="s">
        <v>503</v>
      </c>
      <c r="E932" t="s">
        <v>503</v>
      </c>
      <c r="F932" s="8">
        <v>5982.34</v>
      </c>
      <c r="G932" s="8">
        <v>7853.31</v>
      </c>
      <c r="H932" s="5">
        <f t="shared" si="29"/>
        <v>13835.650000000001</v>
      </c>
      <c r="I932">
        <f>IFERROR(VLOOKUP(D932,'LEAID Match'!$A$2:$B$251,2,FALSE),"")</f>
        <v>0</v>
      </c>
    </row>
    <row r="933" spans="1:9" x14ac:dyDescent="0.2">
      <c r="A933">
        <f t="shared" si="28"/>
        <v>0</v>
      </c>
      <c r="B933" s="5">
        <v>2015</v>
      </c>
      <c r="C933" s="1">
        <v>93301</v>
      </c>
      <c r="D933" t="s">
        <v>306</v>
      </c>
      <c r="E933" t="s">
        <v>75</v>
      </c>
      <c r="F933" s="8">
        <v>9464</v>
      </c>
      <c r="G933" s="8">
        <v>31739</v>
      </c>
      <c r="H933" s="5">
        <f t="shared" si="29"/>
        <v>41203</v>
      </c>
      <c r="I933">
        <f>IFERROR(VLOOKUP(D933,'LEAID Match'!$A$2:$B$251,2,FALSE),"")</f>
        <v>0</v>
      </c>
    </row>
    <row r="934" spans="1:9" x14ac:dyDescent="0.2">
      <c r="A934">
        <f t="shared" si="28"/>
        <v>0</v>
      </c>
      <c r="B934" s="5">
        <v>2016</v>
      </c>
      <c r="C934" s="1">
        <v>93301</v>
      </c>
      <c r="D934" t="s">
        <v>306</v>
      </c>
      <c r="E934" t="s">
        <v>75</v>
      </c>
      <c r="F934" s="8">
        <v>16025</v>
      </c>
      <c r="G934" s="8">
        <v>27136</v>
      </c>
      <c r="H934" s="5">
        <f t="shared" si="29"/>
        <v>43161</v>
      </c>
      <c r="I934">
        <f>IFERROR(VLOOKUP(D934,'LEAID Match'!$A$2:$B$251,2,FALSE),"")</f>
        <v>0</v>
      </c>
    </row>
    <row r="935" spans="1:9" x14ac:dyDescent="0.2">
      <c r="A935">
        <f t="shared" si="28"/>
        <v>0</v>
      </c>
      <c r="B935" s="5">
        <v>2017</v>
      </c>
      <c r="C935" s="1">
        <v>93301</v>
      </c>
      <c r="D935" t="s">
        <v>306</v>
      </c>
      <c r="E935" t="s">
        <v>306</v>
      </c>
      <c r="F935" s="8">
        <v>17463</v>
      </c>
      <c r="G935" s="8">
        <v>35703</v>
      </c>
      <c r="H935" s="5">
        <f t="shared" si="29"/>
        <v>53166</v>
      </c>
      <c r="I935">
        <f>IFERROR(VLOOKUP(D935,'LEAID Match'!$A$2:$B$251,2,FALSE),"")</f>
        <v>0</v>
      </c>
    </row>
    <row r="936" spans="1:9" x14ac:dyDescent="0.2">
      <c r="A936">
        <f t="shared" si="28"/>
        <v>0</v>
      </c>
      <c r="B936" s="5">
        <v>2018</v>
      </c>
      <c r="C936" s="1">
        <v>93301</v>
      </c>
      <c r="D936" t="s">
        <v>306</v>
      </c>
      <c r="E936" t="s">
        <v>75</v>
      </c>
      <c r="F936" s="8">
        <v>22565</v>
      </c>
      <c r="G936" s="8">
        <v>37190</v>
      </c>
      <c r="H936" s="5">
        <f t="shared" si="29"/>
        <v>59755</v>
      </c>
      <c r="I936">
        <f>IFERROR(VLOOKUP(D936,'LEAID Match'!$A$2:$B$251,2,FALSE),"")</f>
        <v>0</v>
      </c>
    </row>
    <row r="937" spans="1:9" x14ac:dyDescent="0.2">
      <c r="A937">
        <f t="shared" si="28"/>
        <v>0</v>
      </c>
      <c r="B937" s="5">
        <v>2019</v>
      </c>
      <c r="C937" s="1">
        <v>93301</v>
      </c>
      <c r="D937" t="s">
        <v>306</v>
      </c>
      <c r="E937" t="s">
        <v>75</v>
      </c>
      <c r="F937" s="8">
        <v>14345</v>
      </c>
      <c r="G937" s="8">
        <v>62987</v>
      </c>
      <c r="H937" s="5">
        <f t="shared" si="29"/>
        <v>77332</v>
      </c>
      <c r="I937">
        <f>IFERROR(VLOOKUP(D937,'LEAID Match'!$A$2:$B$251,2,FALSE),"")</f>
        <v>0</v>
      </c>
    </row>
    <row r="938" spans="1:9" x14ac:dyDescent="0.2">
      <c r="A938">
        <f t="shared" si="28"/>
        <v>0</v>
      </c>
      <c r="B938" s="5">
        <v>2020</v>
      </c>
      <c r="C938" s="1">
        <v>93301</v>
      </c>
      <c r="D938" t="s">
        <v>306</v>
      </c>
      <c r="E938" t="s">
        <v>306</v>
      </c>
      <c r="F938" s="8">
        <v>17405</v>
      </c>
      <c r="G938" s="8">
        <v>103345</v>
      </c>
      <c r="H938" s="5">
        <f t="shared" si="29"/>
        <v>120750</v>
      </c>
      <c r="I938">
        <f>IFERROR(VLOOKUP(D938,'LEAID Match'!$A$2:$B$251,2,FALSE),"")</f>
        <v>0</v>
      </c>
    </row>
    <row r="939" spans="1:9" x14ac:dyDescent="0.2">
      <c r="A939">
        <f t="shared" si="28"/>
        <v>0</v>
      </c>
      <c r="B939" s="5">
        <v>2021</v>
      </c>
      <c r="C939" s="1">
        <v>93301</v>
      </c>
      <c r="D939" t="s">
        <v>306</v>
      </c>
      <c r="E939" t="s">
        <v>75</v>
      </c>
      <c r="F939" s="8">
        <v>17541</v>
      </c>
      <c r="G939" s="8">
        <v>117444</v>
      </c>
      <c r="H939" s="5">
        <f t="shared" si="29"/>
        <v>134985</v>
      </c>
      <c r="I939">
        <f>IFERROR(VLOOKUP(D939,'LEAID Match'!$A$2:$B$251,2,FALSE),"")</f>
        <v>0</v>
      </c>
    </row>
    <row r="940" spans="1:9" x14ac:dyDescent="0.2">
      <c r="A940">
        <f t="shared" si="28"/>
        <v>0</v>
      </c>
      <c r="B940" s="5">
        <v>2022</v>
      </c>
      <c r="C940" s="1">
        <v>93301</v>
      </c>
      <c r="D940" t="s">
        <v>306</v>
      </c>
      <c r="E940" t="s">
        <v>75</v>
      </c>
      <c r="F940" s="8">
        <v>23899.37</v>
      </c>
      <c r="G940" s="8">
        <v>109637.93</v>
      </c>
      <c r="H940" s="5">
        <f t="shared" si="29"/>
        <v>133537.29999999999</v>
      </c>
      <c r="I940">
        <f>IFERROR(VLOOKUP(D940,'LEAID Match'!$A$2:$B$251,2,FALSE),"")</f>
        <v>0</v>
      </c>
    </row>
    <row r="941" spans="1:9" x14ac:dyDescent="0.2">
      <c r="A941">
        <f t="shared" si="28"/>
        <v>0</v>
      </c>
      <c r="B941" s="5">
        <v>2023</v>
      </c>
      <c r="C941" s="1">
        <v>93301</v>
      </c>
      <c r="D941" t="s">
        <v>306</v>
      </c>
      <c r="E941" t="s">
        <v>306</v>
      </c>
      <c r="F941" s="8">
        <v>39532.660000000003</v>
      </c>
      <c r="G941" s="8">
        <v>95809.17</v>
      </c>
      <c r="H941" s="5">
        <f t="shared" si="29"/>
        <v>135341.83000000002</v>
      </c>
      <c r="I941">
        <f>IFERROR(VLOOKUP(D941,'LEAID Match'!$A$2:$B$251,2,FALSE),"")</f>
        <v>0</v>
      </c>
    </row>
    <row r="942" spans="1:9" x14ac:dyDescent="0.2">
      <c r="A942">
        <f t="shared" si="28"/>
        <v>4702070</v>
      </c>
      <c r="B942" s="5">
        <v>2015</v>
      </c>
      <c r="C942" s="1">
        <v>99044</v>
      </c>
      <c r="D942" t="s">
        <v>307</v>
      </c>
      <c r="E942" t="s">
        <v>76</v>
      </c>
      <c r="F942" s="8">
        <v>10055</v>
      </c>
      <c r="G942" s="8">
        <v>532095</v>
      </c>
      <c r="H942" s="5">
        <f t="shared" si="29"/>
        <v>542150</v>
      </c>
      <c r="I942">
        <f>IFERROR(VLOOKUP(D942,'LEAID Match'!$A$2:$B$251,2,FALSE),"")</f>
        <v>4702070</v>
      </c>
    </row>
    <row r="943" spans="1:9" x14ac:dyDescent="0.2">
      <c r="A943">
        <f t="shared" si="28"/>
        <v>4702070</v>
      </c>
      <c r="B943" s="5">
        <v>2016</v>
      </c>
      <c r="C943" s="1">
        <v>99044</v>
      </c>
      <c r="D943" t="s">
        <v>307</v>
      </c>
      <c r="E943" t="s">
        <v>76</v>
      </c>
      <c r="F943" s="8">
        <v>18173</v>
      </c>
      <c r="G943" s="8">
        <v>524610</v>
      </c>
      <c r="H943" s="5">
        <f t="shared" si="29"/>
        <v>542783</v>
      </c>
      <c r="I943">
        <f>IFERROR(VLOOKUP(D943,'LEAID Match'!$A$2:$B$251,2,FALSE),"")</f>
        <v>4702070</v>
      </c>
    </row>
    <row r="944" spans="1:9" x14ac:dyDescent="0.2">
      <c r="A944">
        <f t="shared" si="28"/>
        <v>4702070</v>
      </c>
      <c r="B944" s="5">
        <v>2017</v>
      </c>
      <c r="C944" s="1">
        <v>99044</v>
      </c>
      <c r="D944" t="s">
        <v>307</v>
      </c>
      <c r="E944" t="s">
        <v>307</v>
      </c>
      <c r="F944" s="8">
        <v>23187</v>
      </c>
      <c r="G944" s="8">
        <v>533050</v>
      </c>
      <c r="H944" s="5">
        <f t="shared" si="29"/>
        <v>556237</v>
      </c>
      <c r="I944">
        <f>IFERROR(VLOOKUP(D944,'LEAID Match'!$A$2:$B$251,2,FALSE),"")</f>
        <v>4702070</v>
      </c>
    </row>
    <row r="945" spans="1:9" x14ac:dyDescent="0.2">
      <c r="A945">
        <f t="shared" si="28"/>
        <v>4702070</v>
      </c>
      <c r="B945" s="5">
        <v>2018</v>
      </c>
      <c r="C945" s="1">
        <v>99044</v>
      </c>
      <c r="D945" t="s">
        <v>307</v>
      </c>
      <c r="E945" t="s">
        <v>76</v>
      </c>
      <c r="F945" s="8">
        <v>29338</v>
      </c>
      <c r="G945" s="8">
        <v>531074</v>
      </c>
      <c r="H945" s="5">
        <f t="shared" si="29"/>
        <v>560412</v>
      </c>
      <c r="I945">
        <f>IFERROR(VLOOKUP(D945,'LEAID Match'!$A$2:$B$251,2,FALSE),"")</f>
        <v>4702070</v>
      </c>
    </row>
    <row r="946" spans="1:9" x14ac:dyDescent="0.2">
      <c r="A946">
        <f t="shared" si="28"/>
        <v>4702070</v>
      </c>
      <c r="B946" s="5">
        <v>2019</v>
      </c>
      <c r="C946" s="1">
        <v>99044</v>
      </c>
      <c r="D946" t="s">
        <v>307</v>
      </c>
      <c r="E946" t="s">
        <v>307</v>
      </c>
      <c r="F946" s="8">
        <v>16013</v>
      </c>
      <c r="G946" s="8">
        <v>607788</v>
      </c>
      <c r="H946" s="5">
        <f t="shared" si="29"/>
        <v>623801</v>
      </c>
      <c r="I946">
        <f>IFERROR(VLOOKUP(D946,'LEAID Match'!$A$2:$B$251,2,FALSE),"")</f>
        <v>4702070</v>
      </c>
    </row>
    <row r="947" spans="1:9" x14ac:dyDescent="0.2">
      <c r="A947">
        <f t="shared" si="28"/>
        <v>4702070</v>
      </c>
      <c r="B947" s="5">
        <v>2020</v>
      </c>
      <c r="C947" s="1">
        <v>99044</v>
      </c>
      <c r="D947" t="s">
        <v>307</v>
      </c>
      <c r="E947" t="s">
        <v>307</v>
      </c>
      <c r="F947" s="8">
        <v>22115</v>
      </c>
      <c r="G947" s="8">
        <v>580807</v>
      </c>
      <c r="H947" s="5">
        <f t="shared" si="29"/>
        <v>602922</v>
      </c>
      <c r="I947">
        <f>IFERROR(VLOOKUP(D947,'LEAID Match'!$A$2:$B$251,2,FALSE),"")</f>
        <v>4702070</v>
      </c>
    </row>
    <row r="948" spans="1:9" x14ac:dyDescent="0.2">
      <c r="A948">
        <f t="shared" si="28"/>
        <v>4702070</v>
      </c>
      <c r="B948" s="5">
        <v>2021</v>
      </c>
      <c r="C948" s="1">
        <v>99044</v>
      </c>
      <c r="D948" t="s">
        <v>307</v>
      </c>
      <c r="E948" t="s">
        <v>307</v>
      </c>
      <c r="F948" s="8">
        <v>23598</v>
      </c>
      <c r="G948" s="8">
        <v>555443</v>
      </c>
      <c r="H948" s="5">
        <f t="shared" si="29"/>
        <v>579041</v>
      </c>
      <c r="I948">
        <f>IFERROR(VLOOKUP(D948,'LEAID Match'!$A$2:$B$251,2,FALSE),"")</f>
        <v>4702070</v>
      </c>
    </row>
    <row r="949" spans="1:9" x14ac:dyDescent="0.2">
      <c r="A949">
        <f t="shared" si="28"/>
        <v>4702070</v>
      </c>
      <c r="B949" s="5">
        <v>2022</v>
      </c>
      <c r="C949" s="1">
        <v>99044</v>
      </c>
      <c r="D949" t="s">
        <v>307</v>
      </c>
      <c r="E949" t="s">
        <v>307</v>
      </c>
      <c r="F949" s="8">
        <v>29821.3</v>
      </c>
      <c r="G949" s="8">
        <v>571895.89</v>
      </c>
      <c r="H949" s="5">
        <f t="shared" si="29"/>
        <v>601717.19000000006</v>
      </c>
      <c r="I949">
        <f>IFERROR(VLOOKUP(D949,'LEAID Match'!$A$2:$B$251,2,FALSE),"")</f>
        <v>4702070</v>
      </c>
    </row>
    <row r="950" spans="1:9" x14ac:dyDescent="0.2">
      <c r="A950">
        <f t="shared" si="28"/>
        <v>4702070</v>
      </c>
      <c r="B950" s="5">
        <v>2023</v>
      </c>
      <c r="C950" s="1">
        <v>99044</v>
      </c>
      <c r="D950" t="s">
        <v>307</v>
      </c>
      <c r="E950" t="s">
        <v>307</v>
      </c>
      <c r="F950" s="8">
        <v>57805.81</v>
      </c>
      <c r="G950" s="8">
        <v>476421.28</v>
      </c>
      <c r="H950" s="5">
        <f t="shared" si="29"/>
        <v>534227.09000000008</v>
      </c>
      <c r="I950">
        <f>IFERROR(VLOOKUP(D950,'LEAID Match'!$A$2:$B$251,2,FALSE),"")</f>
        <v>4702070</v>
      </c>
    </row>
    <row r="951" spans="1:9" x14ac:dyDescent="0.2">
      <c r="A951">
        <f t="shared" si="28"/>
        <v>0</v>
      </c>
      <c r="B951" s="5">
        <v>2015</v>
      </c>
      <c r="C951" s="1">
        <v>99057</v>
      </c>
      <c r="D951" t="s">
        <v>308</v>
      </c>
      <c r="E951" t="s">
        <v>565</v>
      </c>
      <c r="F951" s="8">
        <v>127275</v>
      </c>
      <c r="G951" s="8">
        <v>4387063</v>
      </c>
      <c r="H951" s="5">
        <f t="shared" si="29"/>
        <v>4514338</v>
      </c>
      <c r="I951">
        <f>IFERROR(VLOOKUP(D951,'LEAID Match'!$A$2:$B$251,2,FALSE),"")</f>
        <v>0</v>
      </c>
    </row>
    <row r="952" spans="1:9" x14ac:dyDescent="0.2">
      <c r="A952">
        <f t="shared" si="28"/>
        <v>0</v>
      </c>
      <c r="B952" s="5">
        <v>2016</v>
      </c>
      <c r="C952" s="1">
        <v>99057</v>
      </c>
      <c r="D952" t="s">
        <v>308</v>
      </c>
      <c r="E952" t="s">
        <v>77</v>
      </c>
      <c r="F952" s="8">
        <v>259137</v>
      </c>
      <c r="G952" s="8">
        <v>4250095</v>
      </c>
      <c r="H952" s="5">
        <f t="shared" si="29"/>
        <v>4509232</v>
      </c>
      <c r="I952">
        <f>IFERROR(VLOOKUP(D952,'LEAID Match'!$A$2:$B$251,2,FALSE),"")</f>
        <v>0</v>
      </c>
    </row>
    <row r="953" spans="1:9" x14ac:dyDescent="0.2">
      <c r="A953">
        <f t="shared" si="28"/>
        <v>0</v>
      </c>
      <c r="B953" s="5">
        <v>2017</v>
      </c>
      <c r="C953" s="1">
        <v>99057</v>
      </c>
      <c r="D953" t="s">
        <v>308</v>
      </c>
      <c r="E953" t="s">
        <v>308</v>
      </c>
      <c r="F953" s="8">
        <v>358339</v>
      </c>
      <c r="G953" s="8">
        <v>4024268</v>
      </c>
      <c r="H953" s="5">
        <f t="shared" si="29"/>
        <v>4382607</v>
      </c>
      <c r="I953">
        <f>IFERROR(VLOOKUP(D953,'LEAID Match'!$A$2:$B$251,2,FALSE),"")</f>
        <v>0</v>
      </c>
    </row>
    <row r="954" spans="1:9" x14ac:dyDescent="0.2">
      <c r="A954">
        <f t="shared" si="28"/>
        <v>0</v>
      </c>
      <c r="B954" s="5">
        <v>2018</v>
      </c>
      <c r="C954" s="1">
        <v>99057</v>
      </c>
      <c r="D954" t="s">
        <v>308</v>
      </c>
      <c r="E954" t="s">
        <v>77</v>
      </c>
      <c r="F954" s="8">
        <v>473779</v>
      </c>
      <c r="G954" s="8">
        <v>3935894</v>
      </c>
      <c r="H954" s="5">
        <f t="shared" si="29"/>
        <v>4409673</v>
      </c>
      <c r="I954">
        <f>IFERROR(VLOOKUP(D954,'LEAID Match'!$A$2:$B$251,2,FALSE),"")</f>
        <v>0</v>
      </c>
    </row>
    <row r="955" spans="1:9" x14ac:dyDescent="0.2">
      <c r="A955">
        <f t="shared" si="28"/>
        <v>0</v>
      </c>
      <c r="B955" s="5">
        <v>2019</v>
      </c>
      <c r="C955" s="1">
        <v>99057</v>
      </c>
      <c r="D955" t="s">
        <v>308</v>
      </c>
      <c r="E955" t="s">
        <v>308</v>
      </c>
      <c r="F955" s="8">
        <v>248294</v>
      </c>
      <c r="G955" s="8">
        <v>4415621</v>
      </c>
      <c r="H955" s="5">
        <f t="shared" si="29"/>
        <v>4663915</v>
      </c>
      <c r="I955">
        <f>IFERROR(VLOOKUP(D955,'LEAID Match'!$A$2:$B$251,2,FALSE),"")</f>
        <v>0</v>
      </c>
    </row>
    <row r="956" spans="1:9" x14ac:dyDescent="0.2">
      <c r="A956">
        <f t="shared" si="28"/>
        <v>0</v>
      </c>
      <c r="B956" s="5">
        <v>2020</v>
      </c>
      <c r="C956" s="1">
        <v>99057</v>
      </c>
      <c r="D956" t="s">
        <v>308</v>
      </c>
      <c r="E956" t="s">
        <v>308</v>
      </c>
      <c r="F956" s="8">
        <v>316963</v>
      </c>
      <c r="G956" s="8">
        <v>4291415</v>
      </c>
      <c r="H956" s="5">
        <f t="shared" si="29"/>
        <v>4608378</v>
      </c>
      <c r="I956">
        <f>IFERROR(VLOOKUP(D956,'LEAID Match'!$A$2:$B$251,2,FALSE),"")</f>
        <v>0</v>
      </c>
    </row>
    <row r="957" spans="1:9" x14ac:dyDescent="0.2">
      <c r="A957">
        <f t="shared" si="28"/>
        <v>0</v>
      </c>
      <c r="B957" s="5">
        <v>2021</v>
      </c>
      <c r="C957" s="1">
        <v>99057</v>
      </c>
      <c r="D957" t="s">
        <v>308</v>
      </c>
      <c r="E957" t="s">
        <v>308</v>
      </c>
      <c r="F957" s="8">
        <v>383008</v>
      </c>
      <c r="G957" s="8">
        <v>4323665</v>
      </c>
      <c r="H957" s="5">
        <f t="shared" si="29"/>
        <v>4706673</v>
      </c>
      <c r="I957">
        <f>IFERROR(VLOOKUP(D957,'LEAID Match'!$A$2:$B$251,2,FALSE),"")</f>
        <v>0</v>
      </c>
    </row>
    <row r="958" spans="1:9" x14ac:dyDescent="0.2">
      <c r="A958">
        <f t="shared" si="28"/>
        <v>0</v>
      </c>
      <c r="B958" s="5">
        <v>2022</v>
      </c>
      <c r="C958" s="1">
        <v>99057</v>
      </c>
      <c r="D958" t="s">
        <v>308</v>
      </c>
      <c r="E958" t="s">
        <v>308</v>
      </c>
      <c r="F958" s="8">
        <v>447119.18</v>
      </c>
      <c r="G958" s="8">
        <v>4102799.23</v>
      </c>
      <c r="H958" s="5">
        <f t="shared" si="29"/>
        <v>4549918.41</v>
      </c>
      <c r="I958">
        <f>IFERROR(VLOOKUP(D958,'LEAID Match'!$A$2:$B$251,2,FALSE),"")</f>
        <v>0</v>
      </c>
    </row>
    <row r="959" spans="1:9" x14ac:dyDescent="0.2">
      <c r="A959">
        <f t="shared" si="28"/>
        <v>0</v>
      </c>
      <c r="B959" s="5">
        <v>2023</v>
      </c>
      <c r="C959" s="1">
        <v>99057</v>
      </c>
      <c r="D959" t="s">
        <v>308</v>
      </c>
      <c r="E959" t="s">
        <v>308</v>
      </c>
      <c r="F959" s="8">
        <v>731336.3</v>
      </c>
      <c r="G959" s="8">
        <v>3506392.26</v>
      </c>
      <c r="H959" s="5">
        <f t="shared" si="29"/>
        <v>4237728.5599999996</v>
      </c>
      <c r="I959">
        <f>IFERROR(VLOOKUP(D959,'LEAID Match'!$A$2:$B$251,2,FALSE),"")</f>
        <v>0</v>
      </c>
    </row>
    <row r="960" spans="1:9" x14ac:dyDescent="0.2">
      <c r="A960">
        <f t="shared" si="28"/>
        <v>4702100</v>
      </c>
      <c r="B960" s="5">
        <v>2015</v>
      </c>
      <c r="C960" s="1">
        <v>99045</v>
      </c>
      <c r="D960" t="s">
        <v>309</v>
      </c>
      <c r="E960" t="s">
        <v>78</v>
      </c>
      <c r="F960" s="8">
        <v>41727</v>
      </c>
      <c r="G960" s="8">
        <v>2221444</v>
      </c>
      <c r="H960" s="5">
        <f t="shared" si="29"/>
        <v>2263171</v>
      </c>
      <c r="I960">
        <f>IFERROR(VLOOKUP(D960,'LEAID Match'!$A$2:$B$251,2,FALSE),"")</f>
        <v>4702100</v>
      </c>
    </row>
    <row r="961" spans="1:9" x14ac:dyDescent="0.2">
      <c r="A961">
        <f t="shared" si="28"/>
        <v>4702100</v>
      </c>
      <c r="B961" s="5">
        <v>2016</v>
      </c>
      <c r="C961" s="1">
        <v>99045</v>
      </c>
      <c r="D961" t="s">
        <v>309</v>
      </c>
      <c r="E961" t="s">
        <v>78</v>
      </c>
      <c r="F961" s="8">
        <v>66355</v>
      </c>
      <c r="G961" s="8">
        <v>2203806</v>
      </c>
      <c r="H961" s="5">
        <f t="shared" si="29"/>
        <v>2270161</v>
      </c>
      <c r="I961">
        <f>IFERROR(VLOOKUP(D961,'LEAID Match'!$A$2:$B$251,2,FALSE),"")</f>
        <v>4702100</v>
      </c>
    </row>
    <row r="962" spans="1:9" x14ac:dyDescent="0.2">
      <c r="A962">
        <f t="shared" si="28"/>
        <v>4702100</v>
      </c>
      <c r="B962" s="5">
        <v>2017</v>
      </c>
      <c r="C962" s="1">
        <v>99045</v>
      </c>
      <c r="D962" t="s">
        <v>309</v>
      </c>
      <c r="E962" t="s">
        <v>309</v>
      </c>
      <c r="F962" s="8">
        <v>99201</v>
      </c>
      <c r="G962" s="8">
        <v>2196360</v>
      </c>
      <c r="H962" s="5">
        <f t="shared" si="29"/>
        <v>2295561</v>
      </c>
      <c r="I962">
        <f>IFERROR(VLOOKUP(D962,'LEAID Match'!$A$2:$B$251,2,FALSE),"")</f>
        <v>4702100</v>
      </c>
    </row>
    <row r="963" spans="1:9" x14ac:dyDescent="0.2">
      <c r="A963">
        <f t="shared" ref="A963:A1026" si="30">I963</f>
        <v>4702100</v>
      </c>
      <c r="B963" s="5">
        <v>2018</v>
      </c>
      <c r="C963" s="1">
        <v>99045</v>
      </c>
      <c r="D963" t="s">
        <v>309</v>
      </c>
      <c r="E963" t="s">
        <v>78</v>
      </c>
      <c r="F963" s="8">
        <v>152701</v>
      </c>
      <c r="G963" s="8">
        <v>2166970</v>
      </c>
      <c r="H963" s="5">
        <f t="shared" ref="H963:H1026" si="31">SUM(F963:G963)</f>
        <v>2319671</v>
      </c>
      <c r="I963">
        <f>IFERROR(VLOOKUP(D963,'LEAID Match'!$A$2:$B$251,2,FALSE),"")</f>
        <v>4702100</v>
      </c>
    </row>
    <row r="964" spans="1:9" x14ac:dyDescent="0.2">
      <c r="A964">
        <f t="shared" si="30"/>
        <v>4702100</v>
      </c>
      <c r="B964" s="5">
        <v>2019</v>
      </c>
      <c r="C964" s="1">
        <v>99045</v>
      </c>
      <c r="D964" t="s">
        <v>309</v>
      </c>
      <c r="E964" t="s">
        <v>309</v>
      </c>
      <c r="F964" s="8">
        <v>95741</v>
      </c>
      <c r="G964" s="8">
        <v>2458579</v>
      </c>
      <c r="H964" s="5">
        <f t="shared" si="31"/>
        <v>2554320</v>
      </c>
      <c r="I964">
        <f>IFERROR(VLOOKUP(D964,'LEAID Match'!$A$2:$B$251,2,FALSE),"")</f>
        <v>4702100</v>
      </c>
    </row>
    <row r="965" spans="1:9" x14ac:dyDescent="0.2">
      <c r="A965">
        <f t="shared" si="30"/>
        <v>4702100</v>
      </c>
      <c r="B965" s="5">
        <v>2020</v>
      </c>
      <c r="C965" s="1">
        <v>99045</v>
      </c>
      <c r="D965" t="s">
        <v>309</v>
      </c>
      <c r="E965" t="s">
        <v>309</v>
      </c>
      <c r="F965" s="8">
        <v>118524</v>
      </c>
      <c r="G965" s="8">
        <v>2389927</v>
      </c>
      <c r="H965" s="5">
        <f t="shared" si="31"/>
        <v>2508451</v>
      </c>
      <c r="I965">
        <f>IFERROR(VLOOKUP(D965,'LEAID Match'!$A$2:$B$251,2,FALSE),"")</f>
        <v>4702100</v>
      </c>
    </row>
    <row r="966" spans="1:9" x14ac:dyDescent="0.2">
      <c r="A966">
        <f t="shared" si="30"/>
        <v>4702100</v>
      </c>
      <c r="B966" s="5">
        <v>2021</v>
      </c>
      <c r="C966" s="1">
        <v>99045</v>
      </c>
      <c r="D966" t="s">
        <v>309</v>
      </c>
      <c r="E966" t="s">
        <v>309</v>
      </c>
      <c r="F966" s="8">
        <v>140484</v>
      </c>
      <c r="G966" s="8">
        <v>2250002</v>
      </c>
      <c r="H966" s="5">
        <f t="shared" si="31"/>
        <v>2390486</v>
      </c>
      <c r="I966">
        <f>IFERROR(VLOOKUP(D966,'LEAID Match'!$A$2:$B$251,2,FALSE),"")</f>
        <v>4702100</v>
      </c>
    </row>
    <row r="967" spans="1:9" x14ac:dyDescent="0.2">
      <c r="A967">
        <f t="shared" si="30"/>
        <v>4702100</v>
      </c>
      <c r="B967" s="5">
        <v>2022</v>
      </c>
      <c r="C967" s="1">
        <v>99045</v>
      </c>
      <c r="D967" t="s">
        <v>309</v>
      </c>
      <c r="E967" t="s">
        <v>309</v>
      </c>
      <c r="F967" s="8">
        <v>181223.19</v>
      </c>
      <c r="G967" s="8">
        <v>2133978.64</v>
      </c>
      <c r="H967" s="5">
        <f t="shared" si="31"/>
        <v>2315201.83</v>
      </c>
      <c r="I967">
        <f>IFERROR(VLOOKUP(D967,'LEAID Match'!$A$2:$B$251,2,FALSE),"")</f>
        <v>4702100</v>
      </c>
    </row>
    <row r="968" spans="1:9" x14ac:dyDescent="0.2">
      <c r="A968">
        <f t="shared" si="30"/>
        <v>4702100</v>
      </c>
      <c r="B968" s="5">
        <v>2023</v>
      </c>
      <c r="C968" s="1">
        <v>99045</v>
      </c>
      <c r="D968" t="s">
        <v>309</v>
      </c>
      <c r="E968" t="s">
        <v>309</v>
      </c>
      <c r="F968" s="8">
        <v>305966.48</v>
      </c>
      <c r="G968" s="8">
        <v>1715489.37</v>
      </c>
      <c r="H968" s="5">
        <f t="shared" si="31"/>
        <v>2021455.85</v>
      </c>
      <c r="I968">
        <f>IFERROR(VLOOKUP(D968,'LEAID Match'!$A$2:$B$251,2,FALSE),"")</f>
        <v>4702100</v>
      </c>
    </row>
    <row r="969" spans="1:9" x14ac:dyDescent="0.2">
      <c r="A969">
        <f t="shared" si="30"/>
        <v>4702130</v>
      </c>
      <c r="B969" s="5">
        <v>2015</v>
      </c>
      <c r="C969" s="1">
        <v>99190</v>
      </c>
      <c r="D969" t="s">
        <v>310</v>
      </c>
      <c r="E969" t="s">
        <v>79</v>
      </c>
      <c r="F969" s="8">
        <v>37635</v>
      </c>
      <c r="G969" s="8">
        <v>2891131</v>
      </c>
      <c r="H969" s="5">
        <f t="shared" si="31"/>
        <v>2928766</v>
      </c>
      <c r="I969">
        <f>IFERROR(VLOOKUP(D969,'LEAID Match'!$A$2:$B$251,2,FALSE),"")</f>
        <v>4702130</v>
      </c>
    </row>
    <row r="970" spans="1:9" x14ac:dyDescent="0.2">
      <c r="A970">
        <f t="shared" si="30"/>
        <v>4702130</v>
      </c>
      <c r="B970" s="5">
        <v>2016</v>
      </c>
      <c r="C970" s="1">
        <v>99190</v>
      </c>
      <c r="D970" t="s">
        <v>310</v>
      </c>
      <c r="E970" t="s">
        <v>79</v>
      </c>
      <c r="F970" s="8">
        <v>103283</v>
      </c>
      <c r="G970" s="8">
        <v>2884563</v>
      </c>
      <c r="H970" s="5">
        <f t="shared" si="31"/>
        <v>2987846</v>
      </c>
      <c r="I970">
        <f>IFERROR(VLOOKUP(D970,'LEAID Match'!$A$2:$B$251,2,FALSE),"")</f>
        <v>4702130</v>
      </c>
    </row>
    <row r="971" spans="1:9" x14ac:dyDescent="0.2">
      <c r="A971">
        <f t="shared" si="30"/>
        <v>4702130</v>
      </c>
      <c r="B971" s="5">
        <v>2017</v>
      </c>
      <c r="C971" s="1">
        <v>99190</v>
      </c>
      <c r="D971" t="s">
        <v>310</v>
      </c>
      <c r="E971" t="s">
        <v>310</v>
      </c>
      <c r="F971" s="8">
        <v>159549</v>
      </c>
      <c r="G971" s="8">
        <v>2912647</v>
      </c>
      <c r="H971" s="5">
        <f t="shared" si="31"/>
        <v>3072196</v>
      </c>
      <c r="I971">
        <f>IFERROR(VLOOKUP(D971,'LEAID Match'!$A$2:$B$251,2,FALSE),"")</f>
        <v>4702130</v>
      </c>
    </row>
    <row r="972" spans="1:9" x14ac:dyDescent="0.2">
      <c r="A972">
        <f t="shared" si="30"/>
        <v>4702130</v>
      </c>
      <c r="B972" s="5">
        <v>2018</v>
      </c>
      <c r="C972" s="1">
        <v>99190</v>
      </c>
      <c r="D972" t="s">
        <v>310</v>
      </c>
      <c r="E972" t="s">
        <v>79</v>
      </c>
      <c r="F972" s="8">
        <v>218057</v>
      </c>
      <c r="G972" s="8">
        <v>2871415</v>
      </c>
      <c r="H972" s="5">
        <f t="shared" si="31"/>
        <v>3089472</v>
      </c>
      <c r="I972">
        <f>IFERROR(VLOOKUP(D972,'LEAID Match'!$A$2:$B$251,2,FALSE),"")</f>
        <v>4702130</v>
      </c>
    </row>
    <row r="973" spans="1:9" x14ac:dyDescent="0.2">
      <c r="A973">
        <f t="shared" si="30"/>
        <v>4702130</v>
      </c>
      <c r="B973" s="5">
        <v>2019</v>
      </c>
      <c r="C973" s="1">
        <v>99190</v>
      </c>
      <c r="D973" t="s">
        <v>310</v>
      </c>
      <c r="E973" t="s">
        <v>310</v>
      </c>
      <c r="F973" s="8">
        <v>126603</v>
      </c>
      <c r="G973" s="8">
        <v>3335946</v>
      </c>
      <c r="H973" s="5">
        <f t="shared" si="31"/>
        <v>3462549</v>
      </c>
      <c r="I973">
        <f>IFERROR(VLOOKUP(D973,'LEAID Match'!$A$2:$B$251,2,FALSE),"")</f>
        <v>4702130</v>
      </c>
    </row>
    <row r="974" spans="1:9" x14ac:dyDescent="0.2">
      <c r="A974">
        <f t="shared" si="30"/>
        <v>4702130</v>
      </c>
      <c r="B974" s="5">
        <v>2020</v>
      </c>
      <c r="C974" s="1">
        <v>99190</v>
      </c>
      <c r="D974" t="s">
        <v>310</v>
      </c>
      <c r="E974" t="s">
        <v>310</v>
      </c>
      <c r="F974" s="8">
        <v>148975</v>
      </c>
      <c r="G974" s="8">
        <v>3388161</v>
      </c>
      <c r="H974" s="5">
        <f t="shared" si="31"/>
        <v>3537136</v>
      </c>
      <c r="I974">
        <f>IFERROR(VLOOKUP(D974,'LEAID Match'!$A$2:$B$251,2,FALSE),"")</f>
        <v>4702130</v>
      </c>
    </row>
    <row r="975" spans="1:9" x14ac:dyDescent="0.2">
      <c r="A975">
        <f t="shared" si="30"/>
        <v>4702130</v>
      </c>
      <c r="B975" s="5">
        <v>2021</v>
      </c>
      <c r="C975" s="1">
        <v>99190</v>
      </c>
      <c r="D975" t="s">
        <v>310</v>
      </c>
      <c r="E975" t="s">
        <v>310</v>
      </c>
      <c r="F975" s="8">
        <v>172631</v>
      </c>
      <c r="G975" s="8">
        <v>3318636</v>
      </c>
      <c r="H975" s="5">
        <f t="shared" si="31"/>
        <v>3491267</v>
      </c>
      <c r="I975">
        <f>IFERROR(VLOOKUP(D975,'LEAID Match'!$A$2:$B$251,2,FALSE),"")</f>
        <v>4702130</v>
      </c>
    </row>
    <row r="976" spans="1:9" x14ac:dyDescent="0.2">
      <c r="A976">
        <f t="shared" si="30"/>
        <v>4702130</v>
      </c>
      <c r="B976" s="5">
        <v>2022</v>
      </c>
      <c r="C976" s="1">
        <v>99190</v>
      </c>
      <c r="D976" t="s">
        <v>310</v>
      </c>
      <c r="E976" t="s">
        <v>310</v>
      </c>
      <c r="F976" s="8">
        <v>202873.51</v>
      </c>
      <c r="G976" s="8">
        <v>3359277.96</v>
      </c>
      <c r="H976" s="5">
        <f t="shared" si="31"/>
        <v>3562151.4699999997</v>
      </c>
      <c r="I976">
        <f>IFERROR(VLOOKUP(D976,'LEAID Match'!$A$2:$B$251,2,FALSE),"")</f>
        <v>4702130</v>
      </c>
    </row>
    <row r="977" spans="1:9" x14ac:dyDescent="0.2">
      <c r="A977">
        <f t="shared" si="30"/>
        <v>4702130</v>
      </c>
      <c r="B977" s="5">
        <v>2023</v>
      </c>
      <c r="C977" s="1">
        <v>99190</v>
      </c>
      <c r="D977" t="s">
        <v>310</v>
      </c>
      <c r="E977" t="s">
        <v>310</v>
      </c>
      <c r="F977" s="8">
        <v>362983.77</v>
      </c>
      <c r="G977" s="8">
        <v>2998184.75</v>
      </c>
      <c r="H977" s="5">
        <f t="shared" si="31"/>
        <v>3361168.52</v>
      </c>
      <c r="I977">
        <f>IFERROR(VLOOKUP(D977,'LEAID Match'!$A$2:$B$251,2,FALSE),"")</f>
        <v>4702130</v>
      </c>
    </row>
    <row r="978" spans="1:9" x14ac:dyDescent="0.2">
      <c r="A978">
        <f t="shared" si="30"/>
        <v>4702160</v>
      </c>
      <c r="B978" s="5">
        <v>2015</v>
      </c>
      <c r="C978" s="1">
        <v>99046</v>
      </c>
      <c r="D978" t="s">
        <v>311</v>
      </c>
      <c r="E978" t="s">
        <v>80</v>
      </c>
      <c r="F978" s="8">
        <v>22164</v>
      </c>
      <c r="G978" s="8">
        <v>737832</v>
      </c>
      <c r="H978" s="5">
        <f t="shared" si="31"/>
        <v>759996</v>
      </c>
      <c r="I978">
        <f>IFERROR(VLOOKUP(D978,'LEAID Match'!$A$2:$B$251,2,FALSE),"")</f>
        <v>4702160</v>
      </c>
    </row>
    <row r="979" spans="1:9" x14ac:dyDescent="0.2">
      <c r="A979">
        <f t="shared" si="30"/>
        <v>4702160</v>
      </c>
      <c r="B979" s="5">
        <v>2016</v>
      </c>
      <c r="C979" s="1">
        <v>99046</v>
      </c>
      <c r="D979" t="s">
        <v>311</v>
      </c>
      <c r="E979" t="s">
        <v>80</v>
      </c>
      <c r="F979" s="8">
        <v>33922</v>
      </c>
      <c r="G979" s="8">
        <v>721467</v>
      </c>
      <c r="H979" s="5">
        <f t="shared" si="31"/>
        <v>755389</v>
      </c>
      <c r="I979">
        <f>IFERROR(VLOOKUP(D979,'LEAID Match'!$A$2:$B$251,2,FALSE),"")</f>
        <v>4702160</v>
      </c>
    </row>
    <row r="980" spans="1:9" x14ac:dyDescent="0.2">
      <c r="A980">
        <f t="shared" si="30"/>
        <v>4702160</v>
      </c>
      <c r="B980" s="5">
        <v>2017</v>
      </c>
      <c r="C980" s="1">
        <v>99046</v>
      </c>
      <c r="D980" t="s">
        <v>311</v>
      </c>
      <c r="E980" t="s">
        <v>311</v>
      </c>
      <c r="F980" s="8">
        <v>39787</v>
      </c>
      <c r="G980" s="8">
        <v>718695</v>
      </c>
      <c r="H980" s="5">
        <f t="shared" si="31"/>
        <v>758482</v>
      </c>
      <c r="I980">
        <f>IFERROR(VLOOKUP(D980,'LEAID Match'!$A$2:$B$251,2,FALSE),"")</f>
        <v>4702160</v>
      </c>
    </row>
    <row r="981" spans="1:9" x14ac:dyDescent="0.2">
      <c r="A981">
        <f t="shared" si="30"/>
        <v>4702160</v>
      </c>
      <c r="B981" s="5">
        <v>2018</v>
      </c>
      <c r="C981" s="1">
        <v>99046</v>
      </c>
      <c r="D981" t="s">
        <v>311</v>
      </c>
      <c r="E981" t="s">
        <v>80</v>
      </c>
      <c r="F981" s="8">
        <v>79137</v>
      </c>
      <c r="G981" s="8">
        <v>648420</v>
      </c>
      <c r="H981" s="5">
        <f t="shared" si="31"/>
        <v>727557</v>
      </c>
      <c r="I981">
        <f>IFERROR(VLOOKUP(D981,'LEAID Match'!$A$2:$B$251,2,FALSE),"")</f>
        <v>4702160</v>
      </c>
    </row>
    <row r="982" spans="1:9" x14ac:dyDescent="0.2">
      <c r="A982">
        <f t="shared" si="30"/>
        <v>4702160</v>
      </c>
      <c r="B982" s="5">
        <v>2019</v>
      </c>
      <c r="C982" s="1">
        <v>99046</v>
      </c>
      <c r="D982" t="s">
        <v>311</v>
      </c>
      <c r="E982" t="s">
        <v>311</v>
      </c>
      <c r="F982" s="8">
        <v>44724</v>
      </c>
      <c r="G982" s="8">
        <v>709388</v>
      </c>
      <c r="H982" s="5">
        <f t="shared" si="31"/>
        <v>754112</v>
      </c>
      <c r="I982">
        <f>IFERROR(VLOOKUP(D982,'LEAID Match'!$A$2:$B$251,2,FALSE),"")</f>
        <v>4702160</v>
      </c>
    </row>
    <row r="983" spans="1:9" x14ac:dyDescent="0.2">
      <c r="A983">
        <f t="shared" si="30"/>
        <v>4702160</v>
      </c>
      <c r="B983" s="5">
        <v>2020</v>
      </c>
      <c r="C983" s="1">
        <v>99046</v>
      </c>
      <c r="D983" t="s">
        <v>311</v>
      </c>
      <c r="E983" t="s">
        <v>311</v>
      </c>
      <c r="F983" s="8">
        <v>48291</v>
      </c>
      <c r="G983" s="8">
        <v>703991</v>
      </c>
      <c r="H983" s="5">
        <f t="shared" si="31"/>
        <v>752282</v>
      </c>
      <c r="I983">
        <f>IFERROR(VLOOKUP(D983,'LEAID Match'!$A$2:$B$251,2,FALSE),"")</f>
        <v>4702160</v>
      </c>
    </row>
    <row r="984" spans="1:9" x14ac:dyDescent="0.2">
      <c r="A984">
        <f t="shared" si="30"/>
        <v>4702160</v>
      </c>
      <c r="B984" s="5">
        <v>2021</v>
      </c>
      <c r="C984" s="1">
        <v>99046</v>
      </c>
      <c r="D984" t="s">
        <v>311</v>
      </c>
      <c r="E984" t="s">
        <v>311</v>
      </c>
      <c r="F984" s="8">
        <v>52706</v>
      </c>
      <c r="G984" s="8">
        <v>715386</v>
      </c>
      <c r="H984" s="5">
        <f t="shared" si="31"/>
        <v>768092</v>
      </c>
      <c r="I984">
        <f>IFERROR(VLOOKUP(D984,'LEAID Match'!$A$2:$B$251,2,FALSE),"")</f>
        <v>4702160</v>
      </c>
    </row>
    <row r="985" spans="1:9" x14ac:dyDescent="0.2">
      <c r="A985">
        <f t="shared" si="30"/>
        <v>4702160</v>
      </c>
      <c r="B985" s="5">
        <v>2022</v>
      </c>
      <c r="C985" s="1">
        <v>99046</v>
      </c>
      <c r="D985" t="s">
        <v>311</v>
      </c>
      <c r="E985" t="s">
        <v>311</v>
      </c>
      <c r="F985" s="8">
        <v>68721.98</v>
      </c>
      <c r="G985" s="8">
        <v>662075.55000000005</v>
      </c>
      <c r="H985" s="5">
        <f t="shared" si="31"/>
        <v>730797.53</v>
      </c>
      <c r="I985">
        <f>IFERROR(VLOOKUP(D985,'LEAID Match'!$A$2:$B$251,2,FALSE),"")</f>
        <v>4702160</v>
      </c>
    </row>
    <row r="986" spans="1:9" x14ac:dyDescent="0.2">
      <c r="A986">
        <f t="shared" si="30"/>
        <v>4702160</v>
      </c>
      <c r="B986" s="5">
        <v>2023</v>
      </c>
      <c r="C986" s="1">
        <v>99046</v>
      </c>
      <c r="D986" t="s">
        <v>311</v>
      </c>
      <c r="E986" t="s">
        <v>311</v>
      </c>
      <c r="F986" s="8">
        <v>113021.59</v>
      </c>
      <c r="G986" s="8">
        <v>566608.38</v>
      </c>
      <c r="H986" s="5">
        <f t="shared" si="31"/>
        <v>679629.97</v>
      </c>
      <c r="I986">
        <f>IFERROR(VLOOKUP(D986,'LEAID Match'!$A$2:$B$251,2,FALSE),"")</f>
        <v>4702160</v>
      </c>
    </row>
    <row r="987" spans="1:9" x14ac:dyDescent="0.2">
      <c r="A987">
        <f t="shared" si="30"/>
        <v>0</v>
      </c>
      <c r="B987" s="5">
        <v>2018</v>
      </c>
      <c r="C987" s="1">
        <v>97968</v>
      </c>
      <c r="D987" t="s">
        <v>487</v>
      </c>
      <c r="E987" t="s">
        <v>453</v>
      </c>
      <c r="F987" s="8">
        <v>13403</v>
      </c>
      <c r="G987" s="8">
        <v>3405</v>
      </c>
      <c r="H987" s="5">
        <f t="shared" si="31"/>
        <v>16808</v>
      </c>
      <c r="I987">
        <f>IFERROR(VLOOKUP(D987,'LEAID Match'!$A$2:$B$251,2,FALSE),"")</f>
        <v>0</v>
      </c>
    </row>
    <row r="988" spans="1:9" x14ac:dyDescent="0.2">
      <c r="A988">
        <f t="shared" si="30"/>
        <v>0</v>
      </c>
      <c r="B988" s="5">
        <v>2019</v>
      </c>
      <c r="C988" s="1">
        <v>97968</v>
      </c>
      <c r="D988" t="s">
        <v>487</v>
      </c>
      <c r="E988" t="s">
        <v>487</v>
      </c>
      <c r="F988" s="8">
        <v>6756</v>
      </c>
      <c r="G988" s="8">
        <v>9676</v>
      </c>
      <c r="H988" s="5">
        <f t="shared" si="31"/>
        <v>16432</v>
      </c>
      <c r="I988">
        <f>IFERROR(VLOOKUP(D988,'LEAID Match'!$A$2:$B$251,2,FALSE),"")</f>
        <v>0</v>
      </c>
    </row>
    <row r="989" spans="1:9" x14ac:dyDescent="0.2">
      <c r="A989">
        <f t="shared" si="30"/>
        <v>0</v>
      </c>
      <c r="B989" s="5">
        <v>2020</v>
      </c>
      <c r="C989" s="1">
        <v>97968</v>
      </c>
      <c r="D989" t="s">
        <v>487</v>
      </c>
      <c r="E989" t="s">
        <v>487</v>
      </c>
      <c r="F989" s="8">
        <v>7862</v>
      </c>
      <c r="G989" s="8">
        <v>5315</v>
      </c>
      <c r="H989" s="5">
        <f t="shared" si="31"/>
        <v>13177</v>
      </c>
      <c r="I989">
        <f>IFERROR(VLOOKUP(D989,'LEAID Match'!$A$2:$B$251,2,FALSE),"")</f>
        <v>0</v>
      </c>
    </row>
    <row r="990" spans="1:9" x14ac:dyDescent="0.2">
      <c r="A990">
        <f t="shared" si="30"/>
        <v>0</v>
      </c>
      <c r="B990" s="5">
        <v>2021</v>
      </c>
      <c r="C990" s="1">
        <v>97968</v>
      </c>
      <c r="D990" t="s">
        <v>487</v>
      </c>
      <c r="E990" t="s">
        <v>487</v>
      </c>
      <c r="F990" s="8">
        <v>6801</v>
      </c>
      <c r="G990" s="8">
        <v>10270</v>
      </c>
      <c r="H990" s="5">
        <f t="shared" si="31"/>
        <v>17071</v>
      </c>
      <c r="I990">
        <f>IFERROR(VLOOKUP(D990,'LEAID Match'!$A$2:$B$251,2,FALSE),"")</f>
        <v>0</v>
      </c>
    </row>
    <row r="991" spans="1:9" x14ac:dyDescent="0.2">
      <c r="A991">
        <f t="shared" si="30"/>
        <v>0</v>
      </c>
      <c r="B991" s="5">
        <v>2022</v>
      </c>
      <c r="C991" s="1">
        <v>97968</v>
      </c>
      <c r="D991" t="s">
        <v>487</v>
      </c>
      <c r="E991" t="s">
        <v>487</v>
      </c>
      <c r="F991" s="8">
        <v>549.4</v>
      </c>
      <c r="G991" s="8">
        <v>858.33</v>
      </c>
      <c r="H991" s="5">
        <f t="shared" si="31"/>
        <v>1407.73</v>
      </c>
      <c r="I991">
        <f>IFERROR(VLOOKUP(D991,'LEAID Match'!$A$2:$B$251,2,FALSE),"")</f>
        <v>0</v>
      </c>
    </row>
    <row r="992" spans="1:9" x14ac:dyDescent="0.2">
      <c r="A992">
        <f t="shared" si="30"/>
        <v>0</v>
      </c>
      <c r="B992" s="5">
        <v>2023</v>
      </c>
      <c r="C992" s="1">
        <v>97968</v>
      </c>
      <c r="D992" t="s">
        <v>487</v>
      </c>
      <c r="E992" t="s">
        <v>487</v>
      </c>
      <c r="F992" s="8" t="s">
        <v>591</v>
      </c>
      <c r="G992" s="8" t="s">
        <v>591</v>
      </c>
      <c r="H992" s="5">
        <f t="shared" si="31"/>
        <v>0</v>
      </c>
      <c r="I992">
        <f>IFERROR(VLOOKUP(D992,'LEAID Match'!$A$2:$B$251,2,FALSE),"")</f>
        <v>0</v>
      </c>
    </row>
    <row r="993" spans="1:9" x14ac:dyDescent="0.2">
      <c r="A993">
        <f t="shared" si="30"/>
        <v>4702190</v>
      </c>
      <c r="B993" s="5">
        <v>2015</v>
      </c>
      <c r="C993" s="1">
        <v>99282</v>
      </c>
      <c r="D993" t="s">
        <v>312</v>
      </c>
      <c r="E993" t="s">
        <v>81</v>
      </c>
      <c r="F993" s="8">
        <v>34765</v>
      </c>
      <c r="G993" s="8">
        <v>2895224</v>
      </c>
      <c r="H993" s="5">
        <f t="shared" si="31"/>
        <v>2929989</v>
      </c>
      <c r="I993">
        <f>IFERROR(VLOOKUP(D993,'LEAID Match'!$A$2:$B$251,2,FALSE),"")</f>
        <v>4702190</v>
      </c>
    </row>
    <row r="994" spans="1:9" x14ac:dyDescent="0.2">
      <c r="A994">
        <f t="shared" si="30"/>
        <v>4702190</v>
      </c>
      <c r="B994" s="5">
        <v>2016</v>
      </c>
      <c r="C994" s="1">
        <v>99282</v>
      </c>
      <c r="D994" t="s">
        <v>312</v>
      </c>
      <c r="E994" t="s">
        <v>81</v>
      </c>
      <c r="F994" s="8">
        <v>99168</v>
      </c>
      <c r="G994" s="8">
        <v>2855408</v>
      </c>
      <c r="H994" s="5">
        <f t="shared" si="31"/>
        <v>2954576</v>
      </c>
      <c r="I994">
        <f>IFERROR(VLOOKUP(D994,'LEAID Match'!$A$2:$B$251,2,FALSE),"")</f>
        <v>4702190</v>
      </c>
    </row>
    <row r="995" spans="1:9" x14ac:dyDescent="0.2">
      <c r="A995">
        <f t="shared" si="30"/>
        <v>4702190</v>
      </c>
      <c r="B995" s="5">
        <v>2017</v>
      </c>
      <c r="C995" s="1">
        <v>99282</v>
      </c>
      <c r="D995" t="s">
        <v>312</v>
      </c>
      <c r="E995" t="s">
        <v>312</v>
      </c>
      <c r="F995" s="8">
        <v>186429</v>
      </c>
      <c r="G995" s="8">
        <v>2842315</v>
      </c>
      <c r="H995" s="5">
        <f t="shared" si="31"/>
        <v>3028744</v>
      </c>
      <c r="I995">
        <f>IFERROR(VLOOKUP(D995,'LEAID Match'!$A$2:$B$251,2,FALSE),"")</f>
        <v>4702190</v>
      </c>
    </row>
    <row r="996" spans="1:9" x14ac:dyDescent="0.2">
      <c r="A996">
        <f t="shared" si="30"/>
        <v>4702190</v>
      </c>
      <c r="B996" s="5">
        <v>2018</v>
      </c>
      <c r="C996" s="1">
        <v>99282</v>
      </c>
      <c r="D996" t="s">
        <v>312</v>
      </c>
      <c r="E996" t="s">
        <v>81</v>
      </c>
      <c r="F996" s="8">
        <v>259108</v>
      </c>
      <c r="G996" s="8">
        <v>2860905</v>
      </c>
      <c r="H996" s="5">
        <f t="shared" si="31"/>
        <v>3120013</v>
      </c>
      <c r="I996">
        <f>IFERROR(VLOOKUP(D996,'LEAID Match'!$A$2:$B$251,2,FALSE),"")</f>
        <v>4702190</v>
      </c>
    </row>
    <row r="997" spans="1:9" x14ac:dyDescent="0.2">
      <c r="A997">
        <f t="shared" si="30"/>
        <v>4702190</v>
      </c>
      <c r="B997" s="5">
        <v>2019</v>
      </c>
      <c r="C997" s="1">
        <v>99282</v>
      </c>
      <c r="D997" t="s">
        <v>312</v>
      </c>
      <c r="E997" t="s">
        <v>312</v>
      </c>
      <c r="F997" s="8">
        <v>141942</v>
      </c>
      <c r="G997" s="8">
        <v>3246064</v>
      </c>
      <c r="H997" s="5">
        <f t="shared" si="31"/>
        <v>3388006</v>
      </c>
      <c r="I997">
        <f>IFERROR(VLOOKUP(D997,'LEAID Match'!$A$2:$B$251,2,FALSE),"")</f>
        <v>4702190</v>
      </c>
    </row>
    <row r="998" spans="1:9" x14ac:dyDescent="0.2">
      <c r="A998">
        <f t="shared" si="30"/>
        <v>4702190</v>
      </c>
      <c r="B998" s="5">
        <v>2020</v>
      </c>
      <c r="C998" s="1">
        <v>99282</v>
      </c>
      <c r="D998" t="s">
        <v>312</v>
      </c>
      <c r="E998" t="s">
        <v>312</v>
      </c>
      <c r="F998" s="8">
        <v>162248</v>
      </c>
      <c r="G998" s="8">
        <v>3301020</v>
      </c>
      <c r="H998" s="5">
        <f t="shared" si="31"/>
        <v>3463268</v>
      </c>
      <c r="I998">
        <f>IFERROR(VLOOKUP(D998,'LEAID Match'!$A$2:$B$251,2,FALSE),"")</f>
        <v>4702190</v>
      </c>
    </row>
    <row r="999" spans="1:9" x14ac:dyDescent="0.2">
      <c r="A999">
        <f t="shared" si="30"/>
        <v>4702190</v>
      </c>
      <c r="B999" s="5">
        <v>2021</v>
      </c>
      <c r="C999" s="1">
        <v>99282</v>
      </c>
      <c r="D999" t="s">
        <v>312</v>
      </c>
      <c r="E999" t="s">
        <v>312</v>
      </c>
      <c r="F999" s="8">
        <v>178869</v>
      </c>
      <c r="G999" s="8">
        <v>3196964</v>
      </c>
      <c r="H999" s="5">
        <f t="shared" si="31"/>
        <v>3375833</v>
      </c>
      <c r="I999">
        <f>IFERROR(VLOOKUP(D999,'LEAID Match'!$A$2:$B$251,2,FALSE),"")</f>
        <v>4702190</v>
      </c>
    </row>
    <row r="1000" spans="1:9" x14ac:dyDescent="0.2">
      <c r="A1000">
        <f t="shared" si="30"/>
        <v>4702190</v>
      </c>
      <c r="B1000" s="5">
        <v>2022</v>
      </c>
      <c r="C1000" s="1">
        <v>99282</v>
      </c>
      <c r="D1000" t="s">
        <v>312</v>
      </c>
      <c r="E1000" t="s">
        <v>312</v>
      </c>
      <c r="F1000" s="8">
        <v>212819.38</v>
      </c>
      <c r="G1000" s="8">
        <v>3160338.62</v>
      </c>
      <c r="H1000" s="5">
        <f t="shared" si="31"/>
        <v>3373158</v>
      </c>
      <c r="I1000">
        <f>IFERROR(VLOOKUP(D1000,'LEAID Match'!$A$2:$B$251,2,FALSE),"")</f>
        <v>4702190</v>
      </c>
    </row>
    <row r="1001" spans="1:9" x14ac:dyDescent="0.2">
      <c r="A1001">
        <f t="shared" si="30"/>
        <v>4702190</v>
      </c>
      <c r="B1001" s="5">
        <v>2023</v>
      </c>
      <c r="C1001" s="1">
        <v>99282</v>
      </c>
      <c r="D1001" t="s">
        <v>312</v>
      </c>
      <c r="E1001" t="s">
        <v>312</v>
      </c>
      <c r="F1001" s="8">
        <v>388855.06</v>
      </c>
      <c r="G1001" s="8">
        <v>2579512.0699999998</v>
      </c>
      <c r="H1001" s="5">
        <f t="shared" si="31"/>
        <v>2968367.13</v>
      </c>
      <c r="I1001">
        <f>IFERROR(VLOOKUP(D1001,'LEAID Match'!$A$2:$B$251,2,FALSE),"")</f>
        <v>4702190</v>
      </c>
    </row>
    <row r="1002" spans="1:9" x14ac:dyDescent="0.2">
      <c r="A1002">
        <f t="shared" si="30"/>
        <v>0</v>
      </c>
      <c r="B1002" s="5">
        <v>2019</v>
      </c>
      <c r="C1002" s="1">
        <v>99196</v>
      </c>
      <c r="D1002" t="s">
        <v>488</v>
      </c>
      <c r="E1002" t="s">
        <v>488</v>
      </c>
      <c r="F1002" s="8">
        <v>9948</v>
      </c>
      <c r="G1002" s="8">
        <v>25820</v>
      </c>
      <c r="H1002" s="5">
        <f t="shared" si="31"/>
        <v>35768</v>
      </c>
      <c r="I1002">
        <f>IFERROR(VLOOKUP(D1002,'LEAID Match'!$A$2:$B$251,2,FALSE),"")</f>
        <v>0</v>
      </c>
    </row>
    <row r="1003" spans="1:9" x14ac:dyDescent="0.2">
      <c r="A1003">
        <f t="shared" si="30"/>
        <v>0</v>
      </c>
      <c r="B1003" s="5">
        <v>2020</v>
      </c>
      <c r="C1003" s="1">
        <v>99196</v>
      </c>
      <c r="D1003" t="s">
        <v>488</v>
      </c>
      <c r="E1003" t="s">
        <v>488</v>
      </c>
      <c r="F1003" s="8">
        <v>18492</v>
      </c>
      <c r="G1003" s="8">
        <v>50830</v>
      </c>
      <c r="H1003" s="5">
        <f t="shared" si="31"/>
        <v>69322</v>
      </c>
      <c r="I1003">
        <f>IFERROR(VLOOKUP(D1003,'LEAID Match'!$A$2:$B$251,2,FALSE),"")</f>
        <v>0</v>
      </c>
    </row>
    <row r="1004" spans="1:9" x14ac:dyDescent="0.2">
      <c r="A1004">
        <f t="shared" si="30"/>
        <v>0</v>
      </c>
      <c r="B1004" s="5">
        <v>2021</v>
      </c>
      <c r="C1004" s="1">
        <v>99196</v>
      </c>
      <c r="D1004" t="s">
        <v>488</v>
      </c>
      <c r="E1004" t="s">
        <v>488</v>
      </c>
      <c r="F1004" s="8">
        <v>19375</v>
      </c>
      <c r="G1004" s="8">
        <v>55717</v>
      </c>
      <c r="H1004" s="5">
        <f t="shared" si="31"/>
        <v>75092</v>
      </c>
      <c r="I1004">
        <f>IFERROR(VLOOKUP(D1004,'LEAID Match'!$A$2:$B$251,2,FALSE),"")</f>
        <v>0</v>
      </c>
    </row>
    <row r="1005" spans="1:9" x14ac:dyDescent="0.2">
      <c r="A1005">
        <f t="shared" si="30"/>
        <v>0</v>
      </c>
      <c r="B1005" s="5">
        <v>2022</v>
      </c>
      <c r="C1005" s="1">
        <v>99196</v>
      </c>
      <c r="D1005" t="s">
        <v>488</v>
      </c>
      <c r="E1005" t="s">
        <v>488</v>
      </c>
      <c r="F1005" s="8">
        <v>33861.58</v>
      </c>
      <c r="G1005" s="8">
        <v>63985.83</v>
      </c>
      <c r="H1005" s="5">
        <f t="shared" si="31"/>
        <v>97847.41</v>
      </c>
      <c r="I1005">
        <f>IFERROR(VLOOKUP(D1005,'LEAID Match'!$A$2:$B$251,2,FALSE),"")</f>
        <v>0</v>
      </c>
    </row>
    <row r="1006" spans="1:9" x14ac:dyDescent="0.2">
      <c r="A1006">
        <f t="shared" si="30"/>
        <v>0</v>
      </c>
      <c r="B1006" s="5">
        <v>2023</v>
      </c>
      <c r="C1006" s="1">
        <v>99196</v>
      </c>
      <c r="D1006" t="s">
        <v>488</v>
      </c>
      <c r="E1006" t="s">
        <v>488</v>
      </c>
      <c r="F1006" s="8">
        <v>61810.95</v>
      </c>
      <c r="G1006" s="8">
        <v>61829.19</v>
      </c>
      <c r="H1006" s="5">
        <f t="shared" si="31"/>
        <v>123640.14</v>
      </c>
      <c r="I1006">
        <f>IFERROR(VLOOKUP(D1006,'LEAID Match'!$A$2:$B$251,2,FALSE),"")</f>
        <v>0</v>
      </c>
    </row>
    <row r="1007" spans="1:9" x14ac:dyDescent="0.2">
      <c r="A1007">
        <f t="shared" si="30"/>
        <v>0</v>
      </c>
      <c r="B1007" s="5">
        <v>2020</v>
      </c>
      <c r="C1007" s="1">
        <v>99197</v>
      </c>
      <c r="D1007" t="s">
        <v>499</v>
      </c>
      <c r="E1007" t="s">
        <v>499</v>
      </c>
      <c r="F1007" s="8">
        <v>7176</v>
      </c>
      <c r="G1007" s="8">
        <v>24714</v>
      </c>
      <c r="H1007" s="5">
        <f t="shared" si="31"/>
        <v>31890</v>
      </c>
      <c r="I1007">
        <f>IFERROR(VLOOKUP(D1007,'LEAID Match'!$A$2:$B$251,2,FALSE),"")</f>
        <v>0</v>
      </c>
    </row>
    <row r="1008" spans="1:9" x14ac:dyDescent="0.2">
      <c r="A1008">
        <f t="shared" si="30"/>
        <v>0</v>
      </c>
      <c r="B1008" s="5">
        <v>2021</v>
      </c>
      <c r="C1008" s="1">
        <v>99197</v>
      </c>
      <c r="D1008" t="s">
        <v>499</v>
      </c>
      <c r="E1008" t="s">
        <v>499</v>
      </c>
      <c r="F1008" s="8">
        <v>14919</v>
      </c>
      <c r="G1008" s="8">
        <v>21035</v>
      </c>
      <c r="H1008" s="5">
        <f t="shared" si="31"/>
        <v>35954</v>
      </c>
      <c r="I1008">
        <f>IFERROR(VLOOKUP(D1008,'LEAID Match'!$A$2:$B$251,2,FALSE),"")</f>
        <v>0</v>
      </c>
    </row>
    <row r="1009" spans="1:9" x14ac:dyDescent="0.2">
      <c r="A1009">
        <f t="shared" si="30"/>
        <v>0</v>
      </c>
      <c r="B1009" s="5">
        <v>2022</v>
      </c>
      <c r="C1009" s="1">
        <v>99197</v>
      </c>
      <c r="D1009" t="s">
        <v>499</v>
      </c>
      <c r="E1009" t="s">
        <v>499</v>
      </c>
      <c r="F1009" s="8">
        <v>22971.02</v>
      </c>
      <c r="G1009" s="8">
        <v>30413.33</v>
      </c>
      <c r="H1009" s="5">
        <f t="shared" si="31"/>
        <v>53384.350000000006</v>
      </c>
      <c r="I1009">
        <f>IFERROR(VLOOKUP(D1009,'LEAID Match'!$A$2:$B$251,2,FALSE),"")</f>
        <v>0</v>
      </c>
    </row>
    <row r="1010" spans="1:9" x14ac:dyDescent="0.2">
      <c r="A1010">
        <f t="shared" si="30"/>
        <v>0</v>
      </c>
      <c r="B1010" s="5">
        <v>2023</v>
      </c>
      <c r="C1010" s="1">
        <v>99197</v>
      </c>
      <c r="D1010" t="s">
        <v>499</v>
      </c>
      <c r="E1010" t="s">
        <v>499</v>
      </c>
      <c r="F1010" s="8">
        <v>49376.17</v>
      </c>
      <c r="G1010" s="8">
        <v>25031.78</v>
      </c>
      <c r="H1010" s="5">
        <f t="shared" si="31"/>
        <v>74407.95</v>
      </c>
      <c r="I1010">
        <f>IFERROR(VLOOKUP(D1010,'LEAID Match'!$A$2:$B$251,2,FALSE),"")</f>
        <v>0</v>
      </c>
    </row>
    <row r="1011" spans="1:9" x14ac:dyDescent="0.2">
      <c r="A1011">
        <f t="shared" si="30"/>
        <v>0</v>
      </c>
      <c r="B1011" s="5">
        <v>2015</v>
      </c>
      <c r="C1011" s="1">
        <v>97928</v>
      </c>
      <c r="D1011" t="s">
        <v>313</v>
      </c>
      <c r="E1011" t="s">
        <v>82</v>
      </c>
      <c r="F1011" s="8">
        <v>9513</v>
      </c>
      <c r="G1011" s="8">
        <v>113957</v>
      </c>
      <c r="H1011" s="5">
        <f t="shared" si="31"/>
        <v>123470</v>
      </c>
      <c r="I1011">
        <f>IFERROR(VLOOKUP(D1011,'LEAID Match'!$A$2:$B$251,2,FALSE),"")</f>
        <v>0</v>
      </c>
    </row>
    <row r="1012" spans="1:9" x14ac:dyDescent="0.2">
      <c r="A1012">
        <f t="shared" si="30"/>
        <v>0</v>
      </c>
      <c r="B1012" s="5">
        <v>2016</v>
      </c>
      <c r="C1012" s="1">
        <v>97928</v>
      </c>
      <c r="D1012" t="s">
        <v>313</v>
      </c>
      <c r="E1012" t="s">
        <v>82</v>
      </c>
      <c r="F1012" s="8">
        <v>30731</v>
      </c>
      <c r="G1012" s="8">
        <v>105088</v>
      </c>
      <c r="H1012" s="5">
        <f t="shared" si="31"/>
        <v>135819</v>
      </c>
      <c r="I1012">
        <f>IFERROR(VLOOKUP(D1012,'LEAID Match'!$A$2:$B$251,2,FALSE),"")</f>
        <v>0</v>
      </c>
    </row>
    <row r="1013" spans="1:9" x14ac:dyDescent="0.2">
      <c r="A1013">
        <f t="shared" si="30"/>
        <v>0</v>
      </c>
      <c r="B1013" s="5">
        <v>2017</v>
      </c>
      <c r="C1013" s="1">
        <v>97928</v>
      </c>
      <c r="D1013" t="s">
        <v>313</v>
      </c>
      <c r="E1013" t="s">
        <v>313</v>
      </c>
      <c r="F1013" s="8">
        <v>45090</v>
      </c>
      <c r="G1013" s="8">
        <v>70549</v>
      </c>
      <c r="H1013" s="5">
        <f t="shared" si="31"/>
        <v>115639</v>
      </c>
      <c r="I1013">
        <f>IFERROR(VLOOKUP(D1013,'LEAID Match'!$A$2:$B$251,2,FALSE),"")</f>
        <v>0</v>
      </c>
    </row>
    <row r="1014" spans="1:9" x14ac:dyDescent="0.2">
      <c r="A1014">
        <f t="shared" si="30"/>
        <v>0</v>
      </c>
      <c r="B1014" s="5">
        <v>2018</v>
      </c>
      <c r="C1014" s="1">
        <v>97928</v>
      </c>
      <c r="D1014" t="s">
        <v>313</v>
      </c>
      <c r="E1014" t="s">
        <v>82</v>
      </c>
      <c r="F1014" s="8">
        <v>46219</v>
      </c>
      <c r="G1014" s="8">
        <v>84592</v>
      </c>
      <c r="H1014" s="5">
        <f t="shared" si="31"/>
        <v>130811</v>
      </c>
      <c r="I1014">
        <f>IFERROR(VLOOKUP(D1014,'LEAID Match'!$A$2:$B$251,2,FALSE),"")</f>
        <v>0</v>
      </c>
    </row>
    <row r="1015" spans="1:9" x14ac:dyDescent="0.2">
      <c r="A1015">
        <f t="shared" si="30"/>
        <v>0</v>
      </c>
      <c r="B1015" s="5">
        <v>2019</v>
      </c>
      <c r="C1015" s="1">
        <v>97928</v>
      </c>
      <c r="D1015" t="s">
        <v>313</v>
      </c>
      <c r="E1015" t="s">
        <v>313</v>
      </c>
      <c r="F1015" s="8" t="s">
        <v>591</v>
      </c>
      <c r="G1015" s="8" t="s">
        <v>591</v>
      </c>
      <c r="H1015" s="5">
        <f t="shared" si="31"/>
        <v>0</v>
      </c>
      <c r="I1015">
        <f>IFERROR(VLOOKUP(D1015,'LEAID Match'!$A$2:$B$251,2,FALSE),"")</f>
        <v>0</v>
      </c>
    </row>
    <row r="1016" spans="1:9" x14ac:dyDescent="0.2">
      <c r="A1016">
        <f t="shared" si="30"/>
        <v>0</v>
      </c>
      <c r="B1016" s="5">
        <v>2020</v>
      </c>
      <c r="C1016" s="1">
        <v>97928</v>
      </c>
      <c r="D1016" t="s">
        <v>313</v>
      </c>
      <c r="E1016" t="s">
        <v>313</v>
      </c>
      <c r="F1016" s="8" t="s">
        <v>591</v>
      </c>
      <c r="G1016" s="8" t="s">
        <v>591</v>
      </c>
      <c r="H1016" s="5">
        <f t="shared" si="31"/>
        <v>0</v>
      </c>
      <c r="I1016">
        <f>IFERROR(VLOOKUP(D1016,'LEAID Match'!$A$2:$B$251,2,FALSE),"")</f>
        <v>0</v>
      </c>
    </row>
    <row r="1017" spans="1:9" x14ac:dyDescent="0.2">
      <c r="A1017">
        <f t="shared" si="30"/>
        <v>0</v>
      </c>
      <c r="B1017" s="5">
        <v>2021</v>
      </c>
      <c r="C1017" s="1">
        <v>97928</v>
      </c>
      <c r="D1017" t="s">
        <v>313</v>
      </c>
      <c r="E1017" t="s">
        <v>313</v>
      </c>
      <c r="F1017" s="8" t="s">
        <v>591</v>
      </c>
      <c r="G1017" s="8" t="s">
        <v>591</v>
      </c>
      <c r="H1017" s="5">
        <f t="shared" si="31"/>
        <v>0</v>
      </c>
      <c r="I1017">
        <f>IFERROR(VLOOKUP(D1017,'LEAID Match'!$A$2:$B$251,2,FALSE),"")</f>
        <v>0</v>
      </c>
    </row>
    <row r="1018" spans="1:9" x14ac:dyDescent="0.2">
      <c r="A1018">
        <f t="shared" si="30"/>
        <v>0</v>
      </c>
      <c r="B1018" s="5">
        <v>2022</v>
      </c>
      <c r="C1018" s="1">
        <v>97928</v>
      </c>
      <c r="D1018" t="s">
        <v>313</v>
      </c>
      <c r="E1018" t="s">
        <v>313</v>
      </c>
      <c r="F1018" s="8" t="s">
        <v>591</v>
      </c>
      <c r="G1018" s="8" t="s">
        <v>591</v>
      </c>
      <c r="H1018" s="5">
        <f t="shared" si="31"/>
        <v>0</v>
      </c>
      <c r="I1018">
        <f>IFERROR(VLOOKUP(D1018,'LEAID Match'!$A$2:$B$251,2,FALSE),"")</f>
        <v>0</v>
      </c>
    </row>
    <row r="1019" spans="1:9" x14ac:dyDescent="0.2">
      <c r="A1019">
        <f t="shared" si="30"/>
        <v>0</v>
      </c>
      <c r="B1019" s="5">
        <v>2023</v>
      </c>
      <c r="C1019" s="1">
        <v>97928</v>
      </c>
      <c r="D1019" t="s">
        <v>313</v>
      </c>
      <c r="E1019" t="s">
        <v>313</v>
      </c>
      <c r="F1019" s="8" t="s">
        <v>591</v>
      </c>
      <c r="G1019" s="8" t="s">
        <v>591</v>
      </c>
      <c r="H1019" s="5">
        <f t="shared" si="31"/>
        <v>0</v>
      </c>
      <c r="I1019">
        <f>IFERROR(VLOOKUP(D1019,'LEAID Match'!$A$2:$B$251,2,FALSE),"")</f>
        <v>0</v>
      </c>
    </row>
    <row r="1020" spans="1:9" x14ac:dyDescent="0.2">
      <c r="A1020">
        <f t="shared" si="30"/>
        <v>0</v>
      </c>
      <c r="B1020" s="5">
        <v>2015</v>
      </c>
      <c r="C1020" s="1">
        <v>97929</v>
      </c>
      <c r="D1020" t="s">
        <v>314</v>
      </c>
      <c r="E1020" t="s">
        <v>83</v>
      </c>
      <c r="F1020" s="8">
        <v>8414</v>
      </c>
      <c r="G1020" s="8">
        <v>127664</v>
      </c>
      <c r="H1020" s="5">
        <f t="shared" si="31"/>
        <v>136078</v>
      </c>
      <c r="I1020">
        <f>IFERROR(VLOOKUP(D1020,'LEAID Match'!$A$2:$B$251,2,FALSE),"")</f>
        <v>0</v>
      </c>
    </row>
    <row r="1021" spans="1:9" x14ac:dyDescent="0.2">
      <c r="A1021">
        <f t="shared" si="30"/>
        <v>0</v>
      </c>
      <c r="B1021" s="5">
        <v>2016</v>
      </c>
      <c r="C1021" s="1">
        <v>97929</v>
      </c>
      <c r="D1021" t="s">
        <v>314</v>
      </c>
      <c r="E1021" t="s">
        <v>83</v>
      </c>
      <c r="F1021" s="8">
        <v>21688</v>
      </c>
      <c r="G1021" s="8">
        <v>97459</v>
      </c>
      <c r="H1021" s="5">
        <f t="shared" si="31"/>
        <v>119147</v>
      </c>
      <c r="I1021">
        <f>IFERROR(VLOOKUP(D1021,'LEAID Match'!$A$2:$B$251,2,FALSE),"")</f>
        <v>0</v>
      </c>
    </row>
    <row r="1022" spans="1:9" x14ac:dyDescent="0.2">
      <c r="A1022">
        <f t="shared" si="30"/>
        <v>0</v>
      </c>
      <c r="B1022" s="5">
        <v>2017</v>
      </c>
      <c r="C1022" s="1">
        <v>97929</v>
      </c>
      <c r="D1022" t="s">
        <v>314</v>
      </c>
      <c r="E1022" t="s">
        <v>314</v>
      </c>
      <c r="F1022" s="8">
        <v>35987</v>
      </c>
      <c r="G1022" s="8">
        <v>75741</v>
      </c>
      <c r="H1022" s="5">
        <f t="shared" si="31"/>
        <v>111728</v>
      </c>
      <c r="I1022">
        <f>IFERROR(VLOOKUP(D1022,'LEAID Match'!$A$2:$B$251,2,FALSE),"")</f>
        <v>0</v>
      </c>
    </row>
    <row r="1023" spans="1:9" x14ac:dyDescent="0.2">
      <c r="A1023">
        <f t="shared" si="30"/>
        <v>0</v>
      </c>
      <c r="B1023" s="5">
        <v>2018</v>
      </c>
      <c r="C1023" s="1">
        <v>97929</v>
      </c>
      <c r="D1023" t="s">
        <v>314</v>
      </c>
      <c r="E1023" t="s">
        <v>83</v>
      </c>
      <c r="F1023" s="8">
        <v>50930</v>
      </c>
      <c r="G1023" s="8">
        <v>78414</v>
      </c>
      <c r="H1023" s="5">
        <f t="shared" si="31"/>
        <v>129344</v>
      </c>
      <c r="I1023">
        <f>IFERROR(VLOOKUP(D1023,'LEAID Match'!$A$2:$B$251,2,FALSE),"")</f>
        <v>0</v>
      </c>
    </row>
    <row r="1024" spans="1:9" x14ac:dyDescent="0.2">
      <c r="A1024">
        <f t="shared" si="30"/>
        <v>0</v>
      </c>
      <c r="B1024" s="5">
        <v>2019</v>
      </c>
      <c r="C1024" s="1">
        <v>97929</v>
      </c>
      <c r="D1024" t="s">
        <v>314</v>
      </c>
      <c r="E1024" t="s">
        <v>314</v>
      </c>
      <c r="F1024" s="8">
        <v>73658</v>
      </c>
      <c r="G1024" s="8">
        <v>325212</v>
      </c>
      <c r="H1024" s="5">
        <f t="shared" si="31"/>
        <v>398870</v>
      </c>
      <c r="I1024">
        <f>IFERROR(VLOOKUP(D1024,'LEAID Match'!$A$2:$B$251,2,FALSE),"")</f>
        <v>0</v>
      </c>
    </row>
    <row r="1025" spans="1:9" x14ac:dyDescent="0.2">
      <c r="A1025">
        <f t="shared" si="30"/>
        <v>0</v>
      </c>
      <c r="B1025" s="5">
        <v>2020</v>
      </c>
      <c r="C1025" s="1">
        <v>97929</v>
      </c>
      <c r="D1025" t="s">
        <v>314</v>
      </c>
      <c r="E1025" t="s">
        <v>314</v>
      </c>
      <c r="F1025" s="8">
        <v>89536</v>
      </c>
      <c r="G1025" s="8">
        <v>278083</v>
      </c>
      <c r="H1025" s="5">
        <f t="shared" si="31"/>
        <v>367619</v>
      </c>
      <c r="I1025">
        <f>IFERROR(VLOOKUP(D1025,'LEAID Match'!$A$2:$B$251,2,FALSE),"")</f>
        <v>0</v>
      </c>
    </row>
    <row r="1026" spans="1:9" x14ac:dyDescent="0.2">
      <c r="A1026">
        <f t="shared" si="30"/>
        <v>0</v>
      </c>
      <c r="B1026" s="5">
        <v>2021</v>
      </c>
      <c r="C1026" s="1">
        <v>97929</v>
      </c>
      <c r="D1026" t="s">
        <v>314</v>
      </c>
      <c r="E1026" t="s">
        <v>314</v>
      </c>
      <c r="F1026" s="8">
        <v>90822</v>
      </c>
      <c r="G1026" s="8">
        <v>267729</v>
      </c>
      <c r="H1026" s="5">
        <f t="shared" si="31"/>
        <v>358551</v>
      </c>
      <c r="I1026">
        <f>IFERROR(VLOOKUP(D1026,'LEAID Match'!$A$2:$B$251,2,FALSE),"")</f>
        <v>0</v>
      </c>
    </row>
    <row r="1027" spans="1:9" x14ac:dyDescent="0.2">
      <c r="A1027">
        <f t="shared" ref="A1027:A1090" si="32">I1027</f>
        <v>0</v>
      </c>
      <c r="B1027" s="5">
        <v>2022</v>
      </c>
      <c r="C1027" s="1">
        <v>97929</v>
      </c>
      <c r="D1027" t="s">
        <v>314</v>
      </c>
      <c r="E1027" t="s">
        <v>314</v>
      </c>
      <c r="F1027" s="8">
        <v>108856.95</v>
      </c>
      <c r="G1027" s="8">
        <v>320005.02</v>
      </c>
      <c r="H1027" s="5">
        <f t="shared" ref="H1027:H1090" si="33">SUM(F1027:G1027)</f>
        <v>428861.97000000003</v>
      </c>
      <c r="I1027">
        <f>IFERROR(VLOOKUP(D1027,'LEAID Match'!$A$2:$B$251,2,FALSE),"")</f>
        <v>0</v>
      </c>
    </row>
    <row r="1028" spans="1:9" x14ac:dyDescent="0.2">
      <c r="A1028">
        <f t="shared" si="32"/>
        <v>0</v>
      </c>
      <c r="B1028" s="5">
        <v>2023</v>
      </c>
      <c r="C1028" s="1">
        <v>97929</v>
      </c>
      <c r="D1028" t="s">
        <v>314</v>
      </c>
      <c r="E1028" t="s">
        <v>314</v>
      </c>
      <c r="F1028" s="8">
        <v>173277.8</v>
      </c>
      <c r="G1028" s="8">
        <v>316903.17</v>
      </c>
      <c r="H1028" s="5">
        <f t="shared" si="33"/>
        <v>490180.97</v>
      </c>
      <c r="I1028">
        <f>IFERROR(VLOOKUP(D1028,'LEAID Match'!$A$2:$B$251,2,FALSE),"")</f>
        <v>0</v>
      </c>
    </row>
    <row r="1029" spans="1:9" x14ac:dyDescent="0.2">
      <c r="A1029">
        <f t="shared" si="32"/>
        <v>0</v>
      </c>
      <c r="B1029" s="5">
        <v>2015</v>
      </c>
      <c r="C1029" s="1">
        <v>97930</v>
      </c>
      <c r="D1029" t="s">
        <v>315</v>
      </c>
      <c r="E1029" t="s">
        <v>84</v>
      </c>
      <c r="F1029" s="8">
        <v>5491</v>
      </c>
      <c r="G1029" s="8">
        <v>68017</v>
      </c>
      <c r="H1029" s="5">
        <f t="shared" si="33"/>
        <v>73508</v>
      </c>
      <c r="I1029">
        <f>IFERROR(VLOOKUP(D1029,'LEAID Match'!$A$2:$B$251,2,FALSE),"")</f>
        <v>0</v>
      </c>
    </row>
    <row r="1030" spans="1:9" x14ac:dyDescent="0.2">
      <c r="A1030">
        <f t="shared" si="32"/>
        <v>0</v>
      </c>
      <c r="B1030" s="5">
        <v>2016</v>
      </c>
      <c r="C1030" s="1">
        <v>97930</v>
      </c>
      <c r="D1030" t="s">
        <v>315</v>
      </c>
      <c r="E1030" t="s">
        <v>84</v>
      </c>
      <c r="F1030" s="8">
        <v>9856</v>
      </c>
      <c r="G1030" s="8">
        <v>59003</v>
      </c>
      <c r="H1030" s="5">
        <f t="shared" si="33"/>
        <v>68859</v>
      </c>
      <c r="I1030">
        <f>IFERROR(VLOOKUP(D1030,'LEAID Match'!$A$2:$B$251,2,FALSE),"")</f>
        <v>0</v>
      </c>
    </row>
    <row r="1031" spans="1:9" x14ac:dyDescent="0.2">
      <c r="A1031">
        <f t="shared" si="32"/>
        <v>0</v>
      </c>
      <c r="B1031" s="5">
        <v>2017</v>
      </c>
      <c r="C1031" s="1">
        <v>97930</v>
      </c>
      <c r="D1031" t="s">
        <v>315</v>
      </c>
      <c r="E1031" t="s">
        <v>315</v>
      </c>
      <c r="F1031" s="8">
        <v>22107</v>
      </c>
      <c r="G1031" s="8">
        <v>67942</v>
      </c>
      <c r="H1031" s="5">
        <f t="shared" si="33"/>
        <v>90049</v>
      </c>
      <c r="I1031">
        <f>IFERROR(VLOOKUP(D1031,'LEAID Match'!$A$2:$B$251,2,FALSE),"")</f>
        <v>0</v>
      </c>
    </row>
    <row r="1032" spans="1:9" x14ac:dyDescent="0.2">
      <c r="A1032">
        <f t="shared" si="32"/>
        <v>0</v>
      </c>
      <c r="B1032" s="5">
        <v>2018</v>
      </c>
      <c r="C1032" s="1">
        <v>97930</v>
      </c>
      <c r="D1032" t="s">
        <v>315</v>
      </c>
      <c r="E1032" t="s">
        <v>84</v>
      </c>
      <c r="F1032" s="8">
        <v>31867</v>
      </c>
      <c r="G1032" s="8">
        <v>67566</v>
      </c>
      <c r="H1032" s="5">
        <f t="shared" si="33"/>
        <v>99433</v>
      </c>
      <c r="I1032">
        <f>IFERROR(VLOOKUP(D1032,'LEAID Match'!$A$2:$B$251,2,FALSE),"")</f>
        <v>0</v>
      </c>
    </row>
    <row r="1033" spans="1:9" x14ac:dyDescent="0.2">
      <c r="A1033">
        <f t="shared" si="32"/>
        <v>0</v>
      </c>
      <c r="B1033" s="5">
        <v>2019</v>
      </c>
      <c r="C1033" s="1">
        <v>97930</v>
      </c>
      <c r="D1033" t="s">
        <v>315</v>
      </c>
      <c r="E1033" t="s">
        <v>315</v>
      </c>
      <c r="F1033" s="8" t="s">
        <v>591</v>
      </c>
      <c r="G1033" s="8" t="s">
        <v>591</v>
      </c>
      <c r="H1033" s="5">
        <f t="shared" si="33"/>
        <v>0</v>
      </c>
      <c r="I1033">
        <f>IFERROR(VLOOKUP(D1033,'LEAID Match'!$A$2:$B$251,2,FALSE),"")</f>
        <v>0</v>
      </c>
    </row>
    <row r="1034" spans="1:9" x14ac:dyDescent="0.2">
      <c r="A1034">
        <f t="shared" si="32"/>
        <v>0</v>
      </c>
      <c r="B1034" s="5">
        <v>2020</v>
      </c>
      <c r="C1034" s="1">
        <v>97930</v>
      </c>
      <c r="D1034" t="s">
        <v>315</v>
      </c>
      <c r="E1034" t="s">
        <v>315</v>
      </c>
      <c r="F1034" s="8" t="s">
        <v>591</v>
      </c>
      <c r="G1034" s="8" t="s">
        <v>591</v>
      </c>
      <c r="H1034" s="5">
        <f t="shared" si="33"/>
        <v>0</v>
      </c>
      <c r="I1034">
        <f>IFERROR(VLOOKUP(D1034,'LEAID Match'!$A$2:$B$251,2,FALSE),"")</f>
        <v>0</v>
      </c>
    </row>
    <row r="1035" spans="1:9" x14ac:dyDescent="0.2">
      <c r="A1035">
        <f t="shared" si="32"/>
        <v>0</v>
      </c>
      <c r="B1035" s="5">
        <v>2021</v>
      </c>
      <c r="C1035" s="1">
        <v>97930</v>
      </c>
      <c r="D1035" t="s">
        <v>315</v>
      </c>
      <c r="E1035" t="s">
        <v>315</v>
      </c>
      <c r="F1035" s="8" t="s">
        <v>591</v>
      </c>
      <c r="G1035" s="8" t="s">
        <v>591</v>
      </c>
      <c r="H1035" s="5">
        <f t="shared" si="33"/>
        <v>0</v>
      </c>
      <c r="I1035">
        <f>IFERROR(VLOOKUP(D1035,'LEAID Match'!$A$2:$B$251,2,FALSE),"")</f>
        <v>0</v>
      </c>
    </row>
    <row r="1036" spans="1:9" x14ac:dyDescent="0.2">
      <c r="A1036">
        <f t="shared" si="32"/>
        <v>0</v>
      </c>
      <c r="B1036" s="5">
        <v>2022</v>
      </c>
      <c r="C1036" s="1">
        <v>97930</v>
      </c>
      <c r="D1036" t="s">
        <v>315</v>
      </c>
      <c r="E1036" t="s">
        <v>315</v>
      </c>
      <c r="F1036" s="8" t="s">
        <v>591</v>
      </c>
      <c r="G1036" s="8" t="s">
        <v>591</v>
      </c>
      <c r="H1036" s="5">
        <f t="shared" si="33"/>
        <v>0</v>
      </c>
      <c r="I1036">
        <f>IFERROR(VLOOKUP(D1036,'LEAID Match'!$A$2:$B$251,2,FALSE),"")</f>
        <v>0</v>
      </c>
    </row>
    <row r="1037" spans="1:9" x14ac:dyDescent="0.2">
      <c r="A1037">
        <f t="shared" si="32"/>
        <v>0</v>
      </c>
      <c r="B1037" s="5">
        <v>2023</v>
      </c>
      <c r="C1037" s="1">
        <v>97930</v>
      </c>
      <c r="D1037" t="s">
        <v>315</v>
      </c>
      <c r="E1037" t="s">
        <v>315</v>
      </c>
      <c r="F1037" s="8" t="s">
        <v>591</v>
      </c>
      <c r="G1037" s="8" t="s">
        <v>591</v>
      </c>
      <c r="H1037" s="5">
        <f t="shared" si="33"/>
        <v>0</v>
      </c>
      <c r="I1037">
        <f>IFERROR(VLOOKUP(D1037,'LEAID Match'!$A$2:$B$251,2,FALSE),"")</f>
        <v>0</v>
      </c>
    </row>
    <row r="1038" spans="1:9" x14ac:dyDescent="0.2">
      <c r="A1038">
        <f t="shared" si="32"/>
        <v>0</v>
      </c>
      <c r="B1038" s="5">
        <v>2015</v>
      </c>
      <c r="C1038" s="1">
        <v>91903</v>
      </c>
      <c r="D1038" t="s">
        <v>316</v>
      </c>
      <c r="E1038" t="s">
        <v>85</v>
      </c>
      <c r="F1038" s="8">
        <v>23559</v>
      </c>
      <c r="G1038" s="8">
        <v>154349</v>
      </c>
      <c r="H1038" s="5">
        <f t="shared" si="33"/>
        <v>177908</v>
      </c>
      <c r="I1038">
        <f>IFERROR(VLOOKUP(D1038,'LEAID Match'!$A$2:$B$251,2,FALSE),"")</f>
        <v>0</v>
      </c>
    </row>
    <row r="1039" spans="1:9" x14ac:dyDescent="0.2">
      <c r="A1039">
        <f t="shared" si="32"/>
        <v>0</v>
      </c>
      <c r="B1039" s="5">
        <v>2016</v>
      </c>
      <c r="C1039" s="1">
        <v>91903</v>
      </c>
      <c r="D1039" t="s">
        <v>316</v>
      </c>
      <c r="E1039" t="s">
        <v>85</v>
      </c>
      <c r="F1039" s="8">
        <v>86692</v>
      </c>
      <c r="G1039" s="8">
        <v>177622</v>
      </c>
      <c r="H1039" s="5">
        <f t="shared" si="33"/>
        <v>264314</v>
      </c>
      <c r="I1039">
        <f>IFERROR(VLOOKUP(D1039,'LEAID Match'!$A$2:$B$251,2,FALSE),"")</f>
        <v>0</v>
      </c>
    </row>
    <row r="1040" spans="1:9" x14ac:dyDescent="0.2">
      <c r="A1040">
        <f t="shared" si="32"/>
        <v>0</v>
      </c>
      <c r="B1040" s="5">
        <v>2017</v>
      </c>
      <c r="C1040" s="1">
        <v>91903</v>
      </c>
      <c r="D1040" t="s">
        <v>316</v>
      </c>
      <c r="E1040" t="s">
        <v>316</v>
      </c>
      <c r="F1040" s="8">
        <v>144153</v>
      </c>
      <c r="G1040" s="8">
        <v>184902</v>
      </c>
      <c r="H1040" s="5">
        <f t="shared" si="33"/>
        <v>329055</v>
      </c>
      <c r="I1040">
        <f>IFERROR(VLOOKUP(D1040,'LEAID Match'!$A$2:$B$251,2,FALSE),"")</f>
        <v>0</v>
      </c>
    </row>
    <row r="1041" spans="1:9" x14ac:dyDescent="0.2">
      <c r="A1041">
        <f t="shared" si="32"/>
        <v>0</v>
      </c>
      <c r="B1041" s="5">
        <v>2018</v>
      </c>
      <c r="C1041" s="1">
        <v>91903</v>
      </c>
      <c r="D1041" t="s">
        <v>316</v>
      </c>
      <c r="E1041" t="s">
        <v>85</v>
      </c>
      <c r="F1041" s="8">
        <v>194250</v>
      </c>
      <c r="G1041" s="8">
        <v>238841</v>
      </c>
      <c r="H1041" s="5">
        <f t="shared" si="33"/>
        <v>433091</v>
      </c>
      <c r="I1041">
        <f>IFERROR(VLOOKUP(D1041,'LEAID Match'!$A$2:$B$251,2,FALSE),"")</f>
        <v>0</v>
      </c>
    </row>
    <row r="1042" spans="1:9" x14ac:dyDescent="0.2">
      <c r="A1042">
        <f t="shared" si="32"/>
        <v>0</v>
      </c>
      <c r="B1042" s="5">
        <v>2019</v>
      </c>
      <c r="C1042" s="1">
        <v>91903</v>
      </c>
      <c r="D1042" t="s">
        <v>316</v>
      </c>
      <c r="E1042" t="s">
        <v>489</v>
      </c>
      <c r="F1042" s="8">
        <v>106311</v>
      </c>
      <c r="G1042" s="8">
        <v>237180</v>
      </c>
      <c r="H1042" s="5">
        <f t="shared" si="33"/>
        <v>343491</v>
      </c>
      <c r="I1042">
        <f>IFERROR(VLOOKUP(D1042,'LEAID Match'!$A$2:$B$251,2,FALSE),"")</f>
        <v>0</v>
      </c>
    </row>
    <row r="1043" spans="1:9" x14ac:dyDescent="0.2">
      <c r="A1043">
        <f t="shared" si="32"/>
        <v>0</v>
      </c>
      <c r="B1043" s="5">
        <v>2020</v>
      </c>
      <c r="C1043" s="1">
        <v>91903</v>
      </c>
      <c r="D1043" t="s">
        <v>316</v>
      </c>
      <c r="E1043" t="s">
        <v>316</v>
      </c>
      <c r="F1043" s="8">
        <v>126544</v>
      </c>
      <c r="G1043" s="8">
        <v>225790</v>
      </c>
      <c r="H1043" s="5">
        <f t="shared" si="33"/>
        <v>352334</v>
      </c>
      <c r="I1043">
        <f>IFERROR(VLOOKUP(D1043,'LEAID Match'!$A$2:$B$251,2,FALSE),"")</f>
        <v>0</v>
      </c>
    </row>
    <row r="1044" spans="1:9" x14ac:dyDescent="0.2">
      <c r="A1044">
        <f t="shared" si="32"/>
        <v>0</v>
      </c>
      <c r="B1044" s="5">
        <v>2021</v>
      </c>
      <c r="C1044" s="1">
        <v>91903</v>
      </c>
      <c r="D1044" t="s">
        <v>316</v>
      </c>
      <c r="E1044" t="s">
        <v>489</v>
      </c>
      <c r="F1044" s="8">
        <v>135935</v>
      </c>
      <c r="G1044" s="8">
        <v>227811</v>
      </c>
      <c r="H1044" s="5">
        <f t="shared" si="33"/>
        <v>363746</v>
      </c>
      <c r="I1044">
        <f>IFERROR(VLOOKUP(D1044,'LEAID Match'!$A$2:$B$251,2,FALSE),"")</f>
        <v>0</v>
      </c>
    </row>
    <row r="1045" spans="1:9" x14ac:dyDescent="0.2">
      <c r="A1045">
        <f t="shared" si="32"/>
        <v>0</v>
      </c>
      <c r="B1045" s="5">
        <v>2022</v>
      </c>
      <c r="C1045" s="1">
        <v>91903</v>
      </c>
      <c r="D1045" t="s">
        <v>316</v>
      </c>
      <c r="E1045" t="s">
        <v>489</v>
      </c>
      <c r="F1045" s="8">
        <v>151936.68</v>
      </c>
      <c r="G1045" s="8">
        <v>238086.11</v>
      </c>
      <c r="H1045" s="5">
        <f t="shared" si="33"/>
        <v>390022.79</v>
      </c>
      <c r="I1045">
        <f>IFERROR(VLOOKUP(D1045,'LEAID Match'!$A$2:$B$251,2,FALSE),"")</f>
        <v>0</v>
      </c>
    </row>
    <row r="1046" spans="1:9" x14ac:dyDescent="0.2">
      <c r="A1046">
        <f t="shared" si="32"/>
        <v>0</v>
      </c>
      <c r="B1046" s="5">
        <v>2023</v>
      </c>
      <c r="C1046" s="1">
        <v>91903</v>
      </c>
      <c r="D1046" t="s">
        <v>316</v>
      </c>
      <c r="E1046" t="s">
        <v>316</v>
      </c>
      <c r="F1046" s="8">
        <v>241688.59</v>
      </c>
      <c r="G1046" s="8">
        <v>187449.67</v>
      </c>
      <c r="H1046" s="5">
        <f t="shared" si="33"/>
        <v>429138.26</v>
      </c>
      <c r="I1046">
        <f>IFERROR(VLOOKUP(D1046,'LEAID Match'!$A$2:$B$251,2,FALSE),"")</f>
        <v>0</v>
      </c>
    </row>
    <row r="1047" spans="1:9" x14ac:dyDescent="0.2">
      <c r="A1047">
        <f t="shared" si="32"/>
        <v>0</v>
      </c>
      <c r="B1047" s="5">
        <v>2015</v>
      </c>
      <c r="C1047" s="1">
        <v>97927</v>
      </c>
      <c r="D1047" t="s">
        <v>527</v>
      </c>
      <c r="E1047" t="s">
        <v>454</v>
      </c>
      <c r="F1047" s="8">
        <v>471</v>
      </c>
      <c r="G1047" s="8">
        <v>102267</v>
      </c>
      <c r="H1047" s="5">
        <f t="shared" si="33"/>
        <v>102738</v>
      </c>
      <c r="I1047">
        <f>IFERROR(VLOOKUP(D1047,'LEAID Match'!$A$2:$B$251,2,FALSE),"")</f>
        <v>0</v>
      </c>
    </row>
    <row r="1048" spans="1:9" x14ac:dyDescent="0.2">
      <c r="A1048">
        <f t="shared" si="32"/>
        <v>0</v>
      </c>
      <c r="B1048" s="5">
        <v>2016</v>
      </c>
      <c r="C1048" s="1">
        <v>97927</v>
      </c>
      <c r="D1048" t="s">
        <v>527</v>
      </c>
      <c r="E1048" t="s">
        <v>185</v>
      </c>
      <c r="F1048" s="8">
        <v>11494</v>
      </c>
      <c r="G1048" s="8">
        <v>118966</v>
      </c>
      <c r="H1048" s="5">
        <f t="shared" si="33"/>
        <v>130460</v>
      </c>
      <c r="I1048">
        <f>IFERROR(VLOOKUP(D1048,'LEAID Match'!$A$2:$B$251,2,FALSE),"")</f>
        <v>0</v>
      </c>
    </row>
    <row r="1049" spans="1:9" x14ac:dyDescent="0.2">
      <c r="A1049">
        <f t="shared" si="32"/>
        <v>0</v>
      </c>
      <c r="B1049" s="5">
        <v>2017</v>
      </c>
      <c r="C1049" s="1">
        <v>97927</v>
      </c>
      <c r="D1049" t="s">
        <v>527</v>
      </c>
      <c r="E1049" t="s">
        <v>317</v>
      </c>
      <c r="F1049" s="8">
        <v>17367</v>
      </c>
      <c r="G1049" s="8">
        <v>111496</v>
      </c>
      <c r="H1049" s="5">
        <f t="shared" si="33"/>
        <v>128863</v>
      </c>
      <c r="I1049">
        <f>IFERROR(VLOOKUP(D1049,'LEAID Match'!$A$2:$B$251,2,FALSE),"")</f>
        <v>0</v>
      </c>
    </row>
    <row r="1050" spans="1:9" x14ac:dyDescent="0.2">
      <c r="A1050">
        <f t="shared" si="32"/>
        <v>0</v>
      </c>
      <c r="B1050" s="5">
        <v>2018</v>
      </c>
      <c r="C1050" s="1">
        <v>97927</v>
      </c>
      <c r="D1050" t="s">
        <v>527</v>
      </c>
      <c r="E1050" t="s">
        <v>454</v>
      </c>
      <c r="F1050" s="8">
        <v>28383</v>
      </c>
      <c r="G1050" s="8">
        <v>97661</v>
      </c>
      <c r="H1050" s="5">
        <f t="shared" si="33"/>
        <v>126044</v>
      </c>
      <c r="I1050">
        <f>IFERROR(VLOOKUP(D1050,'LEAID Match'!$A$2:$B$251,2,FALSE),"")</f>
        <v>0</v>
      </c>
    </row>
    <row r="1051" spans="1:9" x14ac:dyDescent="0.2">
      <c r="A1051">
        <f t="shared" si="32"/>
        <v>0</v>
      </c>
      <c r="B1051" s="5">
        <v>2019</v>
      </c>
      <c r="C1051" s="1">
        <v>97927</v>
      </c>
      <c r="D1051" t="s">
        <v>527</v>
      </c>
      <c r="E1051" t="s">
        <v>317</v>
      </c>
      <c r="F1051" s="8" t="s">
        <v>591</v>
      </c>
      <c r="G1051" s="8" t="s">
        <v>591</v>
      </c>
      <c r="H1051" s="5">
        <f t="shared" si="33"/>
        <v>0</v>
      </c>
      <c r="I1051">
        <f>IFERROR(VLOOKUP(D1051,'LEAID Match'!$A$2:$B$251,2,FALSE),"")</f>
        <v>0</v>
      </c>
    </row>
    <row r="1052" spans="1:9" x14ac:dyDescent="0.2">
      <c r="A1052">
        <f t="shared" si="32"/>
        <v>0</v>
      </c>
      <c r="B1052" s="5">
        <v>2020</v>
      </c>
      <c r="C1052" s="1">
        <v>97927</v>
      </c>
      <c r="D1052" t="s">
        <v>527</v>
      </c>
      <c r="E1052" t="s">
        <v>317</v>
      </c>
      <c r="F1052" s="8" t="s">
        <v>591</v>
      </c>
      <c r="G1052" s="8" t="s">
        <v>591</v>
      </c>
      <c r="H1052" s="5">
        <f t="shared" si="33"/>
        <v>0</v>
      </c>
      <c r="I1052">
        <f>IFERROR(VLOOKUP(D1052,'LEAID Match'!$A$2:$B$251,2,FALSE),"")</f>
        <v>0</v>
      </c>
    </row>
    <row r="1053" spans="1:9" x14ac:dyDescent="0.2">
      <c r="A1053">
        <f t="shared" si="32"/>
        <v>0</v>
      </c>
      <c r="B1053" s="5">
        <v>2021</v>
      </c>
      <c r="C1053" s="1">
        <v>97927</v>
      </c>
      <c r="D1053" t="s">
        <v>527</v>
      </c>
      <c r="E1053" t="s">
        <v>317</v>
      </c>
      <c r="F1053" s="8" t="s">
        <v>591</v>
      </c>
      <c r="G1053" s="8" t="s">
        <v>591</v>
      </c>
      <c r="H1053" s="5">
        <f t="shared" si="33"/>
        <v>0</v>
      </c>
      <c r="I1053">
        <f>IFERROR(VLOOKUP(D1053,'LEAID Match'!$A$2:$B$251,2,FALSE),"")</f>
        <v>0</v>
      </c>
    </row>
    <row r="1054" spans="1:9" x14ac:dyDescent="0.2">
      <c r="A1054">
        <f t="shared" si="32"/>
        <v>0</v>
      </c>
      <c r="B1054" s="5">
        <v>2022</v>
      </c>
      <c r="C1054" s="1">
        <v>97927</v>
      </c>
      <c r="D1054" t="s">
        <v>527</v>
      </c>
      <c r="E1054" t="s">
        <v>317</v>
      </c>
      <c r="F1054" s="8" t="s">
        <v>591</v>
      </c>
      <c r="G1054" s="8" t="s">
        <v>591</v>
      </c>
      <c r="H1054" s="5">
        <f t="shared" si="33"/>
        <v>0</v>
      </c>
      <c r="I1054">
        <f>IFERROR(VLOOKUP(D1054,'LEAID Match'!$A$2:$B$251,2,FALSE),"")</f>
        <v>0</v>
      </c>
    </row>
    <row r="1055" spans="1:9" x14ac:dyDescent="0.2">
      <c r="A1055">
        <f t="shared" si="32"/>
        <v>0</v>
      </c>
      <c r="B1055" s="5">
        <v>2023</v>
      </c>
      <c r="C1055" s="1">
        <v>97927</v>
      </c>
      <c r="D1055" t="s">
        <v>527</v>
      </c>
      <c r="E1055" t="s">
        <v>527</v>
      </c>
      <c r="F1055" s="8" t="s">
        <v>591</v>
      </c>
      <c r="G1055" s="8" t="s">
        <v>591</v>
      </c>
      <c r="H1055" s="5">
        <f t="shared" si="33"/>
        <v>0</v>
      </c>
      <c r="I1055">
        <f>IFERROR(VLOOKUP(D1055,'LEAID Match'!$A$2:$B$251,2,FALSE),"")</f>
        <v>0</v>
      </c>
    </row>
    <row r="1056" spans="1:9" x14ac:dyDescent="0.2">
      <c r="A1056">
        <f t="shared" si="32"/>
        <v>0</v>
      </c>
      <c r="B1056" s="5">
        <v>2015</v>
      </c>
      <c r="C1056" s="1">
        <v>91904</v>
      </c>
      <c r="D1056" t="s">
        <v>318</v>
      </c>
      <c r="E1056" t="s">
        <v>86</v>
      </c>
      <c r="F1056" s="8">
        <v>5308</v>
      </c>
      <c r="G1056" s="8">
        <v>79397</v>
      </c>
      <c r="H1056" s="5">
        <f t="shared" si="33"/>
        <v>84705</v>
      </c>
      <c r="I1056">
        <f>IFERROR(VLOOKUP(D1056,'LEAID Match'!$A$2:$B$251,2,FALSE),"")</f>
        <v>0</v>
      </c>
    </row>
    <row r="1057" spans="1:9" x14ac:dyDescent="0.2">
      <c r="A1057">
        <f t="shared" si="32"/>
        <v>0</v>
      </c>
      <c r="B1057" s="5">
        <v>2016</v>
      </c>
      <c r="C1057" s="1">
        <v>91904</v>
      </c>
      <c r="D1057" t="s">
        <v>318</v>
      </c>
      <c r="E1057" t="s">
        <v>86</v>
      </c>
      <c r="F1057" s="8">
        <v>26460</v>
      </c>
      <c r="G1057" s="8">
        <v>59944</v>
      </c>
      <c r="H1057" s="5">
        <f t="shared" si="33"/>
        <v>86404</v>
      </c>
      <c r="I1057">
        <f>IFERROR(VLOOKUP(D1057,'LEAID Match'!$A$2:$B$251,2,FALSE),"")</f>
        <v>0</v>
      </c>
    </row>
    <row r="1058" spans="1:9" x14ac:dyDescent="0.2">
      <c r="A1058">
        <f t="shared" si="32"/>
        <v>0</v>
      </c>
      <c r="B1058" s="5">
        <v>2017</v>
      </c>
      <c r="C1058" s="1">
        <v>91904</v>
      </c>
      <c r="D1058" t="s">
        <v>318</v>
      </c>
      <c r="E1058" t="s">
        <v>318</v>
      </c>
      <c r="F1058" s="8">
        <v>63217</v>
      </c>
      <c r="G1058" s="8">
        <v>97807</v>
      </c>
      <c r="H1058" s="5">
        <f t="shared" si="33"/>
        <v>161024</v>
      </c>
      <c r="I1058">
        <f>IFERROR(VLOOKUP(D1058,'LEAID Match'!$A$2:$B$251,2,FALSE),"")</f>
        <v>0</v>
      </c>
    </row>
    <row r="1059" spans="1:9" x14ac:dyDescent="0.2">
      <c r="A1059">
        <f t="shared" si="32"/>
        <v>0</v>
      </c>
      <c r="B1059" s="5">
        <v>2018</v>
      </c>
      <c r="C1059" s="1">
        <v>91904</v>
      </c>
      <c r="D1059" t="s">
        <v>318</v>
      </c>
      <c r="E1059" t="s">
        <v>86</v>
      </c>
      <c r="F1059" s="8">
        <v>87824</v>
      </c>
      <c r="G1059" s="8">
        <v>111794</v>
      </c>
      <c r="H1059" s="5">
        <f t="shared" si="33"/>
        <v>199618</v>
      </c>
      <c r="I1059">
        <f>IFERROR(VLOOKUP(D1059,'LEAID Match'!$A$2:$B$251,2,FALSE),"")</f>
        <v>0</v>
      </c>
    </row>
    <row r="1060" spans="1:9" x14ac:dyDescent="0.2">
      <c r="A1060">
        <f t="shared" si="32"/>
        <v>0</v>
      </c>
      <c r="B1060" s="5">
        <v>2019</v>
      </c>
      <c r="C1060" s="1">
        <v>91904</v>
      </c>
      <c r="D1060" t="s">
        <v>318</v>
      </c>
      <c r="E1060" t="s">
        <v>86</v>
      </c>
      <c r="F1060" s="8">
        <v>41900</v>
      </c>
      <c r="G1060" s="8">
        <v>144382</v>
      </c>
      <c r="H1060" s="5">
        <f t="shared" si="33"/>
        <v>186282</v>
      </c>
      <c r="I1060">
        <f>IFERROR(VLOOKUP(D1060,'LEAID Match'!$A$2:$B$251,2,FALSE),"")</f>
        <v>0</v>
      </c>
    </row>
    <row r="1061" spans="1:9" x14ac:dyDescent="0.2">
      <c r="A1061">
        <f t="shared" si="32"/>
        <v>0</v>
      </c>
      <c r="B1061" s="5">
        <v>2020</v>
      </c>
      <c r="C1061" s="1">
        <v>91904</v>
      </c>
      <c r="D1061" t="s">
        <v>318</v>
      </c>
      <c r="E1061" t="s">
        <v>318</v>
      </c>
      <c r="F1061" s="8">
        <v>23188</v>
      </c>
      <c r="G1061" s="8">
        <v>52976</v>
      </c>
      <c r="H1061" s="5">
        <f t="shared" si="33"/>
        <v>76164</v>
      </c>
      <c r="I1061">
        <f>IFERROR(VLOOKUP(D1061,'LEAID Match'!$A$2:$B$251,2,FALSE),"")</f>
        <v>0</v>
      </c>
    </row>
    <row r="1062" spans="1:9" x14ac:dyDescent="0.2">
      <c r="A1062">
        <f t="shared" si="32"/>
        <v>0</v>
      </c>
      <c r="B1062" s="5">
        <v>2021</v>
      </c>
      <c r="C1062" s="1">
        <v>91904</v>
      </c>
      <c r="D1062" t="s">
        <v>318</v>
      </c>
      <c r="E1062" t="s">
        <v>86</v>
      </c>
      <c r="F1062" s="8">
        <v>15382</v>
      </c>
      <c r="G1062" s="8">
        <v>44515</v>
      </c>
      <c r="H1062" s="5">
        <f t="shared" si="33"/>
        <v>59897</v>
      </c>
      <c r="I1062">
        <f>IFERROR(VLOOKUP(D1062,'LEAID Match'!$A$2:$B$251,2,FALSE),"")</f>
        <v>0</v>
      </c>
    </row>
    <row r="1063" spans="1:9" x14ac:dyDescent="0.2">
      <c r="A1063">
        <f t="shared" si="32"/>
        <v>0</v>
      </c>
      <c r="B1063" s="5">
        <v>2022</v>
      </c>
      <c r="C1063" s="1">
        <v>91904</v>
      </c>
      <c r="D1063" t="s">
        <v>318</v>
      </c>
      <c r="E1063" t="s">
        <v>86</v>
      </c>
      <c r="F1063" s="8">
        <v>17090.64</v>
      </c>
      <c r="G1063" s="8">
        <v>37021.019999999997</v>
      </c>
      <c r="H1063" s="5">
        <f t="shared" si="33"/>
        <v>54111.659999999996</v>
      </c>
      <c r="I1063">
        <f>IFERROR(VLOOKUP(D1063,'LEAID Match'!$A$2:$B$251,2,FALSE),"")</f>
        <v>0</v>
      </c>
    </row>
    <row r="1064" spans="1:9" x14ac:dyDescent="0.2">
      <c r="A1064">
        <f t="shared" si="32"/>
        <v>0</v>
      </c>
      <c r="B1064" s="5">
        <v>2023</v>
      </c>
      <c r="C1064" s="1">
        <v>91904</v>
      </c>
      <c r="D1064" t="s">
        <v>318</v>
      </c>
      <c r="E1064" t="s">
        <v>318</v>
      </c>
      <c r="F1064" s="8">
        <v>25208.39</v>
      </c>
      <c r="G1064" s="8">
        <v>46308.3</v>
      </c>
      <c r="H1064" s="5">
        <f t="shared" si="33"/>
        <v>71516.69</v>
      </c>
      <c r="I1064">
        <f>IFERROR(VLOOKUP(D1064,'LEAID Match'!$A$2:$B$251,2,FALSE),"")</f>
        <v>0</v>
      </c>
    </row>
    <row r="1065" spans="1:9" x14ac:dyDescent="0.2">
      <c r="A1065">
        <f t="shared" si="32"/>
        <v>4702220</v>
      </c>
      <c r="B1065" s="5">
        <v>2015</v>
      </c>
      <c r="C1065" s="1">
        <v>99047</v>
      </c>
      <c r="D1065" t="s">
        <v>319</v>
      </c>
      <c r="E1065" t="s">
        <v>87</v>
      </c>
      <c r="F1065" s="8">
        <v>579452</v>
      </c>
      <c r="G1065" s="8">
        <v>21188757</v>
      </c>
      <c r="H1065" s="5">
        <f t="shared" si="33"/>
        <v>21768209</v>
      </c>
      <c r="I1065">
        <f>IFERROR(VLOOKUP(D1065,'LEAID Match'!$A$2:$B$251,2,FALSE),"")</f>
        <v>4702220</v>
      </c>
    </row>
    <row r="1066" spans="1:9" x14ac:dyDescent="0.2">
      <c r="A1066">
        <f t="shared" si="32"/>
        <v>4702220</v>
      </c>
      <c r="B1066" s="5">
        <v>2016</v>
      </c>
      <c r="C1066" s="1">
        <v>99047</v>
      </c>
      <c r="D1066" t="s">
        <v>319</v>
      </c>
      <c r="E1066" t="s">
        <v>87</v>
      </c>
      <c r="F1066" s="8">
        <v>1145556</v>
      </c>
      <c r="G1066" s="8">
        <v>20228083</v>
      </c>
      <c r="H1066" s="5">
        <f t="shared" si="33"/>
        <v>21373639</v>
      </c>
      <c r="I1066">
        <f>IFERROR(VLOOKUP(D1066,'LEAID Match'!$A$2:$B$251,2,FALSE),"")</f>
        <v>4702220</v>
      </c>
    </row>
    <row r="1067" spans="1:9" x14ac:dyDescent="0.2">
      <c r="A1067">
        <f t="shared" si="32"/>
        <v>4702220</v>
      </c>
      <c r="B1067" s="5">
        <v>2017</v>
      </c>
      <c r="C1067" s="1">
        <v>99047</v>
      </c>
      <c r="D1067" t="s">
        <v>319</v>
      </c>
      <c r="E1067" t="s">
        <v>319</v>
      </c>
      <c r="F1067" s="8">
        <v>1637711</v>
      </c>
      <c r="G1067" s="8">
        <v>19524684</v>
      </c>
      <c r="H1067" s="5">
        <f t="shared" si="33"/>
        <v>21162395</v>
      </c>
      <c r="I1067">
        <f>IFERROR(VLOOKUP(D1067,'LEAID Match'!$A$2:$B$251,2,FALSE),"")</f>
        <v>4702220</v>
      </c>
    </row>
    <row r="1068" spans="1:9" x14ac:dyDescent="0.2">
      <c r="A1068">
        <f t="shared" si="32"/>
        <v>4702220</v>
      </c>
      <c r="B1068" s="5">
        <v>2018</v>
      </c>
      <c r="C1068" s="1">
        <v>99047</v>
      </c>
      <c r="D1068" t="s">
        <v>319</v>
      </c>
      <c r="E1068" t="s">
        <v>87</v>
      </c>
      <c r="F1068" s="8">
        <v>2453244</v>
      </c>
      <c r="G1068" s="8">
        <v>21974345</v>
      </c>
      <c r="H1068" s="5">
        <f t="shared" si="33"/>
        <v>24427589</v>
      </c>
      <c r="I1068">
        <f>IFERROR(VLOOKUP(D1068,'LEAID Match'!$A$2:$B$251,2,FALSE),"")</f>
        <v>4702220</v>
      </c>
    </row>
    <row r="1069" spans="1:9" x14ac:dyDescent="0.2">
      <c r="A1069">
        <f t="shared" si="32"/>
        <v>4702220</v>
      </c>
      <c r="B1069" s="5">
        <v>2019</v>
      </c>
      <c r="C1069" s="1">
        <v>99047</v>
      </c>
      <c r="D1069" t="s">
        <v>319</v>
      </c>
      <c r="E1069" t="s">
        <v>319</v>
      </c>
      <c r="F1069" s="8">
        <v>1179432</v>
      </c>
      <c r="G1069" s="8">
        <v>19352389</v>
      </c>
      <c r="H1069" s="5">
        <f t="shared" si="33"/>
        <v>20531821</v>
      </c>
      <c r="I1069">
        <f>IFERROR(VLOOKUP(D1069,'LEAID Match'!$A$2:$B$251,2,FALSE),"")</f>
        <v>4702220</v>
      </c>
    </row>
    <row r="1070" spans="1:9" x14ac:dyDescent="0.2">
      <c r="A1070">
        <f t="shared" si="32"/>
        <v>4702220</v>
      </c>
      <c r="B1070" s="5">
        <v>2020</v>
      </c>
      <c r="C1070" s="1">
        <v>99047</v>
      </c>
      <c r="D1070" t="s">
        <v>319</v>
      </c>
      <c r="E1070" t="s">
        <v>319</v>
      </c>
      <c r="F1070" s="8">
        <v>1622856</v>
      </c>
      <c r="G1070" s="8">
        <v>21374430</v>
      </c>
      <c r="H1070" s="5">
        <f t="shared" si="33"/>
        <v>22997286</v>
      </c>
      <c r="I1070">
        <f>IFERROR(VLOOKUP(D1070,'LEAID Match'!$A$2:$B$251,2,FALSE),"")</f>
        <v>4702220</v>
      </c>
    </row>
    <row r="1071" spans="1:9" x14ac:dyDescent="0.2">
      <c r="A1071">
        <f t="shared" si="32"/>
        <v>4702220</v>
      </c>
      <c r="B1071" s="5">
        <v>2021</v>
      </c>
      <c r="C1071" s="1">
        <v>99047</v>
      </c>
      <c r="D1071" t="s">
        <v>319</v>
      </c>
      <c r="E1071" t="s">
        <v>319</v>
      </c>
      <c r="F1071" s="8">
        <v>1881559</v>
      </c>
      <c r="G1071" s="8">
        <v>20245288</v>
      </c>
      <c r="H1071" s="5">
        <f t="shared" si="33"/>
        <v>22126847</v>
      </c>
      <c r="I1071">
        <f>IFERROR(VLOOKUP(D1071,'LEAID Match'!$A$2:$B$251,2,FALSE),"")</f>
        <v>4702220</v>
      </c>
    </row>
    <row r="1072" spans="1:9" x14ac:dyDescent="0.2">
      <c r="A1072">
        <f t="shared" si="32"/>
        <v>4702220</v>
      </c>
      <c r="B1072" s="5">
        <v>2022</v>
      </c>
      <c r="C1072" s="1">
        <v>99047</v>
      </c>
      <c r="D1072" t="s">
        <v>319</v>
      </c>
      <c r="E1072" t="s">
        <v>319</v>
      </c>
      <c r="F1072" s="8">
        <v>2148542.1</v>
      </c>
      <c r="G1072" s="8">
        <v>20659471.5</v>
      </c>
      <c r="H1072" s="5">
        <f t="shared" si="33"/>
        <v>22808013.600000001</v>
      </c>
      <c r="I1072">
        <f>IFERROR(VLOOKUP(D1072,'LEAID Match'!$A$2:$B$251,2,FALSE),"")</f>
        <v>4702220</v>
      </c>
    </row>
    <row r="1073" spans="1:9" x14ac:dyDescent="0.2">
      <c r="A1073">
        <f t="shared" si="32"/>
        <v>4702220</v>
      </c>
      <c r="B1073" s="5">
        <v>2023</v>
      </c>
      <c r="C1073" s="1">
        <v>99047</v>
      </c>
      <c r="D1073" t="s">
        <v>319</v>
      </c>
      <c r="E1073" t="s">
        <v>319</v>
      </c>
      <c r="F1073" s="8">
        <v>3682844.17</v>
      </c>
      <c r="G1073" s="8">
        <v>17254932.579999998</v>
      </c>
      <c r="H1073" s="5">
        <f t="shared" si="33"/>
        <v>20937776.75</v>
      </c>
      <c r="I1073">
        <f>IFERROR(VLOOKUP(D1073,'LEAID Match'!$A$2:$B$251,2,FALSE),"")</f>
        <v>4702220</v>
      </c>
    </row>
    <row r="1074" spans="1:9" x14ac:dyDescent="0.2">
      <c r="A1074">
        <f t="shared" si="32"/>
        <v>4702280</v>
      </c>
      <c r="B1074" s="5">
        <v>2015</v>
      </c>
      <c r="C1074" s="1">
        <v>99048</v>
      </c>
      <c r="D1074" t="s">
        <v>320</v>
      </c>
      <c r="E1074" t="s">
        <v>88</v>
      </c>
      <c r="F1074" s="8">
        <v>9633</v>
      </c>
      <c r="G1074" s="8">
        <v>355362</v>
      </c>
      <c r="H1074" s="5">
        <f t="shared" si="33"/>
        <v>364995</v>
      </c>
      <c r="I1074">
        <f>IFERROR(VLOOKUP(D1074,'LEAID Match'!$A$2:$B$251,2,FALSE),"")</f>
        <v>4702280</v>
      </c>
    </row>
    <row r="1075" spans="1:9" x14ac:dyDescent="0.2">
      <c r="A1075">
        <f t="shared" si="32"/>
        <v>4702280</v>
      </c>
      <c r="B1075" s="5">
        <v>2016</v>
      </c>
      <c r="C1075" s="1">
        <v>99048</v>
      </c>
      <c r="D1075" t="s">
        <v>320</v>
      </c>
      <c r="E1075" t="s">
        <v>88</v>
      </c>
      <c r="F1075" s="8">
        <v>1824</v>
      </c>
      <c r="G1075" s="8">
        <v>345132</v>
      </c>
      <c r="H1075" s="5">
        <f t="shared" si="33"/>
        <v>346956</v>
      </c>
      <c r="I1075">
        <f>IFERROR(VLOOKUP(D1075,'LEAID Match'!$A$2:$B$251,2,FALSE),"")</f>
        <v>4702280</v>
      </c>
    </row>
    <row r="1076" spans="1:9" x14ac:dyDescent="0.2">
      <c r="A1076">
        <f t="shared" si="32"/>
        <v>4702280</v>
      </c>
      <c r="B1076" s="5">
        <v>2017</v>
      </c>
      <c r="C1076" s="1">
        <v>99048</v>
      </c>
      <c r="D1076" t="s">
        <v>320</v>
      </c>
      <c r="E1076" t="s">
        <v>320</v>
      </c>
      <c r="F1076" s="8" t="s">
        <v>591</v>
      </c>
      <c r="G1076" s="8">
        <v>297007</v>
      </c>
      <c r="H1076" s="5">
        <f t="shared" si="33"/>
        <v>297007</v>
      </c>
      <c r="I1076">
        <f>IFERROR(VLOOKUP(D1076,'LEAID Match'!$A$2:$B$251,2,FALSE),"")</f>
        <v>4702280</v>
      </c>
    </row>
    <row r="1077" spans="1:9" x14ac:dyDescent="0.2">
      <c r="A1077">
        <f t="shared" si="32"/>
        <v>4702280</v>
      </c>
      <c r="B1077" s="5">
        <v>2018</v>
      </c>
      <c r="C1077" s="1">
        <v>99048</v>
      </c>
      <c r="D1077" t="s">
        <v>320</v>
      </c>
      <c r="E1077" t="s">
        <v>88</v>
      </c>
      <c r="F1077" s="8">
        <v>39679</v>
      </c>
      <c r="G1077" s="8">
        <v>293277</v>
      </c>
      <c r="H1077" s="5">
        <f t="shared" si="33"/>
        <v>332956</v>
      </c>
      <c r="I1077">
        <f>IFERROR(VLOOKUP(D1077,'LEAID Match'!$A$2:$B$251,2,FALSE),"")</f>
        <v>4702280</v>
      </c>
    </row>
    <row r="1078" spans="1:9" x14ac:dyDescent="0.2">
      <c r="A1078">
        <f t="shared" si="32"/>
        <v>4702280</v>
      </c>
      <c r="B1078" s="5">
        <v>2019</v>
      </c>
      <c r="C1078" s="1">
        <v>99048</v>
      </c>
      <c r="D1078" t="s">
        <v>320</v>
      </c>
      <c r="E1078" t="s">
        <v>320</v>
      </c>
      <c r="F1078" s="8">
        <v>25554</v>
      </c>
      <c r="G1078" s="8">
        <v>308531</v>
      </c>
      <c r="H1078" s="5">
        <f t="shared" si="33"/>
        <v>334085</v>
      </c>
      <c r="I1078">
        <f>IFERROR(VLOOKUP(D1078,'LEAID Match'!$A$2:$B$251,2,FALSE),"")</f>
        <v>4702280</v>
      </c>
    </row>
    <row r="1079" spans="1:9" x14ac:dyDescent="0.2">
      <c r="A1079">
        <f t="shared" si="32"/>
        <v>4702280</v>
      </c>
      <c r="B1079" s="5">
        <v>2020</v>
      </c>
      <c r="C1079" s="1">
        <v>99048</v>
      </c>
      <c r="D1079" t="s">
        <v>320</v>
      </c>
      <c r="E1079" t="s">
        <v>320</v>
      </c>
      <c r="F1079" s="8">
        <v>26406</v>
      </c>
      <c r="G1079" s="8">
        <v>313126</v>
      </c>
      <c r="H1079" s="5">
        <f t="shared" si="33"/>
        <v>339532</v>
      </c>
      <c r="I1079">
        <f>IFERROR(VLOOKUP(D1079,'LEAID Match'!$A$2:$B$251,2,FALSE),"")</f>
        <v>4702280</v>
      </c>
    </row>
    <row r="1080" spans="1:9" x14ac:dyDescent="0.2">
      <c r="A1080">
        <f t="shared" si="32"/>
        <v>4702280</v>
      </c>
      <c r="B1080" s="5">
        <v>2021</v>
      </c>
      <c r="C1080" s="1">
        <v>99048</v>
      </c>
      <c r="D1080" t="s">
        <v>320</v>
      </c>
      <c r="E1080" t="s">
        <v>320</v>
      </c>
      <c r="F1080" s="8">
        <v>33559</v>
      </c>
      <c r="G1080" s="8">
        <v>306403</v>
      </c>
      <c r="H1080" s="5">
        <f t="shared" si="33"/>
        <v>339962</v>
      </c>
      <c r="I1080">
        <f>IFERROR(VLOOKUP(D1080,'LEAID Match'!$A$2:$B$251,2,FALSE),"")</f>
        <v>4702280</v>
      </c>
    </row>
    <row r="1081" spans="1:9" x14ac:dyDescent="0.2">
      <c r="A1081">
        <f t="shared" si="32"/>
        <v>4702280</v>
      </c>
      <c r="B1081" s="5">
        <v>2022</v>
      </c>
      <c r="C1081" s="1">
        <v>99048</v>
      </c>
      <c r="D1081" t="s">
        <v>320</v>
      </c>
      <c r="E1081" t="s">
        <v>320</v>
      </c>
      <c r="F1081" s="8">
        <v>36456.720000000001</v>
      </c>
      <c r="G1081" s="8">
        <v>295864.19</v>
      </c>
      <c r="H1081" s="5">
        <f t="shared" si="33"/>
        <v>332320.91000000003</v>
      </c>
      <c r="I1081">
        <f>IFERROR(VLOOKUP(D1081,'LEAID Match'!$A$2:$B$251,2,FALSE),"")</f>
        <v>4702280</v>
      </c>
    </row>
    <row r="1082" spans="1:9" x14ac:dyDescent="0.2">
      <c r="A1082">
        <f t="shared" si="32"/>
        <v>4702280</v>
      </c>
      <c r="B1082" s="5">
        <v>2023</v>
      </c>
      <c r="C1082" s="1">
        <v>99048</v>
      </c>
      <c r="D1082" t="s">
        <v>320</v>
      </c>
      <c r="E1082" t="s">
        <v>320</v>
      </c>
      <c r="F1082" s="8">
        <v>54580.45</v>
      </c>
      <c r="G1082" s="8">
        <v>262071.61</v>
      </c>
      <c r="H1082" s="5">
        <f t="shared" si="33"/>
        <v>316652.06</v>
      </c>
      <c r="I1082">
        <f>IFERROR(VLOOKUP(D1082,'LEAID Match'!$A$2:$B$251,2,FALSE),"")</f>
        <v>4702280</v>
      </c>
    </row>
    <row r="1083" spans="1:9" x14ac:dyDescent="0.2">
      <c r="A1083">
        <f t="shared" si="32"/>
        <v>4700154</v>
      </c>
      <c r="B1083" s="5">
        <v>2015</v>
      </c>
      <c r="C1083" s="1">
        <v>97905</v>
      </c>
      <c r="D1083" t="s">
        <v>321</v>
      </c>
      <c r="E1083" t="s">
        <v>89</v>
      </c>
      <c r="F1083" s="8">
        <v>4771</v>
      </c>
      <c r="G1083" s="8">
        <v>307490</v>
      </c>
      <c r="H1083" s="5">
        <f t="shared" si="33"/>
        <v>312261</v>
      </c>
      <c r="I1083">
        <f>IFERROR(VLOOKUP(D1083,'LEAID Match'!$A$2:$B$251,2,FALSE),"")</f>
        <v>4700154</v>
      </c>
    </row>
    <row r="1084" spans="1:9" x14ac:dyDescent="0.2">
      <c r="A1084">
        <f t="shared" si="32"/>
        <v>4700154</v>
      </c>
      <c r="B1084" s="5">
        <v>2016</v>
      </c>
      <c r="C1084" s="1">
        <v>97905</v>
      </c>
      <c r="D1084" t="s">
        <v>321</v>
      </c>
      <c r="E1084" t="s">
        <v>89</v>
      </c>
      <c r="F1084" s="8">
        <v>10408</v>
      </c>
      <c r="G1084" s="8">
        <v>330648</v>
      </c>
      <c r="H1084" s="5">
        <f t="shared" si="33"/>
        <v>341056</v>
      </c>
      <c r="I1084">
        <f>IFERROR(VLOOKUP(D1084,'LEAID Match'!$A$2:$B$251,2,FALSE),"")</f>
        <v>4700154</v>
      </c>
    </row>
    <row r="1085" spans="1:9" x14ac:dyDescent="0.2">
      <c r="A1085">
        <f t="shared" si="32"/>
        <v>4700154</v>
      </c>
      <c r="B1085" s="5">
        <v>2017</v>
      </c>
      <c r="C1085" s="1">
        <v>97905</v>
      </c>
      <c r="D1085" t="s">
        <v>321</v>
      </c>
      <c r="E1085" t="s">
        <v>321</v>
      </c>
      <c r="F1085" s="8">
        <v>14502</v>
      </c>
      <c r="G1085" s="8">
        <v>356694</v>
      </c>
      <c r="H1085" s="5">
        <f t="shared" si="33"/>
        <v>371196</v>
      </c>
      <c r="I1085">
        <f>IFERROR(VLOOKUP(D1085,'LEAID Match'!$A$2:$B$251,2,FALSE),"")</f>
        <v>4700154</v>
      </c>
    </row>
    <row r="1086" spans="1:9" x14ac:dyDescent="0.2">
      <c r="A1086">
        <f t="shared" si="32"/>
        <v>4700154</v>
      </c>
      <c r="B1086" s="5">
        <v>2018</v>
      </c>
      <c r="C1086" s="1">
        <v>97905</v>
      </c>
      <c r="D1086" t="s">
        <v>321</v>
      </c>
      <c r="E1086" t="s">
        <v>89</v>
      </c>
      <c r="F1086" s="8">
        <v>55430</v>
      </c>
      <c r="G1086" s="8">
        <v>503691</v>
      </c>
      <c r="H1086" s="5">
        <f t="shared" si="33"/>
        <v>559121</v>
      </c>
      <c r="I1086">
        <f>IFERROR(VLOOKUP(D1086,'LEAID Match'!$A$2:$B$251,2,FALSE),"")</f>
        <v>4700154</v>
      </c>
    </row>
    <row r="1087" spans="1:9" x14ac:dyDescent="0.2">
      <c r="A1087">
        <f t="shared" si="32"/>
        <v>4700154</v>
      </c>
      <c r="B1087" s="5">
        <v>2019</v>
      </c>
      <c r="C1087" s="1">
        <v>97905</v>
      </c>
      <c r="D1087" t="s">
        <v>321</v>
      </c>
      <c r="E1087" t="s">
        <v>321</v>
      </c>
      <c r="F1087" s="8">
        <v>29729</v>
      </c>
      <c r="G1087" s="8">
        <v>644686</v>
      </c>
      <c r="H1087" s="5">
        <f t="shared" si="33"/>
        <v>674415</v>
      </c>
      <c r="I1087">
        <f>IFERROR(VLOOKUP(D1087,'LEAID Match'!$A$2:$B$251,2,FALSE),"")</f>
        <v>4700154</v>
      </c>
    </row>
    <row r="1088" spans="1:9" x14ac:dyDescent="0.2">
      <c r="A1088">
        <f t="shared" si="32"/>
        <v>4700154</v>
      </c>
      <c r="B1088" s="5">
        <v>2020</v>
      </c>
      <c r="C1088" s="1">
        <v>97905</v>
      </c>
      <c r="D1088" t="s">
        <v>321</v>
      </c>
      <c r="E1088" t="s">
        <v>321</v>
      </c>
      <c r="F1088" s="8">
        <v>40661</v>
      </c>
      <c r="G1088" s="8">
        <v>706479</v>
      </c>
      <c r="H1088" s="5">
        <f t="shared" si="33"/>
        <v>747140</v>
      </c>
      <c r="I1088">
        <f>IFERROR(VLOOKUP(D1088,'LEAID Match'!$A$2:$B$251,2,FALSE),"")</f>
        <v>4700154</v>
      </c>
    </row>
    <row r="1089" spans="1:9" x14ac:dyDescent="0.2">
      <c r="A1089">
        <f t="shared" si="32"/>
        <v>4700154</v>
      </c>
      <c r="B1089" s="5">
        <v>2021</v>
      </c>
      <c r="C1089" s="1">
        <v>97905</v>
      </c>
      <c r="D1089" t="s">
        <v>321</v>
      </c>
      <c r="E1089" t="s">
        <v>321</v>
      </c>
      <c r="F1089" s="8">
        <v>54820</v>
      </c>
      <c r="G1089" s="8">
        <v>690477</v>
      </c>
      <c r="H1089" s="5">
        <f t="shared" si="33"/>
        <v>745297</v>
      </c>
      <c r="I1089">
        <f>IFERROR(VLOOKUP(D1089,'LEAID Match'!$A$2:$B$251,2,FALSE),"")</f>
        <v>4700154</v>
      </c>
    </row>
    <row r="1090" spans="1:9" x14ac:dyDescent="0.2">
      <c r="A1090">
        <f t="shared" si="32"/>
        <v>4700154</v>
      </c>
      <c r="B1090" s="5">
        <v>2022</v>
      </c>
      <c r="C1090" s="1">
        <v>97905</v>
      </c>
      <c r="D1090" t="s">
        <v>321</v>
      </c>
      <c r="E1090" t="s">
        <v>321</v>
      </c>
      <c r="F1090" s="8">
        <v>61646.49</v>
      </c>
      <c r="G1090" s="8">
        <v>730561.22</v>
      </c>
      <c r="H1090" s="5">
        <f t="shared" si="33"/>
        <v>792207.71</v>
      </c>
      <c r="I1090">
        <f>IFERROR(VLOOKUP(D1090,'LEAID Match'!$A$2:$B$251,2,FALSE),"")</f>
        <v>4700154</v>
      </c>
    </row>
    <row r="1091" spans="1:9" x14ac:dyDescent="0.2">
      <c r="A1091">
        <f t="shared" ref="A1091:A1154" si="34">I1091</f>
        <v>4700154</v>
      </c>
      <c r="B1091" s="5">
        <v>2023</v>
      </c>
      <c r="C1091" s="1">
        <v>97905</v>
      </c>
      <c r="D1091" t="s">
        <v>321</v>
      </c>
      <c r="E1091" t="s">
        <v>321</v>
      </c>
      <c r="F1091" s="8">
        <v>108123.27</v>
      </c>
      <c r="G1091" s="8">
        <v>697385.29</v>
      </c>
      <c r="H1091" s="5">
        <f t="shared" ref="H1091:H1154" si="35">SUM(F1091:G1091)</f>
        <v>805508.56</v>
      </c>
      <c r="I1091">
        <f>IFERROR(VLOOKUP(D1091,'LEAID Match'!$A$2:$B$251,2,FALSE),"")</f>
        <v>4700154</v>
      </c>
    </row>
    <row r="1092" spans="1:9" x14ac:dyDescent="0.2">
      <c r="A1092">
        <f t="shared" si="34"/>
        <v>4702310</v>
      </c>
      <c r="B1092" s="5">
        <v>2015</v>
      </c>
      <c r="C1092" s="1">
        <v>99049</v>
      </c>
      <c r="D1092" t="s">
        <v>322</v>
      </c>
      <c r="E1092" t="s">
        <v>90</v>
      </c>
      <c r="F1092" s="8">
        <v>37856</v>
      </c>
      <c r="G1092" s="8">
        <v>1455379</v>
      </c>
      <c r="H1092" s="5">
        <f t="shared" si="35"/>
        <v>1493235</v>
      </c>
      <c r="I1092">
        <f>IFERROR(VLOOKUP(D1092,'LEAID Match'!$A$2:$B$251,2,FALSE),"")</f>
        <v>4702310</v>
      </c>
    </row>
    <row r="1093" spans="1:9" x14ac:dyDescent="0.2">
      <c r="A1093">
        <f t="shared" si="34"/>
        <v>4702310</v>
      </c>
      <c r="B1093" s="5">
        <v>2016</v>
      </c>
      <c r="C1093" s="1">
        <v>99049</v>
      </c>
      <c r="D1093" t="s">
        <v>322</v>
      </c>
      <c r="E1093" t="s">
        <v>90</v>
      </c>
      <c r="F1093" s="8">
        <v>79683</v>
      </c>
      <c r="G1093" s="8">
        <v>1360334</v>
      </c>
      <c r="H1093" s="5">
        <f t="shared" si="35"/>
        <v>1440017</v>
      </c>
      <c r="I1093">
        <f>IFERROR(VLOOKUP(D1093,'LEAID Match'!$A$2:$B$251,2,FALSE),"")</f>
        <v>4702310</v>
      </c>
    </row>
    <row r="1094" spans="1:9" x14ac:dyDescent="0.2">
      <c r="A1094">
        <f t="shared" si="34"/>
        <v>4702310</v>
      </c>
      <c r="B1094" s="5">
        <v>2017</v>
      </c>
      <c r="C1094" s="1">
        <v>99049</v>
      </c>
      <c r="D1094" t="s">
        <v>322</v>
      </c>
      <c r="E1094" t="s">
        <v>322</v>
      </c>
      <c r="F1094" s="8">
        <v>111721</v>
      </c>
      <c r="G1094" s="8">
        <v>1307428</v>
      </c>
      <c r="H1094" s="5">
        <f t="shared" si="35"/>
        <v>1419149</v>
      </c>
      <c r="I1094">
        <f>IFERROR(VLOOKUP(D1094,'LEAID Match'!$A$2:$B$251,2,FALSE),"")</f>
        <v>4702310</v>
      </c>
    </row>
    <row r="1095" spans="1:9" x14ac:dyDescent="0.2">
      <c r="A1095">
        <f t="shared" si="34"/>
        <v>4702310</v>
      </c>
      <c r="B1095" s="5">
        <v>2018</v>
      </c>
      <c r="C1095" s="1">
        <v>99049</v>
      </c>
      <c r="D1095" t="s">
        <v>322</v>
      </c>
      <c r="E1095" t="s">
        <v>90</v>
      </c>
      <c r="F1095" s="8">
        <v>130816</v>
      </c>
      <c r="G1095" s="8">
        <v>1263092</v>
      </c>
      <c r="H1095" s="5">
        <f t="shared" si="35"/>
        <v>1393908</v>
      </c>
      <c r="I1095">
        <f>IFERROR(VLOOKUP(D1095,'LEAID Match'!$A$2:$B$251,2,FALSE),"")</f>
        <v>4702310</v>
      </c>
    </row>
    <row r="1096" spans="1:9" x14ac:dyDescent="0.2">
      <c r="A1096">
        <f t="shared" si="34"/>
        <v>4702310</v>
      </c>
      <c r="B1096" s="5">
        <v>2019</v>
      </c>
      <c r="C1096" s="1">
        <v>99049</v>
      </c>
      <c r="D1096" t="s">
        <v>322</v>
      </c>
      <c r="E1096" t="s">
        <v>322</v>
      </c>
      <c r="F1096" s="8">
        <v>85300</v>
      </c>
      <c r="G1096" s="8">
        <v>1382507</v>
      </c>
      <c r="H1096" s="5">
        <f t="shared" si="35"/>
        <v>1467807</v>
      </c>
      <c r="I1096">
        <f>IFERROR(VLOOKUP(D1096,'LEAID Match'!$A$2:$B$251,2,FALSE),"")</f>
        <v>4702310</v>
      </c>
    </row>
    <row r="1097" spans="1:9" x14ac:dyDescent="0.2">
      <c r="A1097">
        <f t="shared" si="34"/>
        <v>4702310</v>
      </c>
      <c r="B1097" s="5">
        <v>2020</v>
      </c>
      <c r="C1097" s="1">
        <v>99049</v>
      </c>
      <c r="D1097" t="s">
        <v>322</v>
      </c>
      <c r="E1097" t="s">
        <v>322</v>
      </c>
      <c r="F1097" s="8">
        <v>82615</v>
      </c>
      <c r="G1097" s="8">
        <v>1407355</v>
      </c>
      <c r="H1097" s="5">
        <f t="shared" si="35"/>
        <v>1489970</v>
      </c>
      <c r="I1097">
        <f>IFERROR(VLOOKUP(D1097,'LEAID Match'!$A$2:$B$251,2,FALSE),"")</f>
        <v>4702310</v>
      </c>
    </row>
    <row r="1098" spans="1:9" x14ac:dyDescent="0.2">
      <c r="A1098">
        <f t="shared" si="34"/>
        <v>4702310</v>
      </c>
      <c r="B1098" s="5">
        <v>2021</v>
      </c>
      <c r="C1098" s="1">
        <v>99049</v>
      </c>
      <c r="D1098" t="s">
        <v>322</v>
      </c>
      <c r="E1098" t="s">
        <v>322</v>
      </c>
      <c r="F1098" s="8">
        <v>94260</v>
      </c>
      <c r="G1098" s="8">
        <v>1358852</v>
      </c>
      <c r="H1098" s="5">
        <f t="shared" si="35"/>
        <v>1453112</v>
      </c>
      <c r="I1098">
        <f>IFERROR(VLOOKUP(D1098,'LEAID Match'!$A$2:$B$251,2,FALSE),"")</f>
        <v>4702310</v>
      </c>
    </row>
    <row r="1099" spans="1:9" x14ac:dyDescent="0.2">
      <c r="A1099">
        <f t="shared" si="34"/>
        <v>4702310</v>
      </c>
      <c r="B1099" s="5">
        <v>2022</v>
      </c>
      <c r="C1099" s="1">
        <v>99049</v>
      </c>
      <c r="D1099" t="s">
        <v>322</v>
      </c>
      <c r="E1099" t="s">
        <v>322</v>
      </c>
      <c r="F1099" s="8">
        <v>108693.81</v>
      </c>
      <c r="G1099" s="8">
        <v>1282263.3500000001</v>
      </c>
      <c r="H1099" s="5">
        <f t="shared" si="35"/>
        <v>1390957.1600000001</v>
      </c>
      <c r="I1099">
        <f>IFERROR(VLOOKUP(D1099,'LEAID Match'!$A$2:$B$251,2,FALSE),"")</f>
        <v>4702310</v>
      </c>
    </row>
    <row r="1100" spans="1:9" x14ac:dyDescent="0.2">
      <c r="A1100">
        <f t="shared" si="34"/>
        <v>4702310</v>
      </c>
      <c r="B1100" s="5">
        <v>2023</v>
      </c>
      <c r="C1100" s="1">
        <v>99049</v>
      </c>
      <c r="D1100" t="s">
        <v>322</v>
      </c>
      <c r="E1100" t="s">
        <v>322</v>
      </c>
      <c r="F1100" s="8">
        <v>178920.91</v>
      </c>
      <c r="G1100" s="8">
        <v>1013888.44</v>
      </c>
      <c r="H1100" s="5">
        <f t="shared" si="35"/>
        <v>1192809.3499999999</v>
      </c>
      <c r="I1100">
        <f>IFERROR(VLOOKUP(D1100,'LEAID Match'!$A$2:$B$251,2,FALSE),"")</f>
        <v>4702310</v>
      </c>
    </row>
    <row r="1101" spans="1:9" x14ac:dyDescent="0.2">
      <c r="A1101">
        <f t="shared" si="34"/>
        <v>4702340</v>
      </c>
      <c r="B1101" s="5">
        <v>2015</v>
      </c>
      <c r="C1101" s="1">
        <v>99050</v>
      </c>
      <c r="D1101" t="s">
        <v>323</v>
      </c>
      <c r="E1101" t="s">
        <v>91</v>
      </c>
      <c r="F1101" s="8">
        <v>13833</v>
      </c>
      <c r="G1101" s="8">
        <v>2284174</v>
      </c>
      <c r="H1101" s="5">
        <f t="shared" si="35"/>
        <v>2298007</v>
      </c>
      <c r="I1101">
        <f>IFERROR(VLOOKUP(D1101,'LEAID Match'!$A$2:$B$251,2,FALSE),"")</f>
        <v>4702340</v>
      </c>
    </row>
    <row r="1102" spans="1:9" x14ac:dyDescent="0.2">
      <c r="A1102">
        <f t="shared" si="34"/>
        <v>4702340</v>
      </c>
      <c r="B1102" s="5">
        <v>2016</v>
      </c>
      <c r="C1102" s="1">
        <v>99050</v>
      </c>
      <c r="D1102" t="s">
        <v>323</v>
      </c>
      <c r="E1102" t="s">
        <v>91</v>
      </c>
      <c r="F1102" s="8">
        <v>50069</v>
      </c>
      <c r="G1102" s="8">
        <v>2265934</v>
      </c>
      <c r="H1102" s="5">
        <f t="shared" si="35"/>
        <v>2316003</v>
      </c>
      <c r="I1102">
        <f>IFERROR(VLOOKUP(D1102,'LEAID Match'!$A$2:$B$251,2,FALSE),"")</f>
        <v>4702340</v>
      </c>
    </row>
    <row r="1103" spans="1:9" x14ac:dyDescent="0.2">
      <c r="A1103">
        <f t="shared" si="34"/>
        <v>4702340</v>
      </c>
      <c r="B1103" s="5">
        <v>2017</v>
      </c>
      <c r="C1103" s="1">
        <v>99050</v>
      </c>
      <c r="D1103" t="s">
        <v>323</v>
      </c>
      <c r="E1103" t="s">
        <v>323</v>
      </c>
      <c r="F1103" s="8">
        <v>81585</v>
      </c>
      <c r="G1103" s="8">
        <v>2291654</v>
      </c>
      <c r="H1103" s="5">
        <f t="shared" si="35"/>
        <v>2373239</v>
      </c>
      <c r="I1103">
        <f>IFERROR(VLOOKUP(D1103,'LEAID Match'!$A$2:$B$251,2,FALSE),"")</f>
        <v>4702340</v>
      </c>
    </row>
    <row r="1104" spans="1:9" x14ac:dyDescent="0.2">
      <c r="A1104">
        <f t="shared" si="34"/>
        <v>4702340</v>
      </c>
      <c r="B1104" s="5">
        <v>2018</v>
      </c>
      <c r="C1104" s="1">
        <v>99050</v>
      </c>
      <c r="D1104" t="s">
        <v>323</v>
      </c>
      <c r="E1104" t="s">
        <v>91</v>
      </c>
      <c r="F1104" s="8">
        <v>98331</v>
      </c>
      <c r="G1104" s="8">
        <v>2278712</v>
      </c>
      <c r="H1104" s="5">
        <f t="shared" si="35"/>
        <v>2377043</v>
      </c>
      <c r="I1104">
        <f>IFERROR(VLOOKUP(D1104,'LEAID Match'!$A$2:$B$251,2,FALSE),"")</f>
        <v>4702340</v>
      </c>
    </row>
    <row r="1105" spans="1:9" x14ac:dyDescent="0.2">
      <c r="A1105">
        <f t="shared" si="34"/>
        <v>4702340</v>
      </c>
      <c r="B1105" s="5">
        <v>2019</v>
      </c>
      <c r="C1105" s="1">
        <v>99050</v>
      </c>
      <c r="D1105" t="s">
        <v>323</v>
      </c>
      <c r="E1105" t="s">
        <v>323</v>
      </c>
      <c r="F1105" s="8">
        <v>65843</v>
      </c>
      <c r="G1105" s="8">
        <v>2569550</v>
      </c>
      <c r="H1105" s="5">
        <f t="shared" si="35"/>
        <v>2635393</v>
      </c>
      <c r="I1105">
        <f>IFERROR(VLOOKUP(D1105,'LEAID Match'!$A$2:$B$251,2,FALSE),"")</f>
        <v>4702340</v>
      </c>
    </row>
    <row r="1106" spans="1:9" x14ac:dyDescent="0.2">
      <c r="A1106">
        <f t="shared" si="34"/>
        <v>4702340</v>
      </c>
      <c r="B1106" s="5">
        <v>2020</v>
      </c>
      <c r="C1106" s="1">
        <v>99050</v>
      </c>
      <c r="D1106" t="s">
        <v>323</v>
      </c>
      <c r="E1106" t="s">
        <v>323</v>
      </c>
      <c r="F1106" s="8">
        <v>78006</v>
      </c>
      <c r="G1106" s="8">
        <v>2639259</v>
      </c>
      <c r="H1106" s="5">
        <f t="shared" si="35"/>
        <v>2717265</v>
      </c>
      <c r="I1106">
        <f>IFERROR(VLOOKUP(D1106,'LEAID Match'!$A$2:$B$251,2,FALSE),"")</f>
        <v>4702340</v>
      </c>
    </row>
    <row r="1107" spans="1:9" x14ac:dyDescent="0.2">
      <c r="A1107">
        <f t="shared" si="34"/>
        <v>4702340</v>
      </c>
      <c r="B1107" s="5">
        <v>2021</v>
      </c>
      <c r="C1107" s="1">
        <v>99050</v>
      </c>
      <c r="D1107" t="s">
        <v>323</v>
      </c>
      <c r="E1107" t="s">
        <v>323</v>
      </c>
      <c r="F1107" s="8">
        <v>99675</v>
      </c>
      <c r="G1107" s="8">
        <v>2666988</v>
      </c>
      <c r="H1107" s="5">
        <f t="shared" si="35"/>
        <v>2766663</v>
      </c>
      <c r="I1107">
        <f>IFERROR(VLOOKUP(D1107,'LEAID Match'!$A$2:$B$251,2,FALSE),"")</f>
        <v>4702340</v>
      </c>
    </row>
    <row r="1108" spans="1:9" x14ac:dyDescent="0.2">
      <c r="A1108">
        <f t="shared" si="34"/>
        <v>4702340</v>
      </c>
      <c r="B1108" s="5">
        <v>2022</v>
      </c>
      <c r="C1108" s="1">
        <v>99050</v>
      </c>
      <c r="D1108" t="s">
        <v>323</v>
      </c>
      <c r="E1108" t="s">
        <v>323</v>
      </c>
      <c r="F1108" s="8">
        <v>131656.29</v>
      </c>
      <c r="G1108" s="8">
        <v>2577516.73</v>
      </c>
      <c r="H1108" s="5">
        <f t="shared" si="35"/>
        <v>2709173.02</v>
      </c>
      <c r="I1108">
        <f>IFERROR(VLOOKUP(D1108,'LEAID Match'!$A$2:$B$251,2,FALSE),"")</f>
        <v>4702340</v>
      </c>
    </row>
    <row r="1109" spans="1:9" x14ac:dyDescent="0.2">
      <c r="A1109">
        <f t="shared" si="34"/>
        <v>4702340</v>
      </c>
      <c r="B1109" s="5">
        <v>2023</v>
      </c>
      <c r="C1109" s="1">
        <v>99050</v>
      </c>
      <c r="D1109" t="s">
        <v>323</v>
      </c>
      <c r="E1109" t="s">
        <v>323</v>
      </c>
      <c r="F1109" s="8">
        <v>231475.75</v>
      </c>
      <c r="G1109" s="8">
        <v>2167045.84</v>
      </c>
      <c r="H1109" s="5">
        <f t="shared" si="35"/>
        <v>2398521.59</v>
      </c>
      <c r="I1109">
        <f>IFERROR(VLOOKUP(D1109,'LEAID Match'!$A$2:$B$251,2,FALSE),"")</f>
        <v>4702340</v>
      </c>
    </row>
    <row r="1110" spans="1:9" x14ac:dyDescent="0.2">
      <c r="A1110">
        <f t="shared" si="34"/>
        <v>0</v>
      </c>
      <c r="B1110" s="5">
        <v>2015</v>
      </c>
      <c r="C1110" s="1">
        <v>91901</v>
      </c>
      <c r="D1110" t="s">
        <v>455</v>
      </c>
      <c r="E1110" t="s">
        <v>18</v>
      </c>
      <c r="F1110" s="8">
        <v>54186</v>
      </c>
      <c r="G1110" s="8">
        <v>339787</v>
      </c>
      <c r="H1110" s="5">
        <f t="shared" si="35"/>
        <v>393973</v>
      </c>
      <c r="I1110">
        <f>IFERROR(VLOOKUP(D1110,'LEAID Match'!$A$2:$B$251,2,FALSE),"")</f>
        <v>0</v>
      </c>
    </row>
    <row r="1111" spans="1:9" x14ac:dyDescent="0.2">
      <c r="A1111">
        <f t="shared" si="34"/>
        <v>0</v>
      </c>
      <c r="B1111" s="5">
        <v>2016</v>
      </c>
      <c r="C1111" s="1">
        <v>91901</v>
      </c>
      <c r="D1111" t="s">
        <v>455</v>
      </c>
      <c r="E1111" t="s">
        <v>18</v>
      </c>
      <c r="F1111" s="8">
        <v>96198</v>
      </c>
      <c r="G1111" s="8">
        <v>298048</v>
      </c>
      <c r="H1111" s="5">
        <f t="shared" si="35"/>
        <v>394246</v>
      </c>
      <c r="I1111">
        <f>IFERROR(VLOOKUP(D1111,'LEAID Match'!$A$2:$B$251,2,FALSE),"")</f>
        <v>0</v>
      </c>
    </row>
    <row r="1112" spans="1:9" x14ac:dyDescent="0.2">
      <c r="A1112">
        <f t="shared" si="34"/>
        <v>0</v>
      </c>
      <c r="B1112" s="5">
        <v>2017</v>
      </c>
      <c r="C1112" s="1">
        <v>91901</v>
      </c>
      <c r="D1112" t="s">
        <v>455</v>
      </c>
      <c r="E1112" t="s">
        <v>239</v>
      </c>
      <c r="F1112" s="8">
        <v>105371</v>
      </c>
      <c r="G1112" s="8">
        <v>222344</v>
      </c>
      <c r="H1112" s="5">
        <f t="shared" si="35"/>
        <v>327715</v>
      </c>
      <c r="I1112">
        <f>IFERROR(VLOOKUP(D1112,'LEAID Match'!$A$2:$B$251,2,FALSE),"")</f>
        <v>0</v>
      </c>
    </row>
    <row r="1113" spans="1:9" x14ac:dyDescent="0.2">
      <c r="A1113">
        <f t="shared" si="34"/>
        <v>0</v>
      </c>
      <c r="B1113" s="5">
        <v>2018</v>
      </c>
      <c r="C1113" s="1">
        <v>91901</v>
      </c>
      <c r="D1113" t="s">
        <v>455</v>
      </c>
      <c r="E1113" t="s">
        <v>455</v>
      </c>
      <c r="F1113" s="8">
        <v>145651</v>
      </c>
      <c r="G1113" s="8">
        <v>201158</v>
      </c>
      <c r="H1113" s="5">
        <f t="shared" si="35"/>
        <v>346809</v>
      </c>
      <c r="I1113">
        <f>IFERROR(VLOOKUP(D1113,'LEAID Match'!$A$2:$B$251,2,FALSE),"")</f>
        <v>0</v>
      </c>
    </row>
    <row r="1114" spans="1:9" x14ac:dyDescent="0.2">
      <c r="A1114">
        <f t="shared" si="34"/>
        <v>0</v>
      </c>
      <c r="B1114" s="5">
        <v>2019</v>
      </c>
      <c r="C1114" s="1">
        <v>91901</v>
      </c>
      <c r="D1114" t="s">
        <v>455</v>
      </c>
      <c r="E1114" t="s">
        <v>455</v>
      </c>
      <c r="F1114" s="8">
        <v>83953</v>
      </c>
      <c r="G1114" s="8">
        <v>215209</v>
      </c>
      <c r="H1114" s="5">
        <f t="shared" si="35"/>
        <v>299162</v>
      </c>
      <c r="I1114">
        <f>IFERROR(VLOOKUP(D1114,'LEAID Match'!$A$2:$B$251,2,FALSE),"")</f>
        <v>0</v>
      </c>
    </row>
    <row r="1115" spans="1:9" x14ac:dyDescent="0.2">
      <c r="A1115">
        <f t="shared" si="34"/>
        <v>0</v>
      </c>
      <c r="B1115" s="5">
        <v>2020</v>
      </c>
      <c r="C1115" s="1">
        <v>91901</v>
      </c>
      <c r="D1115" t="s">
        <v>455</v>
      </c>
      <c r="E1115" t="s">
        <v>455</v>
      </c>
      <c r="F1115" s="8">
        <v>106573</v>
      </c>
      <c r="G1115" s="8">
        <v>212264</v>
      </c>
      <c r="H1115" s="5">
        <f t="shared" si="35"/>
        <v>318837</v>
      </c>
      <c r="I1115">
        <f>IFERROR(VLOOKUP(D1115,'LEAID Match'!$A$2:$B$251,2,FALSE),"")</f>
        <v>0</v>
      </c>
    </row>
    <row r="1116" spans="1:9" x14ac:dyDescent="0.2">
      <c r="A1116">
        <f t="shared" si="34"/>
        <v>0</v>
      </c>
      <c r="B1116" s="5">
        <v>2021</v>
      </c>
      <c r="C1116" s="1">
        <v>91901</v>
      </c>
      <c r="D1116" t="s">
        <v>455</v>
      </c>
      <c r="E1116" t="s">
        <v>455</v>
      </c>
      <c r="F1116" s="8">
        <v>132352</v>
      </c>
      <c r="G1116" s="8">
        <v>196305</v>
      </c>
      <c r="H1116" s="5">
        <f t="shared" si="35"/>
        <v>328657</v>
      </c>
      <c r="I1116">
        <f>IFERROR(VLOOKUP(D1116,'LEAID Match'!$A$2:$B$251,2,FALSE),"")</f>
        <v>0</v>
      </c>
    </row>
    <row r="1117" spans="1:9" x14ac:dyDescent="0.2">
      <c r="A1117">
        <f t="shared" si="34"/>
        <v>0</v>
      </c>
      <c r="B1117" s="5">
        <v>2022</v>
      </c>
      <c r="C1117" s="1">
        <v>91901</v>
      </c>
      <c r="D1117" t="s">
        <v>455</v>
      </c>
      <c r="E1117" t="s">
        <v>455</v>
      </c>
      <c r="F1117" s="8">
        <v>137856.22</v>
      </c>
      <c r="G1117" s="8">
        <v>175405.91</v>
      </c>
      <c r="H1117" s="5">
        <f t="shared" si="35"/>
        <v>313262.13</v>
      </c>
      <c r="I1117">
        <f>IFERROR(VLOOKUP(D1117,'LEAID Match'!$A$2:$B$251,2,FALSE),"")</f>
        <v>0</v>
      </c>
    </row>
    <row r="1118" spans="1:9" x14ac:dyDescent="0.2">
      <c r="A1118">
        <f t="shared" si="34"/>
        <v>0</v>
      </c>
      <c r="B1118" s="5">
        <v>2023</v>
      </c>
      <c r="C1118" s="1">
        <v>91901</v>
      </c>
      <c r="D1118" t="s">
        <v>455</v>
      </c>
      <c r="E1118" t="s">
        <v>455</v>
      </c>
      <c r="F1118" s="8">
        <v>235677</v>
      </c>
      <c r="G1118" s="8">
        <v>119997.98</v>
      </c>
      <c r="H1118" s="5">
        <f t="shared" si="35"/>
        <v>355674.98</v>
      </c>
      <c r="I1118">
        <f>IFERROR(VLOOKUP(D1118,'LEAID Match'!$A$2:$B$251,2,FALSE),"")</f>
        <v>0</v>
      </c>
    </row>
    <row r="1119" spans="1:9" x14ac:dyDescent="0.2">
      <c r="A1119">
        <f t="shared" si="34"/>
        <v>0</v>
      </c>
      <c r="B1119" s="5">
        <v>2016</v>
      </c>
      <c r="C1119" s="1">
        <v>97956</v>
      </c>
      <c r="D1119" t="s">
        <v>324</v>
      </c>
      <c r="E1119" t="s">
        <v>92</v>
      </c>
      <c r="F1119" s="8">
        <v>9539</v>
      </c>
      <c r="G1119" s="8">
        <v>4322</v>
      </c>
      <c r="H1119" s="5">
        <f t="shared" si="35"/>
        <v>13861</v>
      </c>
      <c r="I1119">
        <f>IFERROR(VLOOKUP(D1119,'LEAID Match'!$A$2:$B$251,2,FALSE),"")</f>
        <v>0</v>
      </c>
    </row>
    <row r="1120" spans="1:9" x14ac:dyDescent="0.2">
      <c r="A1120">
        <f t="shared" si="34"/>
        <v>0</v>
      </c>
      <c r="B1120" s="5">
        <v>2017</v>
      </c>
      <c r="C1120" s="1">
        <v>97956</v>
      </c>
      <c r="D1120" t="s">
        <v>324</v>
      </c>
      <c r="E1120" t="s">
        <v>324</v>
      </c>
      <c r="F1120" s="8">
        <v>15698</v>
      </c>
      <c r="G1120" s="8">
        <v>8904</v>
      </c>
      <c r="H1120" s="5">
        <f t="shared" si="35"/>
        <v>24602</v>
      </c>
      <c r="I1120">
        <f>IFERROR(VLOOKUP(D1120,'LEAID Match'!$A$2:$B$251,2,FALSE),"")</f>
        <v>0</v>
      </c>
    </row>
    <row r="1121" spans="1:9" x14ac:dyDescent="0.2">
      <c r="A1121">
        <f t="shared" si="34"/>
        <v>0</v>
      </c>
      <c r="B1121" s="5">
        <v>2018</v>
      </c>
      <c r="C1121" s="1">
        <v>97956</v>
      </c>
      <c r="D1121" t="s">
        <v>324</v>
      </c>
      <c r="E1121" t="s">
        <v>92</v>
      </c>
      <c r="F1121" s="8">
        <v>25464</v>
      </c>
      <c r="G1121" s="8">
        <v>8622</v>
      </c>
      <c r="H1121" s="5">
        <f t="shared" si="35"/>
        <v>34086</v>
      </c>
      <c r="I1121">
        <f>IFERROR(VLOOKUP(D1121,'LEAID Match'!$A$2:$B$251,2,FALSE),"")</f>
        <v>0</v>
      </c>
    </row>
    <row r="1122" spans="1:9" x14ac:dyDescent="0.2">
      <c r="A1122">
        <f t="shared" si="34"/>
        <v>0</v>
      </c>
      <c r="B1122" s="5">
        <v>2019</v>
      </c>
      <c r="C1122" s="1">
        <v>97956</v>
      </c>
      <c r="D1122" t="s">
        <v>324</v>
      </c>
      <c r="E1122" t="s">
        <v>324</v>
      </c>
      <c r="F1122" s="8">
        <v>19460</v>
      </c>
      <c r="G1122" s="8">
        <v>6965</v>
      </c>
      <c r="H1122" s="5">
        <f t="shared" si="35"/>
        <v>26425</v>
      </c>
      <c r="I1122">
        <f>IFERROR(VLOOKUP(D1122,'LEAID Match'!$A$2:$B$251,2,FALSE),"")</f>
        <v>0</v>
      </c>
    </row>
    <row r="1123" spans="1:9" x14ac:dyDescent="0.2">
      <c r="A1123">
        <f t="shared" si="34"/>
        <v>0</v>
      </c>
      <c r="B1123" s="5">
        <v>2020</v>
      </c>
      <c r="C1123" s="1">
        <v>97956</v>
      </c>
      <c r="D1123" t="s">
        <v>324</v>
      </c>
      <c r="E1123" t="s">
        <v>324</v>
      </c>
      <c r="F1123" s="8">
        <v>26660.720000000001</v>
      </c>
      <c r="G1123" s="8">
        <v>15490</v>
      </c>
      <c r="H1123" s="5">
        <f t="shared" si="35"/>
        <v>42150.720000000001</v>
      </c>
      <c r="I1123">
        <f>IFERROR(VLOOKUP(D1123,'LEAID Match'!$A$2:$B$251,2,FALSE),"")</f>
        <v>0</v>
      </c>
    </row>
    <row r="1124" spans="1:9" x14ac:dyDescent="0.2">
      <c r="A1124">
        <f t="shared" si="34"/>
        <v>0</v>
      </c>
      <c r="B1124" s="5">
        <v>2021</v>
      </c>
      <c r="C1124" s="1">
        <v>97956</v>
      </c>
      <c r="D1124" t="s">
        <v>324</v>
      </c>
      <c r="E1124" t="s">
        <v>324</v>
      </c>
      <c r="F1124" s="8">
        <v>26704</v>
      </c>
      <c r="G1124" s="8">
        <v>25858</v>
      </c>
      <c r="H1124" s="5">
        <f t="shared" si="35"/>
        <v>52562</v>
      </c>
      <c r="I1124">
        <f>IFERROR(VLOOKUP(D1124,'LEAID Match'!$A$2:$B$251,2,FALSE),"")</f>
        <v>0</v>
      </c>
    </row>
    <row r="1125" spans="1:9" x14ac:dyDescent="0.2">
      <c r="A1125">
        <f t="shared" si="34"/>
        <v>0</v>
      </c>
      <c r="B1125" s="5">
        <v>2022</v>
      </c>
      <c r="C1125" s="1">
        <v>97956</v>
      </c>
      <c r="D1125" t="s">
        <v>324</v>
      </c>
      <c r="E1125" t="s">
        <v>324</v>
      </c>
      <c r="F1125" s="8">
        <v>38239.07</v>
      </c>
      <c r="G1125" s="8">
        <v>22011.66</v>
      </c>
      <c r="H1125" s="5">
        <f t="shared" si="35"/>
        <v>60250.729999999996</v>
      </c>
      <c r="I1125">
        <f>IFERROR(VLOOKUP(D1125,'LEAID Match'!$A$2:$B$251,2,FALSE),"")</f>
        <v>0</v>
      </c>
    </row>
    <row r="1126" spans="1:9" x14ac:dyDescent="0.2">
      <c r="A1126">
        <f t="shared" si="34"/>
        <v>0</v>
      </c>
      <c r="B1126" s="5">
        <v>2023</v>
      </c>
      <c r="C1126" s="1">
        <v>97956</v>
      </c>
      <c r="D1126" t="s">
        <v>324</v>
      </c>
      <c r="E1126" t="s">
        <v>324</v>
      </c>
      <c r="F1126" s="8">
        <v>68499.100000000006</v>
      </c>
      <c r="G1126" s="8">
        <v>20075.78</v>
      </c>
      <c r="H1126" s="5">
        <f t="shared" si="35"/>
        <v>88574.88</v>
      </c>
      <c r="I1126">
        <f>IFERROR(VLOOKUP(D1126,'LEAID Match'!$A$2:$B$251,2,FALSE),"")</f>
        <v>0</v>
      </c>
    </row>
    <row r="1127" spans="1:9" x14ac:dyDescent="0.2">
      <c r="A1127">
        <f t="shared" si="34"/>
        <v>4702370</v>
      </c>
      <c r="B1127" s="5">
        <v>2015</v>
      </c>
      <c r="C1127" s="1">
        <v>99195</v>
      </c>
      <c r="D1127" t="s">
        <v>325</v>
      </c>
      <c r="E1127" t="s">
        <v>566</v>
      </c>
      <c r="F1127" s="8">
        <v>29190</v>
      </c>
      <c r="G1127" s="8">
        <v>1358965</v>
      </c>
      <c r="H1127" s="5">
        <f t="shared" si="35"/>
        <v>1388155</v>
      </c>
      <c r="I1127">
        <f>IFERROR(VLOOKUP(D1127,'LEAID Match'!$A$2:$B$251,2,FALSE),"")</f>
        <v>4702370</v>
      </c>
    </row>
    <row r="1128" spans="1:9" x14ac:dyDescent="0.2">
      <c r="A1128">
        <f t="shared" si="34"/>
        <v>4702370</v>
      </c>
      <c r="B1128" s="5">
        <v>2016</v>
      </c>
      <c r="C1128" s="1">
        <v>99195</v>
      </c>
      <c r="D1128" t="s">
        <v>325</v>
      </c>
      <c r="E1128" t="s">
        <v>93</v>
      </c>
      <c r="F1128" s="8">
        <v>47179</v>
      </c>
      <c r="G1128" s="8">
        <v>1359016</v>
      </c>
      <c r="H1128" s="5">
        <f t="shared" si="35"/>
        <v>1406195</v>
      </c>
      <c r="I1128">
        <f>IFERROR(VLOOKUP(D1128,'LEAID Match'!$A$2:$B$251,2,FALSE),"")</f>
        <v>4702370</v>
      </c>
    </row>
    <row r="1129" spans="1:9" x14ac:dyDescent="0.2">
      <c r="A1129">
        <f t="shared" si="34"/>
        <v>4702370</v>
      </c>
      <c r="B1129" s="5">
        <v>2017</v>
      </c>
      <c r="C1129" s="1">
        <v>99195</v>
      </c>
      <c r="D1129" t="s">
        <v>325</v>
      </c>
      <c r="E1129" t="s">
        <v>325</v>
      </c>
      <c r="F1129" s="8">
        <v>68052</v>
      </c>
      <c r="G1129" s="8">
        <v>1394694</v>
      </c>
      <c r="H1129" s="5">
        <f t="shared" si="35"/>
        <v>1462746</v>
      </c>
      <c r="I1129">
        <f>IFERROR(VLOOKUP(D1129,'LEAID Match'!$A$2:$B$251,2,FALSE),"")</f>
        <v>4702370</v>
      </c>
    </row>
    <row r="1130" spans="1:9" x14ac:dyDescent="0.2">
      <c r="A1130">
        <f t="shared" si="34"/>
        <v>4702370</v>
      </c>
      <c r="B1130" s="5">
        <v>2018</v>
      </c>
      <c r="C1130" s="1">
        <v>99195</v>
      </c>
      <c r="D1130" t="s">
        <v>325</v>
      </c>
      <c r="E1130" t="s">
        <v>93</v>
      </c>
      <c r="F1130" s="8">
        <v>91474</v>
      </c>
      <c r="G1130" s="8">
        <v>1381221</v>
      </c>
      <c r="H1130" s="5">
        <f t="shared" si="35"/>
        <v>1472695</v>
      </c>
      <c r="I1130">
        <f>IFERROR(VLOOKUP(D1130,'LEAID Match'!$A$2:$B$251,2,FALSE),"")</f>
        <v>4702370</v>
      </c>
    </row>
    <row r="1131" spans="1:9" x14ac:dyDescent="0.2">
      <c r="A1131">
        <f t="shared" si="34"/>
        <v>4702370</v>
      </c>
      <c r="B1131" s="5">
        <v>2019</v>
      </c>
      <c r="C1131" s="1">
        <v>99195</v>
      </c>
      <c r="D1131" t="s">
        <v>325</v>
      </c>
      <c r="E1131" t="s">
        <v>325</v>
      </c>
      <c r="F1131" s="8">
        <v>49636</v>
      </c>
      <c r="G1131" s="8">
        <v>1656646</v>
      </c>
      <c r="H1131" s="5">
        <f t="shared" si="35"/>
        <v>1706282</v>
      </c>
      <c r="I1131">
        <f>IFERROR(VLOOKUP(D1131,'LEAID Match'!$A$2:$B$251,2,FALSE),"")</f>
        <v>4702370</v>
      </c>
    </row>
    <row r="1132" spans="1:9" x14ac:dyDescent="0.2">
      <c r="A1132">
        <f t="shared" si="34"/>
        <v>4702370</v>
      </c>
      <c r="B1132" s="5">
        <v>2020</v>
      </c>
      <c r="C1132" s="1">
        <v>99195</v>
      </c>
      <c r="D1132" t="s">
        <v>325</v>
      </c>
      <c r="E1132" t="s">
        <v>325</v>
      </c>
      <c r="F1132" s="8">
        <v>68448</v>
      </c>
      <c r="G1132" s="8">
        <v>1661270</v>
      </c>
      <c r="H1132" s="5">
        <f t="shared" si="35"/>
        <v>1729718</v>
      </c>
      <c r="I1132">
        <f>IFERROR(VLOOKUP(D1132,'LEAID Match'!$A$2:$B$251,2,FALSE),"")</f>
        <v>4702370</v>
      </c>
    </row>
    <row r="1133" spans="1:9" x14ac:dyDescent="0.2">
      <c r="A1133">
        <f t="shared" si="34"/>
        <v>4702370</v>
      </c>
      <c r="B1133" s="5">
        <v>2021</v>
      </c>
      <c r="C1133" s="1">
        <v>99195</v>
      </c>
      <c r="D1133" t="s">
        <v>325</v>
      </c>
      <c r="E1133" t="s">
        <v>325</v>
      </c>
      <c r="F1133" s="8">
        <v>83328</v>
      </c>
      <c r="G1133" s="8">
        <v>1632944</v>
      </c>
      <c r="H1133" s="5">
        <f t="shared" si="35"/>
        <v>1716272</v>
      </c>
      <c r="I1133">
        <f>IFERROR(VLOOKUP(D1133,'LEAID Match'!$A$2:$B$251,2,FALSE),"")</f>
        <v>4702370</v>
      </c>
    </row>
    <row r="1134" spans="1:9" x14ac:dyDescent="0.2">
      <c r="A1134">
        <f t="shared" si="34"/>
        <v>4702370</v>
      </c>
      <c r="B1134" s="5">
        <v>2022</v>
      </c>
      <c r="C1134" s="1">
        <v>99195</v>
      </c>
      <c r="D1134" t="s">
        <v>325</v>
      </c>
      <c r="E1134" t="s">
        <v>325</v>
      </c>
      <c r="F1134" s="8">
        <v>113624.74</v>
      </c>
      <c r="G1134" s="8">
        <v>1650381.15</v>
      </c>
      <c r="H1134" s="5">
        <f t="shared" si="35"/>
        <v>1764005.89</v>
      </c>
      <c r="I1134">
        <f>IFERROR(VLOOKUP(D1134,'LEAID Match'!$A$2:$B$251,2,FALSE),"")</f>
        <v>4702370</v>
      </c>
    </row>
    <row r="1135" spans="1:9" x14ac:dyDescent="0.2">
      <c r="A1135">
        <f t="shared" si="34"/>
        <v>4702370</v>
      </c>
      <c r="B1135" s="5">
        <v>2023</v>
      </c>
      <c r="C1135" s="1">
        <v>99195</v>
      </c>
      <c r="D1135" t="s">
        <v>325</v>
      </c>
      <c r="E1135" t="s">
        <v>325</v>
      </c>
      <c r="F1135" s="8">
        <v>183242.33</v>
      </c>
      <c r="G1135" s="8">
        <v>1436994.59</v>
      </c>
      <c r="H1135" s="5">
        <f t="shared" si="35"/>
        <v>1620236.9200000002</v>
      </c>
      <c r="I1135">
        <f>IFERROR(VLOOKUP(D1135,'LEAID Match'!$A$2:$B$251,2,FALSE),"")</f>
        <v>4702370</v>
      </c>
    </row>
    <row r="1136" spans="1:9" x14ac:dyDescent="0.2">
      <c r="A1136">
        <f t="shared" si="34"/>
        <v>0</v>
      </c>
      <c r="B1136" s="5">
        <v>2018</v>
      </c>
      <c r="C1136" s="1">
        <v>97969</v>
      </c>
      <c r="D1136" t="s">
        <v>490</v>
      </c>
      <c r="E1136" t="s">
        <v>462</v>
      </c>
      <c r="F1136" s="8">
        <v>7869</v>
      </c>
      <c r="G1136" s="8">
        <v>3717</v>
      </c>
      <c r="H1136" s="5">
        <f t="shared" si="35"/>
        <v>11586</v>
      </c>
      <c r="I1136">
        <f>IFERROR(VLOOKUP(D1136,'LEAID Match'!$A$2:$B$251,2,FALSE),"")</f>
        <v>0</v>
      </c>
    </row>
    <row r="1137" spans="1:9" x14ac:dyDescent="0.2">
      <c r="A1137">
        <f t="shared" si="34"/>
        <v>0</v>
      </c>
      <c r="B1137" s="5">
        <v>2019</v>
      </c>
      <c r="C1137" s="1">
        <v>97969</v>
      </c>
      <c r="D1137" t="s">
        <v>490</v>
      </c>
      <c r="E1137" t="s">
        <v>490</v>
      </c>
      <c r="F1137" s="8">
        <v>2669</v>
      </c>
      <c r="G1137" s="8">
        <v>816</v>
      </c>
      <c r="H1137" s="5">
        <f t="shared" si="35"/>
        <v>3485</v>
      </c>
      <c r="I1137">
        <f>IFERROR(VLOOKUP(D1137,'LEAID Match'!$A$2:$B$251,2,FALSE),"")</f>
        <v>0</v>
      </c>
    </row>
    <row r="1138" spans="1:9" x14ac:dyDescent="0.2">
      <c r="A1138">
        <f t="shared" si="34"/>
        <v>0</v>
      </c>
      <c r="B1138" s="5">
        <v>2020</v>
      </c>
      <c r="C1138" s="1">
        <v>97969</v>
      </c>
      <c r="D1138" t="s">
        <v>490</v>
      </c>
      <c r="E1138" t="s">
        <v>490</v>
      </c>
      <c r="F1138" s="8" t="s">
        <v>591</v>
      </c>
      <c r="G1138" s="8" t="s">
        <v>591</v>
      </c>
      <c r="H1138" s="5">
        <f t="shared" si="35"/>
        <v>0</v>
      </c>
      <c r="I1138">
        <f>IFERROR(VLOOKUP(D1138,'LEAID Match'!$A$2:$B$251,2,FALSE),"")</f>
        <v>0</v>
      </c>
    </row>
    <row r="1139" spans="1:9" x14ac:dyDescent="0.2">
      <c r="A1139">
        <f t="shared" si="34"/>
        <v>0</v>
      </c>
      <c r="B1139" s="5">
        <v>2021</v>
      </c>
      <c r="C1139" s="1">
        <v>97969</v>
      </c>
      <c r="D1139" t="s">
        <v>490</v>
      </c>
      <c r="E1139" t="s">
        <v>490</v>
      </c>
      <c r="F1139" s="8" t="s">
        <v>591</v>
      </c>
      <c r="G1139" s="8" t="s">
        <v>591</v>
      </c>
      <c r="H1139" s="5">
        <f t="shared" si="35"/>
        <v>0</v>
      </c>
      <c r="I1139">
        <f>IFERROR(VLOOKUP(D1139,'LEAID Match'!$A$2:$B$251,2,FALSE),"")</f>
        <v>0</v>
      </c>
    </row>
    <row r="1140" spans="1:9" x14ac:dyDescent="0.2">
      <c r="A1140">
        <f t="shared" si="34"/>
        <v>0</v>
      </c>
      <c r="B1140" s="5">
        <v>2022</v>
      </c>
      <c r="C1140" s="1">
        <v>97969</v>
      </c>
      <c r="D1140" t="s">
        <v>490</v>
      </c>
      <c r="E1140" t="s">
        <v>490</v>
      </c>
      <c r="F1140" s="8" t="s">
        <v>591</v>
      </c>
      <c r="G1140" s="8" t="s">
        <v>591</v>
      </c>
      <c r="H1140" s="5">
        <f t="shared" si="35"/>
        <v>0</v>
      </c>
      <c r="I1140">
        <f>IFERROR(VLOOKUP(D1140,'LEAID Match'!$A$2:$B$251,2,FALSE),"")</f>
        <v>0</v>
      </c>
    </row>
    <row r="1141" spans="1:9" x14ac:dyDescent="0.2">
      <c r="A1141">
        <f t="shared" si="34"/>
        <v>0</v>
      </c>
      <c r="B1141" s="5">
        <v>2023</v>
      </c>
      <c r="C1141" s="1">
        <v>97969</v>
      </c>
      <c r="D1141" t="s">
        <v>490</v>
      </c>
      <c r="E1141" t="s">
        <v>490</v>
      </c>
      <c r="F1141" s="8" t="s">
        <v>591</v>
      </c>
      <c r="G1141" s="8" t="s">
        <v>591</v>
      </c>
      <c r="H1141" s="5">
        <f t="shared" si="35"/>
        <v>0</v>
      </c>
      <c r="I1141">
        <f>IFERROR(VLOOKUP(D1141,'LEAID Match'!$A$2:$B$251,2,FALSE),"")</f>
        <v>0</v>
      </c>
    </row>
    <row r="1142" spans="1:9" x14ac:dyDescent="0.2">
      <c r="A1142">
        <f t="shared" si="34"/>
        <v>4702400</v>
      </c>
      <c r="B1142" s="5">
        <v>2015</v>
      </c>
      <c r="C1142" s="1">
        <v>99153</v>
      </c>
      <c r="D1142" t="s">
        <v>326</v>
      </c>
      <c r="E1142" t="s">
        <v>94</v>
      </c>
      <c r="F1142" s="8">
        <v>19560</v>
      </c>
      <c r="G1142" s="8">
        <v>766102</v>
      </c>
      <c r="H1142" s="5">
        <f t="shared" si="35"/>
        <v>785662</v>
      </c>
      <c r="I1142">
        <f>IFERROR(VLOOKUP(D1142,'LEAID Match'!$A$2:$B$251,2,FALSE),"")</f>
        <v>4702400</v>
      </c>
    </row>
    <row r="1143" spans="1:9" x14ac:dyDescent="0.2">
      <c r="A1143">
        <f t="shared" si="34"/>
        <v>4702400</v>
      </c>
      <c r="B1143" s="5">
        <v>2016</v>
      </c>
      <c r="C1143" s="1">
        <v>99153</v>
      </c>
      <c r="D1143" t="s">
        <v>326</v>
      </c>
      <c r="E1143" t="s">
        <v>94</v>
      </c>
      <c r="F1143" s="8">
        <v>39316</v>
      </c>
      <c r="G1143" s="8">
        <v>762447</v>
      </c>
      <c r="H1143" s="5">
        <f t="shared" si="35"/>
        <v>801763</v>
      </c>
      <c r="I1143">
        <f>IFERROR(VLOOKUP(D1143,'LEAID Match'!$A$2:$B$251,2,FALSE),"")</f>
        <v>4702400</v>
      </c>
    </row>
    <row r="1144" spans="1:9" x14ac:dyDescent="0.2">
      <c r="A1144">
        <f t="shared" si="34"/>
        <v>4702400</v>
      </c>
      <c r="B1144" s="5">
        <v>2017</v>
      </c>
      <c r="C1144" s="1">
        <v>99153</v>
      </c>
      <c r="D1144" t="s">
        <v>326</v>
      </c>
      <c r="E1144" t="s">
        <v>326</v>
      </c>
      <c r="F1144" s="8">
        <v>52473</v>
      </c>
      <c r="G1144" s="8">
        <v>758397</v>
      </c>
      <c r="H1144" s="5">
        <f t="shared" si="35"/>
        <v>810870</v>
      </c>
      <c r="I1144">
        <f>IFERROR(VLOOKUP(D1144,'LEAID Match'!$A$2:$B$251,2,FALSE),"")</f>
        <v>4702400</v>
      </c>
    </row>
    <row r="1145" spans="1:9" x14ac:dyDescent="0.2">
      <c r="A1145">
        <f t="shared" si="34"/>
        <v>4702400</v>
      </c>
      <c r="B1145" s="5">
        <v>2018</v>
      </c>
      <c r="C1145" s="1">
        <v>99153</v>
      </c>
      <c r="D1145" t="s">
        <v>326</v>
      </c>
      <c r="E1145" t="s">
        <v>94</v>
      </c>
      <c r="F1145" s="8">
        <v>67565</v>
      </c>
      <c r="G1145" s="8">
        <v>744191</v>
      </c>
      <c r="H1145" s="5">
        <f t="shared" si="35"/>
        <v>811756</v>
      </c>
      <c r="I1145">
        <f>IFERROR(VLOOKUP(D1145,'LEAID Match'!$A$2:$B$251,2,FALSE),"")</f>
        <v>4702400</v>
      </c>
    </row>
    <row r="1146" spans="1:9" x14ac:dyDescent="0.2">
      <c r="A1146">
        <f t="shared" si="34"/>
        <v>4702400</v>
      </c>
      <c r="B1146" s="5">
        <v>2019</v>
      </c>
      <c r="C1146" s="1">
        <v>99153</v>
      </c>
      <c r="D1146" t="s">
        <v>326</v>
      </c>
      <c r="E1146" t="s">
        <v>326</v>
      </c>
      <c r="F1146" s="8">
        <v>40276</v>
      </c>
      <c r="G1146" s="8">
        <v>825320</v>
      </c>
      <c r="H1146" s="5">
        <f t="shared" si="35"/>
        <v>865596</v>
      </c>
      <c r="I1146">
        <f>IFERROR(VLOOKUP(D1146,'LEAID Match'!$A$2:$B$251,2,FALSE),"")</f>
        <v>4702400</v>
      </c>
    </row>
    <row r="1147" spans="1:9" x14ac:dyDescent="0.2">
      <c r="A1147">
        <f t="shared" si="34"/>
        <v>4702400</v>
      </c>
      <c r="B1147" s="5">
        <v>2020</v>
      </c>
      <c r="C1147" s="1">
        <v>99153</v>
      </c>
      <c r="D1147" t="s">
        <v>326</v>
      </c>
      <c r="E1147" t="s">
        <v>326</v>
      </c>
      <c r="F1147" s="8">
        <v>48726.96</v>
      </c>
      <c r="G1147" s="8">
        <v>823130</v>
      </c>
      <c r="H1147" s="5">
        <f t="shared" si="35"/>
        <v>871856.96</v>
      </c>
      <c r="I1147">
        <f>IFERROR(VLOOKUP(D1147,'LEAID Match'!$A$2:$B$251,2,FALSE),"")</f>
        <v>4702400</v>
      </c>
    </row>
    <row r="1148" spans="1:9" x14ac:dyDescent="0.2">
      <c r="A1148">
        <f t="shared" si="34"/>
        <v>4702400</v>
      </c>
      <c r="B1148" s="5">
        <v>2021</v>
      </c>
      <c r="C1148" s="1">
        <v>99153</v>
      </c>
      <c r="D1148" t="s">
        <v>326</v>
      </c>
      <c r="E1148" t="s">
        <v>326</v>
      </c>
      <c r="F1148" s="8">
        <v>56999</v>
      </c>
      <c r="G1148" s="8">
        <v>815392</v>
      </c>
      <c r="H1148" s="5">
        <f t="shared" si="35"/>
        <v>872391</v>
      </c>
      <c r="I1148">
        <f>IFERROR(VLOOKUP(D1148,'LEAID Match'!$A$2:$B$251,2,FALSE),"")</f>
        <v>4702400</v>
      </c>
    </row>
    <row r="1149" spans="1:9" x14ac:dyDescent="0.2">
      <c r="A1149">
        <f t="shared" si="34"/>
        <v>4702400</v>
      </c>
      <c r="B1149" s="5">
        <v>2022</v>
      </c>
      <c r="C1149" s="1">
        <v>99153</v>
      </c>
      <c r="D1149" t="s">
        <v>326</v>
      </c>
      <c r="E1149" t="s">
        <v>326</v>
      </c>
      <c r="F1149" s="8">
        <v>86690.57</v>
      </c>
      <c r="G1149" s="8">
        <v>783060.1</v>
      </c>
      <c r="H1149" s="5">
        <f t="shared" si="35"/>
        <v>869750.66999999993</v>
      </c>
      <c r="I1149">
        <f>IFERROR(VLOOKUP(D1149,'LEAID Match'!$A$2:$B$251,2,FALSE),"")</f>
        <v>4702400</v>
      </c>
    </row>
    <row r="1150" spans="1:9" x14ac:dyDescent="0.2">
      <c r="A1150">
        <f t="shared" si="34"/>
        <v>4702400</v>
      </c>
      <c r="B1150" s="5">
        <v>2023</v>
      </c>
      <c r="C1150" s="1">
        <v>99153</v>
      </c>
      <c r="D1150" t="s">
        <v>326</v>
      </c>
      <c r="E1150" t="s">
        <v>326</v>
      </c>
      <c r="F1150" s="8">
        <v>139473.53</v>
      </c>
      <c r="G1150" s="8">
        <v>651293.56999999902</v>
      </c>
      <c r="H1150" s="5">
        <f t="shared" si="35"/>
        <v>790767.09999999905</v>
      </c>
      <c r="I1150">
        <f>IFERROR(VLOOKUP(D1150,'LEAID Match'!$A$2:$B$251,2,FALSE),"")</f>
        <v>4702400</v>
      </c>
    </row>
    <row r="1151" spans="1:9" x14ac:dyDescent="0.2">
      <c r="A1151">
        <f t="shared" si="34"/>
        <v>4702430</v>
      </c>
      <c r="B1151" s="5">
        <v>2015</v>
      </c>
      <c r="C1151" s="1">
        <v>99051</v>
      </c>
      <c r="D1151" t="s">
        <v>327</v>
      </c>
      <c r="E1151" t="s">
        <v>95</v>
      </c>
      <c r="F1151" s="8">
        <v>4048</v>
      </c>
      <c r="G1151" s="8">
        <v>648974</v>
      </c>
      <c r="H1151" s="5">
        <f t="shared" si="35"/>
        <v>653022</v>
      </c>
      <c r="I1151">
        <f>IFERROR(VLOOKUP(D1151,'LEAID Match'!$A$2:$B$251,2,FALSE),"")</f>
        <v>4702430</v>
      </c>
    </row>
    <row r="1152" spans="1:9" x14ac:dyDescent="0.2">
      <c r="A1152">
        <f t="shared" si="34"/>
        <v>4702430</v>
      </c>
      <c r="B1152" s="5">
        <v>2016</v>
      </c>
      <c r="C1152" s="1">
        <v>99051</v>
      </c>
      <c r="D1152" t="s">
        <v>327</v>
      </c>
      <c r="E1152" t="s">
        <v>95</v>
      </c>
      <c r="F1152" s="8">
        <v>14189</v>
      </c>
      <c r="G1152" s="8">
        <v>621409</v>
      </c>
      <c r="H1152" s="5">
        <f t="shared" si="35"/>
        <v>635598</v>
      </c>
      <c r="I1152">
        <f>IFERROR(VLOOKUP(D1152,'LEAID Match'!$A$2:$B$251,2,FALSE),"")</f>
        <v>4702430</v>
      </c>
    </row>
    <row r="1153" spans="1:9" x14ac:dyDescent="0.2">
      <c r="A1153">
        <f t="shared" si="34"/>
        <v>4702430</v>
      </c>
      <c r="B1153" s="5">
        <v>2017</v>
      </c>
      <c r="C1153" s="1">
        <v>99051</v>
      </c>
      <c r="D1153" t="s">
        <v>327</v>
      </c>
      <c r="E1153" t="s">
        <v>327</v>
      </c>
      <c r="F1153" s="8">
        <v>22661</v>
      </c>
      <c r="G1153" s="8">
        <v>620299</v>
      </c>
      <c r="H1153" s="5">
        <f t="shared" si="35"/>
        <v>642960</v>
      </c>
      <c r="I1153">
        <f>IFERROR(VLOOKUP(D1153,'LEAID Match'!$A$2:$B$251,2,FALSE),"")</f>
        <v>4702430</v>
      </c>
    </row>
    <row r="1154" spans="1:9" x14ac:dyDescent="0.2">
      <c r="A1154">
        <f t="shared" si="34"/>
        <v>4702430</v>
      </c>
      <c r="B1154" s="5">
        <v>2018</v>
      </c>
      <c r="C1154" s="1">
        <v>99051</v>
      </c>
      <c r="D1154" t="s">
        <v>327</v>
      </c>
      <c r="E1154" t="s">
        <v>95</v>
      </c>
      <c r="F1154" s="8">
        <v>35926</v>
      </c>
      <c r="G1154" s="8">
        <v>599339</v>
      </c>
      <c r="H1154" s="5">
        <f t="shared" si="35"/>
        <v>635265</v>
      </c>
      <c r="I1154">
        <f>IFERROR(VLOOKUP(D1154,'LEAID Match'!$A$2:$B$251,2,FALSE),"")</f>
        <v>4702430</v>
      </c>
    </row>
    <row r="1155" spans="1:9" x14ac:dyDescent="0.2">
      <c r="A1155">
        <f t="shared" ref="A1155:A1218" si="36">I1155</f>
        <v>4702430</v>
      </c>
      <c r="B1155" s="5">
        <v>2019</v>
      </c>
      <c r="C1155" s="1">
        <v>99051</v>
      </c>
      <c r="D1155" t="s">
        <v>327</v>
      </c>
      <c r="E1155" t="s">
        <v>327</v>
      </c>
      <c r="F1155" s="8">
        <v>25857</v>
      </c>
      <c r="G1155" s="8">
        <v>638691</v>
      </c>
      <c r="H1155" s="5">
        <f t="shared" ref="H1155:H1218" si="37">SUM(F1155:G1155)</f>
        <v>664548</v>
      </c>
      <c r="I1155">
        <f>IFERROR(VLOOKUP(D1155,'LEAID Match'!$A$2:$B$251,2,FALSE),"")</f>
        <v>4702430</v>
      </c>
    </row>
    <row r="1156" spans="1:9" x14ac:dyDescent="0.2">
      <c r="A1156">
        <f t="shared" si="36"/>
        <v>4702430</v>
      </c>
      <c r="B1156" s="5">
        <v>2020</v>
      </c>
      <c r="C1156" s="1">
        <v>99051</v>
      </c>
      <c r="D1156" t="s">
        <v>327</v>
      </c>
      <c r="E1156" t="s">
        <v>327</v>
      </c>
      <c r="F1156" s="8">
        <v>30563</v>
      </c>
      <c r="G1156" s="8">
        <v>671322</v>
      </c>
      <c r="H1156" s="5">
        <f t="shared" si="37"/>
        <v>701885</v>
      </c>
      <c r="I1156">
        <f>IFERROR(VLOOKUP(D1156,'LEAID Match'!$A$2:$B$251,2,FALSE),"")</f>
        <v>4702430</v>
      </c>
    </row>
    <row r="1157" spans="1:9" x14ac:dyDescent="0.2">
      <c r="A1157">
        <f t="shared" si="36"/>
        <v>4702430</v>
      </c>
      <c r="B1157" s="5">
        <v>2021</v>
      </c>
      <c r="C1157" s="1">
        <v>99051</v>
      </c>
      <c r="D1157" t="s">
        <v>327</v>
      </c>
      <c r="E1157" t="s">
        <v>327</v>
      </c>
      <c r="F1157" s="8">
        <v>36199</v>
      </c>
      <c r="G1157" s="8">
        <v>624683</v>
      </c>
      <c r="H1157" s="5">
        <f t="shared" si="37"/>
        <v>660882</v>
      </c>
      <c r="I1157">
        <f>IFERROR(VLOOKUP(D1157,'LEAID Match'!$A$2:$B$251,2,FALSE),"")</f>
        <v>4702430</v>
      </c>
    </row>
    <row r="1158" spans="1:9" x14ac:dyDescent="0.2">
      <c r="A1158">
        <f t="shared" si="36"/>
        <v>4702430</v>
      </c>
      <c r="B1158" s="5">
        <v>2022</v>
      </c>
      <c r="C1158" s="1">
        <v>99051</v>
      </c>
      <c r="D1158" t="s">
        <v>327</v>
      </c>
      <c r="E1158" t="s">
        <v>327</v>
      </c>
      <c r="F1158" s="8">
        <v>45806.17</v>
      </c>
      <c r="G1158" s="8">
        <v>619222.85</v>
      </c>
      <c r="H1158" s="5">
        <f t="shared" si="37"/>
        <v>665029.02</v>
      </c>
      <c r="I1158">
        <f>IFERROR(VLOOKUP(D1158,'LEAID Match'!$A$2:$B$251,2,FALSE),"")</f>
        <v>4702430</v>
      </c>
    </row>
    <row r="1159" spans="1:9" x14ac:dyDescent="0.2">
      <c r="A1159">
        <f t="shared" si="36"/>
        <v>4702430</v>
      </c>
      <c r="B1159" s="5">
        <v>2023</v>
      </c>
      <c r="C1159" s="1">
        <v>99051</v>
      </c>
      <c r="D1159" t="s">
        <v>327</v>
      </c>
      <c r="E1159" t="s">
        <v>327</v>
      </c>
      <c r="F1159" s="8">
        <v>62447.71</v>
      </c>
      <c r="G1159" s="8">
        <v>456390.6</v>
      </c>
      <c r="H1159" s="5">
        <f t="shared" si="37"/>
        <v>518838.31</v>
      </c>
      <c r="I1159">
        <f>IFERROR(VLOOKUP(D1159,'LEAID Match'!$A$2:$B$251,2,FALSE),"")</f>
        <v>4702430</v>
      </c>
    </row>
    <row r="1160" spans="1:9" x14ac:dyDescent="0.2">
      <c r="A1160">
        <f t="shared" si="36"/>
        <v>4702460</v>
      </c>
      <c r="B1160" s="5">
        <v>2015</v>
      </c>
      <c r="C1160" s="1">
        <v>99139</v>
      </c>
      <c r="D1160" t="s">
        <v>328</v>
      </c>
      <c r="E1160" t="s">
        <v>96</v>
      </c>
      <c r="F1160" s="8">
        <v>8565</v>
      </c>
      <c r="G1160" s="8">
        <v>347918</v>
      </c>
      <c r="H1160" s="5">
        <f t="shared" si="37"/>
        <v>356483</v>
      </c>
      <c r="I1160">
        <f>IFERROR(VLOOKUP(D1160,'LEAID Match'!$A$2:$B$251,2,FALSE),"")</f>
        <v>4702460</v>
      </c>
    </row>
    <row r="1161" spans="1:9" x14ac:dyDescent="0.2">
      <c r="A1161">
        <f t="shared" si="36"/>
        <v>4702460</v>
      </c>
      <c r="B1161" s="5">
        <v>2016</v>
      </c>
      <c r="C1161" s="1">
        <v>99139</v>
      </c>
      <c r="D1161" t="s">
        <v>328</v>
      </c>
      <c r="E1161" t="s">
        <v>96</v>
      </c>
      <c r="F1161" s="8">
        <v>12491</v>
      </c>
      <c r="G1161" s="8">
        <v>340998</v>
      </c>
      <c r="H1161" s="5">
        <f t="shared" si="37"/>
        <v>353489</v>
      </c>
      <c r="I1161">
        <f>IFERROR(VLOOKUP(D1161,'LEAID Match'!$A$2:$B$251,2,FALSE),"")</f>
        <v>4702460</v>
      </c>
    </row>
    <row r="1162" spans="1:9" x14ac:dyDescent="0.2">
      <c r="A1162">
        <f t="shared" si="36"/>
        <v>4702460</v>
      </c>
      <c r="B1162" s="5">
        <v>2017</v>
      </c>
      <c r="C1162" s="1">
        <v>99139</v>
      </c>
      <c r="D1162" t="s">
        <v>328</v>
      </c>
      <c r="E1162" t="s">
        <v>328</v>
      </c>
      <c r="F1162" s="8">
        <v>19924</v>
      </c>
      <c r="G1162" s="8">
        <v>317425</v>
      </c>
      <c r="H1162" s="5">
        <f t="shared" si="37"/>
        <v>337349</v>
      </c>
      <c r="I1162">
        <f>IFERROR(VLOOKUP(D1162,'LEAID Match'!$A$2:$B$251,2,FALSE),"")</f>
        <v>4702460</v>
      </c>
    </row>
    <row r="1163" spans="1:9" x14ac:dyDescent="0.2">
      <c r="A1163">
        <f t="shared" si="36"/>
        <v>4702460</v>
      </c>
      <c r="B1163" s="5">
        <v>2018</v>
      </c>
      <c r="C1163" s="1">
        <v>99139</v>
      </c>
      <c r="D1163" t="s">
        <v>328</v>
      </c>
      <c r="E1163" t="s">
        <v>96</v>
      </c>
      <c r="F1163" s="8">
        <v>18702</v>
      </c>
      <c r="G1163" s="8">
        <v>297598</v>
      </c>
      <c r="H1163" s="5">
        <f t="shared" si="37"/>
        <v>316300</v>
      </c>
      <c r="I1163">
        <f>IFERROR(VLOOKUP(D1163,'LEAID Match'!$A$2:$B$251,2,FALSE),"")</f>
        <v>4702460</v>
      </c>
    </row>
    <row r="1164" spans="1:9" x14ac:dyDescent="0.2">
      <c r="A1164">
        <f t="shared" si="36"/>
        <v>4702460</v>
      </c>
      <c r="B1164" s="5">
        <v>2019</v>
      </c>
      <c r="C1164" s="1">
        <v>99139</v>
      </c>
      <c r="D1164" t="s">
        <v>328</v>
      </c>
      <c r="E1164" t="s">
        <v>328</v>
      </c>
      <c r="F1164" s="8">
        <v>10722</v>
      </c>
      <c r="G1164" s="8">
        <v>332798</v>
      </c>
      <c r="H1164" s="5">
        <f t="shared" si="37"/>
        <v>343520</v>
      </c>
      <c r="I1164">
        <f>IFERROR(VLOOKUP(D1164,'LEAID Match'!$A$2:$B$251,2,FALSE),"")</f>
        <v>4702460</v>
      </c>
    </row>
    <row r="1165" spans="1:9" x14ac:dyDescent="0.2">
      <c r="A1165">
        <f t="shared" si="36"/>
        <v>4702460</v>
      </c>
      <c r="B1165" s="5">
        <v>2020</v>
      </c>
      <c r="C1165" s="1">
        <v>99139</v>
      </c>
      <c r="D1165" t="s">
        <v>328</v>
      </c>
      <c r="E1165" t="s">
        <v>328</v>
      </c>
      <c r="F1165" s="8">
        <v>12266.05</v>
      </c>
      <c r="G1165" s="8">
        <v>344908</v>
      </c>
      <c r="H1165" s="5">
        <f t="shared" si="37"/>
        <v>357174.05</v>
      </c>
      <c r="I1165">
        <f>IFERROR(VLOOKUP(D1165,'LEAID Match'!$A$2:$B$251,2,FALSE),"")</f>
        <v>4702460</v>
      </c>
    </row>
    <row r="1166" spans="1:9" x14ac:dyDescent="0.2">
      <c r="A1166">
        <f t="shared" si="36"/>
        <v>4702460</v>
      </c>
      <c r="B1166" s="5">
        <v>2021</v>
      </c>
      <c r="C1166" s="1">
        <v>99139</v>
      </c>
      <c r="D1166" t="s">
        <v>328</v>
      </c>
      <c r="E1166" t="s">
        <v>328</v>
      </c>
      <c r="F1166" s="8">
        <v>12991</v>
      </c>
      <c r="G1166" s="8">
        <v>334190</v>
      </c>
      <c r="H1166" s="5">
        <f t="shared" si="37"/>
        <v>347181</v>
      </c>
      <c r="I1166">
        <f>IFERROR(VLOOKUP(D1166,'LEAID Match'!$A$2:$B$251,2,FALSE),"")</f>
        <v>4702460</v>
      </c>
    </row>
    <row r="1167" spans="1:9" x14ac:dyDescent="0.2">
      <c r="A1167">
        <f t="shared" si="36"/>
        <v>4702460</v>
      </c>
      <c r="B1167" s="5">
        <v>2022</v>
      </c>
      <c r="C1167" s="1">
        <v>99139</v>
      </c>
      <c r="D1167" t="s">
        <v>328</v>
      </c>
      <c r="E1167" t="s">
        <v>328</v>
      </c>
      <c r="F1167" s="8">
        <v>17256.78</v>
      </c>
      <c r="G1167" s="8">
        <v>337825.61</v>
      </c>
      <c r="H1167" s="5">
        <f t="shared" si="37"/>
        <v>355082.39</v>
      </c>
      <c r="I1167">
        <f>IFERROR(VLOOKUP(D1167,'LEAID Match'!$A$2:$B$251,2,FALSE),"")</f>
        <v>4702460</v>
      </c>
    </row>
    <row r="1168" spans="1:9" x14ac:dyDescent="0.2">
      <c r="A1168">
        <f t="shared" si="36"/>
        <v>4702460</v>
      </c>
      <c r="B1168" s="5">
        <v>2023</v>
      </c>
      <c r="C1168" s="1">
        <v>99139</v>
      </c>
      <c r="D1168" t="s">
        <v>328</v>
      </c>
      <c r="E1168" t="s">
        <v>328</v>
      </c>
      <c r="F1168" s="8">
        <v>30460.83</v>
      </c>
      <c r="G1168" s="8">
        <v>279862.59000000003</v>
      </c>
      <c r="H1168" s="5">
        <f t="shared" si="37"/>
        <v>310323.42000000004</v>
      </c>
      <c r="I1168">
        <f>IFERROR(VLOOKUP(D1168,'LEAID Match'!$A$2:$B$251,2,FALSE),"")</f>
        <v>4702460</v>
      </c>
    </row>
    <row r="1169" spans="1:9" x14ac:dyDescent="0.2">
      <c r="A1169">
        <f t="shared" si="36"/>
        <v>0</v>
      </c>
      <c r="B1169" s="5">
        <v>2015</v>
      </c>
      <c r="C1169" s="1">
        <v>91907</v>
      </c>
      <c r="D1169" t="s">
        <v>329</v>
      </c>
      <c r="E1169" t="s">
        <v>97</v>
      </c>
      <c r="F1169" s="8">
        <v>22773</v>
      </c>
      <c r="G1169" s="8">
        <v>109369</v>
      </c>
      <c r="H1169" s="5">
        <f t="shared" si="37"/>
        <v>132142</v>
      </c>
      <c r="I1169">
        <f>IFERROR(VLOOKUP(D1169,'LEAID Match'!$A$2:$B$251,2,FALSE),"")</f>
        <v>0</v>
      </c>
    </row>
    <row r="1170" spans="1:9" x14ac:dyDescent="0.2">
      <c r="A1170">
        <f t="shared" si="36"/>
        <v>0</v>
      </c>
      <c r="B1170" s="5">
        <v>2016</v>
      </c>
      <c r="C1170" s="1">
        <v>91907</v>
      </c>
      <c r="D1170" t="s">
        <v>329</v>
      </c>
      <c r="E1170" t="s">
        <v>97</v>
      </c>
      <c r="F1170" s="8">
        <v>42099</v>
      </c>
      <c r="G1170" s="8">
        <v>65264</v>
      </c>
      <c r="H1170" s="5">
        <f t="shared" si="37"/>
        <v>107363</v>
      </c>
      <c r="I1170">
        <f>IFERROR(VLOOKUP(D1170,'LEAID Match'!$A$2:$B$251,2,FALSE),"")</f>
        <v>0</v>
      </c>
    </row>
    <row r="1171" spans="1:9" x14ac:dyDescent="0.2">
      <c r="A1171">
        <f t="shared" si="36"/>
        <v>0</v>
      </c>
      <c r="B1171" s="5">
        <v>2017</v>
      </c>
      <c r="C1171" s="1">
        <v>91907</v>
      </c>
      <c r="D1171" t="s">
        <v>329</v>
      </c>
      <c r="E1171" t="s">
        <v>329</v>
      </c>
      <c r="F1171" s="8">
        <v>67303</v>
      </c>
      <c r="G1171" s="8">
        <v>47562</v>
      </c>
      <c r="H1171" s="5">
        <f t="shared" si="37"/>
        <v>114865</v>
      </c>
      <c r="I1171">
        <f>IFERROR(VLOOKUP(D1171,'LEAID Match'!$A$2:$B$251,2,FALSE),"")</f>
        <v>0</v>
      </c>
    </row>
    <row r="1172" spans="1:9" x14ac:dyDescent="0.2">
      <c r="A1172">
        <f t="shared" si="36"/>
        <v>0</v>
      </c>
      <c r="B1172" s="5">
        <v>2018</v>
      </c>
      <c r="C1172" s="1">
        <v>91907</v>
      </c>
      <c r="D1172" t="s">
        <v>329</v>
      </c>
      <c r="E1172" t="s">
        <v>97</v>
      </c>
      <c r="F1172" s="8">
        <v>68538</v>
      </c>
      <c r="G1172" s="8">
        <v>49144</v>
      </c>
      <c r="H1172" s="5">
        <f t="shared" si="37"/>
        <v>117682</v>
      </c>
      <c r="I1172">
        <f>IFERROR(VLOOKUP(D1172,'LEAID Match'!$A$2:$B$251,2,FALSE),"")</f>
        <v>0</v>
      </c>
    </row>
    <row r="1173" spans="1:9" x14ac:dyDescent="0.2">
      <c r="A1173">
        <f t="shared" si="36"/>
        <v>0</v>
      </c>
      <c r="B1173" s="5">
        <v>2019</v>
      </c>
      <c r="C1173" s="1">
        <v>91907</v>
      </c>
      <c r="D1173" t="s">
        <v>329</v>
      </c>
      <c r="E1173" t="s">
        <v>329</v>
      </c>
      <c r="F1173" s="8">
        <v>25900</v>
      </c>
      <c r="G1173" s="8">
        <v>59959</v>
      </c>
      <c r="H1173" s="5">
        <f t="shared" si="37"/>
        <v>85859</v>
      </c>
      <c r="I1173">
        <f>IFERROR(VLOOKUP(D1173,'LEAID Match'!$A$2:$B$251,2,FALSE),"")</f>
        <v>0</v>
      </c>
    </row>
    <row r="1174" spans="1:9" x14ac:dyDescent="0.2">
      <c r="A1174">
        <f t="shared" si="36"/>
        <v>0</v>
      </c>
      <c r="B1174" s="5">
        <v>2020</v>
      </c>
      <c r="C1174" s="1">
        <v>91907</v>
      </c>
      <c r="D1174" t="s">
        <v>329</v>
      </c>
      <c r="E1174" t="s">
        <v>329</v>
      </c>
      <c r="F1174" s="8">
        <v>27384</v>
      </c>
      <c r="G1174" s="8">
        <v>57192</v>
      </c>
      <c r="H1174" s="5">
        <f t="shared" si="37"/>
        <v>84576</v>
      </c>
      <c r="I1174">
        <f>IFERROR(VLOOKUP(D1174,'LEAID Match'!$A$2:$B$251,2,FALSE),"")</f>
        <v>0</v>
      </c>
    </row>
    <row r="1175" spans="1:9" x14ac:dyDescent="0.2">
      <c r="A1175">
        <f t="shared" si="36"/>
        <v>0</v>
      </c>
      <c r="B1175" s="5">
        <v>2021</v>
      </c>
      <c r="C1175" s="1">
        <v>91907</v>
      </c>
      <c r="D1175" t="s">
        <v>329</v>
      </c>
      <c r="E1175" t="s">
        <v>329</v>
      </c>
      <c r="F1175" s="8">
        <v>25471</v>
      </c>
      <c r="G1175" s="8">
        <v>63858</v>
      </c>
      <c r="H1175" s="5">
        <f t="shared" si="37"/>
        <v>89329</v>
      </c>
      <c r="I1175">
        <f>IFERROR(VLOOKUP(D1175,'LEAID Match'!$A$2:$B$251,2,FALSE),"")</f>
        <v>0</v>
      </c>
    </row>
    <row r="1176" spans="1:9" x14ac:dyDescent="0.2">
      <c r="A1176">
        <f t="shared" si="36"/>
        <v>0</v>
      </c>
      <c r="B1176" s="5">
        <v>2022</v>
      </c>
      <c r="C1176" s="1">
        <v>91907</v>
      </c>
      <c r="D1176" t="s">
        <v>329</v>
      </c>
      <c r="E1176" t="s">
        <v>329</v>
      </c>
      <c r="F1176" s="8">
        <v>21618.05</v>
      </c>
      <c r="G1176" s="8">
        <v>62321.48</v>
      </c>
      <c r="H1176" s="5">
        <f t="shared" si="37"/>
        <v>83939.53</v>
      </c>
      <c r="I1176">
        <f>IFERROR(VLOOKUP(D1176,'LEAID Match'!$A$2:$B$251,2,FALSE),"")</f>
        <v>0</v>
      </c>
    </row>
    <row r="1177" spans="1:9" x14ac:dyDescent="0.2">
      <c r="A1177">
        <f t="shared" si="36"/>
        <v>0</v>
      </c>
      <c r="B1177" s="5">
        <v>2023</v>
      </c>
      <c r="C1177" s="1">
        <v>91907</v>
      </c>
      <c r="D1177" t="s">
        <v>329</v>
      </c>
      <c r="E1177" t="s">
        <v>329</v>
      </c>
      <c r="F1177" s="8">
        <v>29314.42</v>
      </c>
      <c r="G1177" s="8">
        <v>38114.910000000003</v>
      </c>
      <c r="H1177" s="5">
        <f t="shared" si="37"/>
        <v>67429.33</v>
      </c>
      <c r="I1177">
        <f>IFERROR(VLOOKUP(D1177,'LEAID Match'!$A$2:$B$251,2,FALSE),"")</f>
        <v>0</v>
      </c>
    </row>
    <row r="1178" spans="1:9" x14ac:dyDescent="0.2">
      <c r="A1178">
        <f t="shared" si="36"/>
        <v>4702490</v>
      </c>
      <c r="B1178" s="5">
        <v>2015</v>
      </c>
      <c r="C1178" s="1">
        <v>99052</v>
      </c>
      <c r="D1178" t="s">
        <v>330</v>
      </c>
      <c r="E1178" t="s">
        <v>98</v>
      </c>
      <c r="F1178" s="8">
        <v>25754</v>
      </c>
      <c r="G1178" s="8">
        <v>1309860</v>
      </c>
      <c r="H1178" s="5">
        <f t="shared" si="37"/>
        <v>1335614</v>
      </c>
      <c r="I1178">
        <f>IFERROR(VLOOKUP(D1178,'LEAID Match'!$A$2:$B$251,2,FALSE),"")</f>
        <v>4702490</v>
      </c>
    </row>
    <row r="1179" spans="1:9" x14ac:dyDescent="0.2">
      <c r="A1179">
        <f t="shared" si="36"/>
        <v>4702490</v>
      </c>
      <c r="B1179" s="5">
        <v>2016</v>
      </c>
      <c r="C1179" s="1">
        <v>99052</v>
      </c>
      <c r="D1179" t="s">
        <v>330</v>
      </c>
      <c r="E1179" t="s">
        <v>98</v>
      </c>
      <c r="F1179" s="8">
        <v>55017</v>
      </c>
      <c r="G1179" s="8">
        <v>1307038</v>
      </c>
      <c r="H1179" s="5">
        <f t="shared" si="37"/>
        <v>1362055</v>
      </c>
      <c r="I1179">
        <f>IFERROR(VLOOKUP(D1179,'LEAID Match'!$A$2:$B$251,2,FALSE),"")</f>
        <v>4702490</v>
      </c>
    </row>
    <row r="1180" spans="1:9" x14ac:dyDescent="0.2">
      <c r="A1180">
        <f t="shared" si="36"/>
        <v>4702490</v>
      </c>
      <c r="B1180" s="5">
        <v>2017</v>
      </c>
      <c r="C1180" s="1">
        <v>99052</v>
      </c>
      <c r="D1180" t="s">
        <v>330</v>
      </c>
      <c r="E1180" t="s">
        <v>330</v>
      </c>
      <c r="F1180" s="8">
        <v>93022</v>
      </c>
      <c r="G1180" s="8">
        <v>1254159</v>
      </c>
      <c r="H1180" s="5">
        <f t="shared" si="37"/>
        <v>1347181</v>
      </c>
      <c r="I1180">
        <f>IFERROR(VLOOKUP(D1180,'LEAID Match'!$A$2:$B$251,2,FALSE),"")</f>
        <v>4702490</v>
      </c>
    </row>
    <row r="1181" spans="1:9" x14ac:dyDescent="0.2">
      <c r="A1181">
        <f t="shared" si="36"/>
        <v>4702490</v>
      </c>
      <c r="B1181" s="5">
        <v>2018</v>
      </c>
      <c r="C1181" s="1">
        <v>99052</v>
      </c>
      <c r="D1181" t="s">
        <v>330</v>
      </c>
      <c r="E1181" t="s">
        <v>98</v>
      </c>
      <c r="F1181" s="8">
        <v>127662</v>
      </c>
      <c r="G1181" s="8">
        <v>1215979</v>
      </c>
      <c r="H1181" s="5">
        <f t="shared" si="37"/>
        <v>1343641</v>
      </c>
      <c r="I1181">
        <f>IFERROR(VLOOKUP(D1181,'LEAID Match'!$A$2:$B$251,2,FALSE),"")</f>
        <v>4702490</v>
      </c>
    </row>
    <row r="1182" spans="1:9" x14ac:dyDescent="0.2">
      <c r="A1182">
        <f t="shared" si="36"/>
        <v>4702490</v>
      </c>
      <c r="B1182" s="5">
        <v>2019</v>
      </c>
      <c r="C1182" s="1">
        <v>99052</v>
      </c>
      <c r="D1182" t="s">
        <v>330</v>
      </c>
      <c r="E1182" t="s">
        <v>330</v>
      </c>
      <c r="F1182" s="8">
        <v>72644</v>
      </c>
      <c r="G1182" s="8">
        <v>1337413</v>
      </c>
      <c r="H1182" s="5">
        <f t="shared" si="37"/>
        <v>1410057</v>
      </c>
      <c r="I1182">
        <f>IFERROR(VLOOKUP(D1182,'LEAID Match'!$A$2:$B$251,2,FALSE),"")</f>
        <v>4702490</v>
      </c>
    </row>
    <row r="1183" spans="1:9" x14ac:dyDescent="0.2">
      <c r="A1183">
        <f t="shared" si="36"/>
        <v>4702490</v>
      </c>
      <c r="B1183" s="5">
        <v>2020</v>
      </c>
      <c r="C1183" s="1">
        <v>99052</v>
      </c>
      <c r="D1183" t="s">
        <v>330</v>
      </c>
      <c r="E1183" t="s">
        <v>330</v>
      </c>
      <c r="F1183" s="8">
        <v>91163</v>
      </c>
      <c r="G1183" s="8">
        <v>1293115</v>
      </c>
      <c r="H1183" s="5">
        <f t="shared" si="37"/>
        <v>1384278</v>
      </c>
      <c r="I1183">
        <f>IFERROR(VLOOKUP(D1183,'LEAID Match'!$A$2:$B$251,2,FALSE),"")</f>
        <v>4702490</v>
      </c>
    </row>
    <row r="1184" spans="1:9" x14ac:dyDescent="0.2">
      <c r="A1184">
        <f t="shared" si="36"/>
        <v>4702490</v>
      </c>
      <c r="B1184" s="5">
        <v>2021</v>
      </c>
      <c r="C1184" s="1">
        <v>99052</v>
      </c>
      <c r="D1184" t="s">
        <v>330</v>
      </c>
      <c r="E1184" t="s">
        <v>330</v>
      </c>
      <c r="F1184" s="8">
        <v>102754</v>
      </c>
      <c r="G1184" s="8">
        <v>1278473</v>
      </c>
      <c r="H1184" s="5">
        <f t="shared" si="37"/>
        <v>1381227</v>
      </c>
      <c r="I1184">
        <f>IFERROR(VLOOKUP(D1184,'LEAID Match'!$A$2:$B$251,2,FALSE),"")</f>
        <v>4702490</v>
      </c>
    </row>
    <row r="1185" spans="1:9" x14ac:dyDescent="0.2">
      <c r="A1185">
        <f t="shared" si="36"/>
        <v>4702490</v>
      </c>
      <c r="B1185" s="5">
        <v>2022</v>
      </c>
      <c r="C1185" s="1">
        <v>99052</v>
      </c>
      <c r="D1185" t="s">
        <v>330</v>
      </c>
      <c r="E1185" t="s">
        <v>330</v>
      </c>
      <c r="F1185" s="8">
        <v>121251.66</v>
      </c>
      <c r="G1185" s="8">
        <v>1221446.26</v>
      </c>
      <c r="H1185" s="5">
        <f t="shared" si="37"/>
        <v>1342697.92</v>
      </c>
      <c r="I1185">
        <f>IFERROR(VLOOKUP(D1185,'LEAID Match'!$A$2:$B$251,2,FALSE),"")</f>
        <v>4702490</v>
      </c>
    </row>
    <row r="1186" spans="1:9" x14ac:dyDescent="0.2">
      <c r="A1186">
        <f t="shared" si="36"/>
        <v>4702490</v>
      </c>
      <c r="B1186" s="5">
        <v>2023</v>
      </c>
      <c r="C1186" s="1">
        <v>99052</v>
      </c>
      <c r="D1186" t="s">
        <v>330</v>
      </c>
      <c r="E1186" t="s">
        <v>330</v>
      </c>
      <c r="F1186" s="8">
        <v>206990.43</v>
      </c>
      <c r="G1186" s="8">
        <v>1046700.9</v>
      </c>
      <c r="H1186" s="5">
        <f t="shared" si="37"/>
        <v>1253691.33</v>
      </c>
      <c r="I1186">
        <f>IFERROR(VLOOKUP(D1186,'LEAID Match'!$A$2:$B$251,2,FALSE),"")</f>
        <v>4702490</v>
      </c>
    </row>
    <row r="1187" spans="1:9" x14ac:dyDescent="0.2">
      <c r="A1187">
        <f t="shared" si="36"/>
        <v>0</v>
      </c>
      <c r="B1187" s="5">
        <v>2015</v>
      </c>
      <c r="C1187" s="1">
        <v>99924</v>
      </c>
      <c r="D1187" t="s">
        <v>331</v>
      </c>
      <c r="E1187" t="s">
        <v>99</v>
      </c>
      <c r="F1187" s="8">
        <v>1200</v>
      </c>
      <c r="G1187" s="8">
        <v>36743</v>
      </c>
      <c r="H1187" s="5">
        <f t="shared" si="37"/>
        <v>37943</v>
      </c>
      <c r="I1187">
        <f>IFERROR(VLOOKUP(D1187,'LEAID Match'!$A$2:$B$251,2,FALSE),"")</f>
        <v>0</v>
      </c>
    </row>
    <row r="1188" spans="1:9" x14ac:dyDescent="0.2">
      <c r="A1188">
        <f t="shared" si="36"/>
        <v>0</v>
      </c>
      <c r="B1188" s="5">
        <v>2016</v>
      </c>
      <c r="C1188" s="1">
        <v>99924</v>
      </c>
      <c r="D1188" t="s">
        <v>331</v>
      </c>
      <c r="E1188" t="s">
        <v>99</v>
      </c>
      <c r="F1188" s="8">
        <v>2352</v>
      </c>
      <c r="G1188" s="8">
        <v>22018</v>
      </c>
      <c r="H1188" s="5">
        <f t="shared" si="37"/>
        <v>24370</v>
      </c>
      <c r="I1188">
        <f>IFERROR(VLOOKUP(D1188,'LEAID Match'!$A$2:$B$251,2,FALSE),"")</f>
        <v>0</v>
      </c>
    </row>
    <row r="1189" spans="1:9" x14ac:dyDescent="0.2">
      <c r="A1189">
        <f t="shared" si="36"/>
        <v>0</v>
      </c>
      <c r="B1189" s="5">
        <v>2017</v>
      </c>
      <c r="C1189" s="1">
        <v>99924</v>
      </c>
      <c r="D1189" t="s">
        <v>331</v>
      </c>
      <c r="E1189" t="s">
        <v>331</v>
      </c>
      <c r="F1189" s="8">
        <v>3707</v>
      </c>
      <c r="G1189" s="8">
        <v>26867</v>
      </c>
      <c r="H1189" s="5">
        <f t="shared" si="37"/>
        <v>30574</v>
      </c>
      <c r="I1189">
        <f>IFERROR(VLOOKUP(D1189,'LEAID Match'!$A$2:$B$251,2,FALSE),"")</f>
        <v>0</v>
      </c>
    </row>
    <row r="1190" spans="1:9" x14ac:dyDescent="0.2">
      <c r="A1190">
        <f t="shared" si="36"/>
        <v>0</v>
      </c>
      <c r="B1190" s="5">
        <v>2018</v>
      </c>
      <c r="C1190" s="1">
        <v>99924</v>
      </c>
      <c r="D1190" t="s">
        <v>331</v>
      </c>
      <c r="E1190" t="s">
        <v>463</v>
      </c>
      <c r="F1190" s="8">
        <v>8050</v>
      </c>
      <c r="G1190" s="8">
        <v>26865</v>
      </c>
      <c r="H1190" s="5">
        <f t="shared" si="37"/>
        <v>34915</v>
      </c>
      <c r="I1190">
        <f>IFERROR(VLOOKUP(D1190,'LEAID Match'!$A$2:$B$251,2,FALSE),"")</f>
        <v>0</v>
      </c>
    </row>
    <row r="1191" spans="1:9" x14ac:dyDescent="0.2">
      <c r="A1191">
        <f t="shared" si="36"/>
        <v>0</v>
      </c>
      <c r="B1191" s="5">
        <v>2019</v>
      </c>
      <c r="C1191" s="1">
        <v>99924</v>
      </c>
      <c r="D1191" t="s">
        <v>331</v>
      </c>
      <c r="E1191" t="s">
        <v>331</v>
      </c>
      <c r="F1191" s="8">
        <v>2743</v>
      </c>
      <c r="G1191" s="8">
        <v>40039</v>
      </c>
      <c r="H1191" s="5">
        <f t="shared" si="37"/>
        <v>42782</v>
      </c>
      <c r="I1191">
        <f>IFERROR(VLOOKUP(D1191,'LEAID Match'!$A$2:$B$251,2,FALSE),"")</f>
        <v>0</v>
      </c>
    </row>
    <row r="1192" spans="1:9" x14ac:dyDescent="0.2">
      <c r="A1192">
        <f t="shared" si="36"/>
        <v>0</v>
      </c>
      <c r="B1192" s="5">
        <v>2020</v>
      </c>
      <c r="C1192" s="1">
        <v>99924</v>
      </c>
      <c r="D1192" t="s">
        <v>331</v>
      </c>
      <c r="E1192" t="s">
        <v>331</v>
      </c>
      <c r="F1192" s="8">
        <v>2325</v>
      </c>
      <c r="G1192" s="8">
        <v>32434</v>
      </c>
      <c r="H1192" s="5">
        <f t="shared" si="37"/>
        <v>34759</v>
      </c>
      <c r="I1192">
        <f>IFERROR(VLOOKUP(D1192,'LEAID Match'!$A$2:$B$251,2,FALSE),"")</f>
        <v>0</v>
      </c>
    </row>
    <row r="1193" spans="1:9" x14ac:dyDescent="0.2">
      <c r="A1193">
        <f t="shared" si="36"/>
        <v>0</v>
      </c>
      <c r="B1193" s="5">
        <v>2021</v>
      </c>
      <c r="C1193" s="1">
        <v>99924</v>
      </c>
      <c r="D1193" t="s">
        <v>331</v>
      </c>
      <c r="E1193" t="s">
        <v>331</v>
      </c>
      <c r="F1193" s="8">
        <v>4688</v>
      </c>
      <c r="G1193" s="8">
        <v>32529</v>
      </c>
      <c r="H1193" s="5">
        <f t="shared" si="37"/>
        <v>37217</v>
      </c>
      <c r="I1193">
        <f>IFERROR(VLOOKUP(D1193,'LEAID Match'!$A$2:$B$251,2,FALSE),"")</f>
        <v>0</v>
      </c>
    </row>
    <row r="1194" spans="1:9" x14ac:dyDescent="0.2">
      <c r="A1194">
        <f t="shared" si="36"/>
        <v>0</v>
      </c>
      <c r="B1194" s="5">
        <v>2022</v>
      </c>
      <c r="C1194" s="1">
        <v>99924</v>
      </c>
      <c r="D1194" t="s">
        <v>331</v>
      </c>
      <c r="E1194" t="s">
        <v>331</v>
      </c>
      <c r="F1194" s="8">
        <v>7355.31</v>
      </c>
      <c r="G1194" s="8">
        <v>29412.18</v>
      </c>
      <c r="H1194" s="5">
        <f t="shared" si="37"/>
        <v>36767.49</v>
      </c>
      <c r="I1194">
        <f>IFERROR(VLOOKUP(D1194,'LEAID Match'!$A$2:$B$251,2,FALSE),"")</f>
        <v>0</v>
      </c>
    </row>
    <row r="1195" spans="1:9" x14ac:dyDescent="0.2">
      <c r="A1195">
        <f t="shared" si="36"/>
        <v>0</v>
      </c>
      <c r="B1195" s="5">
        <v>2023</v>
      </c>
      <c r="C1195" s="1">
        <v>99924</v>
      </c>
      <c r="D1195" t="s">
        <v>331</v>
      </c>
      <c r="E1195" t="s">
        <v>331</v>
      </c>
      <c r="F1195" s="8">
        <v>14520.5</v>
      </c>
      <c r="G1195" s="8">
        <v>25021.84</v>
      </c>
      <c r="H1195" s="5">
        <f t="shared" si="37"/>
        <v>39542.339999999997</v>
      </c>
      <c r="I1195">
        <f>IFERROR(VLOOKUP(D1195,'LEAID Match'!$A$2:$B$251,2,FALSE),"")</f>
        <v>0</v>
      </c>
    </row>
    <row r="1196" spans="1:9" x14ac:dyDescent="0.2">
      <c r="A1196">
        <f t="shared" si="36"/>
        <v>4702520</v>
      </c>
      <c r="B1196" s="5">
        <v>2015</v>
      </c>
      <c r="C1196" s="1">
        <v>99053</v>
      </c>
      <c r="D1196" t="s">
        <v>332</v>
      </c>
      <c r="E1196" t="s">
        <v>100</v>
      </c>
      <c r="F1196" s="8">
        <v>39566</v>
      </c>
      <c r="G1196" s="8">
        <v>1644078</v>
      </c>
      <c r="H1196" s="5">
        <f t="shared" si="37"/>
        <v>1683644</v>
      </c>
      <c r="I1196">
        <f>IFERROR(VLOOKUP(D1196,'LEAID Match'!$A$2:$B$251,2,FALSE),"")</f>
        <v>4702520</v>
      </c>
    </row>
    <row r="1197" spans="1:9" x14ac:dyDescent="0.2">
      <c r="A1197">
        <f t="shared" si="36"/>
        <v>4702520</v>
      </c>
      <c r="B1197" s="5">
        <v>2016</v>
      </c>
      <c r="C1197" s="1">
        <v>99053</v>
      </c>
      <c r="D1197" t="s">
        <v>332</v>
      </c>
      <c r="E1197" t="s">
        <v>100</v>
      </c>
      <c r="F1197" s="8">
        <v>80105</v>
      </c>
      <c r="G1197" s="8">
        <v>1583832</v>
      </c>
      <c r="H1197" s="5">
        <f t="shared" si="37"/>
        <v>1663937</v>
      </c>
      <c r="I1197">
        <f>IFERROR(VLOOKUP(D1197,'LEAID Match'!$A$2:$B$251,2,FALSE),"")</f>
        <v>4702520</v>
      </c>
    </row>
    <row r="1198" spans="1:9" x14ac:dyDescent="0.2">
      <c r="A1198">
        <f t="shared" si="36"/>
        <v>4702520</v>
      </c>
      <c r="B1198" s="5">
        <v>2017</v>
      </c>
      <c r="C1198" s="1">
        <v>99053</v>
      </c>
      <c r="D1198" t="s">
        <v>332</v>
      </c>
      <c r="E1198" t="s">
        <v>332</v>
      </c>
      <c r="F1198" s="8">
        <v>118104</v>
      </c>
      <c r="G1198" s="8">
        <v>1550954</v>
      </c>
      <c r="H1198" s="5">
        <f t="shared" si="37"/>
        <v>1669058</v>
      </c>
      <c r="I1198">
        <f>IFERROR(VLOOKUP(D1198,'LEAID Match'!$A$2:$B$251,2,FALSE),"")</f>
        <v>4702520</v>
      </c>
    </row>
    <row r="1199" spans="1:9" x14ac:dyDescent="0.2">
      <c r="A1199">
        <f t="shared" si="36"/>
        <v>4702520</v>
      </c>
      <c r="B1199" s="5">
        <v>2018</v>
      </c>
      <c r="C1199" s="1">
        <v>99053</v>
      </c>
      <c r="D1199" t="s">
        <v>332</v>
      </c>
      <c r="E1199" t="s">
        <v>100</v>
      </c>
      <c r="F1199" s="8">
        <v>147105</v>
      </c>
      <c r="G1199" s="8">
        <v>1548354</v>
      </c>
      <c r="H1199" s="5">
        <f t="shared" si="37"/>
        <v>1695459</v>
      </c>
      <c r="I1199">
        <f>IFERROR(VLOOKUP(D1199,'LEAID Match'!$A$2:$B$251,2,FALSE),"")</f>
        <v>4702520</v>
      </c>
    </row>
    <row r="1200" spans="1:9" x14ac:dyDescent="0.2">
      <c r="A1200">
        <f t="shared" si="36"/>
        <v>4702520</v>
      </c>
      <c r="B1200" s="5">
        <v>2019</v>
      </c>
      <c r="C1200" s="1">
        <v>99053</v>
      </c>
      <c r="D1200" t="s">
        <v>332</v>
      </c>
      <c r="E1200" t="s">
        <v>332</v>
      </c>
      <c r="F1200" s="8">
        <v>85160</v>
      </c>
      <c r="G1200" s="8">
        <v>1756486</v>
      </c>
      <c r="H1200" s="5">
        <f t="shared" si="37"/>
        <v>1841646</v>
      </c>
      <c r="I1200">
        <f>IFERROR(VLOOKUP(D1200,'LEAID Match'!$A$2:$B$251,2,FALSE),"")</f>
        <v>4702520</v>
      </c>
    </row>
    <row r="1201" spans="1:9" x14ac:dyDescent="0.2">
      <c r="A1201">
        <f t="shared" si="36"/>
        <v>4702520</v>
      </c>
      <c r="B1201" s="5">
        <v>2020</v>
      </c>
      <c r="C1201" s="1">
        <v>99053</v>
      </c>
      <c r="D1201" t="s">
        <v>332</v>
      </c>
      <c r="E1201" t="s">
        <v>332</v>
      </c>
      <c r="F1201" s="8">
        <v>107661</v>
      </c>
      <c r="G1201" s="8">
        <v>1639973</v>
      </c>
      <c r="H1201" s="5">
        <f t="shared" si="37"/>
        <v>1747634</v>
      </c>
      <c r="I1201">
        <f>IFERROR(VLOOKUP(D1201,'LEAID Match'!$A$2:$B$251,2,FALSE),"")</f>
        <v>4702520</v>
      </c>
    </row>
    <row r="1202" spans="1:9" x14ac:dyDescent="0.2">
      <c r="A1202">
        <f t="shared" si="36"/>
        <v>4702520</v>
      </c>
      <c r="B1202" s="5">
        <v>2021</v>
      </c>
      <c r="C1202" s="1">
        <v>99053</v>
      </c>
      <c r="D1202" t="s">
        <v>332</v>
      </c>
      <c r="E1202" t="s">
        <v>332</v>
      </c>
      <c r="F1202" s="8">
        <v>135658</v>
      </c>
      <c r="G1202" s="8">
        <v>1617355</v>
      </c>
      <c r="H1202" s="5">
        <f t="shared" si="37"/>
        <v>1753013</v>
      </c>
      <c r="I1202">
        <f>IFERROR(VLOOKUP(D1202,'LEAID Match'!$A$2:$B$251,2,FALSE),"")</f>
        <v>4702520</v>
      </c>
    </row>
    <row r="1203" spans="1:9" x14ac:dyDescent="0.2">
      <c r="A1203">
        <f t="shared" si="36"/>
        <v>4702520</v>
      </c>
      <c r="B1203" s="5">
        <v>2022</v>
      </c>
      <c r="C1203" s="1">
        <v>99053</v>
      </c>
      <c r="D1203" t="s">
        <v>332</v>
      </c>
      <c r="E1203" t="s">
        <v>332</v>
      </c>
      <c r="F1203" s="8">
        <v>150782.89000000001</v>
      </c>
      <c r="G1203" s="8">
        <v>1578723.08</v>
      </c>
      <c r="H1203" s="5">
        <f t="shared" si="37"/>
        <v>1729505.9700000002</v>
      </c>
      <c r="I1203">
        <f>IFERROR(VLOOKUP(D1203,'LEAID Match'!$A$2:$B$251,2,FALSE),"")</f>
        <v>4702520</v>
      </c>
    </row>
    <row r="1204" spans="1:9" x14ac:dyDescent="0.2">
      <c r="A1204">
        <f t="shared" si="36"/>
        <v>4702520</v>
      </c>
      <c r="B1204" s="5">
        <v>2023</v>
      </c>
      <c r="C1204" s="1">
        <v>99053</v>
      </c>
      <c r="D1204" t="s">
        <v>332</v>
      </c>
      <c r="E1204" t="s">
        <v>332</v>
      </c>
      <c r="F1204" s="8">
        <v>261135.13</v>
      </c>
      <c r="G1204" s="8">
        <v>1310375.96</v>
      </c>
      <c r="H1204" s="5">
        <f t="shared" si="37"/>
        <v>1571511.0899999999</v>
      </c>
      <c r="I1204">
        <f>IFERROR(VLOOKUP(D1204,'LEAID Match'!$A$2:$B$251,2,FALSE),"")</f>
        <v>4702520</v>
      </c>
    </row>
    <row r="1205" spans="1:9" x14ac:dyDescent="0.2">
      <c r="A1205">
        <f t="shared" si="36"/>
        <v>4702550</v>
      </c>
      <c r="B1205" s="5">
        <v>2015</v>
      </c>
      <c r="C1205" s="1">
        <v>99056</v>
      </c>
      <c r="D1205" t="s">
        <v>333</v>
      </c>
      <c r="E1205" t="s">
        <v>567</v>
      </c>
      <c r="F1205" s="8">
        <v>37462</v>
      </c>
      <c r="G1205" s="8">
        <v>1112630</v>
      </c>
      <c r="H1205" s="5">
        <f t="shared" si="37"/>
        <v>1150092</v>
      </c>
      <c r="I1205">
        <f>IFERROR(VLOOKUP(D1205,'LEAID Match'!$A$2:$B$251,2,FALSE),"")</f>
        <v>4702550</v>
      </c>
    </row>
    <row r="1206" spans="1:9" x14ac:dyDescent="0.2">
      <c r="A1206">
        <f t="shared" si="36"/>
        <v>4702550</v>
      </c>
      <c r="B1206" s="5">
        <v>2016</v>
      </c>
      <c r="C1206" s="1">
        <v>99056</v>
      </c>
      <c r="D1206" t="s">
        <v>333</v>
      </c>
      <c r="E1206" t="s">
        <v>101</v>
      </c>
      <c r="F1206" s="8">
        <v>58339</v>
      </c>
      <c r="G1206" s="8">
        <v>1121558</v>
      </c>
      <c r="H1206" s="5">
        <f t="shared" si="37"/>
        <v>1179897</v>
      </c>
      <c r="I1206">
        <f>IFERROR(VLOOKUP(D1206,'LEAID Match'!$A$2:$B$251,2,FALSE),"")</f>
        <v>4702550</v>
      </c>
    </row>
    <row r="1207" spans="1:9" x14ac:dyDescent="0.2">
      <c r="A1207">
        <f t="shared" si="36"/>
        <v>4702550</v>
      </c>
      <c r="B1207" s="5">
        <v>2017</v>
      </c>
      <c r="C1207" s="1">
        <v>99056</v>
      </c>
      <c r="D1207" t="s">
        <v>333</v>
      </c>
      <c r="E1207" t="s">
        <v>333</v>
      </c>
      <c r="F1207" s="8">
        <v>75889</v>
      </c>
      <c r="G1207" s="8">
        <v>1140654</v>
      </c>
      <c r="H1207" s="5">
        <f t="shared" si="37"/>
        <v>1216543</v>
      </c>
      <c r="I1207">
        <f>IFERROR(VLOOKUP(D1207,'LEAID Match'!$A$2:$B$251,2,FALSE),"")</f>
        <v>4702550</v>
      </c>
    </row>
    <row r="1208" spans="1:9" x14ac:dyDescent="0.2">
      <c r="A1208">
        <f t="shared" si="36"/>
        <v>4702550</v>
      </c>
      <c r="B1208" s="5">
        <v>2018</v>
      </c>
      <c r="C1208" s="1">
        <v>99056</v>
      </c>
      <c r="D1208" t="s">
        <v>333</v>
      </c>
      <c r="E1208" t="s">
        <v>464</v>
      </c>
      <c r="F1208" s="8">
        <v>85237</v>
      </c>
      <c r="G1208" s="8">
        <v>1155848</v>
      </c>
      <c r="H1208" s="5">
        <f t="shared" si="37"/>
        <v>1241085</v>
      </c>
      <c r="I1208">
        <f>IFERROR(VLOOKUP(D1208,'LEAID Match'!$A$2:$B$251,2,FALSE),"")</f>
        <v>4702550</v>
      </c>
    </row>
    <row r="1209" spans="1:9" x14ac:dyDescent="0.2">
      <c r="A1209">
        <f t="shared" si="36"/>
        <v>4702550</v>
      </c>
      <c r="B1209" s="5">
        <v>2019</v>
      </c>
      <c r="C1209" s="1">
        <v>99056</v>
      </c>
      <c r="D1209" t="s">
        <v>333</v>
      </c>
      <c r="E1209" t="s">
        <v>333</v>
      </c>
      <c r="F1209" s="8">
        <v>48393</v>
      </c>
      <c r="G1209" s="8">
        <v>1341114</v>
      </c>
      <c r="H1209" s="5">
        <f t="shared" si="37"/>
        <v>1389507</v>
      </c>
      <c r="I1209">
        <f>IFERROR(VLOOKUP(D1209,'LEAID Match'!$A$2:$B$251,2,FALSE),"")</f>
        <v>4702550</v>
      </c>
    </row>
    <row r="1210" spans="1:9" x14ac:dyDescent="0.2">
      <c r="A1210">
        <f t="shared" si="36"/>
        <v>4702550</v>
      </c>
      <c r="B1210" s="5">
        <v>2020</v>
      </c>
      <c r="C1210" s="1">
        <v>99056</v>
      </c>
      <c r="D1210" t="s">
        <v>333</v>
      </c>
      <c r="E1210" t="s">
        <v>333</v>
      </c>
      <c r="F1210" s="8">
        <v>67777</v>
      </c>
      <c r="G1210" s="8">
        <v>1356155</v>
      </c>
      <c r="H1210" s="5">
        <f t="shared" si="37"/>
        <v>1423932</v>
      </c>
      <c r="I1210">
        <f>IFERROR(VLOOKUP(D1210,'LEAID Match'!$A$2:$B$251,2,FALSE),"")</f>
        <v>4702550</v>
      </c>
    </row>
    <row r="1211" spans="1:9" x14ac:dyDescent="0.2">
      <c r="A1211">
        <f t="shared" si="36"/>
        <v>4702550</v>
      </c>
      <c r="B1211" s="5">
        <v>2021</v>
      </c>
      <c r="C1211" s="1">
        <v>99056</v>
      </c>
      <c r="D1211" t="s">
        <v>333</v>
      </c>
      <c r="E1211" t="s">
        <v>333</v>
      </c>
      <c r="F1211" s="8">
        <v>77148</v>
      </c>
      <c r="G1211" s="8">
        <v>1282649</v>
      </c>
      <c r="H1211" s="5">
        <f t="shared" si="37"/>
        <v>1359797</v>
      </c>
      <c r="I1211">
        <f>IFERROR(VLOOKUP(D1211,'LEAID Match'!$A$2:$B$251,2,FALSE),"")</f>
        <v>4702550</v>
      </c>
    </row>
    <row r="1212" spans="1:9" x14ac:dyDescent="0.2">
      <c r="A1212">
        <f t="shared" si="36"/>
        <v>4702550</v>
      </c>
      <c r="B1212" s="5">
        <v>2022</v>
      </c>
      <c r="C1212" s="1">
        <v>99056</v>
      </c>
      <c r="D1212" t="s">
        <v>333</v>
      </c>
      <c r="E1212" t="s">
        <v>333</v>
      </c>
      <c r="F1212" s="8">
        <v>91753.77</v>
      </c>
      <c r="G1212" s="8">
        <v>1243512.73</v>
      </c>
      <c r="H1212" s="5">
        <f t="shared" si="37"/>
        <v>1335266.5</v>
      </c>
      <c r="I1212">
        <f>IFERROR(VLOOKUP(D1212,'LEAID Match'!$A$2:$B$251,2,FALSE),"")</f>
        <v>4702550</v>
      </c>
    </row>
    <row r="1213" spans="1:9" x14ac:dyDescent="0.2">
      <c r="A1213">
        <f t="shared" si="36"/>
        <v>4702550</v>
      </c>
      <c r="B1213" s="5">
        <v>2023</v>
      </c>
      <c r="C1213" s="1">
        <v>99056</v>
      </c>
      <c r="D1213" t="s">
        <v>333</v>
      </c>
      <c r="E1213" t="s">
        <v>333</v>
      </c>
      <c r="F1213" s="8">
        <v>160036.6</v>
      </c>
      <c r="G1213" s="8">
        <v>1031125.29</v>
      </c>
      <c r="H1213" s="5">
        <f t="shared" si="37"/>
        <v>1191161.8900000001</v>
      </c>
      <c r="I1213">
        <f>IFERROR(VLOOKUP(D1213,'LEAID Match'!$A$2:$B$251,2,FALSE),"")</f>
        <v>4702550</v>
      </c>
    </row>
    <row r="1214" spans="1:9" x14ac:dyDescent="0.2">
      <c r="A1214">
        <f t="shared" si="36"/>
        <v>4702610</v>
      </c>
      <c r="B1214" s="5">
        <v>2015</v>
      </c>
      <c r="C1214" s="1">
        <v>99116</v>
      </c>
      <c r="D1214" t="s">
        <v>334</v>
      </c>
      <c r="E1214" t="s">
        <v>102</v>
      </c>
      <c r="F1214" s="8">
        <v>4177</v>
      </c>
      <c r="G1214" s="8">
        <v>625091</v>
      </c>
      <c r="H1214" s="5">
        <f t="shared" si="37"/>
        <v>629268</v>
      </c>
      <c r="I1214">
        <f>IFERROR(VLOOKUP(D1214,'LEAID Match'!$A$2:$B$251,2,FALSE),"")</f>
        <v>4702610</v>
      </c>
    </row>
    <row r="1215" spans="1:9" x14ac:dyDescent="0.2">
      <c r="A1215">
        <f t="shared" si="36"/>
        <v>4702610</v>
      </c>
      <c r="B1215" s="5">
        <v>2016</v>
      </c>
      <c r="C1215" s="1">
        <v>99116</v>
      </c>
      <c r="D1215" t="s">
        <v>334</v>
      </c>
      <c r="E1215" t="s">
        <v>102</v>
      </c>
      <c r="F1215" s="8">
        <v>10961</v>
      </c>
      <c r="G1215" s="8">
        <v>574012</v>
      </c>
      <c r="H1215" s="5">
        <f t="shared" si="37"/>
        <v>584973</v>
      </c>
      <c r="I1215">
        <f>IFERROR(VLOOKUP(D1215,'LEAID Match'!$A$2:$B$251,2,FALSE),"")</f>
        <v>4702610</v>
      </c>
    </row>
    <row r="1216" spans="1:9" x14ac:dyDescent="0.2">
      <c r="A1216">
        <f t="shared" si="36"/>
        <v>4702610</v>
      </c>
      <c r="B1216" s="5">
        <v>2017</v>
      </c>
      <c r="C1216" s="1">
        <v>99116</v>
      </c>
      <c r="D1216" t="s">
        <v>334</v>
      </c>
      <c r="E1216" t="s">
        <v>334</v>
      </c>
      <c r="F1216" s="8">
        <v>15801</v>
      </c>
      <c r="G1216" s="8">
        <v>588109</v>
      </c>
      <c r="H1216" s="5">
        <f t="shared" si="37"/>
        <v>603910</v>
      </c>
      <c r="I1216">
        <f>IFERROR(VLOOKUP(D1216,'LEAID Match'!$A$2:$B$251,2,FALSE),"")</f>
        <v>4702610</v>
      </c>
    </row>
    <row r="1217" spans="1:9" x14ac:dyDescent="0.2">
      <c r="A1217">
        <f t="shared" si="36"/>
        <v>4702610</v>
      </c>
      <c r="B1217" s="5">
        <v>2018</v>
      </c>
      <c r="C1217" s="1">
        <v>99116</v>
      </c>
      <c r="D1217" t="s">
        <v>334</v>
      </c>
      <c r="E1217" t="s">
        <v>102</v>
      </c>
      <c r="F1217" s="8">
        <v>18476</v>
      </c>
      <c r="G1217" s="8">
        <v>603691</v>
      </c>
      <c r="H1217" s="5">
        <f t="shared" si="37"/>
        <v>622167</v>
      </c>
      <c r="I1217">
        <f>IFERROR(VLOOKUP(D1217,'LEAID Match'!$A$2:$B$251,2,FALSE),"")</f>
        <v>4702610</v>
      </c>
    </row>
    <row r="1218" spans="1:9" x14ac:dyDescent="0.2">
      <c r="A1218">
        <f t="shared" si="36"/>
        <v>4702610</v>
      </c>
      <c r="B1218" s="5">
        <v>2019</v>
      </c>
      <c r="C1218" s="1">
        <v>99116</v>
      </c>
      <c r="D1218" t="s">
        <v>334</v>
      </c>
      <c r="E1218" t="s">
        <v>334</v>
      </c>
      <c r="F1218" s="8">
        <v>10121</v>
      </c>
      <c r="G1218" s="8">
        <v>680260</v>
      </c>
      <c r="H1218" s="5">
        <f t="shared" si="37"/>
        <v>690381</v>
      </c>
      <c r="I1218">
        <f>IFERROR(VLOOKUP(D1218,'LEAID Match'!$A$2:$B$251,2,FALSE),"")</f>
        <v>4702610</v>
      </c>
    </row>
    <row r="1219" spans="1:9" x14ac:dyDescent="0.2">
      <c r="A1219">
        <f t="shared" ref="A1219:A1282" si="38">I1219</f>
        <v>4702610</v>
      </c>
      <c r="B1219" s="5">
        <v>2020</v>
      </c>
      <c r="C1219" s="1">
        <v>99116</v>
      </c>
      <c r="D1219" t="s">
        <v>334</v>
      </c>
      <c r="E1219" t="s">
        <v>334</v>
      </c>
      <c r="F1219" s="8">
        <v>12650</v>
      </c>
      <c r="G1219" s="8">
        <v>702611</v>
      </c>
      <c r="H1219" s="5">
        <f t="shared" ref="H1219:H1282" si="39">SUM(F1219:G1219)</f>
        <v>715261</v>
      </c>
      <c r="I1219">
        <f>IFERROR(VLOOKUP(D1219,'LEAID Match'!$A$2:$B$251,2,FALSE),"")</f>
        <v>4702610</v>
      </c>
    </row>
    <row r="1220" spans="1:9" x14ac:dyDescent="0.2">
      <c r="A1220">
        <f t="shared" si="38"/>
        <v>4702610</v>
      </c>
      <c r="B1220" s="5">
        <v>2021</v>
      </c>
      <c r="C1220" s="1">
        <v>99116</v>
      </c>
      <c r="D1220" t="s">
        <v>334</v>
      </c>
      <c r="E1220" t="s">
        <v>334</v>
      </c>
      <c r="F1220" s="8">
        <v>17848</v>
      </c>
      <c r="G1220" s="8">
        <v>697386</v>
      </c>
      <c r="H1220" s="5">
        <f t="shared" si="39"/>
        <v>715234</v>
      </c>
      <c r="I1220">
        <f>IFERROR(VLOOKUP(D1220,'LEAID Match'!$A$2:$B$251,2,FALSE),"")</f>
        <v>4702610</v>
      </c>
    </row>
    <row r="1221" spans="1:9" x14ac:dyDescent="0.2">
      <c r="A1221">
        <f t="shared" si="38"/>
        <v>4702610</v>
      </c>
      <c r="B1221" s="5">
        <v>2022</v>
      </c>
      <c r="C1221" s="1">
        <v>99116</v>
      </c>
      <c r="D1221" t="s">
        <v>334</v>
      </c>
      <c r="E1221" t="s">
        <v>334</v>
      </c>
      <c r="F1221" s="8">
        <v>21260.79</v>
      </c>
      <c r="G1221" s="8">
        <v>752660.06</v>
      </c>
      <c r="H1221" s="5">
        <f t="shared" si="39"/>
        <v>773920.85000000009</v>
      </c>
      <c r="I1221">
        <f>IFERROR(VLOOKUP(D1221,'LEAID Match'!$A$2:$B$251,2,FALSE),"")</f>
        <v>4702610</v>
      </c>
    </row>
    <row r="1222" spans="1:9" x14ac:dyDescent="0.2">
      <c r="A1222">
        <f t="shared" si="38"/>
        <v>4702610</v>
      </c>
      <c r="B1222" s="5">
        <v>2023</v>
      </c>
      <c r="C1222" s="1">
        <v>99116</v>
      </c>
      <c r="D1222" t="s">
        <v>334</v>
      </c>
      <c r="E1222" t="s">
        <v>334</v>
      </c>
      <c r="F1222" s="8">
        <v>39502.04</v>
      </c>
      <c r="G1222" s="8">
        <v>633603.04</v>
      </c>
      <c r="H1222" s="5">
        <f t="shared" si="39"/>
        <v>673105.08000000007</v>
      </c>
      <c r="I1222">
        <f>IFERROR(VLOOKUP(D1222,'LEAID Match'!$A$2:$B$251,2,FALSE),"")</f>
        <v>4702610</v>
      </c>
    </row>
    <row r="1223" spans="1:9" x14ac:dyDescent="0.2">
      <c r="A1223">
        <f t="shared" si="38"/>
        <v>4702640</v>
      </c>
      <c r="B1223" s="5">
        <v>2015</v>
      </c>
      <c r="C1223" s="1">
        <v>99058</v>
      </c>
      <c r="D1223" t="s">
        <v>335</v>
      </c>
      <c r="E1223" t="s">
        <v>103</v>
      </c>
      <c r="F1223" s="8">
        <v>23373</v>
      </c>
      <c r="G1223" s="8">
        <v>1311722</v>
      </c>
      <c r="H1223" s="5">
        <f t="shared" si="39"/>
        <v>1335095</v>
      </c>
      <c r="I1223">
        <f>IFERROR(VLOOKUP(D1223,'LEAID Match'!$A$2:$B$251,2,FALSE),"")</f>
        <v>4702640</v>
      </c>
    </row>
    <row r="1224" spans="1:9" x14ac:dyDescent="0.2">
      <c r="A1224">
        <f t="shared" si="38"/>
        <v>4702640</v>
      </c>
      <c r="B1224" s="5">
        <v>2016</v>
      </c>
      <c r="C1224" s="1">
        <v>99058</v>
      </c>
      <c r="D1224" t="s">
        <v>335</v>
      </c>
      <c r="E1224" t="s">
        <v>103</v>
      </c>
      <c r="F1224" s="8">
        <v>37708</v>
      </c>
      <c r="G1224" s="8">
        <v>1290031</v>
      </c>
      <c r="H1224" s="5">
        <f t="shared" si="39"/>
        <v>1327739</v>
      </c>
      <c r="I1224">
        <f>IFERROR(VLOOKUP(D1224,'LEAID Match'!$A$2:$B$251,2,FALSE),"")</f>
        <v>4702640</v>
      </c>
    </row>
    <row r="1225" spans="1:9" x14ac:dyDescent="0.2">
      <c r="A1225">
        <f t="shared" si="38"/>
        <v>4702640</v>
      </c>
      <c r="B1225" s="5">
        <v>2017</v>
      </c>
      <c r="C1225" s="1">
        <v>99058</v>
      </c>
      <c r="D1225" t="s">
        <v>335</v>
      </c>
      <c r="E1225" t="s">
        <v>335</v>
      </c>
      <c r="F1225" s="8">
        <v>57654</v>
      </c>
      <c r="G1225" s="8">
        <v>1271709</v>
      </c>
      <c r="H1225" s="5">
        <f t="shared" si="39"/>
        <v>1329363</v>
      </c>
      <c r="I1225">
        <f>IFERROR(VLOOKUP(D1225,'LEAID Match'!$A$2:$B$251,2,FALSE),"")</f>
        <v>4702640</v>
      </c>
    </row>
    <row r="1226" spans="1:9" x14ac:dyDescent="0.2">
      <c r="A1226">
        <f t="shared" si="38"/>
        <v>4702640</v>
      </c>
      <c r="B1226" s="5">
        <v>2018</v>
      </c>
      <c r="C1226" s="1">
        <v>99058</v>
      </c>
      <c r="D1226" t="s">
        <v>335</v>
      </c>
      <c r="E1226" t="s">
        <v>103</v>
      </c>
      <c r="F1226" s="8">
        <v>70939</v>
      </c>
      <c r="G1226" s="8">
        <v>1282612</v>
      </c>
      <c r="H1226" s="5">
        <f t="shared" si="39"/>
        <v>1353551</v>
      </c>
      <c r="I1226">
        <f>IFERROR(VLOOKUP(D1226,'LEAID Match'!$A$2:$B$251,2,FALSE),"")</f>
        <v>4702640</v>
      </c>
    </row>
    <row r="1227" spans="1:9" x14ac:dyDescent="0.2">
      <c r="A1227">
        <f t="shared" si="38"/>
        <v>4702640</v>
      </c>
      <c r="B1227" s="5">
        <v>2019</v>
      </c>
      <c r="C1227" s="1">
        <v>99058</v>
      </c>
      <c r="D1227" t="s">
        <v>335</v>
      </c>
      <c r="E1227" t="s">
        <v>335</v>
      </c>
      <c r="F1227" s="8">
        <v>44421</v>
      </c>
      <c r="G1227" s="8">
        <v>1436392</v>
      </c>
      <c r="H1227" s="5">
        <f t="shared" si="39"/>
        <v>1480813</v>
      </c>
      <c r="I1227">
        <f>IFERROR(VLOOKUP(D1227,'LEAID Match'!$A$2:$B$251,2,FALSE),"")</f>
        <v>4702640</v>
      </c>
    </row>
    <row r="1228" spans="1:9" x14ac:dyDescent="0.2">
      <c r="A1228">
        <f t="shared" si="38"/>
        <v>4702640</v>
      </c>
      <c r="B1228" s="5">
        <v>2020</v>
      </c>
      <c r="C1228" s="1">
        <v>99058</v>
      </c>
      <c r="D1228" t="s">
        <v>335</v>
      </c>
      <c r="E1228" t="s">
        <v>335</v>
      </c>
      <c r="F1228" s="8">
        <v>55706</v>
      </c>
      <c r="G1228" s="8">
        <v>1425267</v>
      </c>
      <c r="H1228" s="5">
        <f t="shared" si="39"/>
        <v>1480973</v>
      </c>
      <c r="I1228">
        <f>IFERROR(VLOOKUP(D1228,'LEAID Match'!$A$2:$B$251,2,FALSE),"")</f>
        <v>4702640</v>
      </c>
    </row>
    <row r="1229" spans="1:9" x14ac:dyDescent="0.2">
      <c r="A1229">
        <f t="shared" si="38"/>
        <v>4702640</v>
      </c>
      <c r="B1229" s="5">
        <v>2021</v>
      </c>
      <c r="C1229" s="1">
        <v>99058</v>
      </c>
      <c r="D1229" t="s">
        <v>335</v>
      </c>
      <c r="E1229" t="s">
        <v>335</v>
      </c>
      <c r="F1229" s="8">
        <v>60510</v>
      </c>
      <c r="G1229" s="8">
        <v>1344627</v>
      </c>
      <c r="H1229" s="5">
        <f t="shared" si="39"/>
        <v>1405137</v>
      </c>
      <c r="I1229">
        <f>IFERROR(VLOOKUP(D1229,'LEAID Match'!$A$2:$B$251,2,FALSE),"")</f>
        <v>4702640</v>
      </c>
    </row>
    <row r="1230" spans="1:9" x14ac:dyDescent="0.2">
      <c r="A1230">
        <f t="shared" si="38"/>
        <v>4702640</v>
      </c>
      <c r="B1230" s="5">
        <v>2022</v>
      </c>
      <c r="C1230" s="1">
        <v>99058</v>
      </c>
      <c r="D1230" t="s">
        <v>335</v>
      </c>
      <c r="E1230" t="s">
        <v>335</v>
      </c>
      <c r="F1230" s="8">
        <v>80738.509999999893</v>
      </c>
      <c r="G1230" s="8">
        <v>1343146.42</v>
      </c>
      <c r="H1230" s="5">
        <f t="shared" si="39"/>
        <v>1423884.9299999997</v>
      </c>
      <c r="I1230">
        <f>IFERROR(VLOOKUP(D1230,'LEAID Match'!$A$2:$B$251,2,FALSE),"")</f>
        <v>4702640</v>
      </c>
    </row>
    <row r="1231" spans="1:9" x14ac:dyDescent="0.2">
      <c r="A1231">
        <f t="shared" si="38"/>
        <v>4702640</v>
      </c>
      <c r="B1231" s="5">
        <v>2023</v>
      </c>
      <c r="C1231" s="1">
        <v>99058</v>
      </c>
      <c r="D1231" t="s">
        <v>335</v>
      </c>
      <c r="E1231" t="s">
        <v>335</v>
      </c>
      <c r="F1231" s="8">
        <v>128350.16</v>
      </c>
      <c r="G1231" s="8">
        <v>1121025.46</v>
      </c>
      <c r="H1231" s="5">
        <f t="shared" si="39"/>
        <v>1249375.6199999999</v>
      </c>
      <c r="I1231">
        <f>IFERROR(VLOOKUP(D1231,'LEAID Match'!$A$2:$B$251,2,FALSE),"")</f>
        <v>4702640</v>
      </c>
    </row>
    <row r="1232" spans="1:9" x14ac:dyDescent="0.2">
      <c r="A1232">
        <f t="shared" si="38"/>
        <v>4702670</v>
      </c>
      <c r="B1232" s="5">
        <v>2015</v>
      </c>
      <c r="C1232" s="1">
        <v>99059</v>
      </c>
      <c r="D1232" t="s">
        <v>336</v>
      </c>
      <c r="E1232" t="s">
        <v>104</v>
      </c>
      <c r="F1232" s="8">
        <v>43779</v>
      </c>
      <c r="G1232" s="8">
        <v>1675968</v>
      </c>
      <c r="H1232" s="5">
        <f t="shared" si="39"/>
        <v>1719747</v>
      </c>
      <c r="I1232">
        <f>IFERROR(VLOOKUP(D1232,'LEAID Match'!$A$2:$B$251,2,FALSE),"")</f>
        <v>4702670</v>
      </c>
    </row>
    <row r="1233" spans="1:9" x14ac:dyDescent="0.2">
      <c r="A1233">
        <f t="shared" si="38"/>
        <v>4702670</v>
      </c>
      <c r="B1233" s="5">
        <v>2016</v>
      </c>
      <c r="C1233" s="1">
        <v>99059</v>
      </c>
      <c r="D1233" t="s">
        <v>336</v>
      </c>
      <c r="E1233" t="s">
        <v>104</v>
      </c>
      <c r="F1233" s="8">
        <v>71190</v>
      </c>
      <c r="G1233" s="8">
        <v>1658502</v>
      </c>
      <c r="H1233" s="5">
        <f t="shared" si="39"/>
        <v>1729692</v>
      </c>
      <c r="I1233">
        <f>IFERROR(VLOOKUP(D1233,'LEAID Match'!$A$2:$B$251,2,FALSE),"")</f>
        <v>4702670</v>
      </c>
    </row>
    <row r="1234" spans="1:9" x14ac:dyDescent="0.2">
      <c r="A1234">
        <f t="shared" si="38"/>
        <v>4702670</v>
      </c>
      <c r="B1234" s="5">
        <v>2017</v>
      </c>
      <c r="C1234" s="1">
        <v>99059</v>
      </c>
      <c r="D1234" t="s">
        <v>336</v>
      </c>
      <c r="E1234" t="s">
        <v>336</v>
      </c>
      <c r="F1234" s="8">
        <v>95264</v>
      </c>
      <c r="G1234" s="8">
        <v>1673159</v>
      </c>
      <c r="H1234" s="5">
        <f t="shared" si="39"/>
        <v>1768423</v>
      </c>
      <c r="I1234">
        <f>IFERROR(VLOOKUP(D1234,'LEAID Match'!$A$2:$B$251,2,FALSE),"")</f>
        <v>4702670</v>
      </c>
    </row>
    <row r="1235" spans="1:9" x14ac:dyDescent="0.2">
      <c r="A1235">
        <f t="shared" si="38"/>
        <v>4702670</v>
      </c>
      <c r="B1235" s="5">
        <v>2018</v>
      </c>
      <c r="C1235" s="1">
        <v>99059</v>
      </c>
      <c r="D1235" t="s">
        <v>336</v>
      </c>
      <c r="E1235" t="s">
        <v>104</v>
      </c>
      <c r="F1235" s="8">
        <v>126656</v>
      </c>
      <c r="G1235" s="8">
        <v>1659365</v>
      </c>
      <c r="H1235" s="5">
        <f t="shared" si="39"/>
        <v>1786021</v>
      </c>
      <c r="I1235">
        <f>IFERROR(VLOOKUP(D1235,'LEAID Match'!$A$2:$B$251,2,FALSE),"")</f>
        <v>4702670</v>
      </c>
    </row>
    <row r="1236" spans="1:9" x14ac:dyDescent="0.2">
      <c r="A1236">
        <f t="shared" si="38"/>
        <v>4702670</v>
      </c>
      <c r="B1236" s="5">
        <v>2019</v>
      </c>
      <c r="C1236" s="1">
        <v>99059</v>
      </c>
      <c r="D1236" t="s">
        <v>336</v>
      </c>
      <c r="E1236" t="s">
        <v>336</v>
      </c>
      <c r="F1236" s="8">
        <v>80189</v>
      </c>
      <c r="G1236" s="8">
        <v>1856168</v>
      </c>
      <c r="H1236" s="5">
        <f t="shared" si="39"/>
        <v>1936357</v>
      </c>
      <c r="I1236">
        <f>IFERROR(VLOOKUP(D1236,'LEAID Match'!$A$2:$B$251,2,FALSE),"")</f>
        <v>4702670</v>
      </c>
    </row>
    <row r="1237" spans="1:9" x14ac:dyDescent="0.2">
      <c r="A1237">
        <f t="shared" si="38"/>
        <v>4702670</v>
      </c>
      <c r="B1237" s="5">
        <v>2020</v>
      </c>
      <c r="C1237" s="1">
        <v>99059</v>
      </c>
      <c r="D1237" t="s">
        <v>336</v>
      </c>
      <c r="E1237" t="s">
        <v>336</v>
      </c>
      <c r="F1237" s="8">
        <v>99850</v>
      </c>
      <c r="G1237" s="8">
        <v>1793125</v>
      </c>
      <c r="H1237" s="5">
        <f t="shared" si="39"/>
        <v>1892975</v>
      </c>
      <c r="I1237">
        <f>IFERROR(VLOOKUP(D1237,'LEAID Match'!$A$2:$B$251,2,FALSE),"")</f>
        <v>4702670</v>
      </c>
    </row>
    <row r="1238" spans="1:9" x14ac:dyDescent="0.2">
      <c r="A1238">
        <f t="shared" si="38"/>
        <v>4702670</v>
      </c>
      <c r="B1238" s="5">
        <v>2021</v>
      </c>
      <c r="C1238" s="1">
        <v>99059</v>
      </c>
      <c r="D1238" t="s">
        <v>336</v>
      </c>
      <c r="E1238" t="s">
        <v>336</v>
      </c>
      <c r="F1238" s="8">
        <v>103807</v>
      </c>
      <c r="G1238" s="8">
        <v>1721645</v>
      </c>
      <c r="H1238" s="5">
        <f t="shared" si="39"/>
        <v>1825452</v>
      </c>
      <c r="I1238">
        <f>IFERROR(VLOOKUP(D1238,'LEAID Match'!$A$2:$B$251,2,FALSE),"")</f>
        <v>4702670</v>
      </c>
    </row>
    <row r="1239" spans="1:9" x14ac:dyDescent="0.2">
      <c r="A1239">
        <f t="shared" si="38"/>
        <v>4702670</v>
      </c>
      <c r="B1239" s="5">
        <v>2022</v>
      </c>
      <c r="C1239" s="1">
        <v>99059</v>
      </c>
      <c r="D1239" t="s">
        <v>336</v>
      </c>
      <c r="E1239" t="s">
        <v>336</v>
      </c>
      <c r="F1239" s="8">
        <v>123203.52</v>
      </c>
      <c r="G1239" s="8">
        <v>1720988.07</v>
      </c>
      <c r="H1239" s="5">
        <f t="shared" si="39"/>
        <v>1844191.59</v>
      </c>
      <c r="I1239">
        <f>IFERROR(VLOOKUP(D1239,'LEAID Match'!$A$2:$B$251,2,FALSE),"")</f>
        <v>4702670</v>
      </c>
    </row>
    <row r="1240" spans="1:9" x14ac:dyDescent="0.2">
      <c r="A1240">
        <f t="shared" si="38"/>
        <v>4702670</v>
      </c>
      <c r="B1240" s="5">
        <v>2023</v>
      </c>
      <c r="C1240" s="1">
        <v>99059</v>
      </c>
      <c r="D1240" t="s">
        <v>336</v>
      </c>
      <c r="E1240" t="s">
        <v>336</v>
      </c>
      <c r="F1240" s="8">
        <v>199717.22</v>
      </c>
      <c r="G1240" s="8">
        <v>1454958.24</v>
      </c>
      <c r="H1240" s="5">
        <f t="shared" si="39"/>
        <v>1654675.46</v>
      </c>
      <c r="I1240">
        <f>IFERROR(VLOOKUP(D1240,'LEAID Match'!$A$2:$B$251,2,FALSE),"")</f>
        <v>4702670</v>
      </c>
    </row>
    <row r="1241" spans="1:9" x14ac:dyDescent="0.2">
      <c r="A1241">
        <f t="shared" si="38"/>
        <v>0</v>
      </c>
      <c r="B1241" s="5">
        <v>2015</v>
      </c>
      <c r="C1241" s="1">
        <v>91908</v>
      </c>
      <c r="D1241" t="s">
        <v>491</v>
      </c>
      <c r="E1241" t="s">
        <v>105</v>
      </c>
      <c r="F1241" s="8">
        <v>12755</v>
      </c>
      <c r="G1241" s="8">
        <v>71263</v>
      </c>
      <c r="H1241" s="5">
        <f t="shared" si="39"/>
        <v>84018</v>
      </c>
      <c r="I1241">
        <f>IFERROR(VLOOKUP(D1241,'LEAID Match'!$A$2:$B$251,2,FALSE),"")</f>
        <v>0</v>
      </c>
    </row>
    <row r="1242" spans="1:9" x14ac:dyDescent="0.2">
      <c r="A1242">
        <f t="shared" si="38"/>
        <v>0</v>
      </c>
      <c r="B1242" s="5">
        <v>2016</v>
      </c>
      <c r="C1242" s="1">
        <v>91908</v>
      </c>
      <c r="D1242" t="s">
        <v>491</v>
      </c>
      <c r="E1242" t="s">
        <v>105</v>
      </c>
      <c r="F1242" s="8">
        <v>37056</v>
      </c>
      <c r="G1242" s="8">
        <v>85422</v>
      </c>
      <c r="H1242" s="5">
        <f t="shared" si="39"/>
        <v>122478</v>
      </c>
      <c r="I1242">
        <f>IFERROR(VLOOKUP(D1242,'LEAID Match'!$A$2:$B$251,2,FALSE),"")</f>
        <v>0</v>
      </c>
    </row>
    <row r="1243" spans="1:9" x14ac:dyDescent="0.2">
      <c r="A1243">
        <f t="shared" si="38"/>
        <v>0</v>
      </c>
      <c r="B1243" s="5">
        <v>2017</v>
      </c>
      <c r="C1243" s="1">
        <v>91908</v>
      </c>
      <c r="D1243" t="s">
        <v>491</v>
      </c>
      <c r="E1243" t="s">
        <v>337</v>
      </c>
      <c r="F1243" s="8">
        <v>46773</v>
      </c>
      <c r="G1243" s="8">
        <v>100176</v>
      </c>
      <c r="H1243" s="5">
        <f t="shared" si="39"/>
        <v>146949</v>
      </c>
      <c r="I1243">
        <f>IFERROR(VLOOKUP(D1243,'LEAID Match'!$A$2:$B$251,2,FALSE),"")</f>
        <v>0</v>
      </c>
    </row>
    <row r="1244" spans="1:9" x14ac:dyDescent="0.2">
      <c r="A1244">
        <f t="shared" si="38"/>
        <v>0</v>
      </c>
      <c r="B1244" s="5">
        <v>2018</v>
      </c>
      <c r="C1244" s="1">
        <v>91908</v>
      </c>
      <c r="D1244" t="s">
        <v>491</v>
      </c>
      <c r="E1244" t="s">
        <v>105</v>
      </c>
      <c r="F1244" s="8">
        <v>75083</v>
      </c>
      <c r="G1244" s="8">
        <v>146183</v>
      </c>
      <c r="H1244" s="5">
        <f t="shared" si="39"/>
        <v>221266</v>
      </c>
      <c r="I1244">
        <f>IFERROR(VLOOKUP(D1244,'LEAID Match'!$A$2:$B$251,2,FALSE),"")</f>
        <v>0</v>
      </c>
    </row>
    <row r="1245" spans="1:9" x14ac:dyDescent="0.2">
      <c r="A1245">
        <f t="shared" si="38"/>
        <v>0</v>
      </c>
      <c r="B1245" s="5">
        <v>2019</v>
      </c>
      <c r="C1245" s="1">
        <v>91908</v>
      </c>
      <c r="D1245" t="s">
        <v>491</v>
      </c>
      <c r="E1245" t="s">
        <v>491</v>
      </c>
      <c r="F1245" s="8">
        <v>57169</v>
      </c>
      <c r="G1245" s="8">
        <v>171599</v>
      </c>
      <c r="H1245" s="5">
        <f t="shared" si="39"/>
        <v>228768</v>
      </c>
      <c r="I1245">
        <f>IFERROR(VLOOKUP(D1245,'LEAID Match'!$A$2:$B$251,2,FALSE),"")</f>
        <v>0</v>
      </c>
    </row>
    <row r="1246" spans="1:9" x14ac:dyDescent="0.2">
      <c r="A1246">
        <f t="shared" si="38"/>
        <v>0</v>
      </c>
      <c r="B1246" s="5">
        <v>2020</v>
      </c>
      <c r="C1246" s="1">
        <v>91908</v>
      </c>
      <c r="D1246" t="s">
        <v>491</v>
      </c>
      <c r="E1246" t="s">
        <v>491</v>
      </c>
      <c r="F1246" s="8">
        <v>75007</v>
      </c>
      <c r="G1246" s="8">
        <v>161818</v>
      </c>
      <c r="H1246" s="5">
        <f t="shared" si="39"/>
        <v>236825</v>
      </c>
      <c r="I1246">
        <f>IFERROR(VLOOKUP(D1246,'LEAID Match'!$A$2:$B$251,2,FALSE),"")</f>
        <v>0</v>
      </c>
    </row>
    <row r="1247" spans="1:9" x14ac:dyDescent="0.2">
      <c r="A1247">
        <f t="shared" si="38"/>
        <v>0</v>
      </c>
      <c r="B1247" s="5">
        <v>2021</v>
      </c>
      <c r="C1247" s="1">
        <v>91908</v>
      </c>
      <c r="D1247" t="s">
        <v>491</v>
      </c>
      <c r="E1247" t="s">
        <v>491</v>
      </c>
      <c r="F1247" s="8">
        <v>57230</v>
      </c>
      <c r="G1247" s="8">
        <v>138089</v>
      </c>
      <c r="H1247" s="5">
        <f t="shared" si="39"/>
        <v>195319</v>
      </c>
      <c r="I1247">
        <f>IFERROR(VLOOKUP(D1247,'LEAID Match'!$A$2:$B$251,2,FALSE),"")</f>
        <v>0</v>
      </c>
    </row>
    <row r="1248" spans="1:9" x14ac:dyDescent="0.2">
      <c r="A1248">
        <f t="shared" si="38"/>
        <v>0</v>
      </c>
      <c r="B1248" s="5">
        <v>2022</v>
      </c>
      <c r="C1248" s="1">
        <v>91908</v>
      </c>
      <c r="D1248" t="s">
        <v>491</v>
      </c>
      <c r="E1248" t="s">
        <v>491</v>
      </c>
      <c r="F1248" s="8">
        <v>69875.39</v>
      </c>
      <c r="G1248" s="8">
        <v>135790.34</v>
      </c>
      <c r="H1248" s="5">
        <f t="shared" si="39"/>
        <v>205665.72999999998</v>
      </c>
      <c r="I1248">
        <f>IFERROR(VLOOKUP(D1248,'LEAID Match'!$A$2:$B$251,2,FALSE),"")</f>
        <v>0</v>
      </c>
    </row>
    <row r="1249" spans="1:9" x14ac:dyDescent="0.2">
      <c r="A1249">
        <f t="shared" si="38"/>
        <v>0</v>
      </c>
      <c r="B1249" s="5">
        <v>2023</v>
      </c>
      <c r="C1249" s="1">
        <v>91908</v>
      </c>
      <c r="D1249" t="s">
        <v>491</v>
      </c>
      <c r="E1249" t="s">
        <v>491</v>
      </c>
      <c r="F1249" s="8">
        <v>104279.77</v>
      </c>
      <c r="G1249" s="8">
        <v>129699.44</v>
      </c>
      <c r="H1249" s="5">
        <f t="shared" si="39"/>
        <v>233979.21000000002</v>
      </c>
      <c r="I1249">
        <f>IFERROR(VLOOKUP(D1249,'LEAID Match'!$A$2:$B$251,2,FALSE),"")</f>
        <v>0</v>
      </c>
    </row>
    <row r="1250" spans="1:9" x14ac:dyDescent="0.2">
      <c r="A1250">
        <f t="shared" si="38"/>
        <v>4702700</v>
      </c>
      <c r="B1250" s="5">
        <v>2015</v>
      </c>
      <c r="C1250" s="1">
        <v>99205</v>
      </c>
      <c r="D1250" t="s">
        <v>338</v>
      </c>
      <c r="E1250" t="s">
        <v>106</v>
      </c>
      <c r="F1250" s="8">
        <v>8384</v>
      </c>
      <c r="G1250" s="8">
        <v>2078187</v>
      </c>
      <c r="H1250" s="5">
        <f t="shared" si="39"/>
        <v>2086571</v>
      </c>
      <c r="I1250">
        <f>IFERROR(VLOOKUP(D1250,'LEAID Match'!$A$2:$B$251,2,FALSE),"")</f>
        <v>4702700</v>
      </c>
    </row>
    <row r="1251" spans="1:9" x14ac:dyDescent="0.2">
      <c r="A1251">
        <f t="shared" si="38"/>
        <v>4702700</v>
      </c>
      <c r="B1251" s="5">
        <v>2016</v>
      </c>
      <c r="C1251" s="1">
        <v>99205</v>
      </c>
      <c r="D1251" t="s">
        <v>338</v>
      </c>
      <c r="E1251" t="s">
        <v>106</v>
      </c>
      <c r="F1251" s="8">
        <v>29862</v>
      </c>
      <c r="G1251" s="8">
        <v>2089867</v>
      </c>
      <c r="H1251" s="5">
        <f t="shared" si="39"/>
        <v>2119729</v>
      </c>
      <c r="I1251">
        <f>IFERROR(VLOOKUP(D1251,'LEAID Match'!$A$2:$B$251,2,FALSE),"")</f>
        <v>4702700</v>
      </c>
    </row>
    <row r="1252" spans="1:9" x14ac:dyDescent="0.2">
      <c r="A1252">
        <f t="shared" si="38"/>
        <v>4702700</v>
      </c>
      <c r="B1252" s="5">
        <v>2017</v>
      </c>
      <c r="C1252" s="1">
        <v>99205</v>
      </c>
      <c r="D1252" t="s">
        <v>338</v>
      </c>
      <c r="E1252" t="s">
        <v>338</v>
      </c>
      <c r="F1252" s="8">
        <v>46147</v>
      </c>
      <c r="G1252" s="8">
        <v>2153345</v>
      </c>
      <c r="H1252" s="5">
        <f t="shared" si="39"/>
        <v>2199492</v>
      </c>
      <c r="I1252">
        <f>IFERROR(VLOOKUP(D1252,'LEAID Match'!$A$2:$B$251,2,FALSE),"")</f>
        <v>4702700</v>
      </c>
    </row>
    <row r="1253" spans="1:9" x14ac:dyDescent="0.2">
      <c r="A1253">
        <f t="shared" si="38"/>
        <v>4702700</v>
      </c>
      <c r="B1253" s="5">
        <v>2018</v>
      </c>
      <c r="C1253" s="1">
        <v>99205</v>
      </c>
      <c r="D1253" t="s">
        <v>338</v>
      </c>
      <c r="E1253" t="s">
        <v>106</v>
      </c>
      <c r="F1253" s="8">
        <v>89216</v>
      </c>
      <c r="G1253" s="8">
        <v>2122828</v>
      </c>
      <c r="H1253" s="5">
        <f t="shared" si="39"/>
        <v>2212044</v>
      </c>
      <c r="I1253">
        <f>IFERROR(VLOOKUP(D1253,'LEAID Match'!$A$2:$B$251,2,FALSE),"")</f>
        <v>4702700</v>
      </c>
    </row>
    <row r="1254" spans="1:9" x14ac:dyDescent="0.2">
      <c r="A1254">
        <f t="shared" si="38"/>
        <v>4702700</v>
      </c>
      <c r="B1254" s="5">
        <v>2019</v>
      </c>
      <c r="C1254" s="1">
        <v>99205</v>
      </c>
      <c r="D1254" t="s">
        <v>338</v>
      </c>
      <c r="E1254" t="s">
        <v>338</v>
      </c>
      <c r="F1254" s="8">
        <v>56485</v>
      </c>
      <c r="G1254" s="8">
        <v>2422876</v>
      </c>
      <c r="H1254" s="5">
        <f t="shared" si="39"/>
        <v>2479361</v>
      </c>
      <c r="I1254">
        <f>IFERROR(VLOOKUP(D1254,'LEAID Match'!$A$2:$B$251,2,FALSE),"")</f>
        <v>4702700</v>
      </c>
    </row>
    <row r="1255" spans="1:9" x14ac:dyDescent="0.2">
      <c r="A1255">
        <f t="shared" si="38"/>
        <v>4702700</v>
      </c>
      <c r="B1255" s="5">
        <v>2020</v>
      </c>
      <c r="C1255" s="1">
        <v>99205</v>
      </c>
      <c r="D1255" t="s">
        <v>338</v>
      </c>
      <c r="E1255" t="s">
        <v>338</v>
      </c>
      <c r="F1255" s="8">
        <v>77198</v>
      </c>
      <c r="G1255" s="8">
        <v>2550294</v>
      </c>
      <c r="H1255" s="5">
        <f t="shared" si="39"/>
        <v>2627492</v>
      </c>
      <c r="I1255">
        <f>IFERROR(VLOOKUP(D1255,'LEAID Match'!$A$2:$B$251,2,FALSE),"")</f>
        <v>4702700</v>
      </c>
    </row>
    <row r="1256" spans="1:9" x14ac:dyDescent="0.2">
      <c r="A1256">
        <f t="shared" si="38"/>
        <v>4702700</v>
      </c>
      <c r="B1256" s="5">
        <v>2021</v>
      </c>
      <c r="C1256" s="1">
        <v>99205</v>
      </c>
      <c r="D1256" t="s">
        <v>338</v>
      </c>
      <c r="E1256" t="s">
        <v>338</v>
      </c>
      <c r="F1256" s="8">
        <v>98774</v>
      </c>
      <c r="G1256" s="8">
        <v>2434188</v>
      </c>
      <c r="H1256" s="5">
        <f t="shared" si="39"/>
        <v>2532962</v>
      </c>
      <c r="I1256">
        <f>IFERROR(VLOOKUP(D1256,'LEAID Match'!$A$2:$B$251,2,FALSE),"")</f>
        <v>4702700</v>
      </c>
    </row>
    <row r="1257" spans="1:9" x14ac:dyDescent="0.2">
      <c r="A1257">
        <f t="shared" si="38"/>
        <v>4702700</v>
      </c>
      <c r="B1257" s="5">
        <v>2022</v>
      </c>
      <c r="C1257" s="1">
        <v>99205</v>
      </c>
      <c r="D1257" t="s">
        <v>338</v>
      </c>
      <c r="E1257" t="s">
        <v>338</v>
      </c>
      <c r="F1257" s="8">
        <v>117596.85</v>
      </c>
      <c r="G1257" s="8">
        <v>2436150.5</v>
      </c>
      <c r="H1257" s="5">
        <f t="shared" si="39"/>
        <v>2553747.35</v>
      </c>
      <c r="I1257">
        <f>IFERROR(VLOOKUP(D1257,'LEAID Match'!$A$2:$B$251,2,FALSE),"")</f>
        <v>4702700</v>
      </c>
    </row>
    <row r="1258" spans="1:9" x14ac:dyDescent="0.2">
      <c r="A1258">
        <f t="shared" si="38"/>
        <v>4702700</v>
      </c>
      <c r="B1258" s="5">
        <v>2023</v>
      </c>
      <c r="C1258" s="1">
        <v>99205</v>
      </c>
      <c r="D1258" t="s">
        <v>338</v>
      </c>
      <c r="E1258" t="s">
        <v>338</v>
      </c>
      <c r="F1258" s="8">
        <v>211793.16</v>
      </c>
      <c r="G1258" s="8">
        <v>2062522.19</v>
      </c>
      <c r="H1258" s="5">
        <f t="shared" si="39"/>
        <v>2274315.35</v>
      </c>
      <c r="I1258">
        <f>IFERROR(VLOOKUP(D1258,'LEAID Match'!$A$2:$B$251,2,FALSE),"")</f>
        <v>4702700</v>
      </c>
    </row>
    <row r="1259" spans="1:9" x14ac:dyDescent="0.2">
      <c r="A1259">
        <f t="shared" si="38"/>
        <v>4702760</v>
      </c>
      <c r="B1259" s="5">
        <v>2015</v>
      </c>
      <c r="C1259" s="1">
        <v>99060</v>
      </c>
      <c r="D1259" t="s">
        <v>339</v>
      </c>
      <c r="E1259" t="s">
        <v>107</v>
      </c>
      <c r="F1259" s="8">
        <v>90615</v>
      </c>
      <c r="G1259" s="8">
        <v>3965792</v>
      </c>
      <c r="H1259" s="5">
        <f t="shared" si="39"/>
        <v>4056407</v>
      </c>
      <c r="I1259">
        <f>IFERROR(VLOOKUP(D1259,'LEAID Match'!$A$2:$B$251,2,FALSE),"")</f>
        <v>4702760</v>
      </c>
    </row>
    <row r="1260" spans="1:9" x14ac:dyDescent="0.2">
      <c r="A1260">
        <f t="shared" si="38"/>
        <v>4702760</v>
      </c>
      <c r="B1260" s="5">
        <v>2016</v>
      </c>
      <c r="C1260" s="1">
        <v>99060</v>
      </c>
      <c r="D1260" t="s">
        <v>339</v>
      </c>
      <c r="E1260" t="s">
        <v>107</v>
      </c>
      <c r="F1260" s="8">
        <v>175233</v>
      </c>
      <c r="G1260" s="8">
        <v>3836159</v>
      </c>
      <c r="H1260" s="5">
        <f t="shared" si="39"/>
        <v>4011392</v>
      </c>
      <c r="I1260">
        <f>IFERROR(VLOOKUP(D1260,'LEAID Match'!$A$2:$B$251,2,FALSE),"")</f>
        <v>4702760</v>
      </c>
    </row>
    <row r="1261" spans="1:9" x14ac:dyDescent="0.2">
      <c r="A1261">
        <f t="shared" si="38"/>
        <v>4702760</v>
      </c>
      <c r="B1261" s="5">
        <v>2017</v>
      </c>
      <c r="C1261" s="1">
        <v>99060</v>
      </c>
      <c r="D1261" t="s">
        <v>339</v>
      </c>
      <c r="E1261" t="s">
        <v>339</v>
      </c>
      <c r="F1261" s="8">
        <v>275722</v>
      </c>
      <c r="G1261" s="8">
        <v>3586914</v>
      </c>
      <c r="H1261" s="5">
        <f t="shared" si="39"/>
        <v>3862636</v>
      </c>
      <c r="I1261">
        <f>IFERROR(VLOOKUP(D1261,'LEAID Match'!$A$2:$B$251,2,FALSE),"")</f>
        <v>4702760</v>
      </c>
    </row>
    <row r="1262" spans="1:9" x14ac:dyDescent="0.2">
      <c r="A1262">
        <f t="shared" si="38"/>
        <v>4702760</v>
      </c>
      <c r="B1262" s="5">
        <v>2018</v>
      </c>
      <c r="C1262" s="1">
        <v>99060</v>
      </c>
      <c r="D1262" t="s">
        <v>339</v>
      </c>
      <c r="E1262" t="s">
        <v>107</v>
      </c>
      <c r="F1262" s="8">
        <v>390918</v>
      </c>
      <c r="G1262" s="8">
        <v>3812269</v>
      </c>
      <c r="H1262" s="5">
        <f t="shared" si="39"/>
        <v>4203187</v>
      </c>
      <c r="I1262">
        <f>IFERROR(VLOOKUP(D1262,'LEAID Match'!$A$2:$B$251,2,FALSE),"")</f>
        <v>4702760</v>
      </c>
    </row>
    <row r="1263" spans="1:9" x14ac:dyDescent="0.2">
      <c r="A1263">
        <f t="shared" si="38"/>
        <v>4702760</v>
      </c>
      <c r="B1263" s="5">
        <v>2019</v>
      </c>
      <c r="C1263" s="1">
        <v>99060</v>
      </c>
      <c r="D1263" t="s">
        <v>339</v>
      </c>
      <c r="E1263" t="s">
        <v>339</v>
      </c>
      <c r="F1263" s="8">
        <v>228356</v>
      </c>
      <c r="G1263" s="8">
        <v>4241558</v>
      </c>
      <c r="H1263" s="5">
        <f t="shared" si="39"/>
        <v>4469914</v>
      </c>
      <c r="I1263">
        <f>IFERROR(VLOOKUP(D1263,'LEAID Match'!$A$2:$B$251,2,FALSE),"")</f>
        <v>4702760</v>
      </c>
    </row>
    <row r="1264" spans="1:9" x14ac:dyDescent="0.2">
      <c r="A1264">
        <f t="shared" si="38"/>
        <v>4702760</v>
      </c>
      <c r="B1264" s="5">
        <v>2020</v>
      </c>
      <c r="C1264" s="1">
        <v>99060</v>
      </c>
      <c r="D1264" t="s">
        <v>339</v>
      </c>
      <c r="E1264" t="s">
        <v>339</v>
      </c>
      <c r="F1264" s="8">
        <v>303420</v>
      </c>
      <c r="G1264" s="8">
        <v>4233841</v>
      </c>
      <c r="H1264" s="5">
        <f t="shared" si="39"/>
        <v>4537261</v>
      </c>
      <c r="I1264">
        <f>IFERROR(VLOOKUP(D1264,'LEAID Match'!$A$2:$B$251,2,FALSE),"")</f>
        <v>4702760</v>
      </c>
    </row>
    <row r="1265" spans="1:9" x14ac:dyDescent="0.2">
      <c r="A1265">
        <f t="shared" si="38"/>
        <v>4702760</v>
      </c>
      <c r="B1265" s="5">
        <v>2021</v>
      </c>
      <c r="C1265" s="1">
        <v>99060</v>
      </c>
      <c r="D1265" t="s">
        <v>339</v>
      </c>
      <c r="E1265" t="s">
        <v>339</v>
      </c>
      <c r="F1265" s="8">
        <v>340746</v>
      </c>
      <c r="G1265" s="8">
        <v>3961733</v>
      </c>
      <c r="H1265" s="5">
        <f t="shared" si="39"/>
        <v>4302479</v>
      </c>
      <c r="I1265">
        <f>IFERROR(VLOOKUP(D1265,'LEAID Match'!$A$2:$B$251,2,FALSE),"")</f>
        <v>4702760</v>
      </c>
    </row>
    <row r="1266" spans="1:9" x14ac:dyDescent="0.2">
      <c r="A1266">
        <f t="shared" si="38"/>
        <v>4702760</v>
      </c>
      <c r="B1266" s="5">
        <v>2022</v>
      </c>
      <c r="C1266" s="1">
        <v>99060</v>
      </c>
      <c r="D1266" t="s">
        <v>339</v>
      </c>
      <c r="E1266" t="s">
        <v>339</v>
      </c>
      <c r="F1266" s="8">
        <v>405193.12</v>
      </c>
      <c r="G1266" s="8">
        <v>4039965.37</v>
      </c>
      <c r="H1266" s="5">
        <f t="shared" si="39"/>
        <v>4445158.49</v>
      </c>
      <c r="I1266">
        <f>IFERROR(VLOOKUP(D1266,'LEAID Match'!$A$2:$B$251,2,FALSE),"")</f>
        <v>4702760</v>
      </c>
    </row>
    <row r="1267" spans="1:9" x14ac:dyDescent="0.2">
      <c r="A1267">
        <f t="shared" si="38"/>
        <v>4702760</v>
      </c>
      <c r="B1267" s="5">
        <v>2023</v>
      </c>
      <c r="C1267" s="1">
        <v>99060</v>
      </c>
      <c r="D1267" t="s">
        <v>339</v>
      </c>
      <c r="E1267" t="s">
        <v>339</v>
      </c>
      <c r="F1267" s="8">
        <v>684602.66</v>
      </c>
      <c r="G1267" s="8">
        <v>3362482.03</v>
      </c>
      <c r="H1267" s="5">
        <f t="shared" si="39"/>
        <v>4047084.69</v>
      </c>
      <c r="I1267">
        <f>IFERROR(VLOOKUP(D1267,'LEAID Match'!$A$2:$B$251,2,FALSE),"")</f>
        <v>4702760</v>
      </c>
    </row>
    <row r="1268" spans="1:9" x14ac:dyDescent="0.2">
      <c r="A1268">
        <f t="shared" si="38"/>
        <v>4702790</v>
      </c>
      <c r="B1268" s="5">
        <v>2015</v>
      </c>
      <c r="C1268" s="1">
        <v>99409</v>
      </c>
      <c r="D1268" t="s">
        <v>340</v>
      </c>
      <c r="E1268" t="s">
        <v>108</v>
      </c>
      <c r="F1268" s="8">
        <v>4468</v>
      </c>
      <c r="G1268" s="8">
        <v>452309</v>
      </c>
      <c r="H1268" s="5">
        <f t="shared" si="39"/>
        <v>456777</v>
      </c>
      <c r="I1268">
        <f>IFERROR(VLOOKUP(D1268,'LEAID Match'!$A$2:$B$251,2,FALSE),"")</f>
        <v>4702790</v>
      </c>
    </row>
    <row r="1269" spans="1:9" x14ac:dyDescent="0.2">
      <c r="A1269">
        <f t="shared" si="38"/>
        <v>4702790</v>
      </c>
      <c r="B1269" s="5">
        <v>2016</v>
      </c>
      <c r="C1269" s="1">
        <v>99409</v>
      </c>
      <c r="D1269" t="s">
        <v>340</v>
      </c>
      <c r="E1269" t="s">
        <v>108</v>
      </c>
      <c r="F1269" s="8">
        <v>9050</v>
      </c>
      <c r="G1269" s="8">
        <v>443359</v>
      </c>
      <c r="H1269" s="5">
        <f t="shared" si="39"/>
        <v>452409</v>
      </c>
      <c r="I1269">
        <f>IFERROR(VLOOKUP(D1269,'LEAID Match'!$A$2:$B$251,2,FALSE),"")</f>
        <v>4702790</v>
      </c>
    </row>
    <row r="1270" spans="1:9" x14ac:dyDescent="0.2">
      <c r="A1270">
        <f t="shared" si="38"/>
        <v>4702790</v>
      </c>
      <c r="B1270" s="5">
        <v>2017</v>
      </c>
      <c r="C1270" s="1">
        <v>99409</v>
      </c>
      <c r="D1270" t="s">
        <v>340</v>
      </c>
      <c r="E1270" t="s">
        <v>340</v>
      </c>
      <c r="F1270" s="8">
        <v>16898</v>
      </c>
      <c r="G1270" s="8">
        <v>435043</v>
      </c>
      <c r="H1270" s="5">
        <f t="shared" si="39"/>
        <v>451941</v>
      </c>
      <c r="I1270">
        <f>IFERROR(VLOOKUP(D1270,'LEAID Match'!$A$2:$B$251,2,FALSE),"")</f>
        <v>4702790</v>
      </c>
    </row>
    <row r="1271" spans="1:9" x14ac:dyDescent="0.2">
      <c r="A1271">
        <f t="shared" si="38"/>
        <v>4702790</v>
      </c>
      <c r="B1271" s="5">
        <v>2018</v>
      </c>
      <c r="C1271" s="1">
        <v>99409</v>
      </c>
      <c r="D1271" t="s">
        <v>340</v>
      </c>
      <c r="E1271" t="s">
        <v>108</v>
      </c>
      <c r="F1271" s="8">
        <v>17762</v>
      </c>
      <c r="G1271" s="8">
        <v>447426</v>
      </c>
      <c r="H1271" s="5">
        <f t="shared" si="39"/>
        <v>465188</v>
      </c>
      <c r="I1271">
        <f>IFERROR(VLOOKUP(D1271,'LEAID Match'!$A$2:$B$251,2,FALSE),"")</f>
        <v>4702790</v>
      </c>
    </row>
    <row r="1272" spans="1:9" x14ac:dyDescent="0.2">
      <c r="A1272">
        <f t="shared" si="38"/>
        <v>4702790</v>
      </c>
      <c r="B1272" s="5">
        <v>2019</v>
      </c>
      <c r="C1272" s="1">
        <v>99409</v>
      </c>
      <c r="D1272" t="s">
        <v>340</v>
      </c>
      <c r="E1272" t="s">
        <v>340</v>
      </c>
      <c r="F1272" s="8">
        <v>11390</v>
      </c>
      <c r="G1272" s="8">
        <v>521517</v>
      </c>
      <c r="H1272" s="5">
        <f t="shared" si="39"/>
        <v>532907</v>
      </c>
      <c r="I1272">
        <f>IFERROR(VLOOKUP(D1272,'LEAID Match'!$A$2:$B$251,2,FALSE),"")</f>
        <v>4702790</v>
      </c>
    </row>
    <row r="1273" spans="1:9" x14ac:dyDescent="0.2">
      <c r="A1273">
        <f t="shared" si="38"/>
        <v>4702790</v>
      </c>
      <c r="B1273" s="5">
        <v>2020</v>
      </c>
      <c r="C1273" s="1">
        <v>99409</v>
      </c>
      <c r="D1273" t="s">
        <v>340</v>
      </c>
      <c r="E1273" t="s">
        <v>340</v>
      </c>
      <c r="F1273" s="8">
        <v>13755</v>
      </c>
      <c r="G1273" s="8">
        <v>499988</v>
      </c>
      <c r="H1273" s="5">
        <f t="shared" si="39"/>
        <v>513743</v>
      </c>
      <c r="I1273">
        <f>IFERROR(VLOOKUP(D1273,'LEAID Match'!$A$2:$B$251,2,FALSE),"")</f>
        <v>4702790</v>
      </c>
    </row>
    <row r="1274" spans="1:9" x14ac:dyDescent="0.2">
      <c r="A1274">
        <f t="shared" si="38"/>
        <v>4702790</v>
      </c>
      <c r="B1274" s="5">
        <v>2021</v>
      </c>
      <c r="C1274" s="1">
        <v>99409</v>
      </c>
      <c r="D1274" t="s">
        <v>340</v>
      </c>
      <c r="E1274" t="s">
        <v>340</v>
      </c>
      <c r="F1274" s="8">
        <v>18304</v>
      </c>
      <c r="G1274" s="8">
        <v>480334</v>
      </c>
      <c r="H1274" s="5">
        <f t="shared" si="39"/>
        <v>498638</v>
      </c>
      <c r="I1274">
        <f>IFERROR(VLOOKUP(D1274,'LEAID Match'!$A$2:$B$251,2,FALSE),"")</f>
        <v>4702790</v>
      </c>
    </row>
    <row r="1275" spans="1:9" x14ac:dyDescent="0.2">
      <c r="A1275">
        <f t="shared" si="38"/>
        <v>4702790</v>
      </c>
      <c r="B1275" s="5">
        <v>2022</v>
      </c>
      <c r="C1275" s="1">
        <v>99409</v>
      </c>
      <c r="D1275" t="s">
        <v>340</v>
      </c>
      <c r="E1275" t="s">
        <v>340</v>
      </c>
      <c r="F1275" s="8">
        <v>23722.36</v>
      </c>
      <c r="G1275" s="8">
        <v>478401.49</v>
      </c>
      <c r="H1275" s="5">
        <f t="shared" si="39"/>
        <v>502123.85</v>
      </c>
      <c r="I1275">
        <f>IFERROR(VLOOKUP(D1275,'LEAID Match'!$A$2:$B$251,2,FALSE),"")</f>
        <v>4702790</v>
      </c>
    </row>
    <row r="1276" spans="1:9" x14ac:dyDescent="0.2">
      <c r="A1276">
        <f t="shared" si="38"/>
        <v>4702790</v>
      </c>
      <c r="B1276" s="5">
        <v>2023</v>
      </c>
      <c r="C1276" s="1">
        <v>99409</v>
      </c>
      <c r="D1276" t="s">
        <v>340</v>
      </c>
      <c r="E1276" t="s">
        <v>340</v>
      </c>
      <c r="F1276" s="8">
        <v>38376.75</v>
      </c>
      <c r="G1276" s="8">
        <v>410019.27</v>
      </c>
      <c r="H1276" s="5">
        <f t="shared" si="39"/>
        <v>448396.02</v>
      </c>
      <c r="I1276">
        <f>IFERROR(VLOOKUP(D1276,'LEAID Match'!$A$2:$B$251,2,FALSE),"")</f>
        <v>4702790</v>
      </c>
    </row>
    <row r="1277" spans="1:9" x14ac:dyDescent="0.2">
      <c r="A1277">
        <f t="shared" si="38"/>
        <v>4702820</v>
      </c>
      <c r="B1277" s="5">
        <v>2015</v>
      </c>
      <c r="C1277" s="1">
        <v>99054</v>
      </c>
      <c r="D1277" t="s">
        <v>341</v>
      </c>
      <c r="E1277" t="s">
        <v>109</v>
      </c>
      <c r="F1277" s="8">
        <v>22981</v>
      </c>
      <c r="G1277" s="8">
        <v>1868874</v>
      </c>
      <c r="H1277" s="5">
        <f t="shared" si="39"/>
        <v>1891855</v>
      </c>
      <c r="I1277">
        <f>IFERROR(VLOOKUP(D1277,'LEAID Match'!$A$2:$B$251,2,FALSE),"")</f>
        <v>4702820</v>
      </c>
    </row>
    <row r="1278" spans="1:9" x14ac:dyDescent="0.2">
      <c r="A1278">
        <f t="shared" si="38"/>
        <v>4702820</v>
      </c>
      <c r="B1278" s="5">
        <v>2016</v>
      </c>
      <c r="C1278" s="1">
        <v>99054</v>
      </c>
      <c r="D1278" t="s">
        <v>341</v>
      </c>
      <c r="E1278" t="s">
        <v>109</v>
      </c>
      <c r="F1278" s="8">
        <v>45463</v>
      </c>
      <c r="G1278" s="8">
        <v>1836319</v>
      </c>
      <c r="H1278" s="5">
        <f t="shared" si="39"/>
        <v>1881782</v>
      </c>
      <c r="I1278">
        <f>IFERROR(VLOOKUP(D1278,'LEAID Match'!$A$2:$B$251,2,FALSE),"")</f>
        <v>4702820</v>
      </c>
    </row>
    <row r="1279" spans="1:9" x14ac:dyDescent="0.2">
      <c r="A1279">
        <f t="shared" si="38"/>
        <v>4702820</v>
      </c>
      <c r="B1279" s="5">
        <v>2017</v>
      </c>
      <c r="C1279" s="1">
        <v>99054</v>
      </c>
      <c r="D1279" t="s">
        <v>341</v>
      </c>
      <c r="E1279" t="s">
        <v>341</v>
      </c>
      <c r="F1279" s="8">
        <v>95073</v>
      </c>
      <c r="G1279" s="8">
        <v>1773029</v>
      </c>
      <c r="H1279" s="5">
        <f t="shared" si="39"/>
        <v>1868102</v>
      </c>
      <c r="I1279">
        <f>IFERROR(VLOOKUP(D1279,'LEAID Match'!$A$2:$B$251,2,FALSE),"")</f>
        <v>4702820</v>
      </c>
    </row>
    <row r="1280" spans="1:9" x14ac:dyDescent="0.2">
      <c r="A1280">
        <f t="shared" si="38"/>
        <v>4702820</v>
      </c>
      <c r="B1280" s="5">
        <v>2018</v>
      </c>
      <c r="C1280" s="1">
        <v>99054</v>
      </c>
      <c r="D1280" t="s">
        <v>341</v>
      </c>
      <c r="E1280" t="s">
        <v>109</v>
      </c>
      <c r="F1280" s="8">
        <v>132330</v>
      </c>
      <c r="G1280" s="8">
        <v>1717812</v>
      </c>
      <c r="H1280" s="5">
        <f t="shared" si="39"/>
        <v>1850142</v>
      </c>
      <c r="I1280">
        <f>IFERROR(VLOOKUP(D1280,'LEAID Match'!$A$2:$B$251,2,FALSE),"")</f>
        <v>4702820</v>
      </c>
    </row>
    <row r="1281" spans="1:9" x14ac:dyDescent="0.2">
      <c r="A1281">
        <f t="shared" si="38"/>
        <v>4702820</v>
      </c>
      <c r="B1281" s="5">
        <v>2019</v>
      </c>
      <c r="C1281" s="1">
        <v>99054</v>
      </c>
      <c r="D1281" t="s">
        <v>341</v>
      </c>
      <c r="E1281" t="s">
        <v>341</v>
      </c>
      <c r="F1281" s="8">
        <v>84078</v>
      </c>
      <c r="G1281" s="8">
        <v>1914309</v>
      </c>
      <c r="H1281" s="5">
        <f t="shared" si="39"/>
        <v>1998387</v>
      </c>
      <c r="I1281">
        <f>IFERROR(VLOOKUP(D1281,'LEAID Match'!$A$2:$B$251,2,FALSE),"")</f>
        <v>4702820</v>
      </c>
    </row>
    <row r="1282" spans="1:9" x14ac:dyDescent="0.2">
      <c r="A1282">
        <f t="shared" si="38"/>
        <v>4702820</v>
      </c>
      <c r="B1282" s="5">
        <v>2020</v>
      </c>
      <c r="C1282" s="1">
        <v>99054</v>
      </c>
      <c r="D1282" t="s">
        <v>341</v>
      </c>
      <c r="E1282" t="s">
        <v>341</v>
      </c>
      <c r="F1282" s="8">
        <v>104563</v>
      </c>
      <c r="G1282" s="8">
        <v>1889424</v>
      </c>
      <c r="H1282" s="5">
        <f t="shared" si="39"/>
        <v>1993987</v>
      </c>
      <c r="I1282">
        <f>IFERROR(VLOOKUP(D1282,'LEAID Match'!$A$2:$B$251,2,FALSE),"")</f>
        <v>4702820</v>
      </c>
    </row>
    <row r="1283" spans="1:9" x14ac:dyDescent="0.2">
      <c r="A1283">
        <f t="shared" ref="A1283:A1346" si="40">I1283</f>
        <v>4702820</v>
      </c>
      <c r="B1283" s="5">
        <v>2021</v>
      </c>
      <c r="C1283" s="1">
        <v>99054</v>
      </c>
      <c r="D1283" t="s">
        <v>341</v>
      </c>
      <c r="E1283" t="s">
        <v>341</v>
      </c>
      <c r="F1283" s="8">
        <v>106372</v>
      </c>
      <c r="G1283" s="8">
        <v>1779059</v>
      </c>
      <c r="H1283" s="5">
        <f t="shared" ref="H1283:H1346" si="41">SUM(F1283:G1283)</f>
        <v>1885431</v>
      </c>
      <c r="I1283">
        <f>IFERROR(VLOOKUP(D1283,'LEAID Match'!$A$2:$B$251,2,FALSE),"")</f>
        <v>4702820</v>
      </c>
    </row>
    <row r="1284" spans="1:9" x14ac:dyDescent="0.2">
      <c r="A1284">
        <f t="shared" si="40"/>
        <v>4702820</v>
      </c>
      <c r="B1284" s="5">
        <v>2022</v>
      </c>
      <c r="C1284" s="1">
        <v>99054</v>
      </c>
      <c r="D1284" t="s">
        <v>341</v>
      </c>
      <c r="E1284" t="s">
        <v>341</v>
      </c>
      <c r="F1284" s="8">
        <v>133997.56</v>
      </c>
      <c r="G1284" s="8">
        <v>1744746.73</v>
      </c>
      <c r="H1284" s="5">
        <f t="shared" si="41"/>
        <v>1878744.29</v>
      </c>
      <c r="I1284">
        <f>IFERROR(VLOOKUP(D1284,'LEAID Match'!$A$2:$B$251,2,FALSE),"")</f>
        <v>4702820</v>
      </c>
    </row>
    <row r="1285" spans="1:9" x14ac:dyDescent="0.2">
      <c r="A1285">
        <f t="shared" si="40"/>
        <v>4702820</v>
      </c>
      <c r="B1285" s="5">
        <v>2023</v>
      </c>
      <c r="C1285" s="1">
        <v>99054</v>
      </c>
      <c r="D1285" t="s">
        <v>341</v>
      </c>
      <c r="E1285" t="s">
        <v>341</v>
      </c>
      <c r="F1285" s="8">
        <v>215075.27</v>
      </c>
      <c r="G1285" s="8">
        <v>1416110.58</v>
      </c>
      <c r="H1285" s="5">
        <f t="shared" si="41"/>
        <v>1631185.85</v>
      </c>
      <c r="I1285">
        <f>IFERROR(VLOOKUP(D1285,'LEAID Match'!$A$2:$B$251,2,FALSE),"")</f>
        <v>4702820</v>
      </c>
    </row>
    <row r="1286" spans="1:9" x14ac:dyDescent="0.2">
      <c r="A1286">
        <f t="shared" si="40"/>
        <v>4702880</v>
      </c>
      <c r="B1286" s="5">
        <v>2015</v>
      </c>
      <c r="C1286" s="1">
        <v>99055</v>
      </c>
      <c r="D1286" t="s">
        <v>342</v>
      </c>
      <c r="E1286" t="s">
        <v>110</v>
      </c>
      <c r="F1286" s="8">
        <v>24876</v>
      </c>
      <c r="G1286" s="8">
        <v>1449291</v>
      </c>
      <c r="H1286" s="5">
        <f t="shared" si="41"/>
        <v>1474167</v>
      </c>
      <c r="I1286">
        <f>IFERROR(VLOOKUP(D1286,'LEAID Match'!$A$2:$B$251,2,FALSE),"")</f>
        <v>4702880</v>
      </c>
    </row>
    <row r="1287" spans="1:9" x14ac:dyDescent="0.2">
      <c r="A1287">
        <f t="shared" si="40"/>
        <v>4702880</v>
      </c>
      <c r="B1287" s="5">
        <v>2016</v>
      </c>
      <c r="C1287" s="1">
        <v>99055</v>
      </c>
      <c r="D1287" t="s">
        <v>342</v>
      </c>
      <c r="E1287" t="s">
        <v>110</v>
      </c>
      <c r="F1287" s="8">
        <v>39880</v>
      </c>
      <c r="G1287" s="8">
        <v>1459059</v>
      </c>
      <c r="H1287" s="5">
        <f t="shared" si="41"/>
        <v>1498939</v>
      </c>
      <c r="I1287">
        <f>IFERROR(VLOOKUP(D1287,'LEAID Match'!$A$2:$B$251,2,FALSE),"")</f>
        <v>4702880</v>
      </c>
    </row>
    <row r="1288" spans="1:9" x14ac:dyDescent="0.2">
      <c r="A1288">
        <f t="shared" si="40"/>
        <v>4702880</v>
      </c>
      <c r="B1288" s="5">
        <v>2017</v>
      </c>
      <c r="C1288" s="1">
        <v>99055</v>
      </c>
      <c r="D1288" t="s">
        <v>342</v>
      </c>
      <c r="E1288" t="s">
        <v>342</v>
      </c>
      <c r="F1288" s="8">
        <v>74511</v>
      </c>
      <c r="G1288" s="8">
        <v>1414531</v>
      </c>
      <c r="H1288" s="5">
        <f t="shared" si="41"/>
        <v>1489042</v>
      </c>
      <c r="I1288">
        <f>IFERROR(VLOOKUP(D1288,'LEAID Match'!$A$2:$B$251,2,FALSE),"")</f>
        <v>4702880</v>
      </c>
    </row>
    <row r="1289" spans="1:9" x14ac:dyDescent="0.2">
      <c r="A1289">
        <f t="shared" si="40"/>
        <v>4702880</v>
      </c>
      <c r="B1289" s="5">
        <v>2018</v>
      </c>
      <c r="C1289" s="1">
        <v>99055</v>
      </c>
      <c r="D1289" t="s">
        <v>342</v>
      </c>
      <c r="E1289" t="s">
        <v>110</v>
      </c>
      <c r="F1289" s="8">
        <v>80380</v>
      </c>
      <c r="G1289" s="8">
        <v>1425666</v>
      </c>
      <c r="H1289" s="5">
        <f t="shared" si="41"/>
        <v>1506046</v>
      </c>
      <c r="I1289">
        <f>IFERROR(VLOOKUP(D1289,'LEAID Match'!$A$2:$B$251,2,FALSE),"")</f>
        <v>4702880</v>
      </c>
    </row>
    <row r="1290" spans="1:9" x14ac:dyDescent="0.2">
      <c r="A1290">
        <f t="shared" si="40"/>
        <v>4702880</v>
      </c>
      <c r="B1290" s="5">
        <v>2019</v>
      </c>
      <c r="C1290" s="1">
        <v>99055</v>
      </c>
      <c r="D1290" t="s">
        <v>342</v>
      </c>
      <c r="E1290" t="s">
        <v>342</v>
      </c>
      <c r="F1290" s="8">
        <v>50404</v>
      </c>
      <c r="G1290" s="8">
        <v>1640994</v>
      </c>
      <c r="H1290" s="5">
        <f t="shared" si="41"/>
        <v>1691398</v>
      </c>
      <c r="I1290">
        <f>IFERROR(VLOOKUP(D1290,'LEAID Match'!$A$2:$B$251,2,FALSE),"")</f>
        <v>4702880</v>
      </c>
    </row>
    <row r="1291" spans="1:9" x14ac:dyDescent="0.2">
      <c r="A1291">
        <f t="shared" si="40"/>
        <v>4702880</v>
      </c>
      <c r="B1291" s="5">
        <v>2020</v>
      </c>
      <c r="C1291" s="1">
        <v>99055</v>
      </c>
      <c r="D1291" t="s">
        <v>342</v>
      </c>
      <c r="E1291" t="s">
        <v>342</v>
      </c>
      <c r="F1291" s="8">
        <v>59053</v>
      </c>
      <c r="G1291" s="8">
        <v>1622321</v>
      </c>
      <c r="H1291" s="5">
        <f t="shared" si="41"/>
        <v>1681374</v>
      </c>
      <c r="I1291">
        <f>IFERROR(VLOOKUP(D1291,'LEAID Match'!$A$2:$B$251,2,FALSE),"")</f>
        <v>4702880</v>
      </c>
    </row>
    <row r="1292" spans="1:9" x14ac:dyDescent="0.2">
      <c r="A1292">
        <f t="shared" si="40"/>
        <v>4702880</v>
      </c>
      <c r="B1292" s="5">
        <v>2021</v>
      </c>
      <c r="C1292" s="1">
        <v>99055</v>
      </c>
      <c r="D1292" t="s">
        <v>342</v>
      </c>
      <c r="E1292" t="s">
        <v>342</v>
      </c>
      <c r="F1292" s="8">
        <v>69645</v>
      </c>
      <c r="G1292" s="8">
        <v>1617718</v>
      </c>
      <c r="H1292" s="5">
        <f t="shared" si="41"/>
        <v>1687363</v>
      </c>
      <c r="I1292">
        <f>IFERROR(VLOOKUP(D1292,'LEAID Match'!$A$2:$B$251,2,FALSE),"")</f>
        <v>4702880</v>
      </c>
    </row>
    <row r="1293" spans="1:9" x14ac:dyDescent="0.2">
      <c r="A1293">
        <f t="shared" si="40"/>
        <v>4702880</v>
      </c>
      <c r="B1293" s="5">
        <v>2022</v>
      </c>
      <c r="C1293" s="1">
        <v>99055</v>
      </c>
      <c r="D1293" t="s">
        <v>342</v>
      </c>
      <c r="E1293" t="s">
        <v>342</v>
      </c>
      <c r="F1293" s="8">
        <v>79599.649999999907</v>
      </c>
      <c r="G1293" s="8">
        <v>1584199.6</v>
      </c>
      <c r="H1293" s="5">
        <f t="shared" si="41"/>
        <v>1663799.25</v>
      </c>
      <c r="I1293">
        <f>IFERROR(VLOOKUP(D1293,'LEAID Match'!$A$2:$B$251,2,FALSE),"")</f>
        <v>4702880</v>
      </c>
    </row>
    <row r="1294" spans="1:9" x14ac:dyDescent="0.2">
      <c r="A1294">
        <f t="shared" si="40"/>
        <v>4702880</v>
      </c>
      <c r="B1294" s="5">
        <v>2023</v>
      </c>
      <c r="C1294" s="1">
        <v>99055</v>
      </c>
      <c r="D1294" t="s">
        <v>342</v>
      </c>
      <c r="E1294" t="s">
        <v>342</v>
      </c>
      <c r="F1294" s="8">
        <v>143404.22</v>
      </c>
      <c r="G1294" s="8">
        <v>1333826.04</v>
      </c>
      <c r="H1294" s="5">
        <f t="shared" si="41"/>
        <v>1477230.26</v>
      </c>
      <c r="I1294">
        <f>IFERROR(VLOOKUP(D1294,'LEAID Match'!$A$2:$B$251,2,FALSE),"")</f>
        <v>4702880</v>
      </c>
    </row>
    <row r="1295" spans="1:9" x14ac:dyDescent="0.2">
      <c r="A1295">
        <f t="shared" si="40"/>
        <v>4702910</v>
      </c>
      <c r="B1295" s="5">
        <v>2015</v>
      </c>
      <c r="C1295" s="1">
        <v>99061</v>
      </c>
      <c r="D1295" t="s">
        <v>343</v>
      </c>
      <c r="E1295" t="s">
        <v>111</v>
      </c>
      <c r="F1295" s="8">
        <v>13269</v>
      </c>
      <c r="G1295" s="8">
        <v>630495</v>
      </c>
      <c r="H1295" s="5">
        <f t="shared" si="41"/>
        <v>643764</v>
      </c>
      <c r="I1295">
        <f>IFERROR(VLOOKUP(D1295,'LEAID Match'!$A$2:$B$251,2,FALSE),"")</f>
        <v>4702910</v>
      </c>
    </row>
    <row r="1296" spans="1:9" x14ac:dyDescent="0.2">
      <c r="A1296">
        <f t="shared" si="40"/>
        <v>4702910</v>
      </c>
      <c r="B1296" s="5">
        <v>2016</v>
      </c>
      <c r="C1296" s="1">
        <v>99061</v>
      </c>
      <c r="D1296" t="s">
        <v>343</v>
      </c>
      <c r="E1296" t="s">
        <v>111</v>
      </c>
      <c r="F1296" s="8">
        <v>20275</v>
      </c>
      <c r="G1296" s="8">
        <v>632556</v>
      </c>
      <c r="H1296" s="5">
        <f t="shared" si="41"/>
        <v>652831</v>
      </c>
      <c r="I1296">
        <f>IFERROR(VLOOKUP(D1296,'LEAID Match'!$A$2:$B$251,2,FALSE),"")</f>
        <v>4702910</v>
      </c>
    </row>
    <row r="1297" spans="1:9" x14ac:dyDescent="0.2">
      <c r="A1297">
        <f t="shared" si="40"/>
        <v>4702910</v>
      </c>
      <c r="B1297" s="5">
        <v>2017</v>
      </c>
      <c r="C1297" s="1">
        <v>99061</v>
      </c>
      <c r="D1297" t="s">
        <v>343</v>
      </c>
      <c r="E1297" t="s">
        <v>343</v>
      </c>
      <c r="F1297" s="8">
        <v>27122</v>
      </c>
      <c r="G1297" s="8">
        <v>633699</v>
      </c>
      <c r="H1297" s="5">
        <f t="shared" si="41"/>
        <v>660821</v>
      </c>
      <c r="I1297">
        <f>IFERROR(VLOOKUP(D1297,'LEAID Match'!$A$2:$B$251,2,FALSE),"")</f>
        <v>4702910</v>
      </c>
    </row>
    <row r="1298" spans="1:9" x14ac:dyDescent="0.2">
      <c r="A1298">
        <f t="shared" si="40"/>
        <v>4702910</v>
      </c>
      <c r="B1298" s="5">
        <v>2018</v>
      </c>
      <c r="C1298" s="1">
        <v>99061</v>
      </c>
      <c r="D1298" t="s">
        <v>343</v>
      </c>
      <c r="E1298" t="s">
        <v>111</v>
      </c>
      <c r="F1298" s="8">
        <v>30011</v>
      </c>
      <c r="G1298" s="8">
        <v>624594</v>
      </c>
      <c r="H1298" s="5">
        <f t="shared" si="41"/>
        <v>654605</v>
      </c>
      <c r="I1298">
        <f>IFERROR(VLOOKUP(D1298,'LEAID Match'!$A$2:$B$251,2,FALSE),"")</f>
        <v>4702910</v>
      </c>
    </row>
    <row r="1299" spans="1:9" x14ac:dyDescent="0.2">
      <c r="A1299">
        <f t="shared" si="40"/>
        <v>4702910</v>
      </c>
      <c r="B1299" s="5">
        <v>2019</v>
      </c>
      <c r="C1299" s="1">
        <v>99061</v>
      </c>
      <c r="D1299" t="s">
        <v>343</v>
      </c>
      <c r="E1299" t="s">
        <v>343</v>
      </c>
      <c r="F1299" s="8">
        <v>16447</v>
      </c>
      <c r="G1299" s="8">
        <v>725788</v>
      </c>
      <c r="H1299" s="5">
        <f t="shared" si="41"/>
        <v>742235</v>
      </c>
      <c r="I1299">
        <f>IFERROR(VLOOKUP(D1299,'LEAID Match'!$A$2:$B$251,2,FALSE),"")</f>
        <v>4702910</v>
      </c>
    </row>
    <row r="1300" spans="1:9" x14ac:dyDescent="0.2">
      <c r="A1300">
        <f t="shared" si="40"/>
        <v>4702910</v>
      </c>
      <c r="B1300" s="5">
        <v>2020</v>
      </c>
      <c r="C1300" s="1">
        <v>99061</v>
      </c>
      <c r="D1300" t="s">
        <v>343</v>
      </c>
      <c r="E1300" t="s">
        <v>343</v>
      </c>
      <c r="F1300" s="8">
        <v>24968</v>
      </c>
      <c r="G1300" s="8">
        <v>734479</v>
      </c>
      <c r="H1300" s="5">
        <f t="shared" si="41"/>
        <v>759447</v>
      </c>
      <c r="I1300">
        <f>IFERROR(VLOOKUP(D1300,'LEAID Match'!$A$2:$B$251,2,FALSE),"")</f>
        <v>4702910</v>
      </c>
    </row>
    <row r="1301" spans="1:9" x14ac:dyDescent="0.2">
      <c r="A1301">
        <f t="shared" si="40"/>
        <v>4702910</v>
      </c>
      <c r="B1301" s="5">
        <v>2021</v>
      </c>
      <c r="C1301" s="1">
        <v>99061</v>
      </c>
      <c r="D1301" t="s">
        <v>343</v>
      </c>
      <c r="E1301" t="s">
        <v>343</v>
      </c>
      <c r="F1301" s="8">
        <v>28885</v>
      </c>
      <c r="G1301" s="8">
        <v>713773</v>
      </c>
      <c r="H1301" s="5">
        <f t="shared" si="41"/>
        <v>742658</v>
      </c>
      <c r="I1301">
        <f>IFERROR(VLOOKUP(D1301,'LEAID Match'!$A$2:$B$251,2,FALSE),"")</f>
        <v>4702910</v>
      </c>
    </row>
    <row r="1302" spans="1:9" x14ac:dyDescent="0.2">
      <c r="A1302">
        <f t="shared" si="40"/>
        <v>4702910</v>
      </c>
      <c r="B1302" s="5">
        <v>2022</v>
      </c>
      <c r="C1302" s="1">
        <v>99061</v>
      </c>
      <c r="D1302" t="s">
        <v>343</v>
      </c>
      <c r="E1302" t="s">
        <v>343</v>
      </c>
      <c r="F1302" s="8">
        <v>37452.410000000003</v>
      </c>
      <c r="G1302" s="8">
        <v>694046.04</v>
      </c>
      <c r="H1302" s="5">
        <f t="shared" si="41"/>
        <v>731498.45000000007</v>
      </c>
      <c r="I1302">
        <f>IFERROR(VLOOKUP(D1302,'LEAID Match'!$A$2:$B$251,2,FALSE),"")</f>
        <v>4702910</v>
      </c>
    </row>
    <row r="1303" spans="1:9" x14ac:dyDescent="0.2">
      <c r="A1303">
        <f t="shared" si="40"/>
        <v>4702910</v>
      </c>
      <c r="B1303" s="5">
        <v>2023</v>
      </c>
      <c r="C1303" s="1">
        <v>99061</v>
      </c>
      <c r="D1303" t="s">
        <v>343</v>
      </c>
      <c r="E1303" t="s">
        <v>343</v>
      </c>
      <c r="F1303" s="8">
        <v>66644.160000000003</v>
      </c>
      <c r="G1303" s="8">
        <v>574141.59</v>
      </c>
      <c r="H1303" s="5">
        <f t="shared" si="41"/>
        <v>640785.75</v>
      </c>
      <c r="I1303">
        <f>IFERROR(VLOOKUP(D1303,'LEAID Match'!$A$2:$B$251,2,FALSE),"")</f>
        <v>4702910</v>
      </c>
    </row>
    <row r="1304" spans="1:9" x14ac:dyDescent="0.2">
      <c r="A1304">
        <f t="shared" si="40"/>
        <v>0</v>
      </c>
      <c r="B1304" s="5">
        <v>2015</v>
      </c>
      <c r="C1304" s="1">
        <v>97931</v>
      </c>
      <c r="D1304" t="s">
        <v>344</v>
      </c>
      <c r="E1304" t="s">
        <v>568</v>
      </c>
      <c r="F1304" s="8">
        <v>6062</v>
      </c>
      <c r="G1304" s="8">
        <v>83979</v>
      </c>
      <c r="H1304" s="5">
        <f t="shared" si="41"/>
        <v>90041</v>
      </c>
      <c r="I1304">
        <f>IFERROR(VLOOKUP(D1304,'LEAID Match'!$A$2:$B$251,2,FALSE),"")</f>
        <v>0</v>
      </c>
    </row>
    <row r="1305" spans="1:9" x14ac:dyDescent="0.2">
      <c r="A1305">
        <f t="shared" si="40"/>
        <v>0</v>
      </c>
      <c r="B1305" s="5">
        <v>2016</v>
      </c>
      <c r="C1305" s="1">
        <v>97931</v>
      </c>
      <c r="D1305" t="s">
        <v>344</v>
      </c>
      <c r="E1305" t="s">
        <v>186</v>
      </c>
      <c r="F1305" s="8">
        <v>8191</v>
      </c>
      <c r="G1305" s="8">
        <v>86977</v>
      </c>
      <c r="H1305" s="5">
        <f t="shared" si="41"/>
        <v>95168</v>
      </c>
      <c r="I1305">
        <f>IFERROR(VLOOKUP(D1305,'LEAID Match'!$A$2:$B$251,2,FALSE),"")</f>
        <v>0</v>
      </c>
    </row>
    <row r="1306" spans="1:9" x14ac:dyDescent="0.2">
      <c r="A1306">
        <f t="shared" si="40"/>
        <v>0</v>
      </c>
      <c r="B1306" s="5">
        <v>2017</v>
      </c>
      <c r="C1306" s="1">
        <v>97931</v>
      </c>
      <c r="D1306" t="s">
        <v>344</v>
      </c>
      <c r="E1306" t="s">
        <v>344</v>
      </c>
      <c r="F1306" s="8">
        <v>16715</v>
      </c>
      <c r="G1306" s="8">
        <v>95869</v>
      </c>
      <c r="H1306" s="5">
        <f t="shared" si="41"/>
        <v>112584</v>
      </c>
      <c r="I1306">
        <f>IFERROR(VLOOKUP(D1306,'LEAID Match'!$A$2:$B$251,2,FALSE),"")</f>
        <v>0</v>
      </c>
    </row>
    <row r="1307" spans="1:9" x14ac:dyDescent="0.2">
      <c r="A1307">
        <f t="shared" si="40"/>
        <v>0</v>
      </c>
      <c r="B1307" s="5">
        <v>2018</v>
      </c>
      <c r="C1307" s="1">
        <v>97931</v>
      </c>
      <c r="D1307" t="s">
        <v>344</v>
      </c>
      <c r="E1307" t="s">
        <v>186</v>
      </c>
      <c r="F1307" s="8">
        <v>24288</v>
      </c>
      <c r="G1307" s="8">
        <v>86930</v>
      </c>
      <c r="H1307" s="5">
        <f t="shared" si="41"/>
        <v>111218</v>
      </c>
      <c r="I1307">
        <f>IFERROR(VLOOKUP(D1307,'LEAID Match'!$A$2:$B$251,2,FALSE),"")</f>
        <v>0</v>
      </c>
    </row>
    <row r="1308" spans="1:9" x14ac:dyDescent="0.2">
      <c r="A1308">
        <f t="shared" si="40"/>
        <v>0</v>
      </c>
      <c r="B1308" s="5">
        <v>2019</v>
      </c>
      <c r="C1308" s="1">
        <v>97931</v>
      </c>
      <c r="D1308" t="s">
        <v>344</v>
      </c>
      <c r="E1308" t="s">
        <v>344</v>
      </c>
      <c r="F1308" s="8">
        <v>11428</v>
      </c>
      <c r="G1308" s="8">
        <v>117600</v>
      </c>
      <c r="H1308" s="5">
        <f t="shared" si="41"/>
        <v>129028</v>
      </c>
      <c r="I1308">
        <f>IFERROR(VLOOKUP(D1308,'LEAID Match'!$A$2:$B$251,2,FALSE),"")</f>
        <v>0</v>
      </c>
    </row>
    <row r="1309" spans="1:9" x14ac:dyDescent="0.2">
      <c r="A1309">
        <f t="shared" si="40"/>
        <v>0</v>
      </c>
      <c r="B1309" s="5">
        <v>2020</v>
      </c>
      <c r="C1309" s="1">
        <v>97931</v>
      </c>
      <c r="D1309" t="s">
        <v>344</v>
      </c>
      <c r="E1309" t="s">
        <v>344</v>
      </c>
      <c r="F1309" s="8">
        <v>11053</v>
      </c>
      <c r="G1309" s="8">
        <v>101587</v>
      </c>
      <c r="H1309" s="5">
        <f t="shared" si="41"/>
        <v>112640</v>
      </c>
      <c r="I1309">
        <f>IFERROR(VLOOKUP(D1309,'LEAID Match'!$A$2:$B$251,2,FALSE),"")</f>
        <v>0</v>
      </c>
    </row>
    <row r="1310" spans="1:9" x14ac:dyDescent="0.2">
      <c r="A1310">
        <f t="shared" si="40"/>
        <v>0</v>
      </c>
      <c r="B1310" s="5">
        <v>2021</v>
      </c>
      <c r="C1310" s="1">
        <v>97931</v>
      </c>
      <c r="D1310" t="s">
        <v>344</v>
      </c>
      <c r="E1310" t="s">
        <v>344</v>
      </c>
      <c r="F1310" s="8">
        <v>12137</v>
      </c>
      <c r="G1310" s="8">
        <v>88467</v>
      </c>
      <c r="H1310" s="5">
        <f t="shared" si="41"/>
        <v>100604</v>
      </c>
      <c r="I1310">
        <f>IFERROR(VLOOKUP(D1310,'LEAID Match'!$A$2:$B$251,2,FALSE),"")</f>
        <v>0</v>
      </c>
    </row>
    <row r="1311" spans="1:9" x14ac:dyDescent="0.2">
      <c r="A1311">
        <f t="shared" si="40"/>
        <v>0</v>
      </c>
      <c r="B1311" s="5">
        <v>2022</v>
      </c>
      <c r="C1311" s="1">
        <v>97931</v>
      </c>
      <c r="D1311" t="s">
        <v>344</v>
      </c>
      <c r="E1311" t="s">
        <v>344</v>
      </c>
      <c r="F1311" s="8">
        <v>18419.22</v>
      </c>
      <c r="G1311" s="8">
        <v>111620.01</v>
      </c>
      <c r="H1311" s="5">
        <f t="shared" si="41"/>
        <v>130039.23</v>
      </c>
      <c r="I1311">
        <f>IFERROR(VLOOKUP(D1311,'LEAID Match'!$A$2:$B$251,2,FALSE),"")</f>
        <v>0</v>
      </c>
    </row>
    <row r="1312" spans="1:9" x14ac:dyDescent="0.2">
      <c r="A1312">
        <f t="shared" si="40"/>
        <v>0</v>
      </c>
      <c r="B1312" s="5">
        <v>2023</v>
      </c>
      <c r="C1312" s="1">
        <v>97931</v>
      </c>
      <c r="D1312" t="s">
        <v>344</v>
      </c>
      <c r="E1312" t="s">
        <v>344</v>
      </c>
      <c r="F1312" s="8">
        <v>3386.2</v>
      </c>
      <c r="G1312" s="8">
        <v>6122.83</v>
      </c>
      <c r="H1312" s="5">
        <f t="shared" si="41"/>
        <v>9509.0299999999988</v>
      </c>
      <c r="I1312">
        <f>IFERROR(VLOOKUP(D1312,'LEAID Match'!$A$2:$B$251,2,FALSE),"")</f>
        <v>0</v>
      </c>
    </row>
    <row r="1313" spans="1:9" x14ac:dyDescent="0.2">
      <c r="A1313">
        <f t="shared" si="40"/>
        <v>0</v>
      </c>
      <c r="B1313" s="5">
        <v>2015</v>
      </c>
      <c r="C1313" s="1">
        <v>97932</v>
      </c>
      <c r="D1313" t="s">
        <v>345</v>
      </c>
      <c r="E1313" t="s">
        <v>187</v>
      </c>
      <c r="F1313" s="8">
        <v>1112</v>
      </c>
      <c r="G1313" s="8">
        <v>78691</v>
      </c>
      <c r="H1313" s="5">
        <f t="shared" si="41"/>
        <v>79803</v>
      </c>
      <c r="I1313">
        <f>IFERROR(VLOOKUP(D1313,'LEAID Match'!$A$2:$B$251,2,FALSE),"")</f>
        <v>0</v>
      </c>
    </row>
    <row r="1314" spans="1:9" x14ac:dyDescent="0.2">
      <c r="A1314">
        <f t="shared" si="40"/>
        <v>0</v>
      </c>
      <c r="B1314" s="5">
        <v>2016</v>
      </c>
      <c r="C1314" s="1">
        <v>97932</v>
      </c>
      <c r="D1314" t="s">
        <v>345</v>
      </c>
      <c r="E1314" t="s">
        <v>187</v>
      </c>
      <c r="F1314" s="8">
        <v>1479</v>
      </c>
      <c r="G1314" s="8">
        <v>65040</v>
      </c>
      <c r="H1314" s="5">
        <f t="shared" si="41"/>
        <v>66519</v>
      </c>
      <c r="I1314">
        <f>IFERROR(VLOOKUP(D1314,'LEAID Match'!$A$2:$B$251,2,FALSE),"")</f>
        <v>0</v>
      </c>
    </row>
    <row r="1315" spans="1:9" x14ac:dyDescent="0.2">
      <c r="A1315">
        <f t="shared" si="40"/>
        <v>0</v>
      </c>
      <c r="B1315" s="5">
        <v>2017</v>
      </c>
      <c r="C1315" s="1">
        <v>97932</v>
      </c>
      <c r="D1315" t="s">
        <v>345</v>
      </c>
      <c r="E1315" t="s">
        <v>345</v>
      </c>
      <c r="F1315" s="8">
        <v>8243</v>
      </c>
      <c r="G1315" s="8">
        <v>60190</v>
      </c>
      <c r="H1315" s="5">
        <f t="shared" si="41"/>
        <v>68433</v>
      </c>
      <c r="I1315">
        <f>IFERROR(VLOOKUP(D1315,'LEAID Match'!$A$2:$B$251,2,FALSE),"")</f>
        <v>0</v>
      </c>
    </row>
    <row r="1316" spans="1:9" x14ac:dyDescent="0.2">
      <c r="A1316">
        <f t="shared" si="40"/>
        <v>0</v>
      </c>
      <c r="B1316" s="5">
        <v>2018</v>
      </c>
      <c r="C1316" s="1">
        <v>97932</v>
      </c>
      <c r="D1316" t="s">
        <v>345</v>
      </c>
      <c r="E1316" t="s">
        <v>187</v>
      </c>
      <c r="F1316" s="8">
        <v>10255</v>
      </c>
      <c r="G1316" s="8">
        <v>55787</v>
      </c>
      <c r="H1316" s="5">
        <f t="shared" si="41"/>
        <v>66042</v>
      </c>
      <c r="I1316">
        <f>IFERROR(VLOOKUP(D1316,'LEAID Match'!$A$2:$B$251,2,FALSE),"")</f>
        <v>0</v>
      </c>
    </row>
    <row r="1317" spans="1:9" x14ac:dyDescent="0.2">
      <c r="A1317">
        <f t="shared" si="40"/>
        <v>0</v>
      </c>
      <c r="B1317" s="5">
        <v>2019</v>
      </c>
      <c r="C1317" s="1">
        <v>97932</v>
      </c>
      <c r="D1317" t="s">
        <v>345</v>
      </c>
      <c r="E1317" t="s">
        <v>345</v>
      </c>
      <c r="F1317" s="8">
        <v>5066</v>
      </c>
      <c r="G1317" s="8">
        <v>69041</v>
      </c>
      <c r="H1317" s="5">
        <f t="shared" si="41"/>
        <v>74107</v>
      </c>
      <c r="I1317">
        <f>IFERROR(VLOOKUP(D1317,'LEAID Match'!$A$2:$B$251,2,FALSE),"")</f>
        <v>0</v>
      </c>
    </row>
    <row r="1318" spans="1:9" x14ac:dyDescent="0.2">
      <c r="A1318">
        <f t="shared" si="40"/>
        <v>0</v>
      </c>
      <c r="B1318" s="5">
        <v>2020</v>
      </c>
      <c r="C1318" s="1">
        <v>97932</v>
      </c>
      <c r="D1318" t="s">
        <v>345</v>
      </c>
      <c r="E1318" t="s">
        <v>345</v>
      </c>
      <c r="F1318" s="8">
        <v>5848</v>
      </c>
      <c r="G1318" s="8">
        <v>64796</v>
      </c>
      <c r="H1318" s="5">
        <f t="shared" si="41"/>
        <v>70644</v>
      </c>
      <c r="I1318">
        <f>IFERROR(VLOOKUP(D1318,'LEAID Match'!$A$2:$B$251,2,FALSE),"")</f>
        <v>0</v>
      </c>
    </row>
    <row r="1319" spans="1:9" x14ac:dyDescent="0.2">
      <c r="A1319">
        <f t="shared" si="40"/>
        <v>0</v>
      </c>
      <c r="B1319" s="5">
        <v>2021</v>
      </c>
      <c r="C1319" s="1">
        <v>97932</v>
      </c>
      <c r="D1319" t="s">
        <v>345</v>
      </c>
      <c r="E1319" t="s">
        <v>345</v>
      </c>
      <c r="F1319" s="8">
        <v>10452</v>
      </c>
      <c r="G1319" s="8">
        <v>29183</v>
      </c>
      <c r="H1319" s="5">
        <f t="shared" si="41"/>
        <v>39635</v>
      </c>
      <c r="I1319">
        <f>IFERROR(VLOOKUP(D1319,'LEAID Match'!$A$2:$B$251,2,FALSE),"")</f>
        <v>0</v>
      </c>
    </row>
    <row r="1320" spans="1:9" x14ac:dyDescent="0.2">
      <c r="A1320">
        <f t="shared" si="40"/>
        <v>0</v>
      </c>
      <c r="B1320" s="5">
        <v>2022</v>
      </c>
      <c r="C1320" s="1">
        <v>97932</v>
      </c>
      <c r="D1320" t="s">
        <v>345</v>
      </c>
      <c r="E1320" t="s">
        <v>345</v>
      </c>
      <c r="F1320" s="8">
        <v>5222.74</v>
      </c>
      <c r="G1320" s="8">
        <v>64482.19</v>
      </c>
      <c r="H1320" s="5">
        <f t="shared" si="41"/>
        <v>69704.930000000008</v>
      </c>
      <c r="I1320">
        <f>IFERROR(VLOOKUP(D1320,'LEAID Match'!$A$2:$B$251,2,FALSE),"")</f>
        <v>0</v>
      </c>
    </row>
    <row r="1321" spans="1:9" x14ac:dyDescent="0.2">
      <c r="A1321">
        <f t="shared" si="40"/>
        <v>0</v>
      </c>
      <c r="B1321" s="5">
        <v>2023</v>
      </c>
      <c r="C1321" s="1">
        <v>97932</v>
      </c>
      <c r="D1321" t="s">
        <v>345</v>
      </c>
      <c r="E1321" t="s">
        <v>345</v>
      </c>
      <c r="F1321" s="8">
        <v>639.53</v>
      </c>
      <c r="G1321" s="8">
        <v>3672.46</v>
      </c>
      <c r="H1321" s="5">
        <f t="shared" si="41"/>
        <v>4311.99</v>
      </c>
      <c r="I1321">
        <f>IFERROR(VLOOKUP(D1321,'LEAID Match'!$A$2:$B$251,2,FALSE),"")</f>
        <v>0</v>
      </c>
    </row>
    <row r="1322" spans="1:9" x14ac:dyDescent="0.2">
      <c r="A1322">
        <f t="shared" si="40"/>
        <v>0</v>
      </c>
      <c r="B1322" s="5">
        <v>2015</v>
      </c>
      <c r="C1322" s="1">
        <v>97933</v>
      </c>
      <c r="D1322" t="s">
        <v>346</v>
      </c>
      <c r="E1322" t="s">
        <v>188</v>
      </c>
      <c r="F1322" s="8">
        <v>11978</v>
      </c>
      <c r="G1322" s="8">
        <v>109141</v>
      </c>
      <c r="H1322" s="5">
        <f t="shared" si="41"/>
        <v>121119</v>
      </c>
      <c r="I1322">
        <f>IFERROR(VLOOKUP(D1322,'LEAID Match'!$A$2:$B$251,2,FALSE),"")</f>
        <v>0</v>
      </c>
    </row>
    <row r="1323" spans="1:9" x14ac:dyDescent="0.2">
      <c r="A1323">
        <f t="shared" si="40"/>
        <v>0</v>
      </c>
      <c r="B1323" s="5">
        <v>2016</v>
      </c>
      <c r="C1323" s="1">
        <v>97933</v>
      </c>
      <c r="D1323" t="s">
        <v>346</v>
      </c>
      <c r="E1323" t="s">
        <v>188</v>
      </c>
      <c r="F1323" s="8">
        <v>12269</v>
      </c>
      <c r="G1323" s="8">
        <v>123724</v>
      </c>
      <c r="H1323" s="5">
        <f t="shared" si="41"/>
        <v>135993</v>
      </c>
      <c r="I1323">
        <f>IFERROR(VLOOKUP(D1323,'LEAID Match'!$A$2:$B$251,2,FALSE),"")</f>
        <v>0</v>
      </c>
    </row>
    <row r="1324" spans="1:9" x14ac:dyDescent="0.2">
      <c r="A1324">
        <f t="shared" si="40"/>
        <v>0</v>
      </c>
      <c r="B1324" s="5">
        <v>2017</v>
      </c>
      <c r="C1324" s="1">
        <v>97933</v>
      </c>
      <c r="D1324" t="s">
        <v>346</v>
      </c>
      <c r="E1324" t="s">
        <v>346</v>
      </c>
      <c r="F1324" s="8">
        <v>11901</v>
      </c>
      <c r="G1324" s="8">
        <v>131725</v>
      </c>
      <c r="H1324" s="5">
        <f t="shared" si="41"/>
        <v>143626</v>
      </c>
      <c r="I1324">
        <f>IFERROR(VLOOKUP(D1324,'LEAID Match'!$A$2:$B$251,2,FALSE),"")</f>
        <v>0</v>
      </c>
    </row>
    <row r="1325" spans="1:9" x14ac:dyDescent="0.2">
      <c r="A1325">
        <f t="shared" si="40"/>
        <v>0</v>
      </c>
      <c r="B1325" s="5">
        <v>2018</v>
      </c>
      <c r="C1325" s="1">
        <v>97933</v>
      </c>
      <c r="D1325" t="s">
        <v>346</v>
      </c>
      <c r="E1325" t="s">
        <v>188</v>
      </c>
      <c r="F1325" s="8">
        <v>14100</v>
      </c>
      <c r="G1325" s="8">
        <v>161691</v>
      </c>
      <c r="H1325" s="5">
        <f t="shared" si="41"/>
        <v>175791</v>
      </c>
      <c r="I1325">
        <f>IFERROR(VLOOKUP(D1325,'LEAID Match'!$A$2:$B$251,2,FALSE),"")</f>
        <v>0</v>
      </c>
    </row>
    <row r="1326" spans="1:9" x14ac:dyDescent="0.2">
      <c r="A1326">
        <f t="shared" si="40"/>
        <v>0</v>
      </c>
      <c r="B1326" s="5">
        <v>2019</v>
      </c>
      <c r="C1326" s="1">
        <v>97933</v>
      </c>
      <c r="D1326" t="s">
        <v>346</v>
      </c>
      <c r="E1326" t="s">
        <v>346</v>
      </c>
      <c r="F1326" s="8">
        <v>12103</v>
      </c>
      <c r="G1326" s="8">
        <v>200947</v>
      </c>
      <c r="H1326" s="5">
        <f t="shared" si="41"/>
        <v>213050</v>
      </c>
      <c r="I1326">
        <f>IFERROR(VLOOKUP(D1326,'LEAID Match'!$A$2:$B$251,2,FALSE),"")</f>
        <v>0</v>
      </c>
    </row>
    <row r="1327" spans="1:9" x14ac:dyDescent="0.2">
      <c r="A1327">
        <f t="shared" si="40"/>
        <v>0</v>
      </c>
      <c r="B1327" s="5">
        <v>2020</v>
      </c>
      <c r="C1327" s="1">
        <v>97933</v>
      </c>
      <c r="D1327" t="s">
        <v>346</v>
      </c>
      <c r="E1327" t="s">
        <v>346</v>
      </c>
      <c r="F1327" s="8">
        <v>20416</v>
      </c>
      <c r="G1327" s="8">
        <v>211291</v>
      </c>
      <c r="H1327" s="5">
        <f t="shared" si="41"/>
        <v>231707</v>
      </c>
      <c r="I1327">
        <f>IFERROR(VLOOKUP(D1327,'LEAID Match'!$A$2:$B$251,2,FALSE),"")</f>
        <v>0</v>
      </c>
    </row>
    <row r="1328" spans="1:9" x14ac:dyDescent="0.2">
      <c r="A1328">
        <f t="shared" si="40"/>
        <v>0</v>
      </c>
      <c r="B1328" s="5">
        <v>2021</v>
      </c>
      <c r="C1328" s="1">
        <v>97933</v>
      </c>
      <c r="D1328" t="s">
        <v>346</v>
      </c>
      <c r="E1328" t="s">
        <v>346</v>
      </c>
      <c r="F1328" s="8">
        <v>25080</v>
      </c>
      <c r="G1328" s="8">
        <v>197265</v>
      </c>
      <c r="H1328" s="5">
        <f t="shared" si="41"/>
        <v>222345</v>
      </c>
      <c r="I1328">
        <f>IFERROR(VLOOKUP(D1328,'LEAID Match'!$A$2:$B$251,2,FALSE),"")</f>
        <v>0</v>
      </c>
    </row>
    <row r="1329" spans="1:9" x14ac:dyDescent="0.2">
      <c r="A1329">
        <f t="shared" si="40"/>
        <v>0</v>
      </c>
      <c r="B1329" s="5">
        <v>2022</v>
      </c>
      <c r="C1329" s="1">
        <v>97933</v>
      </c>
      <c r="D1329" t="s">
        <v>346</v>
      </c>
      <c r="E1329" t="s">
        <v>346</v>
      </c>
      <c r="F1329" s="8">
        <v>24099.29</v>
      </c>
      <c r="G1329" s="8">
        <v>199771.63</v>
      </c>
      <c r="H1329" s="5">
        <f t="shared" si="41"/>
        <v>223870.92</v>
      </c>
      <c r="I1329">
        <f>IFERROR(VLOOKUP(D1329,'LEAID Match'!$A$2:$B$251,2,FALSE),"")</f>
        <v>0</v>
      </c>
    </row>
    <row r="1330" spans="1:9" x14ac:dyDescent="0.2">
      <c r="A1330">
        <f t="shared" si="40"/>
        <v>0</v>
      </c>
      <c r="B1330" s="5">
        <v>2023</v>
      </c>
      <c r="C1330" s="1">
        <v>97933</v>
      </c>
      <c r="D1330" t="s">
        <v>346</v>
      </c>
      <c r="E1330" t="s">
        <v>346</v>
      </c>
      <c r="F1330" s="8">
        <v>39044.14</v>
      </c>
      <c r="G1330" s="8">
        <v>197484.4</v>
      </c>
      <c r="H1330" s="5">
        <f t="shared" si="41"/>
        <v>236528.53999999998</v>
      </c>
      <c r="I1330">
        <f>IFERROR(VLOOKUP(D1330,'LEAID Match'!$A$2:$B$251,2,FALSE),"")</f>
        <v>0</v>
      </c>
    </row>
    <row r="1331" spans="1:9" x14ac:dyDescent="0.2">
      <c r="A1331">
        <f t="shared" si="40"/>
        <v>0</v>
      </c>
      <c r="B1331" s="5">
        <v>2015</v>
      </c>
      <c r="C1331" s="1">
        <v>97934</v>
      </c>
      <c r="D1331" t="s">
        <v>347</v>
      </c>
      <c r="E1331" t="s">
        <v>569</v>
      </c>
      <c r="F1331" s="8">
        <v>9511</v>
      </c>
      <c r="G1331" s="8">
        <v>57562</v>
      </c>
      <c r="H1331" s="5">
        <f t="shared" si="41"/>
        <v>67073</v>
      </c>
      <c r="I1331">
        <f>IFERROR(VLOOKUP(D1331,'LEAID Match'!$A$2:$B$251,2,FALSE),"")</f>
        <v>0</v>
      </c>
    </row>
    <row r="1332" spans="1:9" x14ac:dyDescent="0.2">
      <c r="A1332">
        <f t="shared" si="40"/>
        <v>0</v>
      </c>
      <c r="B1332" s="5">
        <v>2016</v>
      </c>
      <c r="C1332" s="1">
        <v>97934</v>
      </c>
      <c r="D1332" t="s">
        <v>347</v>
      </c>
      <c r="E1332" t="s">
        <v>189</v>
      </c>
      <c r="F1332" s="8">
        <v>13758</v>
      </c>
      <c r="G1332" s="8">
        <v>71943</v>
      </c>
      <c r="H1332" s="5">
        <f t="shared" si="41"/>
        <v>85701</v>
      </c>
      <c r="I1332">
        <f>IFERROR(VLOOKUP(D1332,'LEAID Match'!$A$2:$B$251,2,FALSE),"")</f>
        <v>0</v>
      </c>
    </row>
    <row r="1333" spans="1:9" x14ac:dyDescent="0.2">
      <c r="A1333">
        <f t="shared" si="40"/>
        <v>0</v>
      </c>
      <c r="B1333" s="5">
        <v>2017</v>
      </c>
      <c r="C1333" s="1">
        <v>97934</v>
      </c>
      <c r="D1333" t="s">
        <v>347</v>
      </c>
      <c r="E1333" t="s">
        <v>347</v>
      </c>
      <c r="F1333" s="8">
        <v>23440</v>
      </c>
      <c r="G1333" s="8">
        <v>75295</v>
      </c>
      <c r="H1333" s="5">
        <f t="shared" si="41"/>
        <v>98735</v>
      </c>
      <c r="I1333">
        <f>IFERROR(VLOOKUP(D1333,'LEAID Match'!$A$2:$B$251,2,FALSE),"")</f>
        <v>0</v>
      </c>
    </row>
    <row r="1334" spans="1:9" x14ac:dyDescent="0.2">
      <c r="A1334">
        <f t="shared" si="40"/>
        <v>0</v>
      </c>
      <c r="B1334" s="5">
        <v>2018</v>
      </c>
      <c r="C1334" s="1">
        <v>97934</v>
      </c>
      <c r="D1334" t="s">
        <v>347</v>
      </c>
      <c r="E1334" t="s">
        <v>189</v>
      </c>
      <c r="F1334" s="8">
        <v>25814</v>
      </c>
      <c r="G1334" s="8">
        <v>65169</v>
      </c>
      <c r="H1334" s="5">
        <f t="shared" si="41"/>
        <v>90983</v>
      </c>
      <c r="I1334">
        <f>IFERROR(VLOOKUP(D1334,'LEAID Match'!$A$2:$B$251,2,FALSE),"")</f>
        <v>0</v>
      </c>
    </row>
    <row r="1335" spans="1:9" x14ac:dyDescent="0.2">
      <c r="A1335">
        <f t="shared" si="40"/>
        <v>0</v>
      </c>
      <c r="B1335" s="5">
        <v>2019</v>
      </c>
      <c r="C1335" s="1">
        <v>97934</v>
      </c>
      <c r="D1335" t="s">
        <v>347</v>
      </c>
      <c r="E1335" t="s">
        <v>347</v>
      </c>
      <c r="F1335" s="8" t="s">
        <v>479</v>
      </c>
      <c r="G1335" s="8" t="s">
        <v>591</v>
      </c>
      <c r="H1335" s="5">
        <f t="shared" si="41"/>
        <v>0</v>
      </c>
      <c r="I1335">
        <f>IFERROR(VLOOKUP(D1335,'LEAID Match'!$A$2:$B$251,2,FALSE),"")</f>
        <v>0</v>
      </c>
    </row>
    <row r="1336" spans="1:9" x14ac:dyDescent="0.2">
      <c r="A1336">
        <f t="shared" si="40"/>
        <v>0</v>
      </c>
      <c r="B1336" s="5">
        <v>2020</v>
      </c>
      <c r="C1336" s="1">
        <v>97934</v>
      </c>
      <c r="D1336" t="s">
        <v>347</v>
      </c>
      <c r="E1336" t="s">
        <v>347</v>
      </c>
      <c r="F1336" s="8" t="s">
        <v>591</v>
      </c>
      <c r="G1336" s="8" t="s">
        <v>591</v>
      </c>
      <c r="H1336" s="5">
        <f t="shared" si="41"/>
        <v>0</v>
      </c>
      <c r="I1336">
        <f>IFERROR(VLOOKUP(D1336,'LEAID Match'!$A$2:$B$251,2,FALSE),"")</f>
        <v>0</v>
      </c>
    </row>
    <row r="1337" spans="1:9" x14ac:dyDescent="0.2">
      <c r="A1337">
        <f t="shared" si="40"/>
        <v>0</v>
      </c>
      <c r="B1337" s="5">
        <v>2021</v>
      </c>
      <c r="C1337" s="1">
        <v>97934</v>
      </c>
      <c r="D1337" t="s">
        <v>347</v>
      </c>
      <c r="E1337" t="s">
        <v>347</v>
      </c>
      <c r="F1337" s="8" t="s">
        <v>591</v>
      </c>
      <c r="G1337" s="8" t="s">
        <v>591</v>
      </c>
      <c r="H1337" s="5">
        <f t="shared" si="41"/>
        <v>0</v>
      </c>
      <c r="I1337">
        <f>IFERROR(VLOOKUP(D1337,'LEAID Match'!$A$2:$B$251,2,FALSE),"")</f>
        <v>0</v>
      </c>
    </row>
    <row r="1338" spans="1:9" x14ac:dyDescent="0.2">
      <c r="A1338">
        <f t="shared" si="40"/>
        <v>0</v>
      </c>
      <c r="B1338" s="5">
        <v>2022</v>
      </c>
      <c r="C1338" s="1">
        <v>97934</v>
      </c>
      <c r="D1338" t="s">
        <v>347</v>
      </c>
      <c r="E1338" t="s">
        <v>347</v>
      </c>
      <c r="F1338" s="8" t="s">
        <v>591</v>
      </c>
      <c r="G1338" s="8" t="s">
        <v>591</v>
      </c>
      <c r="H1338" s="5">
        <f t="shared" si="41"/>
        <v>0</v>
      </c>
      <c r="I1338">
        <f>IFERROR(VLOOKUP(D1338,'LEAID Match'!$A$2:$B$251,2,FALSE),"")</f>
        <v>0</v>
      </c>
    </row>
    <row r="1339" spans="1:9" x14ac:dyDescent="0.2">
      <c r="A1339">
        <f t="shared" si="40"/>
        <v>0</v>
      </c>
      <c r="B1339" s="5">
        <v>2023</v>
      </c>
      <c r="C1339" s="1">
        <v>97934</v>
      </c>
      <c r="D1339" t="s">
        <v>347</v>
      </c>
      <c r="E1339" t="s">
        <v>347</v>
      </c>
      <c r="F1339" s="8" t="s">
        <v>591</v>
      </c>
      <c r="G1339" s="8" t="s">
        <v>591</v>
      </c>
      <c r="H1339" s="5">
        <f t="shared" si="41"/>
        <v>0</v>
      </c>
      <c r="I1339">
        <f>IFERROR(VLOOKUP(D1339,'LEAID Match'!$A$2:$B$251,2,FALSE),"")</f>
        <v>0</v>
      </c>
    </row>
    <row r="1340" spans="1:9" x14ac:dyDescent="0.2">
      <c r="A1340">
        <f t="shared" si="40"/>
        <v>0</v>
      </c>
      <c r="B1340" s="5">
        <v>2015</v>
      </c>
      <c r="C1340" s="1">
        <v>97936</v>
      </c>
      <c r="D1340" t="s">
        <v>348</v>
      </c>
      <c r="E1340" t="s">
        <v>190</v>
      </c>
      <c r="F1340" s="8">
        <v>7679</v>
      </c>
      <c r="G1340" s="8">
        <v>93345</v>
      </c>
      <c r="H1340" s="5">
        <f t="shared" si="41"/>
        <v>101024</v>
      </c>
      <c r="I1340">
        <f>IFERROR(VLOOKUP(D1340,'LEAID Match'!$A$2:$B$251,2,FALSE),"")</f>
        <v>0</v>
      </c>
    </row>
    <row r="1341" spans="1:9" x14ac:dyDescent="0.2">
      <c r="A1341">
        <f t="shared" si="40"/>
        <v>0</v>
      </c>
      <c r="B1341" s="5">
        <v>2016</v>
      </c>
      <c r="C1341" s="1">
        <v>97936</v>
      </c>
      <c r="D1341" t="s">
        <v>348</v>
      </c>
      <c r="E1341" t="s">
        <v>190</v>
      </c>
      <c r="F1341" s="8">
        <v>10844</v>
      </c>
      <c r="G1341" s="8">
        <v>78050</v>
      </c>
      <c r="H1341" s="5">
        <f t="shared" si="41"/>
        <v>88894</v>
      </c>
      <c r="I1341">
        <f>IFERROR(VLOOKUP(D1341,'LEAID Match'!$A$2:$B$251,2,FALSE),"")</f>
        <v>0</v>
      </c>
    </row>
    <row r="1342" spans="1:9" x14ac:dyDescent="0.2">
      <c r="A1342">
        <f t="shared" si="40"/>
        <v>0</v>
      </c>
      <c r="B1342" s="5">
        <v>2017</v>
      </c>
      <c r="C1342" s="1">
        <v>97936</v>
      </c>
      <c r="D1342" t="s">
        <v>348</v>
      </c>
      <c r="E1342" t="s">
        <v>348</v>
      </c>
      <c r="F1342" s="8">
        <v>7683</v>
      </c>
      <c r="G1342" s="8">
        <v>102388</v>
      </c>
      <c r="H1342" s="5">
        <f t="shared" si="41"/>
        <v>110071</v>
      </c>
      <c r="I1342">
        <f>IFERROR(VLOOKUP(D1342,'LEAID Match'!$A$2:$B$251,2,FALSE),"")</f>
        <v>0</v>
      </c>
    </row>
    <row r="1343" spans="1:9" x14ac:dyDescent="0.2">
      <c r="A1343">
        <f t="shared" si="40"/>
        <v>0</v>
      </c>
      <c r="B1343" s="5">
        <v>2018</v>
      </c>
      <c r="C1343" s="1">
        <v>97936</v>
      </c>
      <c r="D1343" t="s">
        <v>348</v>
      </c>
      <c r="E1343" t="s">
        <v>190</v>
      </c>
      <c r="F1343" s="8">
        <v>23574</v>
      </c>
      <c r="G1343" s="8">
        <v>134062</v>
      </c>
      <c r="H1343" s="5">
        <f t="shared" si="41"/>
        <v>157636</v>
      </c>
      <c r="I1343">
        <f>IFERROR(VLOOKUP(D1343,'LEAID Match'!$A$2:$B$251,2,FALSE),"")</f>
        <v>0</v>
      </c>
    </row>
    <row r="1344" spans="1:9" x14ac:dyDescent="0.2">
      <c r="A1344">
        <f t="shared" si="40"/>
        <v>0</v>
      </c>
      <c r="B1344" s="5">
        <v>2019</v>
      </c>
      <c r="C1344" s="1">
        <v>97936</v>
      </c>
      <c r="D1344" t="s">
        <v>348</v>
      </c>
      <c r="E1344" t="s">
        <v>348</v>
      </c>
      <c r="F1344" s="8">
        <v>39036</v>
      </c>
      <c r="G1344" s="8">
        <v>405838</v>
      </c>
      <c r="H1344" s="5">
        <f t="shared" si="41"/>
        <v>444874</v>
      </c>
      <c r="I1344">
        <f>IFERROR(VLOOKUP(D1344,'LEAID Match'!$A$2:$B$251,2,FALSE),"")</f>
        <v>0</v>
      </c>
    </row>
    <row r="1345" spans="1:9" x14ac:dyDescent="0.2">
      <c r="A1345">
        <f t="shared" si="40"/>
        <v>0</v>
      </c>
      <c r="B1345" s="5">
        <v>2020</v>
      </c>
      <c r="C1345" s="1">
        <v>97936</v>
      </c>
      <c r="D1345" t="s">
        <v>348</v>
      </c>
      <c r="E1345" t="s">
        <v>348</v>
      </c>
      <c r="F1345" s="8">
        <v>56527</v>
      </c>
      <c r="G1345" s="8">
        <v>470842</v>
      </c>
      <c r="H1345" s="5">
        <f t="shared" si="41"/>
        <v>527369</v>
      </c>
      <c r="I1345">
        <f>IFERROR(VLOOKUP(D1345,'LEAID Match'!$A$2:$B$251,2,FALSE),"")</f>
        <v>0</v>
      </c>
    </row>
    <row r="1346" spans="1:9" x14ac:dyDescent="0.2">
      <c r="A1346">
        <f t="shared" si="40"/>
        <v>0</v>
      </c>
      <c r="B1346" s="5">
        <v>2021</v>
      </c>
      <c r="C1346" s="1">
        <v>97936</v>
      </c>
      <c r="D1346" t="s">
        <v>348</v>
      </c>
      <c r="E1346" t="s">
        <v>348</v>
      </c>
      <c r="F1346" s="8">
        <v>57827</v>
      </c>
      <c r="G1346" s="8">
        <v>448585</v>
      </c>
      <c r="H1346" s="5">
        <f t="shared" si="41"/>
        <v>506412</v>
      </c>
      <c r="I1346">
        <f>IFERROR(VLOOKUP(D1346,'LEAID Match'!$A$2:$B$251,2,FALSE),"")</f>
        <v>0</v>
      </c>
    </row>
    <row r="1347" spans="1:9" x14ac:dyDescent="0.2">
      <c r="A1347">
        <f t="shared" ref="A1347:A1410" si="42">I1347</f>
        <v>0</v>
      </c>
      <c r="B1347" s="5">
        <v>2022</v>
      </c>
      <c r="C1347" s="1">
        <v>97936</v>
      </c>
      <c r="D1347" t="s">
        <v>348</v>
      </c>
      <c r="E1347" t="s">
        <v>348</v>
      </c>
      <c r="F1347" s="8">
        <v>79568.08</v>
      </c>
      <c r="G1347" s="8">
        <v>477664.75</v>
      </c>
      <c r="H1347" s="5">
        <f t="shared" ref="H1347:H1410" si="43">SUM(F1347:G1347)</f>
        <v>557232.82999999996</v>
      </c>
      <c r="I1347">
        <f>IFERROR(VLOOKUP(D1347,'LEAID Match'!$A$2:$B$251,2,FALSE),"")</f>
        <v>0</v>
      </c>
    </row>
    <row r="1348" spans="1:9" x14ac:dyDescent="0.2">
      <c r="A1348">
        <f t="shared" si="42"/>
        <v>0</v>
      </c>
      <c r="B1348" s="5">
        <v>2023</v>
      </c>
      <c r="C1348" s="1">
        <v>97936</v>
      </c>
      <c r="D1348" t="s">
        <v>348</v>
      </c>
      <c r="E1348" t="s">
        <v>348</v>
      </c>
      <c r="F1348" s="8">
        <v>125283.46</v>
      </c>
      <c r="G1348" s="8">
        <v>491845.18</v>
      </c>
      <c r="H1348" s="5">
        <f t="shared" si="43"/>
        <v>617128.64</v>
      </c>
      <c r="I1348">
        <f>IFERROR(VLOOKUP(D1348,'LEAID Match'!$A$2:$B$251,2,FALSE),"")</f>
        <v>0</v>
      </c>
    </row>
    <row r="1349" spans="1:9" x14ac:dyDescent="0.2">
      <c r="A1349">
        <f t="shared" si="42"/>
        <v>0</v>
      </c>
      <c r="B1349" s="5">
        <v>2015</v>
      </c>
      <c r="C1349" s="1">
        <v>97935</v>
      </c>
      <c r="D1349" t="s">
        <v>349</v>
      </c>
      <c r="E1349" t="s">
        <v>191</v>
      </c>
      <c r="F1349" s="8">
        <v>7809</v>
      </c>
      <c r="G1349" s="8">
        <v>56307</v>
      </c>
      <c r="H1349" s="5">
        <f t="shared" si="43"/>
        <v>64116</v>
      </c>
      <c r="I1349">
        <f>IFERROR(VLOOKUP(D1349,'LEAID Match'!$A$2:$B$251,2,FALSE),"")</f>
        <v>0</v>
      </c>
    </row>
    <row r="1350" spans="1:9" x14ac:dyDescent="0.2">
      <c r="A1350">
        <f t="shared" si="42"/>
        <v>0</v>
      </c>
      <c r="B1350" s="5">
        <v>2016</v>
      </c>
      <c r="C1350" s="1">
        <v>97935</v>
      </c>
      <c r="D1350" t="s">
        <v>349</v>
      </c>
      <c r="E1350" t="s">
        <v>191</v>
      </c>
      <c r="F1350" s="8">
        <v>3597</v>
      </c>
      <c r="G1350" s="8">
        <v>65818</v>
      </c>
      <c r="H1350" s="5">
        <f t="shared" si="43"/>
        <v>69415</v>
      </c>
      <c r="I1350">
        <f>IFERROR(VLOOKUP(D1350,'LEAID Match'!$A$2:$B$251,2,FALSE),"")</f>
        <v>0</v>
      </c>
    </row>
    <row r="1351" spans="1:9" x14ac:dyDescent="0.2">
      <c r="A1351">
        <f t="shared" si="42"/>
        <v>0</v>
      </c>
      <c r="B1351" s="5">
        <v>2017</v>
      </c>
      <c r="C1351" s="1">
        <v>97935</v>
      </c>
      <c r="D1351" t="s">
        <v>349</v>
      </c>
      <c r="E1351" t="s">
        <v>349</v>
      </c>
      <c r="F1351" s="8">
        <v>5746</v>
      </c>
      <c r="G1351" s="8">
        <v>70027</v>
      </c>
      <c r="H1351" s="5">
        <f t="shared" si="43"/>
        <v>75773</v>
      </c>
      <c r="I1351">
        <f>IFERROR(VLOOKUP(D1351,'LEAID Match'!$A$2:$B$251,2,FALSE),"")</f>
        <v>0</v>
      </c>
    </row>
    <row r="1352" spans="1:9" x14ac:dyDescent="0.2">
      <c r="A1352">
        <f t="shared" si="42"/>
        <v>0</v>
      </c>
      <c r="B1352" s="5">
        <v>2018</v>
      </c>
      <c r="C1352" s="1">
        <v>97935</v>
      </c>
      <c r="D1352" t="s">
        <v>349</v>
      </c>
      <c r="E1352" t="s">
        <v>191</v>
      </c>
      <c r="F1352" s="8">
        <v>11241</v>
      </c>
      <c r="G1352" s="8">
        <v>80288</v>
      </c>
      <c r="H1352" s="5">
        <f t="shared" si="43"/>
        <v>91529</v>
      </c>
      <c r="I1352">
        <f>IFERROR(VLOOKUP(D1352,'LEAID Match'!$A$2:$B$251,2,FALSE),"")</f>
        <v>0</v>
      </c>
    </row>
    <row r="1353" spans="1:9" x14ac:dyDescent="0.2">
      <c r="A1353">
        <f t="shared" si="42"/>
        <v>0</v>
      </c>
      <c r="B1353" s="5">
        <v>2019</v>
      </c>
      <c r="C1353" s="1">
        <v>97935</v>
      </c>
      <c r="D1353" t="s">
        <v>349</v>
      </c>
      <c r="E1353" t="s">
        <v>349</v>
      </c>
      <c r="F1353" s="8" t="s">
        <v>591</v>
      </c>
      <c r="G1353" s="8" t="s">
        <v>591</v>
      </c>
      <c r="H1353" s="5">
        <f t="shared" si="43"/>
        <v>0</v>
      </c>
      <c r="I1353">
        <f>IFERROR(VLOOKUP(D1353,'LEAID Match'!$A$2:$B$251,2,FALSE),"")</f>
        <v>0</v>
      </c>
    </row>
    <row r="1354" spans="1:9" x14ac:dyDescent="0.2">
      <c r="A1354">
        <f t="shared" si="42"/>
        <v>0</v>
      </c>
      <c r="B1354" s="5">
        <v>2020</v>
      </c>
      <c r="C1354" s="1">
        <v>97935</v>
      </c>
      <c r="D1354" t="s">
        <v>349</v>
      </c>
      <c r="E1354" t="s">
        <v>349</v>
      </c>
      <c r="F1354" s="8" t="s">
        <v>591</v>
      </c>
      <c r="G1354" s="8" t="s">
        <v>591</v>
      </c>
      <c r="H1354" s="5">
        <f t="shared" si="43"/>
        <v>0</v>
      </c>
      <c r="I1354">
        <f>IFERROR(VLOOKUP(D1354,'LEAID Match'!$A$2:$B$251,2,FALSE),"")</f>
        <v>0</v>
      </c>
    </row>
    <row r="1355" spans="1:9" x14ac:dyDescent="0.2">
      <c r="A1355">
        <f t="shared" si="42"/>
        <v>0</v>
      </c>
      <c r="B1355" s="5">
        <v>2021</v>
      </c>
      <c r="C1355" s="1">
        <v>97935</v>
      </c>
      <c r="D1355" t="s">
        <v>349</v>
      </c>
      <c r="E1355" t="s">
        <v>349</v>
      </c>
      <c r="F1355" s="8" t="s">
        <v>591</v>
      </c>
      <c r="G1355" s="8" t="s">
        <v>591</v>
      </c>
      <c r="H1355" s="5">
        <f t="shared" si="43"/>
        <v>0</v>
      </c>
      <c r="I1355">
        <f>IFERROR(VLOOKUP(D1355,'LEAID Match'!$A$2:$B$251,2,FALSE),"")</f>
        <v>0</v>
      </c>
    </row>
    <row r="1356" spans="1:9" x14ac:dyDescent="0.2">
      <c r="A1356">
        <f t="shared" si="42"/>
        <v>0</v>
      </c>
      <c r="B1356" s="5">
        <v>2022</v>
      </c>
      <c r="C1356" s="1">
        <v>97935</v>
      </c>
      <c r="D1356" t="s">
        <v>349</v>
      </c>
      <c r="E1356" t="s">
        <v>349</v>
      </c>
      <c r="F1356" s="8" t="s">
        <v>591</v>
      </c>
      <c r="G1356" s="8" t="s">
        <v>591</v>
      </c>
      <c r="H1356" s="5">
        <f t="shared" si="43"/>
        <v>0</v>
      </c>
      <c r="I1356">
        <f>IFERROR(VLOOKUP(D1356,'LEAID Match'!$A$2:$B$251,2,FALSE),"")</f>
        <v>0</v>
      </c>
    </row>
    <row r="1357" spans="1:9" x14ac:dyDescent="0.2">
      <c r="A1357">
        <f t="shared" si="42"/>
        <v>0</v>
      </c>
      <c r="B1357" s="5">
        <v>2023</v>
      </c>
      <c r="C1357" s="1">
        <v>97935</v>
      </c>
      <c r="D1357" t="s">
        <v>349</v>
      </c>
      <c r="E1357" t="s">
        <v>349</v>
      </c>
      <c r="F1357" s="8" t="s">
        <v>591</v>
      </c>
      <c r="G1357" s="8" t="s">
        <v>591</v>
      </c>
      <c r="H1357" s="5">
        <f t="shared" si="43"/>
        <v>0</v>
      </c>
      <c r="I1357">
        <f>IFERROR(VLOOKUP(D1357,'LEAID Match'!$A$2:$B$251,2,FALSE),"")</f>
        <v>0</v>
      </c>
    </row>
    <row r="1358" spans="1:9" x14ac:dyDescent="0.2">
      <c r="A1358">
        <f t="shared" si="42"/>
        <v>0</v>
      </c>
      <c r="B1358" s="5">
        <v>2015</v>
      </c>
      <c r="C1358" s="1">
        <v>92179</v>
      </c>
      <c r="D1358" t="s">
        <v>550</v>
      </c>
      <c r="E1358" t="s">
        <v>575</v>
      </c>
      <c r="F1358" s="8" t="s">
        <v>591</v>
      </c>
      <c r="G1358" s="8" t="s">
        <v>591</v>
      </c>
      <c r="H1358" s="5">
        <f t="shared" si="43"/>
        <v>0</v>
      </c>
      <c r="I1358">
        <f>IFERROR(VLOOKUP(D1358,'LEAID Match'!$A$2:$B$251,2,FALSE),"")</f>
        <v>0</v>
      </c>
    </row>
    <row r="1359" spans="1:9" x14ac:dyDescent="0.2">
      <c r="A1359">
        <f t="shared" si="42"/>
        <v>0</v>
      </c>
      <c r="B1359" s="5">
        <v>2016</v>
      </c>
      <c r="C1359" s="1">
        <v>92179</v>
      </c>
      <c r="D1359" t="s">
        <v>550</v>
      </c>
      <c r="E1359" t="s">
        <v>548</v>
      </c>
      <c r="F1359" s="8" t="s">
        <v>591</v>
      </c>
      <c r="G1359" s="8" t="s">
        <v>591</v>
      </c>
      <c r="H1359" s="5">
        <f t="shared" si="43"/>
        <v>0</v>
      </c>
      <c r="I1359">
        <f>IFERROR(VLOOKUP(D1359,'LEAID Match'!$A$2:$B$251,2,FALSE),"")</f>
        <v>0</v>
      </c>
    </row>
    <row r="1360" spans="1:9" x14ac:dyDescent="0.2">
      <c r="A1360">
        <f t="shared" si="42"/>
        <v>0</v>
      </c>
      <c r="B1360" s="5">
        <v>2017</v>
      </c>
      <c r="C1360" s="1">
        <v>92179</v>
      </c>
      <c r="D1360" t="s">
        <v>550</v>
      </c>
      <c r="E1360" t="s">
        <v>548</v>
      </c>
      <c r="F1360" s="8" t="s">
        <v>591</v>
      </c>
      <c r="G1360" s="8" t="s">
        <v>591</v>
      </c>
      <c r="H1360" s="5">
        <f t="shared" si="43"/>
        <v>0</v>
      </c>
      <c r="I1360">
        <f>IFERROR(VLOOKUP(D1360,'LEAID Match'!$A$2:$B$251,2,FALSE),"")</f>
        <v>0</v>
      </c>
    </row>
    <row r="1361" spans="1:9" x14ac:dyDescent="0.2">
      <c r="A1361">
        <f t="shared" si="42"/>
        <v>0</v>
      </c>
      <c r="B1361" s="5">
        <v>2018</v>
      </c>
      <c r="C1361" s="1">
        <v>92179</v>
      </c>
      <c r="D1361" t="s">
        <v>550</v>
      </c>
      <c r="E1361" t="s">
        <v>548</v>
      </c>
      <c r="F1361" s="8" t="s">
        <v>591</v>
      </c>
      <c r="G1361" s="8" t="s">
        <v>591</v>
      </c>
      <c r="H1361" s="5">
        <f t="shared" si="43"/>
        <v>0</v>
      </c>
      <c r="I1361">
        <f>IFERROR(VLOOKUP(D1361,'LEAID Match'!$A$2:$B$251,2,FALSE),"")</f>
        <v>0</v>
      </c>
    </row>
    <row r="1362" spans="1:9" x14ac:dyDescent="0.2">
      <c r="A1362">
        <f t="shared" si="42"/>
        <v>0</v>
      </c>
      <c r="B1362" s="5">
        <v>2019</v>
      </c>
      <c r="C1362" s="1">
        <v>92179</v>
      </c>
      <c r="D1362" t="s">
        <v>550</v>
      </c>
      <c r="E1362" t="s">
        <v>550</v>
      </c>
      <c r="F1362" s="8" t="s">
        <v>591</v>
      </c>
      <c r="G1362" s="8" t="s">
        <v>591</v>
      </c>
      <c r="H1362" s="5">
        <f t="shared" si="43"/>
        <v>0</v>
      </c>
      <c r="I1362">
        <f>IFERROR(VLOOKUP(D1362,'LEAID Match'!$A$2:$B$251,2,FALSE),"")</f>
        <v>0</v>
      </c>
    </row>
    <row r="1363" spans="1:9" x14ac:dyDescent="0.2">
      <c r="A1363">
        <f t="shared" si="42"/>
        <v>0</v>
      </c>
      <c r="B1363" s="5">
        <v>2020</v>
      </c>
      <c r="C1363">
        <v>92179</v>
      </c>
      <c r="D1363" t="s">
        <v>550</v>
      </c>
      <c r="E1363" t="s">
        <v>550</v>
      </c>
      <c r="F1363" s="8" t="s">
        <v>591</v>
      </c>
      <c r="G1363" s="8" t="s">
        <v>591</v>
      </c>
      <c r="H1363" s="5">
        <f t="shared" si="43"/>
        <v>0</v>
      </c>
      <c r="I1363">
        <f>IFERROR(VLOOKUP(D1363,'LEAID Match'!$A$2:$B$251,2,FALSE),"")</f>
        <v>0</v>
      </c>
    </row>
    <row r="1364" spans="1:9" x14ac:dyDescent="0.2">
      <c r="A1364">
        <f t="shared" si="42"/>
        <v>0</v>
      </c>
      <c r="B1364" s="5">
        <v>2021</v>
      </c>
      <c r="C1364">
        <v>92179</v>
      </c>
      <c r="D1364" t="s">
        <v>550</v>
      </c>
      <c r="E1364" t="s">
        <v>550</v>
      </c>
      <c r="F1364" s="8" t="s">
        <v>591</v>
      </c>
      <c r="G1364" s="8" t="s">
        <v>591</v>
      </c>
      <c r="H1364" s="5">
        <f t="shared" si="43"/>
        <v>0</v>
      </c>
      <c r="I1364">
        <f>IFERROR(VLOOKUP(D1364,'LEAID Match'!$A$2:$B$251,2,FALSE),"")</f>
        <v>0</v>
      </c>
    </row>
    <row r="1365" spans="1:9" x14ac:dyDescent="0.2">
      <c r="A1365">
        <f t="shared" si="42"/>
        <v>0</v>
      </c>
      <c r="B1365" s="5">
        <v>2022</v>
      </c>
      <c r="C1365">
        <v>92179</v>
      </c>
      <c r="D1365" t="s">
        <v>550</v>
      </c>
      <c r="E1365" t="s">
        <v>550</v>
      </c>
      <c r="F1365" s="8" t="s">
        <v>591</v>
      </c>
      <c r="G1365" s="8" t="s">
        <v>591</v>
      </c>
      <c r="H1365" s="5">
        <f t="shared" si="43"/>
        <v>0</v>
      </c>
      <c r="I1365">
        <f>IFERROR(VLOOKUP(D1365,'LEAID Match'!$A$2:$B$251,2,FALSE),"")</f>
        <v>0</v>
      </c>
    </row>
    <row r="1366" spans="1:9" x14ac:dyDescent="0.2">
      <c r="A1366">
        <f t="shared" si="42"/>
        <v>0</v>
      </c>
      <c r="B1366" s="5">
        <v>2023</v>
      </c>
      <c r="C1366">
        <v>92179</v>
      </c>
      <c r="D1366" t="s">
        <v>550</v>
      </c>
      <c r="E1366" t="s">
        <v>550</v>
      </c>
      <c r="F1366" s="8" t="s">
        <v>591</v>
      </c>
      <c r="G1366" s="8" t="s">
        <v>591</v>
      </c>
      <c r="H1366" s="5">
        <f t="shared" si="43"/>
        <v>0</v>
      </c>
      <c r="I1366">
        <f>IFERROR(VLOOKUP(D1366,'LEAID Match'!$A$2:$B$251,2,FALSE),"")</f>
        <v>0</v>
      </c>
    </row>
    <row r="1367" spans="1:9" x14ac:dyDescent="0.2">
      <c r="A1367">
        <f t="shared" si="42"/>
        <v>0</v>
      </c>
      <c r="B1367" s="5">
        <v>2015</v>
      </c>
      <c r="C1367" s="1">
        <v>97937</v>
      </c>
      <c r="D1367" t="s">
        <v>350</v>
      </c>
      <c r="E1367" t="s">
        <v>570</v>
      </c>
      <c r="F1367" s="8">
        <v>4691</v>
      </c>
      <c r="G1367" s="8">
        <v>96616</v>
      </c>
      <c r="H1367" s="5">
        <f t="shared" si="43"/>
        <v>101307</v>
      </c>
      <c r="I1367">
        <f>IFERROR(VLOOKUP(D1367,'LEAID Match'!$A$2:$B$251,2,FALSE),"")</f>
        <v>0</v>
      </c>
    </row>
    <row r="1368" spans="1:9" x14ac:dyDescent="0.2">
      <c r="A1368">
        <f t="shared" si="42"/>
        <v>0</v>
      </c>
      <c r="B1368" s="5">
        <v>2016</v>
      </c>
      <c r="C1368" s="1">
        <v>97937</v>
      </c>
      <c r="D1368" t="s">
        <v>350</v>
      </c>
      <c r="E1368" t="s">
        <v>192</v>
      </c>
      <c r="F1368" s="8">
        <v>18088</v>
      </c>
      <c r="G1368" s="8">
        <v>80796</v>
      </c>
      <c r="H1368" s="5">
        <f t="shared" si="43"/>
        <v>98884</v>
      </c>
      <c r="I1368">
        <f>IFERROR(VLOOKUP(D1368,'LEAID Match'!$A$2:$B$251,2,FALSE),"")</f>
        <v>0</v>
      </c>
    </row>
    <row r="1369" spans="1:9" x14ac:dyDescent="0.2">
      <c r="A1369">
        <f t="shared" si="42"/>
        <v>0</v>
      </c>
      <c r="B1369" s="5">
        <v>2017</v>
      </c>
      <c r="C1369" s="1">
        <v>97937</v>
      </c>
      <c r="D1369" t="s">
        <v>350</v>
      </c>
      <c r="E1369" t="s">
        <v>350</v>
      </c>
      <c r="F1369" s="8">
        <v>35051</v>
      </c>
      <c r="G1369" s="8">
        <v>51403</v>
      </c>
      <c r="H1369" s="5">
        <f t="shared" si="43"/>
        <v>86454</v>
      </c>
      <c r="I1369">
        <f>IFERROR(VLOOKUP(D1369,'LEAID Match'!$A$2:$B$251,2,FALSE),"")</f>
        <v>0</v>
      </c>
    </row>
    <row r="1370" spans="1:9" x14ac:dyDescent="0.2">
      <c r="A1370">
        <f t="shared" si="42"/>
        <v>0</v>
      </c>
      <c r="B1370" s="5">
        <v>2018</v>
      </c>
      <c r="C1370" s="1">
        <v>97937</v>
      </c>
      <c r="D1370" t="s">
        <v>350</v>
      </c>
      <c r="E1370" t="s">
        <v>192</v>
      </c>
      <c r="F1370" s="8">
        <v>37358</v>
      </c>
      <c r="G1370" s="8">
        <v>29103</v>
      </c>
      <c r="H1370" s="5">
        <f t="shared" si="43"/>
        <v>66461</v>
      </c>
      <c r="I1370">
        <f>IFERROR(VLOOKUP(D1370,'LEAID Match'!$A$2:$B$251,2,FALSE),"")</f>
        <v>0</v>
      </c>
    </row>
    <row r="1371" spans="1:9" x14ac:dyDescent="0.2">
      <c r="A1371">
        <f t="shared" si="42"/>
        <v>0</v>
      </c>
      <c r="B1371" s="5">
        <v>2019</v>
      </c>
      <c r="C1371" s="1">
        <v>97937</v>
      </c>
      <c r="D1371" t="s">
        <v>350</v>
      </c>
      <c r="E1371" t="s">
        <v>350</v>
      </c>
      <c r="F1371" s="8">
        <v>18772</v>
      </c>
      <c r="G1371" s="8">
        <v>39181</v>
      </c>
      <c r="H1371" s="5">
        <f t="shared" si="43"/>
        <v>57953</v>
      </c>
      <c r="I1371">
        <f>IFERROR(VLOOKUP(D1371,'LEAID Match'!$A$2:$B$251,2,FALSE),"")</f>
        <v>0</v>
      </c>
    </row>
    <row r="1372" spans="1:9" x14ac:dyDescent="0.2">
      <c r="A1372">
        <f t="shared" si="42"/>
        <v>0</v>
      </c>
      <c r="B1372" s="5">
        <v>2020</v>
      </c>
      <c r="C1372" s="1">
        <v>97937</v>
      </c>
      <c r="D1372" t="s">
        <v>350</v>
      </c>
      <c r="E1372" t="s">
        <v>350</v>
      </c>
      <c r="F1372" s="8">
        <v>22395</v>
      </c>
      <c r="G1372" s="8">
        <v>19566</v>
      </c>
      <c r="H1372" s="5">
        <f t="shared" si="43"/>
        <v>41961</v>
      </c>
      <c r="I1372">
        <f>IFERROR(VLOOKUP(D1372,'LEAID Match'!$A$2:$B$251,2,FALSE),"")</f>
        <v>0</v>
      </c>
    </row>
    <row r="1373" spans="1:9" x14ac:dyDescent="0.2">
      <c r="A1373">
        <f t="shared" si="42"/>
        <v>0</v>
      </c>
      <c r="B1373" s="5">
        <v>2021</v>
      </c>
      <c r="C1373" s="1">
        <v>97937</v>
      </c>
      <c r="D1373" t="s">
        <v>350</v>
      </c>
      <c r="E1373" t="s">
        <v>350</v>
      </c>
      <c r="F1373" s="8">
        <v>28614</v>
      </c>
      <c r="G1373" s="8">
        <v>22468</v>
      </c>
      <c r="H1373" s="5">
        <f t="shared" si="43"/>
        <v>51082</v>
      </c>
      <c r="I1373">
        <f>IFERROR(VLOOKUP(D1373,'LEAID Match'!$A$2:$B$251,2,FALSE),"")</f>
        <v>0</v>
      </c>
    </row>
    <row r="1374" spans="1:9" x14ac:dyDescent="0.2">
      <c r="A1374">
        <f t="shared" si="42"/>
        <v>0</v>
      </c>
      <c r="B1374" s="5">
        <v>2022</v>
      </c>
      <c r="C1374" s="1">
        <v>97937</v>
      </c>
      <c r="D1374" t="s">
        <v>350</v>
      </c>
      <c r="E1374" t="s">
        <v>350</v>
      </c>
      <c r="F1374" s="8">
        <v>30701.14</v>
      </c>
      <c r="G1374" s="8">
        <v>17932.77</v>
      </c>
      <c r="H1374" s="5">
        <f t="shared" si="43"/>
        <v>48633.91</v>
      </c>
      <c r="I1374">
        <f>IFERROR(VLOOKUP(D1374,'LEAID Match'!$A$2:$B$251,2,FALSE),"")</f>
        <v>0</v>
      </c>
    </row>
    <row r="1375" spans="1:9" x14ac:dyDescent="0.2">
      <c r="A1375">
        <f t="shared" si="42"/>
        <v>0</v>
      </c>
      <c r="B1375" s="5">
        <v>2023</v>
      </c>
      <c r="C1375" s="1">
        <v>97937</v>
      </c>
      <c r="D1375" t="s">
        <v>350</v>
      </c>
      <c r="E1375" t="s">
        <v>350</v>
      </c>
      <c r="F1375" s="8">
        <v>41538.230000000003</v>
      </c>
      <c r="G1375" s="8">
        <v>15274.7</v>
      </c>
      <c r="H1375" s="5">
        <f t="shared" si="43"/>
        <v>56812.930000000008</v>
      </c>
      <c r="I1375">
        <f>IFERROR(VLOOKUP(D1375,'LEAID Match'!$A$2:$B$251,2,FALSE),"")</f>
        <v>0</v>
      </c>
    </row>
    <row r="1376" spans="1:9" x14ac:dyDescent="0.2">
      <c r="A1376">
        <f t="shared" si="42"/>
        <v>0</v>
      </c>
      <c r="B1376" s="5">
        <v>2017</v>
      </c>
      <c r="C1376" s="1">
        <v>97961</v>
      </c>
      <c r="D1376" t="s">
        <v>351</v>
      </c>
      <c r="E1376" t="s">
        <v>351</v>
      </c>
      <c r="F1376" s="8">
        <v>27178</v>
      </c>
      <c r="G1376" s="8">
        <v>35892</v>
      </c>
      <c r="H1376" s="5">
        <f t="shared" si="43"/>
        <v>63070</v>
      </c>
      <c r="I1376">
        <f>IFERROR(VLOOKUP(D1376,'LEAID Match'!$A$2:$B$251,2,FALSE),"")</f>
        <v>0</v>
      </c>
    </row>
    <row r="1377" spans="1:9" x14ac:dyDescent="0.2">
      <c r="A1377">
        <f t="shared" si="42"/>
        <v>0</v>
      </c>
      <c r="B1377" s="5">
        <v>2018</v>
      </c>
      <c r="C1377" s="1">
        <v>97961</v>
      </c>
      <c r="D1377" t="s">
        <v>351</v>
      </c>
      <c r="E1377" t="s">
        <v>465</v>
      </c>
      <c r="F1377" s="8">
        <v>31238</v>
      </c>
      <c r="G1377" s="8">
        <v>38291</v>
      </c>
      <c r="H1377" s="5">
        <f t="shared" si="43"/>
        <v>69529</v>
      </c>
      <c r="I1377">
        <f>IFERROR(VLOOKUP(D1377,'LEAID Match'!$A$2:$B$251,2,FALSE),"")</f>
        <v>0</v>
      </c>
    </row>
    <row r="1378" spans="1:9" x14ac:dyDescent="0.2">
      <c r="A1378">
        <f t="shared" si="42"/>
        <v>0</v>
      </c>
      <c r="B1378" s="5">
        <v>2019</v>
      </c>
      <c r="C1378" s="1">
        <v>97961</v>
      </c>
      <c r="D1378" t="s">
        <v>351</v>
      </c>
      <c r="E1378" t="s">
        <v>351</v>
      </c>
      <c r="F1378" s="8">
        <v>14787</v>
      </c>
      <c r="G1378" s="8">
        <v>54594</v>
      </c>
      <c r="H1378" s="5">
        <f t="shared" si="43"/>
        <v>69381</v>
      </c>
      <c r="I1378">
        <f>IFERROR(VLOOKUP(D1378,'LEAID Match'!$A$2:$B$251,2,FALSE),"")</f>
        <v>0</v>
      </c>
    </row>
    <row r="1379" spans="1:9" x14ac:dyDescent="0.2">
      <c r="A1379">
        <f t="shared" si="42"/>
        <v>0</v>
      </c>
      <c r="B1379" s="5">
        <v>2020</v>
      </c>
      <c r="C1379" s="1">
        <v>97961</v>
      </c>
      <c r="D1379" t="s">
        <v>351</v>
      </c>
      <c r="E1379" t="s">
        <v>351</v>
      </c>
      <c r="F1379" s="8">
        <v>20181</v>
      </c>
      <c r="G1379" s="8">
        <v>45098</v>
      </c>
      <c r="H1379" s="5">
        <f t="shared" si="43"/>
        <v>65279</v>
      </c>
      <c r="I1379">
        <f>IFERROR(VLOOKUP(D1379,'LEAID Match'!$A$2:$B$251,2,FALSE),"")</f>
        <v>0</v>
      </c>
    </row>
    <row r="1380" spans="1:9" x14ac:dyDescent="0.2">
      <c r="A1380">
        <f t="shared" si="42"/>
        <v>0</v>
      </c>
      <c r="B1380" s="5">
        <v>2021</v>
      </c>
      <c r="C1380" s="1">
        <v>97961</v>
      </c>
      <c r="D1380" t="s">
        <v>351</v>
      </c>
      <c r="E1380" t="s">
        <v>351</v>
      </c>
      <c r="F1380" s="8">
        <v>21264</v>
      </c>
      <c r="G1380" s="8">
        <v>60082</v>
      </c>
      <c r="H1380" s="5">
        <f t="shared" si="43"/>
        <v>81346</v>
      </c>
      <c r="I1380">
        <f>IFERROR(VLOOKUP(D1380,'LEAID Match'!$A$2:$B$251,2,FALSE),"")</f>
        <v>0</v>
      </c>
    </row>
    <row r="1381" spans="1:9" x14ac:dyDescent="0.2">
      <c r="A1381">
        <f t="shared" si="42"/>
        <v>0</v>
      </c>
      <c r="B1381" s="5">
        <v>2022</v>
      </c>
      <c r="C1381" s="1">
        <v>97961</v>
      </c>
      <c r="D1381" t="s">
        <v>351</v>
      </c>
      <c r="E1381" t="s">
        <v>351</v>
      </c>
      <c r="F1381" s="8">
        <v>37887.410000000003</v>
      </c>
      <c r="G1381" s="8">
        <v>40318.769999999997</v>
      </c>
      <c r="H1381" s="5">
        <f t="shared" si="43"/>
        <v>78206.179999999993</v>
      </c>
      <c r="I1381">
        <f>IFERROR(VLOOKUP(D1381,'LEAID Match'!$A$2:$B$251,2,FALSE),"")</f>
        <v>0</v>
      </c>
    </row>
    <row r="1382" spans="1:9" x14ac:dyDescent="0.2">
      <c r="A1382">
        <f t="shared" si="42"/>
        <v>0</v>
      </c>
      <c r="B1382" s="5">
        <v>2023</v>
      </c>
      <c r="C1382" s="1">
        <v>97961</v>
      </c>
      <c r="D1382" t="s">
        <v>351</v>
      </c>
      <c r="E1382" t="s">
        <v>351</v>
      </c>
      <c r="F1382" s="8">
        <v>68907.13</v>
      </c>
      <c r="G1382" s="8">
        <v>24423.52</v>
      </c>
      <c r="H1382" s="5">
        <f t="shared" si="43"/>
        <v>93330.650000000009</v>
      </c>
      <c r="I1382">
        <f>IFERROR(VLOOKUP(D1382,'LEAID Match'!$A$2:$B$251,2,FALSE),"")</f>
        <v>0</v>
      </c>
    </row>
    <row r="1383" spans="1:9" x14ac:dyDescent="0.2">
      <c r="A1383">
        <f t="shared" si="42"/>
        <v>0</v>
      </c>
      <c r="B1383" s="5">
        <v>2015</v>
      </c>
      <c r="C1383" s="1">
        <v>97938</v>
      </c>
      <c r="D1383" t="s">
        <v>352</v>
      </c>
      <c r="E1383" t="s">
        <v>112</v>
      </c>
      <c r="F1383" s="8">
        <v>6442</v>
      </c>
      <c r="G1383" s="8">
        <v>64663</v>
      </c>
      <c r="H1383" s="5">
        <f t="shared" si="43"/>
        <v>71105</v>
      </c>
      <c r="I1383">
        <f>IFERROR(VLOOKUP(D1383,'LEAID Match'!$A$2:$B$251,2,FALSE),"")</f>
        <v>0</v>
      </c>
    </row>
    <row r="1384" spans="1:9" x14ac:dyDescent="0.2">
      <c r="A1384">
        <f t="shared" si="42"/>
        <v>0</v>
      </c>
      <c r="B1384" s="5">
        <v>2016</v>
      </c>
      <c r="C1384" s="1">
        <v>97938</v>
      </c>
      <c r="D1384" t="s">
        <v>352</v>
      </c>
      <c r="E1384" t="s">
        <v>112</v>
      </c>
      <c r="F1384" s="8">
        <v>15897</v>
      </c>
      <c r="G1384" s="8">
        <v>63692</v>
      </c>
      <c r="H1384" s="5">
        <f t="shared" si="43"/>
        <v>79589</v>
      </c>
      <c r="I1384">
        <f>IFERROR(VLOOKUP(D1384,'LEAID Match'!$A$2:$B$251,2,FALSE),"")</f>
        <v>0</v>
      </c>
    </row>
    <row r="1385" spans="1:9" x14ac:dyDescent="0.2">
      <c r="A1385">
        <f t="shared" si="42"/>
        <v>0</v>
      </c>
      <c r="B1385" s="5">
        <v>2017</v>
      </c>
      <c r="C1385" s="1">
        <v>97938</v>
      </c>
      <c r="D1385" t="s">
        <v>352</v>
      </c>
      <c r="E1385" t="s">
        <v>352</v>
      </c>
      <c r="F1385" s="8">
        <v>20272</v>
      </c>
      <c r="G1385" s="8">
        <v>70955</v>
      </c>
      <c r="H1385" s="5">
        <f t="shared" si="43"/>
        <v>91227</v>
      </c>
      <c r="I1385">
        <f>IFERROR(VLOOKUP(D1385,'LEAID Match'!$A$2:$B$251,2,FALSE),"")</f>
        <v>0</v>
      </c>
    </row>
    <row r="1386" spans="1:9" x14ac:dyDescent="0.2">
      <c r="A1386">
        <f t="shared" si="42"/>
        <v>0</v>
      </c>
      <c r="B1386" s="5">
        <v>2018</v>
      </c>
      <c r="C1386" s="1">
        <v>97938</v>
      </c>
      <c r="D1386" t="s">
        <v>352</v>
      </c>
      <c r="E1386" t="s">
        <v>112</v>
      </c>
      <c r="F1386" s="8">
        <v>30663</v>
      </c>
      <c r="G1386" s="8">
        <v>76021</v>
      </c>
      <c r="H1386" s="5">
        <f t="shared" si="43"/>
        <v>106684</v>
      </c>
      <c r="I1386">
        <f>IFERROR(VLOOKUP(D1386,'LEAID Match'!$A$2:$B$251,2,FALSE),"")</f>
        <v>0</v>
      </c>
    </row>
    <row r="1387" spans="1:9" x14ac:dyDescent="0.2">
      <c r="A1387">
        <f t="shared" si="42"/>
        <v>0</v>
      </c>
      <c r="B1387" s="5">
        <v>2019</v>
      </c>
      <c r="C1387" s="1">
        <v>97938</v>
      </c>
      <c r="D1387" t="s">
        <v>352</v>
      </c>
      <c r="E1387" t="s">
        <v>352</v>
      </c>
      <c r="F1387" s="8">
        <v>19861</v>
      </c>
      <c r="G1387" s="8">
        <v>93418</v>
      </c>
      <c r="H1387" s="5">
        <f t="shared" si="43"/>
        <v>113279</v>
      </c>
      <c r="I1387">
        <f>IFERROR(VLOOKUP(D1387,'LEAID Match'!$A$2:$B$251,2,FALSE),"")</f>
        <v>0</v>
      </c>
    </row>
    <row r="1388" spans="1:9" x14ac:dyDescent="0.2">
      <c r="A1388">
        <f t="shared" si="42"/>
        <v>0</v>
      </c>
      <c r="B1388" s="5">
        <v>2020</v>
      </c>
      <c r="C1388" s="1">
        <v>97938</v>
      </c>
      <c r="D1388" t="s">
        <v>352</v>
      </c>
      <c r="E1388" t="s">
        <v>352</v>
      </c>
      <c r="F1388" s="8">
        <v>23939</v>
      </c>
      <c r="G1388" s="8">
        <v>89724</v>
      </c>
      <c r="H1388" s="5">
        <f t="shared" si="43"/>
        <v>113663</v>
      </c>
      <c r="I1388">
        <f>IFERROR(VLOOKUP(D1388,'LEAID Match'!$A$2:$B$251,2,FALSE),"")</f>
        <v>0</v>
      </c>
    </row>
    <row r="1389" spans="1:9" x14ac:dyDescent="0.2">
      <c r="A1389">
        <f t="shared" si="42"/>
        <v>0</v>
      </c>
      <c r="B1389" s="5">
        <v>2021</v>
      </c>
      <c r="C1389" s="1">
        <v>97938</v>
      </c>
      <c r="D1389" t="s">
        <v>352</v>
      </c>
      <c r="E1389" t="s">
        <v>352</v>
      </c>
      <c r="F1389" s="8">
        <v>25811</v>
      </c>
      <c r="G1389" s="8">
        <v>71742</v>
      </c>
      <c r="H1389" s="5">
        <f t="shared" si="43"/>
        <v>97553</v>
      </c>
      <c r="I1389">
        <f>IFERROR(VLOOKUP(D1389,'LEAID Match'!$A$2:$B$251,2,FALSE),"")</f>
        <v>0</v>
      </c>
    </row>
    <row r="1390" spans="1:9" x14ac:dyDescent="0.2">
      <c r="A1390">
        <f t="shared" si="42"/>
        <v>0</v>
      </c>
      <c r="B1390" s="5">
        <v>2022</v>
      </c>
      <c r="C1390" s="1">
        <v>97938</v>
      </c>
      <c r="D1390" t="s">
        <v>352</v>
      </c>
      <c r="E1390" t="s">
        <v>352</v>
      </c>
      <c r="F1390" s="8">
        <v>32722.71</v>
      </c>
      <c r="G1390" s="8">
        <v>89597.38</v>
      </c>
      <c r="H1390" s="5">
        <f t="shared" si="43"/>
        <v>122320.09</v>
      </c>
      <c r="I1390">
        <f>IFERROR(VLOOKUP(D1390,'LEAID Match'!$A$2:$B$251,2,FALSE),"")</f>
        <v>0</v>
      </c>
    </row>
    <row r="1391" spans="1:9" x14ac:dyDescent="0.2">
      <c r="A1391">
        <f t="shared" si="42"/>
        <v>0</v>
      </c>
      <c r="B1391" s="5">
        <v>2023</v>
      </c>
      <c r="C1391" s="1">
        <v>97938</v>
      </c>
      <c r="D1391" t="s">
        <v>352</v>
      </c>
      <c r="E1391" t="s">
        <v>352</v>
      </c>
      <c r="F1391" s="8">
        <v>44494.559999999998</v>
      </c>
      <c r="G1391" s="8">
        <v>81750.66</v>
      </c>
      <c r="H1391" s="5">
        <f t="shared" si="43"/>
        <v>126245.22</v>
      </c>
      <c r="I1391">
        <f>IFERROR(VLOOKUP(D1391,'LEAID Match'!$A$2:$B$251,2,FALSE),"")</f>
        <v>0</v>
      </c>
    </row>
    <row r="1392" spans="1:9" x14ac:dyDescent="0.2">
      <c r="A1392">
        <f t="shared" si="42"/>
        <v>0</v>
      </c>
      <c r="B1392" s="5">
        <v>2020</v>
      </c>
      <c r="C1392" s="1">
        <v>97974</v>
      </c>
      <c r="D1392" t="s">
        <v>500</v>
      </c>
      <c r="E1392" t="s">
        <v>500</v>
      </c>
      <c r="F1392" s="8">
        <v>10506</v>
      </c>
      <c r="G1392" s="8">
        <v>24901</v>
      </c>
      <c r="H1392" s="5">
        <f t="shared" si="43"/>
        <v>35407</v>
      </c>
      <c r="I1392">
        <f>IFERROR(VLOOKUP(D1392,'LEAID Match'!$A$2:$B$251,2,FALSE),"")</f>
        <v>0</v>
      </c>
    </row>
    <row r="1393" spans="1:9" x14ac:dyDescent="0.2">
      <c r="A1393">
        <f t="shared" si="42"/>
        <v>0</v>
      </c>
      <c r="B1393" s="5">
        <v>2021</v>
      </c>
      <c r="C1393" s="1">
        <v>97974</v>
      </c>
      <c r="D1393" t="s">
        <v>500</v>
      </c>
      <c r="E1393" t="s">
        <v>500</v>
      </c>
      <c r="F1393" s="8">
        <v>10615</v>
      </c>
      <c r="G1393" s="8">
        <v>15934</v>
      </c>
      <c r="H1393" s="5">
        <f t="shared" si="43"/>
        <v>26549</v>
      </c>
      <c r="I1393">
        <f>IFERROR(VLOOKUP(D1393,'LEAID Match'!$A$2:$B$251,2,FALSE),"")</f>
        <v>0</v>
      </c>
    </row>
    <row r="1394" spans="1:9" x14ac:dyDescent="0.2">
      <c r="A1394">
        <f t="shared" si="42"/>
        <v>0</v>
      </c>
      <c r="B1394" s="5">
        <v>2022</v>
      </c>
      <c r="C1394" s="1">
        <v>97974</v>
      </c>
      <c r="D1394" t="s">
        <v>500</v>
      </c>
      <c r="E1394" t="s">
        <v>500</v>
      </c>
      <c r="F1394" s="8">
        <v>19378.04</v>
      </c>
      <c r="G1394" s="8">
        <v>27057.37</v>
      </c>
      <c r="H1394" s="5">
        <f t="shared" si="43"/>
        <v>46435.41</v>
      </c>
      <c r="I1394">
        <f>IFERROR(VLOOKUP(D1394,'LEAID Match'!$A$2:$B$251,2,FALSE),"")</f>
        <v>0</v>
      </c>
    </row>
    <row r="1395" spans="1:9" x14ac:dyDescent="0.2">
      <c r="A1395">
        <f t="shared" si="42"/>
        <v>0</v>
      </c>
      <c r="B1395" s="5">
        <v>2023</v>
      </c>
      <c r="C1395" s="1">
        <v>97974</v>
      </c>
      <c r="D1395" t="s">
        <v>500</v>
      </c>
      <c r="E1395" t="s">
        <v>500</v>
      </c>
      <c r="F1395" s="8">
        <v>33410.29</v>
      </c>
      <c r="G1395" s="8">
        <v>32703.33</v>
      </c>
      <c r="H1395" s="5">
        <f t="shared" si="43"/>
        <v>66113.62</v>
      </c>
      <c r="I1395">
        <f>IFERROR(VLOOKUP(D1395,'LEAID Match'!$A$2:$B$251,2,FALSE),"")</f>
        <v>0</v>
      </c>
    </row>
    <row r="1396" spans="1:9" x14ac:dyDescent="0.2">
      <c r="A1396">
        <f t="shared" si="42"/>
        <v>0</v>
      </c>
      <c r="B1396" s="5">
        <v>2015</v>
      </c>
      <c r="C1396" s="1">
        <v>97953</v>
      </c>
      <c r="D1396" t="s">
        <v>353</v>
      </c>
      <c r="E1396" t="s">
        <v>113</v>
      </c>
      <c r="F1396" s="8">
        <v>10508</v>
      </c>
      <c r="G1396" s="8">
        <v>4868</v>
      </c>
      <c r="H1396" s="5">
        <f t="shared" si="43"/>
        <v>15376</v>
      </c>
      <c r="I1396">
        <f>IFERROR(VLOOKUP(D1396,'LEAID Match'!$A$2:$B$251,2,FALSE),"")</f>
        <v>0</v>
      </c>
    </row>
    <row r="1397" spans="1:9" x14ac:dyDescent="0.2">
      <c r="A1397">
        <f t="shared" si="42"/>
        <v>0</v>
      </c>
      <c r="B1397" s="5">
        <v>2016</v>
      </c>
      <c r="C1397" s="1">
        <v>97953</v>
      </c>
      <c r="D1397" t="s">
        <v>353</v>
      </c>
      <c r="E1397" t="s">
        <v>113</v>
      </c>
      <c r="F1397" s="8">
        <v>22861</v>
      </c>
      <c r="G1397" s="8">
        <v>14027</v>
      </c>
      <c r="H1397" s="5">
        <f t="shared" si="43"/>
        <v>36888</v>
      </c>
      <c r="I1397">
        <f>IFERROR(VLOOKUP(D1397,'LEAID Match'!$A$2:$B$251,2,FALSE),"")</f>
        <v>0</v>
      </c>
    </row>
    <row r="1398" spans="1:9" x14ac:dyDescent="0.2">
      <c r="A1398">
        <f t="shared" si="42"/>
        <v>0</v>
      </c>
      <c r="B1398" s="5">
        <v>2017</v>
      </c>
      <c r="C1398" s="1">
        <v>97953</v>
      </c>
      <c r="D1398" t="s">
        <v>353</v>
      </c>
      <c r="E1398" t="s">
        <v>353</v>
      </c>
      <c r="F1398" s="8">
        <v>44693</v>
      </c>
      <c r="G1398" s="8">
        <v>10621</v>
      </c>
      <c r="H1398" s="5">
        <f t="shared" si="43"/>
        <v>55314</v>
      </c>
      <c r="I1398">
        <f>IFERROR(VLOOKUP(D1398,'LEAID Match'!$A$2:$B$251,2,FALSE),"")</f>
        <v>0</v>
      </c>
    </row>
    <row r="1399" spans="1:9" x14ac:dyDescent="0.2">
      <c r="A1399">
        <f t="shared" si="42"/>
        <v>0</v>
      </c>
      <c r="B1399" s="5">
        <v>2018</v>
      </c>
      <c r="C1399" s="1">
        <v>97953</v>
      </c>
      <c r="D1399" t="s">
        <v>353</v>
      </c>
      <c r="E1399" t="s">
        <v>113</v>
      </c>
      <c r="F1399" s="8">
        <v>63524</v>
      </c>
      <c r="G1399" s="8">
        <v>25508</v>
      </c>
      <c r="H1399" s="5">
        <f t="shared" si="43"/>
        <v>89032</v>
      </c>
      <c r="I1399">
        <f>IFERROR(VLOOKUP(D1399,'LEAID Match'!$A$2:$B$251,2,FALSE),"")</f>
        <v>0</v>
      </c>
    </row>
    <row r="1400" spans="1:9" x14ac:dyDescent="0.2">
      <c r="A1400">
        <f t="shared" si="42"/>
        <v>0</v>
      </c>
      <c r="B1400" s="5">
        <v>2019</v>
      </c>
      <c r="C1400" s="1">
        <v>97953</v>
      </c>
      <c r="D1400" t="s">
        <v>353</v>
      </c>
      <c r="E1400" t="s">
        <v>353</v>
      </c>
      <c r="F1400" s="8">
        <v>34205</v>
      </c>
      <c r="G1400" s="8">
        <v>77353</v>
      </c>
      <c r="H1400" s="5">
        <f t="shared" si="43"/>
        <v>111558</v>
      </c>
      <c r="I1400">
        <f>IFERROR(VLOOKUP(D1400,'LEAID Match'!$A$2:$B$251,2,FALSE),"")</f>
        <v>0</v>
      </c>
    </row>
    <row r="1401" spans="1:9" x14ac:dyDescent="0.2">
      <c r="A1401">
        <f t="shared" si="42"/>
        <v>0</v>
      </c>
      <c r="B1401" s="5">
        <v>2020</v>
      </c>
      <c r="C1401" s="1">
        <v>97953</v>
      </c>
      <c r="D1401" t="s">
        <v>353</v>
      </c>
      <c r="E1401" t="s">
        <v>353</v>
      </c>
      <c r="F1401" s="8">
        <v>46157</v>
      </c>
      <c r="G1401" s="8">
        <v>84394</v>
      </c>
      <c r="H1401" s="5">
        <f t="shared" si="43"/>
        <v>130551</v>
      </c>
      <c r="I1401">
        <f>IFERROR(VLOOKUP(D1401,'LEAID Match'!$A$2:$B$251,2,FALSE),"")</f>
        <v>0</v>
      </c>
    </row>
    <row r="1402" spans="1:9" x14ac:dyDescent="0.2">
      <c r="A1402">
        <f t="shared" si="42"/>
        <v>0</v>
      </c>
      <c r="B1402" s="5">
        <v>2021</v>
      </c>
      <c r="C1402" s="1">
        <v>97953</v>
      </c>
      <c r="D1402" t="s">
        <v>353</v>
      </c>
      <c r="E1402" t="s">
        <v>353</v>
      </c>
      <c r="F1402" s="8">
        <v>56765</v>
      </c>
      <c r="G1402" s="8">
        <v>62590</v>
      </c>
      <c r="H1402" s="5">
        <f t="shared" si="43"/>
        <v>119355</v>
      </c>
      <c r="I1402">
        <f>IFERROR(VLOOKUP(D1402,'LEAID Match'!$A$2:$B$251,2,FALSE),"")</f>
        <v>0</v>
      </c>
    </row>
    <row r="1403" spans="1:9" x14ac:dyDescent="0.2">
      <c r="A1403">
        <f t="shared" si="42"/>
        <v>0</v>
      </c>
      <c r="B1403" s="5">
        <v>2022</v>
      </c>
      <c r="C1403" s="1">
        <v>97953</v>
      </c>
      <c r="D1403" t="s">
        <v>353</v>
      </c>
      <c r="E1403" t="s">
        <v>353</v>
      </c>
      <c r="F1403" s="8">
        <v>62525.06</v>
      </c>
      <c r="G1403" s="8">
        <v>58111.01</v>
      </c>
      <c r="H1403" s="5">
        <f t="shared" si="43"/>
        <v>120636.07</v>
      </c>
      <c r="I1403">
        <f>IFERROR(VLOOKUP(D1403,'LEAID Match'!$A$2:$B$251,2,FALSE),"")</f>
        <v>0</v>
      </c>
    </row>
    <row r="1404" spans="1:9" x14ac:dyDescent="0.2">
      <c r="A1404">
        <f t="shared" si="42"/>
        <v>0</v>
      </c>
      <c r="B1404" s="5">
        <v>2023</v>
      </c>
      <c r="C1404" s="1">
        <v>97953</v>
      </c>
      <c r="D1404" t="s">
        <v>353</v>
      </c>
      <c r="E1404" t="s">
        <v>353</v>
      </c>
      <c r="F1404" s="8">
        <v>107532.59</v>
      </c>
      <c r="G1404" s="8">
        <v>64551.199999999997</v>
      </c>
      <c r="H1404" s="5">
        <f t="shared" si="43"/>
        <v>172083.78999999998</v>
      </c>
      <c r="I1404">
        <f>IFERROR(VLOOKUP(D1404,'LEAID Match'!$A$2:$B$251,2,FALSE),"")</f>
        <v>0</v>
      </c>
    </row>
    <row r="1405" spans="1:9" x14ac:dyDescent="0.2">
      <c r="A1405">
        <f t="shared" si="42"/>
        <v>0</v>
      </c>
      <c r="B1405" s="5">
        <v>2015</v>
      </c>
      <c r="C1405" s="1">
        <v>97939</v>
      </c>
      <c r="D1405" t="s">
        <v>354</v>
      </c>
      <c r="E1405" t="s">
        <v>571</v>
      </c>
      <c r="F1405" s="8">
        <v>11486</v>
      </c>
      <c r="G1405" s="8">
        <v>91917</v>
      </c>
      <c r="H1405" s="5">
        <f t="shared" si="43"/>
        <v>103403</v>
      </c>
      <c r="I1405">
        <f>IFERROR(VLOOKUP(D1405,'LEAID Match'!$A$2:$B$251,2,FALSE),"")</f>
        <v>0</v>
      </c>
    </row>
    <row r="1406" spans="1:9" x14ac:dyDescent="0.2">
      <c r="A1406">
        <f t="shared" si="42"/>
        <v>0</v>
      </c>
      <c r="B1406" s="5">
        <v>2016</v>
      </c>
      <c r="C1406" s="1">
        <v>97939</v>
      </c>
      <c r="D1406" t="s">
        <v>354</v>
      </c>
      <c r="E1406" t="s">
        <v>114</v>
      </c>
      <c r="F1406" s="8">
        <v>33365</v>
      </c>
      <c r="G1406" s="8">
        <v>70959</v>
      </c>
      <c r="H1406" s="5">
        <f t="shared" si="43"/>
        <v>104324</v>
      </c>
      <c r="I1406">
        <f>IFERROR(VLOOKUP(D1406,'LEAID Match'!$A$2:$B$251,2,FALSE),"")</f>
        <v>0</v>
      </c>
    </row>
    <row r="1407" spans="1:9" x14ac:dyDescent="0.2">
      <c r="A1407">
        <f t="shared" si="42"/>
        <v>0</v>
      </c>
      <c r="B1407" s="5">
        <v>2017</v>
      </c>
      <c r="C1407" s="1">
        <v>97939</v>
      </c>
      <c r="D1407" t="s">
        <v>354</v>
      </c>
      <c r="E1407" t="s">
        <v>354</v>
      </c>
      <c r="F1407" s="8">
        <v>38902</v>
      </c>
      <c r="G1407" s="8">
        <v>73378</v>
      </c>
      <c r="H1407" s="5">
        <f t="shared" si="43"/>
        <v>112280</v>
      </c>
      <c r="I1407">
        <f>IFERROR(VLOOKUP(D1407,'LEAID Match'!$A$2:$B$251,2,FALSE),"")</f>
        <v>0</v>
      </c>
    </row>
    <row r="1408" spans="1:9" x14ac:dyDescent="0.2">
      <c r="A1408">
        <f t="shared" si="42"/>
        <v>0</v>
      </c>
      <c r="B1408" s="5">
        <v>2018</v>
      </c>
      <c r="C1408" s="1">
        <v>97939</v>
      </c>
      <c r="D1408" t="s">
        <v>354</v>
      </c>
      <c r="E1408" t="s">
        <v>114</v>
      </c>
      <c r="F1408" s="8">
        <v>57194</v>
      </c>
      <c r="G1408" s="8">
        <v>90499</v>
      </c>
      <c r="H1408" s="5">
        <f t="shared" si="43"/>
        <v>147693</v>
      </c>
      <c r="I1408">
        <f>IFERROR(VLOOKUP(D1408,'LEAID Match'!$A$2:$B$251,2,FALSE),"")</f>
        <v>0</v>
      </c>
    </row>
    <row r="1409" spans="1:9" x14ac:dyDescent="0.2">
      <c r="A1409">
        <f t="shared" si="42"/>
        <v>0</v>
      </c>
      <c r="B1409" s="5">
        <v>2019</v>
      </c>
      <c r="C1409" s="1">
        <v>97939</v>
      </c>
      <c r="D1409" t="s">
        <v>354</v>
      </c>
      <c r="E1409" t="s">
        <v>354</v>
      </c>
      <c r="F1409" s="8">
        <v>38637</v>
      </c>
      <c r="G1409" s="8">
        <v>114567</v>
      </c>
      <c r="H1409" s="5">
        <f t="shared" si="43"/>
        <v>153204</v>
      </c>
      <c r="I1409">
        <f>IFERROR(VLOOKUP(D1409,'LEAID Match'!$A$2:$B$251,2,FALSE),"")</f>
        <v>0</v>
      </c>
    </row>
    <row r="1410" spans="1:9" x14ac:dyDescent="0.2">
      <c r="A1410">
        <f t="shared" si="42"/>
        <v>0</v>
      </c>
      <c r="B1410" s="5">
        <v>2020</v>
      </c>
      <c r="C1410" s="1">
        <v>97939</v>
      </c>
      <c r="D1410" t="s">
        <v>354</v>
      </c>
      <c r="E1410" t="s">
        <v>354</v>
      </c>
      <c r="F1410" s="8">
        <v>46140</v>
      </c>
      <c r="G1410" s="8">
        <v>140877</v>
      </c>
      <c r="H1410" s="5">
        <f t="shared" si="43"/>
        <v>187017</v>
      </c>
      <c r="I1410">
        <f>IFERROR(VLOOKUP(D1410,'LEAID Match'!$A$2:$B$251,2,FALSE),"")</f>
        <v>0</v>
      </c>
    </row>
    <row r="1411" spans="1:9" x14ac:dyDescent="0.2">
      <c r="A1411">
        <f t="shared" ref="A1411:A1474" si="44">I1411</f>
        <v>0</v>
      </c>
      <c r="B1411" s="5">
        <v>2021</v>
      </c>
      <c r="C1411" s="1">
        <v>97939</v>
      </c>
      <c r="D1411" t="s">
        <v>354</v>
      </c>
      <c r="E1411" t="s">
        <v>354</v>
      </c>
      <c r="F1411" s="8">
        <v>71845</v>
      </c>
      <c r="G1411" s="8">
        <v>151776</v>
      </c>
      <c r="H1411" s="5">
        <f t="shared" ref="H1411:H1474" si="45">SUM(F1411:G1411)</f>
        <v>223621</v>
      </c>
      <c r="I1411">
        <f>IFERROR(VLOOKUP(D1411,'LEAID Match'!$A$2:$B$251,2,FALSE),"")</f>
        <v>0</v>
      </c>
    </row>
    <row r="1412" spans="1:9" x14ac:dyDescent="0.2">
      <c r="A1412">
        <f t="shared" si="44"/>
        <v>0</v>
      </c>
      <c r="B1412" s="5">
        <v>2022</v>
      </c>
      <c r="C1412" s="1">
        <v>97939</v>
      </c>
      <c r="D1412" t="s">
        <v>354</v>
      </c>
      <c r="E1412" t="s">
        <v>354</v>
      </c>
      <c r="F1412" s="8">
        <v>111807.53</v>
      </c>
      <c r="G1412" s="8">
        <v>182647.39</v>
      </c>
      <c r="H1412" s="5">
        <f t="shared" si="45"/>
        <v>294454.92000000004</v>
      </c>
      <c r="I1412">
        <f>IFERROR(VLOOKUP(D1412,'LEAID Match'!$A$2:$B$251,2,FALSE),"")</f>
        <v>0</v>
      </c>
    </row>
    <row r="1413" spans="1:9" x14ac:dyDescent="0.2">
      <c r="A1413">
        <f t="shared" si="44"/>
        <v>0</v>
      </c>
      <c r="B1413" s="5">
        <v>2023</v>
      </c>
      <c r="C1413" s="1">
        <v>97939</v>
      </c>
      <c r="D1413" t="s">
        <v>354</v>
      </c>
      <c r="E1413" t="s">
        <v>354</v>
      </c>
      <c r="F1413" s="8">
        <v>199399.08</v>
      </c>
      <c r="G1413" s="8">
        <v>146688.67000000001</v>
      </c>
      <c r="H1413" s="5">
        <f t="shared" si="45"/>
        <v>346087.75</v>
      </c>
      <c r="I1413">
        <f>IFERROR(VLOOKUP(D1413,'LEAID Match'!$A$2:$B$251,2,FALSE),"")</f>
        <v>0</v>
      </c>
    </row>
    <row r="1414" spans="1:9" x14ac:dyDescent="0.2">
      <c r="A1414">
        <f t="shared" si="44"/>
        <v>0</v>
      </c>
      <c r="B1414" s="5">
        <v>2017</v>
      </c>
      <c r="C1414" s="1">
        <v>97962</v>
      </c>
      <c r="D1414" t="s">
        <v>355</v>
      </c>
      <c r="E1414" t="s">
        <v>355</v>
      </c>
      <c r="F1414" s="8">
        <v>5268</v>
      </c>
      <c r="G1414" s="8">
        <v>26939</v>
      </c>
      <c r="H1414" s="5">
        <f t="shared" si="45"/>
        <v>32207</v>
      </c>
      <c r="I1414">
        <f>IFERROR(VLOOKUP(D1414,'LEAID Match'!$A$2:$B$251,2,FALSE),"")</f>
        <v>0</v>
      </c>
    </row>
    <row r="1415" spans="1:9" x14ac:dyDescent="0.2">
      <c r="A1415">
        <f t="shared" si="44"/>
        <v>0</v>
      </c>
      <c r="B1415" s="5">
        <v>2018</v>
      </c>
      <c r="C1415" s="1">
        <v>97962</v>
      </c>
      <c r="D1415" t="s">
        <v>355</v>
      </c>
      <c r="E1415" t="s">
        <v>466</v>
      </c>
      <c r="F1415" s="8">
        <v>4947</v>
      </c>
      <c r="G1415" s="8">
        <v>40503</v>
      </c>
      <c r="H1415" s="5">
        <f t="shared" si="45"/>
        <v>45450</v>
      </c>
      <c r="I1415">
        <f>IFERROR(VLOOKUP(D1415,'LEAID Match'!$A$2:$B$251,2,FALSE),"")</f>
        <v>0</v>
      </c>
    </row>
    <row r="1416" spans="1:9" x14ac:dyDescent="0.2">
      <c r="A1416">
        <f t="shared" si="44"/>
        <v>0</v>
      </c>
      <c r="B1416" s="5">
        <v>2019</v>
      </c>
      <c r="C1416" s="1">
        <v>97962</v>
      </c>
      <c r="D1416" t="s">
        <v>355</v>
      </c>
      <c r="E1416" t="s">
        <v>355</v>
      </c>
      <c r="F1416" s="8" t="s">
        <v>591</v>
      </c>
      <c r="G1416" s="8" t="s">
        <v>591</v>
      </c>
      <c r="H1416" s="5">
        <f t="shared" si="45"/>
        <v>0</v>
      </c>
      <c r="I1416">
        <f>IFERROR(VLOOKUP(D1416,'LEAID Match'!$A$2:$B$251,2,FALSE),"")</f>
        <v>0</v>
      </c>
    </row>
    <row r="1417" spans="1:9" x14ac:dyDescent="0.2">
      <c r="A1417">
        <f t="shared" si="44"/>
        <v>0</v>
      </c>
      <c r="B1417" s="5">
        <v>2020</v>
      </c>
      <c r="C1417" s="1">
        <v>97962</v>
      </c>
      <c r="D1417" t="s">
        <v>355</v>
      </c>
      <c r="E1417" t="s">
        <v>355</v>
      </c>
      <c r="F1417" s="8" t="s">
        <v>591</v>
      </c>
      <c r="G1417" s="8" t="s">
        <v>591</v>
      </c>
      <c r="H1417" s="5">
        <f t="shared" si="45"/>
        <v>0</v>
      </c>
      <c r="I1417">
        <f>IFERROR(VLOOKUP(D1417,'LEAID Match'!$A$2:$B$251,2,FALSE),"")</f>
        <v>0</v>
      </c>
    </row>
    <row r="1418" spans="1:9" x14ac:dyDescent="0.2">
      <c r="A1418">
        <f t="shared" si="44"/>
        <v>0</v>
      </c>
      <c r="B1418" s="5">
        <v>2021</v>
      </c>
      <c r="C1418" s="1">
        <v>97962</v>
      </c>
      <c r="D1418" t="s">
        <v>355</v>
      </c>
      <c r="E1418" t="s">
        <v>355</v>
      </c>
      <c r="F1418" s="8" t="s">
        <v>591</v>
      </c>
      <c r="G1418" s="8" t="s">
        <v>591</v>
      </c>
      <c r="H1418" s="5">
        <f t="shared" si="45"/>
        <v>0</v>
      </c>
      <c r="I1418">
        <f>IFERROR(VLOOKUP(D1418,'LEAID Match'!$A$2:$B$251,2,FALSE),"")</f>
        <v>0</v>
      </c>
    </row>
    <row r="1419" spans="1:9" x14ac:dyDescent="0.2">
      <c r="A1419">
        <f t="shared" si="44"/>
        <v>0</v>
      </c>
      <c r="B1419" s="5">
        <v>2022</v>
      </c>
      <c r="C1419" s="1">
        <v>97962</v>
      </c>
      <c r="D1419" t="s">
        <v>355</v>
      </c>
      <c r="E1419" t="s">
        <v>355</v>
      </c>
      <c r="F1419" s="8" t="s">
        <v>591</v>
      </c>
      <c r="G1419" s="8" t="s">
        <v>591</v>
      </c>
      <c r="H1419" s="5">
        <f t="shared" si="45"/>
        <v>0</v>
      </c>
      <c r="I1419">
        <f>IFERROR(VLOOKUP(D1419,'LEAID Match'!$A$2:$B$251,2,FALSE),"")</f>
        <v>0</v>
      </c>
    </row>
    <row r="1420" spans="1:9" x14ac:dyDescent="0.2">
      <c r="A1420">
        <f t="shared" si="44"/>
        <v>0</v>
      </c>
      <c r="B1420" s="5">
        <v>2023</v>
      </c>
      <c r="C1420" s="1">
        <v>97962</v>
      </c>
      <c r="D1420" t="s">
        <v>355</v>
      </c>
      <c r="E1420" t="s">
        <v>355</v>
      </c>
      <c r="F1420" s="8" t="s">
        <v>591</v>
      </c>
      <c r="G1420" s="8" t="s">
        <v>591</v>
      </c>
      <c r="H1420" s="5">
        <f t="shared" si="45"/>
        <v>0</v>
      </c>
      <c r="I1420">
        <f>IFERROR(VLOOKUP(D1420,'LEAID Match'!$A$2:$B$251,2,FALSE),"")</f>
        <v>0</v>
      </c>
    </row>
    <row r="1421" spans="1:9" x14ac:dyDescent="0.2">
      <c r="A1421">
        <f t="shared" si="44"/>
        <v>4702970</v>
      </c>
      <c r="B1421" s="5">
        <v>2015</v>
      </c>
      <c r="C1421" s="1">
        <v>99227</v>
      </c>
      <c r="D1421" t="s">
        <v>356</v>
      </c>
      <c r="E1421" t="s">
        <v>115</v>
      </c>
      <c r="F1421" s="8">
        <v>17578</v>
      </c>
      <c r="G1421" s="8">
        <v>701815</v>
      </c>
      <c r="H1421" s="5">
        <f t="shared" si="45"/>
        <v>719393</v>
      </c>
      <c r="I1421">
        <f>IFERROR(VLOOKUP(D1421,'LEAID Match'!$A$2:$B$251,2,FALSE),"")</f>
        <v>4702970</v>
      </c>
    </row>
    <row r="1422" spans="1:9" x14ac:dyDescent="0.2">
      <c r="A1422">
        <f t="shared" si="44"/>
        <v>4702970</v>
      </c>
      <c r="B1422" s="5">
        <v>2016</v>
      </c>
      <c r="C1422" s="1">
        <v>99227</v>
      </c>
      <c r="D1422" t="s">
        <v>356</v>
      </c>
      <c r="E1422" t="s">
        <v>115</v>
      </c>
      <c r="F1422" s="8">
        <v>31120</v>
      </c>
      <c r="G1422" s="8">
        <v>632620</v>
      </c>
      <c r="H1422" s="5">
        <f t="shared" si="45"/>
        <v>663740</v>
      </c>
      <c r="I1422">
        <f>IFERROR(VLOOKUP(D1422,'LEAID Match'!$A$2:$B$251,2,FALSE),"")</f>
        <v>4702970</v>
      </c>
    </row>
    <row r="1423" spans="1:9" x14ac:dyDescent="0.2">
      <c r="A1423">
        <f t="shared" si="44"/>
        <v>4702970</v>
      </c>
      <c r="B1423" s="5">
        <v>2017</v>
      </c>
      <c r="C1423" s="1">
        <v>99227</v>
      </c>
      <c r="D1423" t="s">
        <v>356</v>
      </c>
      <c r="E1423" t="s">
        <v>356</v>
      </c>
      <c r="F1423" s="8">
        <v>38932</v>
      </c>
      <c r="G1423" s="8">
        <v>656821</v>
      </c>
      <c r="H1423" s="5">
        <f t="shared" si="45"/>
        <v>695753</v>
      </c>
      <c r="I1423">
        <f>IFERROR(VLOOKUP(D1423,'LEAID Match'!$A$2:$B$251,2,FALSE),"")</f>
        <v>4702970</v>
      </c>
    </row>
    <row r="1424" spans="1:9" x14ac:dyDescent="0.2">
      <c r="A1424">
        <f t="shared" si="44"/>
        <v>4702970</v>
      </c>
      <c r="B1424" s="5">
        <v>2018</v>
      </c>
      <c r="C1424" s="1">
        <v>99227</v>
      </c>
      <c r="D1424" t="s">
        <v>356</v>
      </c>
      <c r="E1424" t="s">
        <v>115</v>
      </c>
      <c r="F1424" s="8">
        <v>43492</v>
      </c>
      <c r="G1424" s="8">
        <v>659109</v>
      </c>
      <c r="H1424" s="5">
        <f t="shared" si="45"/>
        <v>702601</v>
      </c>
      <c r="I1424">
        <f>IFERROR(VLOOKUP(D1424,'LEAID Match'!$A$2:$B$251,2,FALSE),"")</f>
        <v>4702970</v>
      </c>
    </row>
    <row r="1425" spans="1:9" x14ac:dyDescent="0.2">
      <c r="A1425">
        <f t="shared" si="44"/>
        <v>4702970</v>
      </c>
      <c r="B1425" s="5">
        <v>2019</v>
      </c>
      <c r="C1425" s="1">
        <v>99227</v>
      </c>
      <c r="D1425" t="s">
        <v>356</v>
      </c>
      <c r="E1425" t="s">
        <v>356</v>
      </c>
      <c r="F1425" s="8">
        <v>30254</v>
      </c>
      <c r="G1425" s="8">
        <v>728802</v>
      </c>
      <c r="H1425" s="5">
        <f t="shared" si="45"/>
        <v>759056</v>
      </c>
      <c r="I1425">
        <f>IFERROR(VLOOKUP(D1425,'LEAID Match'!$A$2:$B$251,2,FALSE),"")</f>
        <v>4702970</v>
      </c>
    </row>
    <row r="1426" spans="1:9" x14ac:dyDescent="0.2">
      <c r="A1426">
        <f t="shared" si="44"/>
        <v>4702970</v>
      </c>
      <c r="B1426" s="5">
        <v>2020</v>
      </c>
      <c r="C1426" s="1">
        <v>99227</v>
      </c>
      <c r="D1426" t="s">
        <v>356</v>
      </c>
      <c r="E1426" t="s">
        <v>356</v>
      </c>
      <c r="F1426" s="8">
        <v>36718</v>
      </c>
      <c r="G1426" s="8">
        <v>737674</v>
      </c>
      <c r="H1426" s="5">
        <f t="shared" si="45"/>
        <v>774392</v>
      </c>
      <c r="I1426">
        <f>IFERROR(VLOOKUP(D1426,'LEAID Match'!$A$2:$B$251,2,FALSE),"")</f>
        <v>4702970</v>
      </c>
    </row>
    <row r="1427" spans="1:9" x14ac:dyDescent="0.2">
      <c r="A1427">
        <f t="shared" si="44"/>
        <v>4702970</v>
      </c>
      <c r="B1427" s="5">
        <v>2021</v>
      </c>
      <c r="C1427" s="1">
        <v>99227</v>
      </c>
      <c r="D1427" t="s">
        <v>356</v>
      </c>
      <c r="E1427" t="s">
        <v>356</v>
      </c>
      <c r="F1427" s="8">
        <v>50185</v>
      </c>
      <c r="G1427" s="8">
        <v>723347</v>
      </c>
      <c r="H1427" s="5">
        <f t="shared" si="45"/>
        <v>773532</v>
      </c>
      <c r="I1427">
        <f>IFERROR(VLOOKUP(D1427,'LEAID Match'!$A$2:$B$251,2,FALSE),"")</f>
        <v>4702970</v>
      </c>
    </row>
    <row r="1428" spans="1:9" x14ac:dyDescent="0.2">
      <c r="A1428">
        <f t="shared" si="44"/>
        <v>4702970</v>
      </c>
      <c r="B1428" s="5">
        <v>2022</v>
      </c>
      <c r="C1428" s="1">
        <v>99227</v>
      </c>
      <c r="D1428" t="s">
        <v>356</v>
      </c>
      <c r="E1428" t="s">
        <v>356</v>
      </c>
      <c r="F1428" s="8">
        <v>55488.92</v>
      </c>
      <c r="G1428" s="8">
        <v>745341.6</v>
      </c>
      <c r="H1428" s="5">
        <f t="shared" si="45"/>
        <v>800830.52</v>
      </c>
      <c r="I1428">
        <f>IFERROR(VLOOKUP(D1428,'LEAID Match'!$A$2:$B$251,2,FALSE),"")</f>
        <v>4702970</v>
      </c>
    </row>
    <row r="1429" spans="1:9" x14ac:dyDescent="0.2">
      <c r="A1429">
        <f t="shared" si="44"/>
        <v>4702970</v>
      </c>
      <c r="B1429" s="5">
        <v>2023</v>
      </c>
      <c r="C1429" s="1">
        <v>99227</v>
      </c>
      <c r="D1429" t="s">
        <v>356</v>
      </c>
      <c r="E1429" t="s">
        <v>356</v>
      </c>
      <c r="F1429" s="8">
        <v>102798.38</v>
      </c>
      <c r="G1429" s="8">
        <v>619030.84</v>
      </c>
      <c r="H1429" s="5">
        <f t="shared" si="45"/>
        <v>721829.22</v>
      </c>
      <c r="I1429">
        <f>IFERROR(VLOOKUP(D1429,'LEAID Match'!$A$2:$B$251,2,FALSE),"")</f>
        <v>4702970</v>
      </c>
    </row>
    <row r="1430" spans="1:9" x14ac:dyDescent="0.2">
      <c r="A1430">
        <f t="shared" si="44"/>
        <v>4700150</v>
      </c>
      <c r="B1430" s="5">
        <v>2015</v>
      </c>
      <c r="C1430" s="1">
        <v>97906</v>
      </c>
      <c r="D1430" t="s">
        <v>357</v>
      </c>
      <c r="E1430" t="s">
        <v>116</v>
      </c>
      <c r="F1430" s="8">
        <v>39873</v>
      </c>
      <c r="G1430" s="8">
        <v>826309</v>
      </c>
      <c r="H1430" s="5">
        <f t="shared" si="45"/>
        <v>866182</v>
      </c>
      <c r="I1430">
        <f>IFERROR(VLOOKUP(D1430,'LEAID Match'!$A$2:$B$251,2,FALSE),"")</f>
        <v>4700150</v>
      </c>
    </row>
    <row r="1431" spans="1:9" x14ac:dyDescent="0.2">
      <c r="A1431">
        <f t="shared" si="44"/>
        <v>4700150</v>
      </c>
      <c r="B1431" s="5">
        <v>2016</v>
      </c>
      <c r="C1431" s="1">
        <v>97906</v>
      </c>
      <c r="D1431" t="s">
        <v>357</v>
      </c>
      <c r="E1431" t="s">
        <v>116</v>
      </c>
      <c r="F1431" s="8">
        <v>60725</v>
      </c>
      <c r="G1431" s="8">
        <v>917117</v>
      </c>
      <c r="H1431" s="5">
        <f t="shared" si="45"/>
        <v>977842</v>
      </c>
      <c r="I1431">
        <f>IFERROR(VLOOKUP(D1431,'LEAID Match'!$A$2:$B$251,2,FALSE),"")</f>
        <v>4700150</v>
      </c>
    </row>
    <row r="1432" spans="1:9" x14ac:dyDescent="0.2">
      <c r="A1432">
        <f t="shared" si="44"/>
        <v>4700150</v>
      </c>
      <c r="B1432" s="5">
        <v>2017</v>
      </c>
      <c r="C1432" s="1">
        <v>97906</v>
      </c>
      <c r="D1432" t="s">
        <v>357</v>
      </c>
      <c r="E1432" t="s">
        <v>357</v>
      </c>
      <c r="F1432" s="8">
        <v>79148</v>
      </c>
      <c r="G1432" s="8">
        <v>909698</v>
      </c>
      <c r="H1432" s="5">
        <f t="shared" si="45"/>
        <v>988846</v>
      </c>
      <c r="I1432">
        <f>IFERROR(VLOOKUP(D1432,'LEAID Match'!$A$2:$B$251,2,FALSE),"")</f>
        <v>4700150</v>
      </c>
    </row>
    <row r="1433" spans="1:9" x14ac:dyDescent="0.2">
      <c r="A1433">
        <f t="shared" si="44"/>
        <v>4700150</v>
      </c>
      <c r="B1433" s="5">
        <v>2018</v>
      </c>
      <c r="C1433" s="1">
        <v>97906</v>
      </c>
      <c r="D1433" t="s">
        <v>357</v>
      </c>
      <c r="E1433" t="s">
        <v>116</v>
      </c>
      <c r="F1433" s="8">
        <v>88921</v>
      </c>
      <c r="G1433" s="8">
        <v>932280</v>
      </c>
      <c r="H1433" s="5">
        <f t="shared" si="45"/>
        <v>1021201</v>
      </c>
      <c r="I1433">
        <f>IFERROR(VLOOKUP(D1433,'LEAID Match'!$A$2:$B$251,2,FALSE),"")</f>
        <v>4700150</v>
      </c>
    </row>
    <row r="1434" spans="1:9" x14ac:dyDescent="0.2">
      <c r="A1434">
        <f t="shared" si="44"/>
        <v>4700150</v>
      </c>
      <c r="B1434" s="5">
        <v>2019</v>
      </c>
      <c r="C1434" s="1">
        <v>97906</v>
      </c>
      <c r="D1434" t="s">
        <v>357</v>
      </c>
      <c r="E1434" t="s">
        <v>357</v>
      </c>
      <c r="F1434" s="8">
        <v>51305</v>
      </c>
      <c r="G1434" s="8">
        <v>1034744</v>
      </c>
      <c r="H1434" s="5">
        <f t="shared" si="45"/>
        <v>1086049</v>
      </c>
      <c r="I1434">
        <f>IFERROR(VLOOKUP(D1434,'LEAID Match'!$A$2:$B$251,2,FALSE),"")</f>
        <v>4700150</v>
      </c>
    </row>
    <row r="1435" spans="1:9" x14ac:dyDescent="0.2">
      <c r="A1435">
        <f t="shared" si="44"/>
        <v>4700150</v>
      </c>
      <c r="B1435" s="5">
        <v>2020</v>
      </c>
      <c r="C1435" s="1">
        <v>97906</v>
      </c>
      <c r="D1435" t="s">
        <v>357</v>
      </c>
      <c r="E1435" t="s">
        <v>357</v>
      </c>
      <c r="F1435" s="8">
        <v>58353</v>
      </c>
      <c r="G1435" s="8">
        <v>1029895</v>
      </c>
      <c r="H1435" s="5">
        <f t="shared" si="45"/>
        <v>1088248</v>
      </c>
      <c r="I1435">
        <f>IFERROR(VLOOKUP(D1435,'LEAID Match'!$A$2:$B$251,2,FALSE),"")</f>
        <v>4700150</v>
      </c>
    </row>
    <row r="1436" spans="1:9" x14ac:dyDescent="0.2">
      <c r="A1436">
        <f t="shared" si="44"/>
        <v>4700150</v>
      </c>
      <c r="B1436" s="5">
        <v>2021</v>
      </c>
      <c r="C1436" s="1">
        <v>97906</v>
      </c>
      <c r="D1436" t="s">
        <v>357</v>
      </c>
      <c r="E1436" t="s">
        <v>357</v>
      </c>
      <c r="F1436" s="8">
        <v>66378</v>
      </c>
      <c r="G1436" s="8">
        <v>1004791</v>
      </c>
      <c r="H1436" s="5">
        <f t="shared" si="45"/>
        <v>1071169</v>
      </c>
      <c r="I1436">
        <f>IFERROR(VLOOKUP(D1436,'LEAID Match'!$A$2:$B$251,2,FALSE),"")</f>
        <v>4700150</v>
      </c>
    </row>
    <row r="1437" spans="1:9" x14ac:dyDescent="0.2">
      <c r="A1437">
        <f t="shared" si="44"/>
        <v>4700150</v>
      </c>
      <c r="B1437" s="5">
        <v>2022</v>
      </c>
      <c r="C1437" s="1">
        <v>97906</v>
      </c>
      <c r="D1437" t="s">
        <v>357</v>
      </c>
      <c r="E1437" t="s">
        <v>357</v>
      </c>
      <c r="F1437" s="8">
        <v>72502.070000000007</v>
      </c>
      <c r="G1437" s="8">
        <v>953292.1</v>
      </c>
      <c r="H1437" s="5">
        <f t="shared" si="45"/>
        <v>1025794.1699999999</v>
      </c>
      <c r="I1437">
        <f>IFERROR(VLOOKUP(D1437,'LEAID Match'!$A$2:$B$251,2,FALSE),"")</f>
        <v>4700150</v>
      </c>
    </row>
    <row r="1438" spans="1:9" x14ac:dyDescent="0.2">
      <c r="A1438">
        <f t="shared" si="44"/>
        <v>4700150</v>
      </c>
      <c r="B1438" s="5">
        <v>2023</v>
      </c>
      <c r="C1438" s="1">
        <v>97906</v>
      </c>
      <c r="D1438" t="s">
        <v>357</v>
      </c>
      <c r="E1438" t="s">
        <v>357</v>
      </c>
      <c r="F1438" s="8">
        <v>119561.94</v>
      </c>
      <c r="G1438" s="8">
        <v>787796.7</v>
      </c>
      <c r="H1438" s="5">
        <f t="shared" si="45"/>
        <v>907358.6399999999</v>
      </c>
      <c r="I1438">
        <f>IFERROR(VLOOKUP(D1438,'LEAID Match'!$A$2:$B$251,2,FALSE),"")</f>
        <v>4700150</v>
      </c>
    </row>
    <row r="1439" spans="1:9" x14ac:dyDescent="0.2">
      <c r="A1439">
        <f t="shared" si="44"/>
        <v>4703000</v>
      </c>
      <c r="B1439" s="5">
        <v>2015</v>
      </c>
      <c r="C1439" s="1">
        <v>99062</v>
      </c>
      <c r="D1439" t="s">
        <v>358</v>
      </c>
      <c r="E1439" t="s">
        <v>572</v>
      </c>
      <c r="F1439" s="8">
        <v>27263</v>
      </c>
      <c r="G1439" s="8">
        <v>1610641</v>
      </c>
      <c r="H1439" s="5">
        <f t="shared" si="45"/>
        <v>1637904</v>
      </c>
      <c r="I1439">
        <f>IFERROR(VLOOKUP(D1439,'LEAID Match'!$A$2:$B$251,2,FALSE),"")</f>
        <v>4703000</v>
      </c>
    </row>
    <row r="1440" spans="1:9" x14ac:dyDescent="0.2">
      <c r="A1440">
        <f t="shared" si="44"/>
        <v>4703000</v>
      </c>
      <c r="B1440" s="5">
        <v>2016</v>
      </c>
      <c r="C1440" s="1">
        <v>99062</v>
      </c>
      <c r="D1440" t="s">
        <v>358</v>
      </c>
      <c r="E1440" t="s">
        <v>117</v>
      </c>
      <c r="F1440" s="8">
        <v>56486</v>
      </c>
      <c r="G1440" s="8">
        <v>1549803</v>
      </c>
      <c r="H1440" s="5">
        <f t="shared" si="45"/>
        <v>1606289</v>
      </c>
      <c r="I1440">
        <f>IFERROR(VLOOKUP(D1440,'LEAID Match'!$A$2:$B$251,2,FALSE),"")</f>
        <v>4703000</v>
      </c>
    </row>
    <row r="1441" spans="1:9" x14ac:dyDescent="0.2">
      <c r="A1441">
        <f t="shared" si="44"/>
        <v>4703000</v>
      </c>
      <c r="B1441" s="5">
        <v>2017</v>
      </c>
      <c r="C1441" s="1">
        <v>99062</v>
      </c>
      <c r="D1441" t="s">
        <v>358</v>
      </c>
      <c r="E1441" t="s">
        <v>358</v>
      </c>
      <c r="F1441" s="8">
        <v>83017</v>
      </c>
      <c r="G1441" s="8">
        <v>1528815</v>
      </c>
      <c r="H1441" s="5">
        <f t="shared" si="45"/>
        <v>1611832</v>
      </c>
      <c r="I1441">
        <f>IFERROR(VLOOKUP(D1441,'LEAID Match'!$A$2:$B$251,2,FALSE),"")</f>
        <v>4703000</v>
      </c>
    </row>
    <row r="1442" spans="1:9" x14ac:dyDescent="0.2">
      <c r="A1442">
        <f t="shared" si="44"/>
        <v>4703000</v>
      </c>
      <c r="B1442" s="5">
        <v>2018</v>
      </c>
      <c r="C1442" s="1">
        <v>99062</v>
      </c>
      <c r="D1442" t="s">
        <v>358</v>
      </c>
      <c r="E1442" t="s">
        <v>117</v>
      </c>
      <c r="F1442" s="8">
        <v>114395</v>
      </c>
      <c r="G1442" s="8">
        <v>1549424</v>
      </c>
      <c r="H1442" s="5">
        <f t="shared" si="45"/>
        <v>1663819</v>
      </c>
      <c r="I1442">
        <f>IFERROR(VLOOKUP(D1442,'LEAID Match'!$A$2:$B$251,2,FALSE),"")</f>
        <v>4703000</v>
      </c>
    </row>
    <row r="1443" spans="1:9" x14ac:dyDescent="0.2">
      <c r="A1443">
        <f t="shared" si="44"/>
        <v>4703000</v>
      </c>
      <c r="B1443" s="5">
        <v>2019</v>
      </c>
      <c r="C1443" s="1">
        <v>99062</v>
      </c>
      <c r="D1443" t="s">
        <v>358</v>
      </c>
      <c r="E1443" t="s">
        <v>358</v>
      </c>
      <c r="F1443" s="8">
        <v>67467</v>
      </c>
      <c r="G1443" s="8">
        <v>1787037</v>
      </c>
      <c r="H1443" s="5">
        <f t="shared" si="45"/>
        <v>1854504</v>
      </c>
      <c r="I1443">
        <f>IFERROR(VLOOKUP(D1443,'LEAID Match'!$A$2:$B$251,2,FALSE),"")</f>
        <v>4703000</v>
      </c>
    </row>
    <row r="1444" spans="1:9" x14ac:dyDescent="0.2">
      <c r="A1444">
        <f t="shared" si="44"/>
        <v>4703000</v>
      </c>
      <c r="B1444" s="5">
        <v>2020</v>
      </c>
      <c r="C1444" s="1">
        <v>99062</v>
      </c>
      <c r="D1444" t="s">
        <v>358</v>
      </c>
      <c r="E1444" t="s">
        <v>358</v>
      </c>
      <c r="F1444" s="8">
        <v>78972</v>
      </c>
      <c r="G1444" s="8">
        <v>1784076</v>
      </c>
      <c r="H1444" s="5">
        <f t="shared" si="45"/>
        <v>1863048</v>
      </c>
      <c r="I1444">
        <f>IFERROR(VLOOKUP(D1444,'LEAID Match'!$A$2:$B$251,2,FALSE),"")</f>
        <v>4703000</v>
      </c>
    </row>
    <row r="1445" spans="1:9" x14ac:dyDescent="0.2">
      <c r="A1445">
        <f t="shared" si="44"/>
        <v>4703000</v>
      </c>
      <c r="B1445" s="5">
        <v>2021</v>
      </c>
      <c r="C1445" s="1">
        <v>99062</v>
      </c>
      <c r="D1445" t="s">
        <v>358</v>
      </c>
      <c r="E1445" t="s">
        <v>358</v>
      </c>
      <c r="F1445" s="8">
        <v>87311</v>
      </c>
      <c r="G1445" s="8">
        <v>1722109</v>
      </c>
      <c r="H1445" s="5">
        <f t="shared" si="45"/>
        <v>1809420</v>
      </c>
      <c r="I1445">
        <f>IFERROR(VLOOKUP(D1445,'LEAID Match'!$A$2:$B$251,2,FALSE),"")</f>
        <v>4703000</v>
      </c>
    </row>
    <row r="1446" spans="1:9" x14ac:dyDescent="0.2">
      <c r="A1446">
        <f t="shared" si="44"/>
        <v>4703000</v>
      </c>
      <c r="B1446" s="5">
        <v>2022</v>
      </c>
      <c r="C1446" s="1">
        <v>99062</v>
      </c>
      <c r="D1446" t="s">
        <v>358</v>
      </c>
      <c r="E1446" t="s">
        <v>358</v>
      </c>
      <c r="F1446" s="8">
        <v>109044.22</v>
      </c>
      <c r="G1446" s="8">
        <v>1703331.87</v>
      </c>
      <c r="H1446" s="5">
        <f t="shared" si="45"/>
        <v>1812376.09</v>
      </c>
      <c r="I1446">
        <f>IFERROR(VLOOKUP(D1446,'LEAID Match'!$A$2:$B$251,2,FALSE),"")</f>
        <v>4703000</v>
      </c>
    </row>
    <row r="1447" spans="1:9" x14ac:dyDescent="0.2">
      <c r="A1447">
        <f t="shared" si="44"/>
        <v>4703000</v>
      </c>
      <c r="B1447" s="5">
        <v>2023</v>
      </c>
      <c r="C1447" s="1">
        <v>99062</v>
      </c>
      <c r="D1447" t="s">
        <v>358</v>
      </c>
      <c r="E1447" t="s">
        <v>358</v>
      </c>
      <c r="F1447" s="8">
        <v>168492.87</v>
      </c>
      <c r="G1447" s="8">
        <v>1325202.9099999999</v>
      </c>
      <c r="H1447" s="5">
        <f t="shared" si="45"/>
        <v>1493695.7799999998</v>
      </c>
      <c r="I1447">
        <f>IFERROR(VLOOKUP(D1447,'LEAID Match'!$A$2:$B$251,2,FALSE),"")</f>
        <v>4703000</v>
      </c>
    </row>
    <row r="1448" spans="1:9" x14ac:dyDescent="0.2">
      <c r="A1448">
        <f t="shared" si="44"/>
        <v>0</v>
      </c>
      <c r="B1448" s="5">
        <v>2021</v>
      </c>
      <c r="C1448" s="1">
        <v>93305</v>
      </c>
      <c r="D1448" t="s">
        <v>553</v>
      </c>
      <c r="E1448" t="s">
        <v>553</v>
      </c>
      <c r="F1448" s="8" t="s">
        <v>591</v>
      </c>
      <c r="G1448" s="8">
        <v>1181</v>
      </c>
      <c r="H1448" s="5">
        <f t="shared" si="45"/>
        <v>1181</v>
      </c>
      <c r="I1448">
        <f>IFERROR(VLOOKUP(D1448,'LEAID Match'!$A$2:$B$251,2,FALSE),"")</f>
        <v>0</v>
      </c>
    </row>
    <row r="1449" spans="1:9" x14ac:dyDescent="0.2">
      <c r="A1449">
        <f t="shared" si="44"/>
        <v>0</v>
      </c>
      <c r="B1449" s="5">
        <v>2022</v>
      </c>
      <c r="C1449" s="1">
        <v>93305</v>
      </c>
      <c r="D1449" t="s">
        <v>553</v>
      </c>
      <c r="E1449" t="s">
        <v>502</v>
      </c>
      <c r="F1449" s="8">
        <v>13033.22</v>
      </c>
      <c r="G1449" s="8">
        <v>7560.47</v>
      </c>
      <c r="H1449" s="5">
        <f t="shared" si="45"/>
        <v>20593.689999999999</v>
      </c>
      <c r="I1449">
        <f>IFERROR(VLOOKUP(D1449,'LEAID Match'!$A$2:$B$251,2,FALSE),"")</f>
        <v>0</v>
      </c>
    </row>
    <row r="1450" spans="1:9" x14ac:dyDescent="0.2">
      <c r="A1450">
        <f t="shared" si="44"/>
        <v>0</v>
      </c>
      <c r="B1450" s="5">
        <v>2023</v>
      </c>
      <c r="C1450" s="1">
        <v>93305</v>
      </c>
      <c r="D1450" t="s">
        <v>553</v>
      </c>
      <c r="E1450" t="s">
        <v>502</v>
      </c>
      <c r="F1450" s="8">
        <v>21765.64</v>
      </c>
      <c r="G1450" s="8">
        <v>20249.63</v>
      </c>
      <c r="H1450" s="5">
        <f t="shared" si="45"/>
        <v>42015.270000000004</v>
      </c>
      <c r="I1450">
        <f>IFERROR(VLOOKUP(D1450,'LEAID Match'!$A$2:$B$251,2,FALSE),"")</f>
        <v>0</v>
      </c>
    </row>
    <row r="1451" spans="1:9" x14ac:dyDescent="0.2">
      <c r="A1451">
        <f t="shared" si="44"/>
        <v>4703030</v>
      </c>
      <c r="B1451" s="5">
        <v>2015</v>
      </c>
      <c r="C1451" s="1">
        <v>99063</v>
      </c>
      <c r="D1451" t="s">
        <v>359</v>
      </c>
      <c r="E1451" t="s">
        <v>118</v>
      </c>
      <c r="F1451" s="8">
        <v>318055</v>
      </c>
      <c r="G1451" s="8">
        <v>10341505</v>
      </c>
      <c r="H1451" s="5">
        <f t="shared" si="45"/>
        <v>10659560</v>
      </c>
      <c r="I1451">
        <f>IFERROR(VLOOKUP(D1451,'LEAID Match'!$A$2:$B$251,2,FALSE),"")</f>
        <v>4703030</v>
      </c>
    </row>
    <row r="1452" spans="1:9" x14ac:dyDescent="0.2">
      <c r="A1452">
        <f t="shared" si="44"/>
        <v>4703030</v>
      </c>
      <c r="B1452" s="5">
        <v>2016</v>
      </c>
      <c r="C1452" s="1">
        <v>99063</v>
      </c>
      <c r="D1452" t="s">
        <v>359</v>
      </c>
      <c r="E1452" t="s">
        <v>118</v>
      </c>
      <c r="F1452" s="8">
        <v>732918</v>
      </c>
      <c r="G1452" s="8">
        <v>9702087</v>
      </c>
      <c r="H1452" s="5">
        <f t="shared" si="45"/>
        <v>10435005</v>
      </c>
      <c r="I1452">
        <f>IFERROR(VLOOKUP(D1452,'LEAID Match'!$A$2:$B$251,2,FALSE),"")</f>
        <v>4703030</v>
      </c>
    </row>
    <row r="1453" spans="1:9" x14ac:dyDescent="0.2">
      <c r="A1453">
        <f t="shared" si="44"/>
        <v>4703030</v>
      </c>
      <c r="B1453" s="5">
        <v>2017</v>
      </c>
      <c r="C1453" s="1">
        <v>99063</v>
      </c>
      <c r="D1453" t="s">
        <v>359</v>
      </c>
      <c r="E1453" t="s">
        <v>359</v>
      </c>
      <c r="F1453" s="8">
        <v>1081379</v>
      </c>
      <c r="G1453" s="8">
        <v>9525105</v>
      </c>
      <c r="H1453" s="5">
        <f t="shared" si="45"/>
        <v>10606484</v>
      </c>
      <c r="I1453">
        <f>IFERROR(VLOOKUP(D1453,'LEAID Match'!$A$2:$B$251,2,FALSE),"")</f>
        <v>4703030</v>
      </c>
    </row>
    <row r="1454" spans="1:9" x14ac:dyDescent="0.2">
      <c r="A1454">
        <f t="shared" si="44"/>
        <v>4703030</v>
      </c>
      <c r="B1454" s="5">
        <v>2018</v>
      </c>
      <c r="C1454" s="1">
        <v>99063</v>
      </c>
      <c r="D1454" t="s">
        <v>359</v>
      </c>
      <c r="E1454" t="s">
        <v>118</v>
      </c>
      <c r="F1454" s="8">
        <v>1527293</v>
      </c>
      <c r="G1454" s="8">
        <v>9491839</v>
      </c>
      <c r="H1454" s="5">
        <f t="shared" si="45"/>
        <v>11019132</v>
      </c>
      <c r="I1454">
        <f>IFERROR(VLOOKUP(D1454,'LEAID Match'!$A$2:$B$251,2,FALSE),"")</f>
        <v>4703030</v>
      </c>
    </row>
    <row r="1455" spans="1:9" x14ac:dyDescent="0.2">
      <c r="A1455">
        <f t="shared" si="44"/>
        <v>4703030</v>
      </c>
      <c r="B1455" s="5">
        <v>2019</v>
      </c>
      <c r="C1455" s="1">
        <v>99063</v>
      </c>
      <c r="D1455" t="s">
        <v>359</v>
      </c>
      <c r="E1455" t="s">
        <v>359</v>
      </c>
      <c r="F1455" s="8">
        <v>938341</v>
      </c>
      <c r="G1455" s="8">
        <v>10665018</v>
      </c>
      <c r="H1455" s="5">
        <f t="shared" si="45"/>
        <v>11603359</v>
      </c>
      <c r="I1455">
        <f>IFERROR(VLOOKUP(D1455,'LEAID Match'!$A$2:$B$251,2,FALSE),"")</f>
        <v>4703030</v>
      </c>
    </row>
    <row r="1456" spans="1:9" x14ac:dyDescent="0.2">
      <c r="A1456">
        <f t="shared" si="44"/>
        <v>4703030</v>
      </c>
      <c r="B1456" s="5">
        <v>2020</v>
      </c>
      <c r="C1456" s="1">
        <v>99063</v>
      </c>
      <c r="D1456" t="s">
        <v>359</v>
      </c>
      <c r="E1456" t="s">
        <v>359</v>
      </c>
      <c r="F1456" s="8">
        <v>1158864</v>
      </c>
      <c r="G1456" s="8">
        <v>10632431</v>
      </c>
      <c r="H1456" s="5">
        <f t="shared" si="45"/>
        <v>11791295</v>
      </c>
      <c r="I1456">
        <f>IFERROR(VLOOKUP(D1456,'LEAID Match'!$A$2:$B$251,2,FALSE),"")</f>
        <v>4703030</v>
      </c>
    </row>
    <row r="1457" spans="1:9" x14ac:dyDescent="0.2">
      <c r="A1457">
        <f t="shared" si="44"/>
        <v>4703030</v>
      </c>
      <c r="B1457" s="5">
        <v>2021</v>
      </c>
      <c r="C1457" s="1">
        <v>99063</v>
      </c>
      <c r="D1457" t="s">
        <v>359</v>
      </c>
      <c r="E1457" t="s">
        <v>359</v>
      </c>
      <c r="F1457" s="8">
        <v>1277763</v>
      </c>
      <c r="G1457" s="8">
        <v>10093278</v>
      </c>
      <c r="H1457" s="5">
        <f t="shared" si="45"/>
        <v>11371041</v>
      </c>
      <c r="I1457">
        <f>IFERROR(VLOOKUP(D1457,'LEAID Match'!$A$2:$B$251,2,FALSE),"")</f>
        <v>4703030</v>
      </c>
    </row>
    <row r="1458" spans="1:9" x14ac:dyDescent="0.2">
      <c r="A1458">
        <f t="shared" si="44"/>
        <v>4703030</v>
      </c>
      <c r="B1458" s="5">
        <v>2022</v>
      </c>
      <c r="C1458" s="1">
        <v>99063</v>
      </c>
      <c r="D1458" t="s">
        <v>359</v>
      </c>
      <c r="E1458" t="s">
        <v>359</v>
      </c>
      <c r="F1458" s="8">
        <v>1406457.29</v>
      </c>
      <c r="G1458" s="8">
        <v>9891790.6099999901</v>
      </c>
      <c r="H1458" s="5">
        <f t="shared" si="45"/>
        <v>11298247.899999991</v>
      </c>
      <c r="I1458">
        <f>IFERROR(VLOOKUP(D1458,'LEAID Match'!$A$2:$B$251,2,FALSE),"")</f>
        <v>4703030</v>
      </c>
    </row>
    <row r="1459" spans="1:9" x14ac:dyDescent="0.2">
      <c r="A1459">
        <f t="shared" si="44"/>
        <v>4703030</v>
      </c>
      <c r="B1459" s="5">
        <v>2023</v>
      </c>
      <c r="C1459" s="1">
        <v>99063</v>
      </c>
      <c r="D1459" t="s">
        <v>359</v>
      </c>
      <c r="E1459" t="s">
        <v>359</v>
      </c>
      <c r="F1459" s="8">
        <v>2414039.06</v>
      </c>
      <c r="G1459" s="8">
        <v>8381105.4900000002</v>
      </c>
      <c r="H1459" s="5">
        <f t="shared" si="45"/>
        <v>10795144.550000001</v>
      </c>
      <c r="I1459">
        <f>IFERROR(VLOOKUP(D1459,'LEAID Match'!$A$2:$B$251,2,FALSE),"")</f>
        <v>4703030</v>
      </c>
    </row>
    <row r="1460" spans="1:9" x14ac:dyDescent="0.2">
      <c r="A1460">
        <f t="shared" si="44"/>
        <v>4703060</v>
      </c>
      <c r="B1460" s="5">
        <v>2015</v>
      </c>
      <c r="C1460" s="1">
        <v>99064</v>
      </c>
      <c r="D1460" t="s">
        <v>360</v>
      </c>
      <c r="E1460" t="s">
        <v>119</v>
      </c>
      <c r="F1460" s="8">
        <v>4015</v>
      </c>
      <c r="G1460" s="8">
        <v>346443</v>
      </c>
      <c r="H1460" s="5">
        <f t="shared" si="45"/>
        <v>350458</v>
      </c>
      <c r="I1460">
        <f>IFERROR(VLOOKUP(D1460,'LEAID Match'!$A$2:$B$251,2,FALSE),"")</f>
        <v>4703060</v>
      </c>
    </row>
    <row r="1461" spans="1:9" x14ac:dyDescent="0.2">
      <c r="A1461">
        <f t="shared" si="44"/>
        <v>4703060</v>
      </c>
      <c r="B1461" s="5">
        <v>2016</v>
      </c>
      <c r="C1461" s="1">
        <v>99064</v>
      </c>
      <c r="D1461" t="s">
        <v>360</v>
      </c>
      <c r="E1461" t="s">
        <v>119</v>
      </c>
      <c r="F1461" s="8">
        <v>14486</v>
      </c>
      <c r="G1461" s="8">
        <v>336183</v>
      </c>
      <c r="H1461" s="5">
        <f t="shared" si="45"/>
        <v>350669</v>
      </c>
      <c r="I1461">
        <f>IFERROR(VLOOKUP(D1461,'LEAID Match'!$A$2:$B$251,2,FALSE),"")</f>
        <v>4703060</v>
      </c>
    </row>
    <row r="1462" spans="1:9" x14ac:dyDescent="0.2">
      <c r="A1462">
        <f t="shared" si="44"/>
        <v>4703060</v>
      </c>
      <c r="B1462" s="5">
        <v>2017</v>
      </c>
      <c r="C1462" s="1">
        <v>99064</v>
      </c>
      <c r="D1462" t="s">
        <v>360</v>
      </c>
      <c r="E1462" t="s">
        <v>360</v>
      </c>
      <c r="F1462" s="8">
        <v>26160</v>
      </c>
      <c r="G1462" s="8">
        <v>305916</v>
      </c>
      <c r="H1462" s="5">
        <f t="shared" si="45"/>
        <v>332076</v>
      </c>
      <c r="I1462">
        <f>IFERROR(VLOOKUP(D1462,'LEAID Match'!$A$2:$B$251,2,FALSE),"")</f>
        <v>4703060</v>
      </c>
    </row>
    <row r="1463" spans="1:9" x14ac:dyDescent="0.2">
      <c r="A1463">
        <f t="shared" si="44"/>
        <v>4703060</v>
      </c>
      <c r="B1463" s="5">
        <v>2018</v>
      </c>
      <c r="C1463" s="1">
        <v>99064</v>
      </c>
      <c r="D1463" t="s">
        <v>360</v>
      </c>
      <c r="E1463" t="s">
        <v>119</v>
      </c>
      <c r="F1463" s="8">
        <v>28640</v>
      </c>
      <c r="G1463" s="8">
        <v>323741</v>
      </c>
      <c r="H1463" s="5">
        <f t="shared" si="45"/>
        <v>352381</v>
      </c>
      <c r="I1463">
        <f>IFERROR(VLOOKUP(D1463,'LEAID Match'!$A$2:$B$251,2,FALSE),"")</f>
        <v>4703060</v>
      </c>
    </row>
    <row r="1464" spans="1:9" x14ac:dyDescent="0.2">
      <c r="A1464">
        <f t="shared" si="44"/>
        <v>4703060</v>
      </c>
      <c r="B1464" s="5">
        <v>2019</v>
      </c>
      <c r="C1464" s="1">
        <v>99064</v>
      </c>
      <c r="D1464" t="s">
        <v>360</v>
      </c>
      <c r="E1464" t="s">
        <v>360</v>
      </c>
      <c r="F1464" s="8">
        <v>14823</v>
      </c>
      <c r="G1464" s="8">
        <v>375685</v>
      </c>
      <c r="H1464" s="5">
        <f t="shared" si="45"/>
        <v>390508</v>
      </c>
      <c r="I1464">
        <f>IFERROR(VLOOKUP(D1464,'LEAID Match'!$A$2:$B$251,2,FALSE),"")</f>
        <v>4703060</v>
      </c>
    </row>
    <row r="1465" spans="1:9" x14ac:dyDescent="0.2">
      <c r="A1465">
        <f t="shared" si="44"/>
        <v>4703060</v>
      </c>
      <c r="B1465" s="5">
        <v>2020</v>
      </c>
      <c r="C1465" s="1">
        <v>99064</v>
      </c>
      <c r="D1465" t="s">
        <v>360</v>
      </c>
      <c r="E1465" t="s">
        <v>360</v>
      </c>
      <c r="F1465" s="8">
        <v>19058</v>
      </c>
      <c r="G1465" s="8">
        <v>363548</v>
      </c>
      <c r="H1465" s="5">
        <f t="shared" si="45"/>
        <v>382606</v>
      </c>
      <c r="I1465">
        <f>IFERROR(VLOOKUP(D1465,'LEAID Match'!$A$2:$B$251,2,FALSE),"")</f>
        <v>4703060</v>
      </c>
    </row>
    <row r="1466" spans="1:9" x14ac:dyDescent="0.2">
      <c r="A1466">
        <f t="shared" si="44"/>
        <v>4703060</v>
      </c>
      <c r="B1466" s="5">
        <v>2021</v>
      </c>
      <c r="C1466" s="1">
        <v>99064</v>
      </c>
      <c r="D1466" t="s">
        <v>360</v>
      </c>
      <c r="E1466" t="s">
        <v>360</v>
      </c>
      <c r="F1466" s="8">
        <v>21130</v>
      </c>
      <c r="G1466" s="8">
        <v>355614</v>
      </c>
      <c r="H1466" s="5">
        <f t="shared" si="45"/>
        <v>376744</v>
      </c>
      <c r="I1466">
        <f>IFERROR(VLOOKUP(D1466,'LEAID Match'!$A$2:$B$251,2,FALSE),"")</f>
        <v>4703060</v>
      </c>
    </row>
    <row r="1467" spans="1:9" x14ac:dyDescent="0.2">
      <c r="A1467">
        <f t="shared" si="44"/>
        <v>4703060</v>
      </c>
      <c r="B1467" s="5">
        <v>2022</v>
      </c>
      <c r="C1467" s="1">
        <v>99064</v>
      </c>
      <c r="D1467" t="s">
        <v>360</v>
      </c>
      <c r="E1467" t="s">
        <v>360</v>
      </c>
      <c r="F1467" s="8">
        <v>22616.799999999999</v>
      </c>
      <c r="G1467" s="8">
        <v>370641.95</v>
      </c>
      <c r="H1467" s="5">
        <f t="shared" si="45"/>
        <v>393258.75</v>
      </c>
      <c r="I1467">
        <f>IFERROR(VLOOKUP(D1467,'LEAID Match'!$A$2:$B$251,2,FALSE),"")</f>
        <v>4703060</v>
      </c>
    </row>
    <row r="1468" spans="1:9" x14ac:dyDescent="0.2">
      <c r="A1468">
        <f t="shared" si="44"/>
        <v>4703060</v>
      </c>
      <c r="B1468" s="5">
        <v>2023</v>
      </c>
      <c r="C1468" s="1">
        <v>99064</v>
      </c>
      <c r="D1468" t="s">
        <v>360</v>
      </c>
      <c r="E1468" t="s">
        <v>360</v>
      </c>
      <c r="F1468" s="8">
        <v>38068.31</v>
      </c>
      <c r="G1468" s="8">
        <v>311804.78999999998</v>
      </c>
      <c r="H1468" s="5">
        <f t="shared" si="45"/>
        <v>349873.1</v>
      </c>
      <c r="I1468">
        <f>IFERROR(VLOOKUP(D1468,'LEAID Match'!$A$2:$B$251,2,FALSE),"")</f>
        <v>4703060</v>
      </c>
    </row>
    <row r="1469" spans="1:9" x14ac:dyDescent="0.2">
      <c r="A1469">
        <f t="shared" si="44"/>
        <v>4703090</v>
      </c>
      <c r="B1469" s="5">
        <v>2015</v>
      </c>
      <c r="C1469" s="1">
        <v>99065</v>
      </c>
      <c r="D1469" t="s">
        <v>361</v>
      </c>
      <c r="E1469" t="s">
        <v>120</v>
      </c>
      <c r="F1469" s="8">
        <v>17591</v>
      </c>
      <c r="G1469" s="8">
        <v>1047412</v>
      </c>
      <c r="H1469" s="5">
        <f t="shared" si="45"/>
        <v>1065003</v>
      </c>
      <c r="I1469">
        <f>IFERROR(VLOOKUP(D1469,'LEAID Match'!$A$2:$B$251,2,FALSE),"")</f>
        <v>4703090</v>
      </c>
    </row>
    <row r="1470" spans="1:9" x14ac:dyDescent="0.2">
      <c r="A1470">
        <f t="shared" si="44"/>
        <v>4703090</v>
      </c>
      <c r="B1470" s="5">
        <v>2016</v>
      </c>
      <c r="C1470" s="1">
        <v>99065</v>
      </c>
      <c r="D1470" t="s">
        <v>361</v>
      </c>
      <c r="E1470" t="s">
        <v>120</v>
      </c>
      <c r="F1470" s="8">
        <v>26382</v>
      </c>
      <c r="G1470" s="8">
        <v>1050277</v>
      </c>
      <c r="H1470" s="5">
        <f t="shared" si="45"/>
        <v>1076659</v>
      </c>
      <c r="I1470">
        <f>IFERROR(VLOOKUP(D1470,'LEAID Match'!$A$2:$B$251,2,FALSE),"")</f>
        <v>4703090</v>
      </c>
    </row>
    <row r="1471" spans="1:9" x14ac:dyDescent="0.2">
      <c r="A1471">
        <f t="shared" si="44"/>
        <v>4703090</v>
      </c>
      <c r="B1471" s="5">
        <v>2017</v>
      </c>
      <c r="C1471" s="1">
        <v>99065</v>
      </c>
      <c r="D1471" t="s">
        <v>361</v>
      </c>
      <c r="E1471" t="s">
        <v>361</v>
      </c>
      <c r="F1471" s="8">
        <v>33434</v>
      </c>
      <c r="G1471" s="8">
        <v>1034690</v>
      </c>
      <c r="H1471" s="5">
        <f t="shared" si="45"/>
        <v>1068124</v>
      </c>
      <c r="I1471">
        <f>IFERROR(VLOOKUP(D1471,'LEAID Match'!$A$2:$B$251,2,FALSE),"")</f>
        <v>4703090</v>
      </c>
    </row>
    <row r="1472" spans="1:9" x14ac:dyDescent="0.2">
      <c r="A1472">
        <f t="shared" si="44"/>
        <v>4703090</v>
      </c>
      <c r="B1472" s="5">
        <v>2018</v>
      </c>
      <c r="C1472" s="1">
        <v>99065</v>
      </c>
      <c r="D1472" t="s">
        <v>361</v>
      </c>
      <c r="E1472" t="s">
        <v>120</v>
      </c>
      <c r="F1472" s="8">
        <v>45201</v>
      </c>
      <c r="G1472" s="8">
        <v>1002173</v>
      </c>
      <c r="H1472" s="5">
        <f t="shared" si="45"/>
        <v>1047374</v>
      </c>
      <c r="I1472">
        <f>IFERROR(VLOOKUP(D1472,'LEAID Match'!$A$2:$B$251,2,FALSE),"")</f>
        <v>4703090</v>
      </c>
    </row>
    <row r="1473" spans="1:9" x14ac:dyDescent="0.2">
      <c r="A1473">
        <f t="shared" si="44"/>
        <v>4703090</v>
      </c>
      <c r="B1473" s="5">
        <v>2019</v>
      </c>
      <c r="C1473" s="1">
        <v>99065</v>
      </c>
      <c r="D1473" t="s">
        <v>361</v>
      </c>
      <c r="E1473" t="s">
        <v>361</v>
      </c>
      <c r="F1473" s="8">
        <v>25466</v>
      </c>
      <c r="G1473" s="8">
        <v>1120822</v>
      </c>
      <c r="H1473" s="5">
        <f t="shared" si="45"/>
        <v>1146288</v>
      </c>
      <c r="I1473">
        <f>IFERROR(VLOOKUP(D1473,'LEAID Match'!$A$2:$B$251,2,FALSE),"")</f>
        <v>4703090</v>
      </c>
    </row>
    <row r="1474" spans="1:9" x14ac:dyDescent="0.2">
      <c r="A1474">
        <f t="shared" si="44"/>
        <v>4703090</v>
      </c>
      <c r="B1474" s="5">
        <v>2020</v>
      </c>
      <c r="C1474" s="1">
        <v>99065</v>
      </c>
      <c r="D1474" t="s">
        <v>361</v>
      </c>
      <c r="E1474" t="s">
        <v>361</v>
      </c>
      <c r="F1474" s="8">
        <v>29790</v>
      </c>
      <c r="G1474" s="8">
        <v>1204798</v>
      </c>
      <c r="H1474" s="5">
        <f t="shared" si="45"/>
        <v>1234588</v>
      </c>
      <c r="I1474">
        <f>IFERROR(VLOOKUP(D1474,'LEAID Match'!$A$2:$B$251,2,FALSE),"")</f>
        <v>4703090</v>
      </c>
    </row>
    <row r="1475" spans="1:9" x14ac:dyDescent="0.2">
      <c r="A1475">
        <f t="shared" ref="A1475:A1538" si="46">I1475</f>
        <v>4703090</v>
      </c>
      <c r="B1475" s="5">
        <v>2021</v>
      </c>
      <c r="C1475" s="1">
        <v>99065</v>
      </c>
      <c r="D1475" t="s">
        <v>361</v>
      </c>
      <c r="E1475" t="s">
        <v>361</v>
      </c>
      <c r="F1475" s="8">
        <v>35736</v>
      </c>
      <c r="G1475" s="8">
        <v>1078185</v>
      </c>
      <c r="H1475" s="5">
        <f t="shared" ref="H1475:H1538" si="47">SUM(F1475:G1475)</f>
        <v>1113921</v>
      </c>
      <c r="I1475">
        <f>IFERROR(VLOOKUP(D1475,'LEAID Match'!$A$2:$B$251,2,FALSE),"")</f>
        <v>4703090</v>
      </c>
    </row>
    <row r="1476" spans="1:9" x14ac:dyDescent="0.2">
      <c r="A1476">
        <f t="shared" si="46"/>
        <v>4703090</v>
      </c>
      <c r="B1476" s="5">
        <v>2022</v>
      </c>
      <c r="C1476" s="1">
        <v>99065</v>
      </c>
      <c r="D1476" t="s">
        <v>361</v>
      </c>
      <c r="E1476" t="s">
        <v>361</v>
      </c>
      <c r="F1476" s="8">
        <v>48663.839999999997</v>
      </c>
      <c r="G1476" s="8">
        <v>1056976.7</v>
      </c>
      <c r="H1476" s="5">
        <f t="shared" si="47"/>
        <v>1105640.54</v>
      </c>
      <c r="I1476">
        <f>IFERROR(VLOOKUP(D1476,'LEAID Match'!$A$2:$B$251,2,FALSE),"")</f>
        <v>4703090</v>
      </c>
    </row>
    <row r="1477" spans="1:9" x14ac:dyDescent="0.2">
      <c r="A1477">
        <f t="shared" si="46"/>
        <v>4703090</v>
      </c>
      <c r="B1477" s="5">
        <v>2023</v>
      </c>
      <c r="C1477" s="1">
        <v>99065</v>
      </c>
      <c r="D1477" t="s">
        <v>361</v>
      </c>
      <c r="E1477" t="s">
        <v>361</v>
      </c>
      <c r="F1477" s="8">
        <v>100563.84</v>
      </c>
      <c r="G1477" s="8">
        <v>848480.88</v>
      </c>
      <c r="H1477" s="5">
        <f t="shared" si="47"/>
        <v>949044.72</v>
      </c>
      <c r="I1477">
        <f>IFERROR(VLOOKUP(D1477,'LEAID Match'!$A$2:$B$251,2,FALSE),"")</f>
        <v>4703090</v>
      </c>
    </row>
    <row r="1478" spans="1:9" x14ac:dyDescent="0.2">
      <c r="A1478">
        <f t="shared" si="46"/>
        <v>4703150</v>
      </c>
      <c r="B1478" s="5">
        <v>2015</v>
      </c>
      <c r="C1478" s="1">
        <v>99175</v>
      </c>
      <c r="D1478" t="s">
        <v>362</v>
      </c>
      <c r="E1478" t="s">
        <v>121</v>
      </c>
      <c r="F1478" s="8">
        <v>52279</v>
      </c>
      <c r="G1478" s="8">
        <v>2777010</v>
      </c>
      <c r="H1478" s="5">
        <f t="shared" si="47"/>
        <v>2829289</v>
      </c>
      <c r="I1478">
        <f>IFERROR(VLOOKUP(D1478,'LEAID Match'!$A$2:$B$251,2,FALSE),"")</f>
        <v>4703150</v>
      </c>
    </row>
    <row r="1479" spans="1:9" x14ac:dyDescent="0.2">
      <c r="A1479">
        <f t="shared" si="46"/>
        <v>4703150</v>
      </c>
      <c r="B1479" s="5">
        <v>2016</v>
      </c>
      <c r="C1479" s="1">
        <v>99175</v>
      </c>
      <c r="D1479" t="s">
        <v>362</v>
      </c>
      <c r="E1479" t="s">
        <v>121</v>
      </c>
      <c r="F1479" s="8">
        <v>129413</v>
      </c>
      <c r="G1479" s="8">
        <v>2897392</v>
      </c>
      <c r="H1479" s="5">
        <f t="shared" si="47"/>
        <v>3026805</v>
      </c>
      <c r="I1479">
        <f>IFERROR(VLOOKUP(D1479,'LEAID Match'!$A$2:$B$251,2,FALSE),"")</f>
        <v>4703150</v>
      </c>
    </row>
    <row r="1480" spans="1:9" x14ac:dyDescent="0.2">
      <c r="A1480">
        <f t="shared" si="46"/>
        <v>4703150</v>
      </c>
      <c r="B1480" s="5">
        <v>2017</v>
      </c>
      <c r="C1480" s="1">
        <v>99175</v>
      </c>
      <c r="D1480" t="s">
        <v>362</v>
      </c>
      <c r="E1480" t="s">
        <v>362</v>
      </c>
      <c r="F1480" s="8">
        <v>211507</v>
      </c>
      <c r="G1480" s="8">
        <v>2850465</v>
      </c>
      <c r="H1480" s="5">
        <f t="shared" si="47"/>
        <v>3061972</v>
      </c>
      <c r="I1480">
        <f>IFERROR(VLOOKUP(D1480,'LEAID Match'!$A$2:$B$251,2,FALSE),"")</f>
        <v>4703150</v>
      </c>
    </row>
    <row r="1481" spans="1:9" x14ac:dyDescent="0.2">
      <c r="A1481">
        <f t="shared" si="46"/>
        <v>4703150</v>
      </c>
      <c r="B1481" s="5">
        <v>2018</v>
      </c>
      <c r="C1481" s="1">
        <v>99175</v>
      </c>
      <c r="D1481" t="s">
        <v>362</v>
      </c>
      <c r="E1481" t="s">
        <v>121</v>
      </c>
      <c r="F1481" s="8">
        <v>304889</v>
      </c>
      <c r="G1481" s="8">
        <v>2836392</v>
      </c>
      <c r="H1481" s="5">
        <f t="shared" si="47"/>
        <v>3141281</v>
      </c>
      <c r="I1481">
        <f>IFERROR(VLOOKUP(D1481,'LEAID Match'!$A$2:$B$251,2,FALSE),"")</f>
        <v>4703150</v>
      </c>
    </row>
    <row r="1482" spans="1:9" x14ac:dyDescent="0.2">
      <c r="A1482">
        <f t="shared" si="46"/>
        <v>4703150</v>
      </c>
      <c r="B1482" s="5">
        <v>2019</v>
      </c>
      <c r="C1482" s="1">
        <v>99175</v>
      </c>
      <c r="D1482" t="s">
        <v>362</v>
      </c>
      <c r="E1482" t="s">
        <v>362</v>
      </c>
      <c r="F1482" s="8">
        <v>180209</v>
      </c>
      <c r="G1482" s="8">
        <v>3275849</v>
      </c>
      <c r="H1482" s="5">
        <f t="shared" si="47"/>
        <v>3456058</v>
      </c>
      <c r="I1482">
        <f>IFERROR(VLOOKUP(D1482,'LEAID Match'!$A$2:$B$251,2,FALSE),"")</f>
        <v>4703150</v>
      </c>
    </row>
    <row r="1483" spans="1:9" x14ac:dyDescent="0.2">
      <c r="A1483">
        <f t="shared" si="46"/>
        <v>4703150</v>
      </c>
      <c r="B1483" s="5">
        <v>2020</v>
      </c>
      <c r="C1483" s="1">
        <v>99175</v>
      </c>
      <c r="D1483" t="s">
        <v>362</v>
      </c>
      <c r="E1483" t="s">
        <v>362</v>
      </c>
      <c r="F1483" s="8">
        <v>247442.38</v>
      </c>
      <c r="G1483" s="8">
        <v>3392657</v>
      </c>
      <c r="H1483" s="5">
        <f t="shared" si="47"/>
        <v>3640099.38</v>
      </c>
      <c r="I1483">
        <f>IFERROR(VLOOKUP(D1483,'LEAID Match'!$A$2:$B$251,2,FALSE),"")</f>
        <v>4703150</v>
      </c>
    </row>
    <row r="1484" spans="1:9" x14ac:dyDescent="0.2">
      <c r="A1484">
        <f t="shared" si="46"/>
        <v>4703150</v>
      </c>
      <c r="B1484" s="5">
        <v>2021</v>
      </c>
      <c r="C1484" s="1">
        <v>99175</v>
      </c>
      <c r="D1484" t="s">
        <v>362</v>
      </c>
      <c r="E1484" t="s">
        <v>362</v>
      </c>
      <c r="F1484" s="8">
        <v>288982</v>
      </c>
      <c r="G1484" s="8">
        <v>3337038</v>
      </c>
      <c r="H1484" s="5">
        <f t="shared" si="47"/>
        <v>3626020</v>
      </c>
      <c r="I1484">
        <f>IFERROR(VLOOKUP(D1484,'LEAID Match'!$A$2:$B$251,2,FALSE),"")</f>
        <v>4703150</v>
      </c>
    </row>
    <row r="1485" spans="1:9" x14ac:dyDescent="0.2">
      <c r="A1485">
        <f t="shared" si="46"/>
        <v>4703150</v>
      </c>
      <c r="B1485" s="5">
        <v>2022</v>
      </c>
      <c r="C1485" s="1">
        <v>99175</v>
      </c>
      <c r="D1485" t="s">
        <v>362</v>
      </c>
      <c r="E1485" t="s">
        <v>362</v>
      </c>
      <c r="F1485" s="8">
        <v>341378.22</v>
      </c>
      <c r="G1485" s="8">
        <v>3318513.33</v>
      </c>
      <c r="H1485" s="5">
        <f t="shared" si="47"/>
        <v>3659891.55</v>
      </c>
      <c r="I1485">
        <f>IFERROR(VLOOKUP(D1485,'LEAID Match'!$A$2:$B$251,2,FALSE),"")</f>
        <v>4703150</v>
      </c>
    </row>
    <row r="1486" spans="1:9" x14ac:dyDescent="0.2">
      <c r="A1486">
        <f t="shared" si="46"/>
        <v>4703150</v>
      </c>
      <c r="B1486" s="5">
        <v>2023</v>
      </c>
      <c r="C1486" s="1">
        <v>99175</v>
      </c>
      <c r="D1486" t="s">
        <v>362</v>
      </c>
      <c r="E1486" t="s">
        <v>362</v>
      </c>
      <c r="F1486" s="8">
        <v>555758.06999999902</v>
      </c>
      <c r="G1486" s="8">
        <v>2732939.33</v>
      </c>
      <c r="H1486" s="5">
        <f t="shared" si="47"/>
        <v>3288697.399999999</v>
      </c>
      <c r="I1486">
        <f>IFERROR(VLOOKUP(D1486,'LEAID Match'!$A$2:$B$251,2,FALSE),"")</f>
        <v>4703150</v>
      </c>
    </row>
    <row r="1487" spans="1:9" x14ac:dyDescent="0.2">
      <c r="A1487">
        <f t="shared" si="46"/>
        <v>0</v>
      </c>
      <c r="B1487" s="5">
        <v>2015</v>
      </c>
      <c r="C1487" s="1">
        <v>91909</v>
      </c>
      <c r="D1487" t="s">
        <v>363</v>
      </c>
      <c r="E1487" t="s">
        <v>193</v>
      </c>
      <c r="F1487" s="8">
        <v>11896</v>
      </c>
      <c r="G1487" s="8">
        <v>11139</v>
      </c>
      <c r="H1487" s="5">
        <f t="shared" si="47"/>
        <v>23035</v>
      </c>
      <c r="I1487">
        <f>IFERROR(VLOOKUP(D1487,'LEAID Match'!$A$2:$B$251,2,FALSE),"")</f>
        <v>0</v>
      </c>
    </row>
    <row r="1488" spans="1:9" x14ac:dyDescent="0.2">
      <c r="A1488">
        <f t="shared" si="46"/>
        <v>0</v>
      </c>
      <c r="B1488" s="5">
        <v>2016</v>
      </c>
      <c r="C1488" s="1">
        <v>91909</v>
      </c>
      <c r="D1488" t="s">
        <v>363</v>
      </c>
      <c r="E1488" t="s">
        <v>193</v>
      </c>
      <c r="F1488" s="8">
        <v>19802</v>
      </c>
      <c r="G1488" s="8">
        <v>13607</v>
      </c>
      <c r="H1488" s="5">
        <f t="shared" si="47"/>
        <v>33409</v>
      </c>
      <c r="I1488">
        <f>IFERROR(VLOOKUP(D1488,'LEAID Match'!$A$2:$B$251,2,FALSE),"")</f>
        <v>0</v>
      </c>
    </row>
    <row r="1489" spans="1:9" x14ac:dyDescent="0.2">
      <c r="A1489">
        <f t="shared" si="46"/>
        <v>0</v>
      </c>
      <c r="B1489" s="5">
        <v>2017</v>
      </c>
      <c r="C1489" s="1">
        <v>91909</v>
      </c>
      <c r="D1489" t="s">
        <v>363</v>
      </c>
      <c r="E1489" t="s">
        <v>363</v>
      </c>
      <c r="F1489" s="8">
        <v>38644</v>
      </c>
      <c r="G1489" s="8">
        <v>15175</v>
      </c>
      <c r="H1489" s="5">
        <f t="shared" si="47"/>
        <v>53819</v>
      </c>
      <c r="I1489">
        <f>IFERROR(VLOOKUP(D1489,'LEAID Match'!$A$2:$B$251,2,FALSE),"")</f>
        <v>0</v>
      </c>
    </row>
    <row r="1490" spans="1:9" x14ac:dyDescent="0.2">
      <c r="A1490">
        <f t="shared" si="46"/>
        <v>0</v>
      </c>
      <c r="B1490" s="5">
        <v>2018</v>
      </c>
      <c r="C1490" s="1">
        <v>91909</v>
      </c>
      <c r="D1490" t="s">
        <v>363</v>
      </c>
      <c r="E1490" t="s">
        <v>193</v>
      </c>
      <c r="F1490" s="8">
        <v>46319</v>
      </c>
      <c r="G1490" s="8">
        <v>14679</v>
      </c>
      <c r="H1490" s="5">
        <f t="shared" si="47"/>
        <v>60998</v>
      </c>
      <c r="I1490">
        <f>IFERROR(VLOOKUP(D1490,'LEAID Match'!$A$2:$B$251,2,FALSE),"")</f>
        <v>0</v>
      </c>
    </row>
    <row r="1491" spans="1:9" x14ac:dyDescent="0.2">
      <c r="A1491">
        <f t="shared" si="46"/>
        <v>0</v>
      </c>
      <c r="B1491" s="5">
        <v>2019</v>
      </c>
      <c r="C1491" s="1">
        <v>91909</v>
      </c>
      <c r="D1491" t="s">
        <v>363</v>
      </c>
      <c r="E1491" t="s">
        <v>363</v>
      </c>
      <c r="F1491" s="8">
        <v>17222</v>
      </c>
      <c r="G1491" s="8">
        <v>22799</v>
      </c>
      <c r="H1491" s="5">
        <f t="shared" si="47"/>
        <v>40021</v>
      </c>
      <c r="I1491">
        <f>IFERROR(VLOOKUP(D1491,'LEAID Match'!$A$2:$B$251,2,FALSE),"")</f>
        <v>0</v>
      </c>
    </row>
    <row r="1492" spans="1:9" x14ac:dyDescent="0.2">
      <c r="A1492">
        <f t="shared" si="46"/>
        <v>0</v>
      </c>
      <c r="B1492" s="5">
        <v>2020</v>
      </c>
      <c r="C1492" s="1">
        <v>91909</v>
      </c>
      <c r="D1492" t="s">
        <v>363</v>
      </c>
      <c r="E1492" t="s">
        <v>363</v>
      </c>
      <c r="F1492" s="8">
        <v>15582</v>
      </c>
      <c r="G1492" s="8">
        <v>23740</v>
      </c>
      <c r="H1492" s="5">
        <f t="shared" si="47"/>
        <v>39322</v>
      </c>
      <c r="I1492">
        <f>IFERROR(VLOOKUP(D1492,'LEAID Match'!$A$2:$B$251,2,FALSE),"")</f>
        <v>0</v>
      </c>
    </row>
    <row r="1493" spans="1:9" x14ac:dyDescent="0.2">
      <c r="A1493">
        <f t="shared" si="46"/>
        <v>0</v>
      </c>
      <c r="B1493" s="5">
        <v>2021</v>
      </c>
      <c r="C1493" s="1">
        <v>91909</v>
      </c>
      <c r="D1493" t="s">
        <v>363</v>
      </c>
      <c r="E1493" t="s">
        <v>363</v>
      </c>
      <c r="F1493" s="8">
        <v>115</v>
      </c>
      <c r="G1493" s="8" t="s">
        <v>591</v>
      </c>
      <c r="H1493" s="5">
        <f t="shared" si="47"/>
        <v>115</v>
      </c>
      <c r="I1493">
        <f>IFERROR(VLOOKUP(D1493,'LEAID Match'!$A$2:$B$251,2,FALSE),"")</f>
        <v>0</v>
      </c>
    </row>
    <row r="1494" spans="1:9" x14ac:dyDescent="0.2">
      <c r="A1494">
        <f t="shared" si="46"/>
        <v>0</v>
      </c>
      <c r="B1494" s="5">
        <v>2022</v>
      </c>
      <c r="C1494" s="1">
        <v>91909</v>
      </c>
      <c r="D1494" t="s">
        <v>363</v>
      </c>
      <c r="E1494" t="s">
        <v>363</v>
      </c>
      <c r="F1494" s="8" t="s">
        <v>591</v>
      </c>
      <c r="G1494" s="8" t="s">
        <v>591</v>
      </c>
      <c r="H1494" s="5">
        <f t="shared" si="47"/>
        <v>0</v>
      </c>
      <c r="I1494">
        <f>IFERROR(VLOOKUP(D1494,'LEAID Match'!$A$2:$B$251,2,FALSE),"")</f>
        <v>0</v>
      </c>
    </row>
    <row r="1495" spans="1:9" x14ac:dyDescent="0.2">
      <c r="A1495">
        <f t="shared" si="46"/>
        <v>0</v>
      </c>
      <c r="B1495" s="5">
        <v>2023</v>
      </c>
      <c r="C1495" s="1">
        <v>91909</v>
      </c>
      <c r="D1495" t="s">
        <v>363</v>
      </c>
      <c r="E1495" t="s">
        <v>363</v>
      </c>
      <c r="F1495" s="8" t="s">
        <v>591</v>
      </c>
      <c r="G1495" s="8" t="s">
        <v>591</v>
      </c>
      <c r="H1495" s="5">
        <f t="shared" si="47"/>
        <v>0</v>
      </c>
      <c r="I1495">
        <f>IFERROR(VLOOKUP(D1495,'LEAID Match'!$A$2:$B$251,2,FALSE),"")</f>
        <v>0</v>
      </c>
    </row>
    <row r="1496" spans="1:9" x14ac:dyDescent="0.2">
      <c r="A1496">
        <f t="shared" si="46"/>
        <v>0</v>
      </c>
      <c r="B1496" s="5">
        <v>2015</v>
      </c>
      <c r="C1496" s="1">
        <v>91910</v>
      </c>
      <c r="D1496" t="s">
        <v>364</v>
      </c>
      <c r="E1496" t="s">
        <v>122</v>
      </c>
      <c r="F1496" s="8">
        <v>8978</v>
      </c>
      <c r="G1496" s="8">
        <v>51609</v>
      </c>
      <c r="H1496" s="5">
        <f t="shared" si="47"/>
        <v>60587</v>
      </c>
      <c r="I1496">
        <f>IFERROR(VLOOKUP(D1496,'LEAID Match'!$A$2:$B$251,2,FALSE),"")</f>
        <v>0</v>
      </c>
    </row>
    <row r="1497" spans="1:9" x14ac:dyDescent="0.2">
      <c r="A1497">
        <f t="shared" si="46"/>
        <v>0</v>
      </c>
      <c r="B1497" s="5">
        <v>2016</v>
      </c>
      <c r="C1497" s="1">
        <v>91910</v>
      </c>
      <c r="D1497" t="s">
        <v>364</v>
      </c>
      <c r="E1497" t="s">
        <v>122</v>
      </c>
      <c r="F1497" s="8">
        <v>15849</v>
      </c>
      <c r="G1497" s="8">
        <v>40745</v>
      </c>
      <c r="H1497" s="5">
        <f t="shared" si="47"/>
        <v>56594</v>
      </c>
      <c r="I1497">
        <f>IFERROR(VLOOKUP(D1497,'LEAID Match'!$A$2:$B$251,2,FALSE),"")</f>
        <v>0</v>
      </c>
    </row>
    <row r="1498" spans="1:9" x14ac:dyDescent="0.2">
      <c r="A1498">
        <f t="shared" si="46"/>
        <v>0</v>
      </c>
      <c r="B1498" s="5">
        <v>2017</v>
      </c>
      <c r="C1498" s="1">
        <v>91910</v>
      </c>
      <c r="D1498" t="s">
        <v>364</v>
      </c>
      <c r="E1498" t="s">
        <v>364</v>
      </c>
      <c r="F1498" s="8">
        <v>35567</v>
      </c>
      <c r="G1498" s="8">
        <v>40167</v>
      </c>
      <c r="H1498" s="5">
        <f t="shared" si="47"/>
        <v>75734</v>
      </c>
      <c r="I1498">
        <f>IFERROR(VLOOKUP(D1498,'LEAID Match'!$A$2:$B$251,2,FALSE),"")</f>
        <v>0</v>
      </c>
    </row>
    <row r="1499" spans="1:9" x14ac:dyDescent="0.2">
      <c r="A1499">
        <f t="shared" si="46"/>
        <v>0</v>
      </c>
      <c r="B1499" s="5">
        <v>2018</v>
      </c>
      <c r="C1499" s="1">
        <v>91910</v>
      </c>
      <c r="D1499" t="s">
        <v>364</v>
      </c>
      <c r="E1499" t="s">
        <v>122</v>
      </c>
      <c r="F1499" s="8">
        <v>52043</v>
      </c>
      <c r="G1499" s="8">
        <v>40530</v>
      </c>
      <c r="H1499" s="5">
        <f t="shared" si="47"/>
        <v>92573</v>
      </c>
      <c r="I1499">
        <f>IFERROR(VLOOKUP(D1499,'LEAID Match'!$A$2:$B$251,2,FALSE),"")</f>
        <v>0</v>
      </c>
    </row>
    <row r="1500" spans="1:9" x14ac:dyDescent="0.2">
      <c r="A1500">
        <f t="shared" si="46"/>
        <v>0</v>
      </c>
      <c r="B1500" s="5">
        <v>2019</v>
      </c>
      <c r="C1500" s="1">
        <v>91910</v>
      </c>
      <c r="D1500" t="s">
        <v>364</v>
      </c>
      <c r="E1500" t="s">
        <v>364</v>
      </c>
      <c r="F1500" s="8">
        <v>33155</v>
      </c>
      <c r="G1500" s="8">
        <v>49503</v>
      </c>
      <c r="H1500" s="5">
        <f t="shared" si="47"/>
        <v>82658</v>
      </c>
      <c r="I1500">
        <f>IFERROR(VLOOKUP(D1500,'LEAID Match'!$A$2:$B$251,2,FALSE),"")</f>
        <v>0</v>
      </c>
    </row>
    <row r="1501" spans="1:9" x14ac:dyDescent="0.2">
      <c r="A1501">
        <f t="shared" si="46"/>
        <v>0</v>
      </c>
      <c r="B1501" s="5">
        <v>2020</v>
      </c>
      <c r="C1501" s="1">
        <v>91910</v>
      </c>
      <c r="D1501" t="s">
        <v>364</v>
      </c>
      <c r="E1501" t="s">
        <v>364</v>
      </c>
      <c r="F1501" s="8">
        <v>45516.51</v>
      </c>
      <c r="G1501" s="8">
        <v>56335</v>
      </c>
      <c r="H1501" s="5">
        <f t="shared" si="47"/>
        <v>101851.51000000001</v>
      </c>
      <c r="I1501">
        <f>IFERROR(VLOOKUP(D1501,'LEAID Match'!$A$2:$B$251,2,FALSE),"")</f>
        <v>0</v>
      </c>
    </row>
    <row r="1502" spans="1:9" x14ac:dyDescent="0.2">
      <c r="A1502">
        <f t="shared" si="46"/>
        <v>0</v>
      </c>
      <c r="B1502" s="5">
        <v>2021</v>
      </c>
      <c r="C1502" s="1">
        <v>91910</v>
      </c>
      <c r="D1502" t="s">
        <v>364</v>
      </c>
      <c r="E1502" t="s">
        <v>364</v>
      </c>
      <c r="F1502" s="8">
        <v>47718</v>
      </c>
      <c r="G1502" s="8">
        <v>77676</v>
      </c>
      <c r="H1502" s="5">
        <f t="shared" si="47"/>
        <v>125394</v>
      </c>
      <c r="I1502">
        <f>IFERROR(VLOOKUP(D1502,'LEAID Match'!$A$2:$B$251,2,FALSE),"")</f>
        <v>0</v>
      </c>
    </row>
    <row r="1503" spans="1:9" x14ac:dyDescent="0.2">
      <c r="A1503">
        <f t="shared" si="46"/>
        <v>0</v>
      </c>
      <c r="B1503" s="5">
        <v>2022</v>
      </c>
      <c r="C1503" s="1">
        <v>91910</v>
      </c>
      <c r="D1503" t="s">
        <v>364</v>
      </c>
      <c r="E1503" t="s">
        <v>364</v>
      </c>
      <c r="F1503" s="8">
        <v>65650.820000000007</v>
      </c>
      <c r="G1503" s="8">
        <v>100337.57</v>
      </c>
      <c r="H1503" s="5">
        <f t="shared" si="47"/>
        <v>165988.39000000001</v>
      </c>
      <c r="I1503">
        <f>IFERROR(VLOOKUP(D1503,'LEAID Match'!$A$2:$B$251,2,FALSE),"")</f>
        <v>0</v>
      </c>
    </row>
    <row r="1504" spans="1:9" x14ac:dyDescent="0.2">
      <c r="A1504">
        <f t="shared" si="46"/>
        <v>0</v>
      </c>
      <c r="B1504" s="5">
        <v>2023</v>
      </c>
      <c r="C1504" s="1">
        <v>91910</v>
      </c>
      <c r="D1504" t="s">
        <v>364</v>
      </c>
      <c r="E1504" t="s">
        <v>364</v>
      </c>
      <c r="F1504" s="8">
        <v>107841.15</v>
      </c>
      <c r="G1504" s="8">
        <v>82842</v>
      </c>
      <c r="H1504" s="5">
        <f t="shared" si="47"/>
        <v>190683.15</v>
      </c>
      <c r="I1504">
        <f>IFERROR(VLOOKUP(D1504,'LEAID Match'!$A$2:$B$251,2,FALSE),"")</f>
        <v>0</v>
      </c>
    </row>
    <row r="1505" spans="1:9" x14ac:dyDescent="0.2">
      <c r="A1505">
        <f t="shared" si="46"/>
        <v>0</v>
      </c>
      <c r="B1505" s="5">
        <v>2022</v>
      </c>
      <c r="C1505" s="1">
        <v>99198</v>
      </c>
      <c r="D1505" t="s">
        <v>504</v>
      </c>
      <c r="E1505" t="s">
        <v>504</v>
      </c>
      <c r="F1505" s="8">
        <v>22474.560000000001</v>
      </c>
      <c r="G1505" s="8">
        <v>5743.29</v>
      </c>
      <c r="H1505" s="5">
        <f t="shared" si="47"/>
        <v>28217.850000000002</v>
      </c>
      <c r="I1505">
        <f>IFERROR(VLOOKUP(D1505,'LEAID Match'!$A$2:$B$251,2,FALSE),"")</f>
        <v>0</v>
      </c>
    </row>
    <row r="1506" spans="1:9" x14ac:dyDescent="0.2">
      <c r="A1506">
        <f t="shared" si="46"/>
        <v>0</v>
      </c>
      <c r="B1506" s="5">
        <v>2023</v>
      </c>
      <c r="C1506" s="1">
        <v>99198</v>
      </c>
      <c r="D1506" t="s">
        <v>504</v>
      </c>
      <c r="E1506" t="s">
        <v>504</v>
      </c>
      <c r="F1506" s="8">
        <v>43011.73</v>
      </c>
      <c r="G1506" s="8">
        <v>5781.86</v>
      </c>
      <c r="H1506" s="5">
        <f t="shared" si="47"/>
        <v>48793.590000000004</v>
      </c>
      <c r="I1506">
        <f>IFERROR(VLOOKUP(D1506,'LEAID Match'!$A$2:$B$251,2,FALSE),"")</f>
        <v>0</v>
      </c>
    </row>
    <row r="1507" spans="1:9" x14ac:dyDescent="0.2">
      <c r="A1507">
        <f t="shared" si="46"/>
        <v>0</v>
      </c>
      <c r="B1507" s="5">
        <v>2015</v>
      </c>
      <c r="C1507" s="1">
        <v>91911</v>
      </c>
      <c r="D1507" t="s">
        <v>365</v>
      </c>
      <c r="E1507" t="s">
        <v>123</v>
      </c>
      <c r="F1507" s="8">
        <v>31204</v>
      </c>
      <c r="G1507" s="8">
        <v>67917</v>
      </c>
      <c r="H1507" s="5">
        <f t="shared" si="47"/>
        <v>99121</v>
      </c>
      <c r="I1507">
        <f>IFERROR(VLOOKUP(D1507,'LEAID Match'!$A$2:$B$251,2,FALSE),"")</f>
        <v>0</v>
      </c>
    </row>
    <row r="1508" spans="1:9" x14ac:dyDescent="0.2">
      <c r="A1508">
        <f t="shared" si="46"/>
        <v>0</v>
      </c>
      <c r="B1508" s="5">
        <v>2016</v>
      </c>
      <c r="C1508" s="1">
        <v>91911</v>
      </c>
      <c r="D1508" t="s">
        <v>365</v>
      </c>
      <c r="E1508" t="s">
        <v>123</v>
      </c>
      <c r="F1508" s="8">
        <v>45527</v>
      </c>
      <c r="G1508" s="8">
        <v>25468</v>
      </c>
      <c r="H1508" s="5">
        <f t="shared" si="47"/>
        <v>70995</v>
      </c>
      <c r="I1508">
        <f>IFERROR(VLOOKUP(D1508,'LEAID Match'!$A$2:$B$251,2,FALSE),"")</f>
        <v>0</v>
      </c>
    </row>
    <row r="1509" spans="1:9" x14ac:dyDescent="0.2">
      <c r="A1509">
        <f t="shared" si="46"/>
        <v>0</v>
      </c>
      <c r="B1509" s="5">
        <v>2017</v>
      </c>
      <c r="C1509" s="1">
        <v>91911</v>
      </c>
      <c r="D1509" t="s">
        <v>365</v>
      </c>
      <c r="E1509" t="s">
        <v>365</v>
      </c>
      <c r="F1509" s="8">
        <v>53461</v>
      </c>
      <c r="G1509" s="8">
        <v>18560</v>
      </c>
      <c r="H1509" s="5">
        <f t="shared" si="47"/>
        <v>72021</v>
      </c>
      <c r="I1509">
        <f>IFERROR(VLOOKUP(D1509,'LEAID Match'!$A$2:$B$251,2,FALSE),"")</f>
        <v>0</v>
      </c>
    </row>
    <row r="1510" spans="1:9" x14ac:dyDescent="0.2">
      <c r="A1510">
        <f t="shared" si="46"/>
        <v>0</v>
      </c>
      <c r="B1510" s="5">
        <v>2018</v>
      </c>
      <c r="C1510" s="1">
        <v>91911</v>
      </c>
      <c r="D1510" t="s">
        <v>365</v>
      </c>
      <c r="E1510" t="s">
        <v>123</v>
      </c>
      <c r="F1510" s="8">
        <v>58209</v>
      </c>
      <c r="G1510" s="8">
        <v>19664</v>
      </c>
      <c r="H1510" s="5">
        <f t="shared" si="47"/>
        <v>77873</v>
      </c>
      <c r="I1510">
        <f>IFERROR(VLOOKUP(D1510,'LEAID Match'!$A$2:$B$251,2,FALSE),"")</f>
        <v>0</v>
      </c>
    </row>
    <row r="1511" spans="1:9" x14ac:dyDescent="0.2">
      <c r="A1511">
        <f t="shared" si="46"/>
        <v>0</v>
      </c>
      <c r="B1511" s="5">
        <v>2019</v>
      </c>
      <c r="C1511" s="1">
        <v>91911</v>
      </c>
      <c r="D1511" t="s">
        <v>365</v>
      </c>
      <c r="E1511" t="s">
        <v>365</v>
      </c>
      <c r="F1511" s="8">
        <v>20578</v>
      </c>
      <c r="G1511" s="8">
        <v>23793</v>
      </c>
      <c r="H1511" s="5">
        <f t="shared" si="47"/>
        <v>44371</v>
      </c>
      <c r="I1511">
        <f>IFERROR(VLOOKUP(D1511,'LEAID Match'!$A$2:$B$251,2,FALSE),"")</f>
        <v>0</v>
      </c>
    </row>
    <row r="1512" spans="1:9" x14ac:dyDescent="0.2">
      <c r="A1512">
        <f t="shared" si="46"/>
        <v>0</v>
      </c>
      <c r="B1512" s="5">
        <v>2020</v>
      </c>
      <c r="C1512" s="1">
        <v>91911</v>
      </c>
      <c r="D1512" t="s">
        <v>365</v>
      </c>
      <c r="E1512" t="s">
        <v>365</v>
      </c>
      <c r="F1512" s="8">
        <v>17568</v>
      </c>
      <c r="G1512" s="8">
        <v>23329</v>
      </c>
      <c r="H1512" s="5">
        <f t="shared" si="47"/>
        <v>40897</v>
      </c>
      <c r="I1512">
        <f>IFERROR(VLOOKUP(D1512,'LEAID Match'!$A$2:$B$251,2,FALSE),"")</f>
        <v>0</v>
      </c>
    </row>
    <row r="1513" spans="1:9" x14ac:dyDescent="0.2">
      <c r="A1513">
        <f t="shared" si="46"/>
        <v>0</v>
      </c>
      <c r="B1513" s="5">
        <v>2021</v>
      </c>
      <c r="C1513" s="1">
        <v>91911</v>
      </c>
      <c r="D1513" t="s">
        <v>365</v>
      </c>
      <c r="E1513" t="s">
        <v>365</v>
      </c>
      <c r="F1513" s="8">
        <v>13593</v>
      </c>
      <c r="G1513" s="8">
        <v>12452</v>
      </c>
      <c r="H1513" s="5">
        <f t="shared" si="47"/>
        <v>26045</v>
      </c>
      <c r="I1513">
        <f>IFERROR(VLOOKUP(D1513,'LEAID Match'!$A$2:$B$251,2,FALSE),"")</f>
        <v>0</v>
      </c>
    </row>
    <row r="1514" spans="1:9" x14ac:dyDescent="0.2">
      <c r="A1514">
        <f t="shared" si="46"/>
        <v>0</v>
      </c>
      <c r="B1514" s="5">
        <v>2022</v>
      </c>
      <c r="C1514" s="1">
        <v>91911</v>
      </c>
      <c r="D1514" t="s">
        <v>365</v>
      </c>
      <c r="E1514" t="s">
        <v>365</v>
      </c>
      <c r="F1514" s="8">
        <v>11895.75</v>
      </c>
      <c r="G1514" s="8">
        <v>19255.07</v>
      </c>
      <c r="H1514" s="5">
        <f t="shared" si="47"/>
        <v>31150.82</v>
      </c>
      <c r="I1514">
        <f>IFERROR(VLOOKUP(D1514,'LEAID Match'!$A$2:$B$251,2,FALSE),"")</f>
        <v>0</v>
      </c>
    </row>
    <row r="1515" spans="1:9" x14ac:dyDescent="0.2">
      <c r="A1515">
        <f t="shared" si="46"/>
        <v>0</v>
      </c>
      <c r="B1515" s="5">
        <v>2023</v>
      </c>
      <c r="C1515" s="1">
        <v>91911</v>
      </c>
      <c r="D1515" t="s">
        <v>365</v>
      </c>
      <c r="E1515" t="s">
        <v>365</v>
      </c>
      <c r="F1515" s="8">
        <v>11782.28</v>
      </c>
      <c r="G1515" s="8">
        <v>11189.71</v>
      </c>
      <c r="H1515" s="5">
        <f t="shared" si="47"/>
        <v>22971.989999999998</v>
      </c>
      <c r="I1515">
        <f>IFERROR(VLOOKUP(D1515,'LEAID Match'!$A$2:$B$251,2,FALSE),"")</f>
        <v>0</v>
      </c>
    </row>
    <row r="1516" spans="1:9" x14ac:dyDescent="0.2">
      <c r="A1516">
        <f t="shared" si="46"/>
        <v>0</v>
      </c>
      <c r="B1516" s="5">
        <v>2015</v>
      </c>
      <c r="C1516" s="1">
        <v>97941</v>
      </c>
      <c r="D1516" t="s">
        <v>528</v>
      </c>
      <c r="E1516" t="s">
        <v>467</v>
      </c>
      <c r="F1516" s="8">
        <v>2830</v>
      </c>
      <c r="G1516" s="8">
        <v>19790</v>
      </c>
      <c r="H1516" s="5">
        <f t="shared" si="47"/>
        <v>22620</v>
      </c>
      <c r="I1516">
        <f>IFERROR(VLOOKUP(D1516,'LEAID Match'!$A$2:$B$251,2,FALSE),"")</f>
        <v>0</v>
      </c>
    </row>
    <row r="1517" spans="1:9" x14ac:dyDescent="0.2">
      <c r="A1517">
        <f t="shared" si="46"/>
        <v>0</v>
      </c>
      <c r="B1517" s="5">
        <v>2016</v>
      </c>
      <c r="C1517" s="1">
        <v>97941</v>
      </c>
      <c r="D1517" t="s">
        <v>528</v>
      </c>
      <c r="E1517" t="s">
        <v>194</v>
      </c>
      <c r="F1517" s="8" t="s">
        <v>591</v>
      </c>
      <c r="G1517" s="8">
        <v>21481</v>
      </c>
      <c r="H1517" s="5">
        <f t="shared" si="47"/>
        <v>21481</v>
      </c>
      <c r="I1517">
        <f>IFERROR(VLOOKUP(D1517,'LEAID Match'!$A$2:$B$251,2,FALSE),"")</f>
        <v>0</v>
      </c>
    </row>
    <row r="1518" spans="1:9" x14ac:dyDescent="0.2">
      <c r="A1518">
        <f t="shared" si="46"/>
        <v>0</v>
      </c>
      <c r="B1518" s="5">
        <v>2017</v>
      </c>
      <c r="C1518" s="1">
        <v>97941</v>
      </c>
      <c r="D1518" t="s">
        <v>528</v>
      </c>
      <c r="E1518" t="s">
        <v>366</v>
      </c>
      <c r="F1518" s="8" t="s">
        <v>591</v>
      </c>
      <c r="G1518" s="8" t="s">
        <v>591</v>
      </c>
      <c r="H1518" s="5">
        <f t="shared" si="47"/>
        <v>0</v>
      </c>
      <c r="I1518">
        <f>IFERROR(VLOOKUP(D1518,'LEAID Match'!$A$2:$B$251,2,FALSE),"")</f>
        <v>0</v>
      </c>
    </row>
    <row r="1519" spans="1:9" x14ac:dyDescent="0.2">
      <c r="A1519">
        <f t="shared" si="46"/>
        <v>0</v>
      </c>
      <c r="B1519" s="5">
        <v>2018</v>
      </c>
      <c r="C1519" s="1">
        <v>97941</v>
      </c>
      <c r="D1519" t="s">
        <v>528</v>
      </c>
      <c r="E1519" t="s">
        <v>467</v>
      </c>
      <c r="F1519" s="8" t="s">
        <v>591</v>
      </c>
      <c r="G1519" s="8" t="s">
        <v>591</v>
      </c>
      <c r="H1519" s="5">
        <f t="shared" si="47"/>
        <v>0</v>
      </c>
      <c r="I1519">
        <f>IFERROR(VLOOKUP(D1519,'LEAID Match'!$A$2:$B$251,2,FALSE),"")</f>
        <v>0</v>
      </c>
    </row>
    <row r="1520" spans="1:9" x14ac:dyDescent="0.2">
      <c r="A1520">
        <f t="shared" si="46"/>
        <v>0</v>
      </c>
      <c r="B1520" s="5">
        <v>2019</v>
      </c>
      <c r="C1520" s="1">
        <v>97941</v>
      </c>
      <c r="D1520" t="s">
        <v>528</v>
      </c>
      <c r="E1520" t="s">
        <v>467</v>
      </c>
      <c r="F1520" s="8" t="s">
        <v>591</v>
      </c>
      <c r="G1520" s="8" t="s">
        <v>591</v>
      </c>
      <c r="H1520" s="5">
        <f t="shared" si="47"/>
        <v>0</v>
      </c>
      <c r="I1520">
        <f>IFERROR(VLOOKUP(D1520,'LEAID Match'!$A$2:$B$251,2,FALSE),"")</f>
        <v>0</v>
      </c>
    </row>
    <row r="1521" spans="1:9" x14ac:dyDescent="0.2">
      <c r="A1521">
        <f t="shared" si="46"/>
        <v>0</v>
      </c>
      <c r="B1521" s="5">
        <v>2020</v>
      </c>
      <c r="C1521" s="1">
        <v>97941</v>
      </c>
      <c r="D1521" t="s">
        <v>528</v>
      </c>
      <c r="E1521" t="s">
        <v>366</v>
      </c>
      <c r="F1521" s="8" t="s">
        <v>591</v>
      </c>
      <c r="G1521" s="8" t="s">
        <v>591</v>
      </c>
      <c r="H1521" s="5">
        <f t="shared" si="47"/>
        <v>0</v>
      </c>
      <c r="I1521">
        <f>IFERROR(VLOOKUP(D1521,'LEAID Match'!$A$2:$B$251,2,FALSE),"")</f>
        <v>0</v>
      </c>
    </row>
    <row r="1522" spans="1:9" x14ac:dyDescent="0.2">
      <c r="A1522">
        <f t="shared" si="46"/>
        <v>0</v>
      </c>
      <c r="B1522" s="5">
        <v>2021</v>
      </c>
      <c r="C1522" s="1">
        <v>97941</v>
      </c>
      <c r="D1522" t="s">
        <v>528</v>
      </c>
      <c r="E1522" t="s">
        <v>467</v>
      </c>
      <c r="F1522" s="8" t="s">
        <v>591</v>
      </c>
      <c r="G1522" s="8" t="s">
        <v>591</v>
      </c>
      <c r="H1522" s="5">
        <f t="shared" si="47"/>
        <v>0</v>
      </c>
      <c r="I1522">
        <f>IFERROR(VLOOKUP(D1522,'LEAID Match'!$A$2:$B$251,2,FALSE),"")</f>
        <v>0</v>
      </c>
    </row>
    <row r="1523" spans="1:9" x14ac:dyDescent="0.2">
      <c r="A1523">
        <f t="shared" si="46"/>
        <v>0</v>
      </c>
      <c r="B1523" s="5">
        <v>2022</v>
      </c>
      <c r="C1523" s="1">
        <v>97941</v>
      </c>
      <c r="D1523" t="s">
        <v>528</v>
      </c>
      <c r="E1523" t="s">
        <v>467</v>
      </c>
      <c r="F1523" s="8" t="s">
        <v>591</v>
      </c>
      <c r="G1523" s="8" t="s">
        <v>591</v>
      </c>
      <c r="H1523" s="5">
        <f t="shared" si="47"/>
        <v>0</v>
      </c>
      <c r="I1523">
        <f>IFERROR(VLOOKUP(D1523,'LEAID Match'!$A$2:$B$251,2,FALSE),"")</f>
        <v>0</v>
      </c>
    </row>
    <row r="1524" spans="1:9" x14ac:dyDescent="0.2">
      <c r="A1524">
        <f t="shared" si="46"/>
        <v>0</v>
      </c>
      <c r="B1524" s="5">
        <v>2023</v>
      </c>
      <c r="C1524" s="1">
        <v>97941</v>
      </c>
      <c r="D1524" t="s">
        <v>528</v>
      </c>
      <c r="E1524" t="s">
        <v>528</v>
      </c>
      <c r="F1524" s="8" t="s">
        <v>591</v>
      </c>
      <c r="G1524" s="8" t="s">
        <v>591</v>
      </c>
      <c r="H1524" s="5">
        <f t="shared" si="47"/>
        <v>0</v>
      </c>
      <c r="I1524">
        <f>IFERROR(VLOOKUP(D1524,'LEAID Match'!$A$2:$B$251,2,FALSE),"")</f>
        <v>0</v>
      </c>
    </row>
    <row r="1525" spans="1:9" x14ac:dyDescent="0.2">
      <c r="A1525">
        <f t="shared" si="46"/>
        <v>0</v>
      </c>
      <c r="B1525" s="5">
        <v>2015</v>
      </c>
      <c r="C1525" s="1">
        <v>91913</v>
      </c>
      <c r="D1525" t="s">
        <v>124</v>
      </c>
      <c r="E1525" t="s">
        <v>124</v>
      </c>
      <c r="F1525" s="8">
        <v>7261</v>
      </c>
      <c r="G1525" s="8">
        <v>30400</v>
      </c>
      <c r="H1525" s="5">
        <f t="shared" si="47"/>
        <v>37661</v>
      </c>
      <c r="I1525">
        <f>IFERROR(VLOOKUP(D1525,'LEAID Match'!$A$2:$B$251,2,FALSE),"")</f>
        <v>0</v>
      </c>
    </row>
    <row r="1526" spans="1:9" x14ac:dyDescent="0.2">
      <c r="A1526">
        <f t="shared" si="46"/>
        <v>0</v>
      </c>
      <c r="B1526" s="5">
        <v>2016</v>
      </c>
      <c r="C1526" s="1">
        <v>91913</v>
      </c>
      <c r="D1526" t="s">
        <v>124</v>
      </c>
      <c r="E1526" t="s">
        <v>124</v>
      </c>
      <c r="F1526" s="8">
        <v>9709</v>
      </c>
      <c r="G1526" s="8">
        <v>22294</v>
      </c>
      <c r="H1526" s="5">
        <f t="shared" si="47"/>
        <v>32003</v>
      </c>
      <c r="I1526">
        <f>IFERROR(VLOOKUP(D1526,'LEAID Match'!$A$2:$B$251,2,FALSE),"")</f>
        <v>0</v>
      </c>
    </row>
    <row r="1527" spans="1:9" x14ac:dyDescent="0.2">
      <c r="A1527">
        <f t="shared" si="46"/>
        <v>0</v>
      </c>
      <c r="B1527" s="5">
        <v>2017</v>
      </c>
      <c r="C1527" s="1">
        <v>91913</v>
      </c>
      <c r="D1527" t="s">
        <v>124</v>
      </c>
      <c r="E1527" t="s">
        <v>367</v>
      </c>
      <c r="F1527" s="8">
        <v>13000</v>
      </c>
      <c r="G1527" s="8">
        <v>13262</v>
      </c>
      <c r="H1527" s="5">
        <f t="shared" si="47"/>
        <v>26262</v>
      </c>
      <c r="I1527">
        <f>IFERROR(VLOOKUP(D1527,'LEAID Match'!$A$2:$B$251,2,FALSE),"")</f>
        <v>0</v>
      </c>
    </row>
    <row r="1528" spans="1:9" x14ac:dyDescent="0.2">
      <c r="A1528">
        <f t="shared" si="46"/>
        <v>0</v>
      </c>
      <c r="B1528" s="5">
        <v>2018</v>
      </c>
      <c r="C1528" s="1">
        <v>91913</v>
      </c>
      <c r="D1528" t="s">
        <v>124</v>
      </c>
      <c r="E1528" t="s">
        <v>124</v>
      </c>
      <c r="F1528" s="8">
        <v>9296</v>
      </c>
      <c r="G1528" s="8">
        <v>17206</v>
      </c>
      <c r="H1528" s="5">
        <f t="shared" si="47"/>
        <v>26502</v>
      </c>
      <c r="I1528">
        <f>IFERROR(VLOOKUP(D1528,'LEAID Match'!$A$2:$B$251,2,FALSE),"")</f>
        <v>0</v>
      </c>
    </row>
    <row r="1529" spans="1:9" x14ac:dyDescent="0.2">
      <c r="A1529">
        <f t="shared" si="46"/>
        <v>0</v>
      </c>
      <c r="B1529" s="5">
        <v>2019</v>
      </c>
      <c r="C1529" s="1">
        <v>91913</v>
      </c>
      <c r="D1529" t="s">
        <v>124</v>
      </c>
      <c r="E1529" t="s">
        <v>124</v>
      </c>
      <c r="F1529" s="8">
        <v>2321</v>
      </c>
      <c r="G1529" s="8">
        <v>9766</v>
      </c>
      <c r="H1529" s="5">
        <f t="shared" si="47"/>
        <v>12087</v>
      </c>
      <c r="I1529">
        <f>IFERROR(VLOOKUP(D1529,'LEAID Match'!$A$2:$B$251,2,FALSE),"")</f>
        <v>0</v>
      </c>
    </row>
    <row r="1530" spans="1:9" x14ac:dyDescent="0.2">
      <c r="A1530">
        <f t="shared" si="46"/>
        <v>0</v>
      </c>
      <c r="B1530" s="5">
        <v>2020</v>
      </c>
      <c r="C1530" s="1">
        <v>91913</v>
      </c>
      <c r="D1530" t="s">
        <v>124</v>
      </c>
      <c r="E1530" t="s">
        <v>367</v>
      </c>
      <c r="F1530" s="8" t="s">
        <v>591</v>
      </c>
      <c r="G1530" s="8" t="s">
        <v>591</v>
      </c>
      <c r="H1530" s="5">
        <f t="shared" si="47"/>
        <v>0</v>
      </c>
      <c r="I1530">
        <f>IFERROR(VLOOKUP(D1530,'LEAID Match'!$A$2:$B$251,2,FALSE),"")</f>
        <v>0</v>
      </c>
    </row>
    <row r="1531" spans="1:9" x14ac:dyDescent="0.2">
      <c r="A1531">
        <f t="shared" si="46"/>
        <v>0</v>
      </c>
      <c r="B1531" s="5">
        <v>2021</v>
      </c>
      <c r="C1531" s="1">
        <v>91913</v>
      </c>
      <c r="D1531" t="s">
        <v>124</v>
      </c>
      <c r="E1531" t="s">
        <v>124</v>
      </c>
      <c r="F1531" s="8" t="s">
        <v>591</v>
      </c>
      <c r="G1531" s="8" t="s">
        <v>591</v>
      </c>
      <c r="H1531" s="5">
        <f t="shared" si="47"/>
        <v>0</v>
      </c>
      <c r="I1531">
        <f>IFERROR(VLOOKUP(D1531,'LEAID Match'!$A$2:$B$251,2,FALSE),"")</f>
        <v>0</v>
      </c>
    </row>
    <row r="1532" spans="1:9" x14ac:dyDescent="0.2">
      <c r="A1532">
        <f t="shared" si="46"/>
        <v>0</v>
      </c>
      <c r="B1532" s="5">
        <v>2022</v>
      </c>
      <c r="C1532" s="1">
        <v>91913</v>
      </c>
      <c r="D1532" t="s">
        <v>124</v>
      </c>
      <c r="E1532" t="s">
        <v>124</v>
      </c>
      <c r="F1532" s="8" t="s">
        <v>591</v>
      </c>
      <c r="G1532" s="8" t="s">
        <v>591</v>
      </c>
      <c r="H1532" s="5">
        <f t="shared" si="47"/>
        <v>0</v>
      </c>
      <c r="I1532">
        <f>IFERROR(VLOOKUP(D1532,'LEAID Match'!$A$2:$B$251,2,FALSE),"")</f>
        <v>0</v>
      </c>
    </row>
    <row r="1533" spans="1:9" x14ac:dyDescent="0.2">
      <c r="A1533">
        <f t="shared" si="46"/>
        <v>0</v>
      </c>
      <c r="B1533" s="5">
        <v>2023</v>
      </c>
      <c r="C1533" s="1">
        <v>91913</v>
      </c>
      <c r="D1533" t="s">
        <v>124</v>
      </c>
      <c r="E1533" t="s">
        <v>124</v>
      </c>
      <c r="F1533" s="8" t="s">
        <v>591</v>
      </c>
      <c r="G1533" s="8" t="s">
        <v>591</v>
      </c>
      <c r="H1533" s="5">
        <f t="shared" si="47"/>
        <v>0</v>
      </c>
      <c r="I1533">
        <f>IFERROR(VLOOKUP(D1533,'LEAID Match'!$A$2:$B$251,2,FALSE),"")</f>
        <v>0</v>
      </c>
    </row>
    <row r="1534" spans="1:9" x14ac:dyDescent="0.2">
      <c r="A1534">
        <f t="shared" si="46"/>
        <v>4703210</v>
      </c>
      <c r="B1534" s="5">
        <v>2015</v>
      </c>
      <c r="C1534" s="1">
        <v>99115</v>
      </c>
      <c r="D1534" t="s">
        <v>368</v>
      </c>
      <c r="E1534" t="s">
        <v>125</v>
      </c>
      <c r="F1534" s="8">
        <v>3238</v>
      </c>
      <c r="G1534" s="8">
        <v>272163</v>
      </c>
      <c r="H1534" s="5">
        <f t="shared" si="47"/>
        <v>275401</v>
      </c>
      <c r="I1534">
        <f>IFERROR(VLOOKUP(D1534,'LEAID Match'!$A$2:$B$251,2,FALSE),"")</f>
        <v>4703210</v>
      </c>
    </row>
    <row r="1535" spans="1:9" x14ac:dyDescent="0.2">
      <c r="A1535">
        <f t="shared" si="46"/>
        <v>4703210</v>
      </c>
      <c r="B1535" s="5">
        <v>2016</v>
      </c>
      <c r="C1535" s="1">
        <v>99115</v>
      </c>
      <c r="D1535" t="s">
        <v>368</v>
      </c>
      <c r="E1535" t="s">
        <v>125</v>
      </c>
      <c r="F1535" s="8">
        <v>8989</v>
      </c>
      <c r="G1535" s="8">
        <v>271750</v>
      </c>
      <c r="H1535" s="5">
        <f t="shared" si="47"/>
        <v>280739</v>
      </c>
      <c r="I1535">
        <f>IFERROR(VLOOKUP(D1535,'LEAID Match'!$A$2:$B$251,2,FALSE),"")</f>
        <v>4703210</v>
      </c>
    </row>
    <row r="1536" spans="1:9" x14ac:dyDescent="0.2">
      <c r="A1536">
        <f t="shared" si="46"/>
        <v>4703210</v>
      </c>
      <c r="B1536" s="5">
        <v>2017</v>
      </c>
      <c r="C1536" s="1">
        <v>99115</v>
      </c>
      <c r="D1536" t="s">
        <v>368</v>
      </c>
      <c r="E1536" t="s">
        <v>368</v>
      </c>
      <c r="F1536" s="8">
        <v>17338</v>
      </c>
      <c r="G1536" s="8">
        <v>258219</v>
      </c>
      <c r="H1536" s="5">
        <f t="shared" si="47"/>
        <v>275557</v>
      </c>
      <c r="I1536">
        <f>IFERROR(VLOOKUP(D1536,'LEAID Match'!$A$2:$B$251,2,FALSE),"")</f>
        <v>4703210</v>
      </c>
    </row>
    <row r="1537" spans="1:9" x14ac:dyDescent="0.2">
      <c r="A1537">
        <f t="shared" si="46"/>
        <v>4703210</v>
      </c>
      <c r="B1537" s="5">
        <v>2018</v>
      </c>
      <c r="C1537" s="1">
        <v>99115</v>
      </c>
      <c r="D1537" t="s">
        <v>368</v>
      </c>
      <c r="E1537" t="s">
        <v>125</v>
      </c>
      <c r="F1537" s="8">
        <v>11865</v>
      </c>
      <c r="G1537" s="8">
        <v>256818</v>
      </c>
      <c r="H1537" s="5">
        <f t="shared" si="47"/>
        <v>268683</v>
      </c>
      <c r="I1537">
        <f>IFERROR(VLOOKUP(D1537,'LEAID Match'!$A$2:$B$251,2,FALSE),"")</f>
        <v>4703210</v>
      </c>
    </row>
    <row r="1538" spans="1:9" x14ac:dyDescent="0.2">
      <c r="A1538">
        <f t="shared" si="46"/>
        <v>4703210</v>
      </c>
      <c r="B1538" s="5">
        <v>2019</v>
      </c>
      <c r="C1538" s="1">
        <v>99115</v>
      </c>
      <c r="D1538" t="s">
        <v>368</v>
      </c>
      <c r="E1538" t="s">
        <v>368</v>
      </c>
      <c r="F1538" s="8">
        <v>6316</v>
      </c>
      <c r="G1538" s="8">
        <v>293463</v>
      </c>
      <c r="H1538" s="5">
        <f t="shared" si="47"/>
        <v>299779</v>
      </c>
      <c r="I1538">
        <f>IFERROR(VLOOKUP(D1538,'LEAID Match'!$A$2:$B$251,2,FALSE),"")</f>
        <v>4703210</v>
      </c>
    </row>
    <row r="1539" spans="1:9" x14ac:dyDescent="0.2">
      <c r="A1539">
        <f t="shared" ref="A1539:A1602" si="48">I1539</f>
        <v>4703210</v>
      </c>
      <c r="B1539" s="5">
        <v>2020</v>
      </c>
      <c r="C1539" s="1">
        <v>99115</v>
      </c>
      <c r="D1539" t="s">
        <v>368</v>
      </c>
      <c r="E1539" t="s">
        <v>368</v>
      </c>
      <c r="F1539" s="8">
        <v>11130</v>
      </c>
      <c r="G1539" s="8">
        <v>284146</v>
      </c>
      <c r="H1539" s="5">
        <f t="shared" ref="H1539:H1602" si="49">SUM(F1539:G1539)</f>
        <v>295276</v>
      </c>
      <c r="I1539">
        <f>IFERROR(VLOOKUP(D1539,'LEAID Match'!$A$2:$B$251,2,FALSE),"")</f>
        <v>4703210</v>
      </c>
    </row>
    <row r="1540" spans="1:9" x14ac:dyDescent="0.2">
      <c r="A1540">
        <f t="shared" si="48"/>
        <v>4703210</v>
      </c>
      <c r="B1540" s="5">
        <v>2021</v>
      </c>
      <c r="C1540" s="1">
        <v>99115</v>
      </c>
      <c r="D1540" t="s">
        <v>368</v>
      </c>
      <c r="E1540" t="s">
        <v>368</v>
      </c>
      <c r="F1540" s="8">
        <v>12830</v>
      </c>
      <c r="G1540" s="8">
        <v>279295</v>
      </c>
      <c r="H1540" s="5">
        <f t="shared" si="49"/>
        <v>292125</v>
      </c>
      <c r="I1540">
        <f>IFERROR(VLOOKUP(D1540,'LEAID Match'!$A$2:$B$251,2,FALSE),"")</f>
        <v>4703210</v>
      </c>
    </row>
    <row r="1541" spans="1:9" x14ac:dyDescent="0.2">
      <c r="A1541">
        <f t="shared" si="48"/>
        <v>4703210</v>
      </c>
      <c r="B1541" s="5">
        <v>2022</v>
      </c>
      <c r="C1541" s="1">
        <v>99115</v>
      </c>
      <c r="D1541" t="s">
        <v>368</v>
      </c>
      <c r="E1541" t="s">
        <v>368</v>
      </c>
      <c r="F1541" s="8">
        <v>14482.4</v>
      </c>
      <c r="G1541" s="8">
        <v>316436.87</v>
      </c>
      <c r="H1541" s="5">
        <f t="shared" si="49"/>
        <v>330919.27</v>
      </c>
      <c r="I1541">
        <f>IFERROR(VLOOKUP(D1541,'LEAID Match'!$A$2:$B$251,2,FALSE),"")</f>
        <v>4703210</v>
      </c>
    </row>
    <row r="1542" spans="1:9" x14ac:dyDescent="0.2">
      <c r="A1542">
        <f t="shared" si="48"/>
        <v>4703210</v>
      </c>
      <c r="B1542" s="5">
        <v>2023</v>
      </c>
      <c r="C1542" s="1">
        <v>99115</v>
      </c>
      <c r="D1542" t="s">
        <v>368</v>
      </c>
      <c r="E1542" t="s">
        <v>368</v>
      </c>
      <c r="F1542" s="8">
        <v>19366.009999999998</v>
      </c>
      <c r="G1542" s="8">
        <v>259545.91</v>
      </c>
      <c r="H1542" s="5">
        <f t="shared" si="49"/>
        <v>278911.92</v>
      </c>
      <c r="I1542">
        <f>IFERROR(VLOOKUP(D1542,'LEAID Match'!$A$2:$B$251,2,FALSE),"")</f>
        <v>4703210</v>
      </c>
    </row>
    <row r="1543" spans="1:9" x14ac:dyDescent="0.2">
      <c r="A1543">
        <f t="shared" si="48"/>
        <v>0</v>
      </c>
      <c r="B1543" s="5">
        <v>2017</v>
      </c>
      <c r="C1543" s="1">
        <v>97963</v>
      </c>
      <c r="D1543" t="s">
        <v>369</v>
      </c>
      <c r="E1543" t="s">
        <v>369</v>
      </c>
      <c r="F1543" s="8">
        <v>8022</v>
      </c>
      <c r="G1543" s="8">
        <v>11767</v>
      </c>
      <c r="H1543" s="5">
        <f t="shared" si="49"/>
        <v>19789</v>
      </c>
      <c r="I1543">
        <f>IFERROR(VLOOKUP(D1543,'LEAID Match'!$A$2:$B$251,2,FALSE),"")</f>
        <v>0</v>
      </c>
    </row>
    <row r="1544" spans="1:9" x14ac:dyDescent="0.2">
      <c r="A1544">
        <f t="shared" si="48"/>
        <v>0</v>
      </c>
      <c r="B1544" s="5">
        <v>2018</v>
      </c>
      <c r="C1544" s="1">
        <v>97963</v>
      </c>
      <c r="D1544" t="s">
        <v>369</v>
      </c>
      <c r="E1544" t="s">
        <v>468</v>
      </c>
      <c r="F1544" s="8" t="s">
        <v>591</v>
      </c>
      <c r="G1544" s="8" t="s">
        <v>591</v>
      </c>
      <c r="H1544" s="5">
        <f t="shared" si="49"/>
        <v>0</v>
      </c>
      <c r="I1544">
        <f>IFERROR(VLOOKUP(D1544,'LEAID Match'!$A$2:$B$251,2,FALSE),"")</f>
        <v>0</v>
      </c>
    </row>
    <row r="1545" spans="1:9" x14ac:dyDescent="0.2">
      <c r="A1545">
        <f t="shared" si="48"/>
        <v>0</v>
      </c>
      <c r="B1545" s="5">
        <v>2019</v>
      </c>
      <c r="C1545" s="1">
        <v>97963</v>
      </c>
      <c r="D1545" t="s">
        <v>369</v>
      </c>
      <c r="E1545" t="s">
        <v>369</v>
      </c>
      <c r="F1545" s="8" t="s">
        <v>591</v>
      </c>
      <c r="G1545" s="8" t="s">
        <v>591</v>
      </c>
      <c r="H1545" s="5">
        <f t="shared" si="49"/>
        <v>0</v>
      </c>
      <c r="I1545">
        <f>IFERROR(VLOOKUP(D1545,'LEAID Match'!$A$2:$B$251,2,FALSE),"")</f>
        <v>0</v>
      </c>
    </row>
    <row r="1546" spans="1:9" x14ac:dyDescent="0.2">
      <c r="A1546">
        <f t="shared" si="48"/>
        <v>0</v>
      </c>
      <c r="B1546" s="5">
        <v>2020</v>
      </c>
      <c r="C1546" s="1">
        <v>97963</v>
      </c>
      <c r="D1546" t="s">
        <v>369</v>
      </c>
      <c r="E1546" t="s">
        <v>369</v>
      </c>
      <c r="F1546" s="8" t="s">
        <v>591</v>
      </c>
      <c r="G1546" s="8" t="s">
        <v>591</v>
      </c>
      <c r="H1546" s="5">
        <f t="shared" si="49"/>
        <v>0</v>
      </c>
      <c r="I1546">
        <f>IFERROR(VLOOKUP(D1546,'LEAID Match'!$A$2:$B$251,2,FALSE),"")</f>
        <v>0</v>
      </c>
    </row>
    <row r="1547" spans="1:9" x14ac:dyDescent="0.2">
      <c r="A1547">
        <f t="shared" si="48"/>
        <v>0</v>
      </c>
      <c r="B1547" s="5">
        <v>2021</v>
      </c>
      <c r="C1547" s="1">
        <v>97963</v>
      </c>
      <c r="D1547" t="s">
        <v>369</v>
      </c>
      <c r="E1547" t="s">
        <v>369</v>
      </c>
      <c r="F1547" s="8" t="s">
        <v>591</v>
      </c>
      <c r="G1547" s="8" t="s">
        <v>591</v>
      </c>
      <c r="H1547" s="5">
        <f t="shared" si="49"/>
        <v>0</v>
      </c>
      <c r="I1547">
        <f>IFERROR(VLOOKUP(D1547,'LEAID Match'!$A$2:$B$251,2,FALSE),"")</f>
        <v>0</v>
      </c>
    </row>
    <row r="1548" spans="1:9" x14ac:dyDescent="0.2">
      <c r="A1548">
        <f t="shared" si="48"/>
        <v>0</v>
      </c>
      <c r="B1548" s="5">
        <v>2022</v>
      </c>
      <c r="C1548" s="1">
        <v>97963</v>
      </c>
      <c r="D1548" t="s">
        <v>369</v>
      </c>
      <c r="E1548" t="s">
        <v>369</v>
      </c>
      <c r="F1548" s="8" t="s">
        <v>591</v>
      </c>
      <c r="G1548" s="8" t="s">
        <v>591</v>
      </c>
      <c r="H1548" s="5">
        <f t="shared" si="49"/>
        <v>0</v>
      </c>
      <c r="I1548">
        <f>IFERROR(VLOOKUP(D1548,'LEAID Match'!$A$2:$B$251,2,FALSE),"")</f>
        <v>0</v>
      </c>
    </row>
    <row r="1549" spans="1:9" x14ac:dyDescent="0.2">
      <c r="A1549">
        <f t="shared" si="48"/>
        <v>0</v>
      </c>
      <c r="B1549" s="5">
        <v>2023</v>
      </c>
      <c r="C1549" s="1">
        <v>97963</v>
      </c>
      <c r="D1549" t="s">
        <v>369</v>
      </c>
      <c r="E1549" t="s">
        <v>369</v>
      </c>
      <c r="F1549" s="8" t="s">
        <v>591</v>
      </c>
      <c r="G1549" s="8" t="s">
        <v>591</v>
      </c>
      <c r="H1549" s="5">
        <f t="shared" si="49"/>
        <v>0</v>
      </c>
      <c r="I1549">
        <f>IFERROR(VLOOKUP(D1549,'LEAID Match'!$A$2:$B$251,2,FALSE),"")</f>
        <v>0</v>
      </c>
    </row>
    <row r="1550" spans="1:9" x14ac:dyDescent="0.2">
      <c r="A1550">
        <f t="shared" si="48"/>
        <v>4703240</v>
      </c>
      <c r="B1550" s="5">
        <v>2015</v>
      </c>
      <c r="C1550" s="1">
        <v>99201</v>
      </c>
      <c r="D1550" t="s">
        <v>370</v>
      </c>
      <c r="E1550" t="s">
        <v>126</v>
      </c>
      <c r="F1550" s="8">
        <v>21828</v>
      </c>
      <c r="G1550" s="8">
        <v>2242495</v>
      </c>
      <c r="H1550" s="5">
        <f t="shared" si="49"/>
        <v>2264323</v>
      </c>
      <c r="I1550">
        <f>IFERROR(VLOOKUP(D1550,'LEAID Match'!$A$2:$B$251,2,FALSE),"")</f>
        <v>4703240</v>
      </c>
    </row>
    <row r="1551" spans="1:9" x14ac:dyDescent="0.2">
      <c r="A1551">
        <f t="shared" si="48"/>
        <v>4703240</v>
      </c>
      <c r="B1551" s="5">
        <v>2016</v>
      </c>
      <c r="C1551" s="1">
        <v>99201</v>
      </c>
      <c r="D1551" t="s">
        <v>370</v>
      </c>
      <c r="E1551" t="s">
        <v>126</v>
      </c>
      <c r="F1551" s="8">
        <v>40461</v>
      </c>
      <c r="G1551" s="8">
        <v>2325785</v>
      </c>
      <c r="H1551" s="5">
        <f t="shared" si="49"/>
        <v>2366246</v>
      </c>
      <c r="I1551">
        <f>IFERROR(VLOOKUP(D1551,'LEAID Match'!$A$2:$B$251,2,FALSE),"")</f>
        <v>4703240</v>
      </c>
    </row>
    <row r="1552" spans="1:9" x14ac:dyDescent="0.2">
      <c r="A1552">
        <f t="shared" si="48"/>
        <v>4703240</v>
      </c>
      <c r="B1552" s="5">
        <v>2017</v>
      </c>
      <c r="C1552" s="1">
        <v>99201</v>
      </c>
      <c r="D1552" t="s">
        <v>370</v>
      </c>
      <c r="E1552" t="s">
        <v>370</v>
      </c>
      <c r="F1552" s="8">
        <v>69808</v>
      </c>
      <c r="G1552" s="8">
        <v>2272700</v>
      </c>
      <c r="H1552" s="5">
        <f t="shared" si="49"/>
        <v>2342508</v>
      </c>
      <c r="I1552">
        <f>IFERROR(VLOOKUP(D1552,'LEAID Match'!$A$2:$B$251,2,FALSE),"")</f>
        <v>4703240</v>
      </c>
    </row>
    <row r="1553" spans="1:9" x14ac:dyDescent="0.2">
      <c r="A1553">
        <f t="shared" si="48"/>
        <v>4703240</v>
      </c>
      <c r="B1553" s="5">
        <v>2018</v>
      </c>
      <c r="C1553" s="1">
        <v>99201</v>
      </c>
      <c r="D1553" t="s">
        <v>370</v>
      </c>
      <c r="E1553" t="s">
        <v>126</v>
      </c>
      <c r="F1553" s="8">
        <v>81110</v>
      </c>
      <c r="G1553" s="8">
        <v>2318372</v>
      </c>
      <c r="H1553" s="5">
        <f t="shared" si="49"/>
        <v>2399482</v>
      </c>
      <c r="I1553">
        <f>IFERROR(VLOOKUP(D1553,'LEAID Match'!$A$2:$B$251,2,FALSE),"")</f>
        <v>4703240</v>
      </c>
    </row>
    <row r="1554" spans="1:9" x14ac:dyDescent="0.2">
      <c r="A1554">
        <f t="shared" si="48"/>
        <v>4703240</v>
      </c>
      <c r="B1554" s="5">
        <v>2019</v>
      </c>
      <c r="C1554" s="1">
        <v>99201</v>
      </c>
      <c r="D1554" t="s">
        <v>370</v>
      </c>
      <c r="E1554" t="s">
        <v>370</v>
      </c>
      <c r="F1554" s="8">
        <v>56518</v>
      </c>
      <c r="G1554" s="8">
        <v>2634278</v>
      </c>
      <c r="H1554" s="5">
        <f t="shared" si="49"/>
        <v>2690796</v>
      </c>
      <c r="I1554">
        <f>IFERROR(VLOOKUP(D1554,'LEAID Match'!$A$2:$B$251,2,FALSE),"")</f>
        <v>4703240</v>
      </c>
    </row>
    <row r="1555" spans="1:9" x14ac:dyDescent="0.2">
      <c r="A1555">
        <f t="shared" si="48"/>
        <v>4703240</v>
      </c>
      <c r="B1555" s="5">
        <v>2020</v>
      </c>
      <c r="C1555" s="1">
        <v>99201</v>
      </c>
      <c r="D1555" t="s">
        <v>370</v>
      </c>
      <c r="E1555" t="s">
        <v>370</v>
      </c>
      <c r="F1555" s="8">
        <v>74306</v>
      </c>
      <c r="G1555" s="8">
        <v>2722608</v>
      </c>
      <c r="H1555" s="5">
        <f t="shared" si="49"/>
        <v>2796914</v>
      </c>
      <c r="I1555">
        <f>IFERROR(VLOOKUP(D1555,'LEAID Match'!$A$2:$B$251,2,FALSE),"")</f>
        <v>4703240</v>
      </c>
    </row>
    <row r="1556" spans="1:9" x14ac:dyDescent="0.2">
      <c r="A1556">
        <f t="shared" si="48"/>
        <v>4703240</v>
      </c>
      <c r="B1556" s="5">
        <v>2021</v>
      </c>
      <c r="C1556" s="1">
        <v>99201</v>
      </c>
      <c r="D1556" t="s">
        <v>370</v>
      </c>
      <c r="E1556" t="s">
        <v>370</v>
      </c>
      <c r="F1556" s="8">
        <v>87347</v>
      </c>
      <c r="G1556" s="8">
        <v>2692938</v>
      </c>
      <c r="H1556" s="5">
        <f t="shared" si="49"/>
        <v>2780285</v>
      </c>
      <c r="I1556">
        <f>IFERROR(VLOOKUP(D1556,'LEAID Match'!$A$2:$B$251,2,FALSE),"")</f>
        <v>4703240</v>
      </c>
    </row>
    <row r="1557" spans="1:9" x14ac:dyDescent="0.2">
      <c r="A1557">
        <f t="shared" si="48"/>
        <v>4703240</v>
      </c>
      <c r="B1557" s="5">
        <v>2022</v>
      </c>
      <c r="C1557" s="1">
        <v>99201</v>
      </c>
      <c r="D1557" t="s">
        <v>370</v>
      </c>
      <c r="E1557" t="s">
        <v>370</v>
      </c>
      <c r="F1557" s="8">
        <v>111500.46</v>
      </c>
      <c r="G1557" s="8">
        <v>2690230.19</v>
      </c>
      <c r="H1557" s="5">
        <f t="shared" si="49"/>
        <v>2801730.65</v>
      </c>
      <c r="I1557">
        <f>IFERROR(VLOOKUP(D1557,'LEAID Match'!$A$2:$B$251,2,FALSE),"")</f>
        <v>4703240</v>
      </c>
    </row>
    <row r="1558" spans="1:9" x14ac:dyDescent="0.2">
      <c r="A1558">
        <f t="shared" si="48"/>
        <v>4703240</v>
      </c>
      <c r="B1558" s="5">
        <v>2023</v>
      </c>
      <c r="C1558" s="1">
        <v>99201</v>
      </c>
      <c r="D1558" t="s">
        <v>370</v>
      </c>
      <c r="E1558" t="s">
        <v>370</v>
      </c>
      <c r="F1558" s="8">
        <v>199628.4</v>
      </c>
      <c r="G1558" s="8">
        <v>2303868.64</v>
      </c>
      <c r="H1558" s="5">
        <f t="shared" si="49"/>
        <v>2503497.04</v>
      </c>
      <c r="I1558">
        <f>IFERROR(VLOOKUP(D1558,'LEAID Match'!$A$2:$B$251,2,FALSE),"")</f>
        <v>4703240</v>
      </c>
    </row>
    <row r="1559" spans="1:9" x14ac:dyDescent="0.2">
      <c r="A1559">
        <f t="shared" si="48"/>
        <v>4703270</v>
      </c>
      <c r="B1559" s="5">
        <v>2015</v>
      </c>
      <c r="C1559" s="1">
        <v>99066</v>
      </c>
      <c r="D1559" t="s">
        <v>371</v>
      </c>
      <c r="E1559" t="s">
        <v>127</v>
      </c>
      <c r="F1559" s="8">
        <v>16192</v>
      </c>
      <c r="G1559" s="8">
        <v>1211251</v>
      </c>
      <c r="H1559" s="5">
        <f t="shared" si="49"/>
        <v>1227443</v>
      </c>
      <c r="I1559">
        <f>IFERROR(VLOOKUP(D1559,'LEAID Match'!$A$2:$B$251,2,FALSE),"")</f>
        <v>4703270</v>
      </c>
    </row>
    <row r="1560" spans="1:9" x14ac:dyDescent="0.2">
      <c r="A1560">
        <f t="shared" si="48"/>
        <v>4703270</v>
      </c>
      <c r="B1560" s="5">
        <v>2016</v>
      </c>
      <c r="C1560" s="1">
        <v>99066</v>
      </c>
      <c r="D1560" t="s">
        <v>371</v>
      </c>
      <c r="E1560" t="s">
        <v>127</v>
      </c>
      <c r="F1560" s="8">
        <v>38296</v>
      </c>
      <c r="G1560" s="8">
        <v>1160221</v>
      </c>
      <c r="H1560" s="5">
        <f t="shared" si="49"/>
        <v>1198517</v>
      </c>
      <c r="I1560">
        <f>IFERROR(VLOOKUP(D1560,'LEAID Match'!$A$2:$B$251,2,FALSE),"")</f>
        <v>4703270</v>
      </c>
    </row>
    <row r="1561" spans="1:9" x14ac:dyDescent="0.2">
      <c r="A1561">
        <f t="shared" si="48"/>
        <v>4703270</v>
      </c>
      <c r="B1561" s="5">
        <v>2017</v>
      </c>
      <c r="C1561" s="1">
        <v>99066</v>
      </c>
      <c r="D1561" t="s">
        <v>371</v>
      </c>
      <c r="E1561" t="s">
        <v>371</v>
      </c>
      <c r="F1561" s="8">
        <v>53544</v>
      </c>
      <c r="G1561" s="8">
        <v>1167284</v>
      </c>
      <c r="H1561" s="5">
        <f t="shared" si="49"/>
        <v>1220828</v>
      </c>
      <c r="I1561">
        <f>IFERROR(VLOOKUP(D1561,'LEAID Match'!$A$2:$B$251,2,FALSE),"")</f>
        <v>4703270</v>
      </c>
    </row>
    <row r="1562" spans="1:9" x14ac:dyDescent="0.2">
      <c r="A1562">
        <f t="shared" si="48"/>
        <v>4703270</v>
      </c>
      <c r="B1562" s="5">
        <v>2018</v>
      </c>
      <c r="C1562" s="1">
        <v>99066</v>
      </c>
      <c r="D1562" t="s">
        <v>371</v>
      </c>
      <c r="E1562" t="s">
        <v>127</v>
      </c>
      <c r="F1562" s="8">
        <v>66369</v>
      </c>
      <c r="G1562" s="8">
        <v>1135009</v>
      </c>
      <c r="H1562" s="5">
        <f t="shared" si="49"/>
        <v>1201378</v>
      </c>
      <c r="I1562">
        <f>IFERROR(VLOOKUP(D1562,'LEAID Match'!$A$2:$B$251,2,FALSE),"")</f>
        <v>4703270</v>
      </c>
    </row>
    <row r="1563" spans="1:9" x14ac:dyDescent="0.2">
      <c r="A1563">
        <f t="shared" si="48"/>
        <v>4703270</v>
      </c>
      <c r="B1563" s="5">
        <v>2019</v>
      </c>
      <c r="C1563" s="1">
        <v>99066</v>
      </c>
      <c r="D1563" t="s">
        <v>371</v>
      </c>
      <c r="E1563" t="s">
        <v>371</v>
      </c>
      <c r="F1563" s="8">
        <v>39432</v>
      </c>
      <c r="G1563" s="8">
        <v>1252864</v>
      </c>
      <c r="H1563" s="5">
        <f t="shared" si="49"/>
        <v>1292296</v>
      </c>
      <c r="I1563">
        <f>IFERROR(VLOOKUP(D1563,'LEAID Match'!$A$2:$B$251,2,FALSE),"")</f>
        <v>4703270</v>
      </c>
    </row>
    <row r="1564" spans="1:9" x14ac:dyDescent="0.2">
      <c r="A1564">
        <f t="shared" si="48"/>
        <v>4703270</v>
      </c>
      <c r="B1564" s="5">
        <v>2020</v>
      </c>
      <c r="C1564" s="1">
        <v>99066</v>
      </c>
      <c r="D1564" t="s">
        <v>371</v>
      </c>
      <c r="E1564" t="s">
        <v>371</v>
      </c>
      <c r="F1564" s="8">
        <v>54040.04</v>
      </c>
      <c r="G1564" s="8">
        <v>1238948</v>
      </c>
      <c r="H1564" s="5">
        <f t="shared" si="49"/>
        <v>1292988.04</v>
      </c>
      <c r="I1564">
        <f>IFERROR(VLOOKUP(D1564,'LEAID Match'!$A$2:$B$251,2,FALSE),"")</f>
        <v>4703270</v>
      </c>
    </row>
    <row r="1565" spans="1:9" x14ac:dyDescent="0.2">
      <c r="A1565">
        <f t="shared" si="48"/>
        <v>4703270</v>
      </c>
      <c r="B1565" s="5">
        <v>2021</v>
      </c>
      <c r="C1565" s="1">
        <v>99066</v>
      </c>
      <c r="D1565" t="s">
        <v>371</v>
      </c>
      <c r="E1565" t="s">
        <v>371</v>
      </c>
      <c r="F1565" s="8">
        <v>69822</v>
      </c>
      <c r="G1565" s="8">
        <v>1193004</v>
      </c>
      <c r="H1565" s="5">
        <f t="shared" si="49"/>
        <v>1262826</v>
      </c>
      <c r="I1565">
        <f>IFERROR(VLOOKUP(D1565,'LEAID Match'!$A$2:$B$251,2,FALSE),"")</f>
        <v>4703270</v>
      </c>
    </row>
    <row r="1566" spans="1:9" x14ac:dyDescent="0.2">
      <c r="A1566">
        <f t="shared" si="48"/>
        <v>4703270</v>
      </c>
      <c r="B1566" s="5">
        <v>2022</v>
      </c>
      <c r="C1566" s="1">
        <v>99066</v>
      </c>
      <c r="D1566" t="s">
        <v>371</v>
      </c>
      <c r="E1566" t="s">
        <v>371</v>
      </c>
      <c r="F1566" s="8">
        <v>91679.2</v>
      </c>
      <c r="G1566" s="8">
        <v>1217205.57</v>
      </c>
      <c r="H1566" s="5">
        <f t="shared" si="49"/>
        <v>1308884.77</v>
      </c>
      <c r="I1566">
        <f>IFERROR(VLOOKUP(D1566,'LEAID Match'!$A$2:$B$251,2,FALSE),"")</f>
        <v>4703270</v>
      </c>
    </row>
    <row r="1567" spans="1:9" x14ac:dyDescent="0.2">
      <c r="A1567">
        <f t="shared" si="48"/>
        <v>4703270</v>
      </c>
      <c r="B1567" s="5">
        <v>2023</v>
      </c>
      <c r="C1567" s="1">
        <v>99066</v>
      </c>
      <c r="D1567" t="s">
        <v>371</v>
      </c>
      <c r="E1567" t="s">
        <v>371</v>
      </c>
      <c r="F1567" s="8">
        <v>153802.76999999999</v>
      </c>
      <c r="G1567" s="8">
        <v>978813.56</v>
      </c>
      <c r="H1567" s="5">
        <f t="shared" si="49"/>
        <v>1132616.33</v>
      </c>
      <c r="I1567">
        <f>IFERROR(VLOOKUP(D1567,'LEAID Match'!$A$2:$B$251,2,FALSE),"")</f>
        <v>4703270</v>
      </c>
    </row>
    <row r="1568" spans="1:9" x14ac:dyDescent="0.2">
      <c r="A1568">
        <f t="shared" si="48"/>
        <v>0</v>
      </c>
      <c r="B1568" s="5">
        <v>2015</v>
      </c>
      <c r="C1568" s="1">
        <v>97942</v>
      </c>
      <c r="D1568" t="s">
        <v>529</v>
      </c>
      <c r="E1568" t="s">
        <v>469</v>
      </c>
      <c r="F1568" s="8">
        <v>3249</v>
      </c>
      <c r="G1568" s="8">
        <v>37094</v>
      </c>
      <c r="H1568" s="5">
        <f t="shared" si="49"/>
        <v>40343</v>
      </c>
      <c r="I1568">
        <f>IFERROR(VLOOKUP(D1568,'LEAID Match'!$A$2:$B$251,2,FALSE),"")</f>
        <v>0</v>
      </c>
    </row>
    <row r="1569" spans="1:9" x14ac:dyDescent="0.2">
      <c r="A1569">
        <f t="shared" si="48"/>
        <v>0</v>
      </c>
      <c r="B1569" s="5">
        <v>2016</v>
      </c>
      <c r="C1569" s="1">
        <v>97942</v>
      </c>
      <c r="D1569" t="s">
        <v>529</v>
      </c>
      <c r="E1569" t="s">
        <v>195</v>
      </c>
      <c r="F1569" s="8">
        <v>9451</v>
      </c>
      <c r="G1569" s="8">
        <v>22309</v>
      </c>
      <c r="H1569" s="5">
        <f t="shared" si="49"/>
        <v>31760</v>
      </c>
      <c r="I1569">
        <f>IFERROR(VLOOKUP(D1569,'LEAID Match'!$A$2:$B$251,2,FALSE),"")</f>
        <v>0</v>
      </c>
    </row>
    <row r="1570" spans="1:9" x14ac:dyDescent="0.2">
      <c r="A1570">
        <f t="shared" si="48"/>
        <v>0</v>
      </c>
      <c r="B1570" s="5">
        <v>2017</v>
      </c>
      <c r="C1570" s="1">
        <v>97942</v>
      </c>
      <c r="D1570" t="s">
        <v>529</v>
      </c>
      <c r="E1570" t="s">
        <v>372</v>
      </c>
      <c r="F1570" s="8">
        <v>886</v>
      </c>
      <c r="G1570" s="8">
        <v>1752</v>
      </c>
      <c r="H1570" s="5">
        <f t="shared" si="49"/>
        <v>2638</v>
      </c>
      <c r="I1570">
        <f>IFERROR(VLOOKUP(D1570,'LEAID Match'!$A$2:$B$251,2,FALSE),"")</f>
        <v>0</v>
      </c>
    </row>
    <row r="1571" spans="1:9" x14ac:dyDescent="0.2">
      <c r="A1571">
        <f t="shared" si="48"/>
        <v>0</v>
      </c>
      <c r="B1571" s="5">
        <v>2018</v>
      </c>
      <c r="C1571" s="1">
        <v>97942</v>
      </c>
      <c r="D1571" t="s">
        <v>529</v>
      </c>
      <c r="E1571" t="s">
        <v>469</v>
      </c>
      <c r="F1571" s="8" t="s">
        <v>591</v>
      </c>
      <c r="G1571" s="8" t="s">
        <v>591</v>
      </c>
      <c r="H1571" s="5">
        <f t="shared" si="49"/>
        <v>0</v>
      </c>
      <c r="I1571">
        <f>IFERROR(VLOOKUP(D1571,'LEAID Match'!$A$2:$B$251,2,FALSE),"")</f>
        <v>0</v>
      </c>
    </row>
    <row r="1572" spans="1:9" x14ac:dyDescent="0.2">
      <c r="A1572">
        <f t="shared" si="48"/>
        <v>0</v>
      </c>
      <c r="B1572" s="5">
        <v>2019</v>
      </c>
      <c r="C1572" s="1">
        <v>97942</v>
      </c>
      <c r="D1572" t="s">
        <v>529</v>
      </c>
      <c r="E1572" t="s">
        <v>372</v>
      </c>
      <c r="F1572" s="8" t="s">
        <v>591</v>
      </c>
      <c r="G1572" s="8" t="s">
        <v>591</v>
      </c>
      <c r="H1572" s="5">
        <f t="shared" si="49"/>
        <v>0</v>
      </c>
      <c r="I1572">
        <f>IFERROR(VLOOKUP(D1572,'LEAID Match'!$A$2:$B$251,2,FALSE),"")</f>
        <v>0</v>
      </c>
    </row>
    <row r="1573" spans="1:9" x14ac:dyDescent="0.2">
      <c r="A1573">
        <f t="shared" si="48"/>
        <v>0</v>
      </c>
      <c r="B1573" s="5">
        <v>2020</v>
      </c>
      <c r="C1573" s="1">
        <v>97942</v>
      </c>
      <c r="D1573" t="s">
        <v>529</v>
      </c>
      <c r="E1573" t="s">
        <v>372</v>
      </c>
      <c r="F1573" s="8" t="s">
        <v>591</v>
      </c>
      <c r="G1573" s="8" t="s">
        <v>591</v>
      </c>
      <c r="H1573" s="5">
        <f t="shared" si="49"/>
        <v>0</v>
      </c>
      <c r="I1573">
        <f>IFERROR(VLOOKUP(D1573,'LEAID Match'!$A$2:$B$251,2,FALSE),"")</f>
        <v>0</v>
      </c>
    </row>
    <row r="1574" spans="1:9" x14ac:dyDescent="0.2">
      <c r="A1574">
        <f t="shared" si="48"/>
        <v>0</v>
      </c>
      <c r="B1574" s="5">
        <v>2021</v>
      </c>
      <c r="C1574" s="1">
        <v>97942</v>
      </c>
      <c r="D1574" t="s">
        <v>529</v>
      </c>
      <c r="E1574" t="s">
        <v>372</v>
      </c>
      <c r="F1574" s="8" t="s">
        <v>591</v>
      </c>
      <c r="G1574" s="8" t="s">
        <v>591</v>
      </c>
      <c r="H1574" s="5">
        <f t="shared" si="49"/>
        <v>0</v>
      </c>
      <c r="I1574">
        <f>IFERROR(VLOOKUP(D1574,'LEAID Match'!$A$2:$B$251,2,FALSE),"")</f>
        <v>0</v>
      </c>
    </row>
    <row r="1575" spans="1:9" x14ac:dyDescent="0.2">
      <c r="A1575">
        <f t="shared" si="48"/>
        <v>0</v>
      </c>
      <c r="B1575" s="5">
        <v>2022</v>
      </c>
      <c r="C1575" s="1">
        <v>97942</v>
      </c>
      <c r="D1575" t="s">
        <v>529</v>
      </c>
      <c r="E1575" t="s">
        <v>372</v>
      </c>
      <c r="F1575" s="8" t="s">
        <v>591</v>
      </c>
      <c r="G1575" s="8" t="s">
        <v>591</v>
      </c>
      <c r="H1575" s="5">
        <f t="shared" si="49"/>
        <v>0</v>
      </c>
      <c r="I1575">
        <f>IFERROR(VLOOKUP(D1575,'LEAID Match'!$A$2:$B$251,2,FALSE),"")</f>
        <v>0</v>
      </c>
    </row>
    <row r="1576" spans="1:9" x14ac:dyDescent="0.2">
      <c r="A1576">
        <f t="shared" si="48"/>
        <v>0</v>
      </c>
      <c r="B1576" s="5">
        <v>2023</v>
      </c>
      <c r="C1576" s="1">
        <v>97942</v>
      </c>
      <c r="D1576" t="s">
        <v>529</v>
      </c>
      <c r="E1576" t="s">
        <v>529</v>
      </c>
      <c r="F1576" s="8" t="s">
        <v>591</v>
      </c>
      <c r="G1576" s="8" t="s">
        <v>591</v>
      </c>
      <c r="H1576" s="5">
        <f t="shared" si="49"/>
        <v>0</v>
      </c>
      <c r="I1576">
        <f>IFERROR(VLOOKUP(D1576,'LEAID Match'!$A$2:$B$251,2,FALSE),"")</f>
        <v>0</v>
      </c>
    </row>
    <row r="1577" spans="1:9" x14ac:dyDescent="0.2">
      <c r="A1577">
        <f t="shared" si="48"/>
        <v>0</v>
      </c>
      <c r="B1577" s="5">
        <v>2015</v>
      </c>
      <c r="C1577" s="1">
        <v>97943</v>
      </c>
      <c r="D1577" t="s">
        <v>530</v>
      </c>
      <c r="E1577" t="s">
        <v>470</v>
      </c>
      <c r="F1577" s="8">
        <v>1624</v>
      </c>
      <c r="G1577" s="8">
        <v>28367</v>
      </c>
      <c r="H1577" s="5">
        <f t="shared" si="49"/>
        <v>29991</v>
      </c>
      <c r="I1577">
        <f>IFERROR(VLOOKUP(D1577,'LEAID Match'!$A$2:$B$251,2,FALSE),"")</f>
        <v>0</v>
      </c>
    </row>
    <row r="1578" spans="1:9" x14ac:dyDescent="0.2">
      <c r="A1578">
        <f t="shared" si="48"/>
        <v>0</v>
      </c>
      <c r="B1578" s="5">
        <v>2016</v>
      </c>
      <c r="C1578" s="1">
        <v>97943</v>
      </c>
      <c r="D1578" t="s">
        <v>530</v>
      </c>
      <c r="E1578" t="s">
        <v>196</v>
      </c>
      <c r="F1578" s="8">
        <v>4771</v>
      </c>
      <c r="G1578" s="8">
        <v>28230</v>
      </c>
      <c r="H1578" s="5">
        <f t="shared" si="49"/>
        <v>33001</v>
      </c>
      <c r="I1578">
        <f>IFERROR(VLOOKUP(D1578,'LEAID Match'!$A$2:$B$251,2,FALSE),"")</f>
        <v>0</v>
      </c>
    </row>
    <row r="1579" spans="1:9" x14ac:dyDescent="0.2">
      <c r="A1579">
        <f t="shared" si="48"/>
        <v>0</v>
      </c>
      <c r="B1579" s="5">
        <v>2017</v>
      </c>
      <c r="C1579" s="1">
        <v>97943</v>
      </c>
      <c r="D1579" t="s">
        <v>530</v>
      </c>
      <c r="E1579" t="s">
        <v>373</v>
      </c>
      <c r="F1579" s="8">
        <v>420</v>
      </c>
      <c r="G1579" s="8">
        <v>2354</v>
      </c>
      <c r="H1579" s="5">
        <f t="shared" si="49"/>
        <v>2774</v>
      </c>
      <c r="I1579">
        <f>IFERROR(VLOOKUP(D1579,'LEAID Match'!$A$2:$B$251,2,FALSE),"")</f>
        <v>0</v>
      </c>
    </row>
    <row r="1580" spans="1:9" x14ac:dyDescent="0.2">
      <c r="A1580">
        <f t="shared" si="48"/>
        <v>0</v>
      </c>
      <c r="B1580" s="5">
        <v>2018</v>
      </c>
      <c r="C1580" s="1">
        <v>97943</v>
      </c>
      <c r="D1580" t="s">
        <v>530</v>
      </c>
      <c r="E1580" t="s">
        <v>470</v>
      </c>
      <c r="F1580" s="8" t="s">
        <v>591</v>
      </c>
      <c r="G1580" s="8" t="s">
        <v>591</v>
      </c>
      <c r="H1580" s="5">
        <f t="shared" si="49"/>
        <v>0</v>
      </c>
      <c r="I1580">
        <f>IFERROR(VLOOKUP(D1580,'LEAID Match'!$A$2:$B$251,2,FALSE),"")</f>
        <v>0</v>
      </c>
    </row>
    <row r="1581" spans="1:9" x14ac:dyDescent="0.2">
      <c r="A1581">
        <f t="shared" si="48"/>
        <v>0</v>
      </c>
      <c r="B1581" s="5">
        <v>2019</v>
      </c>
      <c r="C1581" s="1">
        <v>97943</v>
      </c>
      <c r="D1581" t="s">
        <v>530</v>
      </c>
      <c r="E1581" t="s">
        <v>373</v>
      </c>
      <c r="F1581" s="8" t="s">
        <v>591</v>
      </c>
      <c r="G1581" s="8" t="s">
        <v>591</v>
      </c>
      <c r="H1581" s="5">
        <f t="shared" si="49"/>
        <v>0</v>
      </c>
      <c r="I1581">
        <f>IFERROR(VLOOKUP(D1581,'LEAID Match'!$A$2:$B$251,2,FALSE),"")</f>
        <v>0</v>
      </c>
    </row>
    <row r="1582" spans="1:9" x14ac:dyDescent="0.2">
      <c r="A1582">
        <f t="shared" si="48"/>
        <v>0</v>
      </c>
      <c r="B1582" s="5">
        <v>2020</v>
      </c>
      <c r="C1582" s="1">
        <v>97943</v>
      </c>
      <c r="D1582" t="s">
        <v>530</v>
      </c>
      <c r="E1582" t="s">
        <v>373</v>
      </c>
      <c r="F1582" s="8" t="s">
        <v>591</v>
      </c>
      <c r="G1582" s="8" t="s">
        <v>591</v>
      </c>
      <c r="H1582" s="5">
        <f t="shared" si="49"/>
        <v>0</v>
      </c>
      <c r="I1582">
        <f>IFERROR(VLOOKUP(D1582,'LEAID Match'!$A$2:$B$251,2,FALSE),"")</f>
        <v>0</v>
      </c>
    </row>
    <row r="1583" spans="1:9" x14ac:dyDescent="0.2">
      <c r="A1583">
        <f t="shared" si="48"/>
        <v>0</v>
      </c>
      <c r="B1583" s="5">
        <v>2021</v>
      </c>
      <c r="C1583" s="1">
        <v>97943</v>
      </c>
      <c r="D1583" t="s">
        <v>530</v>
      </c>
      <c r="E1583" t="s">
        <v>373</v>
      </c>
      <c r="F1583" s="8" t="s">
        <v>591</v>
      </c>
      <c r="G1583" s="8" t="s">
        <v>591</v>
      </c>
      <c r="H1583" s="5">
        <f t="shared" si="49"/>
        <v>0</v>
      </c>
      <c r="I1583">
        <f>IFERROR(VLOOKUP(D1583,'LEAID Match'!$A$2:$B$251,2,FALSE),"")</f>
        <v>0</v>
      </c>
    </row>
    <row r="1584" spans="1:9" x14ac:dyDescent="0.2">
      <c r="A1584">
        <f t="shared" si="48"/>
        <v>0</v>
      </c>
      <c r="B1584" s="5">
        <v>2022</v>
      </c>
      <c r="C1584" s="1">
        <v>97943</v>
      </c>
      <c r="D1584" t="s">
        <v>530</v>
      </c>
      <c r="E1584" t="s">
        <v>373</v>
      </c>
      <c r="F1584" s="8" t="s">
        <v>591</v>
      </c>
      <c r="G1584" s="8" t="s">
        <v>591</v>
      </c>
      <c r="H1584" s="5">
        <f t="shared" si="49"/>
        <v>0</v>
      </c>
      <c r="I1584">
        <f>IFERROR(VLOOKUP(D1584,'LEAID Match'!$A$2:$B$251,2,FALSE),"")</f>
        <v>0</v>
      </c>
    </row>
    <row r="1585" spans="1:9" x14ac:dyDescent="0.2">
      <c r="A1585">
        <f t="shared" si="48"/>
        <v>0</v>
      </c>
      <c r="B1585" s="5">
        <v>2023</v>
      </c>
      <c r="C1585" s="1">
        <v>97943</v>
      </c>
      <c r="D1585" t="s">
        <v>530</v>
      </c>
      <c r="E1585" t="s">
        <v>530</v>
      </c>
      <c r="F1585" s="8" t="s">
        <v>591</v>
      </c>
      <c r="G1585" s="8" t="s">
        <v>591</v>
      </c>
      <c r="H1585" s="5">
        <f t="shared" si="49"/>
        <v>0</v>
      </c>
      <c r="I1585">
        <f>IFERROR(VLOOKUP(D1585,'LEAID Match'!$A$2:$B$251,2,FALSE),"")</f>
        <v>0</v>
      </c>
    </row>
    <row r="1586" spans="1:9" x14ac:dyDescent="0.2">
      <c r="A1586">
        <f t="shared" si="48"/>
        <v>4703300</v>
      </c>
      <c r="B1586" s="5">
        <v>2015</v>
      </c>
      <c r="C1586" s="1">
        <v>99176</v>
      </c>
      <c r="D1586" t="s">
        <v>374</v>
      </c>
      <c r="E1586" t="s">
        <v>128</v>
      </c>
      <c r="F1586" s="8">
        <v>1509</v>
      </c>
      <c r="G1586" s="8">
        <v>390266</v>
      </c>
      <c r="H1586" s="5">
        <f t="shared" si="49"/>
        <v>391775</v>
      </c>
      <c r="I1586">
        <f>IFERROR(VLOOKUP(D1586,'LEAID Match'!$A$2:$B$251,2,FALSE),"")</f>
        <v>4703300</v>
      </c>
    </row>
    <row r="1587" spans="1:9" x14ac:dyDescent="0.2">
      <c r="A1587">
        <f t="shared" si="48"/>
        <v>4703300</v>
      </c>
      <c r="B1587" s="5">
        <v>2016</v>
      </c>
      <c r="C1587" s="1">
        <v>99176</v>
      </c>
      <c r="D1587" t="s">
        <v>374</v>
      </c>
      <c r="E1587" t="s">
        <v>128</v>
      </c>
      <c r="F1587" s="8">
        <v>10422</v>
      </c>
      <c r="G1587" s="8">
        <v>410989</v>
      </c>
      <c r="H1587" s="5">
        <f t="shared" si="49"/>
        <v>421411</v>
      </c>
      <c r="I1587">
        <f>IFERROR(VLOOKUP(D1587,'LEAID Match'!$A$2:$B$251,2,FALSE),"")</f>
        <v>4703300</v>
      </c>
    </row>
    <row r="1588" spans="1:9" x14ac:dyDescent="0.2">
      <c r="A1588">
        <f t="shared" si="48"/>
        <v>4703300</v>
      </c>
      <c r="B1588" s="5">
        <v>2017</v>
      </c>
      <c r="C1588" s="1">
        <v>99176</v>
      </c>
      <c r="D1588" t="s">
        <v>374</v>
      </c>
      <c r="E1588" t="s">
        <v>374</v>
      </c>
      <c r="F1588" s="8">
        <v>18216</v>
      </c>
      <c r="G1588" s="8">
        <v>417255</v>
      </c>
      <c r="H1588" s="5">
        <f t="shared" si="49"/>
        <v>435471</v>
      </c>
      <c r="I1588">
        <f>IFERROR(VLOOKUP(D1588,'LEAID Match'!$A$2:$B$251,2,FALSE),"")</f>
        <v>4703300</v>
      </c>
    </row>
    <row r="1589" spans="1:9" x14ac:dyDescent="0.2">
      <c r="A1589">
        <f t="shared" si="48"/>
        <v>4703300</v>
      </c>
      <c r="B1589" s="5">
        <v>2018</v>
      </c>
      <c r="C1589" s="1">
        <v>99176</v>
      </c>
      <c r="D1589" t="s">
        <v>374</v>
      </c>
      <c r="E1589" t="s">
        <v>128</v>
      </c>
      <c r="F1589" s="8">
        <v>23069</v>
      </c>
      <c r="G1589" s="8">
        <v>414199</v>
      </c>
      <c r="H1589" s="5">
        <f t="shared" si="49"/>
        <v>437268</v>
      </c>
      <c r="I1589">
        <f>IFERROR(VLOOKUP(D1589,'LEAID Match'!$A$2:$B$251,2,FALSE),"")</f>
        <v>4703300</v>
      </c>
    </row>
    <row r="1590" spans="1:9" x14ac:dyDescent="0.2">
      <c r="A1590">
        <f t="shared" si="48"/>
        <v>4703300</v>
      </c>
      <c r="B1590" s="5">
        <v>2019</v>
      </c>
      <c r="C1590" s="1">
        <v>99176</v>
      </c>
      <c r="D1590" t="s">
        <v>374</v>
      </c>
      <c r="E1590" t="s">
        <v>374</v>
      </c>
      <c r="F1590" s="8">
        <v>11886</v>
      </c>
      <c r="G1590" s="8">
        <v>513884</v>
      </c>
      <c r="H1590" s="5">
        <f t="shared" si="49"/>
        <v>525770</v>
      </c>
      <c r="I1590">
        <f>IFERROR(VLOOKUP(D1590,'LEAID Match'!$A$2:$B$251,2,FALSE),"")</f>
        <v>4703300</v>
      </c>
    </row>
    <row r="1591" spans="1:9" x14ac:dyDescent="0.2">
      <c r="A1591">
        <f t="shared" si="48"/>
        <v>4703300</v>
      </c>
      <c r="B1591" s="5">
        <v>2020</v>
      </c>
      <c r="C1591" s="1">
        <v>99176</v>
      </c>
      <c r="D1591" t="s">
        <v>374</v>
      </c>
      <c r="E1591" t="s">
        <v>374</v>
      </c>
      <c r="F1591" s="8">
        <v>14510</v>
      </c>
      <c r="G1591" s="8">
        <v>488669</v>
      </c>
      <c r="H1591" s="5">
        <f t="shared" si="49"/>
        <v>503179</v>
      </c>
      <c r="I1591">
        <f>IFERROR(VLOOKUP(D1591,'LEAID Match'!$A$2:$B$251,2,FALSE),"")</f>
        <v>4703300</v>
      </c>
    </row>
    <row r="1592" spans="1:9" x14ac:dyDescent="0.2">
      <c r="A1592">
        <f t="shared" si="48"/>
        <v>4703300</v>
      </c>
      <c r="B1592" s="5">
        <v>2021</v>
      </c>
      <c r="C1592" s="1">
        <v>99176</v>
      </c>
      <c r="D1592" t="s">
        <v>374</v>
      </c>
      <c r="E1592" t="s">
        <v>374</v>
      </c>
      <c r="F1592" s="8">
        <v>18035</v>
      </c>
      <c r="G1592" s="8">
        <v>453641</v>
      </c>
      <c r="H1592" s="5">
        <f t="shared" si="49"/>
        <v>471676</v>
      </c>
      <c r="I1592">
        <f>IFERROR(VLOOKUP(D1592,'LEAID Match'!$A$2:$B$251,2,FALSE),"")</f>
        <v>4703300</v>
      </c>
    </row>
    <row r="1593" spans="1:9" x14ac:dyDescent="0.2">
      <c r="A1593">
        <f t="shared" si="48"/>
        <v>4703300</v>
      </c>
      <c r="B1593" s="5">
        <v>2022</v>
      </c>
      <c r="C1593" s="1">
        <v>99176</v>
      </c>
      <c r="D1593" t="s">
        <v>374</v>
      </c>
      <c r="E1593" t="s">
        <v>374</v>
      </c>
      <c r="F1593" s="8">
        <v>23783.73</v>
      </c>
      <c r="G1593" s="8">
        <v>457595.31</v>
      </c>
      <c r="H1593" s="5">
        <f t="shared" si="49"/>
        <v>481379.04</v>
      </c>
      <c r="I1593">
        <f>IFERROR(VLOOKUP(D1593,'LEAID Match'!$A$2:$B$251,2,FALSE),"")</f>
        <v>4703300</v>
      </c>
    </row>
    <row r="1594" spans="1:9" x14ac:dyDescent="0.2">
      <c r="A1594">
        <f t="shared" si="48"/>
        <v>4703300</v>
      </c>
      <c r="B1594" s="5">
        <v>2023</v>
      </c>
      <c r="C1594" s="1">
        <v>99176</v>
      </c>
      <c r="D1594" t="s">
        <v>374</v>
      </c>
      <c r="E1594" t="s">
        <v>374</v>
      </c>
      <c r="F1594" s="8">
        <v>47640.66</v>
      </c>
      <c r="G1594" s="8">
        <v>373244.49</v>
      </c>
      <c r="H1594" s="5">
        <f t="shared" si="49"/>
        <v>420885.15</v>
      </c>
      <c r="I1594">
        <f>IFERROR(VLOOKUP(D1594,'LEAID Match'!$A$2:$B$251,2,FALSE),"")</f>
        <v>4703300</v>
      </c>
    </row>
    <row r="1595" spans="1:9" x14ac:dyDescent="0.2">
      <c r="A1595">
        <f t="shared" si="48"/>
        <v>4703330</v>
      </c>
      <c r="B1595" s="5">
        <v>2015</v>
      </c>
      <c r="C1595" s="1">
        <v>99067</v>
      </c>
      <c r="D1595" t="s">
        <v>375</v>
      </c>
      <c r="E1595" t="s">
        <v>129</v>
      </c>
      <c r="F1595" s="8">
        <v>9956</v>
      </c>
      <c r="G1595" s="8">
        <v>1057677</v>
      </c>
      <c r="H1595" s="5">
        <f t="shared" si="49"/>
        <v>1067633</v>
      </c>
      <c r="I1595">
        <f>IFERROR(VLOOKUP(D1595,'LEAID Match'!$A$2:$B$251,2,FALSE),"")</f>
        <v>4703330</v>
      </c>
    </row>
    <row r="1596" spans="1:9" x14ac:dyDescent="0.2">
      <c r="A1596">
        <f t="shared" si="48"/>
        <v>4703330</v>
      </c>
      <c r="B1596" s="5">
        <v>2016</v>
      </c>
      <c r="C1596" s="1">
        <v>99067</v>
      </c>
      <c r="D1596" t="s">
        <v>375</v>
      </c>
      <c r="E1596" t="s">
        <v>129</v>
      </c>
      <c r="F1596" s="8">
        <v>20119</v>
      </c>
      <c r="G1596" s="8">
        <v>1032041</v>
      </c>
      <c r="H1596" s="5">
        <f t="shared" si="49"/>
        <v>1052160</v>
      </c>
      <c r="I1596">
        <f>IFERROR(VLOOKUP(D1596,'LEAID Match'!$A$2:$B$251,2,FALSE),"")</f>
        <v>4703330</v>
      </c>
    </row>
    <row r="1597" spans="1:9" x14ac:dyDescent="0.2">
      <c r="A1597">
        <f t="shared" si="48"/>
        <v>4703330</v>
      </c>
      <c r="B1597" s="5">
        <v>2017</v>
      </c>
      <c r="C1597" s="1">
        <v>99067</v>
      </c>
      <c r="D1597" t="s">
        <v>375</v>
      </c>
      <c r="E1597" t="s">
        <v>375</v>
      </c>
      <c r="F1597" s="8">
        <v>33615</v>
      </c>
      <c r="G1597" s="8">
        <v>1001711</v>
      </c>
      <c r="H1597" s="5">
        <f t="shared" si="49"/>
        <v>1035326</v>
      </c>
      <c r="I1597">
        <f>IFERROR(VLOOKUP(D1597,'LEAID Match'!$A$2:$B$251,2,FALSE),"")</f>
        <v>4703330</v>
      </c>
    </row>
    <row r="1598" spans="1:9" x14ac:dyDescent="0.2">
      <c r="A1598">
        <f t="shared" si="48"/>
        <v>4703330</v>
      </c>
      <c r="B1598" s="5">
        <v>2018</v>
      </c>
      <c r="C1598" s="1">
        <v>99067</v>
      </c>
      <c r="D1598" t="s">
        <v>375</v>
      </c>
      <c r="E1598" t="s">
        <v>129</v>
      </c>
      <c r="F1598" s="8">
        <v>41215</v>
      </c>
      <c r="G1598" s="8">
        <v>1006914</v>
      </c>
      <c r="H1598" s="5">
        <f t="shared" si="49"/>
        <v>1048129</v>
      </c>
      <c r="I1598">
        <f>IFERROR(VLOOKUP(D1598,'LEAID Match'!$A$2:$B$251,2,FALSE),"")</f>
        <v>4703330</v>
      </c>
    </row>
    <row r="1599" spans="1:9" x14ac:dyDescent="0.2">
      <c r="A1599">
        <f t="shared" si="48"/>
        <v>4703330</v>
      </c>
      <c r="B1599" s="5">
        <v>2019</v>
      </c>
      <c r="C1599" s="1">
        <v>99067</v>
      </c>
      <c r="D1599" t="s">
        <v>375</v>
      </c>
      <c r="E1599" t="s">
        <v>375</v>
      </c>
      <c r="F1599" s="8">
        <v>25141</v>
      </c>
      <c r="G1599" s="8">
        <v>1163916</v>
      </c>
      <c r="H1599" s="5">
        <f t="shared" si="49"/>
        <v>1189057</v>
      </c>
      <c r="I1599">
        <f>IFERROR(VLOOKUP(D1599,'LEAID Match'!$A$2:$B$251,2,FALSE),"")</f>
        <v>4703330</v>
      </c>
    </row>
    <row r="1600" spans="1:9" x14ac:dyDescent="0.2">
      <c r="A1600">
        <f t="shared" si="48"/>
        <v>4703330</v>
      </c>
      <c r="B1600" s="5">
        <v>2020</v>
      </c>
      <c r="C1600" s="1">
        <v>99067</v>
      </c>
      <c r="D1600" t="s">
        <v>375</v>
      </c>
      <c r="E1600" t="s">
        <v>375</v>
      </c>
      <c r="F1600" s="8">
        <v>30454</v>
      </c>
      <c r="G1600" s="8">
        <v>1153927</v>
      </c>
      <c r="H1600" s="5">
        <f t="shared" si="49"/>
        <v>1184381</v>
      </c>
      <c r="I1600">
        <f>IFERROR(VLOOKUP(D1600,'LEAID Match'!$A$2:$B$251,2,FALSE),"")</f>
        <v>4703330</v>
      </c>
    </row>
    <row r="1601" spans="1:9" x14ac:dyDescent="0.2">
      <c r="A1601">
        <f t="shared" si="48"/>
        <v>4703330</v>
      </c>
      <c r="B1601" s="5">
        <v>2021</v>
      </c>
      <c r="C1601" s="1">
        <v>99067</v>
      </c>
      <c r="D1601" t="s">
        <v>375</v>
      </c>
      <c r="E1601" t="s">
        <v>375</v>
      </c>
      <c r="F1601" s="8">
        <v>35243</v>
      </c>
      <c r="G1601" s="8">
        <v>1124932</v>
      </c>
      <c r="H1601" s="5">
        <f t="shared" si="49"/>
        <v>1160175</v>
      </c>
      <c r="I1601">
        <f>IFERROR(VLOOKUP(D1601,'LEAID Match'!$A$2:$B$251,2,FALSE),"")</f>
        <v>4703330</v>
      </c>
    </row>
    <row r="1602" spans="1:9" x14ac:dyDescent="0.2">
      <c r="A1602">
        <f t="shared" si="48"/>
        <v>4703330</v>
      </c>
      <c r="B1602" s="5">
        <v>2022</v>
      </c>
      <c r="C1602" s="1">
        <v>99067</v>
      </c>
      <c r="D1602" t="s">
        <v>375</v>
      </c>
      <c r="E1602" t="s">
        <v>375</v>
      </c>
      <c r="F1602" s="8">
        <v>46038.54</v>
      </c>
      <c r="G1602" s="8">
        <v>1134718.6299999999</v>
      </c>
      <c r="H1602" s="5">
        <f t="shared" si="49"/>
        <v>1180757.17</v>
      </c>
      <c r="I1602">
        <f>IFERROR(VLOOKUP(D1602,'LEAID Match'!$A$2:$B$251,2,FALSE),"")</f>
        <v>4703330</v>
      </c>
    </row>
    <row r="1603" spans="1:9" x14ac:dyDescent="0.2">
      <c r="A1603">
        <f t="shared" ref="A1603:A1666" si="50">I1603</f>
        <v>4703330</v>
      </c>
      <c r="B1603" s="5">
        <v>2023</v>
      </c>
      <c r="C1603" s="1">
        <v>99067</v>
      </c>
      <c r="D1603" t="s">
        <v>375</v>
      </c>
      <c r="E1603" t="s">
        <v>375</v>
      </c>
      <c r="F1603" s="8">
        <v>79795.59</v>
      </c>
      <c r="G1603" s="8">
        <v>997335.62</v>
      </c>
      <c r="H1603" s="5">
        <f t="shared" ref="H1603:H1666" si="51">SUM(F1603:G1603)</f>
        <v>1077131.21</v>
      </c>
      <c r="I1603">
        <f>IFERROR(VLOOKUP(D1603,'LEAID Match'!$A$2:$B$251,2,FALSE),"")</f>
        <v>4703330</v>
      </c>
    </row>
    <row r="1604" spans="1:9" x14ac:dyDescent="0.2">
      <c r="A1604">
        <f t="shared" si="50"/>
        <v>4703360</v>
      </c>
      <c r="B1604" s="5">
        <v>2015</v>
      </c>
      <c r="C1604" s="1">
        <v>99140</v>
      </c>
      <c r="D1604" t="s">
        <v>376</v>
      </c>
      <c r="E1604" t="s">
        <v>130</v>
      </c>
      <c r="F1604" s="8">
        <v>12019</v>
      </c>
      <c r="G1604" s="8">
        <v>587225</v>
      </c>
      <c r="H1604" s="5">
        <f t="shared" si="51"/>
        <v>599244</v>
      </c>
      <c r="I1604">
        <f>IFERROR(VLOOKUP(D1604,'LEAID Match'!$A$2:$B$251,2,FALSE),"")</f>
        <v>4703360</v>
      </c>
    </row>
    <row r="1605" spans="1:9" x14ac:dyDescent="0.2">
      <c r="A1605">
        <f t="shared" si="50"/>
        <v>4703360</v>
      </c>
      <c r="B1605" s="5">
        <v>2016</v>
      </c>
      <c r="C1605" s="1">
        <v>99140</v>
      </c>
      <c r="D1605" t="s">
        <v>376</v>
      </c>
      <c r="E1605" t="s">
        <v>130</v>
      </c>
      <c r="F1605" s="8">
        <v>22509</v>
      </c>
      <c r="G1605" s="8">
        <v>578859</v>
      </c>
      <c r="H1605" s="5">
        <f t="shared" si="51"/>
        <v>601368</v>
      </c>
      <c r="I1605">
        <f>IFERROR(VLOOKUP(D1605,'LEAID Match'!$A$2:$B$251,2,FALSE),"")</f>
        <v>4703360</v>
      </c>
    </row>
    <row r="1606" spans="1:9" x14ac:dyDescent="0.2">
      <c r="A1606">
        <f t="shared" si="50"/>
        <v>4703360</v>
      </c>
      <c r="B1606" s="5">
        <v>2017</v>
      </c>
      <c r="C1606" s="1">
        <v>99140</v>
      </c>
      <c r="D1606" t="s">
        <v>376</v>
      </c>
      <c r="E1606" t="s">
        <v>376</v>
      </c>
      <c r="F1606" s="8">
        <v>28212</v>
      </c>
      <c r="G1606" s="8">
        <v>610200</v>
      </c>
      <c r="H1606" s="5">
        <f t="shared" si="51"/>
        <v>638412</v>
      </c>
      <c r="I1606">
        <f>IFERROR(VLOOKUP(D1606,'LEAID Match'!$A$2:$B$251,2,FALSE),"")</f>
        <v>4703360</v>
      </c>
    </row>
    <row r="1607" spans="1:9" x14ac:dyDescent="0.2">
      <c r="A1607">
        <f t="shared" si="50"/>
        <v>4703360</v>
      </c>
      <c r="B1607" s="5">
        <v>2018</v>
      </c>
      <c r="C1607" s="1">
        <v>99140</v>
      </c>
      <c r="D1607" t="s">
        <v>376</v>
      </c>
      <c r="E1607" t="s">
        <v>130</v>
      </c>
      <c r="F1607" s="8">
        <v>35951</v>
      </c>
      <c r="G1607" s="8">
        <v>570425</v>
      </c>
      <c r="H1607" s="5">
        <f t="shared" si="51"/>
        <v>606376</v>
      </c>
      <c r="I1607">
        <f>IFERROR(VLOOKUP(D1607,'LEAID Match'!$A$2:$B$251,2,FALSE),"")</f>
        <v>4703360</v>
      </c>
    </row>
    <row r="1608" spans="1:9" x14ac:dyDescent="0.2">
      <c r="A1608">
        <f t="shared" si="50"/>
        <v>4703360</v>
      </c>
      <c r="B1608" s="5">
        <v>2019</v>
      </c>
      <c r="C1608" s="1">
        <v>99140</v>
      </c>
      <c r="D1608" t="s">
        <v>376</v>
      </c>
      <c r="E1608" t="s">
        <v>376</v>
      </c>
      <c r="F1608" s="8">
        <v>24324</v>
      </c>
      <c r="G1608" s="8">
        <v>639431</v>
      </c>
      <c r="H1608" s="5">
        <f t="shared" si="51"/>
        <v>663755</v>
      </c>
      <c r="I1608">
        <f>IFERROR(VLOOKUP(D1608,'LEAID Match'!$A$2:$B$251,2,FALSE),"")</f>
        <v>4703360</v>
      </c>
    </row>
    <row r="1609" spans="1:9" x14ac:dyDescent="0.2">
      <c r="A1609">
        <f t="shared" si="50"/>
        <v>4703360</v>
      </c>
      <c r="B1609" s="5">
        <v>2020</v>
      </c>
      <c r="C1609" s="1">
        <v>99140</v>
      </c>
      <c r="D1609" t="s">
        <v>376</v>
      </c>
      <c r="E1609" t="s">
        <v>376</v>
      </c>
      <c r="F1609" s="8">
        <v>29639</v>
      </c>
      <c r="G1609" s="8">
        <v>621973</v>
      </c>
      <c r="H1609" s="5">
        <f t="shared" si="51"/>
        <v>651612</v>
      </c>
      <c r="I1609">
        <f>IFERROR(VLOOKUP(D1609,'LEAID Match'!$A$2:$B$251,2,FALSE),"")</f>
        <v>4703360</v>
      </c>
    </row>
    <row r="1610" spans="1:9" x14ac:dyDescent="0.2">
      <c r="A1610">
        <f t="shared" si="50"/>
        <v>4703360</v>
      </c>
      <c r="B1610" s="5">
        <v>2021</v>
      </c>
      <c r="C1610" s="1">
        <v>99140</v>
      </c>
      <c r="D1610" t="s">
        <v>376</v>
      </c>
      <c r="E1610" t="s">
        <v>376</v>
      </c>
      <c r="F1610" s="8">
        <v>35829</v>
      </c>
      <c r="G1610" s="8">
        <v>601514</v>
      </c>
      <c r="H1610" s="5">
        <f t="shared" si="51"/>
        <v>637343</v>
      </c>
      <c r="I1610">
        <f>IFERROR(VLOOKUP(D1610,'LEAID Match'!$A$2:$B$251,2,FALSE),"")</f>
        <v>4703360</v>
      </c>
    </row>
    <row r="1611" spans="1:9" x14ac:dyDescent="0.2">
      <c r="A1611">
        <f t="shared" si="50"/>
        <v>4703360</v>
      </c>
      <c r="B1611" s="5">
        <v>2022</v>
      </c>
      <c r="C1611" s="1">
        <v>99140</v>
      </c>
      <c r="D1611" t="s">
        <v>376</v>
      </c>
      <c r="E1611" t="s">
        <v>376</v>
      </c>
      <c r="F1611" s="8">
        <v>44440.63</v>
      </c>
      <c r="G1611" s="8">
        <v>618965.96</v>
      </c>
      <c r="H1611" s="5">
        <f t="shared" si="51"/>
        <v>663406.59</v>
      </c>
      <c r="I1611">
        <f>IFERROR(VLOOKUP(D1611,'LEAID Match'!$A$2:$B$251,2,FALSE),"")</f>
        <v>4703360</v>
      </c>
    </row>
    <row r="1612" spans="1:9" x14ac:dyDescent="0.2">
      <c r="A1612">
        <f t="shared" si="50"/>
        <v>4703360</v>
      </c>
      <c r="B1612" s="5">
        <v>2023</v>
      </c>
      <c r="C1612" s="1">
        <v>99140</v>
      </c>
      <c r="D1612" t="s">
        <v>376</v>
      </c>
      <c r="E1612" t="s">
        <v>376</v>
      </c>
      <c r="F1612" s="8">
        <v>71726.69</v>
      </c>
      <c r="G1612" s="8">
        <v>541451.28</v>
      </c>
      <c r="H1612" s="5">
        <f t="shared" si="51"/>
        <v>613177.97</v>
      </c>
      <c r="I1612">
        <f>IFERROR(VLOOKUP(D1612,'LEAID Match'!$A$2:$B$251,2,FALSE),"")</f>
        <v>4703360</v>
      </c>
    </row>
    <row r="1613" spans="1:9" x14ac:dyDescent="0.2">
      <c r="A1613">
        <f t="shared" si="50"/>
        <v>0</v>
      </c>
      <c r="B1613" s="5">
        <v>2018</v>
      </c>
      <c r="C1613" s="1">
        <v>97971</v>
      </c>
      <c r="D1613" t="s">
        <v>492</v>
      </c>
      <c r="E1613" t="s">
        <v>471</v>
      </c>
      <c r="F1613" s="8">
        <v>786</v>
      </c>
      <c r="G1613" s="8" t="s">
        <v>591</v>
      </c>
      <c r="H1613" s="5">
        <f t="shared" si="51"/>
        <v>786</v>
      </c>
      <c r="I1613">
        <f>IFERROR(VLOOKUP(D1613,'LEAID Match'!$A$2:$B$251,2,FALSE),"")</f>
        <v>0</v>
      </c>
    </row>
    <row r="1614" spans="1:9" x14ac:dyDescent="0.2">
      <c r="A1614">
        <f t="shared" si="50"/>
        <v>0</v>
      </c>
      <c r="B1614" s="5">
        <v>2019</v>
      </c>
      <c r="C1614" s="1">
        <v>97971</v>
      </c>
      <c r="D1614" t="s">
        <v>492</v>
      </c>
      <c r="E1614" t="s">
        <v>492</v>
      </c>
      <c r="F1614" s="8">
        <v>8109</v>
      </c>
      <c r="G1614" s="8">
        <v>4124</v>
      </c>
      <c r="H1614" s="5">
        <f t="shared" si="51"/>
        <v>12233</v>
      </c>
      <c r="I1614">
        <f>IFERROR(VLOOKUP(D1614,'LEAID Match'!$A$2:$B$251,2,FALSE),"")</f>
        <v>0</v>
      </c>
    </row>
    <row r="1615" spans="1:9" x14ac:dyDescent="0.2">
      <c r="A1615">
        <f t="shared" si="50"/>
        <v>0</v>
      </c>
      <c r="B1615" s="5">
        <v>2020</v>
      </c>
      <c r="C1615" s="1">
        <v>97971</v>
      </c>
      <c r="D1615" t="s">
        <v>492</v>
      </c>
      <c r="E1615" t="s">
        <v>492</v>
      </c>
      <c r="F1615" s="8">
        <v>16960</v>
      </c>
      <c r="G1615" s="8">
        <v>28623</v>
      </c>
      <c r="H1615" s="5">
        <f t="shared" si="51"/>
        <v>45583</v>
      </c>
      <c r="I1615">
        <f>IFERROR(VLOOKUP(D1615,'LEAID Match'!$A$2:$B$251,2,FALSE),"")</f>
        <v>0</v>
      </c>
    </row>
    <row r="1616" spans="1:9" x14ac:dyDescent="0.2">
      <c r="A1616">
        <f t="shared" si="50"/>
        <v>0</v>
      </c>
      <c r="B1616" s="5">
        <v>2021</v>
      </c>
      <c r="C1616" s="1">
        <v>97971</v>
      </c>
      <c r="D1616" t="s">
        <v>492</v>
      </c>
      <c r="E1616" t="s">
        <v>492</v>
      </c>
      <c r="F1616" s="8">
        <v>7053</v>
      </c>
      <c r="G1616" s="8">
        <v>26443</v>
      </c>
      <c r="H1616" s="5">
        <f t="shared" si="51"/>
        <v>33496</v>
      </c>
      <c r="I1616">
        <f>IFERROR(VLOOKUP(D1616,'LEAID Match'!$A$2:$B$251,2,FALSE),"")</f>
        <v>0</v>
      </c>
    </row>
    <row r="1617" spans="1:9" x14ac:dyDescent="0.2">
      <c r="A1617">
        <f t="shared" si="50"/>
        <v>0</v>
      </c>
      <c r="B1617" s="5">
        <v>2022</v>
      </c>
      <c r="C1617" s="1">
        <v>97971</v>
      </c>
      <c r="D1617" t="s">
        <v>492</v>
      </c>
      <c r="E1617" t="s">
        <v>492</v>
      </c>
      <c r="F1617" s="8">
        <v>17831.07</v>
      </c>
      <c r="G1617" s="8">
        <v>33394.080000000002</v>
      </c>
      <c r="H1617" s="5">
        <f t="shared" si="51"/>
        <v>51225.15</v>
      </c>
      <c r="I1617">
        <f>IFERROR(VLOOKUP(D1617,'LEAID Match'!$A$2:$B$251,2,FALSE),"")</f>
        <v>0</v>
      </c>
    </row>
    <row r="1618" spans="1:9" x14ac:dyDescent="0.2">
      <c r="A1618">
        <f t="shared" si="50"/>
        <v>0</v>
      </c>
      <c r="B1618" s="5">
        <v>2023</v>
      </c>
      <c r="C1618" s="1">
        <v>97971</v>
      </c>
      <c r="D1618" t="s">
        <v>492</v>
      </c>
      <c r="E1618" t="s">
        <v>492</v>
      </c>
      <c r="F1618" s="8">
        <v>36452.949999999997</v>
      </c>
      <c r="G1618" s="8">
        <v>41598.980000000003</v>
      </c>
      <c r="H1618" s="5">
        <f t="shared" si="51"/>
        <v>78051.929999999993</v>
      </c>
      <c r="I1618">
        <f>IFERROR(VLOOKUP(D1618,'LEAID Match'!$A$2:$B$251,2,FALSE),"")</f>
        <v>0</v>
      </c>
    </row>
    <row r="1619" spans="1:9" x14ac:dyDescent="0.2">
      <c r="A1619">
        <f t="shared" si="50"/>
        <v>4703390</v>
      </c>
      <c r="B1619" s="5">
        <v>2015</v>
      </c>
      <c r="C1619" s="1">
        <v>99068</v>
      </c>
      <c r="D1619" t="s">
        <v>377</v>
      </c>
      <c r="E1619" t="s">
        <v>131</v>
      </c>
      <c r="F1619" s="8">
        <v>5790</v>
      </c>
      <c r="G1619" s="8">
        <v>432305</v>
      </c>
      <c r="H1619" s="5">
        <f t="shared" si="51"/>
        <v>438095</v>
      </c>
      <c r="I1619">
        <f>IFERROR(VLOOKUP(D1619,'LEAID Match'!$A$2:$B$251,2,FALSE),"")</f>
        <v>4703390</v>
      </c>
    </row>
    <row r="1620" spans="1:9" x14ac:dyDescent="0.2">
      <c r="A1620">
        <f t="shared" si="50"/>
        <v>4703390</v>
      </c>
      <c r="B1620" s="5">
        <v>2016</v>
      </c>
      <c r="C1620" s="1">
        <v>99068</v>
      </c>
      <c r="D1620" t="s">
        <v>377</v>
      </c>
      <c r="E1620" t="s">
        <v>131</v>
      </c>
      <c r="F1620" s="8">
        <v>10082</v>
      </c>
      <c r="G1620" s="8">
        <v>430421</v>
      </c>
      <c r="H1620" s="5">
        <f t="shared" si="51"/>
        <v>440503</v>
      </c>
      <c r="I1620">
        <f>IFERROR(VLOOKUP(D1620,'LEAID Match'!$A$2:$B$251,2,FALSE),"")</f>
        <v>4703390</v>
      </c>
    </row>
    <row r="1621" spans="1:9" x14ac:dyDescent="0.2">
      <c r="A1621">
        <f t="shared" si="50"/>
        <v>4703390</v>
      </c>
      <c r="B1621" s="5">
        <v>2017</v>
      </c>
      <c r="C1621" s="1">
        <v>99068</v>
      </c>
      <c r="D1621" t="s">
        <v>377</v>
      </c>
      <c r="E1621" t="s">
        <v>377</v>
      </c>
      <c r="F1621" s="8">
        <v>12235</v>
      </c>
      <c r="G1621" s="8">
        <v>439627</v>
      </c>
      <c r="H1621" s="5">
        <f t="shared" si="51"/>
        <v>451862</v>
      </c>
      <c r="I1621">
        <f>IFERROR(VLOOKUP(D1621,'LEAID Match'!$A$2:$B$251,2,FALSE),"")</f>
        <v>4703390</v>
      </c>
    </row>
    <row r="1622" spans="1:9" x14ac:dyDescent="0.2">
      <c r="A1622">
        <f t="shared" si="50"/>
        <v>4703390</v>
      </c>
      <c r="B1622" s="5">
        <v>2018</v>
      </c>
      <c r="C1622" s="1">
        <v>99068</v>
      </c>
      <c r="D1622" t="s">
        <v>377</v>
      </c>
      <c r="E1622" t="s">
        <v>131</v>
      </c>
      <c r="F1622" s="8">
        <v>18589</v>
      </c>
      <c r="G1622" s="8">
        <v>451504</v>
      </c>
      <c r="H1622" s="5">
        <f t="shared" si="51"/>
        <v>470093</v>
      </c>
      <c r="I1622">
        <f>IFERROR(VLOOKUP(D1622,'LEAID Match'!$A$2:$B$251,2,FALSE),"")</f>
        <v>4703390</v>
      </c>
    </row>
    <row r="1623" spans="1:9" x14ac:dyDescent="0.2">
      <c r="A1623">
        <f t="shared" si="50"/>
        <v>4703390</v>
      </c>
      <c r="B1623" s="5">
        <v>2019</v>
      </c>
      <c r="C1623" s="1">
        <v>99068</v>
      </c>
      <c r="D1623" t="s">
        <v>377</v>
      </c>
      <c r="E1623" t="s">
        <v>377</v>
      </c>
      <c r="F1623" s="8">
        <v>10834</v>
      </c>
      <c r="G1623" s="8">
        <v>476283</v>
      </c>
      <c r="H1623" s="5">
        <f t="shared" si="51"/>
        <v>487117</v>
      </c>
      <c r="I1623">
        <f>IFERROR(VLOOKUP(D1623,'LEAID Match'!$A$2:$B$251,2,FALSE),"")</f>
        <v>4703390</v>
      </c>
    </row>
    <row r="1624" spans="1:9" x14ac:dyDescent="0.2">
      <c r="A1624">
        <f t="shared" si="50"/>
        <v>4703390</v>
      </c>
      <c r="B1624" s="5">
        <v>2020</v>
      </c>
      <c r="C1624" s="1">
        <v>99068</v>
      </c>
      <c r="D1624" t="s">
        <v>377</v>
      </c>
      <c r="E1624" t="s">
        <v>377</v>
      </c>
      <c r="F1624" s="8">
        <v>15634</v>
      </c>
      <c r="G1624" s="8">
        <v>530517</v>
      </c>
      <c r="H1624" s="5">
        <f t="shared" si="51"/>
        <v>546151</v>
      </c>
      <c r="I1624">
        <f>IFERROR(VLOOKUP(D1624,'LEAID Match'!$A$2:$B$251,2,FALSE),"")</f>
        <v>4703390</v>
      </c>
    </row>
    <row r="1625" spans="1:9" x14ac:dyDescent="0.2">
      <c r="A1625">
        <f t="shared" si="50"/>
        <v>4703390</v>
      </c>
      <c r="B1625" s="5">
        <v>2021</v>
      </c>
      <c r="C1625" s="1">
        <v>99068</v>
      </c>
      <c r="D1625" t="s">
        <v>377</v>
      </c>
      <c r="E1625" t="s">
        <v>377</v>
      </c>
      <c r="F1625" s="8">
        <v>20193</v>
      </c>
      <c r="G1625" s="8">
        <v>461745</v>
      </c>
      <c r="H1625" s="5">
        <f t="shared" si="51"/>
        <v>481938</v>
      </c>
      <c r="I1625">
        <f>IFERROR(VLOOKUP(D1625,'LEAID Match'!$A$2:$B$251,2,FALSE),"")</f>
        <v>4703390</v>
      </c>
    </row>
    <row r="1626" spans="1:9" x14ac:dyDescent="0.2">
      <c r="A1626">
        <f t="shared" si="50"/>
        <v>4703390</v>
      </c>
      <c r="B1626" s="5">
        <v>2022</v>
      </c>
      <c r="C1626" s="1">
        <v>99068</v>
      </c>
      <c r="D1626" t="s">
        <v>377</v>
      </c>
      <c r="E1626" t="s">
        <v>377</v>
      </c>
      <c r="F1626" s="8">
        <v>25422.81</v>
      </c>
      <c r="G1626" s="8">
        <v>471964.28</v>
      </c>
      <c r="H1626" s="5">
        <f t="shared" si="51"/>
        <v>497387.09</v>
      </c>
      <c r="I1626">
        <f>IFERROR(VLOOKUP(D1626,'LEAID Match'!$A$2:$B$251,2,FALSE),"")</f>
        <v>4703390</v>
      </c>
    </row>
    <row r="1627" spans="1:9" x14ac:dyDescent="0.2">
      <c r="A1627">
        <f t="shared" si="50"/>
        <v>4703390</v>
      </c>
      <c r="B1627" s="5">
        <v>2023</v>
      </c>
      <c r="C1627" s="1">
        <v>99068</v>
      </c>
      <c r="D1627" t="s">
        <v>377</v>
      </c>
      <c r="E1627" t="s">
        <v>377</v>
      </c>
      <c r="F1627" s="8">
        <v>47731.39</v>
      </c>
      <c r="G1627" s="8">
        <v>393280.88</v>
      </c>
      <c r="H1627" s="5">
        <f t="shared" si="51"/>
        <v>441012.27</v>
      </c>
      <c r="I1627">
        <f>IFERROR(VLOOKUP(D1627,'LEAID Match'!$A$2:$B$251,2,FALSE),"")</f>
        <v>4703390</v>
      </c>
    </row>
    <row r="1628" spans="1:9" x14ac:dyDescent="0.2">
      <c r="A1628">
        <f t="shared" si="50"/>
        <v>4703420</v>
      </c>
      <c r="B1628" s="5">
        <v>2015</v>
      </c>
      <c r="C1628" s="1">
        <v>99069</v>
      </c>
      <c r="D1628" t="s">
        <v>378</v>
      </c>
      <c r="E1628" t="s">
        <v>132</v>
      </c>
      <c r="F1628" s="8">
        <v>1243</v>
      </c>
      <c r="G1628" s="8">
        <v>279190</v>
      </c>
      <c r="H1628" s="5">
        <f t="shared" si="51"/>
        <v>280433</v>
      </c>
      <c r="I1628">
        <f>IFERROR(VLOOKUP(D1628,'LEAID Match'!$A$2:$B$251,2,FALSE),"")</f>
        <v>4703420</v>
      </c>
    </row>
    <row r="1629" spans="1:9" x14ac:dyDescent="0.2">
      <c r="A1629">
        <f t="shared" si="50"/>
        <v>4703420</v>
      </c>
      <c r="B1629" s="5">
        <v>2016</v>
      </c>
      <c r="C1629" s="1">
        <v>99069</v>
      </c>
      <c r="D1629" t="s">
        <v>378</v>
      </c>
      <c r="E1629" t="s">
        <v>132</v>
      </c>
      <c r="F1629" s="8">
        <v>2559</v>
      </c>
      <c r="G1629" s="8">
        <v>290364</v>
      </c>
      <c r="H1629" s="5">
        <f t="shared" si="51"/>
        <v>292923</v>
      </c>
      <c r="I1629">
        <f>IFERROR(VLOOKUP(D1629,'LEAID Match'!$A$2:$B$251,2,FALSE),"")</f>
        <v>4703420</v>
      </c>
    </row>
    <row r="1630" spans="1:9" x14ac:dyDescent="0.2">
      <c r="A1630">
        <f t="shared" si="50"/>
        <v>4703420</v>
      </c>
      <c r="B1630" s="5">
        <v>2017</v>
      </c>
      <c r="C1630" s="1">
        <v>99069</v>
      </c>
      <c r="D1630" t="s">
        <v>378</v>
      </c>
      <c r="E1630" t="s">
        <v>378</v>
      </c>
      <c r="F1630" s="8">
        <v>7171</v>
      </c>
      <c r="G1630" s="8">
        <v>284999</v>
      </c>
      <c r="H1630" s="5">
        <f t="shared" si="51"/>
        <v>292170</v>
      </c>
      <c r="I1630">
        <f>IFERROR(VLOOKUP(D1630,'LEAID Match'!$A$2:$B$251,2,FALSE),"")</f>
        <v>4703420</v>
      </c>
    </row>
    <row r="1631" spans="1:9" x14ac:dyDescent="0.2">
      <c r="A1631">
        <f t="shared" si="50"/>
        <v>4703420</v>
      </c>
      <c r="B1631" s="5">
        <v>2018</v>
      </c>
      <c r="C1631" s="1">
        <v>99069</v>
      </c>
      <c r="D1631" t="s">
        <v>378</v>
      </c>
      <c r="E1631" t="s">
        <v>132</v>
      </c>
      <c r="F1631" s="8">
        <v>8755</v>
      </c>
      <c r="G1631" s="8">
        <v>283606</v>
      </c>
      <c r="H1631" s="5">
        <f t="shared" si="51"/>
        <v>292361</v>
      </c>
      <c r="I1631">
        <f>IFERROR(VLOOKUP(D1631,'LEAID Match'!$A$2:$B$251,2,FALSE),"")</f>
        <v>4703420</v>
      </c>
    </row>
    <row r="1632" spans="1:9" x14ac:dyDescent="0.2">
      <c r="A1632">
        <f t="shared" si="50"/>
        <v>4703420</v>
      </c>
      <c r="B1632" s="5">
        <v>2019</v>
      </c>
      <c r="C1632" s="1">
        <v>99069</v>
      </c>
      <c r="D1632" t="s">
        <v>378</v>
      </c>
      <c r="E1632" t="s">
        <v>378</v>
      </c>
      <c r="F1632" s="8">
        <v>4494</v>
      </c>
      <c r="G1632" s="8">
        <v>324999</v>
      </c>
      <c r="H1632" s="5">
        <f t="shared" si="51"/>
        <v>329493</v>
      </c>
      <c r="I1632">
        <f>IFERROR(VLOOKUP(D1632,'LEAID Match'!$A$2:$B$251,2,FALSE),"")</f>
        <v>4703420</v>
      </c>
    </row>
    <row r="1633" spans="1:9" x14ac:dyDescent="0.2">
      <c r="A1633">
        <f t="shared" si="50"/>
        <v>4703420</v>
      </c>
      <c r="B1633" s="5">
        <v>2020</v>
      </c>
      <c r="C1633" s="1">
        <v>99069</v>
      </c>
      <c r="D1633" t="s">
        <v>378</v>
      </c>
      <c r="E1633" t="s">
        <v>378</v>
      </c>
      <c r="F1633" s="8">
        <v>6065</v>
      </c>
      <c r="G1633" s="8">
        <v>324954</v>
      </c>
      <c r="H1633" s="5">
        <f t="shared" si="51"/>
        <v>331019</v>
      </c>
      <c r="I1633">
        <f>IFERROR(VLOOKUP(D1633,'LEAID Match'!$A$2:$B$251,2,FALSE),"")</f>
        <v>4703420</v>
      </c>
    </row>
    <row r="1634" spans="1:9" x14ac:dyDescent="0.2">
      <c r="A1634">
        <f t="shared" si="50"/>
        <v>4703420</v>
      </c>
      <c r="B1634" s="5">
        <v>2021</v>
      </c>
      <c r="C1634" s="1">
        <v>99069</v>
      </c>
      <c r="D1634" t="s">
        <v>378</v>
      </c>
      <c r="E1634" t="s">
        <v>378</v>
      </c>
      <c r="F1634" s="8">
        <v>7069</v>
      </c>
      <c r="G1634" s="8">
        <v>320644</v>
      </c>
      <c r="H1634" s="5">
        <f t="shared" si="51"/>
        <v>327713</v>
      </c>
      <c r="I1634">
        <f>IFERROR(VLOOKUP(D1634,'LEAID Match'!$A$2:$B$251,2,FALSE),"")</f>
        <v>4703420</v>
      </c>
    </row>
    <row r="1635" spans="1:9" x14ac:dyDescent="0.2">
      <c r="A1635">
        <f t="shared" si="50"/>
        <v>4703420</v>
      </c>
      <c r="B1635" s="5">
        <v>2022</v>
      </c>
      <c r="C1635" s="1">
        <v>99069</v>
      </c>
      <c r="D1635" t="s">
        <v>378</v>
      </c>
      <c r="E1635" t="s">
        <v>378</v>
      </c>
      <c r="F1635" s="8">
        <v>8198.69</v>
      </c>
      <c r="G1635" s="8">
        <v>318313.82</v>
      </c>
      <c r="H1635" s="5">
        <f t="shared" si="51"/>
        <v>326512.51</v>
      </c>
      <c r="I1635">
        <f>IFERROR(VLOOKUP(D1635,'LEAID Match'!$A$2:$B$251,2,FALSE),"")</f>
        <v>4703420</v>
      </c>
    </row>
    <row r="1636" spans="1:9" x14ac:dyDescent="0.2">
      <c r="A1636">
        <f t="shared" si="50"/>
        <v>4703420</v>
      </c>
      <c r="B1636" s="5">
        <v>2023</v>
      </c>
      <c r="C1636" s="1">
        <v>99069</v>
      </c>
      <c r="D1636" t="s">
        <v>378</v>
      </c>
      <c r="E1636" t="s">
        <v>378</v>
      </c>
      <c r="F1636" s="8">
        <v>15359.69</v>
      </c>
      <c r="G1636" s="8">
        <v>264686.84000000003</v>
      </c>
      <c r="H1636" s="5">
        <f t="shared" si="51"/>
        <v>280046.53000000003</v>
      </c>
      <c r="I1636">
        <f>IFERROR(VLOOKUP(D1636,'LEAID Match'!$A$2:$B$251,2,FALSE),"")</f>
        <v>4703420</v>
      </c>
    </row>
    <row r="1637" spans="1:9" x14ac:dyDescent="0.2">
      <c r="A1637">
        <f t="shared" si="50"/>
        <v>4703450</v>
      </c>
      <c r="B1637" s="5">
        <v>2015</v>
      </c>
      <c r="C1637" s="1">
        <v>99070</v>
      </c>
      <c r="D1637" t="s">
        <v>379</v>
      </c>
      <c r="E1637" t="s">
        <v>133</v>
      </c>
      <c r="F1637" s="8">
        <v>11717</v>
      </c>
      <c r="G1637" s="8">
        <v>825664</v>
      </c>
      <c r="H1637" s="5">
        <f t="shared" si="51"/>
        <v>837381</v>
      </c>
      <c r="I1637">
        <f>IFERROR(VLOOKUP(D1637,'LEAID Match'!$A$2:$B$251,2,FALSE),"")</f>
        <v>4703450</v>
      </c>
    </row>
    <row r="1638" spans="1:9" x14ac:dyDescent="0.2">
      <c r="A1638">
        <f t="shared" si="50"/>
        <v>4703450</v>
      </c>
      <c r="B1638" s="5">
        <v>2016</v>
      </c>
      <c r="C1638" s="1">
        <v>99070</v>
      </c>
      <c r="D1638" t="s">
        <v>379</v>
      </c>
      <c r="E1638" t="s">
        <v>133</v>
      </c>
      <c r="F1638" s="8">
        <v>22063</v>
      </c>
      <c r="G1638" s="8">
        <v>808191</v>
      </c>
      <c r="H1638" s="5">
        <f t="shared" si="51"/>
        <v>830254</v>
      </c>
      <c r="I1638">
        <f>IFERROR(VLOOKUP(D1638,'LEAID Match'!$A$2:$B$251,2,FALSE),"")</f>
        <v>4703450</v>
      </c>
    </row>
    <row r="1639" spans="1:9" x14ac:dyDescent="0.2">
      <c r="A1639">
        <f t="shared" si="50"/>
        <v>4703450</v>
      </c>
      <c r="B1639" s="5">
        <v>2017</v>
      </c>
      <c r="C1639" s="1">
        <v>99070</v>
      </c>
      <c r="D1639" t="s">
        <v>379</v>
      </c>
      <c r="E1639" t="s">
        <v>379</v>
      </c>
      <c r="F1639" s="8">
        <v>29275</v>
      </c>
      <c r="G1639" s="8">
        <v>804829</v>
      </c>
      <c r="H1639" s="5">
        <f t="shared" si="51"/>
        <v>834104</v>
      </c>
      <c r="I1639">
        <f>IFERROR(VLOOKUP(D1639,'LEAID Match'!$A$2:$B$251,2,FALSE),"")</f>
        <v>4703450</v>
      </c>
    </row>
    <row r="1640" spans="1:9" x14ac:dyDescent="0.2">
      <c r="A1640">
        <f t="shared" si="50"/>
        <v>4703450</v>
      </c>
      <c r="B1640" s="5">
        <v>2018</v>
      </c>
      <c r="C1640" s="1">
        <v>99070</v>
      </c>
      <c r="D1640" t="s">
        <v>379</v>
      </c>
      <c r="E1640" t="s">
        <v>133</v>
      </c>
      <c r="F1640" s="8">
        <v>37805</v>
      </c>
      <c r="G1640" s="8">
        <v>819504</v>
      </c>
      <c r="H1640" s="5">
        <f t="shared" si="51"/>
        <v>857309</v>
      </c>
      <c r="I1640">
        <f>IFERROR(VLOOKUP(D1640,'LEAID Match'!$A$2:$B$251,2,FALSE),"")</f>
        <v>4703450</v>
      </c>
    </row>
    <row r="1641" spans="1:9" x14ac:dyDescent="0.2">
      <c r="A1641">
        <f t="shared" si="50"/>
        <v>4703450</v>
      </c>
      <c r="B1641" s="5">
        <v>2019</v>
      </c>
      <c r="C1641" s="1">
        <v>99070</v>
      </c>
      <c r="D1641" t="s">
        <v>379</v>
      </c>
      <c r="E1641" t="s">
        <v>379</v>
      </c>
      <c r="F1641" s="8">
        <v>23495</v>
      </c>
      <c r="G1641" s="8">
        <v>921441</v>
      </c>
      <c r="H1641" s="5">
        <f t="shared" si="51"/>
        <v>944936</v>
      </c>
      <c r="I1641">
        <f>IFERROR(VLOOKUP(D1641,'LEAID Match'!$A$2:$B$251,2,FALSE),"")</f>
        <v>4703450</v>
      </c>
    </row>
    <row r="1642" spans="1:9" x14ac:dyDescent="0.2">
      <c r="A1642">
        <f t="shared" si="50"/>
        <v>4703450</v>
      </c>
      <c r="B1642" s="5">
        <v>2020</v>
      </c>
      <c r="C1642" s="1">
        <v>99070</v>
      </c>
      <c r="D1642" t="s">
        <v>379</v>
      </c>
      <c r="E1642" t="s">
        <v>379</v>
      </c>
      <c r="F1642" s="8">
        <v>28224</v>
      </c>
      <c r="G1642" s="8">
        <v>925096</v>
      </c>
      <c r="H1642" s="5">
        <f t="shared" si="51"/>
        <v>953320</v>
      </c>
      <c r="I1642">
        <f>IFERROR(VLOOKUP(D1642,'LEAID Match'!$A$2:$B$251,2,FALSE),"")</f>
        <v>4703450</v>
      </c>
    </row>
    <row r="1643" spans="1:9" x14ac:dyDescent="0.2">
      <c r="A1643">
        <f t="shared" si="50"/>
        <v>4703450</v>
      </c>
      <c r="B1643" s="5">
        <v>2021</v>
      </c>
      <c r="C1643" s="1">
        <v>99070</v>
      </c>
      <c r="D1643" t="s">
        <v>379</v>
      </c>
      <c r="E1643" t="s">
        <v>379</v>
      </c>
      <c r="F1643" s="8">
        <v>39003</v>
      </c>
      <c r="G1643" s="8">
        <v>852604</v>
      </c>
      <c r="H1643" s="5">
        <f t="shared" si="51"/>
        <v>891607</v>
      </c>
      <c r="I1643">
        <f>IFERROR(VLOOKUP(D1643,'LEAID Match'!$A$2:$B$251,2,FALSE),"")</f>
        <v>4703450</v>
      </c>
    </row>
    <row r="1644" spans="1:9" x14ac:dyDescent="0.2">
      <c r="A1644">
        <f t="shared" si="50"/>
        <v>4703450</v>
      </c>
      <c r="B1644" s="5">
        <v>2022</v>
      </c>
      <c r="C1644" s="1">
        <v>99070</v>
      </c>
      <c r="D1644" t="s">
        <v>379</v>
      </c>
      <c r="E1644" t="s">
        <v>379</v>
      </c>
      <c r="F1644" s="8">
        <v>60202.22</v>
      </c>
      <c r="G1644" s="8">
        <v>930179.33</v>
      </c>
      <c r="H1644" s="5">
        <f t="shared" si="51"/>
        <v>990381.54999999993</v>
      </c>
      <c r="I1644">
        <f>IFERROR(VLOOKUP(D1644,'LEAID Match'!$A$2:$B$251,2,FALSE),"")</f>
        <v>4703450</v>
      </c>
    </row>
    <row r="1645" spans="1:9" x14ac:dyDescent="0.2">
      <c r="A1645">
        <f t="shared" si="50"/>
        <v>4703450</v>
      </c>
      <c r="B1645" s="5">
        <v>2023</v>
      </c>
      <c r="C1645" s="1">
        <v>99070</v>
      </c>
      <c r="D1645" t="s">
        <v>379</v>
      </c>
      <c r="E1645" t="s">
        <v>379</v>
      </c>
      <c r="F1645" s="8">
        <v>98261.1</v>
      </c>
      <c r="G1645" s="8">
        <v>740499.93</v>
      </c>
      <c r="H1645" s="5">
        <f t="shared" si="51"/>
        <v>838761.03</v>
      </c>
      <c r="I1645">
        <f>IFERROR(VLOOKUP(D1645,'LEAID Match'!$A$2:$B$251,2,FALSE),"")</f>
        <v>4703450</v>
      </c>
    </row>
    <row r="1646" spans="1:9" x14ac:dyDescent="0.2">
      <c r="A1646">
        <f t="shared" si="50"/>
        <v>0</v>
      </c>
      <c r="B1646" s="5">
        <v>2016</v>
      </c>
      <c r="C1646" s="1">
        <v>97960</v>
      </c>
      <c r="D1646" t="s">
        <v>380</v>
      </c>
      <c r="E1646" t="s">
        <v>197</v>
      </c>
      <c r="F1646" s="8">
        <v>26843</v>
      </c>
      <c r="G1646" s="8">
        <v>31590</v>
      </c>
      <c r="H1646" s="5">
        <f t="shared" si="51"/>
        <v>58433</v>
      </c>
      <c r="I1646">
        <f>IFERROR(VLOOKUP(D1646,'LEAID Match'!$A$2:$B$251,2,FALSE),"")</f>
        <v>0</v>
      </c>
    </row>
    <row r="1647" spans="1:9" x14ac:dyDescent="0.2">
      <c r="A1647">
        <f t="shared" si="50"/>
        <v>0</v>
      </c>
      <c r="B1647" s="5">
        <v>2017</v>
      </c>
      <c r="C1647" s="1">
        <v>97960</v>
      </c>
      <c r="D1647" t="s">
        <v>380</v>
      </c>
      <c r="E1647" t="s">
        <v>380</v>
      </c>
      <c r="F1647" s="8">
        <v>26264</v>
      </c>
      <c r="G1647" s="8">
        <v>32774</v>
      </c>
      <c r="H1647" s="5">
        <f t="shared" si="51"/>
        <v>59038</v>
      </c>
      <c r="I1647">
        <f>IFERROR(VLOOKUP(D1647,'LEAID Match'!$A$2:$B$251,2,FALSE),"")</f>
        <v>0</v>
      </c>
    </row>
    <row r="1648" spans="1:9" x14ac:dyDescent="0.2">
      <c r="A1648">
        <f t="shared" si="50"/>
        <v>0</v>
      </c>
      <c r="B1648" s="5">
        <v>2018</v>
      </c>
      <c r="C1648" s="1">
        <v>97960</v>
      </c>
      <c r="D1648" t="s">
        <v>380</v>
      </c>
      <c r="E1648" t="s">
        <v>197</v>
      </c>
      <c r="F1648" s="8" t="s">
        <v>591</v>
      </c>
      <c r="G1648" s="8" t="s">
        <v>591</v>
      </c>
      <c r="H1648" s="5">
        <f t="shared" si="51"/>
        <v>0</v>
      </c>
      <c r="I1648">
        <f>IFERROR(VLOOKUP(D1648,'LEAID Match'!$A$2:$B$251,2,FALSE),"")</f>
        <v>0</v>
      </c>
    </row>
    <row r="1649" spans="1:9" x14ac:dyDescent="0.2">
      <c r="A1649">
        <f t="shared" si="50"/>
        <v>0</v>
      </c>
      <c r="B1649" s="5">
        <v>2019</v>
      </c>
      <c r="C1649" s="1">
        <v>97960</v>
      </c>
      <c r="D1649" t="s">
        <v>380</v>
      </c>
      <c r="E1649" t="s">
        <v>380</v>
      </c>
      <c r="F1649" s="8" t="s">
        <v>591</v>
      </c>
      <c r="G1649" s="8" t="s">
        <v>591</v>
      </c>
      <c r="H1649" s="5">
        <f t="shared" si="51"/>
        <v>0</v>
      </c>
      <c r="I1649">
        <f>IFERROR(VLOOKUP(D1649,'LEAID Match'!$A$2:$B$251,2,FALSE),"")</f>
        <v>0</v>
      </c>
    </row>
    <row r="1650" spans="1:9" x14ac:dyDescent="0.2">
      <c r="A1650">
        <f t="shared" si="50"/>
        <v>0</v>
      </c>
      <c r="B1650" s="5">
        <v>2020</v>
      </c>
      <c r="C1650" s="1">
        <v>97960</v>
      </c>
      <c r="D1650" t="s">
        <v>380</v>
      </c>
      <c r="E1650" t="s">
        <v>380</v>
      </c>
      <c r="F1650" s="8" t="s">
        <v>591</v>
      </c>
      <c r="G1650" s="8" t="s">
        <v>591</v>
      </c>
      <c r="H1650" s="5">
        <f t="shared" si="51"/>
        <v>0</v>
      </c>
      <c r="I1650">
        <f>IFERROR(VLOOKUP(D1650,'LEAID Match'!$A$2:$B$251,2,FALSE),"")</f>
        <v>0</v>
      </c>
    </row>
    <row r="1651" spans="1:9" x14ac:dyDescent="0.2">
      <c r="A1651">
        <f t="shared" si="50"/>
        <v>0</v>
      </c>
      <c r="B1651" s="5">
        <v>2021</v>
      </c>
      <c r="C1651" s="1">
        <v>97960</v>
      </c>
      <c r="D1651" t="s">
        <v>380</v>
      </c>
      <c r="E1651" t="s">
        <v>380</v>
      </c>
      <c r="F1651" s="8" t="s">
        <v>591</v>
      </c>
      <c r="G1651" s="8" t="s">
        <v>591</v>
      </c>
      <c r="H1651" s="5">
        <f t="shared" si="51"/>
        <v>0</v>
      </c>
      <c r="I1651">
        <f>IFERROR(VLOOKUP(D1651,'LEAID Match'!$A$2:$B$251,2,FALSE),"")</f>
        <v>0</v>
      </c>
    </row>
    <row r="1652" spans="1:9" x14ac:dyDescent="0.2">
      <c r="A1652">
        <f t="shared" si="50"/>
        <v>0</v>
      </c>
      <c r="B1652" s="5">
        <v>2022</v>
      </c>
      <c r="C1652" s="1">
        <v>97960</v>
      </c>
      <c r="D1652" t="s">
        <v>380</v>
      </c>
      <c r="E1652" t="s">
        <v>380</v>
      </c>
      <c r="F1652" s="8" t="s">
        <v>591</v>
      </c>
      <c r="G1652" s="8" t="s">
        <v>591</v>
      </c>
      <c r="H1652" s="5">
        <f t="shared" si="51"/>
        <v>0</v>
      </c>
      <c r="I1652">
        <f>IFERROR(VLOOKUP(D1652,'LEAID Match'!$A$2:$B$251,2,FALSE),"")</f>
        <v>0</v>
      </c>
    </row>
    <row r="1653" spans="1:9" x14ac:dyDescent="0.2">
      <c r="A1653">
        <f t="shared" si="50"/>
        <v>0</v>
      </c>
      <c r="B1653" s="5">
        <v>2023</v>
      </c>
      <c r="C1653" s="1">
        <v>97960</v>
      </c>
      <c r="D1653" t="s">
        <v>380</v>
      </c>
      <c r="E1653" t="s">
        <v>380</v>
      </c>
      <c r="F1653" s="8" t="s">
        <v>591</v>
      </c>
      <c r="G1653" s="8" t="s">
        <v>591</v>
      </c>
      <c r="H1653" s="5">
        <f t="shared" si="51"/>
        <v>0</v>
      </c>
      <c r="I1653">
        <f>IFERROR(VLOOKUP(D1653,'LEAID Match'!$A$2:$B$251,2,FALSE),"")</f>
        <v>0</v>
      </c>
    </row>
    <row r="1654" spans="1:9" x14ac:dyDescent="0.2">
      <c r="A1654">
        <f t="shared" si="50"/>
        <v>0</v>
      </c>
      <c r="B1654" s="5">
        <v>2015</v>
      </c>
      <c r="C1654" s="1">
        <v>97945</v>
      </c>
      <c r="D1654" t="s">
        <v>381</v>
      </c>
      <c r="E1654" t="s">
        <v>135</v>
      </c>
      <c r="F1654" s="8">
        <v>7213</v>
      </c>
      <c r="G1654" s="8">
        <v>139394</v>
      </c>
      <c r="H1654" s="5">
        <f t="shared" si="51"/>
        <v>146607</v>
      </c>
      <c r="I1654">
        <f>IFERROR(VLOOKUP(D1654,'LEAID Match'!$A$2:$B$251,2,FALSE),"")</f>
        <v>0</v>
      </c>
    </row>
    <row r="1655" spans="1:9" x14ac:dyDescent="0.2">
      <c r="A1655">
        <f t="shared" si="50"/>
        <v>0</v>
      </c>
      <c r="B1655" s="5">
        <v>2016</v>
      </c>
      <c r="C1655" s="1">
        <v>97945</v>
      </c>
      <c r="D1655" t="s">
        <v>381</v>
      </c>
      <c r="E1655" t="s">
        <v>135</v>
      </c>
      <c r="F1655" s="8">
        <v>24992</v>
      </c>
      <c r="G1655" s="8">
        <v>111014</v>
      </c>
      <c r="H1655" s="5">
        <f t="shared" si="51"/>
        <v>136006</v>
      </c>
      <c r="I1655">
        <f>IFERROR(VLOOKUP(D1655,'LEAID Match'!$A$2:$B$251,2,FALSE),"")</f>
        <v>0</v>
      </c>
    </row>
    <row r="1656" spans="1:9" x14ac:dyDescent="0.2">
      <c r="A1656">
        <f t="shared" si="50"/>
        <v>0</v>
      </c>
      <c r="B1656" s="5">
        <v>2017</v>
      </c>
      <c r="C1656" s="1">
        <v>97945</v>
      </c>
      <c r="D1656" t="s">
        <v>381</v>
      </c>
      <c r="E1656" t="s">
        <v>381</v>
      </c>
      <c r="F1656" s="8">
        <v>24903</v>
      </c>
      <c r="G1656" s="8">
        <v>70514</v>
      </c>
      <c r="H1656" s="5">
        <f t="shared" si="51"/>
        <v>95417</v>
      </c>
      <c r="I1656">
        <f>IFERROR(VLOOKUP(D1656,'LEAID Match'!$A$2:$B$251,2,FALSE),"")</f>
        <v>0</v>
      </c>
    </row>
    <row r="1657" spans="1:9" x14ac:dyDescent="0.2">
      <c r="A1657">
        <f t="shared" si="50"/>
        <v>0</v>
      </c>
      <c r="B1657" s="5">
        <v>2018</v>
      </c>
      <c r="C1657" s="1">
        <v>97945</v>
      </c>
      <c r="D1657" t="s">
        <v>381</v>
      </c>
      <c r="E1657" t="s">
        <v>135</v>
      </c>
      <c r="F1657" s="8" t="s">
        <v>591</v>
      </c>
      <c r="G1657" s="8" t="s">
        <v>591</v>
      </c>
      <c r="H1657" s="5">
        <f t="shared" si="51"/>
        <v>0</v>
      </c>
      <c r="I1657">
        <f>IFERROR(VLOOKUP(D1657,'LEAID Match'!$A$2:$B$251,2,FALSE),"")</f>
        <v>0</v>
      </c>
    </row>
    <row r="1658" spans="1:9" x14ac:dyDescent="0.2">
      <c r="A1658">
        <f t="shared" si="50"/>
        <v>0</v>
      </c>
      <c r="B1658" s="5">
        <v>2019</v>
      </c>
      <c r="C1658" s="1">
        <v>97945</v>
      </c>
      <c r="D1658" t="s">
        <v>381</v>
      </c>
      <c r="E1658" t="s">
        <v>381</v>
      </c>
      <c r="F1658" s="8" t="s">
        <v>591</v>
      </c>
      <c r="G1658" s="8" t="s">
        <v>591</v>
      </c>
      <c r="H1658" s="5">
        <f t="shared" si="51"/>
        <v>0</v>
      </c>
      <c r="I1658">
        <f>IFERROR(VLOOKUP(D1658,'LEAID Match'!$A$2:$B$251,2,FALSE),"")</f>
        <v>0</v>
      </c>
    </row>
    <row r="1659" spans="1:9" x14ac:dyDescent="0.2">
      <c r="A1659">
        <f t="shared" si="50"/>
        <v>0</v>
      </c>
      <c r="B1659" s="5">
        <v>2020</v>
      </c>
      <c r="C1659" s="1">
        <v>97945</v>
      </c>
      <c r="D1659" t="s">
        <v>381</v>
      </c>
      <c r="E1659" t="s">
        <v>381</v>
      </c>
      <c r="F1659" s="8" t="s">
        <v>591</v>
      </c>
      <c r="G1659" s="8" t="s">
        <v>591</v>
      </c>
      <c r="H1659" s="5">
        <f t="shared" si="51"/>
        <v>0</v>
      </c>
      <c r="I1659">
        <f>IFERROR(VLOOKUP(D1659,'LEAID Match'!$A$2:$B$251,2,FALSE),"")</f>
        <v>0</v>
      </c>
    </row>
    <row r="1660" spans="1:9" x14ac:dyDescent="0.2">
      <c r="A1660">
        <f t="shared" si="50"/>
        <v>0</v>
      </c>
      <c r="B1660" s="5">
        <v>2021</v>
      </c>
      <c r="C1660" s="1">
        <v>97945</v>
      </c>
      <c r="D1660" t="s">
        <v>381</v>
      </c>
      <c r="E1660" t="s">
        <v>381</v>
      </c>
      <c r="F1660" s="8" t="s">
        <v>591</v>
      </c>
      <c r="G1660" s="8" t="s">
        <v>591</v>
      </c>
      <c r="H1660" s="5">
        <f t="shared" si="51"/>
        <v>0</v>
      </c>
      <c r="I1660">
        <f>IFERROR(VLOOKUP(D1660,'LEAID Match'!$A$2:$B$251,2,FALSE),"")</f>
        <v>0</v>
      </c>
    </row>
    <row r="1661" spans="1:9" x14ac:dyDescent="0.2">
      <c r="A1661">
        <f t="shared" si="50"/>
        <v>0</v>
      </c>
      <c r="B1661" s="5">
        <v>2022</v>
      </c>
      <c r="C1661" s="1">
        <v>97945</v>
      </c>
      <c r="D1661" t="s">
        <v>381</v>
      </c>
      <c r="E1661" t="s">
        <v>381</v>
      </c>
      <c r="F1661" s="8" t="s">
        <v>591</v>
      </c>
      <c r="G1661" s="8" t="s">
        <v>591</v>
      </c>
      <c r="H1661" s="5">
        <f t="shared" si="51"/>
        <v>0</v>
      </c>
      <c r="I1661">
        <f>IFERROR(VLOOKUP(D1661,'LEAID Match'!$A$2:$B$251,2,FALSE),"")</f>
        <v>0</v>
      </c>
    </row>
    <row r="1662" spans="1:9" x14ac:dyDescent="0.2">
      <c r="A1662">
        <f t="shared" si="50"/>
        <v>0</v>
      </c>
      <c r="B1662" s="5">
        <v>2023</v>
      </c>
      <c r="C1662" s="1">
        <v>97945</v>
      </c>
      <c r="D1662" t="s">
        <v>381</v>
      </c>
      <c r="E1662" t="s">
        <v>381</v>
      </c>
      <c r="F1662" s="8" t="s">
        <v>591</v>
      </c>
      <c r="G1662" s="8" t="s">
        <v>591</v>
      </c>
      <c r="H1662" s="5">
        <f t="shared" si="51"/>
        <v>0</v>
      </c>
      <c r="I1662">
        <f>IFERROR(VLOOKUP(D1662,'LEAID Match'!$A$2:$B$251,2,FALSE),"")</f>
        <v>0</v>
      </c>
    </row>
    <row r="1663" spans="1:9" x14ac:dyDescent="0.2">
      <c r="A1663">
        <f t="shared" si="50"/>
        <v>0</v>
      </c>
      <c r="B1663" s="5">
        <v>2015</v>
      </c>
      <c r="C1663" s="1">
        <v>91914</v>
      </c>
      <c r="D1663" t="s">
        <v>382</v>
      </c>
      <c r="E1663" t="s">
        <v>136</v>
      </c>
      <c r="F1663" s="8">
        <v>1574</v>
      </c>
      <c r="G1663" s="8">
        <v>62321</v>
      </c>
      <c r="H1663" s="5">
        <f t="shared" si="51"/>
        <v>63895</v>
      </c>
      <c r="I1663">
        <f>IFERROR(VLOOKUP(D1663,'LEAID Match'!$A$2:$B$251,2,FALSE),"")</f>
        <v>0</v>
      </c>
    </row>
    <row r="1664" spans="1:9" x14ac:dyDescent="0.2">
      <c r="A1664">
        <f t="shared" si="50"/>
        <v>0</v>
      </c>
      <c r="B1664" s="5">
        <v>2016</v>
      </c>
      <c r="C1664" s="1">
        <v>91914</v>
      </c>
      <c r="D1664" t="s">
        <v>382</v>
      </c>
      <c r="E1664" t="s">
        <v>136</v>
      </c>
      <c r="F1664" s="8">
        <v>4036</v>
      </c>
      <c r="G1664" s="8">
        <v>64849</v>
      </c>
      <c r="H1664" s="5">
        <f t="shared" si="51"/>
        <v>68885</v>
      </c>
      <c r="I1664">
        <f>IFERROR(VLOOKUP(D1664,'LEAID Match'!$A$2:$B$251,2,FALSE),"")</f>
        <v>0</v>
      </c>
    </row>
    <row r="1665" spans="1:9" x14ac:dyDescent="0.2">
      <c r="A1665">
        <f t="shared" si="50"/>
        <v>0</v>
      </c>
      <c r="B1665" s="5">
        <v>2017</v>
      </c>
      <c r="C1665" s="1">
        <v>91914</v>
      </c>
      <c r="D1665" t="s">
        <v>382</v>
      </c>
      <c r="E1665" t="s">
        <v>382</v>
      </c>
      <c r="F1665" s="8">
        <v>7214</v>
      </c>
      <c r="G1665" s="8">
        <v>56315</v>
      </c>
      <c r="H1665" s="5">
        <f t="shared" si="51"/>
        <v>63529</v>
      </c>
      <c r="I1665">
        <f>IFERROR(VLOOKUP(D1665,'LEAID Match'!$A$2:$B$251,2,FALSE),"")</f>
        <v>0</v>
      </c>
    </row>
    <row r="1666" spans="1:9" x14ac:dyDescent="0.2">
      <c r="A1666">
        <f t="shared" si="50"/>
        <v>0</v>
      </c>
      <c r="B1666" s="5">
        <v>2018</v>
      </c>
      <c r="C1666" s="1">
        <v>91914</v>
      </c>
      <c r="D1666" t="s">
        <v>382</v>
      </c>
      <c r="E1666" t="s">
        <v>136</v>
      </c>
      <c r="F1666" s="8">
        <v>9188</v>
      </c>
      <c r="G1666" s="8">
        <v>36744</v>
      </c>
      <c r="H1666" s="5">
        <f t="shared" si="51"/>
        <v>45932</v>
      </c>
      <c r="I1666">
        <f>IFERROR(VLOOKUP(D1666,'LEAID Match'!$A$2:$B$251,2,FALSE),"")</f>
        <v>0</v>
      </c>
    </row>
    <row r="1667" spans="1:9" x14ac:dyDescent="0.2">
      <c r="A1667">
        <f t="shared" ref="A1667:A1730" si="52">I1667</f>
        <v>0</v>
      </c>
      <c r="B1667" s="5">
        <v>2019</v>
      </c>
      <c r="C1667" s="1">
        <v>91914</v>
      </c>
      <c r="D1667" t="s">
        <v>382</v>
      </c>
      <c r="E1667" t="s">
        <v>493</v>
      </c>
      <c r="F1667" s="8">
        <v>5311</v>
      </c>
      <c r="G1667" s="8">
        <v>51412</v>
      </c>
      <c r="H1667" s="5">
        <f t="shared" ref="H1667:H1730" si="53">SUM(F1667:G1667)</f>
        <v>56723</v>
      </c>
      <c r="I1667">
        <f>IFERROR(VLOOKUP(D1667,'LEAID Match'!$A$2:$B$251,2,FALSE),"")</f>
        <v>0</v>
      </c>
    </row>
    <row r="1668" spans="1:9" x14ac:dyDescent="0.2">
      <c r="A1668">
        <f t="shared" si="52"/>
        <v>0</v>
      </c>
      <c r="B1668" s="5">
        <v>2020</v>
      </c>
      <c r="C1668" s="1">
        <v>91914</v>
      </c>
      <c r="D1668" t="s">
        <v>382</v>
      </c>
      <c r="E1668" t="s">
        <v>382</v>
      </c>
      <c r="F1668" s="8">
        <v>6069</v>
      </c>
      <c r="G1668" s="8">
        <v>63621</v>
      </c>
      <c r="H1668" s="5">
        <f t="shared" si="53"/>
        <v>69690</v>
      </c>
      <c r="I1668">
        <f>IFERROR(VLOOKUP(D1668,'LEAID Match'!$A$2:$B$251,2,FALSE),"")</f>
        <v>0</v>
      </c>
    </row>
    <row r="1669" spans="1:9" x14ac:dyDescent="0.2">
      <c r="A1669">
        <f t="shared" si="52"/>
        <v>0</v>
      </c>
      <c r="B1669" s="5">
        <v>2021</v>
      </c>
      <c r="C1669" s="1">
        <v>91914</v>
      </c>
      <c r="D1669" t="s">
        <v>382</v>
      </c>
      <c r="E1669" t="s">
        <v>493</v>
      </c>
      <c r="F1669" s="8">
        <v>7774</v>
      </c>
      <c r="G1669" s="8">
        <v>62592</v>
      </c>
      <c r="H1669" s="5">
        <f t="shared" si="53"/>
        <v>70366</v>
      </c>
      <c r="I1669">
        <f>IFERROR(VLOOKUP(D1669,'LEAID Match'!$A$2:$B$251,2,FALSE),"")</f>
        <v>0</v>
      </c>
    </row>
    <row r="1670" spans="1:9" x14ac:dyDescent="0.2">
      <c r="A1670">
        <f t="shared" si="52"/>
        <v>0</v>
      </c>
      <c r="B1670" s="5">
        <v>2022</v>
      </c>
      <c r="C1670" s="1">
        <v>91914</v>
      </c>
      <c r="D1670" t="s">
        <v>382</v>
      </c>
      <c r="E1670" t="s">
        <v>493</v>
      </c>
      <c r="F1670" s="8">
        <v>9617.85</v>
      </c>
      <c r="G1670" s="8">
        <v>77276.94</v>
      </c>
      <c r="H1670" s="5">
        <f t="shared" si="53"/>
        <v>86894.790000000008</v>
      </c>
      <c r="I1670">
        <f>IFERROR(VLOOKUP(D1670,'LEAID Match'!$A$2:$B$251,2,FALSE),"")</f>
        <v>0</v>
      </c>
    </row>
    <row r="1671" spans="1:9" x14ac:dyDescent="0.2">
      <c r="A1671">
        <f t="shared" si="52"/>
        <v>0</v>
      </c>
      <c r="B1671" s="5">
        <v>2023</v>
      </c>
      <c r="C1671" s="1">
        <v>91914</v>
      </c>
      <c r="D1671" t="s">
        <v>382</v>
      </c>
      <c r="E1671" t="s">
        <v>382</v>
      </c>
      <c r="F1671" s="8">
        <v>16574</v>
      </c>
      <c r="G1671" s="8">
        <v>81296.679999999906</v>
      </c>
      <c r="H1671" s="5">
        <f t="shared" si="53"/>
        <v>97870.679999999906</v>
      </c>
      <c r="I1671">
        <f>IFERROR(VLOOKUP(D1671,'LEAID Match'!$A$2:$B$251,2,FALSE),"")</f>
        <v>0</v>
      </c>
    </row>
    <row r="1672" spans="1:9" x14ac:dyDescent="0.2">
      <c r="A1672">
        <f t="shared" si="52"/>
        <v>0</v>
      </c>
      <c r="B1672" s="5">
        <v>2015</v>
      </c>
      <c r="C1672" s="1">
        <v>97946</v>
      </c>
      <c r="D1672" t="s">
        <v>383</v>
      </c>
      <c r="E1672" t="s">
        <v>137</v>
      </c>
      <c r="F1672" s="8">
        <v>11477</v>
      </c>
      <c r="G1672" s="8">
        <v>144816</v>
      </c>
      <c r="H1672" s="5">
        <f t="shared" si="53"/>
        <v>156293</v>
      </c>
      <c r="I1672">
        <f>IFERROR(VLOOKUP(D1672,'LEAID Match'!$A$2:$B$251,2,FALSE),"")</f>
        <v>0</v>
      </c>
    </row>
    <row r="1673" spans="1:9" x14ac:dyDescent="0.2">
      <c r="A1673">
        <f t="shared" si="52"/>
        <v>0</v>
      </c>
      <c r="B1673" s="5">
        <v>2016</v>
      </c>
      <c r="C1673" s="1">
        <v>97946</v>
      </c>
      <c r="D1673" t="s">
        <v>383</v>
      </c>
      <c r="E1673" t="s">
        <v>137</v>
      </c>
      <c r="F1673" s="8">
        <v>19838</v>
      </c>
      <c r="G1673" s="8">
        <v>117039</v>
      </c>
      <c r="H1673" s="5">
        <f t="shared" si="53"/>
        <v>136877</v>
      </c>
      <c r="I1673">
        <f>IFERROR(VLOOKUP(D1673,'LEAID Match'!$A$2:$B$251,2,FALSE),"")</f>
        <v>0</v>
      </c>
    </row>
    <row r="1674" spans="1:9" x14ac:dyDescent="0.2">
      <c r="A1674">
        <f t="shared" si="52"/>
        <v>0</v>
      </c>
      <c r="B1674" s="5">
        <v>2017</v>
      </c>
      <c r="C1674" s="1">
        <v>97946</v>
      </c>
      <c r="D1674" t="s">
        <v>383</v>
      </c>
      <c r="E1674" t="s">
        <v>383</v>
      </c>
      <c r="F1674" s="8">
        <v>23342</v>
      </c>
      <c r="G1674" s="8">
        <v>87047</v>
      </c>
      <c r="H1674" s="5">
        <f t="shared" si="53"/>
        <v>110389</v>
      </c>
      <c r="I1674">
        <f>IFERROR(VLOOKUP(D1674,'LEAID Match'!$A$2:$B$251,2,FALSE),"")</f>
        <v>0</v>
      </c>
    </row>
    <row r="1675" spans="1:9" x14ac:dyDescent="0.2">
      <c r="A1675">
        <f t="shared" si="52"/>
        <v>0</v>
      </c>
      <c r="B1675" s="5">
        <v>2018</v>
      </c>
      <c r="C1675" s="1">
        <v>97946</v>
      </c>
      <c r="D1675" t="s">
        <v>383</v>
      </c>
      <c r="E1675" t="s">
        <v>137</v>
      </c>
      <c r="F1675" s="8">
        <v>27522</v>
      </c>
      <c r="G1675" s="8">
        <v>84569</v>
      </c>
      <c r="H1675" s="5">
        <f t="shared" si="53"/>
        <v>112091</v>
      </c>
      <c r="I1675">
        <f>IFERROR(VLOOKUP(D1675,'LEAID Match'!$A$2:$B$251,2,FALSE),"")</f>
        <v>0</v>
      </c>
    </row>
    <row r="1676" spans="1:9" x14ac:dyDescent="0.2">
      <c r="A1676">
        <f t="shared" si="52"/>
        <v>0</v>
      </c>
      <c r="B1676" s="5">
        <v>2019</v>
      </c>
      <c r="C1676" s="1">
        <v>97946</v>
      </c>
      <c r="D1676" t="s">
        <v>383</v>
      </c>
      <c r="E1676" t="s">
        <v>383</v>
      </c>
      <c r="F1676" s="8">
        <v>16474</v>
      </c>
      <c r="G1676" s="8">
        <v>105615</v>
      </c>
      <c r="H1676" s="5">
        <f t="shared" si="53"/>
        <v>122089</v>
      </c>
      <c r="I1676">
        <f>IFERROR(VLOOKUP(D1676,'LEAID Match'!$A$2:$B$251,2,FALSE),"")</f>
        <v>0</v>
      </c>
    </row>
    <row r="1677" spans="1:9" x14ac:dyDescent="0.2">
      <c r="A1677">
        <f t="shared" si="52"/>
        <v>0</v>
      </c>
      <c r="B1677" s="5">
        <v>2020</v>
      </c>
      <c r="C1677" s="1">
        <v>97946</v>
      </c>
      <c r="D1677" t="s">
        <v>383</v>
      </c>
      <c r="E1677" t="s">
        <v>383</v>
      </c>
      <c r="F1677" s="8">
        <v>14486</v>
      </c>
      <c r="G1677" s="8">
        <v>108255</v>
      </c>
      <c r="H1677" s="5">
        <f t="shared" si="53"/>
        <v>122741</v>
      </c>
      <c r="I1677">
        <f>IFERROR(VLOOKUP(D1677,'LEAID Match'!$A$2:$B$251,2,FALSE),"")</f>
        <v>0</v>
      </c>
    </row>
    <row r="1678" spans="1:9" x14ac:dyDescent="0.2">
      <c r="A1678">
        <f t="shared" si="52"/>
        <v>0</v>
      </c>
      <c r="B1678" s="5">
        <v>2021</v>
      </c>
      <c r="C1678" s="1">
        <v>97946</v>
      </c>
      <c r="D1678" t="s">
        <v>383</v>
      </c>
      <c r="E1678" t="s">
        <v>383</v>
      </c>
      <c r="F1678" s="8">
        <v>13890</v>
      </c>
      <c r="G1678" s="8">
        <v>94426</v>
      </c>
      <c r="H1678" s="5">
        <f t="shared" si="53"/>
        <v>108316</v>
      </c>
      <c r="I1678">
        <f>IFERROR(VLOOKUP(D1678,'LEAID Match'!$A$2:$B$251,2,FALSE),"")</f>
        <v>0</v>
      </c>
    </row>
    <row r="1679" spans="1:9" x14ac:dyDescent="0.2">
      <c r="A1679">
        <f t="shared" si="52"/>
        <v>0</v>
      </c>
      <c r="B1679" s="5">
        <v>2022</v>
      </c>
      <c r="C1679" s="1">
        <v>97946</v>
      </c>
      <c r="D1679" t="s">
        <v>383</v>
      </c>
      <c r="E1679" t="s">
        <v>383</v>
      </c>
      <c r="F1679" s="8">
        <v>22961.29</v>
      </c>
      <c r="G1679" s="8">
        <v>86370.64</v>
      </c>
      <c r="H1679" s="5">
        <f t="shared" si="53"/>
        <v>109331.93</v>
      </c>
      <c r="I1679">
        <f>IFERROR(VLOOKUP(D1679,'LEAID Match'!$A$2:$B$251,2,FALSE),"")</f>
        <v>0</v>
      </c>
    </row>
    <row r="1680" spans="1:9" x14ac:dyDescent="0.2">
      <c r="A1680">
        <f t="shared" si="52"/>
        <v>0</v>
      </c>
      <c r="B1680" s="5">
        <v>2023</v>
      </c>
      <c r="C1680" s="1">
        <v>97946</v>
      </c>
      <c r="D1680" t="s">
        <v>383</v>
      </c>
      <c r="E1680" t="s">
        <v>383</v>
      </c>
      <c r="F1680" s="8">
        <v>24314.07</v>
      </c>
      <c r="G1680" s="8">
        <v>74766.149999999907</v>
      </c>
      <c r="H1680" s="5">
        <f t="shared" si="53"/>
        <v>99080.219999999914</v>
      </c>
      <c r="I1680">
        <f>IFERROR(VLOOKUP(D1680,'LEAID Match'!$A$2:$B$251,2,FALSE),"")</f>
        <v>0</v>
      </c>
    </row>
    <row r="1681" spans="1:9" x14ac:dyDescent="0.2">
      <c r="A1681">
        <f t="shared" si="52"/>
        <v>0</v>
      </c>
      <c r="B1681" s="5">
        <v>2015</v>
      </c>
      <c r="C1681" s="1">
        <v>91915</v>
      </c>
      <c r="D1681" t="s">
        <v>384</v>
      </c>
      <c r="E1681" t="s">
        <v>138</v>
      </c>
      <c r="F1681" s="8">
        <v>10211</v>
      </c>
      <c r="G1681" s="8">
        <v>24063</v>
      </c>
      <c r="H1681" s="5">
        <f t="shared" si="53"/>
        <v>34274</v>
      </c>
      <c r="I1681">
        <f>IFERROR(VLOOKUP(D1681,'LEAID Match'!$A$2:$B$251,2,FALSE),"")</f>
        <v>0</v>
      </c>
    </row>
    <row r="1682" spans="1:9" x14ac:dyDescent="0.2">
      <c r="A1682">
        <f t="shared" si="52"/>
        <v>0</v>
      </c>
      <c r="B1682" s="5">
        <v>2016</v>
      </c>
      <c r="C1682" s="1">
        <v>91915</v>
      </c>
      <c r="D1682" t="s">
        <v>384</v>
      </c>
      <c r="E1682" t="s">
        <v>138</v>
      </c>
      <c r="F1682" s="8">
        <v>22479</v>
      </c>
      <c r="G1682" s="8">
        <v>15173</v>
      </c>
      <c r="H1682" s="5">
        <f t="shared" si="53"/>
        <v>37652</v>
      </c>
      <c r="I1682">
        <f>IFERROR(VLOOKUP(D1682,'LEAID Match'!$A$2:$B$251,2,FALSE),"")</f>
        <v>0</v>
      </c>
    </row>
    <row r="1683" spans="1:9" x14ac:dyDescent="0.2">
      <c r="A1683">
        <f t="shared" si="52"/>
        <v>0</v>
      </c>
      <c r="B1683" s="5">
        <v>2017</v>
      </c>
      <c r="C1683" s="1">
        <v>91915</v>
      </c>
      <c r="D1683" t="s">
        <v>384</v>
      </c>
      <c r="E1683" t="s">
        <v>384</v>
      </c>
      <c r="F1683" s="8">
        <v>33705</v>
      </c>
      <c r="G1683" s="8">
        <v>21651</v>
      </c>
      <c r="H1683" s="5">
        <f t="shared" si="53"/>
        <v>55356</v>
      </c>
      <c r="I1683">
        <f>IFERROR(VLOOKUP(D1683,'LEAID Match'!$A$2:$B$251,2,FALSE),"")</f>
        <v>0</v>
      </c>
    </row>
    <row r="1684" spans="1:9" x14ac:dyDescent="0.2">
      <c r="A1684">
        <f t="shared" si="52"/>
        <v>0</v>
      </c>
      <c r="B1684" s="5">
        <v>2018</v>
      </c>
      <c r="C1684" s="1">
        <v>91915</v>
      </c>
      <c r="D1684" t="s">
        <v>384</v>
      </c>
      <c r="E1684" t="s">
        <v>138</v>
      </c>
      <c r="F1684" s="8">
        <v>42160</v>
      </c>
      <c r="G1684" s="8">
        <v>22305</v>
      </c>
      <c r="H1684" s="5">
        <f t="shared" si="53"/>
        <v>64465</v>
      </c>
      <c r="I1684">
        <f>IFERROR(VLOOKUP(D1684,'LEAID Match'!$A$2:$B$251,2,FALSE),"")</f>
        <v>0</v>
      </c>
    </row>
    <row r="1685" spans="1:9" x14ac:dyDescent="0.2">
      <c r="A1685">
        <f t="shared" si="52"/>
        <v>0</v>
      </c>
      <c r="B1685" s="5">
        <v>2019</v>
      </c>
      <c r="C1685" s="1">
        <v>91915</v>
      </c>
      <c r="D1685" t="s">
        <v>384</v>
      </c>
      <c r="E1685" t="s">
        <v>138</v>
      </c>
      <c r="F1685" s="8">
        <v>24243</v>
      </c>
      <c r="G1685" s="8">
        <v>15881</v>
      </c>
      <c r="H1685" s="5">
        <f t="shared" si="53"/>
        <v>40124</v>
      </c>
      <c r="I1685">
        <f>IFERROR(VLOOKUP(D1685,'LEAID Match'!$A$2:$B$251,2,FALSE),"")</f>
        <v>0</v>
      </c>
    </row>
    <row r="1686" spans="1:9" x14ac:dyDescent="0.2">
      <c r="A1686">
        <f t="shared" si="52"/>
        <v>0</v>
      </c>
      <c r="B1686" s="5">
        <v>2020</v>
      </c>
      <c r="C1686" s="1">
        <v>91915</v>
      </c>
      <c r="D1686" t="s">
        <v>384</v>
      </c>
      <c r="E1686" t="s">
        <v>384</v>
      </c>
      <c r="F1686" s="8">
        <v>20892.810000000001</v>
      </c>
      <c r="G1686" s="8">
        <v>89568</v>
      </c>
      <c r="H1686" s="5">
        <f t="shared" si="53"/>
        <v>110460.81</v>
      </c>
      <c r="I1686">
        <f>IFERROR(VLOOKUP(D1686,'LEAID Match'!$A$2:$B$251,2,FALSE),"")</f>
        <v>0</v>
      </c>
    </row>
    <row r="1687" spans="1:9" x14ac:dyDescent="0.2">
      <c r="A1687">
        <f t="shared" si="52"/>
        <v>0</v>
      </c>
      <c r="B1687" s="5">
        <v>2021</v>
      </c>
      <c r="C1687" s="1">
        <v>91915</v>
      </c>
      <c r="D1687" t="s">
        <v>384</v>
      </c>
      <c r="E1687" t="s">
        <v>138</v>
      </c>
      <c r="F1687" s="8">
        <v>19970</v>
      </c>
      <c r="G1687" s="8">
        <v>29020</v>
      </c>
      <c r="H1687" s="5">
        <f t="shared" si="53"/>
        <v>48990</v>
      </c>
      <c r="I1687">
        <f>IFERROR(VLOOKUP(D1687,'LEAID Match'!$A$2:$B$251,2,FALSE),"")</f>
        <v>0</v>
      </c>
    </row>
    <row r="1688" spans="1:9" x14ac:dyDescent="0.2">
      <c r="A1688">
        <f t="shared" si="52"/>
        <v>0</v>
      </c>
      <c r="B1688" s="5">
        <v>2022</v>
      </c>
      <c r="C1688" s="1">
        <v>91915</v>
      </c>
      <c r="D1688" t="s">
        <v>384</v>
      </c>
      <c r="E1688" t="s">
        <v>138</v>
      </c>
      <c r="F1688" s="8">
        <v>18623.169999999998</v>
      </c>
      <c r="G1688" s="8">
        <v>32078.61</v>
      </c>
      <c r="H1688" s="5">
        <f t="shared" si="53"/>
        <v>50701.78</v>
      </c>
      <c r="I1688">
        <f>IFERROR(VLOOKUP(D1688,'LEAID Match'!$A$2:$B$251,2,FALSE),"")</f>
        <v>0</v>
      </c>
    </row>
    <row r="1689" spans="1:9" x14ac:dyDescent="0.2">
      <c r="A1689">
        <f t="shared" si="52"/>
        <v>0</v>
      </c>
      <c r="B1689" s="5">
        <v>2023</v>
      </c>
      <c r="C1689" s="1">
        <v>91915</v>
      </c>
      <c r="D1689" t="s">
        <v>384</v>
      </c>
      <c r="E1689" t="s">
        <v>384</v>
      </c>
      <c r="F1689" s="8">
        <v>29844.47</v>
      </c>
      <c r="G1689" s="8">
        <v>30607.47</v>
      </c>
      <c r="H1689" s="5">
        <f t="shared" si="53"/>
        <v>60451.94</v>
      </c>
      <c r="I1689">
        <f>IFERROR(VLOOKUP(D1689,'LEAID Match'!$A$2:$B$251,2,FALSE),"")</f>
        <v>0</v>
      </c>
    </row>
    <row r="1690" spans="1:9" x14ac:dyDescent="0.2">
      <c r="A1690">
        <f t="shared" si="52"/>
        <v>4703480</v>
      </c>
      <c r="B1690" s="5">
        <v>2015</v>
      </c>
      <c r="C1690" s="1">
        <v>99071</v>
      </c>
      <c r="D1690" t="s">
        <v>385</v>
      </c>
      <c r="E1690" t="s">
        <v>139</v>
      </c>
      <c r="F1690" s="8">
        <v>50263</v>
      </c>
      <c r="G1690" s="8">
        <v>3644619</v>
      </c>
      <c r="H1690" s="5">
        <f t="shared" si="53"/>
        <v>3694882</v>
      </c>
      <c r="I1690">
        <f>IFERROR(VLOOKUP(D1690,'LEAID Match'!$A$2:$B$251,2,FALSE),"")</f>
        <v>4703480</v>
      </c>
    </row>
    <row r="1691" spans="1:9" x14ac:dyDescent="0.2">
      <c r="A1691">
        <f t="shared" si="52"/>
        <v>4703480</v>
      </c>
      <c r="B1691" s="5">
        <v>2016</v>
      </c>
      <c r="C1691" s="1">
        <v>99071</v>
      </c>
      <c r="D1691" t="s">
        <v>385</v>
      </c>
      <c r="E1691" t="s">
        <v>139</v>
      </c>
      <c r="F1691" s="8">
        <v>110629</v>
      </c>
      <c r="G1691" s="8">
        <v>3480435</v>
      </c>
      <c r="H1691" s="5">
        <f t="shared" si="53"/>
        <v>3591064</v>
      </c>
      <c r="I1691">
        <f>IFERROR(VLOOKUP(D1691,'LEAID Match'!$A$2:$B$251,2,FALSE),"")</f>
        <v>4703480</v>
      </c>
    </row>
    <row r="1692" spans="1:9" x14ac:dyDescent="0.2">
      <c r="A1692">
        <f t="shared" si="52"/>
        <v>4703480</v>
      </c>
      <c r="B1692" s="5">
        <v>2017</v>
      </c>
      <c r="C1692" s="1">
        <v>99071</v>
      </c>
      <c r="D1692" t="s">
        <v>385</v>
      </c>
      <c r="E1692" t="s">
        <v>385</v>
      </c>
      <c r="F1692" s="8">
        <v>183008</v>
      </c>
      <c r="G1692" s="8">
        <v>3442437</v>
      </c>
      <c r="H1692" s="5">
        <f t="shared" si="53"/>
        <v>3625445</v>
      </c>
      <c r="I1692">
        <f>IFERROR(VLOOKUP(D1692,'LEAID Match'!$A$2:$B$251,2,FALSE),"")</f>
        <v>4703480</v>
      </c>
    </row>
    <row r="1693" spans="1:9" x14ac:dyDescent="0.2">
      <c r="A1693">
        <f t="shared" si="52"/>
        <v>4703480</v>
      </c>
      <c r="B1693" s="5">
        <v>2018</v>
      </c>
      <c r="C1693" s="1">
        <v>99071</v>
      </c>
      <c r="D1693" t="s">
        <v>385</v>
      </c>
      <c r="E1693" t="s">
        <v>139</v>
      </c>
      <c r="F1693" s="8">
        <v>263016</v>
      </c>
      <c r="G1693" s="8">
        <v>3399169</v>
      </c>
      <c r="H1693" s="5">
        <f t="shared" si="53"/>
        <v>3662185</v>
      </c>
      <c r="I1693">
        <f>IFERROR(VLOOKUP(D1693,'LEAID Match'!$A$2:$B$251,2,FALSE),"")</f>
        <v>4703480</v>
      </c>
    </row>
    <row r="1694" spans="1:9" x14ac:dyDescent="0.2">
      <c r="A1694">
        <f t="shared" si="52"/>
        <v>4703480</v>
      </c>
      <c r="B1694" s="5">
        <v>2019</v>
      </c>
      <c r="C1694" s="1">
        <v>99071</v>
      </c>
      <c r="D1694" t="s">
        <v>385</v>
      </c>
      <c r="E1694" t="s">
        <v>385</v>
      </c>
      <c r="F1694" s="8">
        <v>168271</v>
      </c>
      <c r="G1694" s="8">
        <v>3940415</v>
      </c>
      <c r="H1694" s="5">
        <f t="shared" si="53"/>
        <v>4108686</v>
      </c>
      <c r="I1694">
        <f>IFERROR(VLOOKUP(D1694,'LEAID Match'!$A$2:$B$251,2,FALSE),"")</f>
        <v>4703480</v>
      </c>
    </row>
    <row r="1695" spans="1:9" x14ac:dyDescent="0.2">
      <c r="A1695">
        <f t="shared" si="52"/>
        <v>4703480</v>
      </c>
      <c r="B1695" s="5">
        <v>2020</v>
      </c>
      <c r="C1695" s="1">
        <v>99071</v>
      </c>
      <c r="D1695" t="s">
        <v>385</v>
      </c>
      <c r="E1695" t="s">
        <v>385</v>
      </c>
      <c r="F1695" s="8">
        <v>203739</v>
      </c>
      <c r="G1695" s="8">
        <v>3909791</v>
      </c>
      <c r="H1695" s="5">
        <f t="shared" si="53"/>
        <v>4113530</v>
      </c>
      <c r="I1695">
        <f>IFERROR(VLOOKUP(D1695,'LEAID Match'!$A$2:$B$251,2,FALSE),"")</f>
        <v>4703480</v>
      </c>
    </row>
    <row r="1696" spans="1:9" x14ac:dyDescent="0.2">
      <c r="A1696">
        <f t="shared" si="52"/>
        <v>4703480</v>
      </c>
      <c r="B1696" s="5">
        <v>2021</v>
      </c>
      <c r="C1696" s="1">
        <v>99071</v>
      </c>
      <c r="D1696" t="s">
        <v>385</v>
      </c>
      <c r="E1696" t="s">
        <v>385</v>
      </c>
      <c r="F1696" s="8">
        <v>247392</v>
      </c>
      <c r="G1696" s="8">
        <v>3747638</v>
      </c>
      <c r="H1696" s="5">
        <f t="shared" si="53"/>
        <v>3995030</v>
      </c>
      <c r="I1696">
        <f>IFERROR(VLOOKUP(D1696,'LEAID Match'!$A$2:$B$251,2,FALSE),"")</f>
        <v>4703480</v>
      </c>
    </row>
    <row r="1697" spans="1:9" x14ac:dyDescent="0.2">
      <c r="A1697">
        <f t="shared" si="52"/>
        <v>4703480</v>
      </c>
      <c r="B1697" s="5">
        <v>2022</v>
      </c>
      <c r="C1697" s="1">
        <v>99071</v>
      </c>
      <c r="D1697" t="s">
        <v>385</v>
      </c>
      <c r="E1697" t="s">
        <v>385</v>
      </c>
      <c r="F1697" s="8">
        <v>310806.14</v>
      </c>
      <c r="G1697" s="8">
        <v>3772390.21</v>
      </c>
      <c r="H1697" s="5">
        <f t="shared" si="53"/>
        <v>4083196.35</v>
      </c>
      <c r="I1697">
        <f>IFERROR(VLOOKUP(D1697,'LEAID Match'!$A$2:$B$251,2,FALSE),"")</f>
        <v>4703480</v>
      </c>
    </row>
    <row r="1698" spans="1:9" x14ac:dyDescent="0.2">
      <c r="A1698">
        <f t="shared" si="52"/>
        <v>4703480</v>
      </c>
      <c r="B1698" s="5">
        <v>2023</v>
      </c>
      <c r="C1698" s="1">
        <v>99071</v>
      </c>
      <c r="D1698" t="s">
        <v>385</v>
      </c>
      <c r="E1698" t="s">
        <v>385</v>
      </c>
      <c r="F1698" s="8">
        <v>539347.67000000004</v>
      </c>
      <c r="G1698" s="8">
        <v>3182599.79</v>
      </c>
      <c r="H1698" s="5">
        <f t="shared" si="53"/>
        <v>3721947.46</v>
      </c>
      <c r="I1698">
        <f>IFERROR(VLOOKUP(D1698,'LEAID Match'!$A$2:$B$251,2,FALSE),"")</f>
        <v>4703480</v>
      </c>
    </row>
    <row r="1699" spans="1:9" x14ac:dyDescent="0.2">
      <c r="A1699">
        <f t="shared" si="52"/>
        <v>0</v>
      </c>
      <c r="B1699" s="5">
        <v>2016</v>
      </c>
      <c r="C1699" s="1">
        <v>91931</v>
      </c>
      <c r="D1699" t="s">
        <v>386</v>
      </c>
      <c r="E1699" t="s">
        <v>140</v>
      </c>
      <c r="F1699" s="8">
        <v>13326</v>
      </c>
      <c r="G1699" s="8">
        <v>18949</v>
      </c>
      <c r="H1699" s="5">
        <f t="shared" si="53"/>
        <v>32275</v>
      </c>
      <c r="I1699">
        <f>IFERROR(VLOOKUP(D1699,'LEAID Match'!$A$2:$B$251,2,FALSE),"")</f>
        <v>0</v>
      </c>
    </row>
    <row r="1700" spans="1:9" x14ac:dyDescent="0.2">
      <c r="A1700">
        <f t="shared" si="52"/>
        <v>0</v>
      </c>
      <c r="B1700" s="5">
        <v>2017</v>
      </c>
      <c r="C1700" s="1">
        <v>91931</v>
      </c>
      <c r="D1700" t="s">
        <v>386</v>
      </c>
      <c r="E1700" t="s">
        <v>386</v>
      </c>
      <c r="F1700" s="8">
        <v>45584</v>
      </c>
      <c r="G1700" s="8">
        <v>13737</v>
      </c>
      <c r="H1700" s="5">
        <f t="shared" si="53"/>
        <v>59321</v>
      </c>
      <c r="I1700">
        <f>IFERROR(VLOOKUP(D1700,'LEAID Match'!$A$2:$B$251,2,FALSE),"")</f>
        <v>0</v>
      </c>
    </row>
    <row r="1701" spans="1:9" x14ac:dyDescent="0.2">
      <c r="A1701">
        <f t="shared" si="52"/>
        <v>0</v>
      </c>
      <c r="B1701" s="5">
        <v>2018</v>
      </c>
      <c r="C1701" s="1">
        <v>91931</v>
      </c>
      <c r="D1701" t="s">
        <v>386</v>
      </c>
      <c r="E1701" t="s">
        <v>140</v>
      </c>
      <c r="F1701" s="8">
        <v>58057</v>
      </c>
      <c r="G1701" s="8">
        <v>27673</v>
      </c>
      <c r="H1701" s="5">
        <f t="shared" si="53"/>
        <v>85730</v>
      </c>
      <c r="I1701">
        <f>IFERROR(VLOOKUP(D1701,'LEAID Match'!$A$2:$B$251,2,FALSE),"")</f>
        <v>0</v>
      </c>
    </row>
    <row r="1702" spans="1:9" x14ac:dyDescent="0.2">
      <c r="A1702">
        <f t="shared" si="52"/>
        <v>0</v>
      </c>
      <c r="B1702" s="5">
        <v>2019</v>
      </c>
      <c r="C1702" s="1">
        <v>91931</v>
      </c>
      <c r="D1702" t="s">
        <v>386</v>
      </c>
      <c r="E1702" t="s">
        <v>386</v>
      </c>
      <c r="F1702" s="8">
        <v>49767</v>
      </c>
      <c r="G1702" s="8">
        <v>25464</v>
      </c>
      <c r="H1702" s="5">
        <f t="shared" si="53"/>
        <v>75231</v>
      </c>
      <c r="I1702">
        <f>IFERROR(VLOOKUP(D1702,'LEAID Match'!$A$2:$B$251,2,FALSE),"")</f>
        <v>0</v>
      </c>
    </row>
    <row r="1703" spans="1:9" x14ac:dyDescent="0.2">
      <c r="A1703">
        <f t="shared" si="52"/>
        <v>0</v>
      </c>
      <c r="B1703" s="5">
        <v>2020</v>
      </c>
      <c r="C1703" s="1">
        <v>91931</v>
      </c>
      <c r="D1703" t="s">
        <v>386</v>
      </c>
      <c r="E1703" t="s">
        <v>386</v>
      </c>
      <c r="F1703" s="8">
        <v>56093</v>
      </c>
      <c r="G1703" s="8">
        <v>32636</v>
      </c>
      <c r="H1703" s="5">
        <f t="shared" si="53"/>
        <v>88729</v>
      </c>
      <c r="I1703">
        <f>IFERROR(VLOOKUP(D1703,'LEAID Match'!$A$2:$B$251,2,FALSE),"")</f>
        <v>0</v>
      </c>
    </row>
    <row r="1704" spans="1:9" x14ac:dyDescent="0.2">
      <c r="A1704">
        <f t="shared" si="52"/>
        <v>0</v>
      </c>
      <c r="B1704" s="5">
        <v>2021</v>
      </c>
      <c r="C1704" s="1">
        <v>91931</v>
      </c>
      <c r="D1704" t="s">
        <v>386</v>
      </c>
      <c r="E1704" t="s">
        <v>386</v>
      </c>
      <c r="F1704" s="8">
        <v>37360</v>
      </c>
      <c r="G1704" s="8">
        <v>23793</v>
      </c>
      <c r="H1704" s="5">
        <f t="shared" si="53"/>
        <v>61153</v>
      </c>
      <c r="I1704">
        <f>IFERROR(VLOOKUP(D1704,'LEAID Match'!$A$2:$B$251,2,FALSE),"")</f>
        <v>0</v>
      </c>
    </row>
    <row r="1705" spans="1:9" x14ac:dyDescent="0.2">
      <c r="A1705">
        <f t="shared" si="52"/>
        <v>0</v>
      </c>
      <c r="B1705" s="5">
        <v>2022</v>
      </c>
      <c r="C1705" s="1">
        <v>91931</v>
      </c>
      <c r="D1705" t="s">
        <v>386</v>
      </c>
      <c r="E1705" t="s">
        <v>386</v>
      </c>
      <c r="F1705" s="8">
        <v>47504.99</v>
      </c>
      <c r="G1705" s="8">
        <v>35451.730000000003</v>
      </c>
      <c r="H1705" s="5">
        <f t="shared" si="53"/>
        <v>82956.72</v>
      </c>
      <c r="I1705">
        <f>IFERROR(VLOOKUP(D1705,'LEAID Match'!$A$2:$B$251,2,FALSE),"")</f>
        <v>0</v>
      </c>
    </row>
    <row r="1706" spans="1:9" x14ac:dyDescent="0.2">
      <c r="A1706">
        <f t="shared" si="52"/>
        <v>0</v>
      </c>
      <c r="B1706" s="5">
        <v>2023</v>
      </c>
      <c r="C1706" s="1">
        <v>91931</v>
      </c>
      <c r="D1706" t="s">
        <v>386</v>
      </c>
      <c r="E1706" t="s">
        <v>386</v>
      </c>
      <c r="F1706" s="8">
        <v>52048.28</v>
      </c>
      <c r="G1706" s="8">
        <v>23502.62</v>
      </c>
      <c r="H1706" s="5">
        <f t="shared" si="53"/>
        <v>75550.899999999994</v>
      </c>
      <c r="I1706">
        <f>IFERROR(VLOOKUP(D1706,'LEAID Match'!$A$2:$B$251,2,FALSE),"")</f>
        <v>0</v>
      </c>
    </row>
    <row r="1707" spans="1:9" x14ac:dyDescent="0.2">
      <c r="A1707">
        <f t="shared" si="52"/>
        <v>4703510</v>
      </c>
      <c r="B1707" s="5">
        <v>2015</v>
      </c>
      <c r="C1707" s="1">
        <v>99072</v>
      </c>
      <c r="D1707" t="s">
        <v>387</v>
      </c>
      <c r="E1707" t="s">
        <v>141</v>
      </c>
      <c r="F1707" s="8">
        <v>8194</v>
      </c>
      <c r="G1707" s="8">
        <v>1364710</v>
      </c>
      <c r="H1707" s="5">
        <f t="shared" si="53"/>
        <v>1372904</v>
      </c>
      <c r="I1707">
        <f>IFERROR(VLOOKUP(D1707,'LEAID Match'!$A$2:$B$251,2,FALSE),"")</f>
        <v>4703510</v>
      </c>
    </row>
    <row r="1708" spans="1:9" x14ac:dyDescent="0.2">
      <c r="A1708">
        <f t="shared" si="52"/>
        <v>4703510</v>
      </c>
      <c r="B1708" s="5">
        <v>2016</v>
      </c>
      <c r="C1708" s="1">
        <v>99072</v>
      </c>
      <c r="D1708" t="s">
        <v>387</v>
      </c>
      <c r="E1708" t="s">
        <v>141</v>
      </c>
      <c r="F1708" s="8">
        <v>34076</v>
      </c>
      <c r="G1708" s="8">
        <v>1345071</v>
      </c>
      <c r="H1708" s="5">
        <f t="shared" si="53"/>
        <v>1379147</v>
      </c>
      <c r="I1708">
        <f>IFERROR(VLOOKUP(D1708,'LEAID Match'!$A$2:$B$251,2,FALSE),"")</f>
        <v>4703510</v>
      </c>
    </row>
    <row r="1709" spans="1:9" x14ac:dyDescent="0.2">
      <c r="A1709">
        <f t="shared" si="52"/>
        <v>4703510</v>
      </c>
      <c r="B1709" s="5">
        <v>2017</v>
      </c>
      <c r="C1709" s="1">
        <v>99072</v>
      </c>
      <c r="D1709" t="s">
        <v>387</v>
      </c>
      <c r="E1709" t="s">
        <v>387</v>
      </c>
      <c r="F1709" s="8">
        <v>53613</v>
      </c>
      <c r="G1709" s="8">
        <v>1319654</v>
      </c>
      <c r="H1709" s="5">
        <f t="shared" si="53"/>
        <v>1373267</v>
      </c>
      <c r="I1709">
        <f>IFERROR(VLOOKUP(D1709,'LEAID Match'!$A$2:$B$251,2,FALSE),"")</f>
        <v>4703510</v>
      </c>
    </row>
    <row r="1710" spans="1:9" x14ac:dyDescent="0.2">
      <c r="A1710">
        <f t="shared" si="52"/>
        <v>4703510</v>
      </c>
      <c r="B1710" s="5">
        <v>2018</v>
      </c>
      <c r="C1710" s="1">
        <v>99072</v>
      </c>
      <c r="D1710" t="s">
        <v>387</v>
      </c>
      <c r="E1710" t="s">
        <v>141</v>
      </c>
      <c r="F1710" s="8">
        <v>87642</v>
      </c>
      <c r="G1710" s="8">
        <v>1293517</v>
      </c>
      <c r="H1710" s="5">
        <f t="shared" si="53"/>
        <v>1381159</v>
      </c>
      <c r="I1710">
        <f>IFERROR(VLOOKUP(D1710,'LEAID Match'!$A$2:$B$251,2,FALSE),"")</f>
        <v>4703510</v>
      </c>
    </row>
    <row r="1711" spans="1:9" x14ac:dyDescent="0.2">
      <c r="A1711">
        <f t="shared" si="52"/>
        <v>4703510</v>
      </c>
      <c r="B1711" s="5">
        <v>2019</v>
      </c>
      <c r="C1711" s="1">
        <v>99072</v>
      </c>
      <c r="D1711" t="s">
        <v>387</v>
      </c>
      <c r="E1711" t="s">
        <v>387</v>
      </c>
      <c r="F1711" s="8">
        <v>51916</v>
      </c>
      <c r="G1711" s="8">
        <v>1454709</v>
      </c>
      <c r="H1711" s="5">
        <f t="shared" si="53"/>
        <v>1506625</v>
      </c>
      <c r="I1711">
        <f>IFERROR(VLOOKUP(D1711,'LEAID Match'!$A$2:$B$251,2,FALSE),"")</f>
        <v>4703510</v>
      </c>
    </row>
    <row r="1712" spans="1:9" x14ac:dyDescent="0.2">
      <c r="A1712">
        <f t="shared" si="52"/>
        <v>4703510</v>
      </c>
      <c r="B1712" s="5">
        <v>2020</v>
      </c>
      <c r="C1712" s="1">
        <v>99072</v>
      </c>
      <c r="D1712" t="s">
        <v>387</v>
      </c>
      <c r="E1712" t="s">
        <v>387</v>
      </c>
      <c r="F1712" s="8">
        <v>67549.19</v>
      </c>
      <c r="G1712" s="8">
        <v>1452295</v>
      </c>
      <c r="H1712" s="5">
        <f t="shared" si="53"/>
        <v>1519844.19</v>
      </c>
      <c r="I1712">
        <f>IFERROR(VLOOKUP(D1712,'LEAID Match'!$A$2:$B$251,2,FALSE),"")</f>
        <v>4703510</v>
      </c>
    </row>
    <row r="1713" spans="1:9" x14ac:dyDescent="0.2">
      <c r="A1713">
        <f t="shared" si="52"/>
        <v>4703510</v>
      </c>
      <c r="B1713" s="5">
        <v>2021</v>
      </c>
      <c r="C1713" s="1">
        <v>99072</v>
      </c>
      <c r="D1713" t="s">
        <v>387</v>
      </c>
      <c r="E1713" t="s">
        <v>387</v>
      </c>
      <c r="F1713" s="8">
        <v>83773</v>
      </c>
      <c r="G1713" s="8">
        <v>1387996</v>
      </c>
      <c r="H1713" s="5">
        <f t="shared" si="53"/>
        <v>1471769</v>
      </c>
      <c r="I1713">
        <f>IFERROR(VLOOKUP(D1713,'LEAID Match'!$A$2:$B$251,2,FALSE),"")</f>
        <v>4703510</v>
      </c>
    </row>
    <row r="1714" spans="1:9" x14ac:dyDescent="0.2">
      <c r="A1714">
        <f t="shared" si="52"/>
        <v>4703510</v>
      </c>
      <c r="B1714" s="5">
        <v>2022</v>
      </c>
      <c r="C1714" s="1">
        <v>99072</v>
      </c>
      <c r="D1714" t="s">
        <v>387</v>
      </c>
      <c r="E1714" t="s">
        <v>387</v>
      </c>
      <c r="F1714" s="8">
        <v>101121.97</v>
      </c>
      <c r="G1714" s="8">
        <v>1451326.85</v>
      </c>
      <c r="H1714" s="5">
        <f t="shared" si="53"/>
        <v>1552448.82</v>
      </c>
      <c r="I1714">
        <f>IFERROR(VLOOKUP(D1714,'LEAID Match'!$A$2:$B$251,2,FALSE),"")</f>
        <v>4703510</v>
      </c>
    </row>
    <row r="1715" spans="1:9" x14ac:dyDescent="0.2">
      <c r="A1715">
        <f t="shared" si="52"/>
        <v>4703510</v>
      </c>
      <c r="B1715" s="5">
        <v>2023</v>
      </c>
      <c r="C1715" s="1">
        <v>99072</v>
      </c>
      <c r="D1715" t="s">
        <v>387</v>
      </c>
      <c r="E1715" t="s">
        <v>387</v>
      </c>
      <c r="F1715" s="8">
        <v>177250.17</v>
      </c>
      <c r="G1715" s="8">
        <v>1161429.45</v>
      </c>
      <c r="H1715" s="5">
        <f t="shared" si="53"/>
        <v>1338679.6199999999</v>
      </c>
      <c r="I1715">
        <f>IFERROR(VLOOKUP(D1715,'LEAID Match'!$A$2:$B$251,2,FALSE),"")</f>
        <v>4703510</v>
      </c>
    </row>
    <row r="1716" spans="1:9" x14ac:dyDescent="0.2">
      <c r="A1716">
        <f t="shared" si="52"/>
        <v>4703540</v>
      </c>
      <c r="B1716" s="5">
        <v>2015</v>
      </c>
      <c r="C1716" s="1">
        <v>99158</v>
      </c>
      <c r="D1716" t="s">
        <v>388</v>
      </c>
      <c r="E1716" t="s">
        <v>142</v>
      </c>
      <c r="F1716" s="8">
        <v>5323</v>
      </c>
      <c r="G1716" s="8">
        <v>79523</v>
      </c>
      <c r="H1716" s="5">
        <f t="shared" si="53"/>
        <v>84846</v>
      </c>
      <c r="I1716">
        <f>IFERROR(VLOOKUP(D1716,'LEAID Match'!$A$2:$B$251,2,FALSE),"")</f>
        <v>4703540</v>
      </c>
    </row>
    <row r="1717" spans="1:9" x14ac:dyDescent="0.2">
      <c r="A1717">
        <f t="shared" si="52"/>
        <v>4703540</v>
      </c>
      <c r="B1717" s="5">
        <v>2016</v>
      </c>
      <c r="C1717" s="1">
        <v>99158</v>
      </c>
      <c r="D1717" t="s">
        <v>388</v>
      </c>
      <c r="E1717" t="s">
        <v>142</v>
      </c>
      <c r="F1717" s="8">
        <v>8478</v>
      </c>
      <c r="G1717" s="8">
        <v>72072</v>
      </c>
      <c r="H1717" s="5">
        <f t="shared" si="53"/>
        <v>80550</v>
      </c>
      <c r="I1717">
        <f>IFERROR(VLOOKUP(D1717,'LEAID Match'!$A$2:$B$251,2,FALSE),"")</f>
        <v>4703540</v>
      </c>
    </row>
    <row r="1718" spans="1:9" x14ac:dyDescent="0.2">
      <c r="A1718">
        <f t="shared" si="52"/>
        <v>4703540</v>
      </c>
      <c r="B1718" s="5">
        <v>2017</v>
      </c>
      <c r="C1718" s="1">
        <v>99158</v>
      </c>
      <c r="D1718" t="s">
        <v>388</v>
      </c>
      <c r="E1718" t="s">
        <v>388</v>
      </c>
      <c r="F1718" s="8">
        <v>12090</v>
      </c>
      <c r="G1718" s="8">
        <v>64009</v>
      </c>
      <c r="H1718" s="5">
        <f t="shared" si="53"/>
        <v>76099</v>
      </c>
      <c r="I1718">
        <f>IFERROR(VLOOKUP(D1718,'LEAID Match'!$A$2:$B$251,2,FALSE),"")</f>
        <v>4703540</v>
      </c>
    </row>
    <row r="1719" spans="1:9" x14ac:dyDescent="0.2">
      <c r="A1719">
        <f t="shared" si="52"/>
        <v>4703540</v>
      </c>
      <c r="B1719" s="5">
        <v>2018</v>
      </c>
      <c r="C1719" s="1">
        <v>99158</v>
      </c>
      <c r="D1719" t="s">
        <v>388</v>
      </c>
      <c r="E1719" t="s">
        <v>142</v>
      </c>
      <c r="F1719" s="8">
        <v>12768</v>
      </c>
      <c r="G1719" s="8">
        <v>64903</v>
      </c>
      <c r="H1719" s="5">
        <f t="shared" si="53"/>
        <v>77671</v>
      </c>
      <c r="I1719">
        <f>IFERROR(VLOOKUP(D1719,'LEAID Match'!$A$2:$B$251,2,FALSE),"")</f>
        <v>4703540</v>
      </c>
    </row>
    <row r="1720" spans="1:9" x14ac:dyDescent="0.2">
      <c r="A1720">
        <f t="shared" si="52"/>
        <v>4703540</v>
      </c>
      <c r="B1720" s="5">
        <v>2019</v>
      </c>
      <c r="C1720" s="1">
        <v>99158</v>
      </c>
      <c r="D1720" t="s">
        <v>388</v>
      </c>
      <c r="E1720" t="s">
        <v>388</v>
      </c>
      <c r="F1720" s="8">
        <v>6401</v>
      </c>
      <c r="G1720" s="8">
        <v>77198</v>
      </c>
      <c r="H1720" s="5">
        <f t="shared" si="53"/>
        <v>83599</v>
      </c>
      <c r="I1720">
        <f>IFERROR(VLOOKUP(D1720,'LEAID Match'!$A$2:$B$251,2,FALSE),"")</f>
        <v>4703540</v>
      </c>
    </row>
    <row r="1721" spans="1:9" x14ac:dyDescent="0.2">
      <c r="A1721">
        <f t="shared" si="52"/>
        <v>4703540</v>
      </c>
      <c r="B1721" s="5">
        <v>2020</v>
      </c>
      <c r="C1721" s="1">
        <v>99158</v>
      </c>
      <c r="D1721" t="s">
        <v>388</v>
      </c>
      <c r="E1721" t="s">
        <v>388</v>
      </c>
      <c r="F1721" s="8">
        <v>7852.74</v>
      </c>
      <c r="G1721" s="8">
        <v>67369</v>
      </c>
      <c r="H1721" s="5">
        <f t="shared" si="53"/>
        <v>75221.740000000005</v>
      </c>
      <c r="I1721">
        <f>IFERROR(VLOOKUP(D1721,'LEAID Match'!$A$2:$B$251,2,FALSE),"")</f>
        <v>4703540</v>
      </c>
    </row>
    <row r="1722" spans="1:9" x14ac:dyDescent="0.2">
      <c r="A1722">
        <f t="shared" si="52"/>
        <v>4703540</v>
      </c>
      <c r="B1722" s="5">
        <v>2021</v>
      </c>
      <c r="C1722" s="1">
        <v>99158</v>
      </c>
      <c r="D1722" t="s">
        <v>388</v>
      </c>
      <c r="E1722" t="s">
        <v>388</v>
      </c>
      <c r="F1722" s="8">
        <v>7578</v>
      </c>
      <c r="G1722" s="8">
        <v>59526</v>
      </c>
      <c r="H1722" s="5">
        <f t="shared" si="53"/>
        <v>67104</v>
      </c>
      <c r="I1722">
        <f>IFERROR(VLOOKUP(D1722,'LEAID Match'!$A$2:$B$251,2,FALSE),"")</f>
        <v>4703540</v>
      </c>
    </row>
    <row r="1723" spans="1:9" x14ac:dyDescent="0.2">
      <c r="A1723">
        <f t="shared" si="52"/>
        <v>4703540</v>
      </c>
      <c r="B1723" s="5">
        <v>2022</v>
      </c>
      <c r="C1723" s="1">
        <v>99158</v>
      </c>
      <c r="D1723" t="s">
        <v>388</v>
      </c>
      <c r="E1723" t="s">
        <v>388</v>
      </c>
      <c r="F1723" s="8">
        <v>8833.26</v>
      </c>
      <c r="G1723" s="8">
        <v>63394.75</v>
      </c>
      <c r="H1723" s="5">
        <f t="shared" si="53"/>
        <v>72228.009999999995</v>
      </c>
      <c r="I1723">
        <f>IFERROR(VLOOKUP(D1723,'LEAID Match'!$A$2:$B$251,2,FALSE),"")</f>
        <v>4703540</v>
      </c>
    </row>
    <row r="1724" spans="1:9" x14ac:dyDescent="0.2">
      <c r="A1724">
        <f t="shared" si="52"/>
        <v>4703540</v>
      </c>
      <c r="B1724" s="5">
        <v>2023</v>
      </c>
      <c r="C1724" s="1">
        <v>99158</v>
      </c>
      <c r="D1724" t="s">
        <v>388</v>
      </c>
      <c r="E1724" t="s">
        <v>388</v>
      </c>
      <c r="F1724" s="8">
        <v>14211.45</v>
      </c>
      <c r="G1724" s="8">
        <v>47748.27</v>
      </c>
      <c r="H1724" s="5">
        <f t="shared" si="53"/>
        <v>61959.72</v>
      </c>
      <c r="I1724">
        <f>IFERROR(VLOOKUP(D1724,'LEAID Match'!$A$2:$B$251,2,FALSE),"")</f>
        <v>4703540</v>
      </c>
    </row>
    <row r="1725" spans="1:9" x14ac:dyDescent="0.2">
      <c r="A1725">
        <f t="shared" si="52"/>
        <v>4703590</v>
      </c>
      <c r="B1725" s="5">
        <v>2015</v>
      </c>
      <c r="C1725" s="1">
        <v>99073</v>
      </c>
      <c r="D1725" t="s">
        <v>389</v>
      </c>
      <c r="E1725" t="s">
        <v>143</v>
      </c>
      <c r="F1725" s="8">
        <v>39999</v>
      </c>
      <c r="G1725" s="8">
        <v>2353733</v>
      </c>
      <c r="H1725" s="5">
        <f t="shared" si="53"/>
        <v>2393732</v>
      </c>
      <c r="I1725">
        <f>IFERROR(VLOOKUP(D1725,'LEAID Match'!$A$2:$B$251,2,FALSE),"")</f>
        <v>4703590</v>
      </c>
    </row>
    <row r="1726" spans="1:9" x14ac:dyDescent="0.2">
      <c r="A1726">
        <f t="shared" si="52"/>
        <v>4703590</v>
      </c>
      <c r="B1726" s="5">
        <v>2016</v>
      </c>
      <c r="C1726" s="1">
        <v>99073</v>
      </c>
      <c r="D1726" t="s">
        <v>389</v>
      </c>
      <c r="E1726" t="s">
        <v>143</v>
      </c>
      <c r="F1726" s="8">
        <v>72060</v>
      </c>
      <c r="G1726" s="8">
        <v>2290158</v>
      </c>
      <c r="H1726" s="5">
        <f t="shared" si="53"/>
        <v>2362218</v>
      </c>
      <c r="I1726">
        <f>IFERROR(VLOOKUP(D1726,'LEAID Match'!$A$2:$B$251,2,FALSE),"")</f>
        <v>4703590</v>
      </c>
    </row>
    <row r="1727" spans="1:9" x14ac:dyDescent="0.2">
      <c r="A1727">
        <f t="shared" si="52"/>
        <v>4703590</v>
      </c>
      <c r="B1727" s="5">
        <v>2017</v>
      </c>
      <c r="C1727" s="1">
        <v>99073</v>
      </c>
      <c r="D1727" t="s">
        <v>389</v>
      </c>
      <c r="E1727" t="s">
        <v>389</v>
      </c>
      <c r="F1727" s="8">
        <v>123649</v>
      </c>
      <c r="G1727" s="8">
        <v>2202683</v>
      </c>
      <c r="H1727" s="5">
        <f t="shared" si="53"/>
        <v>2326332</v>
      </c>
      <c r="I1727">
        <f>IFERROR(VLOOKUP(D1727,'LEAID Match'!$A$2:$B$251,2,FALSE),"")</f>
        <v>4703590</v>
      </c>
    </row>
    <row r="1728" spans="1:9" x14ac:dyDescent="0.2">
      <c r="A1728">
        <f t="shared" si="52"/>
        <v>4703590</v>
      </c>
      <c r="B1728" s="5">
        <v>2018</v>
      </c>
      <c r="C1728" s="1">
        <v>99073</v>
      </c>
      <c r="D1728" t="s">
        <v>389</v>
      </c>
      <c r="E1728" t="s">
        <v>143</v>
      </c>
      <c r="F1728" s="8">
        <v>142121</v>
      </c>
      <c r="G1728" s="8">
        <v>2215075</v>
      </c>
      <c r="H1728" s="5">
        <f t="shared" si="53"/>
        <v>2357196</v>
      </c>
      <c r="I1728">
        <f>IFERROR(VLOOKUP(D1728,'LEAID Match'!$A$2:$B$251,2,FALSE),"")</f>
        <v>4703590</v>
      </c>
    </row>
    <row r="1729" spans="1:9" x14ac:dyDescent="0.2">
      <c r="A1729">
        <f t="shared" si="52"/>
        <v>4703590</v>
      </c>
      <c r="B1729" s="5">
        <v>2019</v>
      </c>
      <c r="C1729" s="1">
        <v>99073</v>
      </c>
      <c r="D1729" t="s">
        <v>389</v>
      </c>
      <c r="E1729" t="s">
        <v>389</v>
      </c>
      <c r="F1729" s="8">
        <v>86014</v>
      </c>
      <c r="G1729" s="8">
        <v>2443186</v>
      </c>
      <c r="H1729" s="5">
        <f t="shared" si="53"/>
        <v>2529200</v>
      </c>
      <c r="I1729">
        <f>IFERROR(VLOOKUP(D1729,'LEAID Match'!$A$2:$B$251,2,FALSE),"")</f>
        <v>4703590</v>
      </c>
    </row>
    <row r="1730" spans="1:9" x14ac:dyDescent="0.2">
      <c r="A1730">
        <f t="shared" si="52"/>
        <v>4703590</v>
      </c>
      <c r="B1730" s="5">
        <v>2020</v>
      </c>
      <c r="C1730" s="1">
        <v>99073</v>
      </c>
      <c r="D1730" t="s">
        <v>389</v>
      </c>
      <c r="E1730" t="s">
        <v>389</v>
      </c>
      <c r="F1730" s="8">
        <v>110921</v>
      </c>
      <c r="G1730" s="8">
        <v>2454640</v>
      </c>
      <c r="H1730" s="5">
        <f t="shared" si="53"/>
        <v>2565561</v>
      </c>
      <c r="I1730">
        <f>IFERROR(VLOOKUP(D1730,'LEAID Match'!$A$2:$B$251,2,FALSE),"")</f>
        <v>4703590</v>
      </c>
    </row>
    <row r="1731" spans="1:9" x14ac:dyDescent="0.2">
      <c r="A1731">
        <f t="shared" ref="A1731:A1794" si="54">I1731</f>
        <v>4703590</v>
      </c>
      <c r="B1731" s="5">
        <v>2021</v>
      </c>
      <c r="C1731" s="1">
        <v>99073</v>
      </c>
      <c r="D1731" t="s">
        <v>389</v>
      </c>
      <c r="E1731" t="s">
        <v>389</v>
      </c>
      <c r="F1731" s="8">
        <v>136196</v>
      </c>
      <c r="G1731" s="8">
        <v>2366709</v>
      </c>
      <c r="H1731" s="5">
        <f t="shared" ref="H1731:H1794" si="55">SUM(F1731:G1731)</f>
        <v>2502905</v>
      </c>
      <c r="I1731">
        <f>IFERROR(VLOOKUP(D1731,'LEAID Match'!$A$2:$B$251,2,FALSE),"")</f>
        <v>4703590</v>
      </c>
    </row>
    <row r="1732" spans="1:9" x14ac:dyDescent="0.2">
      <c r="A1732">
        <f t="shared" si="54"/>
        <v>4703590</v>
      </c>
      <c r="B1732" s="5">
        <v>2022</v>
      </c>
      <c r="C1732" s="1">
        <v>99073</v>
      </c>
      <c r="D1732" t="s">
        <v>389</v>
      </c>
      <c r="E1732" t="s">
        <v>389</v>
      </c>
      <c r="F1732" s="8">
        <v>167541.09</v>
      </c>
      <c r="G1732" s="8">
        <v>2352468.13</v>
      </c>
      <c r="H1732" s="5">
        <f t="shared" si="55"/>
        <v>2520009.2199999997</v>
      </c>
      <c r="I1732">
        <f>IFERROR(VLOOKUP(D1732,'LEAID Match'!$A$2:$B$251,2,FALSE),"")</f>
        <v>4703590</v>
      </c>
    </row>
    <row r="1733" spans="1:9" x14ac:dyDescent="0.2">
      <c r="A1733">
        <f t="shared" si="54"/>
        <v>4703590</v>
      </c>
      <c r="B1733" s="5">
        <v>2023</v>
      </c>
      <c r="C1733" s="1">
        <v>99073</v>
      </c>
      <c r="D1733" t="s">
        <v>389</v>
      </c>
      <c r="E1733" t="s">
        <v>389</v>
      </c>
      <c r="F1733" s="8">
        <v>282254.05</v>
      </c>
      <c r="G1733" s="8">
        <v>2043927.32</v>
      </c>
      <c r="H1733" s="5">
        <f t="shared" si="55"/>
        <v>2326181.37</v>
      </c>
      <c r="I1733">
        <f>IFERROR(VLOOKUP(D1733,'LEAID Match'!$A$2:$B$251,2,FALSE),"")</f>
        <v>4703590</v>
      </c>
    </row>
    <row r="1734" spans="1:9" x14ac:dyDescent="0.2">
      <c r="A1734">
        <f t="shared" si="54"/>
        <v>4703600</v>
      </c>
      <c r="B1734" s="5">
        <v>2015</v>
      </c>
      <c r="C1734" s="1">
        <v>99074</v>
      </c>
      <c r="D1734" t="s">
        <v>390</v>
      </c>
      <c r="E1734" t="s">
        <v>144</v>
      </c>
      <c r="F1734" s="8">
        <v>98967</v>
      </c>
      <c r="G1734" s="8">
        <v>3493697</v>
      </c>
      <c r="H1734" s="5">
        <f t="shared" si="55"/>
        <v>3592664</v>
      </c>
      <c r="I1734">
        <f>IFERROR(VLOOKUP(D1734,'LEAID Match'!$A$2:$B$251,2,FALSE),"")</f>
        <v>4703600</v>
      </c>
    </row>
    <row r="1735" spans="1:9" x14ac:dyDescent="0.2">
      <c r="A1735">
        <f t="shared" si="54"/>
        <v>4703600</v>
      </c>
      <c r="B1735" s="5">
        <v>2016</v>
      </c>
      <c r="C1735" s="1">
        <v>99074</v>
      </c>
      <c r="D1735" t="s">
        <v>390</v>
      </c>
      <c r="E1735" t="s">
        <v>144</v>
      </c>
      <c r="F1735" s="8">
        <v>190204</v>
      </c>
      <c r="G1735" s="8">
        <v>3296610</v>
      </c>
      <c r="H1735" s="5">
        <f t="shared" si="55"/>
        <v>3486814</v>
      </c>
      <c r="I1735">
        <f>IFERROR(VLOOKUP(D1735,'LEAID Match'!$A$2:$B$251,2,FALSE),"")</f>
        <v>4703600</v>
      </c>
    </row>
    <row r="1736" spans="1:9" x14ac:dyDescent="0.2">
      <c r="A1736">
        <f t="shared" si="54"/>
        <v>4703600</v>
      </c>
      <c r="B1736" s="5">
        <v>2017</v>
      </c>
      <c r="C1736" s="1">
        <v>99074</v>
      </c>
      <c r="D1736" t="s">
        <v>390</v>
      </c>
      <c r="E1736" t="s">
        <v>390</v>
      </c>
      <c r="F1736" s="8">
        <v>265666</v>
      </c>
      <c r="G1736" s="8">
        <v>3273894</v>
      </c>
      <c r="H1736" s="5">
        <f t="shared" si="55"/>
        <v>3539560</v>
      </c>
      <c r="I1736">
        <f>IFERROR(VLOOKUP(D1736,'LEAID Match'!$A$2:$B$251,2,FALSE),"")</f>
        <v>4703600</v>
      </c>
    </row>
    <row r="1737" spans="1:9" x14ac:dyDescent="0.2">
      <c r="A1737">
        <f t="shared" si="54"/>
        <v>4703600</v>
      </c>
      <c r="B1737" s="5">
        <v>2018</v>
      </c>
      <c r="C1737" s="1">
        <v>99074</v>
      </c>
      <c r="D1737" t="s">
        <v>390</v>
      </c>
      <c r="E1737" t="s">
        <v>144</v>
      </c>
      <c r="F1737" s="8">
        <v>371364</v>
      </c>
      <c r="G1737" s="8">
        <v>3226391</v>
      </c>
      <c r="H1737" s="5">
        <f t="shared" si="55"/>
        <v>3597755</v>
      </c>
      <c r="I1737">
        <f>IFERROR(VLOOKUP(D1737,'LEAID Match'!$A$2:$B$251,2,FALSE),"")</f>
        <v>4703600</v>
      </c>
    </row>
    <row r="1738" spans="1:9" x14ac:dyDescent="0.2">
      <c r="A1738">
        <f t="shared" si="54"/>
        <v>4703600</v>
      </c>
      <c r="B1738" s="5">
        <v>2019</v>
      </c>
      <c r="C1738" s="1">
        <v>99074</v>
      </c>
      <c r="D1738" t="s">
        <v>390</v>
      </c>
      <c r="E1738" t="s">
        <v>390</v>
      </c>
      <c r="F1738" s="8">
        <v>207711</v>
      </c>
      <c r="G1738" s="8">
        <v>3432341</v>
      </c>
      <c r="H1738" s="5">
        <f t="shared" si="55"/>
        <v>3640052</v>
      </c>
      <c r="I1738">
        <f>IFERROR(VLOOKUP(D1738,'LEAID Match'!$A$2:$B$251,2,FALSE),"")</f>
        <v>4703600</v>
      </c>
    </row>
    <row r="1739" spans="1:9" x14ac:dyDescent="0.2">
      <c r="A1739">
        <f t="shared" si="54"/>
        <v>4703600</v>
      </c>
      <c r="B1739" s="5">
        <v>2020</v>
      </c>
      <c r="C1739" s="1">
        <v>99074</v>
      </c>
      <c r="D1739" t="s">
        <v>390</v>
      </c>
      <c r="E1739" t="s">
        <v>390</v>
      </c>
      <c r="F1739" s="8">
        <v>296099</v>
      </c>
      <c r="G1739" s="8">
        <v>4035210</v>
      </c>
      <c r="H1739" s="5">
        <f t="shared" si="55"/>
        <v>4331309</v>
      </c>
      <c r="I1739">
        <f>IFERROR(VLOOKUP(D1739,'LEAID Match'!$A$2:$B$251,2,FALSE),"")</f>
        <v>4703600</v>
      </c>
    </row>
    <row r="1740" spans="1:9" x14ac:dyDescent="0.2">
      <c r="A1740">
        <f t="shared" si="54"/>
        <v>4703600</v>
      </c>
      <c r="B1740" s="5">
        <v>2021</v>
      </c>
      <c r="C1740" s="1">
        <v>99074</v>
      </c>
      <c r="D1740" t="s">
        <v>390</v>
      </c>
      <c r="E1740" t="s">
        <v>390</v>
      </c>
      <c r="F1740" s="8">
        <v>318871</v>
      </c>
      <c r="G1740" s="8">
        <v>3572003</v>
      </c>
      <c r="H1740" s="5">
        <f t="shared" si="55"/>
        <v>3890874</v>
      </c>
      <c r="I1740">
        <f>IFERROR(VLOOKUP(D1740,'LEAID Match'!$A$2:$B$251,2,FALSE),"")</f>
        <v>4703600</v>
      </c>
    </row>
    <row r="1741" spans="1:9" x14ac:dyDescent="0.2">
      <c r="A1741">
        <f t="shared" si="54"/>
        <v>4703600</v>
      </c>
      <c r="B1741" s="5">
        <v>2022</v>
      </c>
      <c r="C1741" s="1">
        <v>99074</v>
      </c>
      <c r="D1741" t="s">
        <v>390</v>
      </c>
      <c r="E1741" t="s">
        <v>390</v>
      </c>
      <c r="F1741" s="8">
        <v>361914.07</v>
      </c>
      <c r="G1741" s="8">
        <v>3623811.1</v>
      </c>
      <c r="H1741" s="5">
        <f t="shared" si="55"/>
        <v>3985725.17</v>
      </c>
      <c r="I1741">
        <f>IFERROR(VLOOKUP(D1741,'LEAID Match'!$A$2:$B$251,2,FALSE),"")</f>
        <v>4703600</v>
      </c>
    </row>
    <row r="1742" spans="1:9" x14ac:dyDescent="0.2">
      <c r="A1742">
        <f t="shared" si="54"/>
        <v>4703600</v>
      </c>
      <c r="B1742" s="5">
        <v>2023</v>
      </c>
      <c r="C1742" s="1">
        <v>99074</v>
      </c>
      <c r="D1742" t="s">
        <v>390</v>
      </c>
      <c r="E1742" t="s">
        <v>390</v>
      </c>
      <c r="F1742" s="8">
        <v>601532.4</v>
      </c>
      <c r="G1742" s="8">
        <v>3069729.73</v>
      </c>
      <c r="H1742" s="5">
        <f t="shared" si="55"/>
        <v>3671262.13</v>
      </c>
      <c r="I1742">
        <f>IFERROR(VLOOKUP(D1742,'LEAID Match'!$A$2:$B$251,2,FALSE),"")</f>
        <v>4703600</v>
      </c>
    </row>
    <row r="1743" spans="1:9" x14ac:dyDescent="0.2">
      <c r="A1743">
        <f t="shared" si="54"/>
        <v>0</v>
      </c>
      <c r="B1743" s="5">
        <v>2015</v>
      </c>
      <c r="C1743" s="1">
        <v>91920</v>
      </c>
      <c r="D1743" t="s">
        <v>391</v>
      </c>
      <c r="E1743" t="s">
        <v>145</v>
      </c>
      <c r="F1743" s="8">
        <v>16953</v>
      </c>
      <c r="G1743" s="8">
        <v>49005</v>
      </c>
      <c r="H1743" s="5">
        <f t="shared" si="55"/>
        <v>65958</v>
      </c>
      <c r="I1743">
        <f>IFERROR(VLOOKUP(D1743,'LEAID Match'!$A$2:$B$251,2,FALSE),"")</f>
        <v>0</v>
      </c>
    </row>
    <row r="1744" spans="1:9" x14ac:dyDescent="0.2">
      <c r="A1744">
        <f t="shared" si="54"/>
        <v>0</v>
      </c>
      <c r="B1744" s="5">
        <v>2016</v>
      </c>
      <c r="C1744" s="1">
        <v>91920</v>
      </c>
      <c r="D1744" t="s">
        <v>391</v>
      </c>
      <c r="E1744" t="s">
        <v>145</v>
      </c>
      <c r="F1744" s="8">
        <v>46829</v>
      </c>
      <c r="G1744" s="8">
        <v>72739</v>
      </c>
      <c r="H1744" s="5">
        <f t="shared" si="55"/>
        <v>119568</v>
      </c>
      <c r="I1744">
        <f>IFERROR(VLOOKUP(D1744,'LEAID Match'!$A$2:$B$251,2,FALSE),"")</f>
        <v>0</v>
      </c>
    </row>
    <row r="1745" spans="1:9" x14ac:dyDescent="0.2">
      <c r="A1745">
        <f t="shared" si="54"/>
        <v>0</v>
      </c>
      <c r="B1745" s="5">
        <v>2017</v>
      </c>
      <c r="C1745" s="1">
        <v>91920</v>
      </c>
      <c r="D1745" t="s">
        <v>391</v>
      </c>
      <c r="E1745" t="s">
        <v>391</v>
      </c>
      <c r="F1745" s="8">
        <v>66560</v>
      </c>
      <c r="G1745" s="8">
        <v>71970</v>
      </c>
      <c r="H1745" s="5">
        <f t="shared" si="55"/>
        <v>138530</v>
      </c>
      <c r="I1745">
        <f>IFERROR(VLOOKUP(D1745,'LEAID Match'!$A$2:$B$251,2,FALSE),"")</f>
        <v>0</v>
      </c>
    </row>
    <row r="1746" spans="1:9" x14ac:dyDescent="0.2">
      <c r="A1746">
        <f t="shared" si="54"/>
        <v>0</v>
      </c>
      <c r="B1746" s="5">
        <v>2018</v>
      </c>
      <c r="C1746" s="1">
        <v>91920</v>
      </c>
      <c r="D1746" t="s">
        <v>391</v>
      </c>
      <c r="E1746" t="s">
        <v>145</v>
      </c>
      <c r="F1746" s="8">
        <v>92762</v>
      </c>
      <c r="G1746" s="8">
        <v>41094</v>
      </c>
      <c r="H1746" s="5">
        <f t="shared" si="55"/>
        <v>133856</v>
      </c>
      <c r="I1746">
        <f>IFERROR(VLOOKUP(D1746,'LEAID Match'!$A$2:$B$251,2,FALSE),"")</f>
        <v>0</v>
      </c>
    </row>
    <row r="1747" spans="1:9" x14ac:dyDescent="0.2">
      <c r="A1747">
        <f t="shared" si="54"/>
        <v>0</v>
      </c>
      <c r="B1747" s="5">
        <v>2019</v>
      </c>
      <c r="C1747" s="1">
        <v>91920</v>
      </c>
      <c r="D1747" t="s">
        <v>391</v>
      </c>
      <c r="E1747" t="s">
        <v>391</v>
      </c>
      <c r="F1747" s="8">
        <v>41168</v>
      </c>
      <c r="G1747" s="8">
        <v>35998</v>
      </c>
      <c r="H1747" s="5">
        <f t="shared" si="55"/>
        <v>77166</v>
      </c>
      <c r="I1747">
        <f>IFERROR(VLOOKUP(D1747,'LEAID Match'!$A$2:$B$251,2,FALSE),"")</f>
        <v>0</v>
      </c>
    </row>
    <row r="1748" spans="1:9" x14ac:dyDescent="0.2">
      <c r="A1748">
        <f t="shared" si="54"/>
        <v>0</v>
      </c>
      <c r="B1748" s="5">
        <v>2020</v>
      </c>
      <c r="C1748" s="1">
        <v>91920</v>
      </c>
      <c r="D1748" t="s">
        <v>391</v>
      </c>
      <c r="E1748" t="s">
        <v>391</v>
      </c>
      <c r="F1748" s="8">
        <v>54552</v>
      </c>
      <c r="G1748" s="8">
        <v>41328</v>
      </c>
      <c r="H1748" s="5">
        <f t="shared" si="55"/>
        <v>95880</v>
      </c>
      <c r="I1748">
        <f>IFERROR(VLOOKUP(D1748,'LEAID Match'!$A$2:$B$251,2,FALSE),"")</f>
        <v>0</v>
      </c>
    </row>
    <row r="1749" spans="1:9" x14ac:dyDescent="0.2">
      <c r="A1749">
        <f t="shared" si="54"/>
        <v>0</v>
      </c>
      <c r="B1749" s="5">
        <v>2021</v>
      </c>
      <c r="C1749" s="1">
        <v>91920</v>
      </c>
      <c r="D1749" t="s">
        <v>391</v>
      </c>
      <c r="E1749" t="s">
        <v>391</v>
      </c>
      <c r="F1749" s="8">
        <v>61769</v>
      </c>
      <c r="G1749" s="8">
        <v>41742</v>
      </c>
      <c r="H1749" s="5">
        <f t="shared" si="55"/>
        <v>103511</v>
      </c>
      <c r="I1749">
        <f>IFERROR(VLOOKUP(D1749,'LEAID Match'!$A$2:$B$251,2,FALSE),"")</f>
        <v>0</v>
      </c>
    </row>
    <row r="1750" spans="1:9" x14ac:dyDescent="0.2">
      <c r="A1750">
        <f t="shared" si="54"/>
        <v>0</v>
      </c>
      <c r="B1750" s="5">
        <v>2022</v>
      </c>
      <c r="C1750" s="1">
        <v>91920</v>
      </c>
      <c r="D1750" t="s">
        <v>391</v>
      </c>
      <c r="E1750" t="s">
        <v>391</v>
      </c>
      <c r="F1750" s="8">
        <v>72006</v>
      </c>
      <c r="G1750" s="8">
        <v>37378.46</v>
      </c>
      <c r="H1750" s="5">
        <f t="shared" si="55"/>
        <v>109384.45999999999</v>
      </c>
      <c r="I1750">
        <f>IFERROR(VLOOKUP(D1750,'LEAID Match'!$A$2:$B$251,2,FALSE),"")</f>
        <v>0</v>
      </c>
    </row>
    <row r="1751" spans="1:9" x14ac:dyDescent="0.2">
      <c r="A1751">
        <f t="shared" si="54"/>
        <v>0</v>
      </c>
      <c r="B1751" s="5">
        <v>2023</v>
      </c>
      <c r="C1751" s="1">
        <v>91920</v>
      </c>
      <c r="D1751" t="s">
        <v>391</v>
      </c>
      <c r="E1751" t="s">
        <v>391</v>
      </c>
      <c r="F1751" s="8">
        <v>116659.19</v>
      </c>
      <c r="G1751" s="8">
        <v>33412.17</v>
      </c>
      <c r="H1751" s="5">
        <f t="shared" si="55"/>
        <v>150071.35999999999</v>
      </c>
      <c r="I1751">
        <f>IFERROR(VLOOKUP(D1751,'LEAID Match'!$A$2:$B$251,2,FALSE),"")</f>
        <v>0</v>
      </c>
    </row>
    <row r="1752" spans="1:9" x14ac:dyDescent="0.2">
      <c r="A1752">
        <f t="shared" si="54"/>
        <v>4703660</v>
      </c>
      <c r="B1752" s="5">
        <v>2015</v>
      </c>
      <c r="C1752" s="1">
        <v>99137</v>
      </c>
      <c r="D1752" t="s">
        <v>392</v>
      </c>
      <c r="E1752" t="s">
        <v>146</v>
      </c>
      <c r="F1752" s="8">
        <v>2884</v>
      </c>
      <c r="G1752" s="8">
        <v>228341</v>
      </c>
      <c r="H1752" s="5">
        <f t="shared" si="55"/>
        <v>231225</v>
      </c>
      <c r="I1752">
        <f>IFERROR(VLOOKUP(D1752,'LEAID Match'!$A$2:$B$251,2,FALSE),"")</f>
        <v>4703660</v>
      </c>
    </row>
    <row r="1753" spans="1:9" x14ac:dyDescent="0.2">
      <c r="A1753">
        <f t="shared" si="54"/>
        <v>4703660</v>
      </c>
      <c r="B1753" s="5">
        <v>2016</v>
      </c>
      <c r="C1753" s="1">
        <v>99137</v>
      </c>
      <c r="D1753" t="s">
        <v>392</v>
      </c>
      <c r="E1753" t="s">
        <v>146</v>
      </c>
      <c r="F1753" s="8">
        <v>4713</v>
      </c>
      <c r="G1753" s="8">
        <v>226476</v>
      </c>
      <c r="H1753" s="5">
        <f t="shared" si="55"/>
        <v>231189</v>
      </c>
      <c r="I1753">
        <f>IFERROR(VLOOKUP(D1753,'LEAID Match'!$A$2:$B$251,2,FALSE),"")</f>
        <v>4703660</v>
      </c>
    </row>
    <row r="1754" spans="1:9" x14ac:dyDescent="0.2">
      <c r="A1754">
        <f t="shared" si="54"/>
        <v>4703660</v>
      </c>
      <c r="B1754" s="5">
        <v>2017</v>
      </c>
      <c r="C1754" s="1">
        <v>99137</v>
      </c>
      <c r="D1754" t="s">
        <v>392</v>
      </c>
      <c r="E1754" t="s">
        <v>392</v>
      </c>
      <c r="F1754" s="8">
        <v>6970</v>
      </c>
      <c r="G1754" s="8">
        <v>224473</v>
      </c>
      <c r="H1754" s="5">
        <f t="shared" si="55"/>
        <v>231443</v>
      </c>
      <c r="I1754">
        <f>IFERROR(VLOOKUP(D1754,'LEAID Match'!$A$2:$B$251,2,FALSE),"")</f>
        <v>4703660</v>
      </c>
    </row>
    <row r="1755" spans="1:9" x14ac:dyDescent="0.2">
      <c r="A1755">
        <f t="shared" si="54"/>
        <v>4703660</v>
      </c>
      <c r="B1755" s="5">
        <v>2018</v>
      </c>
      <c r="C1755" s="1">
        <v>99137</v>
      </c>
      <c r="D1755" t="s">
        <v>392</v>
      </c>
      <c r="E1755" t="s">
        <v>146</v>
      </c>
      <c r="F1755" s="8">
        <v>10382</v>
      </c>
      <c r="G1755" s="8">
        <v>243661</v>
      </c>
      <c r="H1755" s="5">
        <f t="shared" si="55"/>
        <v>254043</v>
      </c>
      <c r="I1755">
        <f>IFERROR(VLOOKUP(D1755,'LEAID Match'!$A$2:$B$251,2,FALSE),"")</f>
        <v>4703660</v>
      </c>
    </row>
    <row r="1756" spans="1:9" x14ac:dyDescent="0.2">
      <c r="A1756">
        <f t="shared" si="54"/>
        <v>4703660</v>
      </c>
      <c r="B1756" s="5">
        <v>2019</v>
      </c>
      <c r="C1756" s="1">
        <v>99137</v>
      </c>
      <c r="D1756" t="s">
        <v>392</v>
      </c>
      <c r="E1756" t="s">
        <v>392</v>
      </c>
      <c r="F1756" s="8">
        <v>7446</v>
      </c>
      <c r="G1756" s="8">
        <v>272499</v>
      </c>
      <c r="H1756" s="5">
        <f t="shared" si="55"/>
        <v>279945</v>
      </c>
      <c r="I1756">
        <f>IFERROR(VLOOKUP(D1756,'LEAID Match'!$A$2:$B$251,2,FALSE),"")</f>
        <v>4703660</v>
      </c>
    </row>
    <row r="1757" spans="1:9" x14ac:dyDescent="0.2">
      <c r="A1757">
        <f t="shared" si="54"/>
        <v>4703660</v>
      </c>
      <c r="B1757" s="5">
        <v>2020</v>
      </c>
      <c r="C1757" s="1">
        <v>99137</v>
      </c>
      <c r="D1757" t="s">
        <v>392</v>
      </c>
      <c r="E1757" t="s">
        <v>392</v>
      </c>
      <c r="F1757" s="8">
        <v>7636</v>
      </c>
      <c r="G1757" s="8">
        <v>272562</v>
      </c>
      <c r="H1757" s="5">
        <f t="shared" si="55"/>
        <v>280198</v>
      </c>
      <c r="I1757">
        <f>IFERROR(VLOOKUP(D1757,'LEAID Match'!$A$2:$B$251,2,FALSE),"")</f>
        <v>4703660</v>
      </c>
    </row>
    <row r="1758" spans="1:9" x14ac:dyDescent="0.2">
      <c r="A1758">
        <f t="shared" si="54"/>
        <v>4703660</v>
      </c>
      <c r="B1758" s="5">
        <v>2021</v>
      </c>
      <c r="C1758" s="1">
        <v>99137</v>
      </c>
      <c r="D1758" t="s">
        <v>392</v>
      </c>
      <c r="E1758" t="s">
        <v>392</v>
      </c>
      <c r="F1758" s="8">
        <v>11398</v>
      </c>
      <c r="G1758" s="8">
        <v>253410</v>
      </c>
      <c r="H1758" s="5">
        <f t="shared" si="55"/>
        <v>264808</v>
      </c>
      <c r="I1758">
        <f>IFERROR(VLOOKUP(D1758,'LEAID Match'!$A$2:$B$251,2,FALSE),"")</f>
        <v>4703660</v>
      </c>
    </row>
    <row r="1759" spans="1:9" x14ac:dyDescent="0.2">
      <c r="A1759">
        <f t="shared" si="54"/>
        <v>4703660</v>
      </c>
      <c r="B1759" s="5">
        <v>2022</v>
      </c>
      <c r="C1759" s="1">
        <v>99137</v>
      </c>
      <c r="D1759" t="s">
        <v>392</v>
      </c>
      <c r="E1759" t="s">
        <v>392</v>
      </c>
      <c r="F1759" s="8">
        <v>16762.02</v>
      </c>
      <c r="G1759" s="8">
        <v>241341.11</v>
      </c>
      <c r="H1759" s="5">
        <f t="shared" si="55"/>
        <v>258103.12999999998</v>
      </c>
      <c r="I1759">
        <f>IFERROR(VLOOKUP(D1759,'LEAID Match'!$A$2:$B$251,2,FALSE),"")</f>
        <v>4703660</v>
      </c>
    </row>
    <row r="1760" spans="1:9" x14ac:dyDescent="0.2">
      <c r="A1760">
        <f t="shared" si="54"/>
        <v>4703660</v>
      </c>
      <c r="B1760" s="5">
        <v>2023</v>
      </c>
      <c r="C1760" s="1">
        <v>99137</v>
      </c>
      <c r="D1760" t="s">
        <v>392</v>
      </c>
      <c r="E1760" t="s">
        <v>392</v>
      </c>
      <c r="F1760" s="8">
        <v>30260.52</v>
      </c>
      <c r="G1760" s="8">
        <v>197975.75</v>
      </c>
      <c r="H1760" s="5">
        <f t="shared" si="55"/>
        <v>228236.27</v>
      </c>
      <c r="I1760">
        <f>IFERROR(VLOOKUP(D1760,'LEAID Match'!$A$2:$B$251,2,FALSE),"")</f>
        <v>4703660</v>
      </c>
    </row>
    <row r="1761" spans="1:9" x14ac:dyDescent="0.2">
      <c r="A1761">
        <f t="shared" si="54"/>
        <v>4703690</v>
      </c>
      <c r="B1761" s="5">
        <v>2015</v>
      </c>
      <c r="C1761" s="1">
        <v>99075</v>
      </c>
      <c r="D1761" t="s">
        <v>393</v>
      </c>
      <c r="E1761" t="s">
        <v>147</v>
      </c>
      <c r="F1761" s="8">
        <v>316382</v>
      </c>
      <c r="G1761" s="8">
        <v>13266310</v>
      </c>
      <c r="H1761" s="5">
        <f t="shared" si="55"/>
        <v>13582692</v>
      </c>
      <c r="I1761">
        <f>IFERROR(VLOOKUP(D1761,'LEAID Match'!$A$2:$B$251,2,FALSE),"")</f>
        <v>4703690</v>
      </c>
    </row>
    <row r="1762" spans="1:9" x14ac:dyDescent="0.2">
      <c r="A1762">
        <f t="shared" si="54"/>
        <v>4703690</v>
      </c>
      <c r="B1762" s="5">
        <v>2016</v>
      </c>
      <c r="C1762" s="1">
        <v>99075</v>
      </c>
      <c r="D1762" t="s">
        <v>393</v>
      </c>
      <c r="E1762" t="s">
        <v>147</v>
      </c>
      <c r="F1762" s="8">
        <v>649150</v>
      </c>
      <c r="G1762" s="8">
        <v>13163499</v>
      </c>
      <c r="H1762" s="5">
        <f t="shared" si="55"/>
        <v>13812649</v>
      </c>
      <c r="I1762">
        <f>IFERROR(VLOOKUP(D1762,'LEAID Match'!$A$2:$B$251,2,FALSE),"")</f>
        <v>4703690</v>
      </c>
    </row>
    <row r="1763" spans="1:9" x14ac:dyDescent="0.2">
      <c r="A1763">
        <f t="shared" si="54"/>
        <v>4703690</v>
      </c>
      <c r="B1763" s="5">
        <v>2017</v>
      </c>
      <c r="C1763" s="1">
        <v>99075</v>
      </c>
      <c r="D1763" t="s">
        <v>393</v>
      </c>
      <c r="E1763" t="s">
        <v>393</v>
      </c>
      <c r="F1763" s="8">
        <v>1014698</v>
      </c>
      <c r="G1763" s="8">
        <v>13224179</v>
      </c>
      <c r="H1763" s="5">
        <f t="shared" si="55"/>
        <v>14238877</v>
      </c>
      <c r="I1763">
        <f>IFERROR(VLOOKUP(D1763,'LEAID Match'!$A$2:$B$251,2,FALSE),"")</f>
        <v>4703690</v>
      </c>
    </row>
    <row r="1764" spans="1:9" x14ac:dyDescent="0.2">
      <c r="A1764">
        <f t="shared" si="54"/>
        <v>4703690</v>
      </c>
      <c r="B1764" s="5">
        <v>2018</v>
      </c>
      <c r="C1764" s="1">
        <v>99075</v>
      </c>
      <c r="D1764" t="s">
        <v>393</v>
      </c>
      <c r="E1764" t="s">
        <v>147</v>
      </c>
      <c r="F1764" s="8">
        <v>1447156</v>
      </c>
      <c r="G1764" s="8">
        <v>13467926</v>
      </c>
      <c r="H1764" s="5">
        <f t="shared" si="55"/>
        <v>14915082</v>
      </c>
      <c r="I1764">
        <f>IFERROR(VLOOKUP(D1764,'LEAID Match'!$A$2:$B$251,2,FALSE),"")</f>
        <v>4703690</v>
      </c>
    </row>
    <row r="1765" spans="1:9" x14ac:dyDescent="0.2">
      <c r="A1765">
        <f t="shared" si="54"/>
        <v>4703690</v>
      </c>
      <c r="B1765" s="5">
        <v>2019</v>
      </c>
      <c r="C1765" s="1">
        <v>99075</v>
      </c>
      <c r="D1765" t="s">
        <v>393</v>
      </c>
      <c r="E1765" t="s">
        <v>393</v>
      </c>
      <c r="F1765" s="8">
        <v>882087</v>
      </c>
      <c r="G1765" s="8">
        <v>15721307</v>
      </c>
      <c r="H1765" s="5">
        <f t="shared" si="55"/>
        <v>16603394</v>
      </c>
      <c r="I1765">
        <f>IFERROR(VLOOKUP(D1765,'LEAID Match'!$A$2:$B$251,2,FALSE),"")</f>
        <v>4703690</v>
      </c>
    </row>
    <row r="1766" spans="1:9" x14ac:dyDescent="0.2">
      <c r="A1766">
        <f t="shared" si="54"/>
        <v>4703690</v>
      </c>
      <c r="B1766" s="5">
        <v>2020</v>
      </c>
      <c r="C1766" s="1">
        <v>99075</v>
      </c>
      <c r="D1766" t="s">
        <v>393</v>
      </c>
      <c r="E1766" t="s">
        <v>393</v>
      </c>
      <c r="F1766" s="8">
        <v>1140949</v>
      </c>
      <c r="G1766" s="8">
        <v>16250567</v>
      </c>
      <c r="H1766" s="5">
        <f t="shared" si="55"/>
        <v>17391516</v>
      </c>
      <c r="I1766">
        <f>IFERROR(VLOOKUP(D1766,'LEAID Match'!$A$2:$B$251,2,FALSE),"")</f>
        <v>4703690</v>
      </c>
    </row>
    <row r="1767" spans="1:9" x14ac:dyDescent="0.2">
      <c r="A1767">
        <f t="shared" si="54"/>
        <v>4703690</v>
      </c>
      <c r="B1767" s="5">
        <v>2021</v>
      </c>
      <c r="C1767" s="1">
        <v>99075</v>
      </c>
      <c r="D1767" t="s">
        <v>393</v>
      </c>
      <c r="E1767" t="s">
        <v>393</v>
      </c>
      <c r="F1767" s="8">
        <v>1389675</v>
      </c>
      <c r="G1767" s="8">
        <v>15543366</v>
      </c>
      <c r="H1767" s="5">
        <f t="shared" si="55"/>
        <v>16933041</v>
      </c>
      <c r="I1767">
        <f>IFERROR(VLOOKUP(D1767,'LEAID Match'!$A$2:$B$251,2,FALSE),"")</f>
        <v>4703690</v>
      </c>
    </row>
    <row r="1768" spans="1:9" x14ac:dyDescent="0.2">
      <c r="A1768">
        <f t="shared" si="54"/>
        <v>4703690</v>
      </c>
      <c r="B1768" s="5">
        <v>2022</v>
      </c>
      <c r="C1768" s="1">
        <v>99075</v>
      </c>
      <c r="D1768" t="s">
        <v>393</v>
      </c>
      <c r="E1768" t="s">
        <v>393</v>
      </c>
      <c r="F1768" s="8">
        <v>1711494.36</v>
      </c>
      <c r="G1768" s="8">
        <v>16027990.960000001</v>
      </c>
      <c r="H1768" s="5">
        <f t="shared" si="55"/>
        <v>17739485.32</v>
      </c>
      <c r="I1768">
        <f>IFERROR(VLOOKUP(D1768,'LEAID Match'!$A$2:$B$251,2,FALSE),"")</f>
        <v>4703690</v>
      </c>
    </row>
    <row r="1769" spans="1:9" x14ac:dyDescent="0.2">
      <c r="A1769">
        <f t="shared" si="54"/>
        <v>4703690</v>
      </c>
      <c r="B1769" s="5">
        <v>2023</v>
      </c>
      <c r="C1769" s="1">
        <v>99075</v>
      </c>
      <c r="D1769" t="s">
        <v>393</v>
      </c>
      <c r="E1769" t="s">
        <v>393</v>
      </c>
      <c r="F1769" s="8">
        <v>2838906.63</v>
      </c>
      <c r="G1769" s="8">
        <v>13502971.18</v>
      </c>
      <c r="H1769" s="5">
        <f t="shared" si="55"/>
        <v>16341877.809999999</v>
      </c>
      <c r="I1769">
        <f>IFERROR(VLOOKUP(D1769,'LEAID Match'!$A$2:$B$251,2,FALSE),"")</f>
        <v>4703690</v>
      </c>
    </row>
    <row r="1770" spans="1:9" x14ac:dyDescent="0.2">
      <c r="A1770">
        <f t="shared" si="54"/>
        <v>4703720</v>
      </c>
      <c r="B1770" s="5">
        <v>2015</v>
      </c>
      <c r="C1770" s="1">
        <v>99076</v>
      </c>
      <c r="D1770" t="s">
        <v>394</v>
      </c>
      <c r="E1770" t="s">
        <v>148</v>
      </c>
      <c r="F1770" s="8">
        <v>10385</v>
      </c>
      <c r="G1770" s="8">
        <v>978048</v>
      </c>
      <c r="H1770" s="5">
        <f t="shared" si="55"/>
        <v>988433</v>
      </c>
      <c r="I1770">
        <f>IFERROR(VLOOKUP(D1770,'LEAID Match'!$A$2:$B$251,2,FALSE),"")</f>
        <v>4703720</v>
      </c>
    </row>
    <row r="1771" spans="1:9" x14ac:dyDescent="0.2">
      <c r="A1771">
        <f t="shared" si="54"/>
        <v>4703720</v>
      </c>
      <c r="B1771" s="5">
        <v>2016</v>
      </c>
      <c r="C1771" s="1">
        <v>99076</v>
      </c>
      <c r="D1771" t="s">
        <v>394</v>
      </c>
      <c r="E1771" t="s">
        <v>148</v>
      </c>
      <c r="F1771" s="8">
        <v>26542</v>
      </c>
      <c r="G1771" s="8">
        <v>974896</v>
      </c>
      <c r="H1771" s="5">
        <f t="shared" si="55"/>
        <v>1001438</v>
      </c>
      <c r="I1771">
        <f>IFERROR(VLOOKUP(D1771,'LEAID Match'!$A$2:$B$251,2,FALSE),"")</f>
        <v>4703720</v>
      </c>
    </row>
    <row r="1772" spans="1:9" x14ac:dyDescent="0.2">
      <c r="A1772">
        <f t="shared" si="54"/>
        <v>4703720</v>
      </c>
      <c r="B1772" s="5">
        <v>2017</v>
      </c>
      <c r="C1772" s="1">
        <v>99076</v>
      </c>
      <c r="D1772" t="s">
        <v>394</v>
      </c>
      <c r="E1772" t="s">
        <v>394</v>
      </c>
      <c r="F1772" s="8">
        <v>38549</v>
      </c>
      <c r="G1772" s="8">
        <v>965129</v>
      </c>
      <c r="H1772" s="5">
        <f t="shared" si="55"/>
        <v>1003678</v>
      </c>
      <c r="I1772">
        <f>IFERROR(VLOOKUP(D1772,'LEAID Match'!$A$2:$B$251,2,FALSE),"")</f>
        <v>4703720</v>
      </c>
    </row>
    <row r="1773" spans="1:9" x14ac:dyDescent="0.2">
      <c r="A1773">
        <f t="shared" si="54"/>
        <v>4703720</v>
      </c>
      <c r="B1773" s="5">
        <v>2018</v>
      </c>
      <c r="C1773" s="1">
        <v>99076</v>
      </c>
      <c r="D1773" t="s">
        <v>394</v>
      </c>
      <c r="E1773" t="s">
        <v>148</v>
      </c>
      <c r="F1773" s="8">
        <v>50845</v>
      </c>
      <c r="G1773" s="8">
        <v>956139</v>
      </c>
      <c r="H1773" s="5">
        <f t="shared" si="55"/>
        <v>1006984</v>
      </c>
      <c r="I1773">
        <f>IFERROR(VLOOKUP(D1773,'LEAID Match'!$A$2:$B$251,2,FALSE),"")</f>
        <v>4703720</v>
      </c>
    </row>
    <row r="1774" spans="1:9" x14ac:dyDescent="0.2">
      <c r="A1774">
        <f t="shared" si="54"/>
        <v>4703720</v>
      </c>
      <c r="B1774" s="5">
        <v>2019</v>
      </c>
      <c r="C1774" s="1">
        <v>99076</v>
      </c>
      <c r="D1774" t="s">
        <v>394</v>
      </c>
      <c r="E1774" t="s">
        <v>394</v>
      </c>
      <c r="F1774" s="8">
        <v>36021</v>
      </c>
      <c r="G1774" s="8">
        <v>1084794</v>
      </c>
      <c r="H1774" s="5">
        <f t="shared" si="55"/>
        <v>1120815</v>
      </c>
      <c r="I1774">
        <f>IFERROR(VLOOKUP(D1774,'LEAID Match'!$A$2:$B$251,2,FALSE),"")</f>
        <v>4703720</v>
      </c>
    </row>
    <row r="1775" spans="1:9" x14ac:dyDescent="0.2">
      <c r="A1775">
        <f t="shared" si="54"/>
        <v>4703720</v>
      </c>
      <c r="B1775" s="5">
        <v>2020</v>
      </c>
      <c r="C1775" s="1">
        <v>99076</v>
      </c>
      <c r="D1775" t="s">
        <v>394</v>
      </c>
      <c r="E1775" t="s">
        <v>394</v>
      </c>
      <c r="F1775" s="8">
        <v>44542</v>
      </c>
      <c r="G1775" s="8">
        <v>1110234</v>
      </c>
      <c r="H1775" s="5">
        <f t="shared" si="55"/>
        <v>1154776</v>
      </c>
      <c r="I1775">
        <f>IFERROR(VLOOKUP(D1775,'LEAID Match'!$A$2:$B$251,2,FALSE),"")</f>
        <v>4703720</v>
      </c>
    </row>
    <row r="1776" spans="1:9" x14ac:dyDescent="0.2">
      <c r="A1776">
        <f t="shared" si="54"/>
        <v>4703720</v>
      </c>
      <c r="B1776" s="5">
        <v>2021</v>
      </c>
      <c r="C1776" s="1">
        <v>99076</v>
      </c>
      <c r="D1776" t="s">
        <v>394</v>
      </c>
      <c r="E1776" t="s">
        <v>394</v>
      </c>
      <c r="F1776" s="8">
        <v>49770</v>
      </c>
      <c r="G1776" s="8">
        <v>1072690</v>
      </c>
      <c r="H1776" s="5">
        <f t="shared" si="55"/>
        <v>1122460</v>
      </c>
      <c r="I1776">
        <f>IFERROR(VLOOKUP(D1776,'LEAID Match'!$A$2:$B$251,2,FALSE),"")</f>
        <v>4703720</v>
      </c>
    </row>
    <row r="1777" spans="1:9" x14ac:dyDescent="0.2">
      <c r="A1777">
        <f t="shared" si="54"/>
        <v>4703720</v>
      </c>
      <c r="B1777" s="5">
        <v>2022</v>
      </c>
      <c r="C1777" s="1">
        <v>99076</v>
      </c>
      <c r="D1777" t="s">
        <v>394</v>
      </c>
      <c r="E1777" t="s">
        <v>394</v>
      </c>
      <c r="F1777" s="8">
        <v>61336.42</v>
      </c>
      <c r="G1777" s="8">
        <v>1086972.6399999999</v>
      </c>
      <c r="H1777" s="5">
        <f t="shared" si="55"/>
        <v>1148309.0599999998</v>
      </c>
      <c r="I1777">
        <f>IFERROR(VLOOKUP(D1777,'LEAID Match'!$A$2:$B$251,2,FALSE),"")</f>
        <v>4703720</v>
      </c>
    </row>
    <row r="1778" spans="1:9" x14ac:dyDescent="0.2">
      <c r="A1778">
        <f t="shared" si="54"/>
        <v>4703720</v>
      </c>
      <c r="B1778" s="5">
        <v>2023</v>
      </c>
      <c r="C1778" s="1">
        <v>99076</v>
      </c>
      <c r="D1778" t="s">
        <v>394</v>
      </c>
      <c r="E1778" t="s">
        <v>394</v>
      </c>
      <c r="F1778" s="8">
        <v>106831.24</v>
      </c>
      <c r="G1778" s="8">
        <v>828817.24</v>
      </c>
      <c r="H1778" s="5">
        <f t="shared" si="55"/>
        <v>935648.48</v>
      </c>
      <c r="I1778">
        <f>IFERROR(VLOOKUP(D1778,'LEAID Match'!$A$2:$B$251,2,FALSE),"")</f>
        <v>4703720</v>
      </c>
    </row>
    <row r="1779" spans="1:9" x14ac:dyDescent="0.2">
      <c r="A1779">
        <f t="shared" si="54"/>
        <v>4703750</v>
      </c>
      <c r="B1779" s="5">
        <v>2015</v>
      </c>
      <c r="C1779" s="1">
        <v>99077</v>
      </c>
      <c r="D1779" t="s">
        <v>395</v>
      </c>
      <c r="E1779" t="s">
        <v>149</v>
      </c>
      <c r="F1779" s="8">
        <v>27983</v>
      </c>
      <c r="G1779" s="8">
        <v>673852</v>
      </c>
      <c r="H1779" s="5">
        <f t="shared" si="55"/>
        <v>701835</v>
      </c>
      <c r="I1779">
        <f>IFERROR(VLOOKUP(D1779,'LEAID Match'!$A$2:$B$251,2,FALSE),"")</f>
        <v>4703750</v>
      </c>
    </row>
    <row r="1780" spans="1:9" x14ac:dyDescent="0.2">
      <c r="A1780">
        <f t="shared" si="54"/>
        <v>4703750</v>
      </c>
      <c r="B1780" s="5">
        <v>2016</v>
      </c>
      <c r="C1780" s="1">
        <v>99077</v>
      </c>
      <c r="D1780" t="s">
        <v>395</v>
      </c>
      <c r="E1780" t="s">
        <v>149</v>
      </c>
      <c r="F1780" s="8">
        <v>44061</v>
      </c>
      <c r="G1780" s="8">
        <v>645514</v>
      </c>
      <c r="H1780" s="5">
        <f t="shared" si="55"/>
        <v>689575</v>
      </c>
      <c r="I1780">
        <f>IFERROR(VLOOKUP(D1780,'LEAID Match'!$A$2:$B$251,2,FALSE),"")</f>
        <v>4703750</v>
      </c>
    </row>
    <row r="1781" spans="1:9" x14ac:dyDescent="0.2">
      <c r="A1781">
        <f t="shared" si="54"/>
        <v>4703750</v>
      </c>
      <c r="B1781" s="5">
        <v>2017</v>
      </c>
      <c r="C1781" s="1">
        <v>99077</v>
      </c>
      <c r="D1781" t="s">
        <v>395</v>
      </c>
      <c r="E1781" t="s">
        <v>395</v>
      </c>
      <c r="F1781" s="8">
        <v>65840</v>
      </c>
      <c r="G1781" s="8">
        <v>614147</v>
      </c>
      <c r="H1781" s="5">
        <f t="shared" si="55"/>
        <v>679987</v>
      </c>
      <c r="I1781">
        <f>IFERROR(VLOOKUP(D1781,'LEAID Match'!$A$2:$B$251,2,FALSE),"")</f>
        <v>4703750</v>
      </c>
    </row>
    <row r="1782" spans="1:9" x14ac:dyDescent="0.2">
      <c r="A1782">
        <f t="shared" si="54"/>
        <v>4703750</v>
      </c>
      <c r="B1782" s="5">
        <v>2018</v>
      </c>
      <c r="C1782" s="1">
        <v>99077</v>
      </c>
      <c r="D1782" t="s">
        <v>395</v>
      </c>
      <c r="E1782" t="s">
        <v>149</v>
      </c>
      <c r="F1782" s="8">
        <v>65543</v>
      </c>
      <c r="G1782" s="8">
        <v>623699</v>
      </c>
      <c r="H1782" s="5">
        <f t="shared" si="55"/>
        <v>689242</v>
      </c>
      <c r="I1782">
        <f>IFERROR(VLOOKUP(D1782,'LEAID Match'!$A$2:$B$251,2,FALSE),"")</f>
        <v>4703750</v>
      </c>
    </row>
    <row r="1783" spans="1:9" x14ac:dyDescent="0.2">
      <c r="A1783">
        <f t="shared" si="54"/>
        <v>4703750</v>
      </c>
      <c r="B1783" s="5">
        <v>2019</v>
      </c>
      <c r="C1783" s="1">
        <v>99077</v>
      </c>
      <c r="D1783" t="s">
        <v>395</v>
      </c>
      <c r="E1783" t="s">
        <v>395</v>
      </c>
      <c r="F1783" s="8">
        <v>36174</v>
      </c>
      <c r="G1783" s="8">
        <v>720489</v>
      </c>
      <c r="H1783" s="5">
        <f t="shared" si="55"/>
        <v>756663</v>
      </c>
      <c r="I1783">
        <f>IFERROR(VLOOKUP(D1783,'LEAID Match'!$A$2:$B$251,2,FALSE),"")</f>
        <v>4703750</v>
      </c>
    </row>
    <row r="1784" spans="1:9" x14ac:dyDescent="0.2">
      <c r="A1784">
        <f t="shared" si="54"/>
        <v>4703750</v>
      </c>
      <c r="B1784" s="5">
        <v>2020</v>
      </c>
      <c r="C1784" s="1">
        <v>99077</v>
      </c>
      <c r="D1784" t="s">
        <v>395</v>
      </c>
      <c r="E1784" t="s">
        <v>395</v>
      </c>
      <c r="F1784" s="8">
        <v>39787</v>
      </c>
      <c r="G1784" s="8">
        <v>728657</v>
      </c>
      <c r="H1784" s="5">
        <f t="shared" si="55"/>
        <v>768444</v>
      </c>
      <c r="I1784">
        <f>IFERROR(VLOOKUP(D1784,'LEAID Match'!$A$2:$B$251,2,FALSE),"")</f>
        <v>4703750</v>
      </c>
    </row>
    <row r="1785" spans="1:9" x14ac:dyDescent="0.2">
      <c r="A1785">
        <f t="shared" si="54"/>
        <v>4703750</v>
      </c>
      <c r="B1785" s="5">
        <v>2021</v>
      </c>
      <c r="C1785" s="1">
        <v>99077</v>
      </c>
      <c r="D1785" t="s">
        <v>395</v>
      </c>
      <c r="E1785" t="s">
        <v>395</v>
      </c>
      <c r="F1785" s="8">
        <v>42797</v>
      </c>
      <c r="G1785" s="8">
        <v>708270</v>
      </c>
      <c r="H1785" s="5">
        <f t="shared" si="55"/>
        <v>751067</v>
      </c>
      <c r="I1785">
        <f>IFERROR(VLOOKUP(D1785,'LEAID Match'!$A$2:$B$251,2,FALSE),"")</f>
        <v>4703750</v>
      </c>
    </row>
    <row r="1786" spans="1:9" x14ac:dyDescent="0.2">
      <c r="A1786">
        <f t="shared" si="54"/>
        <v>4703750</v>
      </c>
      <c r="B1786" s="5">
        <v>2022</v>
      </c>
      <c r="C1786" s="1">
        <v>99077</v>
      </c>
      <c r="D1786" t="s">
        <v>395</v>
      </c>
      <c r="E1786" t="s">
        <v>395</v>
      </c>
      <c r="F1786" s="8">
        <v>54414.09</v>
      </c>
      <c r="G1786" s="8">
        <v>704727.51</v>
      </c>
      <c r="H1786" s="5">
        <f t="shared" si="55"/>
        <v>759141.6</v>
      </c>
      <c r="I1786">
        <f>IFERROR(VLOOKUP(D1786,'LEAID Match'!$A$2:$B$251,2,FALSE),"")</f>
        <v>4703750</v>
      </c>
    </row>
    <row r="1787" spans="1:9" x14ac:dyDescent="0.2">
      <c r="A1787">
        <f t="shared" si="54"/>
        <v>4703750</v>
      </c>
      <c r="B1787" s="5">
        <v>2023</v>
      </c>
      <c r="C1787" s="1">
        <v>99077</v>
      </c>
      <c r="D1787" t="s">
        <v>395</v>
      </c>
      <c r="E1787" t="s">
        <v>395</v>
      </c>
      <c r="F1787" s="8">
        <v>100396.26</v>
      </c>
      <c r="G1787" s="8">
        <v>584230.30000000005</v>
      </c>
      <c r="H1787" s="5">
        <f t="shared" si="55"/>
        <v>684626.56</v>
      </c>
      <c r="I1787">
        <f>IFERROR(VLOOKUP(D1787,'LEAID Match'!$A$2:$B$251,2,FALSE),"")</f>
        <v>4703750</v>
      </c>
    </row>
    <row r="1788" spans="1:9" x14ac:dyDescent="0.2">
      <c r="A1788">
        <f t="shared" si="54"/>
        <v>4703780</v>
      </c>
      <c r="B1788" s="5">
        <v>2015</v>
      </c>
      <c r="C1788" s="1">
        <v>99078</v>
      </c>
      <c r="D1788" t="s">
        <v>396</v>
      </c>
      <c r="E1788" t="s">
        <v>150</v>
      </c>
      <c r="F1788" s="8">
        <v>58633</v>
      </c>
      <c r="G1788" s="8">
        <v>5388753</v>
      </c>
      <c r="H1788" s="5">
        <f t="shared" si="55"/>
        <v>5447386</v>
      </c>
      <c r="I1788">
        <f>IFERROR(VLOOKUP(D1788,'LEAID Match'!$A$2:$B$251,2,FALSE),"")</f>
        <v>4703780</v>
      </c>
    </row>
    <row r="1789" spans="1:9" x14ac:dyDescent="0.2">
      <c r="A1789">
        <f t="shared" si="54"/>
        <v>4703780</v>
      </c>
      <c r="B1789" s="5">
        <v>2016</v>
      </c>
      <c r="C1789" s="1">
        <v>99078</v>
      </c>
      <c r="D1789" t="s">
        <v>396</v>
      </c>
      <c r="E1789" t="s">
        <v>150</v>
      </c>
      <c r="F1789" s="8">
        <v>175920</v>
      </c>
      <c r="G1789" s="8">
        <v>5463193</v>
      </c>
      <c r="H1789" s="5">
        <f t="shared" si="55"/>
        <v>5639113</v>
      </c>
      <c r="I1789">
        <f>IFERROR(VLOOKUP(D1789,'LEAID Match'!$A$2:$B$251,2,FALSE),"")</f>
        <v>4703780</v>
      </c>
    </row>
    <row r="1790" spans="1:9" x14ac:dyDescent="0.2">
      <c r="A1790">
        <f t="shared" si="54"/>
        <v>4703780</v>
      </c>
      <c r="B1790" s="5">
        <v>2017</v>
      </c>
      <c r="C1790" s="1">
        <v>99078</v>
      </c>
      <c r="D1790" t="s">
        <v>396</v>
      </c>
      <c r="E1790" t="s">
        <v>396</v>
      </c>
      <c r="F1790" s="8">
        <v>285244</v>
      </c>
      <c r="G1790" s="8">
        <v>5431387</v>
      </c>
      <c r="H1790" s="5">
        <f t="shared" si="55"/>
        <v>5716631</v>
      </c>
      <c r="I1790">
        <f>IFERROR(VLOOKUP(D1790,'LEAID Match'!$A$2:$B$251,2,FALSE),"")</f>
        <v>4703780</v>
      </c>
    </row>
    <row r="1791" spans="1:9" x14ac:dyDescent="0.2">
      <c r="A1791">
        <f t="shared" si="54"/>
        <v>4703780</v>
      </c>
      <c r="B1791" s="5">
        <v>2018</v>
      </c>
      <c r="C1791" s="1">
        <v>99078</v>
      </c>
      <c r="D1791" t="s">
        <v>396</v>
      </c>
      <c r="E1791" t="s">
        <v>150</v>
      </c>
      <c r="F1791" s="8">
        <v>373941</v>
      </c>
      <c r="G1791" s="8">
        <v>5459068</v>
      </c>
      <c r="H1791" s="5">
        <f t="shared" si="55"/>
        <v>5833009</v>
      </c>
      <c r="I1791">
        <f>IFERROR(VLOOKUP(D1791,'LEAID Match'!$A$2:$B$251,2,FALSE),"")</f>
        <v>4703780</v>
      </c>
    </row>
    <row r="1792" spans="1:9" x14ac:dyDescent="0.2">
      <c r="A1792">
        <f t="shared" si="54"/>
        <v>4703780</v>
      </c>
      <c r="B1792" s="5">
        <v>2019</v>
      </c>
      <c r="C1792" s="1">
        <v>99078</v>
      </c>
      <c r="D1792" t="s">
        <v>396</v>
      </c>
      <c r="E1792" t="s">
        <v>396</v>
      </c>
      <c r="F1792" s="8">
        <v>216773</v>
      </c>
      <c r="G1792" s="8">
        <v>6246512</v>
      </c>
      <c r="H1792" s="5">
        <f t="shared" si="55"/>
        <v>6463285</v>
      </c>
      <c r="I1792">
        <f>IFERROR(VLOOKUP(D1792,'LEAID Match'!$A$2:$B$251,2,FALSE),"")</f>
        <v>4703780</v>
      </c>
    </row>
    <row r="1793" spans="1:9" x14ac:dyDescent="0.2">
      <c r="A1793">
        <f t="shared" si="54"/>
        <v>4703780</v>
      </c>
      <c r="B1793" s="5">
        <v>2020</v>
      </c>
      <c r="C1793" s="1">
        <v>99078</v>
      </c>
      <c r="D1793" t="s">
        <v>396</v>
      </c>
      <c r="E1793" t="s">
        <v>396</v>
      </c>
      <c r="F1793" s="8">
        <v>273745.14</v>
      </c>
      <c r="G1793" s="8">
        <v>6266808</v>
      </c>
      <c r="H1793" s="5">
        <f t="shared" si="55"/>
        <v>6540553.1399999997</v>
      </c>
      <c r="I1793">
        <f>IFERROR(VLOOKUP(D1793,'LEAID Match'!$A$2:$B$251,2,FALSE),"")</f>
        <v>4703780</v>
      </c>
    </row>
    <row r="1794" spans="1:9" x14ac:dyDescent="0.2">
      <c r="A1794">
        <f t="shared" si="54"/>
        <v>4703780</v>
      </c>
      <c r="B1794" s="5">
        <v>2021</v>
      </c>
      <c r="C1794" s="1">
        <v>99078</v>
      </c>
      <c r="D1794" t="s">
        <v>396</v>
      </c>
      <c r="E1794" t="s">
        <v>396</v>
      </c>
      <c r="F1794" s="8">
        <v>315515</v>
      </c>
      <c r="G1794" s="8">
        <v>5961562</v>
      </c>
      <c r="H1794" s="5">
        <f t="shared" si="55"/>
        <v>6277077</v>
      </c>
      <c r="I1794">
        <f>IFERROR(VLOOKUP(D1794,'LEAID Match'!$A$2:$B$251,2,FALSE),"")</f>
        <v>4703780</v>
      </c>
    </row>
    <row r="1795" spans="1:9" x14ac:dyDescent="0.2">
      <c r="A1795">
        <f t="shared" ref="A1795:A1858" si="56">I1795</f>
        <v>4703780</v>
      </c>
      <c r="B1795" s="5">
        <v>2022</v>
      </c>
      <c r="C1795" s="1">
        <v>99078</v>
      </c>
      <c r="D1795" t="s">
        <v>396</v>
      </c>
      <c r="E1795" t="s">
        <v>396</v>
      </c>
      <c r="F1795" s="8">
        <v>411561.53</v>
      </c>
      <c r="G1795" s="8">
        <v>6173911.8300000001</v>
      </c>
      <c r="H1795" s="5">
        <f t="shared" ref="H1795:H1858" si="57">SUM(F1795:G1795)</f>
        <v>6585473.3600000003</v>
      </c>
      <c r="I1795">
        <f>IFERROR(VLOOKUP(D1795,'LEAID Match'!$A$2:$B$251,2,FALSE),"")</f>
        <v>4703780</v>
      </c>
    </row>
    <row r="1796" spans="1:9" x14ac:dyDescent="0.2">
      <c r="A1796">
        <f t="shared" si="56"/>
        <v>4703780</v>
      </c>
      <c r="B1796" s="5">
        <v>2023</v>
      </c>
      <c r="C1796" s="1">
        <v>99078</v>
      </c>
      <c r="D1796" t="s">
        <v>396</v>
      </c>
      <c r="E1796" t="s">
        <v>396</v>
      </c>
      <c r="F1796" s="8">
        <v>734870.68999999901</v>
      </c>
      <c r="G1796" s="8">
        <v>5359565.03</v>
      </c>
      <c r="H1796" s="5">
        <f t="shared" si="57"/>
        <v>6094435.7199999988</v>
      </c>
      <c r="I1796">
        <f>IFERROR(VLOOKUP(D1796,'LEAID Match'!$A$2:$B$251,2,FALSE),"")</f>
        <v>4703780</v>
      </c>
    </row>
    <row r="1797" spans="1:9" x14ac:dyDescent="0.2">
      <c r="A1797">
        <f t="shared" si="56"/>
        <v>4700148</v>
      </c>
      <c r="B1797" s="5">
        <v>2015</v>
      </c>
      <c r="C1797" s="1">
        <v>99079</v>
      </c>
      <c r="D1797" t="s">
        <v>397</v>
      </c>
      <c r="E1797" t="s">
        <v>151</v>
      </c>
      <c r="F1797" s="8">
        <v>987290</v>
      </c>
      <c r="G1797" s="8">
        <v>42650593</v>
      </c>
      <c r="H1797" s="5">
        <f t="shared" si="57"/>
        <v>43637883</v>
      </c>
      <c r="I1797">
        <f>IFERROR(VLOOKUP(D1797,'LEAID Match'!$A$2:$B$251,2,FALSE),"")</f>
        <v>4700148</v>
      </c>
    </row>
    <row r="1798" spans="1:9" x14ac:dyDescent="0.2">
      <c r="A1798">
        <f t="shared" si="56"/>
        <v>4700148</v>
      </c>
      <c r="B1798" s="5">
        <v>2016</v>
      </c>
      <c r="C1798" s="1">
        <v>99079</v>
      </c>
      <c r="D1798" t="s">
        <v>397</v>
      </c>
      <c r="E1798" t="s">
        <v>151</v>
      </c>
      <c r="F1798" s="8">
        <v>1908856</v>
      </c>
      <c r="G1798" s="8">
        <v>36996733</v>
      </c>
      <c r="H1798" s="5">
        <f t="shared" si="57"/>
        <v>38905589</v>
      </c>
      <c r="I1798">
        <f>IFERROR(VLOOKUP(D1798,'LEAID Match'!$A$2:$B$251,2,FALSE),"")</f>
        <v>4700148</v>
      </c>
    </row>
    <row r="1799" spans="1:9" x14ac:dyDescent="0.2">
      <c r="A1799">
        <f t="shared" si="56"/>
        <v>4700148</v>
      </c>
      <c r="B1799" s="5">
        <v>2017</v>
      </c>
      <c r="C1799" s="1">
        <v>99079</v>
      </c>
      <c r="D1799" t="s">
        <v>397</v>
      </c>
      <c r="E1799" t="s">
        <v>397</v>
      </c>
      <c r="F1799" s="8">
        <v>2844773</v>
      </c>
      <c r="G1799" s="8">
        <v>35620620</v>
      </c>
      <c r="H1799" s="5">
        <f t="shared" si="57"/>
        <v>38465393</v>
      </c>
      <c r="I1799">
        <f>IFERROR(VLOOKUP(D1799,'LEAID Match'!$A$2:$B$251,2,FALSE),"")</f>
        <v>4700148</v>
      </c>
    </row>
    <row r="1800" spans="1:9" x14ac:dyDescent="0.2">
      <c r="A1800">
        <f t="shared" si="56"/>
        <v>4700148</v>
      </c>
      <c r="B1800" s="5">
        <v>2018</v>
      </c>
      <c r="C1800" s="1">
        <v>99079</v>
      </c>
      <c r="D1800" t="s">
        <v>397</v>
      </c>
      <c r="E1800" t="s">
        <v>151</v>
      </c>
      <c r="F1800" s="8">
        <v>4124575</v>
      </c>
      <c r="G1800" s="8">
        <v>33289089</v>
      </c>
      <c r="H1800" s="5">
        <f t="shared" si="57"/>
        <v>37413664</v>
      </c>
      <c r="I1800">
        <f>IFERROR(VLOOKUP(D1800,'LEAID Match'!$A$2:$B$251,2,FALSE),"")</f>
        <v>4700148</v>
      </c>
    </row>
    <row r="1801" spans="1:9" x14ac:dyDescent="0.2">
      <c r="A1801">
        <f t="shared" si="56"/>
        <v>4700148</v>
      </c>
      <c r="B1801" s="5">
        <v>2019</v>
      </c>
      <c r="C1801" s="1">
        <v>99079</v>
      </c>
      <c r="D1801" t="s">
        <v>397</v>
      </c>
      <c r="E1801" t="s">
        <v>397</v>
      </c>
      <c r="F1801" s="8">
        <v>2503558</v>
      </c>
      <c r="G1801" s="8">
        <v>36596139</v>
      </c>
      <c r="H1801" s="5">
        <f t="shared" si="57"/>
        <v>39099697</v>
      </c>
      <c r="I1801">
        <f>IFERROR(VLOOKUP(D1801,'LEAID Match'!$A$2:$B$251,2,FALSE),"")</f>
        <v>4700148</v>
      </c>
    </row>
    <row r="1802" spans="1:9" x14ac:dyDescent="0.2">
      <c r="A1802">
        <f t="shared" si="56"/>
        <v>4700148</v>
      </c>
      <c r="B1802" s="5">
        <v>2020</v>
      </c>
      <c r="C1802" s="1">
        <v>99079</v>
      </c>
      <c r="D1802" t="s">
        <v>397</v>
      </c>
      <c r="E1802" t="s">
        <v>397</v>
      </c>
      <c r="F1802" s="8">
        <v>2892058.32</v>
      </c>
      <c r="G1802" s="8">
        <v>35464034</v>
      </c>
      <c r="H1802" s="5">
        <f t="shared" si="57"/>
        <v>38356092.32</v>
      </c>
      <c r="I1802">
        <f>IFERROR(VLOOKUP(D1802,'LEAID Match'!$A$2:$B$251,2,FALSE),"")</f>
        <v>4700148</v>
      </c>
    </row>
    <row r="1803" spans="1:9" x14ac:dyDescent="0.2">
      <c r="A1803">
        <f t="shared" si="56"/>
        <v>4700148</v>
      </c>
      <c r="B1803" s="5">
        <v>2021</v>
      </c>
      <c r="C1803" s="1">
        <v>99079</v>
      </c>
      <c r="D1803" t="s">
        <v>397</v>
      </c>
      <c r="E1803" t="s">
        <v>397</v>
      </c>
      <c r="F1803" s="8">
        <v>2968310</v>
      </c>
      <c r="G1803" s="8">
        <v>32465693</v>
      </c>
      <c r="H1803" s="5">
        <f t="shared" si="57"/>
        <v>35434003</v>
      </c>
      <c r="I1803">
        <f>IFERROR(VLOOKUP(D1803,'LEAID Match'!$A$2:$B$251,2,FALSE),"")</f>
        <v>4700148</v>
      </c>
    </row>
    <row r="1804" spans="1:9" x14ac:dyDescent="0.2">
      <c r="A1804">
        <f t="shared" si="56"/>
        <v>4700148</v>
      </c>
      <c r="B1804" s="5">
        <v>2022</v>
      </c>
      <c r="C1804" s="1">
        <v>99079</v>
      </c>
      <c r="D1804" t="s">
        <v>397</v>
      </c>
      <c r="E1804" t="s">
        <v>397</v>
      </c>
      <c r="F1804" s="8">
        <v>3393354.11</v>
      </c>
      <c r="G1804" s="8">
        <v>31701505.940000001</v>
      </c>
      <c r="H1804" s="5">
        <f t="shared" si="57"/>
        <v>35094860.050000004</v>
      </c>
      <c r="I1804">
        <f>IFERROR(VLOOKUP(D1804,'LEAID Match'!$A$2:$B$251,2,FALSE),"")</f>
        <v>4700148</v>
      </c>
    </row>
    <row r="1805" spans="1:9" x14ac:dyDescent="0.2">
      <c r="A1805">
        <f t="shared" si="56"/>
        <v>4700148</v>
      </c>
      <c r="B1805" s="5">
        <v>2023</v>
      </c>
      <c r="C1805" s="1">
        <v>99079</v>
      </c>
      <c r="D1805" t="s">
        <v>397</v>
      </c>
      <c r="E1805" t="s">
        <v>397</v>
      </c>
      <c r="F1805" s="8">
        <v>5505694.7300000004</v>
      </c>
      <c r="G1805" s="8">
        <v>25190405.32</v>
      </c>
      <c r="H1805" s="5">
        <f t="shared" si="57"/>
        <v>30696100.050000001</v>
      </c>
      <c r="I1805">
        <f>IFERROR(VLOOKUP(D1805,'LEAID Match'!$A$2:$B$251,2,FALSE),"")</f>
        <v>4700148</v>
      </c>
    </row>
    <row r="1806" spans="1:9" x14ac:dyDescent="0.2">
      <c r="A1806">
        <f t="shared" si="56"/>
        <v>4703870</v>
      </c>
      <c r="B1806" s="5">
        <v>2015</v>
      </c>
      <c r="C1806" s="1">
        <v>99080</v>
      </c>
      <c r="D1806" t="s">
        <v>398</v>
      </c>
      <c r="E1806" t="s">
        <v>152</v>
      </c>
      <c r="F1806" s="8">
        <v>16725</v>
      </c>
      <c r="G1806" s="8">
        <v>1017572</v>
      </c>
      <c r="H1806" s="5">
        <f t="shared" si="57"/>
        <v>1034297</v>
      </c>
      <c r="I1806">
        <f>IFERROR(VLOOKUP(D1806,'LEAID Match'!$A$2:$B$251,2,FALSE),"")</f>
        <v>4703870</v>
      </c>
    </row>
    <row r="1807" spans="1:9" x14ac:dyDescent="0.2">
      <c r="A1807">
        <f t="shared" si="56"/>
        <v>4703870</v>
      </c>
      <c r="B1807" s="5">
        <v>2016</v>
      </c>
      <c r="C1807" s="1">
        <v>99080</v>
      </c>
      <c r="D1807" t="s">
        <v>398</v>
      </c>
      <c r="E1807" t="s">
        <v>152</v>
      </c>
      <c r="F1807" s="8">
        <v>31329</v>
      </c>
      <c r="G1807" s="8">
        <v>983929</v>
      </c>
      <c r="H1807" s="5">
        <f t="shared" si="57"/>
        <v>1015258</v>
      </c>
      <c r="I1807">
        <f>IFERROR(VLOOKUP(D1807,'LEAID Match'!$A$2:$B$251,2,FALSE),"")</f>
        <v>4703870</v>
      </c>
    </row>
    <row r="1808" spans="1:9" x14ac:dyDescent="0.2">
      <c r="A1808">
        <f t="shared" si="56"/>
        <v>4703870</v>
      </c>
      <c r="B1808" s="5">
        <v>2017</v>
      </c>
      <c r="C1808" s="1">
        <v>99080</v>
      </c>
      <c r="D1808" t="s">
        <v>398</v>
      </c>
      <c r="E1808" t="s">
        <v>398</v>
      </c>
      <c r="F1808" s="8">
        <v>48178</v>
      </c>
      <c r="G1808" s="8">
        <v>953438</v>
      </c>
      <c r="H1808" s="5">
        <f t="shared" si="57"/>
        <v>1001616</v>
      </c>
      <c r="I1808">
        <f>IFERROR(VLOOKUP(D1808,'LEAID Match'!$A$2:$B$251,2,FALSE),"")</f>
        <v>4703870</v>
      </c>
    </row>
    <row r="1809" spans="1:9" x14ac:dyDescent="0.2">
      <c r="A1809">
        <f t="shared" si="56"/>
        <v>4703870</v>
      </c>
      <c r="B1809" s="5">
        <v>2018</v>
      </c>
      <c r="C1809" s="1">
        <v>99080</v>
      </c>
      <c r="D1809" t="s">
        <v>398</v>
      </c>
      <c r="E1809" t="s">
        <v>152</v>
      </c>
      <c r="F1809" s="8">
        <v>57178</v>
      </c>
      <c r="G1809" s="8">
        <v>931241</v>
      </c>
      <c r="H1809" s="5">
        <f t="shared" si="57"/>
        <v>988419</v>
      </c>
      <c r="I1809">
        <f>IFERROR(VLOOKUP(D1809,'LEAID Match'!$A$2:$B$251,2,FALSE),"")</f>
        <v>4703870</v>
      </c>
    </row>
    <row r="1810" spans="1:9" x14ac:dyDescent="0.2">
      <c r="A1810">
        <f t="shared" si="56"/>
        <v>4703870</v>
      </c>
      <c r="B1810" s="5">
        <v>2019</v>
      </c>
      <c r="C1810" s="1">
        <v>99080</v>
      </c>
      <c r="D1810" t="s">
        <v>398</v>
      </c>
      <c r="E1810" t="s">
        <v>398</v>
      </c>
      <c r="F1810" s="8">
        <v>40783</v>
      </c>
      <c r="G1810" s="8">
        <v>1073033</v>
      </c>
      <c r="H1810" s="5">
        <f t="shared" si="57"/>
        <v>1113816</v>
      </c>
      <c r="I1810">
        <f>IFERROR(VLOOKUP(D1810,'LEAID Match'!$A$2:$B$251,2,FALSE),"")</f>
        <v>4703870</v>
      </c>
    </row>
    <row r="1811" spans="1:9" x14ac:dyDescent="0.2">
      <c r="A1811">
        <f t="shared" si="56"/>
        <v>4703870</v>
      </c>
      <c r="B1811" s="5">
        <v>2020</v>
      </c>
      <c r="C1811" s="1">
        <v>99080</v>
      </c>
      <c r="D1811" t="s">
        <v>398</v>
      </c>
      <c r="E1811" t="s">
        <v>398</v>
      </c>
      <c r="F1811" s="8">
        <v>54524</v>
      </c>
      <c r="G1811" s="8">
        <v>1105315</v>
      </c>
      <c r="H1811" s="5">
        <f t="shared" si="57"/>
        <v>1159839</v>
      </c>
      <c r="I1811">
        <f>IFERROR(VLOOKUP(D1811,'LEAID Match'!$A$2:$B$251,2,FALSE),"")</f>
        <v>4703870</v>
      </c>
    </row>
    <row r="1812" spans="1:9" x14ac:dyDescent="0.2">
      <c r="A1812">
        <f t="shared" si="56"/>
        <v>4703870</v>
      </c>
      <c r="B1812" s="5">
        <v>2021</v>
      </c>
      <c r="C1812" s="1">
        <v>99080</v>
      </c>
      <c r="D1812" t="s">
        <v>398</v>
      </c>
      <c r="E1812" t="s">
        <v>398</v>
      </c>
      <c r="F1812" s="8">
        <v>56288</v>
      </c>
      <c r="G1812" s="8">
        <v>1017636</v>
      </c>
      <c r="H1812" s="5">
        <f t="shared" si="57"/>
        <v>1073924</v>
      </c>
      <c r="I1812">
        <f>IFERROR(VLOOKUP(D1812,'LEAID Match'!$A$2:$B$251,2,FALSE),"")</f>
        <v>4703870</v>
      </c>
    </row>
    <row r="1813" spans="1:9" x14ac:dyDescent="0.2">
      <c r="A1813">
        <f t="shared" si="56"/>
        <v>4703870</v>
      </c>
      <c r="B1813" s="5">
        <v>2022</v>
      </c>
      <c r="C1813" s="1">
        <v>99080</v>
      </c>
      <c r="D1813" t="s">
        <v>398</v>
      </c>
      <c r="E1813" t="s">
        <v>398</v>
      </c>
      <c r="F1813" s="8">
        <v>70422.37</v>
      </c>
      <c r="G1813" s="8">
        <v>1010049.41</v>
      </c>
      <c r="H1813" s="5">
        <f t="shared" si="57"/>
        <v>1080471.78</v>
      </c>
      <c r="I1813">
        <f>IFERROR(VLOOKUP(D1813,'LEAID Match'!$A$2:$B$251,2,FALSE),"")</f>
        <v>4703870</v>
      </c>
    </row>
    <row r="1814" spans="1:9" x14ac:dyDescent="0.2">
      <c r="A1814">
        <f t="shared" si="56"/>
        <v>4703870</v>
      </c>
      <c r="B1814" s="5">
        <v>2023</v>
      </c>
      <c r="C1814" s="1">
        <v>99080</v>
      </c>
      <c r="D1814" t="s">
        <v>398</v>
      </c>
      <c r="E1814" t="s">
        <v>398</v>
      </c>
      <c r="F1814" s="8">
        <v>111167.28</v>
      </c>
      <c r="G1814" s="8">
        <v>880193.78</v>
      </c>
      <c r="H1814" s="5">
        <f t="shared" si="57"/>
        <v>991361.06</v>
      </c>
      <c r="I1814">
        <f>IFERROR(VLOOKUP(D1814,'LEAID Match'!$A$2:$B$251,2,FALSE),"")</f>
        <v>4703870</v>
      </c>
    </row>
    <row r="1815" spans="1:9" x14ac:dyDescent="0.2">
      <c r="A1815">
        <f t="shared" si="56"/>
        <v>0</v>
      </c>
      <c r="B1815" s="5">
        <v>2015</v>
      </c>
      <c r="C1815" s="1">
        <v>97950</v>
      </c>
      <c r="D1815" t="s">
        <v>399</v>
      </c>
      <c r="E1815" t="s">
        <v>153</v>
      </c>
      <c r="F1815" s="8">
        <v>15318</v>
      </c>
      <c r="G1815" s="8">
        <v>258982</v>
      </c>
      <c r="H1815" s="5">
        <f t="shared" si="57"/>
        <v>274300</v>
      </c>
      <c r="I1815">
        <f>IFERROR(VLOOKUP(D1815,'LEAID Match'!$A$2:$B$251,2,FALSE),"")</f>
        <v>0</v>
      </c>
    </row>
    <row r="1816" spans="1:9" x14ac:dyDescent="0.2">
      <c r="A1816">
        <f t="shared" si="56"/>
        <v>0</v>
      </c>
      <c r="B1816" s="5">
        <v>2016</v>
      </c>
      <c r="C1816" s="1">
        <v>97950</v>
      </c>
      <c r="D1816" t="s">
        <v>399</v>
      </c>
      <c r="E1816" t="s">
        <v>153</v>
      </c>
      <c r="F1816" s="8">
        <v>31846</v>
      </c>
      <c r="G1816" s="8">
        <v>240665</v>
      </c>
      <c r="H1816" s="5">
        <f t="shared" si="57"/>
        <v>272511</v>
      </c>
      <c r="I1816">
        <f>IFERROR(VLOOKUP(D1816,'LEAID Match'!$A$2:$B$251,2,FALSE),"")</f>
        <v>0</v>
      </c>
    </row>
    <row r="1817" spans="1:9" x14ac:dyDescent="0.2">
      <c r="A1817">
        <f t="shared" si="56"/>
        <v>0</v>
      </c>
      <c r="B1817" s="5">
        <v>2017</v>
      </c>
      <c r="C1817" s="1">
        <v>97950</v>
      </c>
      <c r="D1817" t="s">
        <v>399</v>
      </c>
      <c r="E1817" t="s">
        <v>399</v>
      </c>
      <c r="F1817" s="8">
        <v>46694</v>
      </c>
      <c r="G1817" s="8">
        <v>216230</v>
      </c>
      <c r="H1817" s="5">
        <f t="shared" si="57"/>
        <v>262924</v>
      </c>
      <c r="I1817">
        <f>IFERROR(VLOOKUP(D1817,'LEAID Match'!$A$2:$B$251,2,FALSE),"")</f>
        <v>0</v>
      </c>
    </row>
    <row r="1818" spans="1:9" x14ac:dyDescent="0.2">
      <c r="A1818">
        <f t="shared" si="56"/>
        <v>0</v>
      </c>
      <c r="B1818" s="5">
        <v>2018</v>
      </c>
      <c r="C1818" s="1">
        <v>97950</v>
      </c>
      <c r="D1818" t="s">
        <v>399</v>
      </c>
      <c r="E1818" t="s">
        <v>153</v>
      </c>
      <c r="F1818" s="8">
        <v>65110</v>
      </c>
      <c r="G1818" s="8">
        <v>188469</v>
      </c>
      <c r="H1818" s="5">
        <f t="shared" si="57"/>
        <v>253579</v>
      </c>
      <c r="I1818">
        <f>IFERROR(VLOOKUP(D1818,'LEAID Match'!$A$2:$B$251,2,FALSE),"")</f>
        <v>0</v>
      </c>
    </row>
    <row r="1819" spans="1:9" x14ac:dyDescent="0.2">
      <c r="A1819">
        <f t="shared" si="56"/>
        <v>0</v>
      </c>
      <c r="B1819" s="5">
        <v>2019</v>
      </c>
      <c r="C1819" s="1">
        <v>97950</v>
      </c>
      <c r="D1819" t="s">
        <v>399</v>
      </c>
      <c r="E1819" t="s">
        <v>399</v>
      </c>
      <c r="F1819" s="8">
        <v>38243</v>
      </c>
      <c r="G1819" s="8">
        <v>195792</v>
      </c>
      <c r="H1819" s="5">
        <f t="shared" si="57"/>
        <v>234035</v>
      </c>
      <c r="I1819">
        <f>IFERROR(VLOOKUP(D1819,'LEAID Match'!$A$2:$B$251,2,FALSE),"")</f>
        <v>0</v>
      </c>
    </row>
    <row r="1820" spans="1:9" x14ac:dyDescent="0.2">
      <c r="A1820">
        <f t="shared" si="56"/>
        <v>0</v>
      </c>
      <c r="B1820" s="5">
        <v>2020</v>
      </c>
      <c r="C1820" s="1">
        <v>97950</v>
      </c>
      <c r="D1820" t="s">
        <v>399</v>
      </c>
      <c r="E1820" t="s">
        <v>399</v>
      </c>
      <c r="F1820" s="8">
        <v>44039</v>
      </c>
      <c r="G1820" s="8">
        <v>177432</v>
      </c>
      <c r="H1820" s="5">
        <f t="shared" si="57"/>
        <v>221471</v>
      </c>
      <c r="I1820">
        <f>IFERROR(VLOOKUP(D1820,'LEAID Match'!$A$2:$B$251,2,FALSE),"")</f>
        <v>0</v>
      </c>
    </row>
    <row r="1821" spans="1:9" x14ac:dyDescent="0.2">
      <c r="A1821">
        <f t="shared" si="56"/>
        <v>0</v>
      </c>
      <c r="B1821" s="5">
        <v>2021</v>
      </c>
      <c r="C1821" s="1">
        <v>97950</v>
      </c>
      <c r="D1821" t="s">
        <v>399</v>
      </c>
      <c r="E1821" t="s">
        <v>399</v>
      </c>
      <c r="F1821" s="8">
        <v>26579</v>
      </c>
      <c r="G1821" s="8">
        <v>180909</v>
      </c>
      <c r="H1821" s="5">
        <f t="shared" si="57"/>
        <v>207488</v>
      </c>
      <c r="I1821">
        <f>IFERROR(VLOOKUP(D1821,'LEAID Match'!$A$2:$B$251,2,FALSE),"")</f>
        <v>0</v>
      </c>
    </row>
    <row r="1822" spans="1:9" x14ac:dyDescent="0.2">
      <c r="A1822">
        <f t="shared" si="56"/>
        <v>0</v>
      </c>
      <c r="B1822" s="5">
        <v>2022</v>
      </c>
      <c r="C1822" s="1">
        <v>97950</v>
      </c>
      <c r="D1822" t="s">
        <v>399</v>
      </c>
      <c r="E1822" t="s">
        <v>399</v>
      </c>
      <c r="F1822" s="8">
        <v>52861.94</v>
      </c>
      <c r="G1822" s="8">
        <v>164143.46</v>
      </c>
      <c r="H1822" s="5">
        <f t="shared" si="57"/>
        <v>217005.4</v>
      </c>
      <c r="I1822">
        <f>IFERROR(VLOOKUP(D1822,'LEAID Match'!$A$2:$B$251,2,FALSE),"")</f>
        <v>0</v>
      </c>
    </row>
    <row r="1823" spans="1:9" x14ac:dyDescent="0.2">
      <c r="A1823">
        <f t="shared" si="56"/>
        <v>0</v>
      </c>
      <c r="B1823" s="5">
        <v>2023</v>
      </c>
      <c r="C1823" s="1">
        <v>97950</v>
      </c>
      <c r="D1823" t="s">
        <v>399</v>
      </c>
      <c r="E1823" t="s">
        <v>399</v>
      </c>
      <c r="F1823" s="8">
        <v>90191.44</v>
      </c>
      <c r="G1823" s="8">
        <v>121698.32</v>
      </c>
      <c r="H1823" s="5">
        <f t="shared" si="57"/>
        <v>211889.76</v>
      </c>
      <c r="I1823">
        <f>IFERROR(VLOOKUP(D1823,'LEAID Match'!$A$2:$B$251,2,FALSE),"")</f>
        <v>0</v>
      </c>
    </row>
    <row r="1824" spans="1:9" x14ac:dyDescent="0.2">
      <c r="A1824">
        <f t="shared" si="56"/>
        <v>4703900</v>
      </c>
      <c r="B1824" s="5">
        <v>2015</v>
      </c>
      <c r="C1824" s="1">
        <v>99509</v>
      </c>
      <c r="D1824" t="s">
        <v>400</v>
      </c>
      <c r="E1824" t="s">
        <v>198</v>
      </c>
      <c r="F1824" s="8">
        <v>1515</v>
      </c>
      <c r="G1824" s="8">
        <v>133054</v>
      </c>
      <c r="H1824" s="5">
        <f t="shared" si="57"/>
        <v>134569</v>
      </c>
      <c r="I1824">
        <f>IFERROR(VLOOKUP(D1824,'LEAID Match'!$A$2:$B$251,2,FALSE),"")</f>
        <v>4703900</v>
      </c>
    </row>
    <row r="1825" spans="1:9" x14ac:dyDescent="0.2">
      <c r="A1825">
        <f t="shared" si="56"/>
        <v>4703900</v>
      </c>
      <c r="B1825" s="5">
        <v>2016</v>
      </c>
      <c r="C1825" s="1">
        <v>99509</v>
      </c>
      <c r="D1825" t="s">
        <v>400</v>
      </c>
      <c r="E1825" t="s">
        <v>198</v>
      </c>
      <c r="F1825" s="8">
        <v>2976</v>
      </c>
      <c r="G1825" s="8">
        <v>120123</v>
      </c>
      <c r="H1825" s="5">
        <f t="shared" si="57"/>
        <v>123099</v>
      </c>
      <c r="I1825">
        <f>IFERROR(VLOOKUP(D1825,'LEAID Match'!$A$2:$B$251,2,FALSE),"")</f>
        <v>4703900</v>
      </c>
    </row>
    <row r="1826" spans="1:9" x14ac:dyDescent="0.2">
      <c r="A1826">
        <f t="shared" si="56"/>
        <v>4703900</v>
      </c>
      <c r="B1826" s="5">
        <v>2017</v>
      </c>
      <c r="C1826" s="1">
        <v>99509</v>
      </c>
      <c r="D1826" t="s">
        <v>400</v>
      </c>
      <c r="E1826" t="s">
        <v>400</v>
      </c>
      <c r="F1826" s="8">
        <v>4632</v>
      </c>
      <c r="G1826" s="8">
        <v>115781</v>
      </c>
      <c r="H1826" s="5">
        <f t="shared" si="57"/>
        <v>120413</v>
      </c>
      <c r="I1826">
        <f>IFERROR(VLOOKUP(D1826,'LEAID Match'!$A$2:$B$251,2,FALSE),"")</f>
        <v>4703900</v>
      </c>
    </row>
    <row r="1827" spans="1:9" x14ac:dyDescent="0.2">
      <c r="A1827">
        <f t="shared" si="56"/>
        <v>4703900</v>
      </c>
      <c r="B1827" s="5">
        <v>2018</v>
      </c>
      <c r="C1827" s="1">
        <v>99509</v>
      </c>
      <c r="D1827" t="s">
        <v>400</v>
      </c>
      <c r="E1827" t="s">
        <v>198</v>
      </c>
      <c r="F1827" s="8">
        <v>6330</v>
      </c>
      <c r="G1827" s="8">
        <v>114827</v>
      </c>
      <c r="H1827" s="5">
        <f t="shared" si="57"/>
        <v>121157</v>
      </c>
      <c r="I1827">
        <f>IFERROR(VLOOKUP(D1827,'LEAID Match'!$A$2:$B$251,2,FALSE),"")</f>
        <v>4703900</v>
      </c>
    </row>
    <row r="1828" spans="1:9" x14ac:dyDescent="0.2">
      <c r="A1828">
        <f t="shared" si="56"/>
        <v>4703900</v>
      </c>
      <c r="B1828" s="5">
        <v>2019</v>
      </c>
      <c r="C1828" s="1">
        <v>99509</v>
      </c>
      <c r="D1828" t="s">
        <v>400</v>
      </c>
      <c r="E1828" t="s">
        <v>400</v>
      </c>
      <c r="F1828" s="8">
        <v>4976</v>
      </c>
      <c r="G1828" s="8">
        <v>125491</v>
      </c>
      <c r="H1828" s="5">
        <f t="shared" si="57"/>
        <v>130467</v>
      </c>
      <c r="I1828">
        <f>IFERROR(VLOOKUP(D1828,'LEAID Match'!$A$2:$B$251,2,FALSE),"")</f>
        <v>4703900</v>
      </c>
    </row>
    <row r="1829" spans="1:9" x14ac:dyDescent="0.2">
      <c r="A1829">
        <f t="shared" si="56"/>
        <v>4703900</v>
      </c>
      <c r="B1829" s="5">
        <v>2020</v>
      </c>
      <c r="C1829" s="1">
        <v>99509</v>
      </c>
      <c r="D1829" t="s">
        <v>400</v>
      </c>
      <c r="E1829" t="s">
        <v>400</v>
      </c>
      <c r="F1829" s="8">
        <v>4387</v>
      </c>
      <c r="G1829" s="8">
        <v>132560</v>
      </c>
      <c r="H1829" s="5">
        <f t="shared" si="57"/>
        <v>136947</v>
      </c>
      <c r="I1829">
        <f>IFERROR(VLOOKUP(D1829,'LEAID Match'!$A$2:$B$251,2,FALSE),"")</f>
        <v>4703900</v>
      </c>
    </row>
    <row r="1830" spans="1:9" x14ac:dyDescent="0.2">
      <c r="A1830">
        <f t="shared" si="56"/>
        <v>4703900</v>
      </c>
      <c r="B1830" s="5">
        <v>2021</v>
      </c>
      <c r="C1830" s="1">
        <v>99509</v>
      </c>
      <c r="D1830" t="s">
        <v>400</v>
      </c>
      <c r="E1830" t="s">
        <v>400</v>
      </c>
      <c r="F1830" s="8">
        <v>3632</v>
      </c>
      <c r="G1830" s="8">
        <v>130763</v>
      </c>
      <c r="H1830" s="5">
        <f t="shared" si="57"/>
        <v>134395</v>
      </c>
      <c r="I1830">
        <f>IFERROR(VLOOKUP(D1830,'LEAID Match'!$A$2:$B$251,2,FALSE),"")</f>
        <v>4703900</v>
      </c>
    </row>
    <row r="1831" spans="1:9" x14ac:dyDescent="0.2">
      <c r="A1831">
        <f t="shared" si="56"/>
        <v>4703900</v>
      </c>
      <c r="B1831" s="5">
        <v>2022</v>
      </c>
      <c r="C1831" s="1">
        <v>99509</v>
      </c>
      <c r="D1831" t="s">
        <v>400</v>
      </c>
      <c r="E1831" t="s">
        <v>400</v>
      </c>
      <c r="F1831" s="8">
        <v>5607.36</v>
      </c>
      <c r="G1831" s="8">
        <v>117149.37</v>
      </c>
      <c r="H1831" s="5">
        <f t="shared" si="57"/>
        <v>122756.73</v>
      </c>
      <c r="I1831">
        <f>IFERROR(VLOOKUP(D1831,'LEAID Match'!$A$2:$B$251,2,FALSE),"")</f>
        <v>4703900</v>
      </c>
    </row>
    <row r="1832" spans="1:9" x14ac:dyDescent="0.2">
      <c r="A1832">
        <f t="shared" si="56"/>
        <v>4703900</v>
      </c>
      <c r="B1832" s="5">
        <v>2023</v>
      </c>
      <c r="C1832" s="1">
        <v>99509</v>
      </c>
      <c r="D1832" t="s">
        <v>400</v>
      </c>
      <c r="E1832" t="s">
        <v>400</v>
      </c>
      <c r="F1832" s="8">
        <v>19152.14</v>
      </c>
      <c r="G1832" s="8">
        <v>89216.25</v>
      </c>
      <c r="H1832" s="5">
        <f t="shared" si="57"/>
        <v>108368.39</v>
      </c>
      <c r="I1832">
        <f>IFERROR(VLOOKUP(D1832,'LEAID Match'!$A$2:$B$251,2,FALSE),"")</f>
        <v>4703900</v>
      </c>
    </row>
    <row r="1833" spans="1:9" x14ac:dyDescent="0.2">
      <c r="A1833">
        <f t="shared" si="56"/>
        <v>0</v>
      </c>
      <c r="B1833" s="5">
        <v>2015</v>
      </c>
      <c r="C1833" s="1">
        <v>97947</v>
      </c>
      <c r="D1833" t="s">
        <v>401</v>
      </c>
      <c r="E1833" t="s">
        <v>199</v>
      </c>
      <c r="F1833" s="8">
        <v>12741</v>
      </c>
      <c r="G1833" s="8">
        <v>58656</v>
      </c>
      <c r="H1833" s="5">
        <f t="shared" si="57"/>
        <v>71397</v>
      </c>
      <c r="I1833">
        <f>IFERROR(VLOOKUP(D1833,'LEAID Match'!$A$2:$B$251,2,FALSE),"")</f>
        <v>0</v>
      </c>
    </row>
    <row r="1834" spans="1:9" x14ac:dyDescent="0.2">
      <c r="A1834">
        <f t="shared" si="56"/>
        <v>0</v>
      </c>
      <c r="B1834" s="5">
        <v>2016</v>
      </c>
      <c r="C1834" s="1">
        <v>97947</v>
      </c>
      <c r="D1834" t="s">
        <v>401</v>
      </c>
      <c r="E1834" t="s">
        <v>199</v>
      </c>
      <c r="F1834" s="8">
        <v>19514</v>
      </c>
      <c r="G1834" s="8">
        <v>63386</v>
      </c>
      <c r="H1834" s="5">
        <f t="shared" si="57"/>
        <v>82900</v>
      </c>
      <c r="I1834">
        <f>IFERROR(VLOOKUP(D1834,'LEAID Match'!$A$2:$B$251,2,FALSE),"")</f>
        <v>0</v>
      </c>
    </row>
    <row r="1835" spans="1:9" x14ac:dyDescent="0.2">
      <c r="A1835">
        <f t="shared" si="56"/>
        <v>0</v>
      </c>
      <c r="B1835" s="5">
        <v>2017</v>
      </c>
      <c r="C1835" s="1">
        <v>97947</v>
      </c>
      <c r="D1835" t="s">
        <v>401</v>
      </c>
      <c r="E1835" t="s">
        <v>401</v>
      </c>
      <c r="F1835" s="8">
        <v>21023</v>
      </c>
      <c r="G1835" s="8">
        <v>78630</v>
      </c>
      <c r="H1835" s="5">
        <f t="shared" si="57"/>
        <v>99653</v>
      </c>
      <c r="I1835">
        <f>IFERROR(VLOOKUP(D1835,'LEAID Match'!$A$2:$B$251,2,FALSE),"")</f>
        <v>0</v>
      </c>
    </row>
    <row r="1836" spans="1:9" x14ac:dyDescent="0.2">
      <c r="A1836">
        <f t="shared" si="56"/>
        <v>0</v>
      </c>
      <c r="B1836" s="5">
        <v>2018</v>
      </c>
      <c r="C1836" s="1">
        <v>97947</v>
      </c>
      <c r="D1836" t="s">
        <v>401</v>
      </c>
      <c r="E1836" t="s">
        <v>199</v>
      </c>
      <c r="F1836" s="8">
        <v>25187</v>
      </c>
      <c r="G1836" s="8">
        <v>80048</v>
      </c>
      <c r="H1836" s="5">
        <f t="shared" si="57"/>
        <v>105235</v>
      </c>
      <c r="I1836">
        <f>IFERROR(VLOOKUP(D1836,'LEAID Match'!$A$2:$B$251,2,FALSE),"")</f>
        <v>0</v>
      </c>
    </row>
    <row r="1837" spans="1:9" x14ac:dyDescent="0.2">
      <c r="A1837">
        <f t="shared" si="56"/>
        <v>0</v>
      </c>
      <c r="B1837" s="5">
        <v>2019</v>
      </c>
      <c r="C1837" s="1">
        <v>97947</v>
      </c>
      <c r="D1837" t="s">
        <v>401</v>
      </c>
      <c r="E1837" t="s">
        <v>401</v>
      </c>
      <c r="F1837" s="8">
        <v>12775</v>
      </c>
      <c r="G1837" s="8">
        <v>61983</v>
      </c>
      <c r="H1837" s="5">
        <f t="shared" si="57"/>
        <v>74758</v>
      </c>
      <c r="I1837">
        <f>IFERROR(VLOOKUP(D1837,'LEAID Match'!$A$2:$B$251,2,FALSE),"")</f>
        <v>0</v>
      </c>
    </row>
    <row r="1838" spans="1:9" x14ac:dyDescent="0.2">
      <c r="A1838">
        <f t="shared" si="56"/>
        <v>0</v>
      </c>
      <c r="B1838" s="5">
        <v>2020</v>
      </c>
      <c r="C1838" s="1">
        <v>97947</v>
      </c>
      <c r="D1838" t="s">
        <v>401</v>
      </c>
      <c r="E1838" t="s">
        <v>401</v>
      </c>
      <c r="F1838" s="8">
        <v>18756</v>
      </c>
      <c r="G1838" s="8">
        <v>60381</v>
      </c>
      <c r="H1838" s="5">
        <f t="shared" si="57"/>
        <v>79137</v>
      </c>
      <c r="I1838">
        <f>IFERROR(VLOOKUP(D1838,'LEAID Match'!$A$2:$B$251,2,FALSE),"")</f>
        <v>0</v>
      </c>
    </row>
    <row r="1839" spans="1:9" x14ac:dyDescent="0.2">
      <c r="A1839">
        <f t="shared" si="56"/>
        <v>0</v>
      </c>
      <c r="B1839" s="5">
        <v>2021</v>
      </c>
      <c r="C1839" s="1">
        <v>97947</v>
      </c>
      <c r="D1839" t="s">
        <v>401</v>
      </c>
      <c r="E1839" t="s">
        <v>401</v>
      </c>
      <c r="F1839" s="8">
        <v>17533</v>
      </c>
      <c r="G1839" s="8">
        <v>53784</v>
      </c>
      <c r="H1839" s="5">
        <f t="shared" si="57"/>
        <v>71317</v>
      </c>
      <c r="I1839">
        <f>IFERROR(VLOOKUP(D1839,'LEAID Match'!$A$2:$B$251,2,FALSE),"")</f>
        <v>0</v>
      </c>
    </row>
    <row r="1840" spans="1:9" x14ac:dyDescent="0.2">
      <c r="A1840">
        <f t="shared" si="56"/>
        <v>0</v>
      </c>
      <c r="B1840" s="5">
        <v>2022</v>
      </c>
      <c r="C1840" s="1">
        <v>97947</v>
      </c>
      <c r="D1840" t="s">
        <v>401</v>
      </c>
      <c r="E1840" t="s">
        <v>401</v>
      </c>
      <c r="F1840" s="8">
        <v>21524.98</v>
      </c>
      <c r="G1840" s="8">
        <v>42629.8</v>
      </c>
      <c r="H1840" s="5">
        <f t="shared" si="57"/>
        <v>64154.78</v>
      </c>
      <c r="I1840">
        <f>IFERROR(VLOOKUP(D1840,'LEAID Match'!$A$2:$B$251,2,FALSE),"")</f>
        <v>0</v>
      </c>
    </row>
    <row r="1841" spans="1:9" x14ac:dyDescent="0.2">
      <c r="A1841">
        <f t="shared" si="56"/>
        <v>0</v>
      </c>
      <c r="B1841" s="5">
        <v>2023</v>
      </c>
      <c r="C1841" s="1">
        <v>97947</v>
      </c>
      <c r="D1841" t="s">
        <v>401</v>
      </c>
      <c r="E1841" t="s">
        <v>401</v>
      </c>
      <c r="F1841" s="8">
        <v>36481.410000000003</v>
      </c>
      <c r="G1841" s="8">
        <v>51271.61</v>
      </c>
      <c r="H1841" s="5">
        <f t="shared" si="57"/>
        <v>87753.02</v>
      </c>
      <c r="I1841">
        <f>IFERROR(VLOOKUP(D1841,'LEAID Match'!$A$2:$B$251,2,FALSE),"")</f>
        <v>0</v>
      </c>
    </row>
    <row r="1842" spans="1:9" x14ac:dyDescent="0.2">
      <c r="A1842">
        <f t="shared" si="56"/>
        <v>0</v>
      </c>
      <c r="B1842" s="5">
        <v>2015</v>
      </c>
      <c r="C1842" s="1">
        <v>97948</v>
      </c>
      <c r="D1842" t="s">
        <v>402</v>
      </c>
      <c r="E1842" t="s">
        <v>200</v>
      </c>
      <c r="F1842" s="8">
        <v>1536</v>
      </c>
      <c r="G1842" s="8">
        <v>60061</v>
      </c>
      <c r="H1842" s="5">
        <f t="shared" si="57"/>
        <v>61597</v>
      </c>
      <c r="I1842">
        <f>IFERROR(VLOOKUP(D1842,'LEAID Match'!$A$2:$B$251,2,FALSE),"")</f>
        <v>0</v>
      </c>
    </row>
    <row r="1843" spans="1:9" x14ac:dyDescent="0.2">
      <c r="A1843">
        <f t="shared" si="56"/>
        <v>0</v>
      </c>
      <c r="B1843" s="5">
        <v>2016</v>
      </c>
      <c r="C1843" s="1">
        <v>97948</v>
      </c>
      <c r="D1843" t="s">
        <v>402</v>
      </c>
      <c r="E1843" t="s">
        <v>200</v>
      </c>
      <c r="F1843" s="8">
        <v>2914</v>
      </c>
      <c r="G1843" s="8">
        <v>50640</v>
      </c>
      <c r="H1843" s="5">
        <f t="shared" si="57"/>
        <v>53554</v>
      </c>
      <c r="I1843">
        <f>IFERROR(VLOOKUP(D1843,'LEAID Match'!$A$2:$B$251,2,FALSE),"")</f>
        <v>0</v>
      </c>
    </row>
    <row r="1844" spans="1:9" x14ac:dyDescent="0.2">
      <c r="A1844">
        <f t="shared" si="56"/>
        <v>0</v>
      </c>
      <c r="B1844" s="5">
        <v>2017</v>
      </c>
      <c r="C1844" s="1">
        <v>97948</v>
      </c>
      <c r="D1844" t="s">
        <v>402</v>
      </c>
      <c r="E1844" t="s">
        <v>402</v>
      </c>
      <c r="F1844" s="8" t="s">
        <v>591</v>
      </c>
      <c r="G1844" s="8" t="s">
        <v>591</v>
      </c>
      <c r="H1844" s="5">
        <f t="shared" si="57"/>
        <v>0</v>
      </c>
      <c r="I1844">
        <f>IFERROR(VLOOKUP(D1844,'LEAID Match'!$A$2:$B$251,2,FALSE),"")</f>
        <v>0</v>
      </c>
    </row>
    <row r="1845" spans="1:9" x14ac:dyDescent="0.2">
      <c r="A1845">
        <f t="shared" si="56"/>
        <v>0</v>
      </c>
      <c r="B1845" s="5">
        <v>2018</v>
      </c>
      <c r="C1845" s="1">
        <v>97948</v>
      </c>
      <c r="D1845" t="s">
        <v>402</v>
      </c>
      <c r="E1845" t="s">
        <v>200</v>
      </c>
      <c r="F1845" s="8" t="s">
        <v>591</v>
      </c>
      <c r="G1845" s="8" t="s">
        <v>591</v>
      </c>
      <c r="H1845" s="5">
        <f t="shared" si="57"/>
        <v>0</v>
      </c>
      <c r="I1845">
        <f>IFERROR(VLOOKUP(D1845,'LEAID Match'!$A$2:$B$251,2,FALSE),"")</f>
        <v>0</v>
      </c>
    </row>
    <row r="1846" spans="1:9" x14ac:dyDescent="0.2">
      <c r="A1846">
        <f t="shared" si="56"/>
        <v>0</v>
      </c>
      <c r="B1846" s="5">
        <v>2019</v>
      </c>
      <c r="C1846" s="1">
        <v>97948</v>
      </c>
      <c r="D1846" t="s">
        <v>402</v>
      </c>
      <c r="E1846" t="s">
        <v>200</v>
      </c>
      <c r="F1846" s="8" t="s">
        <v>479</v>
      </c>
      <c r="G1846" s="8" t="s">
        <v>591</v>
      </c>
      <c r="H1846" s="5">
        <f t="shared" si="57"/>
        <v>0</v>
      </c>
      <c r="I1846">
        <f>IFERROR(VLOOKUP(D1846,'LEAID Match'!$A$2:$B$251,2,FALSE),"")</f>
        <v>0</v>
      </c>
    </row>
    <row r="1847" spans="1:9" x14ac:dyDescent="0.2">
      <c r="A1847">
        <f t="shared" si="56"/>
        <v>0</v>
      </c>
      <c r="B1847" s="5">
        <v>2020</v>
      </c>
      <c r="C1847" s="1">
        <v>97948</v>
      </c>
      <c r="D1847" t="s">
        <v>402</v>
      </c>
      <c r="E1847" t="s">
        <v>402</v>
      </c>
      <c r="F1847" s="8" t="s">
        <v>591</v>
      </c>
      <c r="G1847" s="8" t="s">
        <v>591</v>
      </c>
      <c r="H1847" s="5">
        <f t="shared" si="57"/>
        <v>0</v>
      </c>
      <c r="I1847">
        <f>IFERROR(VLOOKUP(D1847,'LEAID Match'!$A$2:$B$251,2,FALSE),"")</f>
        <v>0</v>
      </c>
    </row>
    <row r="1848" spans="1:9" x14ac:dyDescent="0.2">
      <c r="A1848">
        <f t="shared" si="56"/>
        <v>0</v>
      </c>
      <c r="B1848" s="5">
        <v>2021</v>
      </c>
      <c r="C1848" s="1">
        <v>97948</v>
      </c>
      <c r="D1848" t="s">
        <v>402</v>
      </c>
      <c r="E1848" t="s">
        <v>200</v>
      </c>
      <c r="F1848" s="8" t="s">
        <v>591</v>
      </c>
      <c r="G1848" s="8" t="s">
        <v>591</v>
      </c>
      <c r="H1848" s="5">
        <f t="shared" si="57"/>
        <v>0</v>
      </c>
      <c r="I1848">
        <f>IFERROR(VLOOKUP(D1848,'LEAID Match'!$A$2:$B$251,2,FALSE),"")</f>
        <v>0</v>
      </c>
    </row>
    <row r="1849" spans="1:9" x14ac:dyDescent="0.2">
      <c r="A1849">
        <f t="shared" si="56"/>
        <v>0</v>
      </c>
      <c r="B1849" s="5">
        <v>2022</v>
      </c>
      <c r="C1849" s="1">
        <v>97948</v>
      </c>
      <c r="D1849" t="s">
        <v>402</v>
      </c>
      <c r="E1849" t="s">
        <v>200</v>
      </c>
      <c r="F1849" s="8" t="s">
        <v>591</v>
      </c>
      <c r="G1849" s="8" t="s">
        <v>591</v>
      </c>
      <c r="H1849" s="5">
        <f t="shared" si="57"/>
        <v>0</v>
      </c>
      <c r="I1849">
        <f>IFERROR(VLOOKUP(D1849,'LEAID Match'!$A$2:$B$251,2,FALSE),"")</f>
        <v>0</v>
      </c>
    </row>
    <row r="1850" spans="1:9" x14ac:dyDescent="0.2">
      <c r="A1850">
        <f t="shared" si="56"/>
        <v>0</v>
      </c>
      <c r="B1850" s="5">
        <v>2023</v>
      </c>
      <c r="C1850" s="1">
        <v>97948</v>
      </c>
      <c r="D1850" t="s">
        <v>402</v>
      </c>
      <c r="E1850" t="s">
        <v>402</v>
      </c>
      <c r="F1850" s="8" t="s">
        <v>591</v>
      </c>
      <c r="G1850" s="8" t="s">
        <v>591</v>
      </c>
      <c r="H1850" s="5">
        <f t="shared" si="57"/>
        <v>0</v>
      </c>
      <c r="I1850">
        <f>IFERROR(VLOOKUP(D1850,'LEAID Match'!$A$2:$B$251,2,FALSE),"")</f>
        <v>0</v>
      </c>
    </row>
    <row r="1851" spans="1:9" x14ac:dyDescent="0.2">
      <c r="A1851">
        <f t="shared" si="56"/>
        <v>0</v>
      </c>
      <c r="B1851" s="5">
        <v>2015</v>
      </c>
      <c r="C1851" s="1">
        <v>97949</v>
      </c>
      <c r="D1851" t="s">
        <v>403</v>
      </c>
      <c r="E1851" t="s">
        <v>154</v>
      </c>
      <c r="F1851" s="8">
        <v>1409</v>
      </c>
      <c r="G1851" s="8">
        <v>56843</v>
      </c>
      <c r="H1851" s="5">
        <f t="shared" si="57"/>
        <v>58252</v>
      </c>
      <c r="I1851">
        <f>IFERROR(VLOOKUP(D1851,'LEAID Match'!$A$2:$B$251,2,FALSE),"")</f>
        <v>0</v>
      </c>
    </row>
    <row r="1852" spans="1:9" x14ac:dyDescent="0.2">
      <c r="A1852">
        <f t="shared" si="56"/>
        <v>0</v>
      </c>
      <c r="B1852" s="5">
        <v>2016</v>
      </c>
      <c r="C1852" s="1">
        <v>97949</v>
      </c>
      <c r="D1852" t="s">
        <v>403</v>
      </c>
      <c r="E1852" t="s">
        <v>154</v>
      </c>
      <c r="F1852" s="8">
        <v>1836</v>
      </c>
      <c r="G1852" s="8">
        <v>61818</v>
      </c>
      <c r="H1852" s="5">
        <f t="shared" si="57"/>
        <v>63654</v>
      </c>
      <c r="I1852">
        <f>IFERROR(VLOOKUP(D1852,'LEAID Match'!$A$2:$B$251,2,FALSE),"")</f>
        <v>0</v>
      </c>
    </row>
    <row r="1853" spans="1:9" x14ac:dyDescent="0.2">
      <c r="A1853">
        <f t="shared" si="56"/>
        <v>0</v>
      </c>
      <c r="B1853" s="5">
        <v>2017</v>
      </c>
      <c r="C1853" s="1">
        <v>97949</v>
      </c>
      <c r="D1853" t="s">
        <v>403</v>
      </c>
      <c r="E1853" t="s">
        <v>403</v>
      </c>
      <c r="F1853" s="8">
        <v>8742</v>
      </c>
      <c r="G1853" s="8">
        <v>54450</v>
      </c>
      <c r="H1853" s="5">
        <f t="shared" si="57"/>
        <v>63192</v>
      </c>
      <c r="I1853">
        <f>IFERROR(VLOOKUP(D1853,'LEAID Match'!$A$2:$B$251,2,FALSE),"")</f>
        <v>0</v>
      </c>
    </row>
    <row r="1854" spans="1:9" x14ac:dyDescent="0.2">
      <c r="A1854">
        <f t="shared" si="56"/>
        <v>0</v>
      </c>
      <c r="B1854" s="5">
        <v>2018</v>
      </c>
      <c r="C1854" s="1">
        <v>97949</v>
      </c>
      <c r="D1854" t="s">
        <v>403</v>
      </c>
      <c r="E1854" t="s">
        <v>154</v>
      </c>
      <c r="F1854" s="8">
        <v>17530</v>
      </c>
      <c r="G1854" s="8">
        <v>36918</v>
      </c>
      <c r="H1854" s="5">
        <f t="shared" si="57"/>
        <v>54448</v>
      </c>
      <c r="I1854">
        <f>IFERROR(VLOOKUP(D1854,'LEAID Match'!$A$2:$B$251,2,FALSE),"")</f>
        <v>0</v>
      </c>
    </row>
    <row r="1855" spans="1:9" x14ac:dyDescent="0.2">
      <c r="A1855">
        <f t="shared" si="56"/>
        <v>0</v>
      </c>
      <c r="B1855" s="5">
        <v>2019</v>
      </c>
      <c r="C1855" s="1">
        <v>97949</v>
      </c>
      <c r="D1855" t="s">
        <v>403</v>
      </c>
      <c r="E1855" t="s">
        <v>403</v>
      </c>
      <c r="F1855" s="8">
        <v>10945</v>
      </c>
      <c r="G1855" s="8">
        <v>47665</v>
      </c>
      <c r="H1855" s="5">
        <f t="shared" si="57"/>
        <v>58610</v>
      </c>
      <c r="I1855">
        <f>IFERROR(VLOOKUP(D1855,'LEAID Match'!$A$2:$B$251,2,FALSE),"")</f>
        <v>0</v>
      </c>
    </row>
    <row r="1856" spans="1:9" x14ac:dyDescent="0.2">
      <c r="A1856">
        <f t="shared" si="56"/>
        <v>0</v>
      </c>
      <c r="B1856" s="5">
        <v>2020</v>
      </c>
      <c r="C1856" s="1">
        <v>97949</v>
      </c>
      <c r="D1856" t="s">
        <v>403</v>
      </c>
      <c r="E1856" t="s">
        <v>403</v>
      </c>
      <c r="F1856" s="8">
        <v>10532</v>
      </c>
      <c r="G1856" s="8">
        <v>61199</v>
      </c>
      <c r="H1856" s="5">
        <f t="shared" si="57"/>
        <v>71731</v>
      </c>
      <c r="I1856">
        <f>IFERROR(VLOOKUP(D1856,'LEAID Match'!$A$2:$B$251,2,FALSE),"")</f>
        <v>0</v>
      </c>
    </row>
    <row r="1857" spans="1:9" x14ac:dyDescent="0.2">
      <c r="A1857">
        <f t="shared" si="56"/>
        <v>0</v>
      </c>
      <c r="B1857" s="5">
        <v>2021</v>
      </c>
      <c r="C1857" s="1">
        <v>97949</v>
      </c>
      <c r="D1857" t="s">
        <v>403</v>
      </c>
      <c r="E1857" t="s">
        <v>403</v>
      </c>
      <c r="F1857" s="8">
        <v>12948</v>
      </c>
      <c r="G1857" s="8">
        <v>52124</v>
      </c>
      <c r="H1857" s="5">
        <f t="shared" si="57"/>
        <v>65072</v>
      </c>
      <c r="I1857">
        <f>IFERROR(VLOOKUP(D1857,'LEAID Match'!$A$2:$B$251,2,FALSE),"")</f>
        <v>0</v>
      </c>
    </row>
    <row r="1858" spans="1:9" x14ac:dyDescent="0.2">
      <c r="A1858">
        <f t="shared" si="56"/>
        <v>0</v>
      </c>
      <c r="B1858" s="5">
        <v>2022</v>
      </c>
      <c r="C1858" s="1">
        <v>97949</v>
      </c>
      <c r="D1858" t="s">
        <v>403</v>
      </c>
      <c r="E1858" t="s">
        <v>403</v>
      </c>
      <c r="F1858" s="8">
        <v>12637.14</v>
      </c>
      <c r="G1858" s="8">
        <v>59070.5</v>
      </c>
      <c r="H1858" s="5">
        <f t="shared" si="57"/>
        <v>71707.64</v>
      </c>
      <c r="I1858">
        <f>IFERROR(VLOOKUP(D1858,'LEAID Match'!$A$2:$B$251,2,FALSE),"")</f>
        <v>0</v>
      </c>
    </row>
    <row r="1859" spans="1:9" x14ac:dyDescent="0.2">
      <c r="A1859">
        <f t="shared" ref="A1859:A1922" si="58">I1859</f>
        <v>0</v>
      </c>
      <c r="B1859" s="5">
        <v>2023</v>
      </c>
      <c r="C1859" s="1">
        <v>97949</v>
      </c>
      <c r="D1859" t="s">
        <v>403</v>
      </c>
      <c r="E1859" t="s">
        <v>403</v>
      </c>
      <c r="F1859" s="8">
        <v>18103</v>
      </c>
      <c r="G1859" s="8">
        <v>66865.600000000006</v>
      </c>
      <c r="H1859" s="5">
        <f t="shared" ref="H1859:H1922" si="59">SUM(F1859:G1859)</f>
        <v>84968.6</v>
      </c>
      <c r="I1859">
        <f>IFERROR(VLOOKUP(D1859,'LEAID Match'!$A$2:$B$251,2,FALSE),"")</f>
        <v>0</v>
      </c>
    </row>
    <row r="1860" spans="1:9" x14ac:dyDescent="0.2">
      <c r="A1860">
        <f t="shared" si="58"/>
        <v>0</v>
      </c>
      <c r="B1860" s="5">
        <v>2015</v>
      </c>
      <c r="C1860" s="1">
        <v>91917</v>
      </c>
      <c r="D1860" t="s">
        <v>404</v>
      </c>
      <c r="E1860" t="s">
        <v>155</v>
      </c>
      <c r="F1860" s="8">
        <v>24771</v>
      </c>
      <c r="G1860" s="8">
        <v>78745</v>
      </c>
      <c r="H1860" s="5">
        <f t="shared" si="59"/>
        <v>103516</v>
      </c>
      <c r="I1860">
        <f>IFERROR(VLOOKUP(D1860,'LEAID Match'!$A$2:$B$251,2,FALSE),"")</f>
        <v>0</v>
      </c>
    </row>
    <row r="1861" spans="1:9" x14ac:dyDescent="0.2">
      <c r="A1861">
        <f t="shared" si="58"/>
        <v>0</v>
      </c>
      <c r="B1861" s="5">
        <v>2016</v>
      </c>
      <c r="C1861" s="1">
        <v>91917</v>
      </c>
      <c r="D1861" t="s">
        <v>404</v>
      </c>
      <c r="E1861" t="s">
        <v>155</v>
      </c>
      <c r="F1861" s="8">
        <v>50447</v>
      </c>
      <c r="G1861" s="8">
        <v>65079</v>
      </c>
      <c r="H1861" s="5">
        <f t="shared" si="59"/>
        <v>115526</v>
      </c>
      <c r="I1861">
        <f>IFERROR(VLOOKUP(D1861,'LEAID Match'!$A$2:$B$251,2,FALSE),"")</f>
        <v>0</v>
      </c>
    </row>
    <row r="1862" spans="1:9" x14ac:dyDescent="0.2">
      <c r="A1862">
        <f t="shared" si="58"/>
        <v>0</v>
      </c>
      <c r="B1862" s="5">
        <v>2017</v>
      </c>
      <c r="C1862" s="1">
        <v>91917</v>
      </c>
      <c r="D1862" t="s">
        <v>404</v>
      </c>
      <c r="E1862" t="s">
        <v>404</v>
      </c>
      <c r="F1862" s="8">
        <v>84344</v>
      </c>
      <c r="G1862" s="8">
        <v>78781</v>
      </c>
      <c r="H1862" s="5">
        <f t="shared" si="59"/>
        <v>163125</v>
      </c>
      <c r="I1862">
        <f>IFERROR(VLOOKUP(D1862,'LEAID Match'!$A$2:$B$251,2,FALSE),"")</f>
        <v>0</v>
      </c>
    </row>
    <row r="1863" spans="1:9" x14ac:dyDescent="0.2">
      <c r="A1863">
        <f t="shared" si="58"/>
        <v>0</v>
      </c>
      <c r="B1863" s="5">
        <v>2018</v>
      </c>
      <c r="C1863" s="1">
        <v>91917</v>
      </c>
      <c r="D1863" t="s">
        <v>404</v>
      </c>
      <c r="E1863" t="s">
        <v>472</v>
      </c>
      <c r="F1863" s="8">
        <v>113300</v>
      </c>
      <c r="G1863" s="8">
        <v>72243</v>
      </c>
      <c r="H1863" s="5">
        <f t="shared" si="59"/>
        <v>185543</v>
      </c>
      <c r="I1863">
        <f>IFERROR(VLOOKUP(D1863,'LEAID Match'!$A$2:$B$251,2,FALSE),"")</f>
        <v>0</v>
      </c>
    </row>
    <row r="1864" spans="1:9" x14ac:dyDescent="0.2">
      <c r="A1864">
        <f t="shared" si="58"/>
        <v>0</v>
      </c>
      <c r="B1864" s="5">
        <v>2019</v>
      </c>
      <c r="C1864" s="1">
        <v>91917</v>
      </c>
      <c r="D1864" t="s">
        <v>404</v>
      </c>
      <c r="E1864" t="s">
        <v>472</v>
      </c>
      <c r="F1864" s="8">
        <v>60861</v>
      </c>
      <c r="G1864" s="8">
        <v>104477</v>
      </c>
      <c r="H1864" s="5">
        <f t="shared" si="59"/>
        <v>165338</v>
      </c>
      <c r="I1864">
        <f>IFERROR(VLOOKUP(D1864,'LEAID Match'!$A$2:$B$251,2,FALSE),"")</f>
        <v>0</v>
      </c>
    </row>
    <row r="1865" spans="1:9" x14ac:dyDescent="0.2">
      <c r="A1865">
        <f t="shared" si="58"/>
        <v>0</v>
      </c>
      <c r="B1865" s="5">
        <v>2020</v>
      </c>
      <c r="C1865" s="1">
        <v>91917</v>
      </c>
      <c r="D1865" t="s">
        <v>404</v>
      </c>
      <c r="E1865" t="s">
        <v>404</v>
      </c>
      <c r="F1865" s="8">
        <v>68207</v>
      </c>
      <c r="G1865" s="8">
        <v>118695</v>
      </c>
      <c r="H1865" s="5">
        <f t="shared" si="59"/>
        <v>186902</v>
      </c>
      <c r="I1865">
        <f>IFERROR(VLOOKUP(D1865,'LEAID Match'!$A$2:$B$251,2,FALSE),"")</f>
        <v>0</v>
      </c>
    </row>
    <row r="1866" spans="1:9" x14ac:dyDescent="0.2">
      <c r="A1866">
        <f t="shared" si="58"/>
        <v>0</v>
      </c>
      <c r="B1866" s="5">
        <v>2021</v>
      </c>
      <c r="C1866" s="1">
        <v>91917</v>
      </c>
      <c r="D1866" t="s">
        <v>404</v>
      </c>
      <c r="E1866" t="s">
        <v>472</v>
      </c>
      <c r="F1866" s="8">
        <v>74187</v>
      </c>
      <c r="G1866" s="8">
        <v>116546</v>
      </c>
      <c r="H1866" s="5">
        <f t="shared" si="59"/>
        <v>190733</v>
      </c>
      <c r="I1866">
        <f>IFERROR(VLOOKUP(D1866,'LEAID Match'!$A$2:$B$251,2,FALSE),"")</f>
        <v>0</v>
      </c>
    </row>
    <row r="1867" spans="1:9" x14ac:dyDescent="0.2">
      <c r="A1867">
        <f t="shared" si="58"/>
        <v>0</v>
      </c>
      <c r="B1867" s="5">
        <v>2022</v>
      </c>
      <c r="C1867" s="1">
        <v>91917</v>
      </c>
      <c r="D1867" t="s">
        <v>404</v>
      </c>
      <c r="E1867" t="s">
        <v>472</v>
      </c>
      <c r="F1867" s="8">
        <v>69387.490000000005</v>
      </c>
      <c r="G1867" s="8">
        <v>124797.11</v>
      </c>
      <c r="H1867" s="5">
        <f t="shared" si="59"/>
        <v>194184.6</v>
      </c>
      <c r="I1867">
        <f>IFERROR(VLOOKUP(D1867,'LEAID Match'!$A$2:$B$251,2,FALSE),"")</f>
        <v>0</v>
      </c>
    </row>
    <row r="1868" spans="1:9" x14ac:dyDescent="0.2">
      <c r="A1868">
        <f t="shared" si="58"/>
        <v>0</v>
      </c>
      <c r="B1868" s="5">
        <v>2023</v>
      </c>
      <c r="C1868" s="1">
        <v>91917</v>
      </c>
      <c r="D1868" t="s">
        <v>404</v>
      </c>
      <c r="E1868" t="s">
        <v>404</v>
      </c>
      <c r="F1868" s="8">
        <v>100805.77</v>
      </c>
      <c r="G1868" s="8">
        <v>121987.42</v>
      </c>
      <c r="H1868" s="5">
        <f t="shared" si="59"/>
        <v>222793.19</v>
      </c>
      <c r="I1868">
        <f>IFERROR(VLOOKUP(D1868,'LEAID Match'!$A$2:$B$251,2,FALSE),"")</f>
        <v>0</v>
      </c>
    </row>
    <row r="1869" spans="1:9" x14ac:dyDescent="0.2">
      <c r="A1869">
        <f t="shared" si="58"/>
        <v>4703960</v>
      </c>
      <c r="B1869" s="5">
        <v>2015</v>
      </c>
      <c r="C1869" s="1">
        <v>99081</v>
      </c>
      <c r="D1869" t="s">
        <v>405</v>
      </c>
      <c r="E1869" t="s">
        <v>156</v>
      </c>
      <c r="F1869" s="8">
        <v>9021</v>
      </c>
      <c r="G1869" s="8">
        <v>651856</v>
      </c>
      <c r="H1869" s="5">
        <f t="shared" si="59"/>
        <v>660877</v>
      </c>
      <c r="I1869">
        <f>IFERROR(VLOOKUP(D1869,'LEAID Match'!$A$2:$B$251,2,FALSE),"")</f>
        <v>4703960</v>
      </c>
    </row>
    <row r="1870" spans="1:9" x14ac:dyDescent="0.2">
      <c r="A1870">
        <f t="shared" si="58"/>
        <v>4703960</v>
      </c>
      <c r="B1870" s="5">
        <v>2016</v>
      </c>
      <c r="C1870" s="1">
        <v>99081</v>
      </c>
      <c r="D1870" t="s">
        <v>405</v>
      </c>
      <c r="E1870" t="s">
        <v>156</v>
      </c>
      <c r="F1870" s="8">
        <v>22436</v>
      </c>
      <c r="G1870" s="8">
        <v>647918</v>
      </c>
      <c r="H1870" s="5">
        <f t="shared" si="59"/>
        <v>670354</v>
      </c>
      <c r="I1870">
        <f>IFERROR(VLOOKUP(D1870,'LEAID Match'!$A$2:$B$251,2,FALSE),"")</f>
        <v>4703960</v>
      </c>
    </row>
    <row r="1871" spans="1:9" x14ac:dyDescent="0.2">
      <c r="A1871">
        <f t="shared" si="58"/>
        <v>4703960</v>
      </c>
      <c r="B1871" s="5">
        <v>2017</v>
      </c>
      <c r="C1871" s="1">
        <v>99081</v>
      </c>
      <c r="D1871" t="s">
        <v>405</v>
      </c>
      <c r="E1871" t="s">
        <v>405</v>
      </c>
      <c r="F1871" s="8">
        <v>32599</v>
      </c>
      <c r="G1871" s="8">
        <v>640404</v>
      </c>
      <c r="H1871" s="5">
        <f t="shared" si="59"/>
        <v>673003</v>
      </c>
      <c r="I1871">
        <f>IFERROR(VLOOKUP(D1871,'LEAID Match'!$A$2:$B$251,2,FALSE),"")</f>
        <v>4703960</v>
      </c>
    </row>
    <row r="1872" spans="1:9" x14ac:dyDescent="0.2">
      <c r="A1872">
        <f t="shared" si="58"/>
        <v>4703960</v>
      </c>
      <c r="B1872" s="5">
        <v>2018</v>
      </c>
      <c r="C1872" s="1">
        <v>99081</v>
      </c>
      <c r="D1872" t="s">
        <v>405</v>
      </c>
      <c r="E1872" t="s">
        <v>156</v>
      </c>
      <c r="F1872" s="8">
        <v>40459</v>
      </c>
      <c r="G1872" s="8">
        <v>643008</v>
      </c>
      <c r="H1872" s="5">
        <f t="shared" si="59"/>
        <v>683467</v>
      </c>
      <c r="I1872">
        <f>IFERROR(VLOOKUP(D1872,'LEAID Match'!$A$2:$B$251,2,FALSE),"")</f>
        <v>4703960</v>
      </c>
    </row>
    <row r="1873" spans="1:9" x14ac:dyDescent="0.2">
      <c r="A1873">
        <f t="shared" si="58"/>
        <v>4703960</v>
      </c>
      <c r="B1873" s="5">
        <v>2019</v>
      </c>
      <c r="C1873" s="1">
        <v>99081</v>
      </c>
      <c r="D1873" t="s">
        <v>405</v>
      </c>
      <c r="E1873" t="s">
        <v>405</v>
      </c>
      <c r="F1873" s="8">
        <v>22506</v>
      </c>
      <c r="G1873" s="8">
        <v>726057</v>
      </c>
      <c r="H1873" s="5">
        <f t="shared" si="59"/>
        <v>748563</v>
      </c>
      <c r="I1873">
        <f>IFERROR(VLOOKUP(D1873,'LEAID Match'!$A$2:$B$251,2,FALSE),"")</f>
        <v>4703960</v>
      </c>
    </row>
    <row r="1874" spans="1:9" x14ac:dyDescent="0.2">
      <c r="A1874">
        <f t="shared" si="58"/>
        <v>4703960</v>
      </c>
      <c r="B1874" s="5">
        <v>2020</v>
      </c>
      <c r="C1874" s="1">
        <v>99081</v>
      </c>
      <c r="D1874" t="s">
        <v>405</v>
      </c>
      <c r="E1874" t="s">
        <v>405</v>
      </c>
      <c r="F1874" s="8">
        <v>28613</v>
      </c>
      <c r="G1874" s="8">
        <v>754133</v>
      </c>
      <c r="H1874" s="5">
        <f t="shared" si="59"/>
        <v>782746</v>
      </c>
      <c r="I1874">
        <f>IFERROR(VLOOKUP(D1874,'LEAID Match'!$A$2:$B$251,2,FALSE),"")</f>
        <v>4703960</v>
      </c>
    </row>
    <row r="1875" spans="1:9" x14ac:dyDescent="0.2">
      <c r="A1875">
        <f t="shared" si="58"/>
        <v>4703960</v>
      </c>
      <c r="B1875" s="5">
        <v>2021</v>
      </c>
      <c r="C1875" s="1">
        <v>99081</v>
      </c>
      <c r="D1875" t="s">
        <v>405</v>
      </c>
      <c r="E1875" t="s">
        <v>405</v>
      </c>
      <c r="F1875" s="8">
        <v>29301</v>
      </c>
      <c r="G1875" s="8">
        <v>699259</v>
      </c>
      <c r="H1875" s="5">
        <f t="shared" si="59"/>
        <v>728560</v>
      </c>
      <c r="I1875">
        <f>IFERROR(VLOOKUP(D1875,'LEAID Match'!$A$2:$B$251,2,FALSE),"")</f>
        <v>4703960</v>
      </c>
    </row>
    <row r="1876" spans="1:9" x14ac:dyDescent="0.2">
      <c r="A1876">
        <f t="shared" si="58"/>
        <v>4703960</v>
      </c>
      <c r="B1876" s="5">
        <v>2022</v>
      </c>
      <c r="C1876" s="1">
        <v>99081</v>
      </c>
      <c r="D1876" t="s">
        <v>405</v>
      </c>
      <c r="E1876" t="s">
        <v>405</v>
      </c>
      <c r="F1876" s="8">
        <v>39309.919999999998</v>
      </c>
      <c r="G1876" s="8">
        <v>707598.02</v>
      </c>
      <c r="H1876" s="5">
        <f t="shared" si="59"/>
        <v>746907.94000000006</v>
      </c>
      <c r="I1876">
        <f>IFERROR(VLOOKUP(D1876,'LEAID Match'!$A$2:$B$251,2,FALSE),"")</f>
        <v>4703960</v>
      </c>
    </row>
    <row r="1877" spans="1:9" x14ac:dyDescent="0.2">
      <c r="A1877">
        <f t="shared" si="58"/>
        <v>4703960</v>
      </c>
      <c r="B1877" s="5">
        <v>2023</v>
      </c>
      <c r="C1877" s="1">
        <v>99081</v>
      </c>
      <c r="D1877" t="s">
        <v>405</v>
      </c>
      <c r="E1877" t="s">
        <v>405</v>
      </c>
      <c r="F1877" s="8">
        <v>61881.04</v>
      </c>
      <c r="G1877" s="8">
        <v>611001.18000000005</v>
      </c>
      <c r="H1877" s="5">
        <f t="shared" si="59"/>
        <v>672882.22000000009</v>
      </c>
      <c r="I1877">
        <f>IFERROR(VLOOKUP(D1877,'LEAID Match'!$A$2:$B$251,2,FALSE),"")</f>
        <v>4703960</v>
      </c>
    </row>
    <row r="1878" spans="1:9" x14ac:dyDescent="0.2">
      <c r="A1878">
        <f t="shared" si="58"/>
        <v>0</v>
      </c>
      <c r="B1878" s="5">
        <v>2016</v>
      </c>
      <c r="C1878" s="1">
        <v>91928</v>
      </c>
      <c r="D1878" t="s">
        <v>406</v>
      </c>
      <c r="E1878" t="s">
        <v>157</v>
      </c>
      <c r="F1878" s="8">
        <v>12820</v>
      </c>
      <c r="G1878" s="8">
        <v>3074</v>
      </c>
      <c r="H1878" s="5">
        <f t="shared" si="59"/>
        <v>15894</v>
      </c>
      <c r="I1878">
        <f>IFERROR(VLOOKUP(D1878,'LEAID Match'!$A$2:$B$251,2,FALSE),"")</f>
        <v>0</v>
      </c>
    </row>
    <row r="1879" spans="1:9" x14ac:dyDescent="0.2">
      <c r="A1879">
        <f t="shared" si="58"/>
        <v>0</v>
      </c>
      <c r="B1879" s="5">
        <v>2017</v>
      </c>
      <c r="C1879" s="1">
        <v>91928</v>
      </c>
      <c r="D1879" t="s">
        <v>406</v>
      </c>
      <c r="E1879" t="s">
        <v>406</v>
      </c>
      <c r="F1879" s="8">
        <v>24477</v>
      </c>
      <c r="G1879" s="8">
        <v>5144</v>
      </c>
      <c r="H1879" s="5">
        <f t="shared" si="59"/>
        <v>29621</v>
      </c>
      <c r="I1879">
        <f>IFERROR(VLOOKUP(D1879,'LEAID Match'!$A$2:$B$251,2,FALSE),"")</f>
        <v>0</v>
      </c>
    </row>
    <row r="1880" spans="1:9" x14ac:dyDescent="0.2">
      <c r="A1880">
        <f t="shared" si="58"/>
        <v>0</v>
      </c>
      <c r="B1880" s="5">
        <v>2018</v>
      </c>
      <c r="C1880" s="1">
        <v>91928</v>
      </c>
      <c r="D1880" t="s">
        <v>406</v>
      </c>
      <c r="E1880" t="s">
        <v>157</v>
      </c>
      <c r="F1880" s="8">
        <v>29091</v>
      </c>
      <c r="G1880" s="8">
        <v>7631</v>
      </c>
      <c r="H1880" s="5">
        <f t="shared" si="59"/>
        <v>36722</v>
      </c>
      <c r="I1880">
        <f>IFERROR(VLOOKUP(D1880,'LEAID Match'!$A$2:$B$251,2,FALSE),"")</f>
        <v>0</v>
      </c>
    </row>
    <row r="1881" spans="1:9" x14ac:dyDescent="0.2">
      <c r="A1881">
        <f t="shared" si="58"/>
        <v>0</v>
      </c>
      <c r="B1881" s="5">
        <v>2019</v>
      </c>
      <c r="C1881" s="1">
        <v>91928</v>
      </c>
      <c r="D1881" t="s">
        <v>406</v>
      </c>
      <c r="E1881" t="s">
        <v>406</v>
      </c>
      <c r="F1881" s="8">
        <v>19680</v>
      </c>
      <c r="G1881" s="8">
        <v>13968</v>
      </c>
      <c r="H1881" s="5">
        <f t="shared" si="59"/>
        <v>33648</v>
      </c>
      <c r="I1881">
        <f>IFERROR(VLOOKUP(D1881,'LEAID Match'!$A$2:$B$251,2,FALSE),"")</f>
        <v>0</v>
      </c>
    </row>
    <row r="1882" spans="1:9" x14ac:dyDescent="0.2">
      <c r="A1882">
        <f t="shared" si="58"/>
        <v>0</v>
      </c>
      <c r="B1882" s="5">
        <v>2020</v>
      </c>
      <c r="C1882" s="1">
        <v>91928</v>
      </c>
      <c r="D1882" t="s">
        <v>406</v>
      </c>
      <c r="E1882" t="s">
        <v>406</v>
      </c>
      <c r="F1882" s="8">
        <v>24787</v>
      </c>
      <c r="G1882" s="8">
        <v>7976</v>
      </c>
      <c r="H1882" s="5">
        <f t="shared" si="59"/>
        <v>32763</v>
      </c>
      <c r="I1882">
        <f>IFERROR(VLOOKUP(D1882,'LEAID Match'!$A$2:$B$251,2,FALSE),"")</f>
        <v>0</v>
      </c>
    </row>
    <row r="1883" spans="1:9" x14ac:dyDescent="0.2">
      <c r="A1883">
        <f t="shared" si="58"/>
        <v>0</v>
      </c>
      <c r="B1883" s="5">
        <v>2021</v>
      </c>
      <c r="C1883" s="1">
        <v>91928</v>
      </c>
      <c r="D1883" t="s">
        <v>406</v>
      </c>
      <c r="E1883" t="s">
        <v>406</v>
      </c>
      <c r="F1883" s="8">
        <v>30766</v>
      </c>
      <c r="G1883" s="8">
        <v>5512</v>
      </c>
      <c r="H1883" s="5">
        <f t="shared" si="59"/>
        <v>36278</v>
      </c>
      <c r="I1883">
        <f>IFERROR(VLOOKUP(D1883,'LEAID Match'!$A$2:$B$251,2,FALSE),"")</f>
        <v>0</v>
      </c>
    </row>
    <row r="1884" spans="1:9" x14ac:dyDescent="0.2">
      <c r="A1884">
        <f t="shared" si="58"/>
        <v>0</v>
      </c>
      <c r="B1884" s="5">
        <v>2022</v>
      </c>
      <c r="C1884" s="1">
        <v>91928</v>
      </c>
      <c r="D1884" t="s">
        <v>406</v>
      </c>
      <c r="E1884" t="s">
        <v>406</v>
      </c>
      <c r="F1884" s="8">
        <v>34424.92</v>
      </c>
      <c r="G1884" s="8">
        <v>13135.04</v>
      </c>
      <c r="H1884" s="5">
        <f t="shared" si="59"/>
        <v>47559.96</v>
      </c>
      <c r="I1884">
        <f>IFERROR(VLOOKUP(D1884,'LEAID Match'!$A$2:$B$251,2,FALSE),"")</f>
        <v>0</v>
      </c>
    </row>
    <row r="1885" spans="1:9" x14ac:dyDescent="0.2">
      <c r="A1885">
        <f t="shared" si="58"/>
        <v>0</v>
      </c>
      <c r="B1885" s="5">
        <v>2023</v>
      </c>
      <c r="C1885" s="1">
        <v>91928</v>
      </c>
      <c r="D1885" t="s">
        <v>406</v>
      </c>
      <c r="E1885" t="s">
        <v>406</v>
      </c>
      <c r="F1885" s="8">
        <v>36505.279999999999</v>
      </c>
      <c r="G1885" s="8">
        <v>12059.85</v>
      </c>
      <c r="H1885" s="5">
        <f t="shared" si="59"/>
        <v>48565.13</v>
      </c>
      <c r="I1885">
        <f>IFERROR(VLOOKUP(D1885,'LEAID Match'!$A$2:$B$251,2,FALSE),"")</f>
        <v>0</v>
      </c>
    </row>
    <row r="1886" spans="1:9" x14ac:dyDescent="0.2">
      <c r="A1886">
        <f t="shared" si="58"/>
        <v>0</v>
      </c>
      <c r="B1886" s="5">
        <v>2015</v>
      </c>
      <c r="C1886" s="1">
        <v>99082</v>
      </c>
      <c r="D1886" t="s">
        <v>407</v>
      </c>
      <c r="E1886" t="s">
        <v>158</v>
      </c>
      <c r="F1886" s="8">
        <v>85668</v>
      </c>
      <c r="G1886" s="8">
        <v>3295803</v>
      </c>
      <c r="H1886" s="5">
        <f t="shared" si="59"/>
        <v>3381471</v>
      </c>
      <c r="I1886">
        <f>IFERROR(VLOOKUP(D1886,'LEAID Match'!$A$2:$B$251,2,FALSE),"")</f>
        <v>0</v>
      </c>
    </row>
    <row r="1887" spans="1:9" x14ac:dyDescent="0.2">
      <c r="A1887">
        <f t="shared" si="58"/>
        <v>0</v>
      </c>
      <c r="B1887" s="5">
        <v>2016</v>
      </c>
      <c r="C1887" s="1">
        <v>99082</v>
      </c>
      <c r="D1887" t="s">
        <v>407</v>
      </c>
      <c r="E1887" t="s">
        <v>158</v>
      </c>
      <c r="F1887" s="8">
        <v>112024</v>
      </c>
      <c r="G1887" s="8">
        <v>3340997</v>
      </c>
      <c r="H1887" s="5">
        <f t="shared" si="59"/>
        <v>3453021</v>
      </c>
      <c r="I1887">
        <f>IFERROR(VLOOKUP(D1887,'LEAID Match'!$A$2:$B$251,2,FALSE),"")</f>
        <v>0</v>
      </c>
    </row>
    <row r="1888" spans="1:9" x14ac:dyDescent="0.2">
      <c r="A1888">
        <f t="shared" si="58"/>
        <v>0</v>
      </c>
      <c r="B1888" s="5">
        <v>2017</v>
      </c>
      <c r="C1888" s="1">
        <v>99082</v>
      </c>
      <c r="D1888" t="s">
        <v>407</v>
      </c>
      <c r="E1888" t="s">
        <v>407</v>
      </c>
      <c r="F1888" s="8">
        <v>164636</v>
      </c>
      <c r="G1888" s="8">
        <v>3193092</v>
      </c>
      <c r="H1888" s="5">
        <f t="shared" si="59"/>
        <v>3357728</v>
      </c>
      <c r="I1888">
        <f>IFERROR(VLOOKUP(D1888,'LEAID Match'!$A$2:$B$251,2,FALSE),"")</f>
        <v>0</v>
      </c>
    </row>
    <row r="1889" spans="1:9" x14ac:dyDescent="0.2">
      <c r="A1889">
        <f t="shared" si="58"/>
        <v>0</v>
      </c>
      <c r="B1889" s="5">
        <v>2018</v>
      </c>
      <c r="C1889" s="1">
        <v>99082</v>
      </c>
      <c r="D1889" t="s">
        <v>407</v>
      </c>
      <c r="E1889" t="s">
        <v>158</v>
      </c>
      <c r="F1889" s="8">
        <v>185741</v>
      </c>
      <c r="G1889" s="8">
        <v>3105091</v>
      </c>
      <c r="H1889" s="5">
        <f t="shared" si="59"/>
        <v>3290832</v>
      </c>
      <c r="I1889">
        <f>IFERROR(VLOOKUP(D1889,'LEAID Match'!$A$2:$B$251,2,FALSE),"")</f>
        <v>0</v>
      </c>
    </row>
    <row r="1890" spans="1:9" x14ac:dyDescent="0.2">
      <c r="A1890">
        <f t="shared" si="58"/>
        <v>0</v>
      </c>
      <c r="B1890" s="5">
        <v>2019</v>
      </c>
      <c r="C1890" s="1">
        <v>99082</v>
      </c>
      <c r="D1890" t="s">
        <v>407</v>
      </c>
      <c r="E1890" t="s">
        <v>407</v>
      </c>
      <c r="F1890" s="8">
        <v>113586</v>
      </c>
      <c r="G1890" s="8">
        <v>3412056</v>
      </c>
      <c r="H1890" s="5">
        <f t="shared" si="59"/>
        <v>3525642</v>
      </c>
      <c r="I1890">
        <f>IFERROR(VLOOKUP(D1890,'LEAID Match'!$A$2:$B$251,2,FALSE),"")</f>
        <v>0</v>
      </c>
    </row>
    <row r="1891" spans="1:9" x14ac:dyDescent="0.2">
      <c r="A1891">
        <f t="shared" si="58"/>
        <v>0</v>
      </c>
      <c r="B1891" s="5">
        <v>2020</v>
      </c>
      <c r="C1891" s="1">
        <v>99082</v>
      </c>
      <c r="D1891" t="s">
        <v>407</v>
      </c>
      <c r="E1891" t="s">
        <v>407</v>
      </c>
      <c r="F1891" s="8">
        <v>133241</v>
      </c>
      <c r="G1891" s="8">
        <v>3380682</v>
      </c>
      <c r="H1891" s="5">
        <f t="shared" si="59"/>
        <v>3513923</v>
      </c>
      <c r="I1891">
        <f>IFERROR(VLOOKUP(D1891,'LEAID Match'!$A$2:$B$251,2,FALSE),"")</f>
        <v>0</v>
      </c>
    </row>
    <row r="1892" spans="1:9" x14ac:dyDescent="0.2">
      <c r="A1892">
        <f t="shared" si="58"/>
        <v>0</v>
      </c>
      <c r="B1892" s="5">
        <v>2021</v>
      </c>
      <c r="C1892" s="1">
        <v>99082</v>
      </c>
      <c r="D1892" t="s">
        <v>407</v>
      </c>
      <c r="E1892" t="s">
        <v>407</v>
      </c>
      <c r="F1892" s="8">
        <v>171491</v>
      </c>
      <c r="G1892" s="8">
        <v>3272945</v>
      </c>
      <c r="H1892" s="5">
        <f t="shared" si="59"/>
        <v>3444436</v>
      </c>
      <c r="I1892">
        <f>IFERROR(VLOOKUP(D1892,'LEAID Match'!$A$2:$B$251,2,FALSE),"")</f>
        <v>0</v>
      </c>
    </row>
    <row r="1893" spans="1:9" x14ac:dyDescent="0.2">
      <c r="A1893">
        <f t="shared" si="58"/>
        <v>0</v>
      </c>
      <c r="B1893" s="5">
        <v>2022</v>
      </c>
      <c r="C1893" s="1">
        <v>99082</v>
      </c>
      <c r="D1893" t="s">
        <v>407</v>
      </c>
      <c r="E1893" t="s">
        <v>407</v>
      </c>
      <c r="F1893" s="8">
        <v>205697.42</v>
      </c>
      <c r="G1893" s="8">
        <v>3233132.6</v>
      </c>
      <c r="H1893" s="5">
        <f t="shared" si="59"/>
        <v>3438830.02</v>
      </c>
      <c r="I1893">
        <f>IFERROR(VLOOKUP(D1893,'LEAID Match'!$A$2:$B$251,2,FALSE),"")</f>
        <v>0</v>
      </c>
    </row>
    <row r="1894" spans="1:9" x14ac:dyDescent="0.2">
      <c r="A1894">
        <f t="shared" si="58"/>
        <v>0</v>
      </c>
      <c r="B1894" s="5">
        <v>2023</v>
      </c>
      <c r="C1894" s="1">
        <v>99082</v>
      </c>
      <c r="D1894" t="s">
        <v>407</v>
      </c>
      <c r="E1894" t="s">
        <v>407</v>
      </c>
      <c r="F1894" s="8">
        <v>313327.90999999997</v>
      </c>
      <c r="G1894" s="8">
        <v>2713925.69</v>
      </c>
      <c r="H1894" s="5">
        <f t="shared" si="59"/>
        <v>3027253.6</v>
      </c>
      <c r="I1894">
        <f>IFERROR(VLOOKUP(D1894,'LEAID Match'!$A$2:$B$251,2,FALSE),"")</f>
        <v>0</v>
      </c>
    </row>
    <row r="1895" spans="1:9" x14ac:dyDescent="0.2">
      <c r="A1895">
        <f t="shared" si="58"/>
        <v>4704020</v>
      </c>
      <c r="B1895" s="5">
        <v>2015</v>
      </c>
      <c r="C1895" s="1">
        <v>99083</v>
      </c>
      <c r="D1895" t="s">
        <v>408</v>
      </c>
      <c r="E1895" t="s">
        <v>159</v>
      </c>
      <c r="F1895" s="8">
        <v>228292</v>
      </c>
      <c r="G1895" s="8">
        <v>9369511</v>
      </c>
      <c r="H1895" s="5">
        <f t="shared" si="59"/>
        <v>9597803</v>
      </c>
      <c r="I1895">
        <f>IFERROR(VLOOKUP(D1895,'LEAID Match'!$A$2:$B$251,2,FALSE),"")</f>
        <v>4704020</v>
      </c>
    </row>
    <row r="1896" spans="1:9" x14ac:dyDescent="0.2">
      <c r="A1896">
        <f t="shared" si="58"/>
        <v>4704020</v>
      </c>
      <c r="B1896" s="5">
        <v>2016</v>
      </c>
      <c r="C1896" s="1">
        <v>99083</v>
      </c>
      <c r="D1896" t="s">
        <v>408</v>
      </c>
      <c r="E1896" t="s">
        <v>159</v>
      </c>
      <c r="F1896" s="8">
        <v>429607</v>
      </c>
      <c r="G1896" s="8">
        <v>9076319</v>
      </c>
      <c r="H1896" s="5">
        <f t="shared" si="59"/>
        <v>9505926</v>
      </c>
      <c r="I1896">
        <f>IFERROR(VLOOKUP(D1896,'LEAID Match'!$A$2:$B$251,2,FALSE),"")</f>
        <v>4704020</v>
      </c>
    </row>
    <row r="1897" spans="1:9" x14ac:dyDescent="0.2">
      <c r="A1897">
        <f t="shared" si="58"/>
        <v>4704020</v>
      </c>
      <c r="B1897" s="5">
        <v>2017</v>
      </c>
      <c r="C1897" s="1">
        <v>99083</v>
      </c>
      <c r="D1897" t="s">
        <v>408</v>
      </c>
      <c r="E1897" t="s">
        <v>408</v>
      </c>
      <c r="F1897" s="8">
        <v>638578</v>
      </c>
      <c r="G1897" s="8">
        <v>8745920</v>
      </c>
      <c r="H1897" s="5">
        <f t="shared" si="59"/>
        <v>9384498</v>
      </c>
      <c r="I1897">
        <f>IFERROR(VLOOKUP(D1897,'LEAID Match'!$A$2:$B$251,2,FALSE),"")</f>
        <v>4704020</v>
      </c>
    </row>
    <row r="1898" spans="1:9" x14ac:dyDescent="0.2">
      <c r="A1898">
        <f t="shared" si="58"/>
        <v>4704020</v>
      </c>
      <c r="B1898" s="5">
        <v>2018</v>
      </c>
      <c r="C1898" s="1">
        <v>99083</v>
      </c>
      <c r="D1898" t="s">
        <v>408</v>
      </c>
      <c r="E1898" t="s">
        <v>159</v>
      </c>
      <c r="F1898" s="8">
        <v>759434</v>
      </c>
      <c r="G1898" s="8">
        <v>8611145</v>
      </c>
      <c r="H1898" s="5">
        <f t="shared" si="59"/>
        <v>9370579</v>
      </c>
      <c r="I1898">
        <f>IFERROR(VLOOKUP(D1898,'LEAID Match'!$A$2:$B$251,2,FALSE),"")</f>
        <v>4704020</v>
      </c>
    </row>
    <row r="1899" spans="1:9" x14ac:dyDescent="0.2">
      <c r="A1899">
        <f t="shared" si="58"/>
        <v>4704020</v>
      </c>
      <c r="B1899" s="5">
        <v>2019</v>
      </c>
      <c r="C1899" s="1">
        <v>99083</v>
      </c>
      <c r="D1899" t="s">
        <v>408</v>
      </c>
      <c r="E1899" t="s">
        <v>408</v>
      </c>
      <c r="F1899" s="8">
        <v>469586</v>
      </c>
      <c r="G1899" s="8">
        <v>9747864</v>
      </c>
      <c r="H1899" s="5">
        <f t="shared" si="59"/>
        <v>10217450</v>
      </c>
      <c r="I1899">
        <f>IFERROR(VLOOKUP(D1899,'LEAID Match'!$A$2:$B$251,2,FALSE),"")</f>
        <v>4704020</v>
      </c>
    </row>
    <row r="1900" spans="1:9" x14ac:dyDescent="0.2">
      <c r="A1900">
        <f t="shared" si="58"/>
        <v>4704020</v>
      </c>
      <c r="B1900" s="5">
        <v>2020</v>
      </c>
      <c r="C1900" s="1">
        <v>99083</v>
      </c>
      <c r="D1900" t="s">
        <v>408</v>
      </c>
      <c r="E1900" t="s">
        <v>408</v>
      </c>
      <c r="F1900" s="8">
        <v>602113</v>
      </c>
      <c r="G1900" s="8">
        <v>10179798</v>
      </c>
      <c r="H1900" s="5">
        <f t="shared" si="59"/>
        <v>10781911</v>
      </c>
      <c r="I1900">
        <f>IFERROR(VLOOKUP(D1900,'LEAID Match'!$A$2:$B$251,2,FALSE),"")</f>
        <v>4704020</v>
      </c>
    </row>
    <row r="1901" spans="1:9" x14ac:dyDescent="0.2">
      <c r="A1901">
        <f t="shared" si="58"/>
        <v>4704020</v>
      </c>
      <c r="B1901" s="5">
        <v>2021</v>
      </c>
      <c r="C1901" s="1">
        <v>99083</v>
      </c>
      <c r="D1901" t="s">
        <v>408</v>
      </c>
      <c r="E1901" t="s">
        <v>408</v>
      </c>
      <c r="F1901" s="8">
        <v>743917</v>
      </c>
      <c r="G1901" s="8">
        <v>9882079</v>
      </c>
      <c r="H1901" s="5">
        <f t="shared" si="59"/>
        <v>10625996</v>
      </c>
      <c r="I1901">
        <f>IFERROR(VLOOKUP(D1901,'LEAID Match'!$A$2:$B$251,2,FALSE),"")</f>
        <v>4704020</v>
      </c>
    </row>
    <row r="1902" spans="1:9" x14ac:dyDescent="0.2">
      <c r="A1902">
        <f t="shared" si="58"/>
        <v>4704020</v>
      </c>
      <c r="B1902" s="5">
        <v>2022</v>
      </c>
      <c r="C1902" s="1">
        <v>99083</v>
      </c>
      <c r="D1902" t="s">
        <v>408</v>
      </c>
      <c r="E1902" t="s">
        <v>408</v>
      </c>
      <c r="F1902" s="8">
        <v>857209.37</v>
      </c>
      <c r="G1902" s="8">
        <v>9729775.2300000004</v>
      </c>
      <c r="H1902" s="5">
        <f t="shared" si="59"/>
        <v>10586984.6</v>
      </c>
      <c r="I1902">
        <f>IFERROR(VLOOKUP(D1902,'LEAID Match'!$A$2:$B$251,2,FALSE),"")</f>
        <v>4704020</v>
      </c>
    </row>
    <row r="1903" spans="1:9" x14ac:dyDescent="0.2">
      <c r="A1903">
        <f t="shared" si="58"/>
        <v>4704020</v>
      </c>
      <c r="B1903" s="5">
        <v>2023</v>
      </c>
      <c r="C1903" s="1">
        <v>99083</v>
      </c>
      <c r="D1903" t="s">
        <v>408</v>
      </c>
      <c r="E1903" t="s">
        <v>408</v>
      </c>
      <c r="F1903" s="8">
        <v>1581063.98</v>
      </c>
      <c r="G1903" s="8">
        <v>8478711.3000000007</v>
      </c>
      <c r="H1903" s="5">
        <f t="shared" si="59"/>
        <v>10059775.280000001</v>
      </c>
      <c r="I1903">
        <f>IFERROR(VLOOKUP(D1903,'LEAID Match'!$A$2:$B$251,2,FALSE),"")</f>
        <v>4704020</v>
      </c>
    </row>
    <row r="1904" spans="1:9" x14ac:dyDescent="0.2">
      <c r="A1904">
        <f t="shared" si="58"/>
        <v>4704050</v>
      </c>
      <c r="B1904" s="5">
        <v>2015</v>
      </c>
      <c r="C1904" s="1">
        <v>99162</v>
      </c>
      <c r="D1904" t="s">
        <v>409</v>
      </c>
      <c r="E1904" t="s">
        <v>160</v>
      </c>
      <c r="F1904" s="8">
        <v>4362</v>
      </c>
      <c r="G1904" s="8">
        <v>506773</v>
      </c>
      <c r="H1904" s="5">
        <f t="shared" si="59"/>
        <v>511135</v>
      </c>
      <c r="I1904">
        <f>IFERROR(VLOOKUP(D1904,'LEAID Match'!$A$2:$B$251,2,FALSE),"")</f>
        <v>4704050</v>
      </c>
    </row>
    <row r="1905" spans="1:9" x14ac:dyDescent="0.2">
      <c r="A1905">
        <f t="shared" si="58"/>
        <v>4704050</v>
      </c>
      <c r="B1905" s="5">
        <v>2016</v>
      </c>
      <c r="C1905" s="1">
        <v>99162</v>
      </c>
      <c r="D1905" t="s">
        <v>409</v>
      </c>
      <c r="E1905" t="s">
        <v>160</v>
      </c>
      <c r="F1905" s="8">
        <v>9263</v>
      </c>
      <c r="G1905" s="8">
        <v>491801</v>
      </c>
      <c r="H1905" s="5">
        <f t="shared" si="59"/>
        <v>501064</v>
      </c>
      <c r="I1905">
        <f>IFERROR(VLOOKUP(D1905,'LEAID Match'!$A$2:$B$251,2,FALSE),"")</f>
        <v>4704050</v>
      </c>
    </row>
    <row r="1906" spans="1:9" x14ac:dyDescent="0.2">
      <c r="A1906">
        <f t="shared" si="58"/>
        <v>4704050</v>
      </c>
      <c r="B1906" s="5">
        <v>2017</v>
      </c>
      <c r="C1906" s="1">
        <v>99162</v>
      </c>
      <c r="D1906" t="s">
        <v>409</v>
      </c>
      <c r="E1906" t="s">
        <v>409</v>
      </c>
      <c r="F1906" s="8">
        <v>19325</v>
      </c>
      <c r="G1906" s="8">
        <v>486392</v>
      </c>
      <c r="H1906" s="5">
        <f t="shared" si="59"/>
        <v>505717</v>
      </c>
      <c r="I1906">
        <f>IFERROR(VLOOKUP(D1906,'LEAID Match'!$A$2:$B$251,2,FALSE),"")</f>
        <v>4704050</v>
      </c>
    </row>
    <row r="1907" spans="1:9" x14ac:dyDescent="0.2">
      <c r="A1907">
        <f t="shared" si="58"/>
        <v>4704050</v>
      </c>
      <c r="B1907" s="5">
        <v>2018</v>
      </c>
      <c r="C1907" s="1">
        <v>99162</v>
      </c>
      <c r="D1907" t="s">
        <v>409</v>
      </c>
      <c r="E1907" t="s">
        <v>160</v>
      </c>
      <c r="F1907" s="8">
        <v>26286</v>
      </c>
      <c r="G1907" s="8">
        <v>491327</v>
      </c>
      <c r="H1907" s="5">
        <f t="shared" si="59"/>
        <v>517613</v>
      </c>
      <c r="I1907">
        <f>IFERROR(VLOOKUP(D1907,'LEAID Match'!$A$2:$B$251,2,FALSE),"")</f>
        <v>4704050</v>
      </c>
    </row>
    <row r="1908" spans="1:9" x14ac:dyDescent="0.2">
      <c r="A1908">
        <f t="shared" si="58"/>
        <v>4704050</v>
      </c>
      <c r="B1908" s="5">
        <v>2019</v>
      </c>
      <c r="C1908" s="1">
        <v>99162</v>
      </c>
      <c r="D1908" t="s">
        <v>409</v>
      </c>
      <c r="E1908" t="s">
        <v>409</v>
      </c>
      <c r="F1908" s="8">
        <v>14825</v>
      </c>
      <c r="G1908" s="8">
        <v>560450</v>
      </c>
      <c r="H1908" s="5">
        <f t="shared" si="59"/>
        <v>575275</v>
      </c>
      <c r="I1908">
        <f>IFERROR(VLOOKUP(D1908,'LEAID Match'!$A$2:$B$251,2,FALSE),"")</f>
        <v>4704050</v>
      </c>
    </row>
    <row r="1909" spans="1:9" x14ac:dyDescent="0.2">
      <c r="A1909">
        <f t="shared" si="58"/>
        <v>4704050</v>
      </c>
      <c r="B1909" s="5">
        <v>2020</v>
      </c>
      <c r="C1909" s="1">
        <v>99162</v>
      </c>
      <c r="D1909" t="s">
        <v>409</v>
      </c>
      <c r="E1909" t="s">
        <v>409</v>
      </c>
      <c r="F1909" s="8">
        <v>19254</v>
      </c>
      <c r="G1909" s="8">
        <v>561191</v>
      </c>
      <c r="H1909" s="5">
        <f t="shared" si="59"/>
        <v>580445</v>
      </c>
      <c r="I1909">
        <f>IFERROR(VLOOKUP(D1909,'LEAID Match'!$A$2:$B$251,2,FALSE),"")</f>
        <v>4704050</v>
      </c>
    </row>
    <row r="1910" spans="1:9" x14ac:dyDescent="0.2">
      <c r="A1910">
        <f t="shared" si="58"/>
        <v>4704050</v>
      </c>
      <c r="B1910" s="5">
        <v>2021</v>
      </c>
      <c r="C1910" s="1">
        <v>99162</v>
      </c>
      <c r="D1910" t="s">
        <v>409</v>
      </c>
      <c r="E1910" t="s">
        <v>409</v>
      </c>
      <c r="F1910" s="8">
        <v>26096</v>
      </c>
      <c r="G1910" s="8">
        <v>507433</v>
      </c>
      <c r="H1910" s="5">
        <f t="shared" si="59"/>
        <v>533529</v>
      </c>
      <c r="I1910">
        <f>IFERROR(VLOOKUP(D1910,'LEAID Match'!$A$2:$B$251,2,FALSE),"")</f>
        <v>4704050</v>
      </c>
    </row>
    <row r="1911" spans="1:9" x14ac:dyDescent="0.2">
      <c r="A1911">
        <f t="shared" si="58"/>
        <v>4704050</v>
      </c>
      <c r="B1911" s="5">
        <v>2022</v>
      </c>
      <c r="C1911" s="1">
        <v>99162</v>
      </c>
      <c r="D1911" t="s">
        <v>409</v>
      </c>
      <c r="E1911" t="s">
        <v>409</v>
      </c>
      <c r="F1911" s="8">
        <v>31861.71</v>
      </c>
      <c r="G1911" s="8">
        <v>531616.18000000005</v>
      </c>
      <c r="H1911" s="5">
        <f t="shared" si="59"/>
        <v>563477.89</v>
      </c>
      <c r="I1911">
        <f>IFERROR(VLOOKUP(D1911,'LEAID Match'!$A$2:$B$251,2,FALSE),"")</f>
        <v>4704050</v>
      </c>
    </row>
    <row r="1912" spans="1:9" x14ac:dyDescent="0.2">
      <c r="A1912">
        <f t="shared" si="58"/>
        <v>4704050</v>
      </c>
      <c r="B1912" s="5">
        <v>2023</v>
      </c>
      <c r="C1912" s="1">
        <v>99162</v>
      </c>
      <c r="D1912" t="s">
        <v>409</v>
      </c>
      <c r="E1912" t="s">
        <v>409</v>
      </c>
      <c r="F1912" s="8">
        <v>57299.69</v>
      </c>
      <c r="G1912" s="8">
        <v>420956.15999999997</v>
      </c>
      <c r="H1912" s="5">
        <f t="shared" si="59"/>
        <v>478255.85</v>
      </c>
      <c r="I1912">
        <f>IFERROR(VLOOKUP(D1912,'LEAID Match'!$A$2:$B$251,2,FALSE),"")</f>
        <v>4704050</v>
      </c>
    </row>
    <row r="1913" spans="1:9" x14ac:dyDescent="0.2">
      <c r="A1913">
        <f t="shared" si="58"/>
        <v>0</v>
      </c>
      <c r="B1913" s="5">
        <v>2023</v>
      </c>
      <c r="C1913" s="1">
        <v>91420</v>
      </c>
      <c r="D1913" t="s">
        <v>518</v>
      </c>
      <c r="E1913" t="s">
        <v>518</v>
      </c>
      <c r="F1913" s="8">
        <v>645.75</v>
      </c>
      <c r="G1913" s="8">
        <v>2085.6</v>
      </c>
      <c r="H1913" s="5">
        <f t="shared" si="59"/>
        <v>2731.35</v>
      </c>
      <c r="I1913">
        <f>IFERROR(VLOOKUP(D1913,'LEAID Match'!$A$2:$B$251,2,FALSE),"")</f>
        <v>0</v>
      </c>
    </row>
    <row r="1914" spans="1:9" x14ac:dyDescent="0.2">
      <c r="A1914">
        <f t="shared" si="58"/>
        <v>4704080</v>
      </c>
      <c r="B1914" s="5">
        <v>2015</v>
      </c>
      <c r="C1914" s="1">
        <v>99084</v>
      </c>
      <c r="D1914" t="s">
        <v>410</v>
      </c>
      <c r="E1914" t="s">
        <v>161</v>
      </c>
      <c r="F1914" s="8">
        <v>49218</v>
      </c>
      <c r="G1914" s="8">
        <v>3789647</v>
      </c>
      <c r="H1914" s="5">
        <f t="shared" si="59"/>
        <v>3838865</v>
      </c>
      <c r="I1914">
        <f>IFERROR(VLOOKUP(D1914,'LEAID Match'!$A$2:$B$251,2,FALSE),"")</f>
        <v>4704080</v>
      </c>
    </row>
    <row r="1915" spans="1:9" x14ac:dyDescent="0.2">
      <c r="A1915">
        <f t="shared" si="58"/>
        <v>4704080</v>
      </c>
      <c r="B1915" s="5">
        <v>2016</v>
      </c>
      <c r="C1915" s="1">
        <v>99084</v>
      </c>
      <c r="D1915" t="s">
        <v>410</v>
      </c>
      <c r="E1915" t="s">
        <v>161</v>
      </c>
      <c r="F1915" s="8">
        <v>103076</v>
      </c>
      <c r="G1915" s="8">
        <v>3686022</v>
      </c>
      <c r="H1915" s="5">
        <f t="shared" si="59"/>
        <v>3789098</v>
      </c>
      <c r="I1915">
        <f>IFERROR(VLOOKUP(D1915,'LEAID Match'!$A$2:$B$251,2,FALSE),"")</f>
        <v>4704080</v>
      </c>
    </row>
    <row r="1916" spans="1:9" x14ac:dyDescent="0.2">
      <c r="A1916">
        <f t="shared" si="58"/>
        <v>4704080</v>
      </c>
      <c r="B1916" s="5">
        <v>2017</v>
      </c>
      <c r="C1916" s="1">
        <v>99084</v>
      </c>
      <c r="D1916" t="s">
        <v>410</v>
      </c>
      <c r="E1916" t="s">
        <v>410</v>
      </c>
      <c r="F1916" s="8">
        <v>148083</v>
      </c>
      <c r="G1916" s="8">
        <v>3606032</v>
      </c>
      <c r="H1916" s="5">
        <f t="shared" si="59"/>
        <v>3754115</v>
      </c>
      <c r="I1916">
        <f>IFERROR(VLOOKUP(D1916,'LEAID Match'!$A$2:$B$251,2,FALSE),"")</f>
        <v>4704080</v>
      </c>
    </row>
    <row r="1917" spans="1:9" x14ac:dyDescent="0.2">
      <c r="A1917">
        <f t="shared" si="58"/>
        <v>4704080</v>
      </c>
      <c r="B1917" s="5">
        <v>2018</v>
      </c>
      <c r="C1917" s="1">
        <v>99084</v>
      </c>
      <c r="D1917" t="s">
        <v>410</v>
      </c>
      <c r="E1917" t="s">
        <v>161</v>
      </c>
      <c r="F1917" s="8">
        <v>192794</v>
      </c>
      <c r="G1917" s="8">
        <v>3549516</v>
      </c>
      <c r="H1917" s="5">
        <f t="shared" si="59"/>
        <v>3742310</v>
      </c>
      <c r="I1917">
        <f>IFERROR(VLOOKUP(D1917,'LEAID Match'!$A$2:$B$251,2,FALSE),"")</f>
        <v>4704080</v>
      </c>
    </row>
    <row r="1918" spans="1:9" x14ac:dyDescent="0.2">
      <c r="A1918">
        <f t="shared" si="58"/>
        <v>4704080</v>
      </c>
      <c r="B1918" s="5">
        <v>2019</v>
      </c>
      <c r="C1918" s="1">
        <v>99084</v>
      </c>
      <c r="D1918" t="s">
        <v>410</v>
      </c>
      <c r="E1918" t="s">
        <v>410</v>
      </c>
      <c r="F1918" s="8">
        <v>127312</v>
      </c>
      <c r="G1918" s="8">
        <v>3893335</v>
      </c>
      <c r="H1918" s="5">
        <f t="shared" si="59"/>
        <v>4020647</v>
      </c>
      <c r="I1918">
        <f>IFERROR(VLOOKUP(D1918,'LEAID Match'!$A$2:$B$251,2,FALSE),"")</f>
        <v>4704080</v>
      </c>
    </row>
    <row r="1919" spans="1:9" x14ac:dyDescent="0.2">
      <c r="A1919">
        <f t="shared" si="58"/>
        <v>4704080</v>
      </c>
      <c r="B1919" s="5">
        <v>2020</v>
      </c>
      <c r="C1919" s="1">
        <v>99084</v>
      </c>
      <c r="D1919" t="s">
        <v>410</v>
      </c>
      <c r="E1919" t="s">
        <v>410</v>
      </c>
      <c r="F1919" s="8">
        <v>159667</v>
      </c>
      <c r="G1919" s="8">
        <v>3922830</v>
      </c>
      <c r="H1919" s="5">
        <f t="shared" si="59"/>
        <v>4082497</v>
      </c>
      <c r="I1919">
        <f>IFERROR(VLOOKUP(D1919,'LEAID Match'!$A$2:$B$251,2,FALSE),"")</f>
        <v>4704080</v>
      </c>
    </row>
    <row r="1920" spans="1:9" x14ac:dyDescent="0.2">
      <c r="A1920">
        <f t="shared" si="58"/>
        <v>4704080</v>
      </c>
      <c r="B1920" s="5">
        <v>2021</v>
      </c>
      <c r="C1920" s="1">
        <v>99084</v>
      </c>
      <c r="D1920" t="s">
        <v>410</v>
      </c>
      <c r="E1920" t="s">
        <v>410</v>
      </c>
      <c r="F1920" s="8">
        <v>184210</v>
      </c>
      <c r="G1920" s="8">
        <v>3748427</v>
      </c>
      <c r="H1920" s="5">
        <f t="shared" si="59"/>
        <v>3932637</v>
      </c>
      <c r="I1920">
        <f>IFERROR(VLOOKUP(D1920,'LEAID Match'!$A$2:$B$251,2,FALSE),"")</f>
        <v>4704080</v>
      </c>
    </row>
    <row r="1921" spans="1:9" x14ac:dyDescent="0.2">
      <c r="A1921">
        <f t="shared" si="58"/>
        <v>4704080</v>
      </c>
      <c r="B1921" s="5">
        <v>2022</v>
      </c>
      <c r="C1921" s="1">
        <v>99084</v>
      </c>
      <c r="D1921" t="s">
        <v>410</v>
      </c>
      <c r="E1921" t="s">
        <v>410</v>
      </c>
      <c r="F1921" s="8">
        <v>209054.53</v>
      </c>
      <c r="G1921" s="8">
        <v>3723365.89</v>
      </c>
      <c r="H1921" s="5">
        <f t="shared" si="59"/>
        <v>3932420.42</v>
      </c>
      <c r="I1921">
        <f>IFERROR(VLOOKUP(D1921,'LEAID Match'!$A$2:$B$251,2,FALSE),"")</f>
        <v>4704080</v>
      </c>
    </row>
    <row r="1922" spans="1:9" x14ac:dyDescent="0.2">
      <c r="A1922">
        <f t="shared" si="58"/>
        <v>4704080</v>
      </c>
      <c r="B1922" s="5">
        <v>2023</v>
      </c>
      <c r="C1922" s="1">
        <v>99084</v>
      </c>
      <c r="D1922" t="s">
        <v>410</v>
      </c>
      <c r="E1922" t="s">
        <v>410</v>
      </c>
      <c r="F1922" s="8">
        <v>359827.32</v>
      </c>
      <c r="G1922" s="8">
        <v>3025584.46</v>
      </c>
      <c r="H1922" s="5">
        <f t="shared" si="59"/>
        <v>3385411.78</v>
      </c>
      <c r="I1922">
        <f>IFERROR(VLOOKUP(D1922,'LEAID Match'!$A$2:$B$251,2,FALSE),"")</f>
        <v>4704080</v>
      </c>
    </row>
    <row r="1923" spans="1:9" x14ac:dyDescent="0.2">
      <c r="A1923">
        <f t="shared" ref="A1923:A1986" si="60">I1923</f>
        <v>4704100</v>
      </c>
      <c r="B1923" s="5">
        <v>2015</v>
      </c>
      <c r="C1923" s="1">
        <v>99620</v>
      </c>
      <c r="D1923" t="s">
        <v>411</v>
      </c>
      <c r="E1923" t="s">
        <v>162</v>
      </c>
      <c r="F1923" s="8">
        <v>5607</v>
      </c>
      <c r="G1923" s="8">
        <v>466511</v>
      </c>
      <c r="H1923" s="5">
        <f t="shared" ref="H1923:H1986" si="61">SUM(F1923:G1923)</f>
        <v>472118</v>
      </c>
      <c r="I1923">
        <f>IFERROR(VLOOKUP(D1923,'LEAID Match'!$A$2:$B$251,2,FALSE),"")</f>
        <v>4704100</v>
      </c>
    </row>
    <row r="1924" spans="1:9" x14ac:dyDescent="0.2">
      <c r="A1924">
        <f t="shared" si="60"/>
        <v>4704100</v>
      </c>
      <c r="B1924" s="5">
        <v>2016</v>
      </c>
      <c r="C1924" s="1">
        <v>99620</v>
      </c>
      <c r="D1924" t="s">
        <v>411</v>
      </c>
      <c r="E1924" t="s">
        <v>162</v>
      </c>
      <c r="F1924" s="8">
        <v>18778</v>
      </c>
      <c r="G1924" s="8">
        <v>445934</v>
      </c>
      <c r="H1924" s="5">
        <f t="shared" si="61"/>
        <v>464712</v>
      </c>
      <c r="I1924">
        <f>IFERROR(VLOOKUP(D1924,'LEAID Match'!$A$2:$B$251,2,FALSE),"")</f>
        <v>4704100</v>
      </c>
    </row>
    <row r="1925" spans="1:9" x14ac:dyDescent="0.2">
      <c r="A1925">
        <f t="shared" si="60"/>
        <v>4704100</v>
      </c>
      <c r="B1925" s="5">
        <v>2017</v>
      </c>
      <c r="C1925" s="1">
        <v>99620</v>
      </c>
      <c r="D1925" t="s">
        <v>411</v>
      </c>
      <c r="E1925" t="s">
        <v>411</v>
      </c>
      <c r="F1925" s="8">
        <v>18503</v>
      </c>
      <c r="G1925" s="8">
        <v>454964</v>
      </c>
      <c r="H1925" s="5">
        <f t="shared" si="61"/>
        <v>473467</v>
      </c>
      <c r="I1925">
        <f>IFERROR(VLOOKUP(D1925,'LEAID Match'!$A$2:$B$251,2,FALSE),"")</f>
        <v>4704100</v>
      </c>
    </row>
    <row r="1926" spans="1:9" x14ac:dyDescent="0.2">
      <c r="A1926">
        <f t="shared" si="60"/>
        <v>4704100</v>
      </c>
      <c r="B1926" s="5">
        <v>2018</v>
      </c>
      <c r="C1926" s="1">
        <v>99620</v>
      </c>
      <c r="D1926" t="s">
        <v>411</v>
      </c>
      <c r="E1926" t="s">
        <v>162</v>
      </c>
      <c r="F1926" s="8">
        <v>29021</v>
      </c>
      <c r="G1926" s="8">
        <v>441093</v>
      </c>
      <c r="H1926" s="5">
        <f t="shared" si="61"/>
        <v>470114</v>
      </c>
      <c r="I1926">
        <f>IFERROR(VLOOKUP(D1926,'LEAID Match'!$A$2:$B$251,2,FALSE),"")</f>
        <v>4704100</v>
      </c>
    </row>
    <row r="1927" spans="1:9" x14ac:dyDescent="0.2">
      <c r="A1927">
        <f t="shared" si="60"/>
        <v>4704100</v>
      </c>
      <c r="B1927" s="5">
        <v>2019</v>
      </c>
      <c r="C1927" s="1">
        <v>99620</v>
      </c>
      <c r="D1927" t="s">
        <v>411</v>
      </c>
      <c r="E1927" t="s">
        <v>411</v>
      </c>
      <c r="F1927" s="8">
        <v>14854</v>
      </c>
      <c r="G1927" s="8">
        <v>509018</v>
      </c>
      <c r="H1927" s="5">
        <f t="shared" si="61"/>
        <v>523872</v>
      </c>
      <c r="I1927">
        <f>IFERROR(VLOOKUP(D1927,'LEAID Match'!$A$2:$B$251,2,FALSE),"")</f>
        <v>4704100</v>
      </c>
    </row>
    <row r="1928" spans="1:9" x14ac:dyDescent="0.2">
      <c r="A1928">
        <f t="shared" si="60"/>
        <v>4704100</v>
      </c>
      <c r="B1928" s="5">
        <v>2020</v>
      </c>
      <c r="C1928" s="1">
        <v>99620</v>
      </c>
      <c r="D1928" t="s">
        <v>411</v>
      </c>
      <c r="E1928" t="s">
        <v>411</v>
      </c>
      <c r="F1928" s="8">
        <v>22157</v>
      </c>
      <c r="G1928" s="8">
        <v>505930</v>
      </c>
      <c r="H1928" s="5">
        <f t="shared" si="61"/>
        <v>528087</v>
      </c>
      <c r="I1928">
        <f>IFERROR(VLOOKUP(D1928,'LEAID Match'!$A$2:$B$251,2,FALSE),"")</f>
        <v>4704100</v>
      </c>
    </row>
    <row r="1929" spans="1:9" x14ac:dyDescent="0.2">
      <c r="A1929">
        <f t="shared" si="60"/>
        <v>4704100</v>
      </c>
      <c r="B1929" s="5">
        <v>2021</v>
      </c>
      <c r="C1929" s="1">
        <v>99620</v>
      </c>
      <c r="D1929" t="s">
        <v>411</v>
      </c>
      <c r="E1929" t="s">
        <v>411</v>
      </c>
      <c r="F1929" s="8">
        <v>26027</v>
      </c>
      <c r="G1929" s="8">
        <v>505888</v>
      </c>
      <c r="H1929" s="5">
        <f t="shared" si="61"/>
        <v>531915</v>
      </c>
      <c r="I1929">
        <f>IFERROR(VLOOKUP(D1929,'LEAID Match'!$A$2:$B$251,2,FALSE),"")</f>
        <v>4704100</v>
      </c>
    </row>
    <row r="1930" spans="1:9" x14ac:dyDescent="0.2">
      <c r="A1930">
        <f t="shared" si="60"/>
        <v>4704100</v>
      </c>
      <c r="B1930" s="5">
        <v>2022</v>
      </c>
      <c r="C1930" s="1">
        <v>99620</v>
      </c>
      <c r="D1930" t="s">
        <v>411</v>
      </c>
      <c r="E1930" t="s">
        <v>411</v>
      </c>
      <c r="F1930" s="8">
        <v>26857.33</v>
      </c>
      <c r="G1930" s="8">
        <v>508471.89</v>
      </c>
      <c r="H1930" s="5">
        <f t="shared" si="61"/>
        <v>535329.22</v>
      </c>
      <c r="I1930">
        <f>IFERROR(VLOOKUP(D1930,'LEAID Match'!$A$2:$B$251,2,FALSE),"")</f>
        <v>4704100</v>
      </c>
    </row>
    <row r="1931" spans="1:9" x14ac:dyDescent="0.2">
      <c r="A1931">
        <f t="shared" si="60"/>
        <v>4704100</v>
      </c>
      <c r="B1931" s="5">
        <v>2023</v>
      </c>
      <c r="C1931" s="1">
        <v>99620</v>
      </c>
      <c r="D1931" t="s">
        <v>411</v>
      </c>
      <c r="E1931" t="s">
        <v>411</v>
      </c>
      <c r="F1931" s="8">
        <v>48543.21</v>
      </c>
      <c r="G1931" s="8">
        <v>413090.97</v>
      </c>
      <c r="H1931" s="5">
        <f t="shared" si="61"/>
        <v>461634.18</v>
      </c>
      <c r="I1931">
        <f>IFERROR(VLOOKUP(D1931,'LEAID Match'!$A$2:$B$251,2,FALSE),"")</f>
        <v>4704100</v>
      </c>
    </row>
    <row r="1932" spans="1:9" x14ac:dyDescent="0.2">
      <c r="A1932">
        <f t="shared" si="60"/>
        <v>4704200</v>
      </c>
      <c r="B1932" s="5">
        <v>2015</v>
      </c>
      <c r="C1932" s="1">
        <v>99216</v>
      </c>
      <c r="D1932" t="s">
        <v>412</v>
      </c>
      <c r="E1932" t="s">
        <v>163</v>
      </c>
      <c r="F1932" s="8">
        <v>35375</v>
      </c>
      <c r="G1932" s="8">
        <v>1195881</v>
      </c>
      <c r="H1932" s="5">
        <f t="shared" si="61"/>
        <v>1231256</v>
      </c>
      <c r="I1932">
        <f>IFERROR(VLOOKUP(D1932,'LEAID Match'!$A$2:$B$251,2,FALSE),"")</f>
        <v>4704200</v>
      </c>
    </row>
    <row r="1933" spans="1:9" x14ac:dyDescent="0.2">
      <c r="A1933">
        <f t="shared" si="60"/>
        <v>4704200</v>
      </c>
      <c r="B1933" s="5">
        <v>2016</v>
      </c>
      <c r="C1933" s="1">
        <v>99216</v>
      </c>
      <c r="D1933" t="s">
        <v>412</v>
      </c>
      <c r="E1933" t="s">
        <v>163</v>
      </c>
      <c r="F1933" s="8">
        <v>53179</v>
      </c>
      <c r="G1933" s="8">
        <v>1189520</v>
      </c>
      <c r="H1933" s="5">
        <f t="shared" si="61"/>
        <v>1242699</v>
      </c>
      <c r="I1933">
        <f>IFERROR(VLOOKUP(D1933,'LEAID Match'!$A$2:$B$251,2,FALSE),"")</f>
        <v>4704200</v>
      </c>
    </row>
    <row r="1934" spans="1:9" x14ac:dyDescent="0.2">
      <c r="A1934">
        <f t="shared" si="60"/>
        <v>4704200</v>
      </c>
      <c r="B1934" s="5">
        <v>2017</v>
      </c>
      <c r="C1934" s="1">
        <v>99216</v>
      </c>
      <c r="D1934" t="s">
        <v>412</v>
      </c>
      <c r="E1934" t="s">
        <v>412</v>
      </c>
      <c r="F1934" s="8">
        <v>73298</v>
      </c>
      <c r="G1934" s="8">
        <v>1228108</v>
      </c>
      <c r="H1934" s="5">
        <f t="shared" si="61"/>
        <v>1301406</v>
      </c>
      <c r="I1934">
        <f>IFERROR(VLOOKUP(D1934,'LEAID Match'!$A$2:$B$251,2,FALSE),"")</f>
        <v>4704200</v>
      </c>
    </row>
    <row r="1935" spans="1:9" x14ac:dyDescent="0.2">
      <c r="A1935">
        <f t="shared" si="60"/>
        <v>4704200</v>
      </c>
      <c r="B1935" s="5">
        <v>2018</v>
      </c>
      <c r="C1935" s="1">
        <v>99216</v>
      </c>
      <c r="D1935" t="s">
        <v>412</v>
      </c>
      <c r="E1935" t="s">
        <v>163</v>
      </c>
      <c r="F1935" s="8">
        <v>95503</v>
      </c>
      <c r="G1935" s="8">
        <v>1230718</v>
      </c>
      <c r="H1935" s="5">
        <f t="shared" si="61"/>
        <v>1326221</v>
      </c>
      <c r="I1935">
        <f>IFERROR(VLOOKUP(D1935,'LEAID Match'!$A$2:$B$251,2,FALSE),"")</f>
        <v>4704200</v>
      </c>
    </row>
    <row r="1936" spans="1:9" x14ac:dyDescent="0.2">
      <c r="A1936">
        <f t="shared" si="60"/>
        <v>4704200</v>
      </c>
      <c r="B1936" s="5">
        <v>2019</v>
      </c>
      <c r="C1936" s="1">
        <v>99216</v>
      </c>
      <c r="D1936" t="s">
        <v>412</v>
      </c>
      <c r="E1936" t="s">
        <v>412</v>
      </c>
      <c r="F1936" s="8">
        <v>56664</v>
      </c>
      <c r="G1936" s="8">
        <v>1408784</v>
      </c>
      <c r="H1936" s="5">
        <f t="shared" si="61"/>
        <v>1465448</v>
      </c>
      <c r="I1936">
        <f>IFERROR(VLOOKUP(D1936,'LEAID Match'!$A$2:$B$251,2,FALSE),"")</f>
        <v>4704200</v>
      </c>
    </row>
    <row r="1937" spans="1:9" x14ac:dyDescent="0.2">
      <c r="A1937">
        <f t="shared" si="60"/>
        <v>4704200</v>
      </c>
      <c r="B1937" s="5">
        <v>2020</v>
      </c>
      <c r="C1937" s="1">
        <v>99216</v>
      </c>
      <c r="D1937" t="s">
        <v>412</v>
      </c>
      <c r="E1937" t="s">
        <v>412</v>
      </c>
      <c r="F1937" s="8">
        <v>78818</v>
      </c>
      <c r="G1937" s="8">
        <v>1344211</v>
      </c>
      <c r="H1937" s="5">
        <f t="shared" si="61"/>
        <v>1423029</v>
      </c>
      <c r="I1937">
        <f>IFERROR(VLOOKUP(D1937,'LEAID Match'!$A$2:$B$251,2,FALSE),"")</f>
        <v>4704200</v>
      </c>
    </row>
    <row r="1938" spans="1:9" x14ac:dyDescent="0.2">
      <c r="A1938">
        <f t="shared" si="60"/>
        <v>4704200</v>
      </c>
      <c r="B1938" s="5">
        <v>2021</v>
      </c>
      <c r="C1938" s="1">
        <v>99216</v>
      </c>
      <c r="D1938" t="s">
        <v>412</v>
      </c>
      <c r="E1938" t="s">
        <v>412</v>
      </c>
      <c r="F1938" s="8">
        <v>93785</v>
      </c>
      <c r="G1938" s="8">
        <v>1343532</v>
      </c>
      <c r="H1938" s="5">
        <f t="shared" si="61"/>
        <v>1437317</v>
      </c>
      <c r="I1938">
        <f>IFERROR(VLOOKUP(D1938,'LEAID Match'!$A$2:$B$251,2,FALSE),"")</f>
        <v>4704200</v>
      </c>
    </row>
    <row r="1939" spans="1:9" x14ac:dyDescent="0.2">
      <c r="A1939">
        <f t="shared" si="60"/>
        <v>4704200</v>
      </c>
      <c r="B1939" s="5">
        <v>2022</v>
      </c>
      <c r="C1939" s="1">
        <v>99216</v>
      </c>
      <c r="D1939" t="s">
        <v>412</v>
      </c>
      <c r="E1939" t="s">
        <v>412</v>
      </c>
      <c r="F1939" s="8">
        <v>102586.3</v>
      </c>
      <c r="G1939" s="8">
        <v>1360312.19</v>
      </c>
      <c r="H1939" s="5">
        <f t="shared" si="61"/>
        <v>1462898.49</v>
      </c>
      <c r="I1939">
        <f>IFERROR(VLOOKUP(D1939,'LEAID Match'!$A$2:$B$251,2,FALSE),"")</f>
        <v>4704200</v>
      </c>
    </row>
    <row r="1940" spans="1:9" x14ac:dyDescent="0.2">
      <c r="A1940">
        <f t="shared" si="60"/>
        <v>4704200</v>
      </c>
      <c r="B1940" s="5">
        <v>2023</v>
      </c>
      <c r="C1940" s="1">
        <v>99216</v>
      </c>
      <c r="D1940" t="s">
        <v>412</v>
      </c>
      <c r="E1940" t="s">
        <v>412</v>
      </c>
      <c r="F1940" s="8">
        <v>164639.54999999999</v>
      </c>
      <c r="G1940" s="8">
        <v>1201887.0900000001</v>
      </c>
      <c r="H1940" s="5">
        <f t="shared" si="61"/>
        <v>1366526.6400000001</v>
      </c>
      <c r="I1940">
        <f>IFERROR(VLOOKUP(D1940,'LEAID Match'!$A$2:$B$251,2,FALSE),"")</f>
        <v>4704200</v>
      </c>
    </row>
    <row r="1941" spans="1:9" x14ac:dyDescent="0.2">
      <c r="A1941">
        <f t="shared" si="60"/>
        <v>4704230</v>
      </c>
      <c r="B1941" s="5">
        <v>2015</v>
      </c>
      <c r="C1941" s="1">
        <v>99086</v>
      </c>
      <c r="D1941" t="s">
        <v>413</v>
      </c>
      <c r="E1941" t="s">
        <v>164</v>
      </c>
      <c r="F1941" s="8">
        <v>21130</v>
      </c>
      <c r="G1941" s="8">
        <v>813280</v>
      </c>
      <c r="H1941" s="5">
        <f t="shared" si="61"/>
        <v>834410</v>
      </c>
      <c r="I1941">
        <f>IFERROR(VLOOKUP(D1941,'LEAID Match'!$A$2:$B$251,2,FALSE),"")</f>
        <v>4704230</v>
      </c>
    </row>
    <row r="1942" spans="1:9" x14ac:dyDescent="0.2">
      <c r="A1942">
        <f t="shared" si="60"/>
        <v>4704230</v>
      </c>
      <c r="B1942" s="5">
        <v>2016</v>
      </c>
      <c r="C1942" s="1">
        <v>99086</v>
      </c>
      <c r="D1942" t="s">
        <v>413</v>
      </c>
      <c r="E1942" t="s">
        <v>164</v>
      </c>
      <c r="F1942" s="8">
        <v>30757</v>
      </c>
      <c r="G1942" s="8">
        <v>821505</v>
      </c>
      <c r="H1942" s="5">
        <f t="shared" si="61"/>
        <v>852262</v>
      </c>
      <c r="I1942">
        <f>IFERROR(VLOOKUP(D1942,'LEAID Match'!$A$2:$B$251,2,FALSE),"")</f>
        <v>4704230</v>
      </c>
    </row>
    <row r="1943" spans="1:9" x14ac:dyDescent="0.2">
      <c r="A1943">
        <f t="shared" si="60"/>
        <v>4704230</v>
      </c>
      <c r="B1943" s="5">
        <v>2017</v>
      </c>
      <c r="C1943" s="1">
        <v>99086</v>
      </c>
      <c r="D1943" t="s">
        <v>413</v>
      </c>
      <c r="E1943" t="s">
        <v>413</v>
      </c>
      <c r="F1943" s="8">
        <v>45127</v>
      </c>
      <c r="G1943" s="8">
        <v>811753</v>
      </c>
      <c r="H1943" s="5">
        <f t="shared" si="61"/>
        <v>856880</v>
      </c>
      <c r="I1943">
        <f>IFERROR(VLOOKUP(D1943,'LEAID Match'!$A$2:$B$251,2,FALSE),"")</f>
        <v>4704230</v>
      </c>
    </row>
    <row r="1944" spans="1:9" x14ac:dyDescent="0.2">
      <c r="A1944">
        <f t="shared" si="60"/>
        <v>4704230</v>
      </c>
      <c r="B1944" s="5">
        <v>2018</v>
      </c>
      <c r="C1944" s="1">
        <v>99086</v>
      </c>
      <c r="D1944" t="s">
        <v>413</v>
      </c>
      <c r="E1944" t="s">
        <v>164</v>
      </c>
      <c r="F1944" s="8">
        <v>48580</v>
      </c>
      <c r="G1944" s="8">
        <v>829869</v>
      </c>
      <c r="H1944" s="5">
        <f t="shared" si="61"/>
        <v>878449</v>
      </c>
      <c r="I1944">
        <f>IFERROR(VLOOKUP(D1944,'LEAID Match'!$A$2:$B$251,2,FALSE),"")</f>
        <v>4704230</v>
      </c>
    </row>
    <row r="1945" spans="1:9" x14ac:dyDescent="0.2">
      <c r="A1945">
        <f t="shared" si="60"/>
        <v>4704230</v>
      </c>
      <c r="B1945" s="5">
        <v>2019</v>
      </c>
      <c r="C1945" s="1">
        <v>99086</v>
      </c>
      <c r="D1945" t="s">
        <v>413</v>
      </c>
      <c r="E1945" t="s">
        <v>413</v>
      </c>
      <c r="F1945" s="8">
        <v>34025</v>
      </c>
      <c r="G1945" s="8">
        <v>934022</v>
      </c>
      <c r="H1945" s="5">
        <f t="shared" si="61"/>
        <v>968047</v>
      </c>
      <c r="I1945">
        <f>IFERROR(VLOOKUP(D1945,'LEAID Match'!$A$2:$B$251,2,FALSE),"")</f>
        <v>4704230</v>
      </c>
    </row>
    <row r="1946" spans="1:9" x14ac:dyDescent="0.2">
      <c r="A1946">
        <f t="shared" si="60"/>
        <v>4704230</v>
      </c>
      <c r="B1946" s="5">
        <v>2020</v>
      </c>
      <c r="C1946" s="1">
        <v>99086</v>
      </c>
      <c r="D1946" t="s">
        <v>413</v>
      </c>
      <c r="E1946" t="s">
        <v>413</v>
      </c>
      <c r="F1946" s="8">
        <v>40233</v>
      </c>
      <c r="G1946" s="8">
        <v>927065</v>
      </c>
      <c r="H1946" s="5">
        <f t="shared" si="61"/>
        <v>967298</v>
      </c>
      <c r="I1946">
        <f>IFERROR(VLOOKUP(D1946,'LEAID Match'!$A$2:$B$251,2,FALSE),"")</f>
        <v>4704230</v>
      </c>
    </row>
    <row r="1947" spans="1:9" x14ac:dyDescent="0.2">
      <c r="A1947">
        <f t="shared" si="60"/>
        <v>4704230</v>
      </c>
      <c r="B1947" s="5">
        <v>2021</v>
      </c>
      <c r="C1947" s="1">
        <v>99086</v>
      </c>
      <c r="D1947" t="s">
        <v>413</v>
      </c>
      <c r="E1947" t="s">
        <v>413</v>
      </c>
      <c r="F1947" s="8">
        <v>42199</v>
      </c>
      <c r="G1947" s="8">
        <v>913723</v>
      </c>
      <c r="H1947" s="5">
        <f t="shared" si="61"/>
        <v>955922</v>
      </c>
      <c r="I1947">
        <f>IFERROR(VLOOKUP(D1947,'LEAID Match'!$A$2:$B$251,2,FALSE),"")</f>
        <v>4704230</v>
      </c>
    </row>
    <row r="1948" spans="1:9" x14ac:dyDescent="0.2">
      <c r="A1948">
        <f t="shared" si="60"/>
        <v>4704230</v>
      </c>
      <c r="B1948" s="5">
        <v>2022</v>
      </c>
      <c r="C1948" s="1">
        <v>99086</v>
      </c>
      <c r="D1948" t="s">
        <v>413</v>
      </c>
      <c r="E1948" t="s">
        <v>413</v>
      </c>
      <c r="F1948" s="8">
        <v>51905.91</v>
      </c>
      <c r="G1948" s="8">
        <v>932730.95</v>
      </c>
      <c r="H1948" s="5">
        <f t="shared" si="61"/>
        <v>984636.86</v>
      </c>
      <c r="I1948">
        <f>IFERROR(VLOOKUP(D1948,'LEAID Match'!$A$2:$B$251,2,FALSE),"")</f>
        <v>4704230</v>
      </c>
    </row>
    <row r="1949" spans="1:9" x14ac:dyDescent="0.2">
      <c r="A1949">
        <f t="shared" si="60"/>
        <v>4704230</v>
      </c>
      <c r="B1949" s="5">
        <v>2023</v>
      </c>
      <c r="C1949" s="1">
        <v>99086</v>
      </c>
      <c r="D1949" t="s">
        <v>413</v>
      </c>
      <c r="E1949" t="s">
        <v>413</v>
      </c>
      <c r="F1949" s="8">
        <v>92323.6</v>
      </c>
      <c r="G1949" s="8">
        <v>706263.38</v>
      </c>
      <c r="H1949" s="5">
        <f t="shared" si="61"/>
        <v>798586.98</v>
      </c>
      <c r="I1949">
        <f>IFERROR(VLOOKUP(D1949,'LEAID Match'!$A$2:$B$251,2,FALSE),"")</f>
        <v>4704230</v>
      </c>
    </row>
    <row r="1950" spans="1:9" x14ac:dyDescent="0.2">
      <c r="A1950">
        <f t="shared" si="60"/>
        <v>4704260</v>
      </c>
      <c r="B1950" s="5">
        <v>2015</v>
      </c>
      <c r="C1950" s="1">
        <v>99166</v>
      </c>
      <c r="D1950" t="s">
        <v>414</v>
      </c>
      <c r="E1950" t="s">
        <v>165</v>
      </c>
      <c r="F1950" s="8">
        <v>14401</v>
      </c>
      <c r="G1950" s="8">
        <v>512579</v>
      </c>
      <c r="H1950" s="5">
        <f t="shared" si="61"/>
        <v>526980</v>
      </c>
      <c r="I1950">
        <f>IFERROR(VLOOKUP(D1950,'LEAID Match'!$A$2:$B$251,2,FALSE),"")</f>
        <v>4704260</v>
      </c>
    </row>
    <row r="1951" spans="1:9" x14ac:dyDescent="0.2">
      <c r="A1951">
        <f t="shared" si="60"/>
        <v>4704260</v>
      </c>
      <c r="B1951" s="5">
        <v>2016</v>
      </c>
      <c r="C1951" s="1">
        <v>99166</v>
      </c>
      <c r="D1951" t="s">
        <v>414</v>
      </c>
      <c r="E1951" t="s">
        <v>165</v>
      </c>
      <c r="F1951" s="8">
        <v>26401</v>
      </c>
      <c r="G1951" s="8">
        <v>536894</v>
      </c>
      <c r="H1951" s="5">
        <f t="shared" si="61"/>
        <v>563295</v>
      </c>
      <c r="I1951">
        <f>IFERROR(VLOOKUP(D1951,'LEAID Match'!$A$2:$B$251,2,FALSE),"")</f>
        <v>4704260</v>
      </c>
    </row>
    <row r="1952" spans="1:9" x14ac:dyDescent="0.2">
      <c r="A1952">
        <f t="shared" si="60"/>
        <v>4704260</v>
      </c>
      <c r="B1952" s="5">
        <v>2017</v>
      </c>
      <c r="C1952" s="1">
        <v>99166</v>
      </c>
      <c r="D1952" t="s">
        <v>414</v>
      </c>
      <c r="E1952" t="s">
        <v>414</v>
      </c>
      <c r="F1952" s="8">
        <v>30082</v>
      </c>
      <c r="G1952" s="8">
        <v>568425</v>
      </c>
      <c r="H1952" s="5">
        <f t="shared" si="61"/>
        <v>598507</v>
      </c>
      <c r="I1952">
        <f>IFERROR(VLOOKUP(D1952,'LEAID Match'!$A$2:$B$251,2,FALSE),"")</f>
        <v>4704260</v>
      </c>
    </row>
    <row r="1953" spans="1:9" x14ac:dyDescent="0.2">
      <c r="A1953">
        <f t="shared" si="60"/>
        <v>4704260</v>
      </c>
      <c r="B1953" s="5">
        <v>2018</v>
      </c>
      <c r="C1953" s="1">
        <v>99166</v>
      </c>
      <c r="D1953" t="s">
        <v>414</v>
      </c>
      <c r="E1953" t="s">
        <v>165</v>
      </c>
      <c r="F1953" s="8">
        <v>35560</v>
      </c>
      <c r="G1953" s="8">
        <v>573905</v>
      </c>
      <c r="H1953" s="5">
        <f t="shared" si="61"/>
        <v>609465</v>
      </c>
      <c r="I1953">
        <f>IFERROR(VLOOKUP(D1953,'LEAID Match'!$A$2:$B$251,2,FALSE),"")</f>
        <v>4704260</v>
      </c>
    </row>
    <row r="1954" spans="1:9" x14ac:dyDescent="0.2">
      <c r="A1954">
        <f t="shared" si="60"/>
        <v>4704260</v>
      </c>
      <c r="B1954" s="5">
        <v>2019</v>
      </c>
      <c r="C1954" s="1">
        <v>99166</v>
      </c>
      <c r="D1954" t="s">
        <v>414</v>
      </c>
      <c r="E1954" t="s">
        <v>414</v>
      </c>
      <c r="F1954" s="8">
        <v>19419</v>
      </c>
      <c r="G1954" s="8">
        <v>666563</v>
      </c>
      <c r="H1954" s="5">
        <f t="shared" si="61"/>
        <v>685982</v>
      </c>
      <c r="I1954">
        <f>IFERROR(VLOOKUP(D1954,'LEAID Match'!$A$2:$B$251,2,FALSE),"")</f>
        <v>4704260</v>
      </c>
    </row>
    <row r="1955" spans="1:9" x14ac:dyDescent="0.2">
      <c r="A1955">
        <f t="shared" si="60"/>
        <v>4704260</v>
      </c>
      <c r="B1955" s="5">
        <v>2020</v>
      </c>
      <c r="C1955" s="1">
        <v>99166</v>
      </c>
      <c r="D1955" t="s">
        <v>414</v>
      </c>
      <c r="E1955" t="s">
        <v>414</v>
      </c>
      <c r="F1955" s="8">
        <v>25217</v>
      </c>
      <c r="G1955" s="8">
        <v>644746</v>
      </c>
      <c r="H1955" s="5">
        <f t="shared" si="61"/>
        <v>669963</v>
      </c>
      <c r="I1955">
        <f>IFERROR(VLOOKUP(D1955,'LEAID Match'!$A$2:$B$251,2,FALSE),"")</f>
        <v>4704260</v>
      </c>
    </row>
    <row r="1956" spans="1:9" x14ac:dyDescent="0.2">
      <c r="A1956">
        <f t="shared" si="60"/>
        <v>4704260</v>
      </c>
      <c r="B1956" s="5">
        <v>2021</v>
      </c>
      <c r="C1956" s="1">
        <v>99166</v>
      </c>
      <c r="D1956" t="s">
        <v>414</v>
      </c>
      <c r="E1956" t="s">
        <v>414</v>
      </c>
      <c r="F1956" s="8">
        <v>30028</v>
      </c>
      <c r="G1956" s="8">
        <v>625851</v>
      </c>
      <c r="H1956" s="5">
        <f t="shared" si="61"/>
        <v>655879</v>
      </c>
      <c r="I1956">
        <f>IFERROR(VLOOKUP(D1956,'LEAID Match'!$A$2:$B$251,2,FALSE),"")</f>
        <v>4704260</v>
      </c>
    </row>
    <row r="1957" spans="1:9" x14ac:dyDescent="0.2">
      <c r="A1957">
        <f t="shared" si="60"/>
        <v>4704260</v>
      </c>
      <c r="B1957" s="5">
        <v>2022</v>
      </c>
      <c r="C1957" s="1">
        <v>99166</v>
      </c>
      <c r="D1957" t="s">
        <v>414</v>
      </c>
      <c r="E1957" t="s">
        <v>414</v>
      </c>
      <c r="F1957" s="8">
        <v>32014.39</v>
      </c>
      <c r="G1957" s="8">
        <v>629668.12</v>
      </c>
      <c r="H1957" s="5">
        <f t="shared" si="61"/>
        <v>661682.51</v>
      </c>
      <c r="I1957">
        <f>IFERROR(VLOOKUP(D1957,'LEAID Match'!$A$2:$B$251,2,FALSE),"")</f>
        <v>4704260</v>
      </c>
    </row>
    <row r="1958" spans="1:9" x14ac:dyDescent="0.2">
      <c r="A1958">
        <f t="shared" si="60"/>
        <v>4704260</v>
      </c>
      <c r="B1958" s="5">
        <v>2023</v>
      </c>
      <c r="C1958" s="1">
        <v>99166</v>
      </c>
      <c r="D1958" t="s">
        <v>414</v>
      </c>
      <c r="E1958" t="s">
        <v>414</v>
      </c>
      <c r="F1958" s="8">
        <v>53282.62</v>
      </c>
      <c r="G1958" s="8">
        <v>526533.17000000004</v>
      </c>
      <c r="H1958" s="5">
        <f t="shared" si="61"/>
        <v>579815.79</v>
      </c>
      <c r="I1958">
        <f>IFERROR(VLOOKUP(D1958,'LEAID Match'!$A$2:$B$251,2,FALSE),"")</f>
        <v>4704260</v>
      </c>
    </row>
    <row r="1959" spans="1:9" x14ac:dyDescent="0.2">
      <c r="A1959">
        <f t="shared" si="60"/>
        <v>4704290</v>
      </c>
      <c r="B1959" s="5">
        <v>2015</v>
      </c>
      <c r="C1959" s="1">
        <v>99087</v>
      </c>
      <c r="D1959" t="s">
        <v>415</v>
      </c>
      <c r="E1959" t="s">
        <v>166</v>
      </c>
      <c r="F1959" s="8">
        <v>17171</v>
      </c>
      <c r="G1959" s="8">
        <v>1029802</v>
      </c>
      <c r="H1959" s="5">
        <f t="shared" si="61"/>
        <v>1046973</v>
      </c>
      <c r="I1959">
        <f>IFERROR(VLOOKUP(D1959,'LEAID Match'!$A$2:$B$251,2,FALSE),"")</f>
        <v>4704290</v>
      </c>
    </row>
    <row r="1960" spans="1:9" x14ac:dyDescent="0.2">
      <c r="A1960">
        <f t="shared" si="60"/>
        <v>4704290</v>
      </c>
      <c r="B1960" s="5">
        <v>2016</v>
      </c>
      <c r="C1960" s="1">
        <v>99087</v>
      </c>
      <c r="D1960" t="s">
        <v>415</v>
      </c>
      <c r="E1960" t="s">
        <v>166</v>
      </c>
      <c r="F1960" s="8">
        <v>28640</v>
      </c>
      <c r="G1960" s="8">
        <v>1010795</v>
      </c>
      <c r="H1960" s="5">
        <f t="shared" si="61"/>
        <v>1039435</v>
      </c>
      <c r="I1960">
        <f>IFERROR(VLOOKUP(D1960,'LEAID Match'!$A$2:$B$251,2,FALSE),"")</f>
        <v>4704290</v>
      </c>
    </row>
    <row r="1961" spans="1:9" x14ac:dyDescent="0.2">
      <c r="A1961">
        <f t="shared" si="60"/>
        <v>4704290</v>
      </c>
      <c r="B1961" s="5">
        <v>2017</v>
      </c>
      <c r="C1961" s="1">
        <v>99087</v>
      </c>
      <c r="D1961" t="s">
        <v>415</v>
      </c>
      <c r="E1961" t="s">
        <v>415</v>
      </c>
      <c r="F1961" s="8">
        <v>49088</v>
      </c>
      <c r="G1961" s="8">
        <v>988059</v>
      </c>
      <c r="H1961" s="5">
        <f t="shared" si="61"/>
        <v>1037147</v>
      </c>
      <c r="I1961">
        <f>IFERROR(VLOOKUP(D1961,'LEAID Match'!$A$2:$B$251,2,FALSE),"")</f>
        <v>4704290</v>
      </c>
    </row>
    <row r="1962" spans="1:9" x14ac:dyDescent="0.2">
      <c r="A1962">
        <f t="shared" si="60"/>
        <v>4704290</v>
      </c>
      <c r="B1962" s="5">
        <v>2018</v>
      </c>
      <c r="C1962" s="1">
        <v>99087</v>
      </c>
      <c r="D1962" t="s">
        <v>415</v>
      </c>
      <c r="E1962" t="s">
        <v>166</v>
      </c>
      <c r="F1962" s="8">
        <v>64686</v>
      </c>
      <c r="G1962" s="8">
        <v>981423</v>
      </c>
      <c r="H1962" s="5">
        <f t="shared" si="61"/>
        <v>1046109</v>
      </c>
      <c r="I1962">
        <f>IFERROR(VLOOKUP(D1962,'LEAID Match'!$A$2:$B$251,2,FALSE),"")</f>
        <v>4704290</v>
      </c>
    </row>
    <row r="1963" spans="1:9" x14ac:dyDescent="0.2">
      <c r="A1963">
        <f t="shared" si="60"/>
        <v>4704290</v>
      </c>
      <c r="B1963" s="5">
        <v>2019</v>
      </c>
      <c r="C1963" s="1">
        <v>99087</v>
      </c>
      <c r="D1963" t="s">
        <v>415</v>
      </c>
      <c r="E1963" t="s">
        <v>415</v>
      </c>
      <c r="F1963" s="8">
        <v>38196</v>
      </c>
      <c r="G1963" s="8">
        <v>1156485</v>
      </c>
      <c r="H1963" s="5">
        <f t="shared" si="61"/>
        <v>1194681</v>
      </c>
      <c r="I1963">
        <f>IFERROR(VLOOKUP(D1963,'LEAID Match'!$A$2:$B$251,2,FALSE),"")</f>
        <v>4704290</v>
      </c>
    </row>
    <row r="1964" spans="1:9" x14ac:dyDescent="0.2">
      <c r="A1964">
        <f t="shared" si="60"/>
        <v>4704290</v>
      </c>
      <c r="B1964" s="5">
        <v>2020</v>
      </c>
      <c r="C1964" s="1">
        <v>99087</v>
      </c>
      <c r="D1964" t="s">
        <v>415</v>
      </c>
      <c r="E1964" t="s">
        <v>415</v>
      </c>
      <c r="F1964" s="8">
        <v>56499</v>
      </c>
      <c r="G1964" s="8">
        <v>1130962</v>
      </c>
      <c r="H1964" s="5">
        <f t="shared" si="61"/>
        <v>1187461</v>
      </c>
      <c r="I1964">
        <f>IFERROR(VLOOKUP(D1964,'LEAID Match'!$A$2:$B$251,2,FALSE),"")</f>
        <v>4704290</v>
      </c>
    </row>
    <row r="1965" spans="1:9" x14ac:dyDescent="0.2">
      <c r="A1965">
        <f t="shared" si="60"/>
        <v>4704290</v>
      </c>
      <c r="B1965" s="5">
        <v>2021</v>
      </c>
      <c r="C1965" s="1">
        <v>99087</v>
      </c>
      <c r="D1965" t="s">
        <v>415</v>
      </c>
      <c r="E1965" t="s">
        <v>415</v>
      </c>
      <c r="F1965" s="8">
        <v>69030</v>
      </c>
      <c r="G1965" s="8">
        <v>1120097</v>
      </c>
      <c r="H1965" s="5">
        <f t="shared" si="61"/>
        <v>1189127</v>
      </c>
      <c r="I1965">
        <f>IFERROR(VLOOKUP(D1965,'LEAID Match'!$A$2:$B$251,2,FALSE),"")</f>
        <v>4704290</v>
      </c>
    </row>
    <row r="1966" spans="1:9" x14ac:dyDescent="0.2">
      <c r="A1966">
        <f t="shared" si="60"/>
        <v>4704290</v>
      </c>
      <c r="B1966" s="5">
        <v>2022</v>
      </c>
      <c r="C1966" s="1">
        <v>99087</v>
      </c>
      <c r="D1966" t="s">
        <v>415</v>
      </c>
      <c r="E1966" t="s">
        <v>415</v>
      </c>
      <c r="F1966" s="8">
        <v>94129.600000000006</v>
      </c>
      <c r="G1966" s="8">
        <v>1171152.3899999999</v>
      </c>
      <c r="H1966" s="5">
        <f t="shared" si="61"/>
        <v>1265281.99</v>
      </c>
      <c r="I1966">
        <f>IFERROR(VLOOKUP(D1966,'LEAID Match'!$A$2:$B$251,2,FALSE),"")</f>
        <v>4704290</v>
      </c>
    </row>
    <row r="1967" spans="1:9" x14ac:dyDescent="0.2">
      <c r="A1967">
        <f t="shared" si="60"/>
        <v>4704290</v>
      </c>
      <c r="B1967" s="5">
        <v>2023</v>
      </c>
      <c r="C1967" s="1">
        <v>99087</v>
      </c>
      <c r="D1967" t="s">
        <v>415</v>
      </c>
      <c r="E1967" t="s">
        <v>415</v>
      </c>
      <c r="F1967" s="8">
        <v>154260.03</v>
      </c>
      <c r="G1967" s="8">
        <v>962247.54</v>
      </c>
      <c r="H1967" s="5">
        <f t="shared" si="61"/>
        <v>1116507.57</v>
      </c>
      <c r="I1967">
        <f>IFERROR(VLOOKUP(D1967,'LEAID Match'!$A$2:$B$251,2,FALSE),"")</f>
        <v>4704290</v>
      </c>
    </row>
    <row r="1968" spans="1:9" x14ac:dyDescent="0.2">
      <c r="A1968">
        <f t="shared" si="60"/>
        <v>0</v>
      </c>
      <c r="B1968" s="5">
        <v>2015</v>
      </c>
      <c r="C1968" s="1">
        <v>91919</v>
      </c>
      <c r="D1968" t="s">
        <v>416</v>
      </c>
      <c r="E1968" t="s">
        <v>167</v>
      </c>
      <c r="F1968" s="8">
        <v>7282</v>
      </c>
      <c r="G1968" s="8">
        <v>20096</v>
      </c>
      <c r="H1968" s="5">
        <f t="shared" si="61"/>
        <v>27378</v>
      </c>
      <c r="I1968">
        <f>IFERROR(VLOOKUP(D1968,'LEAID Match'!$A$2:$B$251,2,FALSE),"")</f>
        <v>0</v>
      </c>
    </row>
    <row r="1969" spans="1:9" x14ac:dyDescent="0.2">
      <c r="A1969">
        <f t="shared" si="60"/>
        <v>0</v>
      </c>
      <c r="B1969" s="5">
        <v>2016</v>
      </c>
      <c r="C1969" s="1">
        <v>91919</v>
      </c>
      <c r="D1969" t="s">
        <v>416</v>
      </c>
      <c r="E1969" t="s">
        <v>167</v>
      </c>
      <c r="F1969" s="8">
        <v>37872</v>
      </c>
      <c r="G1969" s="8">
        <v>45936</v>
      </c>
      <c r="H1969" s="5">
        <f t="shared" si="61"/>
        <v>83808</v>
      </c>
      <c r="I1969">
        <f>IFERROR(VLOOKUP(D1969,'LEAID Match'!$A$2:$B$251,2,FALSE),"")</f>
        <v>0</v>
      </c>
    </row>
    <row r="1970" spans="1:9" x14ac:dyDescent="0.2">
      <c r="A1970">
        <f t="shared" si="60"/>
        <v>0</v>
      </c>
      <c r="B1970" s="5">
        <v>2017</v>
      </c>
      <c r="C1970" s="1">
        <v>91919</v>
      </c>
      <c r="D1970" t="s">
        <v>416</v>
      </c>
      <c r="E1970" t="s">
        <v>416</v>
      </c>
      <c r="F1970" s="8">
        <v>59392</v>
      </c>
      <c r="G1970" s="8">
        <v>85922</v>
      </c>
      <c r="H1970" s="5">
        <f t="shared" si="61"/>
        <v>145314</v>
      </c>
      <c r="I1970">
        <f>IFERROR(VLOOKUP(D1970,'LEAID Match'!$A$2:$B$251,2,FALSE),"")</f>
        <v>0</v>
      </c>
    </row>
    <row r="1971" spans="1:9" x14ac:dyDescent="0.2">
      <c r="A1971">
        <f t="shared" si="60"/>
        <v>0</v>
      </c>
      <c r="B1971" s="5">
        <v>2018</v>
      </c>
      <c r="C1971" s="1">
        <v>91919</v>
      </c>
      <c r="D1971" t="s">
        <v>416</v>
      </c>
      <c r="E1971" t="s">
        <v>167</v>
      </c>
      <c r="F1971" s="8">
        <v>99873</v>
      </c>
      <c r="G1971" s="8">
        <v>114284</v>
      </c>
      <c r="H1971" s="5">
        <f t="shared" si="61"/>
        <v>214157</v>
      </c>
      <c r="I1971">
        <f>IFERROR(VLOOKUP(D1971,'LEAID Match'!$A$2:$B$251,2,FALSE),"")</f>
        <v>0</v>
      </c>
    </row>
    <row r="1972" spans="1:9" x14ac:dyDescent="0.2">
      <c r="A1972">
        <f t="shared" si="60"/>
        <v>0</v>
      </c>
      <c r="B1972" s="5">
        <v>2019</v>
      </c>
      <c r="C1972" s="1">
        <v>91919</v>
      </c>
      <c r="D1972" t="s">
        <v>416</v>
      </c>
      <c r="E1972" t="s">
        <v>167</v>
      </c>
      <c r="F1972" s="8">
        <v>76589</v>
      </c>
      <c r="G1972" s="8">
        <v>155419</v>
      </c>
      <c r="H1972" s="5">
        <f t="shared" si="61"/>
        <v>232008</v>
      </c>
      <c r="I1972">
        <f>IFERROR(VLOOKUP(D1972,'LEAID Match'!$A$2:$B$251,2,FALSE),"")</f>
        <v>0</v>
      </c>
    </row>
    <row r="1973" spans="1:9" x14ac:dyDescent="0.2">
      <c r="A1973">
        <f t="shared" si="60"/>
        <v>0</v>
      </c>
      <c r="B1973" s="5">
        <v>2020</v>
      </c>
      <c r="C1973" s="1">
        <v>91919</v>
      </c>
      <c r="D1973" t="s">
        <v>416</v>
      </c>
      <c r="E1973" t="s">
        <v>416</v>
      </c>
      <c r="F1973" s="8">
        <v>98856</v>
      </c>
      <c r="G1973" s="8">
        <v>176310</v>
      </c>
      <c r="H1973" s="5">
        <f t="shared" si="61"/>
        <v>275166</v>
      </c>
      <c r="I1973">
        <f>IFERROR(VLOOKUP(D1973,'LEAID Match'!$A$2:$B$251,2,FALSE),"")</f>
        <v>0</v>
      </c>
    </row>
    <row r="1974" spans="1:9" x14ac:dyDescent="0.2">
      <c r="A1974">
        <f t="shared" si="60"/>
        <v>0</v>
      </c>
      <c r="B1974" s="5">
        <v>2021</v>
      </c>
      <c r="C1974" s="1">
        <v>91919</v>
      </c>
      <c r="D1974" t="s">
        <v>416</v>
      </c>
      <c r="E1974" t="s">
        <v>167</v>
      </c>
      <c r="F1974" s="8">
        <v>122482</v>
      </c>
      <c r="G1974" s="8">
        <v>197525</v>
      </c>
      <c r="H1974" s="5">
        <f t="shared" si="61"/>
        <v>320007</v>
      </c>
      <c r="I1974">
        <f>IFERROR(VLOOKUP(D1974,'LEAID Match'!$A$2:$B$251,2,FALSE),"")</f>
        <v>0</v>
      </c>
    </row>
    <row r="1975" spans="1:9" x14ac:dyDescent="0.2">
      <c r="A1975">
        <f t="shared" si="60"/>
        <v>0</v>
      </c>
      <c r="B1975" s="5">
        <v>2022</v>
      </c>
      <c r="C1975" s="1">
        <v>91919</v>
      </c>
      <c r="D1975" t="s">
        <v>416</v>
      </c>
      <c r="E1975" t="s">
        <v>167</v>
      </c>
      <c r="F1975" s="8">
        <v>156018.59</v>
      </c>
      <c r="G1975" s="8">
        <v>216655.94</v>
      </c>
      <c r="H1975" s="5">
        <f t="shared" si="61"/>
        <v>372674.53</v>
      </c>
      <c r="I1975">
        <f>IFERROR(VLOOKUP(D1975,'LEAID Match'!$A$2:$B$251,2,FALSE),"")</f>
        <v>0</v>
      </c>
    </row>
    <row r="1976" spans="1:9" x14ac:dyDescent="0.2">
      <c r="A1976">
        <f t="shared" si="60"/>
        <v>0</v>
      </c>
      <c r="B1976" s="5">
        <v>2023</v>
      </c>
      <c r="C1976" s="1">
        <v>91919</v>
      </c>
      <c r="D1976" t="s">
        <v>416</v>
      </c>
      <c r="E1976" t="s">
        <v>416</v>
      </c>
      <c r="F1976" s="8">
        <v>244614.93</v>
      </c>
      <c r="G1976" s="8">
        <v>175756.42</v>
      </c>
      <c r="H1976" s="5">
        <f t="shared" si="61"/>
        <v>420371.35</v>
      </c>
      <c r="I1976">
        <f>IFERROR(VLOOKUP(D1976,'LEAID Match'!$A$2:$B$251,2,FALSE),"")</f>
        <v>0</v>
      </c>
    </row>
    <row r="1977" spans="1:9" x14ac:dyDescent="0.2">
      <c r="A1977">
        <f t="shared" si="60"/>
        <v>4704320</v>
      </c>
      <c r="B1977" s="5">
        <v>2015</v>
      </c>
      <c r="C1977" s="1">
        <v>99088</v>
      </c>
      <c r="D1977" t="s">
        <v>417</v>
      </c>
      <c r="E1977" t="s">
        <v>168</v>
      </c>
      <c r="F1977" s="8">
        <v>2008</v>
      </c>
      <c r="G1977" s="8">
        <v>310271</v>
      </c>
      <c r="H1977" s="5">
        <f t="shared" si="61"/>
        <v>312279</v>
      </c>
      <c r="I1977">
        <f>IFERROR(VLOOKUP(D1977,'LEAID Match'!$A$2:$B$251,2,FALSE),"")</f>
        <v>4704320</v>
      </c>
    </row>
    <row r="1978" spans="1:9" x14ac:dyDescent="0.2">
      <c r="A1978">
        <f t="shared" si="60"/>
        <v>4704320</v>
      </c>
      <c r="B1978" s="5">
        <v>2016</v>
      </c>
      <c r="C1978" s="1">
        <v>99088</v>
      </c>
      <c r="D1978" t="s">
        <v>417</v>
      </c>
      <c r="E1978" t="s">
        <v>168</v>
      </c>
      <c r="F1978" s="8">
        <v>11320</v>
      </c>
      <c r="G1978" s="8">
        <v>294848</v>
      </c>
      <c r="H1978" s="5">
        <f t="shared" si="61"/>
        <v>306168</v>
      </c>
      <c r="I1978">
        <f>IFERROR(VLOOKUP(D1978,'LEAID Match'!$A$2:$B$251,2,FALSE),"")</f>
        <v>4704320</v>
      </c>
    </row>
    <row r="1979" spans="1:9" x14ac:dyDescent="0.2">
      <c r="A1979">
        <f t="shared" si="60"/>
        <v>4704320</v>
      </c>
      <c r="B1979" s="5">
        <v>2017</v>
      </c>
      <c r="C1979" s="1">
        <v>99088</v>
      </c>
      <c r="D1979" t="s">
        <v>417</v>
      </c>
      <c r="E1979" t="s">
        <v>417</v>
      </c>
      <c r="F1979" s="8">
        <v>10262</v>
      </c>
      <c r="G1979" s="8">
        <v>311873</v>
      </c>
      <c r="H1979" s="5">
        <f t="shared" si="61"/>
        <v>322135</v>
      </c>
      <c r="I1979">
        <f>IFERROR(VLOOKUP(D1979,'LEAID Match'!$A$2:$B$251,2,FALSE),"")</f>
        <v>4704320</v>
      </c>
    </row>
    <row r="1980" spans="1:9" x14ac:dyDescent="0.2">
      <c r="A1980">
        <f t="shared" si="60"/>
        <v>4704320</v>
      </c>
      <c r="B1980" s="5">
        <v>2018</v>
      </c>
      <c r="C1980" s="1">
        <v>99088</v>
      </c>
      <c r="D1980" t="s">
        <v>417</v>
      </c>
      <c r="E1980" t="s">
        <v>168</v>
      </c>
      <c r="F1980" s="8">
        <v>13716</v>
      </c>
      <c r="G1980" s="8">
        <v>330726</v>
      </c>
      <c r="H1980" s="5">
        <f t="shared" si="61"/>
        <v>344442</v>
      </c>
      <c r="I1980">
        <f>IFERROR(VLOOKUP(D1980,'LEAID Match'!$A$2:$B$251,2,FALSE),"")</f>
        <v>4704320</v>
      </c>
    </row>
    <row r="1981" spans="1:9" x14ac:dyDescent="0.2">
      <c r="A1981">
        <f t="shared" si="60"/>
        <v>4704320</v>
      </c>
      <c r="B1981" s="5">
        <v>2019</v>
      </c>
      <c r="C1981" s="1">
        <v>99088</v>
      </c>
      <c r="D1981" t="s">
        <v>417</v>
      </c>
      <c r="E1981" t="s">
        <v>417</v>
      </c>
      <c r="F1981" s="8">
        <v>10102</v>
      </c>
      <c r="G1981" s="8">
        <v>364703</v>
      </c>
      <c r="H1981" s="5">
        <f t="shared" si="61"/>
        <v>374805</v>
      </c>
      <c r="I1981">
        <f>IFERROR(VLOOKUP(D1981,'LEAID Match'!$A$2:$B$251,2,FALSE),"")</f>
        <v>4704320</v>
      </c>
    </row>
    <row r="1982" spans="1:9" x14ac:dyDescent="0.2">
      <c r="A1982">
        <f t="shared" si="60"/>
        <v>4704320</v>
      </c>
      <c r="B1982" s="5">
        <v>2020</v>
      </c>
      <c r="C1982" s="1">
        <v>99088</v>
      </c>
      <c r="D1982" t="s">
        <v>417</v>
      </c>
      <c r="E1982" t="s">
        <v>417</v>
      </c>
      <c r="F1982" s="8">
        <v>13905</v>
      </c>
      <c r="G1982" s="8">
        <v>364677</v>
      </c>
      <c r="H1982" s="5">
        <f t="shared" si="61"/>
        <v>378582</v>
      </c>
      <c r="I1982">
        <f>IFERROR(VLOOKUP(D1982,'LEAID Match'!$A$2:$B$251,2,FALSE),"")</f>
        <v>4704320</v>
      </c>
    </row>
    <row r="1983" spans="1:9" x14ac:dyDescent="0.2">
      <c r="A1983">
        <f t="shared" si="60"/>
        <v>4704320</v>
      </c>
      <c r="B1983" s="5">
        <v>2021</v>
      </c>
      <c r="C1983" s="1">
        <v>99088</v>
      </c>
      <c r="D1983" t="s">
        <v>417</v>
      </c>
      <c r="E1983" t="s">
        <v>417</v>
      </c>
      <c r="F1983" s="8">
        <v>14091</v>
      </c>
      <c r="G1983" s="8">
        <v>350323</v>
      </c>
      <c r="H1983" s="5">
        <f t="shared" si="61"/>
        <v>364414</v>
      </c>
      <c r="I1983">
        <f>IFERROR(VLOOKUP(D1983,'LEAID Match'!$A$2:$B$251,2,FALSE),"")</f>
        <v>4704320</v>
      </c>
    </row>
    <row r="1984" spans="1:9" x14ac:dyDescent="0.2">
      <c r="A1984">
        <f t="shared" si="60"/>
        <v>4704320</v>
      </c>
      <c r="B1984" s="5">
        <v>2022</v>
      </c>
      <c r="C1984" s="1">
        <v>99088</v>
      </c>
      <c r="D1984" t="s">
        <v>417</v>
      </c>
      <c r="E1984" t="s">
        <v>417</v>
      </c>
      <c r="F1984" s="8">
        <v>15955.63</v>
      </c>
      <c r="G1984" s="8">
        <v>360712.89</v>
      </c>
      <c r="H1984" s="5">
        <f t="shared" si="61"/>
        <v>376668.52</v>
      </c>
      <c r="I1984">
        <f>IFERROR(VLOOKUP(D1984,'LEAID Match'!$A$2:$B$251,2,FALSE),"")</f>
        <v>4704320</v>
      </c>
    </row>
    <row r="1985" spans="1:9" x14ac:dyDescent="0.2">
      <c r="A1985">
        <f t="shared" si="60"/>
        <v>4704320</v>
      </c>
      <c r="B1985" s="5">
        <v>2023</v>
      </c>
      <c r="C1985" s="1">
        <v>99088</v>
      </c>
      <c r="D1985" t="s">
        <v>417</v>
      </c>
      <c r="E1985" t="s">
        <v>417</v>
      </c>
      <c r="F1985" s="8">
        <v>28959.22</v>
      </c>
      <c r="G1985" s="8">
        <v>311697.42</v>
      </c>
      <c r="H1985" s="5">
        <f t="shared" si="61"/>
        <v>340656.64000000001</v>
      </c>
      <c r="I1985">
        <f>IFERROR(VLOOKUP(D1985,'LEAID Match'!$A$2:$B$251,2,FALSE),"")</f>
        <v>4704320</v>
      </c>
    </row>
    <row r="1986" spans="1:9" x14ac:dyDescent="0.2">
      <c r="A1986">
        <f t="shared" si="60"/>
        <v>0</v>
      </c>
      <c r="B1986" s="5">
        <v>2015</v>
      </c>
      <c r="C1986" s="1">
        <v>97951</v>
      </c>
      <c r="D1986" t="s">
        <v>418</v>
      </c>
      <c r="E1986" t="s">
        <v>201</v>
      </c>
      <c r="F1986" s="8">
        <v>5333</v>
      </c>
      <c r="G1986" s="8">
        <v>40966</v>
      </c>
      <c r="H1986" s="5">
        <f t="shared" si="61"/>
        <v>46299</v>
      </c>
      <c r="I1986">
        <f>IFERROR(VLOOKUP(D1986,'LEAID Match'!$A$2:$B$251,2,FALSE),"")</f>
        <v>0</v>
      </c>
    </row>
    <row r="1987" spans="1:9" x14ac:dyDescent="0.2">
      <c r="A1987">
        <f t="shared" ref="A1987:A2050" si="62">I1987</f>
        <v>0</v>
      </c>
      <c r="B1987" s="5">
        <v>2016</v>
      </c>
      <c r="C1987" s="1">
        <v>97951</v>
      </c>
      <c r="D1987" t="s">
        <v>418</v>
      </c>
      <c r="E1987" t="s">
        <v>201</v>
      </c>
      <c r="F1987" s="8">
        <v>13500</v>
      </c>
      <c r="G1987" s="8">
        <v>19361</v>
      </c>
      <c r="H1987" s="5">
        <f t="shared" ref="H1987:H2050" si="63">SUM(F1987:G1987)</f>
        <v>32861</v>
      </c>
      <c r="I1987">
        <f>IFERROR(VLOOKUP(D1987,'LEAID Match'!$A$2:$B$251,2,FALSE),"")</f>
        <v>0</v>
      </c>
    </row>
    <row r="1988" spans="1:9" x14ac:dyDescent="0.2">
      <c r="A1988">
        <f t="shared" si="62"/>
        <v>0</v>
      </c>
      <c r="B1988" s="5">
        <v>2017</v>
      </c>
      <c r="C1988" s="1">
        <v>97951</v>
      </c>
      <c r="D1988" t="s">
        <v>418</v>
      </c>
      <c r="E1988" t="s">
        <v>418</v>
      </c>
      <c r="F1988" s="8">
        <v>13787</v>
      </c>
      <c r="G1988" s="8">
        <v>10750</v>
      </c>
      <c r="H1988" s="5">
        <f t="shared" si="63"/>
        <v>24537</v>
      </c>
      <c r="I1988">
        <f>IFERROR(VLOOKUP(D1988,'LEAID Match'!$A$2:$B$251,2,FALSE),"")</f>
        <v>0</v>
      </c>
    </row>
    <row r="1989" spans="1:9" x14ac:dyDescent="0.2">
      <c r="A1989">
        <f t="shared" si="62"/>
        <v>0</v>
      </c>
      <c r="B1989" s="5">
        <v>2018</v>
      </c>
      <c r="C1989" s="1">
        <v>97951</v>
      </c>
      <c r="D1989" t="s">
        <v>418</v>
      </c>
      <c r="E1989" t="s">
        <v>201</v>
      </c>
      <c r="F1989" s="8">
        <v>15745</v>
      </c>
      <c r="G1989" s="8">
        <v>7778</v>
      </c>
      <c r="H1989" s="5">
        <f t="shared" si="63"/>
        <v>23523</v>
      </c>
      <c r="I1989">
        <f>IFERROR(VLOOKUP(D1989,'LEAID Match'!$A$2:$B$251,2,FALSE),"")</f>
        <v>0</v>
      </c>
    </row>
    <row r="1990" spans="1:9" x14ac:dyDescent="0.2">
      <c r="A1990">
        <f t="shared" si="62"/>
        <v>0</v>
      </c>
      <c r="B1990" s="5">
        <v>2019</v>
      </c>
      <c r="C1990" s="1">
        <v>97951</v>
      </c>
      <c r="D1990" t="s">
        <v>418</v>
      </c>
      <c r="E1990" t="s">
        <v>418</v>
      </c>
      <c r="F1990" s="8">
        <v>7190</v>
      </c>
      <c r="G1990" s="8">
        <v>16823</v>
      </c>
      <c r="H1990" s="5">
        <f t="shared" si="63"/>
        <v>24013</v>
      </c>
      <c r="I1990">
        <f>IFERROR(VLOOKUP(D1990,'LEAID Match'!$A$2:$B$251,2,FALSE),"")</f>
        <v>0</v>
      </c>
    </row>
    <row r="1991" spans="1:9" x14ac:dyDescent="0.2">
      <c r="A1991">
        <f t="shared" si="62"/>
        <v>0</v>
      </c>
      <c r="B1991" s="5">
        <v>2020</v>
      </c>
      <c r="C1991" s="1">
        <v>97951</v>
      </c>
      <c r="D1991" t="s">
        <v>418</v>
      </c>
      <c r="E1991" t="s">
        <v>418</v>
      </c>
      <c r="F1991" s="8">
        <v>7740.34</v>
      </c>
      <c r="G1991" s="8">
        <v>18913</v>
      </c>
      <c r="H1991" s="5">
        <f t="shared" si="63"/>
        <v>26653.34</v>
      </c>
      <c r="I1991">
        <f>IFERROR(VLOOKUP(D1991,'LEAID Match'!$A$2:$B$251,2,FALSE),"")</f>
        <v>0</v>
      </c>
    </row>
    <row r="1992" spans="1:9" x14ac:dyDescent="0.2">
      <c r="A1992">
        <f t="shared" si="62"/>
        <v>0</v>
      </c>
      <c r="B1992" s="5">
        <v>2021</v>
      </c>
      <c r="C1992" s="1">
        <v>97951</v>
      </c>
      <c r="D1992" t="s">
        <v>418</v>
      </c>
      <c r="E1992" t="s">
        <v>418</v>
      </c>
      <c r="F1992" s="8">
        <v>8507</v>
      </c>
      <c r="G1992" s="8">
        <v>18632</v>
      </c>
      <c r="H1992" s="5">
        <f t="shared" si="63"/>
        <v>27139</v>
      </c>
      <c r="I1992">
        <f>IFERROR(VLOOKUP(D1992,'LEAID Match'!$A$2:$B$251,2,FALSE),"")</f>
        <v>0</v>
      </c>
    </row>
    <row r="1993" spans="1:9" x14ac:dyDescent="0.2">
      <c r="A1993">
        <f t="shared" si="62"/>
        <v>0</v>
      </c>
      <c r="B1993" s="5">
        <v>2022</v>
      </c>
      <c r="C1993" s="1">
        <v>97951</v>
      </c>
      <c r="D1993" t="s">
        <v>418</v>
      </c>
      <c r="E1993" t="s">
        <v>418</v>
      </c>
      <c r="F1993" s="8">
        <v>8333.75</v>
      </c>
      <c r="G1993" s="8">
        <v>19320.18</v>
      </c>
      <c r="H1993" s="5">
        <f t="shared" si="63"/>
        <v>27653.93</v>
      </c>
      <c r="I1993">
        <f>IFERROR(VLOOKUP(D1993,'LEAID Match'!$A$2:$B$251,2,FALSE),"")</f>
        <v>0</v>
      </c>
    </row>
    <row r="1994" spans="1:9" x14ac:dyDescent="0.2">
      <c r="A1994">
        <f t="shared" si="62"/>
        <v>0</v>
      </c>
      <c r="B1994" s="5">
        <v>2023</v>
      </c>
      <c r="C1994" s="1">
        <v>97951</v>
      </c>
      <c r="D1994" t="s">
        <v>418</v>
      </c>
      <c r="E1994" t="s">
        <v>418</v>
      </c>
      <c r="F1994" s="8">
        <v>13975.32</v>
      </c>
      <c r="G1994" s="8">
        <v>17559.78</v>
      </c>
      <c r="H1994" s="5">
        <f t="shared" si="63"/>
        <v>31535.1</v>
      </c>
      <c r="I1994">
        <f>IFERROR(VLOOKUP(D1994,'LEAID Match'!$A$2:$B$251,2,FALSE),"")</f>
        <v>0</v>
      </c>
    </row>
    <row r="1995" spans="1:9" x14ac:dyDescent="0.2">
      <c r="A1995">
        <f t="shared" si="62"/>
        <v>0</v>
      </c>
      <c r="B1995" s="5">
        <v>2015</v>
      </c>
      <c r="C1995" s="1">
        <v>97954</v>
      </c>
      <c r="D1995" t="s">
        <v>419</v>
      </c>
      <c r="E1995" t="s">
        <v>169</v>
      </c>
      <c r="F1995" s="8">
        <v>5237</v>
      </c>
      <c r="G1995" s="8">
        <v>10205</v>
      </c>
      <c r="H1995" s="5">
        <f t="shared" si="63"/>
        <v>15442</v>
      </c>
      <c r="I1995">
        <f>IFERROR(VLOOKUP(D1995,'LEAID Match'!$A$2:$B$251,2,FALSE),"")</f>
        <v>0</v>
      </c>
    </row>
    <row r="1996" spans="1:9" x14ac:dyDescent="0.2">
      <c r="A1996">
        <f t="shared" si="62"/>
        <v>0</v>
      </c>
      <c r="B1996" s="5">
        <v>2016</v>
      </c>
      <c r="C1996" s="1">
        <v>97954</v>
      </c>
      <c r="D1996" t="s">
        <v>419</v>
      </c>
      <c r="E1996" t="s">
        <v>169</v>
      </c>
      <c r="F1996" s="8">
        <v>9315</v>
      </c>
      <c r="G1996" s="8">
        <v>9044</v>
      </c>
      <c r="H1996" s="5">
        <f t="shared" si="63"/>
        <v>18359</v>
      </c>
      <c r="I1996">
        <f>IFERROR(VLOOKUP(D1996,'LEAID Match'!$A$2:$B$251,2,FALSE),"")</f>
        <v>0</v>
      </c>
    </row>
    <row r="1997" spans="1:9" x14ac:dyDescent="0.2">
      <c r="A1997">
        <f t="shared" si="62"/>
        <v>0</v>
      </c>
      <c r="B1997" s="5">
        <v>2017</v>
      </c>
      <c r="C1997" s="1">
        <v>97954</v>
      </c>
      <c r="D1997" t="s">
        <v>419</v>
      </c>
      <c r="E1997" t="s">
        <v>419</v>
      </c>
      <c r="F1997" s="8">
        <v>8803</v>
      </c>
      <c r="G1997" s="8">
        <v>27802</v>
      </c>
      <c r="H1997" s="5">
        <f t="shared" si="63"/>
        <v>36605</v>
      </c>
      <c r="I1997">
        <f>IFERROR(VLOOKUP(D1997,'LEAID Match'!$A$2:$B$251,2,FALSE),"")</f>
        <v>0</v>
      </c>
    </row>
    <row r="1998" spans="1:9" x14ac:dyDescent="0.2">
      <c r="A1998">
        <f t="shared" si="62"/>
        <v>0</v>
      </c>
      <c r="B1998" s="5">
        <v>2018</v>
      </c>
      <c r="C1998" s="1">
        <v>97954</v>
      </c>
      <c r="D1998" t="s">
        <v>419</v>
      </c>
      <c r="E1998" t="s">
        <v>169</v>
      </c>
      <c r="F1998" s="8">
        <v>10637</v>
      </c>
      <c r="G1998" s="8">
        <v>44605</v>
      </c>
      <c r="H1998" s="5">
        <f t="shared" si="63"/>
        <v>55242</v>
      </c>
      <c r="I1998">
        <f>IFERROR(VLOOKUP(D1998,'LEAID Match'!$A$2:$B$251,2,FALSE),"")</f>
        <v>0</v>
      </c>
    </row>
    <row r="1999" spans="1:9" x14ac:dyDescent="0.2">
      <c r="A1999">
        <f t="shared" si="62"/>
        <v>0</v>
      </c>
      <c r="B1999" s="5">
        <v>2019</v>
      </c>
      <c r="C1999" s="1">
        <v>97954</v>
      </c>
      <c r="D1999" t="s">
        <v>419</v>
      </c>
      <c r="E1999" t="s">
        <v>419</v>
      </c>
      <c r="F1999" s="8">
        <v>24831</v>
      </c>
      <c r="G1999" s="8">
        <v>73655</v>
      </c>
      <c r="H1999" s="5">
        <f t="shared" si="63"/>
        <v>98486</v>
      </c>
      <c r="I1999">
        <f>IFERROR(VLOOKUP(D1999,'LEAID Match'!$A$2:$B$251,2,FALSE),"")</f>
        <v>0</v>
      </c>
    </row>
    <row r="2000" spans="1:9" x14ac:dyDescent="0.2">
      <c r="A2000">
        <f t="shared" si="62"/>
        <v>0</v>
      </c>
      <c r="B2000" s="5">
        <v>2020</v>
      </c>
      <c r="C2000" s="1">
        <v>97954</v>
      </c>
      <c r="D2000" t="s">
        <v>419</v>
      </c>
      <c r="E2000" t="s">
        <v>419</v>
      </c>
      <c r="F2000" s="8">
        <v>16234</v>
      </c>
      <c r="G2000" s="8">
        <v>84519</v>
      </c>
      <c r="H2000" s="5">
        <f t="shared" si="63"/>
        <v>100753</v>
      </c>
      <c r="I2000">
        <f>IFERROR(VLOOKUP(D2000,'LEAID Match'!$A$2:$B$251,2,FALSE),"")</f>
        <v>0</v>
      </c>
    </row>
    <row r="2001" spans="1:9" x14ac:dyDescent="0.2">
      <c r="A2001">
        <f t="shared" si="62"/>
        <v>0</v>
      </c>
      <c r="B2001" s="5">
        <v>2021</v>
      </c>
      <c r="C2001" s="1">
        <v>97954</v>
      </c>
      <c r="D2001" t="s">
        <v>419</v>
      </c>
      <c r="E2001" t="s">
        <v>419</v>
      </c>
      <c r="F2001" s="8">
        <v>18797</v>
      </c>
      <c r="G2001" s="8">
        <v>71656</v>
      </c>
      <c r="H2001" s="5">
        <f t="shared" si="63"/>
        <v>90453</v>
      </c>
      <c r="I2001">
        <f>IFERROR(VLOOKUP(D2001,'LEAID Match'!$A$2:$B$251,2,FALSE),"")</f>
        <v>0</v>
      </c>
    </row>
    <row r="2002" spans="1:9" x14ac:dyDescent="0.2">
      <c r="A2002">
        <f t="shared" si="62"/>
        <v>0</v>
      </c>
      <c r="B2002" s="5">
        <v>2022</v>
      </c>
      <c r="C2002" s="1">
        <v>97954</v>
      </c>
      <c r="D2002" t="s">
        <v>419</v>
      </c>
      <c r="E2002" t="s">
        <v>419</v>
      </c>
      <c r="F2002" s="8">
        <v>29266.19</v>
      </c>
      <c r="G2002" s="8">
        <v>59643.31</v>
      </c>
      <c r="H2002" s="5">
        <f t="shared" si="63"/>
        <v>88909.5</v>
      </c>
      <c r="I2002">
        <f>IFERROR(VLOOKUP(D2002,'LEAID Match'!$A$2:$B$251,2,FALSE),"")</f>
        <v>0</v>
      </c>
    </row>
    <row r="2003" spans="1:9" x14ac:dyDescent="0.2">
      <c r="A2003">
        <f t="shared" si="62"/>
        <v>0</v>
      </c>
      <c r="B2003" s="5">
        <v>2023</v>
      </c>
      <c r="C2003" s="1">
        <v>97954</v>
      </c>
      <c r="D2003" t="s">
        <v>419</v>
      </c>
      <c r="E2003" t="s">
        <v>419</v>
      </c>
      <c r="F2003" s="8">
        <v>46771.92</v>
      </c>
      <c r="G2003" s="8">
        <v>56030.58</v>
      </c>
      <c r="H2003" s="5">
        <f t="shared" si="63"/>
        <v>102802.5</v>
      </c>
      <c r="I2003">
        <f>IFERROR(VLOOKUP(D2003,'LEAID Match'!$A$2:$B$251,2,FALSE),"")</f>
        <v>0</v>
      </c>
    </row>
    <row r="2004" spans="1:9" x14ac:dyDescent="0.2">
      <c r="A2004">
        <f t="shared" si="62"/>
        <v>0</v>
      </c>
      <c r="B2004" s="5">
        <v>2015</v>
      </c>
      <c r="C2004" s="1">
        <v>97921</v>
      </c>
      <c r="D2004" t="s">
        <v>549</v>
      </c>
      <c r="E2004" t="s">
        <v>549</v>
      </c>
      <c r="F2004" s="8" t="s">
        <v>591</v>
      </c>
      <c r="G2004" s="8">
        <v>36685</v>
      </c>
      <c r="H2004" s="5">
        <f t="shared" si="63"/>
        <v>36685</v>
      </c>
      <c r="I2004">
        <f>IFERROR(VLOOKUP(D2004,'LEAID Match'!$A$2:$B$251,2,FALSE),"")</f>
        <v>0</v>
      </c>
    </row>
    <row r="2005" spans="1:9" x14ac:dyDescent="0.2">
      <c r="A2005">
        <f t="shared" si="62"/>
        <v>0</v>
      </c>
      <c r="B2005" s="5">
        <v>2016</v>
      </c>
      <c r="C2005" s="1">
        <v>97921</v>
      </c>
      <c r="D2005" t="s">
        <v>549</v>
      </c>
      <c r="E2005" t="s">
        <v>202</v>
      </c>
      <c r="F2005" s="8">
        <v>7050</v>
      </c>
      <c r="G2005" s="8">
        <v>47161</v>
      </c>
      <c r="H2005" s="5">
        <f t="shared" si="63"/>
        <v>54211</v>
      </c>
      <c r="I2005">
        <f>IFERROR(VLOOKUP(D2005,'LEAID Match'!$A$2:$B$251,2,FALSE),"")</f>
        <v>0</v>
      </c>
    </row>
    <row r="2006" spans="1:9" x14ac:dyDescent="0.2">
      <c r="A2006">
        <f t="shared" si="62"/>
        <v>0</v>
      </c>
      <c r="B2006" s="5">
        <v>2017</v>
      </c>
      <c r="C2006" s="1">
        <v>97921</v>
      </c>
      <c r="D2006" t="s">
        <v>549</v>
      </c>
      <c r="E2006" t="s">
        <v>420</v>
      </c>
      <c r="F2006" s="8">
        <v>12676</v>
      </c>
      <c r="G2006" s="8">
        <v>74353</v>
      </c>
      <c r="H2006" s="5">
        <f t="shared" si="63"/>
        <v>87029</v>
      </c>
      <c r="I2006">
        <f>IFERROR(VLOOKUP(D2006,'LEAID Match'!$A$2:$B$251,2,FALSE),"")</f>
        <v>0</v>
      </c>
    </row>
    <row r="2007" spans="1:9" x14ac:dyDescent="0.2">
      <c r="A2007">
        <f t="shared" si="62"/>
        <v>0</v>
      </c>
      <c r="B2007" s="5">
        <v>2018</v>
      </c>
      <c r="C2007" s="1">
        <v>97921</v>
      </c>
      <c r="D2007" t="s">
        <v>549</v>
      </c>
      <c r="E2007" t="s">
        <v>474</v>
      </c>
      <c r="F2007" s="8">
        <v>66170</v>
      </c>
      <c r="G2007" s="8">
        <v>223591</v>
      </c>
      <c r="H2007" s="5">
        <f t="shared" si="63"/>
        <v>289761</v>
      </c>
      <c r="I2007">
        <f>IFERROR(VLOOKUP(D2007,'LEAID Match'!$A$2:$B$251,2,FALSE),"")</f>
        <v>0</v>
      </c>
    </row>
    <row r="2008" spans="1:9" x14ac:dyDescent="0.2">
      <c r="A2008">
        <f t="shared" si="62"/>
        <v>0</v>
      </c>
      <c r="B2008" s="5">
        <v>2019</v>
      </c>
      <c r="C2008" s="1">
        <v>97921</v>
      </c>
      <c r="D2008" t="s">
        <v>549</v>
      </c>
      <c r="E2008" t="s">
        <v>420</v>
      </c>
      <c r="F2008" s="8">
        <v>23083</v>
      </c>
      <c r="G2008" s="8">
        <v>163143</v>
      </c>
      <c r="H2008" s="5">
        <f t="shared" si="63"/>
        <v>186226</v>
      </c>
      <c r="I2008">
        <f>IFERROR(VLOOKUP(D2008,'LEAID Match'!$A$2:$B$251,2,FALSE),"")</f>
        <v>0</v>
      </c>
    </row>
    <row r="2009" spans="1:9" x14ac:dyDescent="0.2">
      <c r="A2009">
        <f t="shared" si="62"/>
        <v>0</v>
      </c>
      <c r="B2009" s="5">
        <v>2020</v>
      </c>
      <c r="C2009" s="1">
        <v>97921</v>
      </c>
      <c r="D2009" t="s">
        <v>549</v>
      </c>
      <c r="E2009" t="s">
        <v>420</v>
      </c>
      <c r="F2009" s="8">
        <v>18796</v>
      </c>
      <c r="G2009" s="8">
        <v>65185</v>
      </c>
      <c r="H2009" s="5">
        <f t="shared" si="63"/>
        <v>83981</v>
      </c>
      <c r="I2009">
        <f>IFERROR(VLOOKUP(D2009,'LEAID Match'!$A$2:$B$251,2,FALSE),"")</f>
        <v>0</v>
      </c>
    </row>
    <row r="2010" spans="1:9" x14ac:dyDescent="0.2">
      <c r="A2010">
        <f t="shared" si="62"/>
        <v>0</v>
      </c>
      <c r="B2010" s="5">
        <v>2021</v>
      </c>
      <c r="C2010" s="1">
        <v>97921</v>
      </c>
      <c r="D2010" t="s">
        <v>549</v>
      </c>
      <c r="E2010" t="s">
        <v>420</v>
      </c>
      <c r="F2010" s="8">
        <v>1121</v>
      </c>
      <c r="G2010" s="8">
        <v>2754</v>
      </c>
      <c r="H2010" s="5">
        <f t="shared" si="63"/>
        <v>3875</v>
      </c>
      <c r="I2010">
        <f>IFERROR(VLOOKUP(D2010,'LEAID Match'!$A$2:$B$251,2,FALSE),"")</f>
        <v>0</v>
      </c>
    </row>
    <row r="2011" spans="1:9" x14ac:dyDescent="0.2">
      <c r="A2011">
        <f t="shared" si="62"/>
        <v>0</v>
      </c>
      <c r="B2011" s="5">
        <v>2022</v>
      </c>
      <c r="C2011" s="1">
        <v>97921</v>
      </c>
      <c r="D2011" t="s">
        <v>549</v>
      </c>
      <c r="E2011" t="s">
        <v>420</v>
      </c>
      <c r="F2011" s="8" t="s">
        <v>591</v>
      </c>
      <c r="G2011" s="8" t="s">
        <v>591</v>
      </c>
      <c r="H2011" s="5">
        <f t="shared" si="63"/>
        <v>0</v>
      </c>
      <c r="I2011">
        <f>IFERROR(VLOOKUP(D2011,'LEAID Match'!$A$2:$B$251,2,FALSE),"")</f>
        <v>0</v>
      </c>
    </row>
    <row r="2012" spans="1:9" x14ac:dyDescent="0.2">
      <c r="A2012">
        <f t="shared" si="62"/>
        <v>0</v>
      </c>
      <c r="B2012" s="5">
        <v>2023</v>
      </c>
      <c r="C2012" s="1">
        <v>97921</v>
      </c>
      <c r="D2012" t="s">
        <v>549</v>
      </c>
      <c r="E2012" t="s">
        <v>420</v>
      </c>
      <c r="F2012" s="8" t="s">
        <v>591</v>
      </c>
      <c r="G2012" s="8" t="s">
        <v>591</v>
      </c>
      <c r="H2012" s="5">
        <f t="shared" si="63"/>
        <v>0</v>
      </c>
      <c r="I2012">
        <f>IFERROR(VLOOKUP(D2012,'LEAID Match'!$A$2:$B$251,2,FALSE),"")</f>
        <v>0</v>
      </c>
    </row>
    <row r="2013" spans="1:9" x14ac:dyDescent="0.2">
      <c r="A2013">
        <f t="shared" si="62"/>
        <v>0</v>
      </c>
      <c r="B2013" s="5">
        <v>2015</v>
      </c>
      <c r="C2013" s="1">
        <v>97922</v>
      </c>
      <c r="D2013" t="s">
        <v>475</v>
      </c>
      <c r="E2013" t="s">
        <v>475</v>
      </c>
      <c r="F2013" s="8" t="s">
        <v>591</v>
      </c>
      <c r="G2013" s="8">
        <v>44997</v>
      </c>
      <c r="H2013" s="5">
        <f t="shared" si="63"/>
        <v>44997</v>
      </c>
      <c r="I2013">
        <f>IFERROR(VLOOKUP(D2013,'LEAID Match'!$A$2:$B$251,2,FALSE),"")</f>
        <v>0</v>
      </c>
    </row>
    <row r="2014" spans="1:9" x14ac:dyDescent="0.2">
      <c r="A2014">
        <f t="shared" si="62"/>
        <v>0</v>
      </c>
      <c r="B2014" s="5">
        <v>2016</v>
      </c>
      <c r="C2014" s="1">
        <v>97922</v>
      </c>
      <c r="D2014" t="s">
        <v>475</v>
      </c>
      <c r="E2014" t="s">
        <v>203</v>
      </c>
      <c r="F2014" s="8">
        <v>6363</v>
      </c>
      <c r="G2014" s="8">
        <v>49291</v>
      </c>
      <c r="H2014" s="5">
        <f t="shared" si="63"/>
        <v>55654</v>
      </c>
      <c r="I2014">
        <f>IFERROR(VLOOKUP(D2014,'LEAID Match'!$A$2:$B$251,2,FALSE),"")</f>
        <v>0</v>
      </c>
    </row>
    <row r="2015" spans="1:9" x14ac:dyDescent="0.2">
      <c r="A2015">
        <f t="shared" si="62"/>
        <v>0</v>
      </c>
      <c r="B2015" s="5">
        <v>2017</v>
      </c>
      <c r="C2015" s="1">
        <v>97922</v>
      </c>
      <c r="D2015" t="s">
        <v>475</v>
      </c>
      <c r="E2015" t="s">
        <v>421</v>
      </c>
      <c r="F2015" s="8">
        <v>9280</v>
      </c>
      <c r="G2015" s="8">
        <v>46930</v>
      </c>
      <c r="H2015" s="5">
        <f t="shared" si="63"/>
        <v>56210</v>
      </c>
      <c r="I2015">
        <f>IFERROR(VLOOKUP(D2015,'LEAID Match'!$A$2:$B$251,2,FALSE),"")</f>
        <v>0</v>
      </c>
    </row>
    <row r="2016" spans="1:9" x14ac:dyDescent="0.2">
      <c r="A2016">
        <f t="shared" si="62"/>
        <v>0</v>
      </c>
      <c r="B2016" s="5">
        <v>2018</v>
      </c>
      <c r="C2016" s="1">
        <v>97922</v>
      </c>
      <c r="D2016" t="s">
        <v>475</v>
      </c>
      <c r="E2016" t="s">
        <v>475</v>
      </c>
      <c r="F2016" s="8" t="s">
        <v>591</v>
      </c>
      <c r="G2016" s="8" t="s">
        <v>591</v>
      </c>
      <c r="H2016" s="5">
        <f t="shared" si="63"/>
        <v>0</v>
      </c>
      <c r="I2016">
        <f>IFERROR(VLOOKUP(D2016,'LEAID Match'!$A$2:$B$251,2,FALSE),"")</f>
        <v>0</v>
      </c>
    </row>
    <row r="2017" spans="1:9" x14ac:dyDescent="0.2">
      <c r="A2017">
        <f t="shared" si="62"/>
        <v>0</v>
      </c>
      <c r="B2017" s="5">
        <v>2019</v>
      </c>
      <c r="C2017" s="1">
        <v>97922</v>
      </c>
      <c r="D2017" t="s">
        <v>475</v>
      </c>
      <c r="E2017" t="s">
        <v>495</v>
      </c>
      <c r="F2017" s="8" t="s">
        <v>591</v>
      </c>
      <c r="G2017" s="8" t="s">
        <v>591</v>
      </c>
      <c r="H2017" s="5">
        <f t="shared" si="63"/>
        <v>0</v>
      </c>
      <c r="I2017">
        <f>IFERROR(VLOOKUP(D2017,'LEAID Match'!$A$2:$B$251,2,FALSE),"")</f>
        <v>0</v>
      </c>
    </row>
    <row r="2018" spans="1:9" x14ac:dyDescent="0.2">
      <c r="A2018">
        <f t="shared" si="62"/>
        <v>0</v>
      </c>
      <c r="B2018" s="5">
        <v>2020</v>
      </c>
      <c r="C2018" s="1">
        <v>97922</v>
      </c>
      <c r="D2018" t="s">
        <v>475</v>
      </c>
      <c r="E2018" t="s">
        <v>421</v>
      </c>
      <c r="F2018" s="8" t="s">
        <v>591</v>
      </c>
      <c r="G2018" s="8" t="s">
        <v>591</v>
      </c>
      <c r="H2018" s="5">
        <f t="shared" si="63"/>
        <v>0</v>
      </c>
      <c r="I2018">
        <f>IFERROR(VLOOKUP(D2018,'LEAID Match'!$A$2:$B$251,2,FALSE),"")</f>
        <v>0</v>
      </c>
    </row>
    <row r="2019" spans="1:9" x14ac:dyDescent="0.2">
      <c r="A2019">
        <f t="shared" si="62"/>
        <v>0</v>
      </c>
      <c r="B2019" s="5">
        <v>2021</v>
      </c>
      <c r="C2019" s="1">
        <v>97922</v>
      </c>
      <c r="D2019" t="s">
        <v>475</v>
      </c>
      <c r="E2019" t="s">
        <v>421</v>
      </c>
      <c r="F2019" s="8" t="s">
        <v>591</v>
      </c>
      <c r="G2019" s="8" t="s">
        <v>591</v>
      </c>
      <c r="H2019" s="5">
        <f t="shared" si="63"/>
        <v>0</v>
      </c>
      <c r="I2019">
        <f>IFERROR(VLOOKUP(D2019,'LEAID Match'!$A$2:$B$251,2,FALSE),"")</f>
        <v>0</v>
      </c>
    </row>
    <row r="2020" spans="1:9" x14ac:dyDescent="0.2">
      <c r="A2020">
        <f t="shared" si="62"/>
        <v>0</v>
      </c>
      <c r="B2020" s="5">
        <v>2022</v>
      </c>
      <c r="C2020" s="1">
        <v>97922</v>
      </c>
      <c r="D2020" t="s">
        <v>475</v>
      </c>
      <c r="E2020" t="s">
        <v>421</v>
      </c>
      <c r="F2020" s="8" t="s">
        <v>591</v>
      </c>
      <c r="G2020" s="8" t="s">
        <v>591</v>
      </c>
      <c r="H2020" s="5">
        <f t="shared" si="63"/>
        <v>0</v>
      </c>
      <c r="I2020">
        <f>IFERROR(VLOOKUP(D2020,'LEAID Match'!$A$2:$B$251,2,FALSE),"")</f>
        <v>0</v>
      </c>
    </row>
    <row r="2021" spans="1:9" x14ac:dyDescent="0.2">
      <c r="A2021">
        <f t="shared" si="62"/>
        <v>0</v>
      </c>
      <c r="B2021" s="5">
        <v>2023</v>
      </c>
      <c r="C2021" s="1">
        <v>97922</v>
      </c>
      <c r="D2021" t="s">
        <v>475</v>
      </c>
      <c r="E2021" t="s">
        <v>522</v>
      </c>
      <c r="F2021" s="8" t="s">
        <v>591</v>
      </c>
      <c r="G2021" s="8" t="s">
        <v>591</v>
      </c>
      <c r="H2021" s="5">
        <f t="shared" si="63"/>
        <v>0</v>
      </c>
      <c r="I2021">
        <f>IFERROR(VLOOKUP(D2021,'LEAID Match'!$A$2:$B$251,2,FALSE),"")</f>
        <v>0</v>
      </c>
    </row>
    <row r="2022" spans="1:9" x14ac:dyDescent="0.2">
      <c r="A2022">
        <f t="shared" si="62"/>
        <v>0</v>
      </c>
      <c r="B2022" s="5">
        <v>2015</v>
      </c>
      <c r="C2022" s="1">
        <v>97925</v>
      </c>
      <c r="D2022" t="s">
        <v>477</v>
      </c>
      <c r="E2022" t="s">
        <v>477</v>
      </c>
      <c r="F2022" s="8" t="s">
        <v>591</v>
      </c>
      <c r="G2022" s="8">
        <v>12325</v>
      </c>
      <c r="H2022" s="5">
        <f t="shared" si="63"/>
        <v>12325</v>
      </c>
      <c r="I2022">
        <f>IFERROR(VLOOKUP(D2022,'LEAID Match'!$A$2:$B$251,2,FALSE),"")</f>
        <v>0</v>
      </c>
    </row>
    <row r="2023" spans="1:9" x14ac:dyDescent="0.2">
      <c r="A2023">
        <f t="shared" si="62"/>
        <v>0</v>
      </c>
      <c r="B2023" s="5">
        <v>2016</v>
      </c>
      <c r="C2023" s="1">
        <v>97925</v>
      </c>
      <c r="D2023" t="s">
        <v>477</v>
      </c>
      <c r="E2023" t="s">
        <v>205</v>
      </c>
      <c r="F2023" s="8">
        <v>9768</v>
      </c>
      <c r="G2023" s="8">
        <v>28164</v>
      </c>
      <c r="H2023" s="5">
        <f t="shared" si="63"/>
        <v>37932</v>
      </c>
      <c r="I2023">
        <f>IFERROR(VLOOKUP(D2023,'LEAID Match'!$A$2:$B$251,2,FALSE),"")</f>
        <v>0</v>
      </c>
    </row>
    <row r="2024" spans="1:9" x14ac:dyDescent="0.2">
      <c r="A2024">
        <f t="shared" si="62"/>
        <v>0</v>
      </c>
      <c r="B2024" s="5">
        <v>2017</v>
      </c>
      <c r="C2024" s="1">
        <v>97925</v>
      </c>
      <c r="D2024" t="s">
        <v>477</v>
      </c>
      <c r="E2024" t="s">
        <v>423</v>
      </c>
      <c r="F2024" s="8">
        <v>10364</v>
      </c>
      <c r="G2024" s="8">
        <v>44014</v>
      </c>
      <c r="H2024" s="5">
        <f t="shared" si="63"/>
        <v>54378</v>
      </c>
      <c r="I2024">
        <f>IFERROR(VLOOKUP(D2024,'LEAID Match'!$A$2:$B$251,2,FALSE),"")</f>
        <v>0</v>
      </c>
    </row>
    <row r="2025" spans="1:9" x14ac:dyDescent="0.2">
      <c r="A2025">
        <f t="shared" si="62"/>
        <v>0</v>
      </c>
      <c r="B2025" s="5">
        <v>2018</v>
      </c>
      <c r="C2025" s="1">
        <v>97925</v>
      </c>
      <c r="D2025" t="s">
        <v>477</v>
      </c>
      <c r="E2025" t="s">
        <v>477</v>
      </c>
      <c r="F2025" s="8" t="s">
        <v>591</v>
      </c>
      <c r="G2025" s="8" t="s">
        <v>591</v>
      </c>
      <c r="H2025" s="5">
        <f t="shared" si="63"/>
        <v>0</v>
      </c>
      <c r="I2025">
        <f>IFERROR(VLOOKUP(D2025,'LEAID Match'!$A$2:$B$251,2,FALSE),"")</f>
        <v>0</v>
      </c>
    </row>
    <row r="2026" spans="1:9" x14ac:dyDescent="0.2">
      <c r="A2026">
        <f t="shared" si="62"/>
        <v>0</v>
      </c>
      <c r="B2026" s="5">
        <v>2019</v>
      </c>
      <c r="C2026" s="1">
        <v>97925</v>
      </c>
      <c r="D2026" t="s">
        <v>477</v>
      </c>
      <c r="E2026" t="s">
        <v>587</v>
      </c>
      <c r="F2026" s="8" t="s">
        <v>591</v>
      </c>
      <c r="G2026" s="8" t="s">
        <v>591</v>
      </c>
      <c r="H2026" s="5">
        <f t="shared" si="63"/>
        <v>0</v>
      </c>
      <c r="I2026">
        <f>IFERROR(VLOOKUP(D2026,'LEAID Match'!$A$2:$B$251,2,FALSE),"")</f>
        <v>0</v>
      </c>
    </row>
    <row r="2027" spans="1:9" x14ac:dyDescent="0.2">
      <c r="A2027">
        <f t="shared" si="62"/>
        <v>0</v>
      </c>
      <c r="B2027" s="5">
        <v>2020</v>
      </c>
      <c r="C2027" s="1">
        <v>97925</v>
      </c>
      <c r="D2027" t="s">
        <v>477</v>
      </c>
      <c r="E2027" t="s">
        <v>423</v>
      </c>
      <c r="F2027" s="8" t="s">
        <v>591</v>
      </c>
      <c r="G2027" s="8" t="s">
        <v>591</v>
      </c>
      <c r="H2027" s="5">
        <f t="shared" si="63"/>
        <v>0</v>
      </c>
      <c r="I2027">
        <f>IFERROR(VLOOKUP(D2027,'LEAID Match'!$A$2:$B$251,2,FALSE),"")</f>
        <v>0</v>
      </c>
    </row>
    <row r="2028" spans="1:9" x14ac:dyDescent="0.2">
      <c r="A2028">
        <f t="shared" si="62"/>
        <v>0</v>
      </c>
      <c r="B2028" s="5">
        <v>2021</v>
      </c>
      <c r="C2028" s="1">
        <v>97925</v>
      </c>
      <c r="D2028" t="s">
        <v>477</v>
      </c>
      <c r="E2028" t="s">
        <v>423</v>
      </c>
      <c r="F2028" s="8" t="s">
        <v>591</v>
      </c>
      <c r="G2028" s="8" t="s">
        <v>591</v>
      </c>
      <c r="H2028" s="5">
        <f t="shared" si="63"/>
        <v>0</v>
      </c>
      <c r="I2028">
        <f>IFERROR(VLOOKUP(D2028,'LEAID Match'!$A$2:$B$251,2,FALSE),"")</f>
        <v>0</v>
      </c>
    </row>
    <row r="2029" spans="1:9" x14ac:dyDescent="0.2">
      <c r="A2029">
        <f t="shared" si="62"/>
        <v>0</v>
      </c>
      <c r="B2029" s="5">
        <v>2022</v>
      </c>
      <c r="C2029" s="1">
        <v>97925</v>
      </c>
      <c r="D2029" t="s">
        <v>477</v>
      </c>
      <c r="E2029" t="s">
        <v>423</v>
      </c>
      <c r="F2029" s="8" t="s">
        <v>591</v>
      </c>
      <c r="G2029" s="8" t="s">
        <v>591</v>
      </c>
      <c r="H2029" s="5">
        <f t="shared" si="63"/>
        <v>0</v>
      </c>
      <c r="I2029">
        <f>IFERROR(VLOOKUP(D2029,'LEAID Match'!$A$2:$B$251,2,FALSE),"")</f>
        <v>0</v>
      </c>
    </row>
    <row r="2030" spans="1:9" x14ac:dyDescent="0.2">
      <c r="A2030">
        <f t="shared" si="62"/>
        <v>0</v>
      </c>
      <c r="B2030" s="5">
        <v>2023</v>
      </c>
      <c r="C2030" s="1">
        <v>97925</v>
      </c>
      <c r="D2030" t="s">
        <v>477</v>
      </c>
      <c r="E2030" t="s">
        <v>525</v>
      </c>
      <c r="F2030" s="8" t="s">
        <v>591</v>
      </c>
      <c r="G2030" s="8" t="s">
        <v>591</v>
      </c>
      <c r="H2030" s="5">
        <f t="shared" si="63"/>
        <v>0</v>
      </c>
      <c r="I2030">
        <f>IFERROR(VLOOKUP(D2030,'LEAID Match'!$A$2:$B$251,2,FALSE),"")</f>
        <v>0</v>
      </c>
    </row>
    <row r="2031" spans="1:9" x14ac:dyDescent="0.2">
      <c r="A2031">
        <f t="shared" si="62"/>
        <v>0</v>
      </c>
      <c r="B2031" s="5">
        <v>2015</v>
      </c>
      <c r="C2031" s="1">
        <v>97924</v>
      </c>
      <c r="D2031" t="s">
        <v>478</v>
      </c>
      <c r="E2031" t="s">
        <v>478</v>
      </c>
      <c r="F2031" s="8" t="s">
        <v>591</v>
      </c>
      <c r="G2031" s="8">
        <v>25568</v>
      </c>
      <c r="H2031" s="5">
        <f t="shared" si="63"/>
        <v>25568</v>
      </c>
      <c r="I2031">
        <f>IFERROR(VLOOKUP(D2031,'LEAID Match'!$A$2:$B$251,2,FALSE),"")</f>
        <v>0</v>
      </c>
    </row>
    <row r="2032" spans="1:9" x14ac:dyDescent="0.2">
      <c r="A2032">
        <f t="shared" si="62"/>
        <v>0</v>
      </c>
      <c r="B2032" s="5">
        <v>2016</v>
      </c>
      <c r="C2032" s="1">
        <v>97924</v>
      </c>
      <c r="D2032" t="s">
        <v>478</v>
      </c>
      <c r="E2032" t="s">
        <v>206</v>
      </c>
      <c r="F2032" s="8">
        <v>7260</v>
      </c>
      <c r="G2032" s="8">
        <v>39720</v>
      </c>
      <c r="H2032" s="5">
        <f t="shared" si="63"/>
        <v>46980</v>
      </c>
      <c r="I2032">
        <f>IFERROR(VLOOKUP(D2032,'LEAID Match'!$A$2:$B$251,2,FALSE),"")</f>
        <v>0</v>
      </c>
    </row>
    <row r="2033" spans="1:9" x14ac:dyDescent="0.2">
      <c r="A2033">
        <f t="shared" si="62"/>
        <v>0</v>
      </c>
      <c r="B2033" s="5">
        <v>2017</v>
      </c>
      <c r="C2033" s="1">
        <v>97924</v>
      </c>
      <c r="D2033" t="s">
        <v>478</v>
      </c>
      <c r="E2033" t="s">
        <v>424</v>
      </c>
      <c r="F2033" s="8">
        <v>10847</v>
      </c>
      <c r="G2033" s="8">
        <v>29870</v>
      </c>
      <c r="H2033" s="5">
        <f t="shared" si="63"/>
        <v>40717</v>
      </c>
      <c r="I2033">
        <f>IFERROR(VLOOKUP(D2033,'LEAID Match'!$A$2:$B$251,2,FALSE),"")</f>
        <v>0</v>
      </c>
    </row>
    <row r="2034" spans="1:9" x14ac:dyDescent="0.2">
      <c r="A2034">
        <f t="shared" si="62"/>
        <v>0</v>
      </c>
      <c r="B2034" s="5">
        <v>2018</v>
      </c>
      <c r="C2034" s="1">
        <v>97924</v>
      </c>
      <c r="D2034" t="s">
        <v>478</v>
      </c>
      <c r="E2034" t="s">
        <v>478</v>
      </c>
      <c r="F2034" s="8" t="s">
        <v>591</v>
      </c>
      <c r="G2034" s="8" t="s">
        <v>591</v>
      </c>
      <c r="H2034" s="5">
        <f t="shared" si="63"/>
        <v>0</v>
      </c>
      <c r="I2034">
        <f>IFERROR(VLOOKUP(D2034,'LEAID Match'!$A$2:$B$251,2,FALSE),"")</f>
        <v>0</v>
      </c>
    </row>
    <row r="2035" spans="1:9" x14ac:dyDescent="0.2">
      <c r="A2035">
        <f t="shared" si="62"/>
        <v>0</v>
      </c>
      <c r="B2035" s="5">
        <v>2019</v>
      </c>
      <c r="C2035" s="1">
        <v>97924</v>
      </c>
      <c r="D2035" t="s">
        <v>478</v>
      </c>
      <c r="E2035" t="s">
        <v>424</v>
      </c>
      <c r="F2035" s="8" t="s">
        <v>591</v>
      </c>
      <c r="G2035" s="8" t="s">
        <v>591</v>
      </c>
      <c r="H2035" s="5">
        <f t="shared" si="63"/>
        <v>0</v>
      </c>
      <c r="I2035">
        <f>IFERROR(VLOOKUP(D2035,'LEAID Match'!$A$2:$B$251,2,FALSE),"")</f>
        <v>0</v>
      </c>
    </row>
    <row r="2036" spans="1:9" x14ac:dyDescent="0.2">
      <c r="A2036">
        <f t="shared" si="62"/>
        <v>0</v>
      </c>
      <c r="B2036" s="5">
        <v>2020</v>
      </c>
      <c r="C2036" s="1">
        <v>97924</v>
      </c>
      <c r="D2036" t="s">
        <v>478</v>
      </c>
      <c r="E2036" t="s">
        <v>424</v>
      </c>
      <c r="F2036" s="8" t="s">
        <v>591</v>
      </c>
      <c r="G2036" s="8" t="s">
        <v>591</v>
      </c>
      <c r="H2036" s="5">
        <f t="shared" si="63"/>
        <v>0</v>
      </c>
      <c r="I2036">
        <f>IFERROR(VLOOKUP(D2036,'LEAID Match'!$A$2:$B$251,2,FALSE),"")</f>
        <v>0</v>
      </c>
    </row>
    <row r="2037" spans="1:9" x14ac:dyDescent="0.2">
      <c r="A2037">
        <f t="shared" si="62"/>
        <v>0</v>
      </c>
      <c r="B2037" s="5">
        <v>2021</v>
      </c>
      <c r="C2037" s="1">
        <v>97924</v>
      </c>
      <c r="D2037" t="s">
        <v>478</v>
      </c>
      <c r="E2037" t="s">
        <v>424</v>
      </c>
      <c r="F2037" s="8" t="s">
        <v>591</v>
      </c>
      <c r="G2037" s="8" t="s">
        <v>591</v>
      </c>
      <c r="H2037" s="5">
        <f t="shared" si="63"/>
        <v>0</v>
      </c>
      <c r="I2037">
        <f>IFERROR(VLOOKUP(D2037,'LEAID Match'!$A$2:$B$251,2,FALSE),"")</f>
        <v>0</v>
      </c>
    </row>
    <row r="2038" spans="1:9" x14ac:dyDescent="0.2">
      <c r="A2038">
        <f t="shared" si="62"/>
        <v>0</v>
      </c>
      <c r="B2038" s="5">
        <v>2022</v>
      </c>
      <c r="C2038" s="1">
        <v>97924</v>
      </c>
      <c r="D2038" t="s">
        <v>478</v>
      </c>
      <c r="E2038" t="s">
        <v>424</v>
      </c>
      <c r="F2038" s="8" t="s">
        <v>591</v>
      </c>
      <c r="G2038" s="8" t="s">
        <v>591</v>
      </c>
      <c r="H2038" s="5">
        <f t="shared" si="63"/>
        <v>0</v>
      </c>
      <c r="I2038">
        <f>IFERROR(VLOOKUP(D2038,'LEAID Match'!$A$2:$B$251,2,FALSE),"")</f>
        <v>0</v>
      </c>
    </row>
    <row r="2039" spans="1:9" x14ac:dyDescent="0.2">
      <c r="A2039">
        <f t="shared" si="62"/>
        <v>0</v>
      </c>
      <c r="B2039" s="5">
        <v>2023</v>
      </c>
      <c r="C2039" s="1">
        <v>97924</v>
      </c>
      <c r="D2039" t="s">
        <v>478</v>
      </c>
      <c r="E2039" t="s">
        <v>524</v>
      </c>
      <c r="F2039" s="8" t="s">
        <v>591</v>
      </c>
      <c r="G2039" s="8" t="s">
        <v>591</v>
      </c>
      <c r="H2039" s="5">
        <f t="shared" si="63"/>
        <v>0</v>
      </c>
      <c r="I2039">
        <f>IFERROR(VLOOKUP(D2039,'LEAID Match'!$A$2:$B$251,2,FALSE),"")</f>
        <v>0</v>
      </c>
    </row>
    <row r="2040" spans="1:9" x14ac:dyDescent="0.2">
      <c r="A2040">
        <f t="shared" si="62"/>
        <v>0</v>
      </c>
      <c r="B2040" s="5">
        <v>2015</v>
      </c>
      <c r="C2040" s="1">
        <v>97923</v>
      </c>
      <c r="D2040" t="s">
        <v>523</v>
      </c>
      <c r="E2040" t="s">
        <v>476</v>
      </c>
      <c r="F2040" s="8">
        <v>183</v>
      </c>
      <c r="G2040" s="8">
        <v>5786</v>
      </c>
      <c r="H2040" s="5">
        <f t="shared" si="63"/>
        <v>5969</v>
      </c>
      <c r="I2040">
        <f>IFERROR(VLOOKUP(D2040,'LEAID Match'!$A$2:$B$251,2,FALSE),"")</f>
        <v>0</v>
      </c>
    </row>
    <row r="2041" spans="1:9" x14ac:dyDescent="0.2">
      <c r="A2041">
        <f t="shared" si="62"/>
        <v>0</v>
      </c>
      <c r="B2041" s="5">
        <v>2016</v>
      </c>
      <c r="C2041" s="1">
        <v>97923</v>
      </c>
      <c r="D2041" t="s">
        <v>523</v>
      </c>
      <c r="E2041" t="s">
        <v>204</v>
      </c>
      <c r="F2041" s="8">
        <v>6899</v>
      </c>
      <c r="G2041" s="8">
        <v>37643</v>
      </c>
      <c r="H2041" s="5">
        <f t="shared" si="63"/>
        <v>44542</v>
      </c>
      <c r="I2041">
        <f>IFERROR(VLOOKUP(D2041,'LEAID Match'!$A$2:$B$251,2,FALSE),"")</f>
        <v>0</v>
      </c>
    </row>
    <row r="2042" spans="1:9" x14ac:dyDescent="0.2">
      <c r="A2042">
        <f t="shared" si="62"/>
        <v>0</v>
      </c>
      <c r="B2042" s="5">
        <v>2017</v>
      </c>
      <c r="C2042" s="1">
        <v>97923</v>
      </c>
      <c r="D2042" t="s">
        <v>523</v>
      </c>
      <c r="E2042" t="s">
        <v>422</v>
      </c>
      <c r="F2042" s="8">
        <v>8848</v>
      </c>
      <c r="G2042" s="8">
        <v>36027</v>
      </c>
      <c r="H2042" s="5">
        <f t="shared" si="63"/>
        <v>44875</v>
      </c>
      <c r="I2042">
        <f>IFERROR(VLOOKUP(D2042,'LEAID Match'!$A$2:$B$251,2,FALSE),"")</f>
        <v>0</v>
      </c>
    </row>
    <row r="2043" spans="1:9" x14ac:dyDescent="0.2">
      <c r="A2043">
        <f t="shared" si="62"/>
        <v>0</v>
      </c>
      <c r="B2043" s="5">
        <v>2018</v>
      </c>
      <c r="C2043" s="1">
        <v>97923</v>
      </c>
      <c r="D2043" t="s">
        <v>523</v>
      </c>
      <c r="E2043" t="s">
        <v>476</v>
      </c>
      <c r="F2043" s="8" t="s">
        <v>591</v>
      </c>
      <c r="G2043" s="8" t="s">
        <v>591</v>
      </c>
      <c r="H2043" s="5">
        <f t="shared" si="63"/>
        <v>0</v>
      </c>
      <c r="I2043">
        <f>IFERROR(VLOOKUP(D2043,'LEAID Match'!$A$2:$B$251,2,FALSE),"")</f>
        <v>0</v>
      </c>
    </row>
    <row r="2044" spans="1:9" x14ac:dyDescent="0.2">
      <c r="A2044">
        <f t="shared" si="62"/>
        <v>0</v>
      </c>
      <c r="B2044" s="5">
        <v>2019</v>
      </c>
      <c r="C2044" s="1">
        <v>97923</v>
      </c>
      <c r="D2044" t="s">
        <v>523</v>
      </c>
      <c r="E2044" t="s">
        <v>422</v>
      </c>
      <c r="F2044" s="8" t="s">
        <v>591</v>
      </c>
      <c r="G2044" s="8" t="s">
        <v>591</v>
      </c>
      <c r="H2044" s="5">
        <f t="shared" si="63"/>
        <v>0</v>
      </c>
      <c r="I2044">
        <f>IFERROR(VLOOKUP(D2044,'LEAID Match'!$A$2:$B$251,2,FALSE),"")</f>
        <v>0</v>
      </c>
    </row>
    <row r="2045" spans="1:9" x14ac:dyDescent="0.2">
      <c r="A2045">
        <f t="shared" si="62"/>
        <v>0</v>
      </c>
      <c r="B2045" s="5">
        <v>2020</v>
      </c>
      <c r="C2045" s="1">
        <v>97923</v>
      </c>
      <c r="D2045" t="s">
        <v>523</v>
      </c>
      <c r="E2045" t="s">
        <v>422</v>
      </c>
      <c r="F2045" s="8" t="s">
        <v>591</v>
      </c>
      <c r="G2045" s="8" t="s">
        <v>591</v>
      </c>
      <c r="H2045" s="5">
        <f t="shared" si="63"/>
        <v>0</v>
      </c>
      <c r="I2045">
        <f>IFERROR(VLOOKUP(D2045,'LEAID Match'!$A$2:$B$251,2,FALSE),"")</f>
        <v>0</v>
      </c>
    </row>
    <row r="2046" spans="1:9" x14ac:dyDescent="0.2">
      <c r="A2046">
        <f t="shared" si="62"/>
        <v>0</v>
      </c>
      <c r="B2046" s="5">
        <v>2021</v>
      </c>
      <c r="C2046" s="1">
        <v>97923</v>
      </c>
      <c r="D2046" t="s">
        <v>523</v>
      </c>
      <c r="E2046" t="s">
        <v>422</v>
      </c>
      <c r="F2046" s="8" t="s">
        <v>591</v>
      </c>
      <c r="G2046" s="8" t="s">
        <v>591</v>
      </c>
      <c r="H2046" s="5">
        <f t="shared" si="63"/>
        <v>0</v>
      </c>
      <c r="I2046">
        <f>IFERROR(VLOOKUP(D2046,'LEAID Match'!$A$2:$B$251,2,FALSE),"")</f>
        <v>0</v>
      </c>
    </row>
    <row r="2047" spans="1:9" x14ac:dyDescent="0.2">
      <c r="A2047">
        <f t="shared" si="62"/>
        <v>0</v>
      </c>
      <c r="B2047" s="5">
        <v>2022</v>
      </c>
      <c r="C2047" s="1">
        <v>97923</v>
      </c>
      <c r="D2047" t="s">
        <v>523</v>
      </c>
      <c r="E2047" t="s">
        <v>422</v>
      </c>
      <c r="F2047" s="8" t="s">
        <v>591</v>
      </c>
      <c r="G2047" s="8" t="s">
        <v>591</v>
      </c>
      <c r="H2047" s="5">
        <f t="shared" si="63"/>
        <v>0</v>
      </c>
      <c r="I2047">
        <f>IFERROR(VLOOKUP(D2047,'LEAID Match'!$A$2:$B$251,2,FALSE),"")</f>
        <v>0</v>
      </c>
    </row>
    <row r="2048" spans="1:9" x14ac:dyDescent="0.2">
      <c r="A2048">
        <f t="shared" si="62"/>
        <v>0</v>
      </c>
      <c r="B2048" s="5">
        <v>2023</v>
      </c>
      <c r="C2048" s="1">
        <v>97923</v>
      </c>
      <c r="D2048" t="s">
        <v>523</v>
      </c>
      <c r="E2048" t="s">
        <v>523</v>
      </c>
      <c r="F2048" s="8" t="s">
        <v>591</v>
      </c>
      <c r="G2048" s="8" t="s">
        <v>591</v>
      </c>
      <c r="H2048" s="5">
        <f t="shared" si="63"/>
        <v>0</v>
      </c>
      <c r="I2048">
        <f>IFERROR(VLOOKUP(D2048,'LEAID Match'!$A$2:$B$251,2,FALSE),"")</f>
        <v>0</v>
      </c>
    </row>
    <row r="2049" spans="1:9" x14ac:dyDescent="0.2">
      <c r="A2049">
        <f t="shared" si="62"/>
        <v>4704350</v>
      </c>
      <c r="B2049" s="5">
        <v>2015</v>
      </c>
      <c r="C2049" s="1">
        <v>99089</v>
      </c>
      <c r="D2049" t="s">
        <v>425</v>
      </c>
      <c r="E2049" t="s">
        <v>170</v>
      </c>
      <c r="F2049" s="8">
        <v>42552</v>
      </c>
      <c r="G2049" s="8">
        <v>2170006</v>
      </c>
      <c r="H2049" s="5">
        <f t="shared" si="63"/>
        <v>2212558</v>
      </c>
      <c r="I2049">
        <f>IFERROR(VLOOKUP(D2049,'LEAID Match'!$A$2:$B$251,2,FALSE),"")</f>
        <v>4704350</v>
      </c>
    </row>
    <row r="2050" spans="1:9" x14ac:dyDescent="0.2">
      <c r="A2050">
        <f t="shared" si="62"/>
        <v>4704350</v>
      </c>
      <c r="B2050" s="5">
        <v>2016</v>
      </c>
      <c r="C2050" s="1">
        <v>99089</v>
      </c>
      <c r="D2050" t="s">
        <v>425</v>
      </c>
      <c r="E2050" t="s">
        <v>170</v>
      </c>
      <c r="F2050" s="8">
        <v>88822</v>
      </c>
      <c r="G2050" s="8">
        <v>2146740</v>
      </c>
      <c r="H2050" s="5">
        <f t="shared" si="63"/>
        <v>2235562</v>
      </c>
      <c r="I2050">
        <f>IFERROR(VLOOKUP(D2050,'LEAID Match'!$A$2:$B$251,2,FALSE),"")</f>
        <v>4704350</v>
      </c>
    </row>
    <row r="2051" spans="1:9" x14ac:dyDescent="0.2">
      <c r="A2051">
        <f t="shared" ref="A2051:A2114" si="64">I2051</f>
        <v>4704350</v>
      </c>
      <c r="B2051" s="5">
        <v>2017</v>
      </c>
      <c r="C2051" s="1">
        <v>99089</v>
      </c>
      <c r="D2051" t="s">
        <v>425</v>
      </c>
      <c r="E2051" t="s">
        <v>425</v>
      </c>
      <c r="F2051" s="8">
        <v>113276</v>
      </c>
      <c r="G2051" s="8">
        <v>2103076</v>
      </c>
      <c r="H2051" s="5">
        <f t="shared" ref="H2051:H2114" si="65">SUM(F2051:G2051)</f>
        <v>2216352</v>
      </c>
      <c r="I2051">
        <f>IFERROR(VLOOKUP(D2051,'LEAID Match'!$A$2:$B$251,2,FALSE),"")</f>
        <v>4704350</v>
      </c>
    </row>
    <row r="2052" spans="1:9" x14ac:dyDescent="0.2">
      <c r="A2052">
        <f t="shared" si="64"/>
        <v>4704350</v>
      </c>
      <c r="B2052" s="5">
        <v>2018</v>
      </c>
      <c r="C2052" s="1">
        <v>99089</v>
      </c>
      <c r="D2052" t="s">
        <v>425</v>
      </c>
      <c r="E2052" t="s">
        <v>170</v>
      </c>
      <c r="F2052" s="8">
        <v>151822</v>
      </c>
      <c r="G2052" s="8">
        <v>2078650</v>
      </c>
      <c r="H2052" s="5">
        <f t="shared" si="65"/>
        <v>2230472</v>
      </c>
      <c r="I2052">
        <f>IFERROR(VLOOKUP(D2052,'LEAID Match'!$A$2:$B$251,2,FALSE),"")</f>
        <v>4704350</v>
      </c>
    </row>
    <row r="2053" spans="1:9" x14ac:dyDescent="0.2">
      <c r="A2053">
        <f t="shared" si="64"/>
        <v>4704350</v>
      </c>
      <c r="B2053" s="5">
        <v>2019</v>
      </c>
      <c r="C2053" s="1">
        <v>99089</v>
      </c>
      <c r="D2053" t="s">
        <v>425</v>
      </c>
      <c r="E2053" t="s">
        <v>425</v>
      </c>
      <c r="F2053" s="8">
        <v>85323</v>
      </c>
      <c r="G2053" s="8">
        <v>2332520</v>
      </c>
      <c r="H2053" s="5">
        <f t="shared" si="65"/>
        <v>2417843</v>
      </c>
      <c r="I2053">
        <f>IFERROR(VLOOKUP(D2053,'LEAID Match'!$A$2:$B$251,2,FALSE),"")</f>
        <v>4704350</v>
      </c>
    </row>
    <row r="2054" spans="1:9" x14ac:dyDescent="0.2">
      <c r="A2054">
        <f t="shared" si="64"/>
        <v>4704350</v>
      </c>
      <c r="B2054" s="5">
        <v>2020</v>
      </c>
      <c r="C2054" s="1">
        <v>99089</v>
      </c>
      <c r="D2054" t="s">
        <v>425</v>
      </c>
      <c r="E2054" t="s">
        <v>425</v>
      </c>
      <c r="F2054" s="8">
        <v>107967</v>
      </c>
      <c r="G2054" s="8">
        <v>2432453</v>
      </c>
      <c r="H2054" s="5">
        <f t="shared" si="65"/>
        <v>2540420</v>
      </c>
      <c r="I2054">
        <f>IFERROR(VLOOKUP(D2054,'LEAID Match'!$A$2:$B$251,2,FALSE),"")</f>
        <v>4704350</v>
      </c>
    </row>
    <row r="2055" spans="1:9" x14ac:dyDescent="0.2">
      <c r="A2055">
        <f t="shared" si="64"/>
        <v>4704350</v>
      </c>
      <c r="B2055" s="5">
        <v>2021</v>
      </c>
      <c r="C2055" s="1">
        <v>99089</v>
      </c>
      <c r="D2055" t="s">
        <v>425</v>
      </c>
      <c r="E2055" t="s">
        <v>425</v>
      </c>
      <c r="F2055" s="8">
        <v>125917</v>
      </c>
      <c r="G2055" s="8">
        <v>2332270</v>
      </c>
      <c r="H2055" s="5">
        <f t="shared" si="65"/>
        <v>2458187</v>
      </c>
      <c r="I2055">
        <f>IFERROR(VLOOKUP(D2055,'LEAID Match'!$A$2:$B$251,2,FALSE),"")</f>
        <v>4704350</v>
      </c>
    </row>
    <row r="2056" spans="1:9" x14ac:dyDescent="0.2">
      <c r="A2056">
        <f t="shared" si="64"/>
        <v>4704350</v>
      </c>
      <c r="B2056" s="5">
        <v>2022</v>
      </c>
      <c r="C2056" s="1">
        <v>99089</v>
      </c>
      <c r="D2056" t="s">
        <v>425</v>
      </c>
      <c r="E2056" t="s">
        <v>425</v>
      </c>
      <c r="F2056" s="8">
        <v>145435.06</v>
      </c>
      <c r="G2056" s="8">
        <v>2238037.75</v>
      </c>
      <c r="H2056" s="5">
        <f t="shared" si="65"/>
        <v>2383472.81</v>
      </c>
      <c r="I2056">
        <f>IFERROR(VLOOKUP(D2056,'LEAID Match'!$A$2:$B$251,2,FALSE),"")</f>
        <v>4704350</v>
      </c>
    </row>
    <row r="2057" spans="1:9" x14ac:dyDescent="0.2">
      <c r="A2057">
        <f t="shared" si="64"/>
        <v>4704350</v>
      </c>
      <c r="B2057" s="5">
        <v>2023</v>
      </c>
      <c r="C2057" s="1">
        <v>99089</v>
      </c>
      <c r="D2057" t="s">
        <v>425</v>
      </c>
      <c r="E2057" t="s">
        <v>425</v>
      </c>
      <c r="F2057" s="8">
        <v>227730.51</v>
      </c>
      <c r="G2057" s="8">
        <v>1831779.59</v>
      </c>
      <c r="H2057" s="5">
        <f t="shared" si="65"/>
        <v>2059510.1</v>
      </c>
      <c r="I2057">
        <f>IFERROR(VLOOKUP(D2057,'LEAID Match'!$A$2:$B$251,2,FALSE),"")</f>
        <v>4704350</v>
      </c>
    </row>
    <row r="2058" spans="1:9" x14ac:dyDescent="0.2">
      <c r="A2058">
        <f t="shared" si="64"/>
        <v>4704380</v>
      </c>
      <c r="B2058" s="5">
        <v>2015</v>
      </c>
      <c r="C2058" s="1">
        <v>99090</v>
      </c>
      <c r="D2058" t="s">
        <v>426</v>
      </c>
      <c r="E2058" t="s">
        <v>171</v>
      </c>
      <c r="F2058" s="8">
        <v>44103</v>
      </c>
      <c r="G2058" s="8">
        <v>2590548</v>
      </c>
      <c r="H2058" s="5">
        <f t="shared" si="65"/>
        <v>2634651</v>
      </c>
      <c r="I2058">
        <f>IFERROR(VLOOKUP(D2058,'LEAID Match'!$A$2:$B$251,2,FALSE),"")</f>
        <v>4704380</v>
      </c>
    </row>
    <row r="2059" spans="1:9" x14ac:dyDescent="0.2">
      <c r="A2059">
        <f t="shared" si="64"/>
        <v>4704380</v>
      </c>
      <c r="B2059" s="5">
        <v>2016</v>
      </c>
      <c r="C2059" s="1">
        <v>99090</v>
      </c>
      <c r="D2059" t="s">
        <v>426</v>
      </c>
      <c r="E2059" t="s">
        <v>171</v>
      </c>
      <c r="F2059" s="8">
        <v>78777</v>
      </c>
      <c r="G2059" s="8">
        <v>2534123</v>
      </c>
      <c r="H2059" s="5">
        <f t="shared" si="65"/>
        <v>2612900</v>
      </c>
      <c r="I2059">
        <f>IFERROR(VLOOKUP(D2059,'LEAID Match'!$A$2:$B$251,2,FALSE),"")</f>
        <v>4704380</v>
      </c>
    </row>
    <row r="2060" spans="1:9" x14ac:dyDescent="0.2">
      <c r="A2060">
        <f t="shared" si="64"/>
        <v>4704380</v>
      </c>
      <c r="B2060" s="5">
        <v>2017</v>
      </c>
      <c r="C2060" s="1">
        <v>99090</v>
      </c>
      <c r="D2060" t="s">
        <v>426</v>
      </c>
      <c r="E2060" t="s">
        <v>426</v>
      </c>
      <c r="F2060" s="8">
        <v>117903</v>
      </c>
      <c r="G2060" s="8">
        <v>2535337</v>
      </c>
      <c r="H2060" s="5">
        <f t="shared" si="65"/>
        <v>2653240</v>
      </c>
      <c r="I2060">
        <f>IFERROR(VLOOKUP(D2060,'LEAID Match'!$A$2:$B$251,2,FALSE),"")</f>
        <v>4704380</v>
      </c>
    </row>
    <row r="2061" spans="1:9" x14ac:dyDescent="0.2">
      <c r="A2061">
        <f t="shared" si="64"/>
        <v>4704380</v>
      </c>
      <c r="B2061" s="5">
        <v>2018</v>
      </c>
      <c r="C2061" s="1">
        <v>99090</v>
      </c>
      <c r="D2061" t="s">
        <v>426</v>
      </c>
      <c r="E2061" t="s">
        <v>171</v>
      </c>
      <c r="F2061" s="8">
        <v>141649</v>
      </c>
      <c r="G2061" s="8">
        <v>2498309</v>
      </c>
      <c r="H2061" s="5">
        <f t="shared" si="65"/>
        <v>2639958</v>
      </c>
      <c r="I2061">
        <f>IFERROR(VLOOKUP(D2061,'LEAID Match'!$A$2:$B$251,2,FALSE),"")</f>
        <v>4704380</v>
      </c>
    </row>
    <row r="2062" spans="1:9" x14ac:dyDescent="0.2">
      <c r="A2062">
        <f t="shared" si="64"/>
        <v>4704380</v>
      </c>
      <c r="B2062" s="5">
        <v>2019</v>
      </c>
      <c r="C2062" s="1">
        <v>99090</v>
      </c>
      <c r="D2062" t="s">
        <v>426</v>
      </c>
      <c r="E2062" t="s">
        <v>426</v>
      </c>
      <c r="F2062" s="8">
        <v>87581</v>
      </c>
      <c r="G2062" s="8">
        <v>2765056</v>
      </c>
      <c r="H2062" s="5">
        <f t="shared" si="65"/>
        <v>2852637</v>
      </c>
      <c r="I2062">
        <f>IFERROR(VLOOKUP(D2062,'LEAID Match'!$A$2:$B$251,2,FALSE),"")</f>
        <v>4704380</v>
      </c>
    </row>
    <row r="2063" spans="1:9" x14ac:dyDescent="0.2">
      <c r="A2063">
        <f t="shared" si="64"/>
        <v>4704380</v>
      </c>
      <c r="B2063" s="5">
        <v>2020</v>
      </c>
      <c r="C2063" s="1">
        <v>99090</v>
      </c>
      <c r="D2063" t="s">
        <v>426</v>
      </c>
      <c r="E2063" t="s">
        <v>426</v>
      </c>
      <c r="F2063" s="8">
        <v>114334</v>
      </c>
      <c r="G2063" s="8">
        <v>2717809</v>
      </c>
      <c r="H2063" s="5">
        <f t="shared" si="65"/>
        <v>2832143</v>
      </c>
      <c r="I2063">
        <f>IFERROR(VLOOKUP(D2063,'LEAID Match'!$A$2:$B$251,2,FALSE),"")</f>
        <v>4704380</v>
      </c>
    </row>
    <row r="2064" spans="1:9" x14ac:dyDescent="0.2">
      <c r="A2064">
        <f t="shared" si="64"/>
        <v>4704380</v>
      </c>
      <c r="B2064" s="5">
        <v>2021</v>
      </c>
      <c r="C2064" s="1">
        <v>99090</v>
      </c>
      <c r="D2064" t="s">
        <v>426</v>
      </c>
      <c r="E2064" t="s">
        <v>426</v>
      </c>
      <c r="F2064" s="8">
        <v>134504</v>
      </c>
      <c r="G2064" s="8">
        <v>2506320</v>
      </c>
      <c r="H2064" s="5">
        <f t="shared" si="65"/>
        <v>2640824</v>
      </c>
      <c r="I2064">
        <f>IFERROR(VLOOKUP(D2064,'LEAID Match'!$A$2:$B$251,2,FALSE),"")</f>
        <v>4704380</v>
      </c>
    </row>
    <row r="2065" spans="1:9" x14ac:dyDescent="0.2">
      <c r="A2065">
        <f t="shared" si="64"/>
        <v>4704380</v>
      </c>
      <c r="B2065" s="5">
        <v>2022</v>
      </c>
      <c r="C2065" s="1">
        <v>99090</v>
      </c>
      <c r="D2065" t="s">
        <v>426</v>
      </c>
      <c r="E2065" t="s">
        <v>426</v>
      </c>
      <c r="F2065" s="8">
        <v>176901.26</v>
      </c>
      <c r="G2065" s="8">
        <v>2708056.67</v>
      </c>
      <c r="H2065" s="5">
        <f t="shared" si="65"/>
        <v>2884957.9299999997</v>
      </c>
      <c r="I2065">
        <f>IFERROR(VLOOKUP(D2065,'LEAID Match'!$A$2:$B$251,2,FALSE),"")</f>
        <v>4704380</v>
      </c>
    </row>
    <row r="2066" spans="1:9" x14ac:dyDescent="0.2">
      <c r="A2066">
        <f t="shared" si="64"/>
        <v>4704380</v>
      </c>
      <c r="B2066" s="5">
        <v>2023</v>
      </c>
      <c r="C2066" s="1">
        <v>99090</v>
      </c>
      <c r="D2066" t="s">
        <v>426</v>
      </c>
      <c r="E2066" t="s">
        <v>426</v>
      </c>
      <c r="F2066" s="8">
        <v>309225.38</v>
      </c>
      <c r="G2066" s="8">
        <v>2364691.96</v>
      </c>
      <c r="H2066" s="5">
        <f t="shared" si="65"/>
        <v>2673917.34</v>
      </c>
      <c r="I2066">
        <f>IFERROR(VLOOKUP(D2066,'LEAID Match'!$A$2:$B$251,2,FALSE),"")</f>
        <v>4704380</v>
      </c>
    </row>
    <row r="2067" spans="1:9" x14ac:dyDescent="0.2">
      <c r="A2067">
        <f t="shared" si="64"/>
        <v>4704440</v>
      </c>
      <c r="B2067" s="5">
        <v>2015</v>
      </c>
      <c r="C2067" s="1">
        <v>99091</v>
      </c>
      <c r="D2067" t="s">
        <v>427</v>
      </c>
      <c r="E2067" t="s">
        <v>172</v>
      </c>
      <c r="F2067" s="8">
        <v>15124</v>
      </c>
      <c r="G2067" s="8">
        <v>908461</v>
      </c>
      <c r="H2067" s="5">
        <f t="shared" si="65"/>
        <v>923585</v>
      </c>
      <c r="I2067">
        <f>IFERROR(VLOOKUP(D2067,'LEAID Match'!$A$2:$B$251,2,FALSE),"")</f>
        <v>4704440</v>
      </c>
    </row>
    <row r="2068" spans="1:9" x14ac:dyDescent="0.2">
      <c r="A2068">
        <f t="shared" si="64"/>
        <v>4704440</v>
      </c>
      <c r="B2068" s="5">
        <v>2016</v>
      </c>
      <c r="C2068" s="1">
        <v>99091</v>
      </c>
      <c r="D2068" t="s">
        <v>427</v>
      </c>
      <c r="E2068" t="s">
        <v>172</v>
      </c>
      <c r="F2068" s="8">
        <v>23599</v>
      </c>
      <c r="G2068" s="8">
        <v>907527</v>
      </c>
      <c r="H2068" s="5">
        <f t="shared" si="65"/>
        <v>931126</v>
      </c>
      <c r="I2068">
        <f>IFERROR(VLOOKUP(D2068,'LEAID Match'!$A$2:$B$251,2,FALSE),"")</f>
        <v>4704440</v>
      </c>
    </row>
    <row r="2069" spans="1:9" x14ac:dyDescent="0.2">
      <c r="A2069">
        <f t="shared" si="64"/>
        <v>4704440</v>
      </c>
      <c r="B2069" s="5">
        <v>2017</v>
      </c>
      <c r="C2069" s="1">
        <v>99091</v>
      </c>
      <c r="D2069" t="s">
        <v>427</v>
      </c>
      <c r="E2069" t="s">
        <v>427</v>
      </c>
      <c r="F2069" s="8">
        <v>26942</v>
      </c>
      <c r="G2069" s="8">
        <v>920945</v>
      </c>
      <c r="H2069" s="5">
        <f t="shared" si="65"/>
        <v>947887</v>
      </c>
      <c r="I2069">
        <f>IFERROR(VLOOKUP(D2069,'LEAID Match'!$A$2:$B$251,2,FALSE),"")</f>
        <v>4704440</v>
      </c>
    </row>
    <row r="2070" spans="1:9" x14ac:dyDescent="0.2">
      <c r="A2070">
        <f t="shared" si="64"/>
        <v>4704440</v>
      </c>
      <c r="B2070" s="5">
        <v>2018</v>
      </c>
      <c r="C2070" s="1">
        <v>99091</v>
      </c>
      <c r="D2070" t="s">
        <v>427</v>
      </c>
      <c r="E2070" t="s">
        <v>172</v>
      </c>
      <c r="F2070" s="8">
        <v>31094</v>
      </c>
      <c r="G2070" s="8">
        <v>928766</v>
      </c>
      <c r="H2070" s="5">
        <f t="shared" si="65"/>
        <v>959860</v>
      </c>
      <c r="I2070">
        <f>IFERROR(VLOOKUP(D2070,'LEAID Match'!$A$2:$B$251,2,FALSE),"")</f>
        <v>4704440</v>
      </c>
    </row>
    <row r="2071" spans="1:9" x14ac:dyDescent="0.2">
      <c r="A2071">
        <f t="shared" si="64"/>
        <v>4704440</v>
      </c>
      <c r="B2071" s="5">
        <v>2019</v>
      </c>
      <c r="C2071" s="1">
        <v>99091</v>
      </c>
      <c r="D2071" t="s">
        <v>427</v>
      </c>
      <c r="E2071" t="s">
        <v>427</v>
      </c>
      <c r="F2071" s="8">
        <v>17685</v>
      </c>
      <c r="G2071" s="8">
        <v>1078065</v>
      </c>
      <c r="H2071" s="5">
        <f t="shared" si="65"/>
        <v>1095750</v>
      </c>
      <c r="I2071">
        <f>IFERROR(VLOOKUP(D2071,'LEAID Match'!$A$2:$B$251,2,FALSE),"")</f>
        <v>4704440</v>
      </c>
    </row>
    <row r="2072" spans="1:9" x14ac:dyDescent="0.2">
      <c r="A2072">
        <f t="shared" si="64"/>
        <v>4704440</v>
      </c>
      <c r="B2072" s="5">
        <v>2020</v>
      </c>
      <c r="C2072" s="1">
        <v>99091</v>
      </c>
      <c r="D2072" t="s">
        <v>427</v>
      </c>
      <c r="E2072" t="s">
        <v>427</v>
      </c>
      <c r="F2072" s="8">
        <v>19610</v>
      </c>
      <c r="G2072" s="8">
        <v>1082779</v>
      </c>
      <c r="H2072" s="5">
        <f t="shared" si="65"/>
        <v>1102389</v>
      </c>
      <c r="I2072">
        <f>IFERROR(VLOOKUP(D2072,'LEAID Match'!$A$2:$B$251,2,FALSE),"")</f>
        <v>4704440</v>
      </c>
    </row>
    <row r="2073" spans="1:9" x14ac:dyDescent="0.2">
      <c r="A2073">
        <f t="shared" si="64"/>
        <v>4704440</v>
      </c>
      <c r="B2073" s="5">
        <v>2021</v>
      </c>
      <c r="C2073" s="1">
        <v>99091</v>
      </c>
      <c r="D2073" t="s">
        <v>427</v>
      </c>
      <c r="E2073" t="s">
        <v>427</v>
      </c>
      <c r="F2073" s="8">
        <v>22552</v>
      </c>
      <c r="G2073" s="8">
        <v>1070824</v>
      </c>
      <c r="H2073" s="5">
        <f t="shared" si="65"/>
        <v>1093376</v>
      </c>
      <c r="I2073">
        <f>IFERROR(VLOOKUP(D2073,'LEAID Match'!$A$2:$B$251,2,FALSE),"")</f>
        <v>4704440</v>
      </c>
    </row>
    <row r="2074" spans="1:9" x14ac:dyDescent="0.2">
      <c r="A2074">
        <f t="shared" si="64"/>
        <v>4704440</v>
      </c>
      <c r="B2074" s="5">
        <v>2022</v>
      </c>
      <c r="C2074" s="1">
        <v>99091</v>
      </c>
      <c r="D2074" t="s">
        <v>427</v>
      </c>
      <c r="E2074" t="s">
        <v>427</v>
      </c>
      <c r="F2074" s="8">
        <v>31617.4</v>
      </c>
      <c r="G2074" s="8">
        <v>1125193.3999999999</v>
      </c>
      <c r="H2074" s="5">
        <f t="shared" si="65"/>
        <v>1156810.7999999998</v>
      </c>
      <c r="I2074">
        <f>IFERROR(VLOOKUP(D2074,'LEAID Match'!$A$2:$B$251,2,FALSE),"")</f>
        <v>4704440</v>
      </c>
    </row>
    <row r="2075" spans="1:9" x14ac:dyDescent="0.2">
      <c r="A2075">
        <f t="shared" si="64"/>
        <v>4704440</v>
      </c>
      <c r="B2075" s="5">
        <v>2023</v>
      </c>
      <c r="C2075" s="1">
        <v>99091</v>
      </c>
      <c r="D2075" t="s">
        <v>427</v>
      </c>
      <c r="E2075" t="s">
        <v>427</v>
      </c>
      <c r="F2075" s="8">
        <v>52646.18</v>
      </c>
      <c r="G2075" s="8">
        <v>930599.2</v>
      </c>
      <c r="H2075" s="5">
        <f t="shared" si="65"/>
        <v>983245.38</v>
      </c>
      <c r="I2075">
        <f>IFERROR(VLOOKUP(D2075,'LEAID Match'!$A$2:$B$251,2,FALSE),"")</f>
        <v>4704440</v>
      </c>
    </row>
    <row r="2076" spans="1:9" x14ac:dyDescent="0.2">
      <c r="A2076">
        <f t="shared" si="64"/>
        <v>4704470</v>
      </c>
      <c r="B2076" s="5">
        <v>2015</v>
      </c>
      <c r="C2076" s="1">
        <v>99092</v>
      </c>
      <c r="D2076" t="s">
        <v>428</v>
      </c>
      <c r="E2076" t="s">
        <v>173</v>
      </c>
      <c r="F2076" s="8">
        <v>15689</v>
      </c>
      <c r="G2076" s="8">
        <v>1438878</v>
      </c>
      <c r="H2076" s="5">
        <f t="shared" si="65"/>
        <v>1454567</v>
      </c>
      <c r="I2076">
        <f>IFERROR(VLOOKUP(D2076,'LEAID Match'!$A$2:$B$251,2,FALSE),"")</f>
        <v>4704470</v>
      </c>
    </row>
    <row r="2077" spans="1:9" x14ac:dyDescent="0.2">
      <c r="A2077">
        <f t="shared" si="64"/>
        <v>4704470</v>
      </c>
      <c r="B2077" s="5">
        <v>2016</v>
      </c>
      <c r="C2077" s="1">
        <v>99092</v>
      </c>
      <c r="D2077" t="s">
        <v>428</v>
      </c>
      <c r="E2077" t="s">
        <v>173</v>
      </c>
      <c r="F2077" s="8">
        <v>33904</v>
      </c>
      <c r="G2077" s="8">
        <v>1412011</v>
      </c>
      <c r="H2077" s="5">
        <f t="shared" si="65"/>
        <v>1445915</v>
      </c>
      <c r="I2077">
        <f>IFERROR(VLOOKUP(D2077,'LEAID Match'!$A$2:$B$251,2,FALSE),"")</f>
        <v>4704470</v>
      </c>
    </row>
    <row r="2078" spans="1:9" x14ac:dyDescent="0.2">
      <c r="A2078">
        <f t="shared" si="64"/>
        <v>4704470</v>
      </c>
      <c r="B2078" s="5">
        <v>2017</v>
      </c>
      <c r="C2078" s="1">
        <v>99092</v>
      </c>
      <c r="D2078" t="s">
        <v>428</v>
      </c>
      <c r="E2078" t="s">
        <v>428</v>
      </c>
      <c r="F2078" s="8">
        <v>58310</v>
      </c>
      <c r="G2078" s="8">
        <v>1383813</v>
      </c>
      <c r="H2078" s="5">
        <f t="shared" si="65"/>
        <v>1442123</v>
      </c>
      <c r="I2078">
        <f>IFERROR(VLOOKUP(D2078,'LEAID Match'!$A$2:$B$251,2,FALSE),"")</f>
        <v>4704470</v>
      </c>
    </row>
    <row r="2079" spans="1:9" x14ac:dyDescent="0.2">
      <c r="A2079">
        <f t="shared" si="64"/>
        <v>4704470</v>
      </c>
      <c r="B2079" s="5">
        <v>2018</v>
      </c>
      <c r="C2079" s="1">
        <v>99092</v>
      </c>
      <c r="D2079" t="s">
        <v>428</v>
      </c>
      <c r="E2079" t="s">
        <v>173</v>
      </c>
      <c r="F2079" s="8">
        <v>93908</v>
      </c>
      <c r="G2079" s="8">
        <v>1293449</v>
      </c>
      <c r="H2079" s="5">
        <f t="shared" si="65"/>
        <v>1387357</v>
      </c>
      <c r="I2079">
        <f>IFERROR(VLOOKUP(D2079,'LEAID Match'!$A$2:$B$251,2,FALSE),"")</f>
        <v>4704470</v>
      </c>
    </row>
    <row r="2080" spans="1:9" x14ac:dyDescent="0.2">
      <c r="A2080">
        <f t="shared" si="64"/>
        <v>4704470</v>
      </c>
      <c r="B2080" s="5">
        <v>2019</v>
      </c>
      <c r="C2080" s="1">
        <v>99092</v>
      </c>
      <c r="D2080" t="s">
        <v>428</v>
      </c>
      <c r="E2080" t="s">
        <v>428</v>
      </c>
      <c r="F2080" s="8">
        <v>49755</v>
      </c>
      <c r="G2080" s="8">
        <v>1477854</v>
      </c>
      <c r="H2080" s="5">
        <f t="shared" si="65"/>
        <v>1527609</v>
      </c>
      <c r="I2080">
        <f>IFERROR(VLOOKUP(D2080,'LEAID Match'!$A$2:$B$251,2,FALSE),"")</f>
        <v>4704470</v>
      </c>
    </row>
    <row r="2081" spans="1:9" x14ac:dyDescent="0.2">
      <c r="A2081">
        <f t="shared" si="64"/>
        <v>4704470</v>
      </c>
      <c r="B2081" s="5">
        <v>2020</v>
      </c>
      <c r="C2081" s="1">
        <v>99092</v>
      </c>
      <c r="D2081" t="s">
        <v>428</v>
      </c>
      <c r="E2081" t="s">
        <v>428</v>
      </c>
      <c r="F2081" s="8">
        <v>68389</v>
      </c>
      <c r="G2081" s="8">
        <v>1446335</v>
      </c>
      <c r="H2081" s="5">
        <f t="shared" si="65"/>
        <v>1514724</v>
      </c>
      <c r="I2081">
        <f>IFERROR(VLOOKUP(D2081,'LEAID Match'!$A$2:$B$251,2,FALSE),"")</f>
        <v>4704470</v>
      </c>
    </row>
    <row r="2082" spans="1:9" x14ac:dyDescent="0.2">
      <c r="A2082">
        <f t="shared" si="64"/>
        <v>4704470</v>
      </c>
      <c r="B2082" s="5">
        <v>2021</v>
      </c>
      <c r="C2082" s="1">
        <v>99092</v>
      </c>
      <c r="D2082" t="s">
        <v>428</v>
      </c>
      <c r="E2082" t="s">
        <v>428</v>
      </c>
      <c r="F2082" s="8">
        <v>83307</v>
      </c>
      <c r="G2082" s="8">
        <v>1457936</v>
      </c>
      <c r="H2082" s="5">
        <f t="shared" si="65"/>
        <v>1541243</v>
      </c>
      <c r="I2082">
        <f>IFERROR(VLOOKUP(D2082,'LEAID Match'!$A$2:$B$251,2,FALSE),"")</f>
        <v>4704470</v>
      </c>
    </row>
    <row r="2083" spans="1:9" x14ac:dyDescent="0.2">
      <c r="A2083">
        <f t="shared" si="64"/>
        <v>4704470</v>
      </c>
      <c r="B2083" s="5">
        <v>2022</v>
      </c>
      <c r="C2083" s="1">
        <v>99092</v>
      </c>
      <c r="D2083" t="s">
        <v>428</v>
      </c>
      <c r="E2083" t="s">
        <v>428</v>
      </c>
      <c r="F2083" s="8">
        <v>103085.93</v>
      </c>
      <c r="G2083" s="8">
        <v>1425970.22</v>
      </c>
      <c r="H2083" s="5">
        <f t="shared" si="65"/>
        <v>1529056.15</v>
      </c>
      <c r="I2083">
        <f>IFERROR(VLOOKUP(D2083,'LEAID Match'!$A$2:$B$251,2,FALSE),"")</f>
        <v>4704470</v>
      </c>
    </row>
    <row r="2084" spans="1:9" x14ac:dyDescent="0.2">
      <c r="A2084">
        <f t="shared" si="64"/>
        <v>4704470</v>
      </c>
      <c r="B2084" s="5">
        <v>2023</v>
      </c>
      <c r="C2084" s="1">
        <v>99092</v>
      </c>
      <c r="D2084" t="s">
        <v>428</v>
      </c>
      <c r="E2084" t="s">
        <v>428</v>
      </c>
      <c r="F2084" s="8">
        <v>177660.93</v>
      </c>
      <c r="G2084" s="8">
        <v>1191711.57</v>
      </c>
      <c r="H2084" s="5">
        <f t="shared" si="65"/>
        <v>1369372.5</v>
      </c>
      <c r="I2084">
        <f>IFERROR(VLOOKUP(D2084,'LEAID Match'!$A$2:$B$251,2,FALSE),"")</f>
        <v>4704470</v>
      </c>
    </row>
    <row r="2085" spans="1:9" x14ac:dyDescent="0.2">
      <c r="A2085">
        <f t="shared" si="64"/>
        <v>4704490</v>
      </c>
      <c r="B2085" s="5">
        <v>2015</v>
      </c>
      <c r="C2085" s="1">
        <v>99609</v>
      </c>
      <c r="D2085" t="s">
        <v>429</v>
      </c>
      <c r="E2085" t="s">
        <v>207</v>
      </c>
      <c r="F2085" s="8">
        <v>2665</v>
      </c>
      <c r="G2085" s="8">
        <v>335661</v>
      </c>
      <c r="H2085" s="5">
        <f t="shared" si="65"/>
        <v>338326</v>
      </c>
      <c r="I2085">
        <f>IFERROR(VLOOKUP(D2085,'LEAID Match'!$A$2:$B$251,2,FALSE),"")</f>
        <v>4704490</v>
      </c>
    </row>
    <row r="2086" spans="1:9" x14ac:dyDescent="0.2">
      <c r="A2086">
        <f t="shared" si="64"/>
        <v>4704490</v>
      </c>
      <c r="B2086" s="5">
        <v>2016</v>
      </c>
      <c r="C2086" s="1">
        <v>99609</v>
      </c>
      <c r="D2086" t="s">
        <v>429</v>
      </c>
      <c r="E2086" t="s">
        <v>207</v>
      </c>
      <c r="F2086" s="8">
        <v>4387</v>
      </c>
      <c r="G2086" s="8">
        <v>347775</v>
      </c>
      <c r="H2086" s="5">
        <f t="shared" si="65"/>
        <v>352162</v>
      </c>
      <c r="I2086">
        <f>IFERROR(VLOOKUP(D2086,'LEAID Match'!$A$2:$B$251,2,FALSE),"")</f>
        <v>4704490</v>
      </c>
    </row>
    <row r="2087" spans="1:9" x14ac:dyDescent="0.2">
      <c r="A2087">
        <f t="shared" si="64"/>
        <v>4704490</v>
      </c>
      <c r="B2087" s="5">
        <v>2017</v>
      </c>
      <c r="C2087" s="1">
        <v>99609</v>
      </c>
      <c r="D2087" t="s">
        <v>429</v>
      </c>
      <c r="E2087" t="s">
        <v>429</v>
      </c>
      <c r="F2087" s="8">
        <v>15753</v>
      </c>
      <c r="G2087" s="8">
        <v>316751</v>
      </c>
      <c r="H2087" s="5">
        <f t="shared" si="65"/>
        <v>332504</v>
      </c>
      <c r="I2087">
        <f>IFERROR(VLOOKUP(D2087,'LEAID Match'!$A$2:$B$251,2,FALSE),"")</f>
        <v>4704490</v>
      </c>
    </row>
    <row r="2088" spans="1:9" x14ac:dyDescent="0.2">
      <c r="A2088">
        <f t="shared" si="64"/>
        <v>4704490</v>
      </c>
      <c r="B2088" s="5">
        <v>2018</v>
      </c>
      <c r="C2088" s="1">
        <v>99609</v>
      </c>
      <c r="D2088" t="s">
        <v>429</v>
      </c>
      <c r="E2088" t="s">
        <v>207</v>
      </c>
      <c r="F2088" s="8">
        <v>25054</v>
      </c>
      <c r="G2088" s="8">
        <v>313747</v>
      </c>
      <c r="H2088" s="5">
        <f t="shared" si="65"/>
        <v>338801</v>
      </c>
      <c r="I2088">
        <f>IFERROR(VLOOKUP(D2088,'LEAID Match'!$A$2:$B$251,2,FALSE),"")</f>
        <v>4704490</v>
      </c>
    </row>
    <row r="2089" spans="1:9" x14ac:dyDescent="0.2">
      <c r="A2089">
        <f t="shared" si="64"/>
        <v>4704490</v>
      </c>
      <c r="B2089" s="5">
        <v>2019</v>
      </c>
      <c r="C2089" s="1">
        <v>99609</v>
      </c>
      <c r="D2089" t="s">
        <v>429</v>
      </c>
      <c r="E2089" t="s">
        <v>429</v>
      </c>
      <c r="F2089" s="8">
        <v>17906</v>
      </c>
      <c r="G2089" s="8">
        <v>324606</v>
      </c>
      <c r="H2089" s="5">
        <f t="shared" si="65"/>
        <v>342512</v>
      </c>
      <c r="I2089">
        <f>IFERROR(VLOOKUP(D2089,'LEAID Match'!$A$2:$B$251,2,FALSE),"")</f>
        <v>4704490</v>
      </c>
    </row>
    <row r="2090" spans="1:9" x14ac:dyDescent="0.2">
      <c r="A2090">
        <f t="shared" si="64"/>
        <v>4704490</v>
      </c>
      <c r="B2090" s="5">
        <v>2020</v>
      </c>
      <c r="C2090" s="1">
        <v>99609</v>
      </c>
      <c r="D2090" t="s">
        <v>429</v>
      </c>
      <c r="E2090" t="s">
        <v>429</v>
      </c>
      <c r="F2090" s="8">
        <v>21893</v>
      </c>
      <c r="G2090" s="8">
        <v>323345</v>
      </c>
      <c r="H2090" s="5">
        <f t="shared" si="65"/>
        <v>345238</v>
      </c>
      <c r="I2090">
        <f>IFERROR(VLOOKUP(D2090,'LEAID Match'!$A$2:$B$251,2,FALSE),"")</f>
        <v>4704490</v>
      </c>
    </row>
    <row r="2091" spans="1:9" x14ac:dyDescent="0.2">
      <c r="A2091">
        <f t="shared" si="64"/>
        <v>4704490</v>
      </c>
      <c r="B2091" s="5">
        <v>2021</v>
      </c>
      <c r="C2091" s="1">
        <v>99609</v>
      </c>
      <c r="D2091" t="s">
        <v>429</v>
      </c>
      <c r="E2091" t="s">
        <v>429</v>
      </c>
      <c r="F2091" s="8">
        <v>28740</v>
      </c>
      <c r="G2091" s="8">
        <v>301239</v>
      </c>
      <c r="H2091" s="5">
        <f t="shared" si="65"/>
        <v>329979</v>
      </c>
      <c r="I2091">
        <f>IFERROR(VLOOKUP(D2091,'LEAID Match'!$A$2:$B$251,2,FALSE),"")</f>
        <v>4704490</v>
      </c>
    </row>
    <row r="2092" spans="1:9" x14ac:dyDescent="0.2">
      <c r="A2092">
        <f t="shared" si="64"/>
        <v>4704490</v>
      </c>
      <c r="B2092" s="5">
        <v>2022</v>
      </c>
      <c r="C2092" s="1">
        <v>99609</v>
      </c>
      <c r="D2092" t="s">
        <v>429</v>
      </c>
      <c r="E2092" t="s">
        <v>429</v>
      </c>
      <c r="F2092" s="8">
        <v>42803.27</v>
      </c>
      <c r="G2092" s="8">
        <v>236907.44</v>
      </c>
      <c r="H2092" s="5">
        <f t="shared" si="65"/>
        <v>279710.71000000002</v>
      </c>
      <c r="I2092">
        <f>IFERROR(VLOOKUP(D2092,'LEAID Match'!$A$2:$B$251,2,FALSE),"")</f>
        <v>4704490</v>
      </c>
    </row>
    <row r="2093" spans="1:9" x14ac:dyDescent="0.2">
      <c r="A2093">
        <f t="shared" si="64"/>
        <v>4704490</v>
      </c>
      <c r="B2093" s="5">
        <v>2023</v>
      </c>
      <c r="C2093" s="1">
        <v>99609</v>
      </c>
      <c r="D2093" t="s">
        <v>429</v>
      </c>
      <c r="E2093" t="s">
        <v>429</v>
      </c>
      <c r="F2093" s="8">
        <v>60063.23</v>
      </c>
      <c r="G2093" s="8">
        <v>201231.86</v>
      </c>
      <c r="H2093" s="5">
        <f t="shared" si="65"/>
        <v>261295.09</v>
      </c>
      <c r="I2093">
        <f>IFERROR(VLOOKUP(D2093,'LEAID Match'!$A$2:$B$251,2,FALSE),"")</f>
        <v>4704490</v>
      </c>
    </row>
    <row r="2094" spans="1:9" x14ac:dyDescent="0.2">
      <c r="A2094">
        <f t="shared" si="64"/>
        <v>4704500</v>
      </c>
      <c r="B2094" s="5">
        <v>2015</v>
      </c>
      <c r="C2094" s="1">
        <v>99093</v>
      </c>
      <c r="D2094" t="s">
        <v>430</v>
      </c>
      <c r="E2094" t="s">
        <v>174</v>
      </c>
      <c r="F2094" s="8">
        <v>5177</v>
      </c>
      <c r="G2094" s="8">
        <v>1290415</v>
      </c>
      <c r="H2094" s="5">
        <f t="shared" si="65"/>
        <v>1295592</v>
      </c>
      <c r="I2094">
        <f>IFERROR(VLOOKUP(D2094,'LEAID Match'!$A$2:$B$251,2,FALSE),"")</f>
        <v>4704500</v>
      </c>
    </row>
    <row r="2095" spans="1:9" x14ac:dyDescent="0.2">
      <c r="A2095">
        <f t="shared" si="64"/>
        <v>4704500</v>
      </c>
      <c r="B2095" s="5">
        <v>2016</v>
      </c>
      <c r="C2095" s="1">
        <v>99093</v>
      </c>
      <c r="D2095" t="s">
        <v>430</v>
      </c>
      <c r="E2095" t="s">
        <v>174</v>
      </c>
      <c r="F2095" s="8">
        <v>22189</v>
      </c>
      <c r="G2095" s="8">
        <v>1274227</v>
      </c>
      <c r="H2095" s="5">
        <f t="shared" si="65"/>
        <v>1296416</v>
      </c>
      <c r="I2095">
        <f>IFERROR(VLOOKUP(D2095,'LEAID Match'!$A$2:$B$251,2,FALSE),"")</f>
        <v>4704500</v>
      </c>
    </row>
    <row r="2096" spans="1:9" x14ac:dyDescent="0.2">
      <c r="A2096">
        <f t="shared" si="64"/>
        <v>4704500</v>
      </c>
      <c r="B2096" s="5">
        <v>2017</v>
      </c>
      <c r="C2096" s="1">
        <v>99093</v>
      </c>
      <c r="D2096" t="s">
        <v>430</v>
      </c>
      <c r="E2096" t="s">
        <v>430</v>
      </c>
      <c r="F2096" s="8">
        <v>38413</v>
      </c>
      <c r="G2096" s="8">
        <v>1298110</v>
      </c>
      <c r="H2096" s="5">
        <f t="shared" si="65"/>
        <v>1336523</v>
      </c>
      <c r="I2096">
        <f>IFERROR(VLOOKUP(D2096,'LEAID Match'!$A$2:$B$251,2,FALSE),"")</f>
        <v>4704500</v>
      </c>
    </row>
    <row r="2097" spans="1:9" x14ac:dyDescent="0.2">
      <c r="A2097">
        <f t="shared" si="64"/>
        <v>4704500</v>
      </c>
      <c r="B2097" s="5">
        <v>2018</v>
      </c>
      <c r="C2097" s="1">
        <v>99093</v>
      </c>
      <c r="D2097" t="s">
        <v>430</v>
      </c>
      <c r="E2097" t="s">
        <v>174</v>
      </c>
      <c r="F2097" s="8">
        <v>66228</v>
      </c>
      <c r="G2097" s="8">
        <v>1339950</v>
      </c>
      <c r="H2097" s="5">
        <f t="shared" si="65"/>
        <v>1406178</v>
      </c>
      <c r="I2097">
        <f>IFERROR(VLOOKUP(D2097,'LEAID Match'!$A$2:$B$251,2,FALSE),"")</f>
        <v>4704500</v>
      </c>
    </row>
    <row r="2098" spans="1:9" x14ac:dyDescent="0.2">
      <c r="A2098">
        <f t="shared" si="64"/>
        <v>4704500</v>
      </c>
      <c r="B2098" s="5">
        <v>2019</v>
      </c>
      <c r="C2098" s="1">
        <v>99093</v>
      </c>
      <c r="D2098" t="s">
        <v>430</v>
      </c>
      <c r="E2098" t="s">
        <v>430</v>
      </c>
      <c r="F2098" s="8">
        <v>40555</v>
      </c>
      <c r="G2098" s="8">
        <v>1483311</v>
      </c>
      <c r="H2098" s="5">
        <f t="shared" si="65"/>
        <v>1523866</v>
      </c>
      <c r="I2098">
        <f>IFERROR(VLOOKUP(D2098,'LEAID Match'!$A$2:$B$251,2,FALSE),"")</f>
        <v>4704500</v>
      </c>
    </row>
    <row r="2099" spans="1:9" x14ac:dyDescent="0.2">
      <c r="A2099">
        <f t="shared" si="64"/>
        <v>4704500</v>
      </c>
      <c r="B2099" s="5">
        <v>2020</v>
      </c>
      <c r="C2099" s="1">
        <v>99093</v>
      </c>
      <c r="D2099" t="s">
        <v>430</v>
      </c>
      <c r="E2099" t="s">
        <v>430</v>
      </c>
      <c r="F2099" s="8">
        <v>50747</v>
      </c>
      <c r="G2099" s="8">
        <v>1491400</v>
      </c>
      <c r="H2099" s="5">
        <f t="shared" si="65"/>
        <v>1542147</v>
      </c>
      <c r="I2099">
        <f>IFERROR(VLOOKUP(D2099,'LEAID Match'!$A$2:$B$251,2,FALSE),"")</f>
        <v>4704500</v>
      </c>
    </row>
    <row r="2100" spans="1:9" x14ac:dyDescent="0.2">
      <c r="A2100">
        <f t="shared" si="64"/>
        <v>4704500</v>
      </c>
      <c r="B2100" s="5">
        <v>2021</v>
      </c>
      <c r="C2100" s="1">
        <v>99093</v>
      </c>
      <c r="D2100" t="s">
        <v>430</v>
      </c>
      <c r="E2100" t="s">
        <v>430</v>
      </c>
      <c r="F2100" s="8">
        <v>65566</v>
      </c>
      <c r="G2100" s="8">
        <v>1375772</v>
      </c>
      <c r="H2100" s="5">
        <f t="shared" si="65"/>
        <v>1441338</v>
      </c>
      <c r="I2100">
        <f>IFERROR(VLOOKUP(D2100,'LEAID Match'!$A$2:$B$251,2,FALSE),"")</f>
        <v>4704500</v>
      </c>
    </row>
    <row r="2101" spans="1:9" x14ac:dyDescent="0.2">
      <c r="A2101">
        <f t="shared" si="64"/>
        <v>4704500</v>
      </c>
      <c r="B2101" s="5">
        <v>2022</v>
      </c>
      <c r="C2101" s="1">
        <v>99093</v>
      </c>
      <c r="D2101" t="s">
        <v>430</v>
      </c>
      <c r="E2101" t="s">
        <v>430</v>
      </c>
      <c r="F2101" s="8">
        <v>85751.58</v>
      </c>
      <c r="G2101" s="8">
        <v>1331979.3700000001</v>
      </c>
      <c r="H2101" s="5">
        <f t="shared" si="65"/>
        <v>1417730.9500000002</v>
      </c>
      <c r="I2101">
        <f>IFERROR(VLOOKUP(D2101,'LEAID Match'!$A$2:$B$251,2,FALSE),"")</f>
        <v>4704500</v>
      </c>
    </row>
    <row r="2102" spans="1:9" x14ac:dyDescent="0.2">
      <c r="A2102">
        <f t="shared" si="64"/>
        <v>4704500</v>
      </c>
      <c r="B2102" s="5">
        <v>2023</v>
      </c>
      <c r="C2102" s="1">
        <v>99093</v>
      </c>
      <c r="D2102" t="s">
        <v>430</v>
      </c>
      <c r="E2102" t="s">
        <v>430</v>
      </c>
      <c r="F2102" s="8">
        <v>143077.68</v>
      </c>
      <c r="G2102" s="8">
        <v>1101903.32</v>
      </c>
      <c r="H2102" s="5">
        <f t="shared" si="65"/>
        <v>1244981</v>
      </c>
      <c r="I2102">
        <f>IFERROR(VLOOKUP(D2102,'LEAID Match'!$A$2:$B$251,2,FALSE),"")</f>
        <v>4704500</v>
      </c>
    </row>
    <row r="2103" spans="1:9" x14ac:dyDescent="0.2">
      <c r="A2103">
        <f t="shared" si="64"/>
        <v>4704530</v>
      </c>
      <c r="B2103" s="5">
        <v>2015</v>
      </c>
      <c r="C2103" s="1">
        <v>99094</v>
      </c>
      <c r="D2103" t="s">
        <v>431</v>
      </c>
      <c r="E2103" t="s">
        <v>175</v>
      </c>
      <c r="F2103" s="8">
        <v>358890</v>
      </c>
      <c r="G2103" s="8">
        <v>11506530</v>
      </c>
      <c r="H2103" s="5">
        <f t="shared" si="65"/>
        <v>11865420</v>
      </c>
      <c r="I2103">
        <f>IFERROR(VLOOKUP(D2103,'LEAID Match'!$A$2:$B$251,2,FALSE),"")</f>
        <v>4704530</v>
      </c>
    </row>
    <row r="2104" spans="1:9" x14ac:dyDescent="0.2">
      <c r="A2104">
        <f t="shared" si="64"/>
        <v>4704530</v>
      </c>
      <c r="B2104" s="5">
        <v>2016</v>
      </c>
      <c r="C2104" s="1">
        <v>99094</v>
      </c>
      <c r="D2104" t="s">
        <v>431</v>
      </c>
      <c r="E2104" t="s">
        <v>175</v>
      </c>
      <c r="F2104" s="8">
        <v>823701</v>
      </c>
      <c r="G2104" s="8">
        <v>11455110</v>
      </c>
      <c r="H2104" s="5">
        <f t="shared" si="65"/>
        <v>12278811</v>
      </c>
      <c r="I2104">
        <f>IFERROR(VLOOKUP(D2104,'LEAID Match'!$A$2:$B$251,2,FALSE),"")</f>
        <v>4704530</v>
      </c>
    </row>
    <row r="2105" spans="1:9" x14ac:dyDescent="0.2">
      <c r="A2105">
        <f t="shared" si="64"/>
        <v>4704530</v>
      </c>
      <c r="B2105" s="5">
        <v>2017</v>
      </c>
      <c r="C2105" s="1">
        <v>99094</v>
      </c>
      <c r="D2105" t="s">
        <v>431</v>
      </c>
      <c r="E2105" t="s">
        <v>431</v>
      </c>
      <c r="F2105" s="8">
        <v>1334286</v>
      </c>
      <c r="G2105" s="8">
        <v>11300491</v>
      </c>
      <c r="H2105" s="5">
        <f t="shared" si="65"/>
        <v>12634777</v>
      </c>
      <c r="I2105">
        <f>IFERROR(VLOOKUP(D2105,'LEAID Match'!$A$2:$B$251,2,FALSE),"")</f>
        <v>4704530</v>
      </c>
    </row>
    <row r="2106" spans="1:9" x14ac:dyDescent="0.2">
      <c r="A2106">
        <f t="shared" si="64"/>
        <v>4704530</v>
      </c>
      <c r="B2106" s="5">
        <v>2018</v>
      </c>
      <c r="C2106" s="1">
        <v>99094</v>
      </c>
      <c r="D2106" t="s">
        <v>431</v>
      </c>
      <c r="E2106" t="s">
        <v>175</v>
      </c>
      <c r="F2106" s="8">
        <v>1689328</v>
      </c>
      <c r="G2106" s="8">
        <v>11083774</v>
      </c>
      <c r="H2106" s="5">
        <f t="shared" si="65"/>
        <v>12773102</v>
      </c>
      <c r="I2106">
        <f>IFERROR(VLOOKUP(D2106,'LEAID Match'!$A$2:$B$251,2,FALSE),"")</f>
        <v>4704530</v>
      </c>
    </row>
    <row r="2107" spans="1:9" x14ac:dyDescent="0.2">
      <c r="A2107">
        <f t="shared" si="64"/>
        <v>4704530</v>
      </c>
      <c r="B2107" s="5">
        <v>2019</v>
      </c>
      <c r="C2107" s="1">
        <v>99094</v>
      </c>
      <c r="D2107" t="s">
        <v>431</v>
      </c>
      <c r="E2107" t="s">
        <v>431</v>
      </c>
      <c r="F2107" s="8">
        <v>993343</v>
      </c>
      <c r="G2107" s="8">
        <v>12472722</v>
      </c>
      <c r="H2107" s="5">
        <f t="shared" si="65"/>
        <v>13466065</v>
      </c>
      <c r="I2107">
        <f>IFERROR(VLOOKUP(D2107,'LEAID Match'!$A$2:$B$251,2,FALSE),"")</f>
        <v>4704530</v>
      </c>
    </row>
    <row r="2108" spans="1:9" x14ac:dyDescent="0.2">
      <c r="A2108">
        <f t="shared" si="64"/>
        <v>4704530</v>
      </c>
      <c r="B2108" s="5">
        <v>2020</v>
      </c>
      <c r="C2108" s="1">
        <v>99094</v>
      </c>
      <c r="D2108" t="s">
        <v>431</v>
      </c>
      <c r="E2108" t="s">
        <v>431</v>
      </c>
      <c r="F2108" s="8">
        <v>1326536</v>
      </c>
      <c r="G2108" s="8">
        <v>12925309</v>
      </c>
      <c r="H2108" s="5">
        <f t="shared" si="65"/>
        <v>14251845</v>
      </c>
      <c r="I2108">
        <f>IFERROR(VLOOKUP(D2108,'LEAID Match'!$A$2:$B$251,2,FALSE),"")</f>
        <v>4704530</v>
      </c>
    </row>
    <row r="2109" spans="1:9" x14ac:dyDescent="0.2">
      <c r="A2109">
        <f t="shared" si="64"/>
        <v>4704530</v>
      </c>
      <c r="B2109" s="5">
        <v>2021</v>
      </c>
      <c r="C2109" s="1">
        <v>99094</v>
      </c>
      <c r="D2109" t="s">
        <v>431</v>
      </c>
      <c r="E2109" t="s">
        <v>431</v>
      </c>
      <c r="F2109" s="8">
        <v>1532996</v>
      </c>
      <c r="G2109" s="8">
        <v>12342512</v>
      </c>
      <c r="H2109" s="5">
        <f t="shared" si="65"/>
        <v>13875508</v>
      </c>
      <c r="I2109">
        <f>IFERROR(VLOOKUP(D2109,'LEAID Match'!$A$2:$B$251,2,FALSE),"")</f>
        <v>4704530</v>
      </c>
    </row>
    <row r="2110" spans="1:9" x14ac:dyDescent="0.2">
      <c r="A2110">
        <f t="shared" si="64"/>
        <v>4704530</v>
      </c>
      <c r="B2110" s="5">
        <v>2022</v>
      </c>
      <c r="C2110" s="1">
        <v>99094</v>
      </c>
      <c r="D2110" t="s">
        <v>431</v>
      </c>
      <c r="E2110" t="s">
        <v>431</v>
      </c>
      <c r="F2110" s="8">
        <v>1708763.85</v>
      </c>
      <c r="G2110" s="8">
        <v>12188769.699999999</v>
      </c>
      <c r="H2110" s="5">
        <f t="shared" si="65"/>
        <v>13897533.549999999</v>
      </c>
      <c r="I2110">
        <f>IFERROR(VLOOKUP(D2110,'LEAID Match'!$A$2:$B$251,2,FALSE),"")</f>
        <v>4704530</v>
      </c>
    </row>
    <row r="2111" spans="1:9" x14ac:dyDescent="0.2">
      <c r="A2111">
        <f t="shared" si="64"/>
        <v>4704530</v>
      </c>
      <c r="B2111" s="5">
        <v>2023</v>
      </c>
      <c r="C2111" s="1">
        <v>99094</v>
      </c>
      <c r="D2111" t="s">
        <v>431</v>
      </c>
      <c r="E2111" t="s">
        <v>431</v>
      </c>
      <c r="F2111" s="8">
        <v>2982342.47</v>
      </c>
      <c r="G2111" s="8">
        <v>10305814.98</v>
      </c>
      <c r="H2111" s="5">
        <f t="shared" si="65"/>
        <v>13288157.450000001</v>
      </c>
      <c r="I2111">
        <f>IFERROR(VLOOKUP(D2111,'LEAID Match'!$A$2:$B$251,2,FALSE),"")</f>
        <v>4704530</v>
      </c>
    </row>
    <row r="2112" spans="1:9" x14ac:dyDescent="0.2">
      <c r="A2112">
        <f t="shared" si="64"/>
        <v>4704550</v>
      </c>
      <c r="B2112" s="5">
        <v>2015</v>
      </c>
      <c r="C2112" s="1">
        <v>99095</v>
      </c>
      <c r="D2112" t="s">
        <v>432</v>
      </c>
      <c r="E2112" t="s">
        <v>573</v>
      </c>
      <c r="F2112" s="8">
        <v>134715</v>
      </c>
      <c r="G2112" s="8">
        <v>4821378</v>
      </c>
      <c r="H2112" s="5">
        <f t="shared" si="65"/>
        <v>4956093</v>
      </c>
      <c r="I2112">
        <f>IFERROR(VLOOKUP(D2112,'LEAID Match'!$A$2:$B$251,2,FALSE),"")</f>
        <v>4704550</v>
      </c>
    </row>
    <row r="2113" spans="1:9" x14ac:dyDescent="0.2">
      <c r="A2113">
        <f t="shared" si="64"/>
        <v>4704550</v>
      </c>
      <c r="B2113" s="5">
        <v>2016</v>
      </c>
      <c r="C2113" s="1">
        <v>99095</v>
      </c>
      <c r="D2113" t="s">
        <v>432</v>
      </c>
      <c r="E2113" t="s">
        <v>176</v>
      </c>
      <c r="F2113" s="8">
        <v>307029</v>
      </c>
      <c r="G2113" s="8">
        <v>4656841</v>
      </c>
      <c r="H2113" s="5">
        <f t="shared" si="65"/>
        <v>4963870</v>
      </c>
      <c r="I2113">
        <f>IFERROR(VLOOKUP(D2113,'LEAID Match'!$A$2:$B$251,2,FALSE),"")</f>
        <v>4704550</v>
      </c>
    </row>
    <row r="2114" spans="1:9" x14ac:dyDescent="0.2">
      <c r="A2114">
        <f t="shared" si="64"/>
        <v>4704550</v>
      </c>
      <c r="B2114" s="5">
        <v>2017</v>
      </c>
      <c r="C2114" s="1">
        <v>99095</v>
      </c>
      <c r="D2114" t="s">
        <v>432</v>
      </c>
      <c r="E2114" t="s">
        <v>432</v>
      </c>
      <c r="F2114" s="8">
        <v>518696</v>
      </c>
      <c r="G2114" s="8">
        <v>4744819</v>
      </c>
      <c r="H2114" s="5">
        <f t="shared" si="65"/>
        <v>5263515</v>
      </c>
      <c r="I2114">
        <f>IFERROR(VLOOKUP(D2114,'LEAID Match'!$A$2:$B$251,2,FALSE),"")</f>
        <v>4704550</v>
      </c>
    </row>
    <row r="2115" spans="1:9" x14ac:dyDescent="0.2">
      <c r="A2115">
        <f t="shared" ref="A2115:A2120" si="66">I2115</f>
        <v>4704550</v>
      </c>
      <c r="B2115" s="5">
        <v>2018</v>
      </c>
      <c r="C2115" s="1">
        <v>99095</v>
      </c>
      <c r="D2115" t="s">
        <v>432</v>
      </c>
      <c r="E2115" t="s">
        <v>176</v>
      </c>
      <c r="F2115" s="8">
        <v>704320</v>
      </c>
      <c r="G2115" s="8">
        <v>4767965</v>
      </c>
      <c r="H2115" s="5">
        <f t="shared" ref="H2115:H2120" si="67">SUM(F2115:G2115)</f>
        <v>5472285</v>
      </c>
      <c r="I2115">
        <f>IFERROR(VLOOKUP(D2115,'LEAID Match'!$A$2:$B$251,2,FALSE),"")</f>
        <v>4704550</v>
      </c>
    </row>
    <row r="2116" spans="1:9" x14ac:dyDescent="0.2">
      <c r="A2116">
        <f t="shared" si="66"/>
        <v>4704550</v>
      </c>
      <c r="B2116" s="5">
        <v>2019</v>
      </c>
      <c r="C2116" s="1">
        <v>99095</v>
      </c>
      <c r="D2116" t="s">
        <v>432</v>
      </c>
      <c r="E2116" t="s">
        <v>432</v>
      </c>
      <c r="F2116" s="8">
        <v>419076</v>
      </c>
      <c r="G2116" s="8">
        <v>5353531</v>
      </c>
      <c r="H2116" s="5">
        <f t="shared" si="67"/>
        <v>5772607</v>
      </c>
      <c r="I2116">
        <f>IFERROR(VLOOKUP(D2116,'LEAID Match'!$A$2:$B$251,2,FALSE),"")</f>
        <v>4704550</v>
      </c>
    </row>
    <row r="2117" spans="1:9" x14ac:dyDescent="0.2">
      <c r="A2117">
        <f t="shared" si="66"/>
        <v>4704550</v>
      </c>
      <c r="B2117" s="5">
        <v>2020</v>
      </c>
      <c r="C2117" s="1">
        <v>99095</v>
      </c>
      <c r="D2117" t="s">
        <v>432</v>
      </c>
      <c r="E2117" t="s">
        <v>432</v>
      </c>
      <c r="F2117" s="8">
        <v>531728</v>
      </c>
      <c r="G2117" s="8">
        <v>5272029</v>
      </c>
      <c r="H2117" s="5">
        <f t="shared" si="67"/>
        <v>5803757</v>
      </c>
      <c r="I2117">
        <f>IFERROR(VLOOKUP(D2117,'LEAID Match'!$A$2:$B$251,2,FALSE),"")</f>
        <v>4704550</v>
      </c>
    </row>
    <row r="2118" spans="1:9" x14ac:dyDescent="0.2">
      <c r="A2118">
        <f t="shared" si="66"/>
        <v>4704550</v>
      </c>
      <c r="B2118" s="5">
        <v>2021</v>
      </c>
      <c r="C2118" s="1">
        <v>99095</v>
      </c>
      <c r="D2118" t="s">
        <v>432</v>
      </c>
      <c r="E2118" t="s">
        <v>432</v>
      </c>
      <c r="F2118" s="8">
        <v>649188</v>
      </c>
      <c r="G2118" s="8">
        <v>5244660</v>
      </c>
      <c r="H2118" s="5">
        <f t="shared" si="67"/>
        <v>5893848</v>
      </c>
      <c r="I2118">
        <f>IFERROR(VLOOKUP(D2118,'LEAID Match'!$A$2:$B$251,2,FALSE),"")</f>
        <v>4704550</v>
      </c>
    </row>
    <row r="2119" spans="1:9" x14ac:dyDescent="0.2">
      <c r="A2119">
        <f t="shared" si="66"/>
        <v>4704550</v>
      </c>
      <c r="B2119" s="5">
        <v>2022</v>
      </c>
      <c r="C2119" s="1">
        <v>99095</v>
      </c>
      <c r="D2119" t="s">
        <v>432</v>
      </c>
      <c r="E2119" t="s">
        <v>432</v>
      </c>
      <c r="F2119" s="8">
        <v>707386.01</v>
      </c>
      <c r="G2119" s="8">
        <v>4993012.0199999996</v>
      </c>
      <c r="H2119" s="5">
        <f t="shared" si="67"/>
        <v>5700398.0299999993</v>
      </c>
      <c r="I2119">
        <f>IFERROR(VLOOKUP(D2119,'LEAID Match'!$A$2:$B$251,2,FALSE),"")</f>
        <v>4704550</v>
      </c>
    </row>
    <row r="2120" spans="1:9" x14ac:dyDescent="0.2">
      <c r="A2120">
        <f t="shared" si="66"/>
        <v>4704550</v>
      </c>
      <c r="B2120" s="5">
        <v>2023</v>
      </c>
      <c r="C2120" s="1">
        <v>99095</v>
      </c>
      <c r="D2120" t="s">
        <v>432</v>
      </c>
      <c r="E2120" t="s">
        <v>432</v>
      </c>
      <c r="F2120" s="8">
        <v>1180734.3500000001</v>
      </c>
      <c r="G2120" s="8">
        <v>4036143.96</v>
      </c>
      <c r="H2120" s="5">
        <f t="shared" si="67"/>
        <v>5216878.3100000005</v>
      </c>
      <c r="I2120">
        <f>IFERROR(VLOOKUP(D2120,'LEAID Match'!$A$2:$B$251,2,FALSE),"")</f>
        <v>4704550</v>
      </c>
    </row>
  </sheetData>
  <autoFilter ref="B1:G2120" xr:uid="{C31B4BDC-E74B-A547-94D0-450F0EDED574}">
    <sortState xmlns:xlrd2="http://schemas.microsoft.com/office/spreadsheetml/2017/richdata2" ref="B2:G2120">
      <sortCondition ref="D1:D212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2F86D-2168-3840-9C04-4AD80DF9B675}">
  <sheetPr>
    <tabColor rgb="FFFFFF00"/>
  </sheetPr>
  <dimension ref="A1:B251"/>
  <sheetViews>
    <sheetView workbookViewId="0">
      <selection activeCell="D7" sqref="D7"/>
    </sheetView>
  </sheetViews>
  <sheetFormatPr baseColWidth="10" defaultRowHeight="16" x14ac:dyDescent="0.2"/>
  <cols>
    <col min="1" max="1" width="57.33203125" bestFit="1" customWidth="1"/>
  </cols>
  <sheetData>
    <row r="1" spans="1:2" x14ac:dyDescent="0.2">
      <c r="A1" t="s">
        <v>595</v>
      </c>
      <c r="B1" t="s">
        <v>594</v>
      </c>
    </row>
    <row r="2" spans="1:2" x14ac:dyDescent="0.2">
      <c r="A2" t="s">
        <v>208</v>
      </c>
      <c r="B2">
        <v>4700147</v>
      </c>
    </row>
    <row r="3" spans="1:2" x14ac:dyDescent="0.2">
      <c r="A3" t="s">
        <v>209</v>
      </c>
      <c r="B3">
        <v>4700030</v>
      </c>
    </row>
    <row r="4" spans="1:2" x14ac:dyDescent="0.2">
      <c r="A4" t="s">
        <v>210</v>
      </c>
      <c r="B4">
        <v>4700060</v>
      </c>
    </row>
    <row r="5" spans="1:2" x14ac:dyDescent="0.2">
      <c r="A5" t="s">
        <v>211</v>
      </c>
      <c r="B5">
        <v>4700090</v>
      </c>
    </row>
    <row r="6" spans="1:2" x14ac:dyDescent="0.2">
      <c r="A6" t="s">
        <v>212</v>
      </c>
      <c r="B6">
        <v>4700152</v>
      </c>
    </row>
    <row r="7" spans="1:2" x14ac:dyDescent="0.2">
      <c r="A7" t="s">
        <v>213</v>
      </c>
    </row>
    <row r="8" spans="1:2" x14ac:dyDescent="0.2">
      <c r="A8" t="s">
        <v>480</v>
      </c>
    </row>
    <row r="9" spans="1:2" x14ac:dyDescent="0.2">
      <c r="A9" t="s">
        <v>533</v>
      </c>
    </row>
    <row r="10" spans="1:2" x14ac:dyDescent="0.2">
      <c r="A10" t="s">
        <v>534</v>
      </c>
    </row>
    <row r="11" spans="1:2" x14ac:dyDescent="0.2">
      <c r="A11" t="s">
        <v>535</v>
      </c>
    </row>
    <row r="12" spans="1:2" x14ac:dyDescent="0.2">
      <c r="A12" t="s">
        <v>536</v>
      </c>
    </row>
    <row r="13" spans="1:2" x14ac:dyDescent="0.2">
      <c r="A13" t="s">
        <v>537</v>
      </c>
    </row>
    <row r="14" spans="1:2" x14ac:dyDescent="0.2">
      <c r="A14" t="s">
        <v>538</v>
      </c>
    </row>
    <row r="15" spans="1:2" x14ac:dyDescent="0.2">
      <c r="A15" t="s">
        <v>539</v>
      </c>
    </row>
    <row r="16" spans="1:2" x14ac:dyDescent="0.2">
      <c r="A16" t="s">
        <v>540</v>
      </c>
    </row>
    <row r="17" spans="1:2" x14ac:dyDescent="0.2">
      <c r="A17" t="s">
        <v>541</v>
      </c>
    </row>
    <row r="18" spans="1:2" x14ac:dyDescent="0.2">
      <c r="A18" t="s">
        <v>542</v>
      </c>
    </row>
    <row r="19" spans="1:2" x14ac:dyDescent="0.2">
      <c r="A19" t="s">
        <v>543</v>
      </c>
    </row>
    <row r="20" spans="1:2" x14ac:dyDescent="0.2">
      <c r="A20" t="s">
        <v>544</v>
      </c>
    </row>
    <row r="21" spans="1:2" x14ac:dyDescent="0.2">
      <c r="A21" t="s">
        <v>545</v>
      </c>
    </row>
    <row r="22" spans="1:2" x14ac:dyDescent="0.2">
      <c r="A22" t="s">
        <v>531</v>
      </c>
    </row>
    <row r="23" spans="1:2" x14ac:dyDescent="0.2">
      <c r="A23" t="s">
        <v>496</v>
      </c>
    </row>
    <row r="24" spans="1:2" x14ac:dyDescent="0.2">
      <c r="A24" t="s">
        <v>228</v>
      </c>
      <c r="B24">
        <v>4700120</v>
      </c>
    </row>
    <row r="25" spans="1:2" x14ac:dyDescent="0.2">
      <c r="A25" t="s">
        <v>229</v>
      </c>
    </row>
    <row r="26" spans="1:2" x14ac:dyDescent="0.2">
      <c r="A26" t="s">
        <v>532</v>
      </c>
    </row>
    <row r="27" spans="1:2" x14ac:dyDescent="0.2">
      <c r="A27" t="s">
        <v>230</v>
      </c>
      <c r="B27">
        <v>4700153</v>
      </c>
    </row>
    <row r="28" spans="1:2" x14ac:dyDescent="0.2">
      <c r="A28" t="s">
        <v>501</v>
      </c>
    </row>
    <row r="29" spans="1:2" x14ac:dyDescent="0.2">
      <c r="A29" t="s">
        <v>231</v>
      </c>
      <c r="B29">
        <v>4700180</v>
      </c>
    </row>
    <row r="30" spans="1:2" x14ac:dyDescent="0.2">
      <c r="A30" t="s">
        <v>482</v>
      </c>
    </row>
    <row r="31" spans="1:2" x14ac:dyDescent="0.2">
      <c r="A31" t="s">
        <v>11</v>
      </c>
      <c r="B31">
        <v>4700210</v>
      </c>
    </row>
    <row r="32" spans="1:2" x14ac:dyDescent="0.2">
      <c r="A32" t="s">
        <v>233</v>
      </c>
      <c r="B32">
        <v>4700240</v>
      </c>
    </row>
    <row r="33" spans="1:2" x14ac:dyDescent="0.2">
      <c r="A33" t="s">
        <v>234</v>
      </c>
      <c r="B33">
        <v>4700270</v>
      </c>
    </row>
    <row r="34" spans="1:2" x14ac:dyDescent="0.2">
      <c r="A34" t="s">
        <v>235</v>
      </c>
      <c r="B34">
        <v>4700300</v>
      </c>
    </row>
    <row r="35" spans="1:2" x14ac:dyDescent="0.2">
      <c r="A35" t="s">
        <v>483</v>
      </c>
    </row>
    <row r="36" spans="1:2" x14ac:dyDescent="0.2">
      <c r="A36" t="s">
        <v>15</v>
      </c>
      <c r="B36">
        <v>4701390</v>
      </c>
    </row>
    <row r="37" spans="1:2" x14ac:dyDescent="0.2">
      <c r="A37" t="s">
        <v>237</v>
      </c>
      <c r="B37">
        <v>4700330</v>
      </c>
    </row>
    <row r="38" spans="1:2" x14ac:dyDescent="0.2">
      <c r="A38" t="s">
        <v>238</v>
      </c>
      <c r="B38">
        <v>4700360</v>
      </c>
    </row>
    <row r="39" spans="1:2" x14ac:dyDescent="0.2">
      <c r="A39" t="s">
        <v>240</v>
      </c>
      <c r="B39">
        <v>4700420</v>
      </c>
    </row>
    <row r="40" spans="1:2" x14ac:dyDescent="0.2">
      <c r="A40" t="s">
        <v>241</v>
      </c>
      <c r="B40">
        <v>4700450</v>
      </c>
    </row>
    <row r="41" spans="1:2" x14ac:dyDescent="0.2">
      <c r="A41" t="s">
        <v>449</v>
      </c>
      <c r="B41">
        <v>4700480</v>
      </c>
    </row>
    <row r="42" spans="1:2" x14ac:dyDescent="0.2">
      <c r="A42" t="s">
        <v>243</v>
      </c>
      <c r="B42">
        <v>4700510</v>
      </c>
    </row>
    <row r="43" spans="1:2" x14ac:dyDescent="0.2">
      <c r="A43" t="s">
        <v>519</v>
      </c>
    </row>
    <row r="44" spans="1:2" x14ac:dyDescent="0.2">
      <c r="A44" t="s">
        <v>520</v>
      </c>
    </row>
    <row r="45" spans="1:2" x14ac:dyDescent="0.2">
      <c r="A45" t="s">
        <v>245</v>
      </c>
    </row>
    <row r="46" spans="1:2" x14ac:dyDescent="0.2">
      <c r="A46" t="s">
        <v>484</v>
      </c>
    </row>
    <row r="47" spans="1:2" x14ac:dyDescent="0.2">
      <c r="A47" t="s">
        <v>521</v>
      </c>
    </row>
    <row r="48" spans="1:2" x14ac:dyDescent="0.2">
      <c r="A48" t="s">
        <v>246</v>
      </c>
      <c r="B48">
        <v>4700570</v>
      </c>
    </row>
    <row r="49" spans="1:2" x14ac:dyDescent="0.2">
      <c r="A49" t="s">
        <v>247</v>
      </c>
      <c r="B49">
        <v>4700600</v>
      </c>
    </row>
    <row r="50" spans="1:2" x14ac:dyDescent="0.2">
      <c r="A50" t="s">
        <v>248</v>
      </c>
    </row>
    <row r="51" spans="1:2" x14ac:dyDescent="0.2">
      <c r="A51" t="s">
        <v>179</v>
      </c>
    </row>
    <row r="52" spans="1:2" x14ac:dyDescent="0.2">
      <c r="A52" t="s">
        <v>456</v>
      </c>
    </row>
    <row r="53" spans="1:2" x14ac:dyDescent="0.2">
      <c r="A53" t="s">
        <v>251</v>
      </c>
    </row>
    <row r="54" spans="1:2" x14ac:dyDescent="0.2">
      <c r="A54" t="s">
        <v>252</v>
      </c>
      <c r="B54">
        <v>4700630</v>
      </c>
    </row>
    <row r="55" spans="1:2" x14ac:dyDescent="0.2">
      <c r="A55" t="s">
        <v>253</v>
      </c>
      <c r="B55">
        <v>4700660</v>
      </c>
    </row>
    <row r="56" spans="1:2" x14ac:dyDescent="0.2">
      <c r="A56" t="s">
        <v>254</v>
      </c>
      <c r="B56">
        <v>4700690</v>
      </c>
    </row>
    <row r="57" spans="1:2" x14ac:dyDescent="0.2">
      <c r="A57" t="s">
        <v>29</v>
      </c>
    </row>
    <row r="58" spans="1:2" x14ac:dyDescent="0.2">
      <c r="A58" t="s">
        <v>256</v>
      </c>
      <c r="B58">
        <v>4700720</v>
      </c>
    </row>
    <row r="59" spans="1:2" x14ac:dyDescent="0.2">
      <c r="A59" t="s">
        <v>257</v>
      </c>
      <c r="B59">
        <v>4700750</v>
      </c>
    </row>
    <row r="60" spans="1:2" x14ac:dyDescent="0.2">
      <c r="A60" t="s">
        <v>258</v>
      </c>
      <c r="B60">
        <v>4700780</v>
      </c>
    </row>
    <row r="61" spans="1:2" x14ac:dyDescent="0.2">
      <c r="A61" t="s">
        <v>259</v>
      </c>
      <c r="B61">
        <v>4700149</v>
      </c>
    </row>
    <row r="62" spans="1:2" x14ac:dyDescent="0.2">
      <c r="A62" t="s">
        <v>498</v>
      </c>
    </row>
    <row r="63" spans="1:2" x14ac:dyDescent="0.2">
      <c r="A63" t="s">
        <v>260</v>
      </c>
    </row>
    <row r="64" spans="1:2" x14ac:dyDescent="0.2">
      <c r="A64" t="s">
        <v>485</v>
      </c>
    </row>
    <row r="65" spans="1:2" x14ac:dyDescent="0.2">
      <c r="A65" t="s">
        <v>261</v>
      </c>
      <c r="B65">
        <v>4700900</v>
      </c>
    </row>
    <row r="66" spans="1:2" x14ac:dyDescent="0.2">
      <c r="A66" t="s">
        <v>551</v>
      </c>
    </row>
    <row r="67" spans="1:2" x14ac:dyDescent="0.2">
      <c r="A67" t="s">
        <v>262</v>
      </c>
      <c r="B67">
        <v>4703180</v>
      </c>
    </row>
    <row r="68" spans="1:2" x14ac:dyDescent="0.2">
      <c r="A68" t="s">
        <v>263</v>
      </c>
      <c r="B68">
        <v>4700930</v>
      </c>
    </row>
    <row r="69" spans="1:2" x14ac:dyDescent="0.2">
      <c r="A69" t="s">
        <v>264</v>
      </c>
      <c r="B69">
        <v>4700960</v>
      </c>
    </row>
    <row r="70" spans="1:2" x14ac:dyDescent="0.2">
      <c r="A70" t="s">
        <v>265</v>
      </c>
      <c r="B70">
        <v>4700990</v>
      </c>
    </row>
    <row r="71" spans="1:2" x14ac:dyDescent="0.2">
      <c r="A71" t="s">
        <v>266</v>
      </c>
      <c r="B71">
        <v>4701020</v>
      </c>
    </row>
    <row r="72" spans="1:2" x14ac:dyDescent="0.2">
      <c r="A72" t="s">
        <v>267</v>
      </c>
      <c r="B72">
        <v>4701050</v>
      </c>
    </row>
    <row r="73" spans="1:2" x14ac:dyDescent="0.2">
      <c r="A73" t="s">
        <v>268</v>
      </c>
      <c r="B73">
        <v>4701080</v>
      </c>
    </row>
    <row r="74" spans="1:2" x14ac:dyDescent="0.2">
      <c r="A74" t="s">
        <v>269</v>
      </c>
      <c r="B74">
        <v>4701110</v>
      </c>
    </row>
    <row r="75" spans="1:2" x14ac:dyDescent="0.2">
      <c r="A75" t="s">
        <v>44</v>
      </c>
    </row>
    <row r="76" spans="1:2" x14ac:dyDescent="0.2">
      <c r="A76" t="s">
        <v>271</v>
      </c>
      <c r="B76">
        <v>4701140</v>
      </c>
    </row>
    <row r="77" spans="1:2" x14ac:dyDescent="0.2">
      <c r="A77" t="s">
        <v>46</v>
      </c>
    </row>
    <row r="78" spans="1:2" x14ac:dyDescent="0.2">
      <c r="A78" t="s">
        <v>273</v>
      </c>
    </row>
    <row r="79" spans="1:2" x14ac:dyDescent="0.2">
      <c r="A79" t="s">
        <v>274</v>
      </c>
      <c r="B79">
        <v>4701200</v>
      </c>
    </row>
    <row r="80" spans="1:2" x14ac:dyDescent="0.2">
      <c r="A80" t="s">
        <v>275</v>
      </c>
      <c r="B80">
        <v>4701230</v>
      </c>
    </row>
    <row r="81" spans="1:2" x14ac:dyDescent="0.2">
      <c r="A81" t="s">
        <v>276</v>
      </c>
      <c r="B81">
        <v>4701290</v>
      </c>
    </row>
    <row r="82" spans="1:2" x14ac:dyDescent="0.2">
      <c r="A82" t="s">
        <v>277</v>
      </c>
      <c r="B82">
        <v>4701260</v>
      </c>
    </row>
    <row r="83" spans="1:2" x14ac:dyDescent="0.2">
      <c r="A83" t="s">
        <v>526</v>
      </c>
    </row>
    <row r="84" spans="1:2" x14ac:dyDescent="0.2">
      <c r="A84" t="s">
        <v>486</v>
      </c>
    </row>
    <row r="85" spans="1:2" x14ac:dyDescent="0.2">
      <c r="A85" t="s">
        <v>279</v>
      </c>
      <c r="B85">
        <v>4700151</v>
      </c>
    </row>
    <row r="86" spans="1:2" x14ac:dyDescent="0.2">
      <c r="A86" t="s">
        <v>280</v>
      </c>
    </row>
    <row r="87" spans="1:2" x14ac:dyDescent="0.2">
      <c r="A87" t="s">
        <v>281</v>
      </c>
      <c r="B87">
        <v>4701400</v>
      </c>
    </row>
    <row r="88" spans="1:2" x14ac:dyDescent="0.2">
      <c r="A88" t="s">
        <v>282</v>
      </c>
      <c r="B88">
        <v>4701410</v>
      </c>
    </row>
    <row r="89" spans="1:2" x14ac:dyDescent="0.2">
      <c r="A89" t="s">
        <v>283</v>
      </c>
    </row>
    <row r="90" spans="1:2" x14ac:dyDescent="0.2">
      <c r="A90" t="s">
        <v>284</v>
      </c>
      <c r="B90">
        <v>4701440</v>
      </c>
    </row>
    <row r="91" spans="1:2" x14ac:dyDescent="0.2">
      <c r="A91" t="s">
        <v>285</v>
      </c>
    </row>
    <row r="92" spans="1:2" x14ac:dyDescent="0.2">
      <c r="A92" t="s">
        <v>286</v>
      </c>
      <c r="B92">
        <v>4701470</v>
      </c>
    </row>
    <row r="93" spans="1:2" x14ac:dyDescent="0.2">
      <c r="A93" t="s">
        <v>287</v>
      </c>
      <c r="B93">
        <v>4701500</v>
      </c>
    </row>
    <row r="94" spans="1:2" x14ac:dyDescent="0.2">
      <c r="A94" t="s">
        <v>288</v>
      </c>
      <c r="B94">
        <v>4701530</v>
      </c>
    </row>
    <row r="95" spans="1:2" x14ac:dyDescent="0.2">
      <c r="A95" t="s">
        <v>289</v>
      </c>
      <c r="B95">
        <v>4700001</v>
      </c>
    </row>
    <row r="96" spans="1:2" x14ac:dyDescent="0.2">
      <c r="A96" t="s">
        <v>552</v>
      </c>
    </row>
    <row r="97" spans="1:2" x14ac:dyDescent="0.2">
      <c r="A97" t="s">
        <v>290</v>
      </c>
      <c r="B97">
        <v>4701590</v>
      </c>
    </row>
    <row r="98" spans="1:2" x14ac:dyDescent="0.2">
      <c r="A98" t="s">
        <v>291</v>
      </c>
      <c r="B98">
        <v>4701620</v>
      </c>
    </row>
    <row r="99" spans="1:2" x14ac:dyDescent="0.2">
      <c r="A99" t="s">
        <v>292</v>
      </c>
      <c r="B99">
        <v>4701650</v>
      </c>
    </row>
    <row r="100" spans="1:2" x14ac:dyDescent="0.2">
      <c r="A100" t="s">
        <v>293</v>
      </c>
      <c r="B100">
        <v>4701680</v>
      </c>
    </row>
    <row r="101" spans="1:2" x14ac:dyDescent="0.2">
      <c r="A101" t="s">
        <v>294</v>
      </c>
      <c r="B101">
        <v>4704170</v>
      </c>
    </row>
    <row r="102" spans="1:2" x14ac:dyDescent="0.2">
      <c r="A102" t="s">
        <v>295</v>
      </c>
      <c r="B102">
        <v>4701740</v>
      </c>
    </row>
    <row r="103" spans="1:2" x14ac:dyDescent="0.2">
      <c r="A103" t="s">
        <v>296</v>
      </c>
      <c r="B103">
        <v>4701770</v>
      </c>
    </row>
    <row r="104" spans="1:2" x14ac:dyDescent="0.2">
      <c r="A104" t="s">
        <v>297</v>
      </c>
      <c r="B104">
        <v>4701800</v>
      </c>
    </row>
    <row r="105" spans="1:2" x14ac:dyDescent="0.2">
      <c r="A105" t="s">
        <v>298</v>
      </c>
      <c r="B105">
        <v>4701830</v>
      </c>
    </row>
    <row r="106" spans="1:2" x14ac:dyDescent="0.2">
      <c r="A106" t="s">
        <v>299</v>
      </c>
      <c r="B106">
        <v>4701860</v>
      </c>
    </row>
    <row r="107" spans="1:2" x14ac:dyDescent="0.2">
      <c r="A107" t="s">
        <v>300</v>
      </c>
      <c r="B107">
        <v>4701890</v>
      </c>
    </row>
    <row r="108" spans="1:2" x14ac:dyDescent="0.2">
      <c r="A108" t="s">
        <v>301</v>
      </c>
      <c r="B108">
        <v>4701920</v>
      </c>
    </row>
    <row r="109" spans="1:2" x14ac:dyDescent="0.2">
      <c r="A109" t="s">
        <v>302</v>
      </c>
      <c r="B109">
        <v>4701950</v>
      </c>
    </row>
    <row r="110" spans="1:2" x14ac:dyDescent="0.2">
      <c r="A110" t="s">
        <v>303</v>
      </c>
      <c r="B110">
        <v>4701980</v>
      </c>
    </row>
    <row r="111" spans="1:2" x14ac:dyDescent="0.2">
      <c r="A111" t="s">
        <v>304</v>
      </c>
      <c r="B111">
        <v>4702010</v>
      </c>
    </row>
    <row r="112" spans="1:2" x14ac:dyDescent="0.2">
      <c r="A112" t="s">
        <v>305</v>
      </c>
    </row>
    <row r="113" spans="1:2" x14ac:dyDescent="0.2">
      <c r="A113" t="s">
        <v>503</v>
      </c>
    </row>
    <row r="114" spans="1:2" x14ac:dyDescent="0.2">
      <c r="A114" t="s">
        <v>306</v>
      </c>
    </row>
    <row r="115" spans="1:2" x14ac:dyDescent="0.2">
      <c r="A115" t="s">
        <v>307</v>
      </c>
      <c r="B115">
        <v>4702070</v>
      </c>
    </row>
    <row r="116" spans="1:2" x14ac:dyDescent="0.2">
      <c r="A116" t="s">
        <v>308</v>
      </c>
    </row>
    <row r="117" spans="1:2" x14ac:dyDescent="0.2">
      <c r="A117" t="s">
        <v>309</v>
      </c>
      <c r="B117">
        <v>4702100</v>
      </c>
    </row>
    <row r="118" spans="1:2" x14ac:dyDescent="0.2">
      <c r="A118" t="s">
        <v>310</v>
      </c>
      <c r="B118">
        <v>4702130</v>
      </c>
    </row>
    <row r="119" spans="1:2" x14ac:dyDescent="0.2">
      <c r="A119" t="s">
        <v>311</v>
      </c>
      <c r="B119">
        <v>4702160</v>
      </c>
    </row>
    <row r="120" spans="1:2" x14ac:dyDescent="0.2">
      <c r="A120" t="s">
        <v>487</v>
      </c>
    </row>
    <row r="121" spans="1:2" x14ac:dyDescent="0.2">
      <c r="A121" t="s">
        <v>312</v>
      </c>
      <c r="B121">
        <v>4702190</v>
      </c>
    </row>
    <row r="122" spans="1:2" x14ac:dyDescent="0.2">
      <c r="A122" t="s">
        <v>488</v>
      </c>
    </row>
    <row r="123" spans="1:2" x14ac:dyDescent="0.2">
      <c r="A123" t="s">
        <v>499</v>
      </c>
    </row>
    <row r="124" spans="1:2" x14ac:dyDescent="0.2">
      <c r="A124" t="s">
        <v>313</v>
      </c>
    </row>
    <row r="125" spans="1:2" x14ac:dyDescent="0.2">
      <c r="A125" t="s">
        <v>314</v>
      </c>
    </row>
    <row r="126" spans="1:2" x14ac:dyDescent="0.2">
      <c r="A126" t="s">
        <v>315</v>
      </c>
    </row>
    <row r="127" spans="1:2" x14ac:dyDescent="0.2">
      <c r="A127" t="s">
        <v>316</v>
      </c>
    </row>
    <row r="128" spans="1:2" x14ac:dyDescent="0.2">
      <c r="A128" t="s">
        <v>527</v>
      </c>
    </row>
    <row r="129" spans="1:2" x14ac:dyDescent="0.2">
      <c r="A129" t="s">
        <v>318</v>
      </c>
    </row>
    <row r="130" spans="1:2" x14ac:dyDescent="0.2">
      <c r="A130" t="s">
        <v>319</v>
      </c>
      <c r="B130">
        <v>4702220</v>
      </c>
    </row>
    <row r="131" spans="1:2" x14ac:dyDescent="0.2">
      <c r="A131" t="s">
        <v>320</v>
      </c>
      <c r="B131">
        <v>4702280</v>
      </c>
    </row>
    <row r="132" spans="1:2" x14ac:dyDescent="0.2">
      <c r="A132" t="s">
        <v>321</v>
      </c>
      <c r="B132">
        <v>4700154</v>
      </c>
    </row>
    <row r="133" spans="1:2" x14ac:dyDescent="0.2">
      <c r="A133" t="s">
        <v>322</v>
      </c>
      <c r="B133">
        <v>4702310</v>
      </c>
    </row>
    <row r="134" spans="1:2" x14ac:dyDescent="0.2">
      <c r="A134" t="s">
        <v>323</v>
      </c>
      <c r="B134">
        <v>4702340</v>
      </c>
    </row>
    <row r="135" spans="1:2" x14ac:dyDescent="0.2">
      <c r="A135" t="s">
        <v>455</v>
      </c>
    </row>
    <row r="136" spans="1:2" x14ac:dyDescent="0.2">
      <c r="A136" t="s">
        <v>324</v>
      </c>
    </row>
    <row r="137" spans="1:2" x14ac:dyDescent="0.2">
      <c r="A137" t="s">
        <v>325</v>
      </c>
      <c r="B137">
        <v>4702370</v>
      </c>
    </row>
    <row r="138" spans="1:2" x14ac:dyDescent="0.2">
      <c r="A138" t="s">
        <v>490</v>
      </c>
    </row>
    <row r="139" spans="1:2" x14ac:dyDescent="0.2">
      <c r="A139" t="s">
        <v>326</v>
      </c>
      <c r="B139">
        <v>4702400</v>
      </c>
    </row>
    <row r="140" spans="1:2" x14ac:dyDescent="0.2">
      <c r="A140" t="s">
        <v>327</v>
      </c>
      <c r="B140">
        <v>4702430</v>
      </c>
    </row>
    <row r="141" spans="1:2" x14ac:dyDescent="0.2">
      <c r="A141" t="s">
        <v>328</v>
      </c>
      <c r="B141">
        <v>4702460</v>
      </c>
    </row>
    <row r="142" spans="1:2" x14ac:dyDescent="0.2">
      <c r="A142" t="s">
        <v>329</v>
      </c>
    </row>
    <row r="143" spans="1:2" x14ac:dyDescent="0.2">
      <c r="A143" t="s">
        <v>330</v>
      </c>
      <c r="B143">
        <v>4702490</v>
      </c>
    </row>
    <row r="144" spans="1:2" x14ac:dyDescent="0.2">
      <c r="A144" t="s">
        <v>331</v>
      </c>
    </row>
    <row r="145" spans="1:2" x14ac:dyDescent="0.2">
      <c r="A145" t="s">
        <v>332</v>
      </c>
      <c r="B145">
        <v>4702520</v>
      </c>
    </row>
    <row r="146" spans="1:2" x14ac:dyDescent="0.2">
      <c r="A146" t="s">
        <v>333</v>
      </c>
      <c r="B146">
        <v>4702550</v>
      </c>
    </row>
    <row r="147" spans="1:2" x14ac:dyDescent="0.2">
      <c r="A147" t="s">
        <v>334</v>
      </c>
      <c r="B147">
        <v>4702610</v>
      </c>
    </row>
    <row r="148" spans="1:2" x14ac:dyDescent="0.2">
      <c r="A148" t="s">
        <v>335</v>
      </c>
      <c r="B148">
        <v>4702640</v>
      </c>
    </row>
    <row r="149" spans="1:2" x14ac:dyDescent="0.2">
      <c r="A149" t="s">
        <v>336</v>
      </c>
      <c r="B149">
        <v>4702670</v>
      </c>
    </row>
    <row r="150" spans="1:2" x14ac:dyDescent="0.2">
      <c r="A150" t="s">
        <v>491</v>
      </c>
    </row>
    <row r="151" spans="1:2" x14ac:dyDescent="0.2">
      <c r="A151" t="s">
        <v>338</v>
      </c>
      <c r="B151">
        <v>4702700</v>
      </c>
    </row>
    <row r="152" spans="1:2" x14ac:dyDescent="0.2">
      <c r="A152" t="s">
        <v>339</v>
      </c>
      <c r="B152">
        <v>4702760</v>
      </c>
    </row>
    <row r="153" spans="1:2" x14ac:dyDescent="0.2">
      <c r="A153" t="s">
        <v>340</v>
      </c>
      <c r="B153">
        <v>4702790</v>
      </c>
    </row>
    <row r="154" spans="1:2" x14ac:dyDescent="0.2">
      <c r="A154" t="s">
        <v>341</v>
      </c>
      <c r="B154">
        <v>4702820</v>
      </c>
    </row>
    <row r="155" spans="1:2" x14ac:dyDescent="0.2">
      <c r="A155" t="s">
        <v>342</v>
      </c>
      <c r="B155">
        <v>4702880</v>
      </c>
    </row>
    <row r="156" spans="1:2" x14ac:dyDescent="0.2">
      <c r="A156" t="s">
        <v>343</v>
      </c>
      <c r="B156">
        <v>4702910</v>
      </c>
    </row>
    <row r="157" spans="1:2" x14ac:dyDescent="0.2">
      <c r="A157" t="s">
        <v>344</v>
      </c>
    </row>
    <row r="158" spans="1:2" x14ac:dyDescent="0.2">
      <c r="A158" t="s">
        <v>345</v>
      </c>
    </row>
    <row r="159" spans="1:2" x14ac:dyDescent="0.2">
      <c r="A159" t="s">
        <v>346</v>
      </c>
    </row>
    <row r="160" spans="1:2" x14ac:dyDescent="0.2">
      <c r="A160" t="s">
        <v>347</v>
      </c>
    </row>
    <row r="161" spans="1:2" x14ac:dyDescent="0.2">
      <c r="A161" t="s">
        <v>348</v>
      </c>
    </row>
    <row r="162" spans="1:2" x14ac:dyDescent="0.2">
      <c r="A162" t="s">
        <v>349</v>
      </c>
    </row>
    <row r="163" spans="1:2" x14ac:dyDescent="0.2">
      <c r="A163" t="s">
        <v>550</v>
      </c>
    </row>
    <row r="164" spans="1:2" x14ac:dyDescent="0.2">
      <c r="A164" t="s">
        <v>350</v>
      </c>
    </row>
    <row r="165" spans="1:2" x14ac:dyDescent="0.2">
      <c r="A165" t="s">
        <v>351</v>
      </c>
    </row>
    <row r="166" spans="1:2" x14ac:dyDescent="0.2">
      <c r="A166" t="s">
        <v>352</v>
      </c>
    </row>
    <row r="167" spans="1:2" x14ac:dyDescent="0.2">
      <c r="A167" t="s">
        <v>500</v>
      </c>
    </row>
    <row r="168" spans="1:2" x14ac:dyDescent="0.2">
      <c r="A168" t="s">
        <v>353</v>
      </c>
    </row>
    <row r="169" spans="1:2" x14ac:dyDescent="0.2">
      <c r="A169" t="s">
        <v>354</v>
      </c>
    </row>
    <row r="170" spans="1:2" x14ac:dyDescent="0.2">
      <c r="A170" t="s">
        <v>355</v>
      </c>
    </row>
    <row r="171" spans="1:2" x14ac:dyDescent="0.2">
      <c r="A171" t="s">
        <v>356</v>
      </c>
      <c r="B171">
        <v>4702970</v>
      </c>
    </row>
    <row r="172" spans="1:2" x14ac:dyDescent="0.2">
      <c r="A172" t="s">
        <v>357</v>
      </c>
      <c r="B172">
        <v>4700150</v>
      </c>
    </row>
    <row r="173" spans="1:2" x14ac:dyDescent="0.2">
      <c r="A173" t="s">
        <v>358</v>
      </c>
      <c r="B173">
        <v>4703000</v>
      </c>
    </row>
    <row r="174" spans="1:2" x14ac:dyDescent="0.2">
      <c r="A174" t="s">
        <v>553</v>
      </c>
    </row>
    <row r="175" spans="1:2" x14ac:dyDescent="0.2">
      <c r="A175" t="s">
        <v>359</v>
      </c>
      <c r="B175">
        <v>4703030</v>
      </c>
    </row>
    <row r="176" spans="1:2" x14ac:dyDescent="0.2">
      <c r="A176" t="s">
        <v>360</v>
      </c>
      <c r="B176">
        <v>4703060</v>
      </c>
    </row>
    <row r="177" spans="1:2" x14ac:dyDescent="0.2">
      <c r="A177" t="s">
        <v>361</v>
      </c>
      <c r="B177">
        <v>4703090</v>
      </c>
    </row>
    <row r="178" spans="1:2" x14ac:dyDescent="0.2">
      <c r="A178" t="s">
        <v>362</v>
      </c>
      <c r="B178">
        <v>4703150</v>
      </c>
    </row>
    <row r="179" spans="1:2" x14ac:dyDescent="0.2">
      <c r="A179" t="s">
        <v>363</v>
      </c>
    </row>
    <row r="180" spans="1:2" x14ac:dyDescent="0.2">
      <c r="A180" t="s">
        <v>364</v>
      </c>
    </row>
    <row r="181" spans="1:2" x14ac:dyDescent="0.2">
      <c r="A181" t="s">
        <v>504</v>
      </c>
    </row>
    <row r="182" spans="1:2" x14ac:dyDescent="0.2">
      <c r="A182" t="s">
        <v>365</v>
      </c>
    </row>
    <row r="183" spans="1:2" x14ac:dyDescent="0.2">
      <c r="A183" t="s">
        <v>528</v>
      </c>
    </row>
    <row r="184" spans="1:2" x14ac:dyDescent="0.2">
      <c r="A184" t="s">
        <v>124</v>
      </c>
    </row>
    <row r="185" spans="1:2" x14ac:dyDescent="0.2">
      <c r="A185" t="s">
        <v>368</v>
      </c>
      <c r="B185">
        <v>4703210</v>
      </c>
    </row>
    <row r="186" spans="1:2" x14ac:dyDescent="0.2">
      <c r="A186" t="s">
        <v>369</v>
      </c>
    </row>
    <row r="187" spans="1:2" x14ac:dyDescent="0.2">
      <c r="A187" t="s">
        <v>370</v>
      </c>
      <c r="B187">
        <v>4703240</v>
      </c>
    </row>
    <row r="188" spans="1:2" x14ac:dyDescent="0.2">
      <c r="A188" t="s">
        <v>371</v>
      </c>
      <c r="B188">
        <v>4703270</v>
      </c>
    </row>
    <row r="189" spans="1:2" x14ac:dyDescent="0.2">
      <c r="A189" t="s">
        <v>529</v>
      </c>
    </row>
    <row r="190" spans="1:2" x14ac:dyDescent="0.2">
      <c r="A190" t="s">
        <v>530</v>
      </c>
    </row>
    <row r="191" spans="1:2" x14ac:dyDescent="0.2">
      <c r="A191" t="s">
        <v>374</v>
      </c>
      <c r="B191">
        <v>4703300</v>
      </c>
    </row>
    <row r="192" spans="1:2" x14ac:dyDescent="0.2">
      <c r="A192" t="s">
        <v>375</v>
      </c>
      <c r="B192">
        <v>4703330</v>
      </c>
    </row>
    <row r="193" spans="1:2" x14ac:dyDescent="0.2">
      <c r="A193" t="s">
        <v>376</v>
      </c>
      <c r="B193">
        <v>4703360</v>
      </c>
    </row>
    <row r="194" spans="1:2" x14ac:dyDescent="0.2">
      <c r="A194" t="s">
        <v>492</v>
      </c>
    </row>
    <row r="195" spans="1:2" x14ac:dyDescent="0.2">
      <c r="A195" t="s">
        <v>377</v>
      </c>
      <c r="B195">
        <v>4703390</v>
      </c>
    </row>
    <row r="196" spans="1:2" x14ac:dyDescent="0.2">
      <c r="A196" t="s">
        <v>378</v>
      </c>
      <c r="B196">
        <v>4703420</v>
      </c>
    </row>
    <row r="197" spans="1:2" x14ac:dyDescent="0.2">
      <c r="A197" t="s">
        <v>379</v>
      </c>
      <c r="B197">
        <v>4703450</v>
      </c>
    </row>
    <row r="198" spans="1:2" x14ac:dyDescent="0.2">
      <c r="A198" t="s">
        <v>380</v>
      </c>
    </row>
    <row r="199" spans="1:2" x14ac:dyDescent="0.2">
      <c r="A199" t="s">
        <v>381</v>
      </c>
    </row>
    <row r="200" spans="1:2" x14ac:dyDescent="0.2">
      <c r="A200" t="s">
        <v>382</v>
      </c>
    </row>
    <row r="201" spans="1:2" x14ac:dyDescent="0.2">
      <c r="A201" t="s">
        <v>383</v>
      </c>
    </row>
    <row r="202" spans="1:2" x14ac:dyDescent="0.2">
      <c r="A202" t="s">
        <v>384</v>
      </c>
    </row>
    <row r="203" spans="1:2" x14ac:dyDescent="0.2">
      <c r="A203" t="s">
        <v>385</v>
      </c>
      <c r="B203">
        <v>4703480</v>
      </c>
    </row>
    <row r="204" spans="1:2" x14ac:dyDescent="0.2">
      <c r="A204" t="s">
        <v>386</v>
      </c>
    </row>
    <row r="205" spans="1:2" x14ac:dyDescent="0.2">
      <c r="A205" t="s">
        <v>387</v>
      </c>
      <c r="B205">
        <v>4703510</v>
      </c>
    </row>
    <row r="206" spans="1:2" x14ac:dyDescent="0.2">
      <c r="A206" t="s">
        <v>388</v>
      </c>
      <c r="B206">
        <v>4703540</v>
      </c>
    </row>
    <row r="207" spans="1:2" x14ac:dyDescent="0.2">
      <c r="A207" t="s">
        <v>389</v>
      </c>
      <c r="B207">
        <v>4703590</v>
      </c>
    </row>
    <row r="208" spans="1:2" x14ac:dyDescent="0.2">
      <c r="A208" t="s">
        <v>390</v>
      </c>
      <c r="B208">
        <v>4703600</v>
      </c>
    </row>
    <row r="209" spans="1:2" x14ac:dyDescent="0.2">
      <c r="A209" t="s">
        <v>391</v>
      </c>
    </row>
    <row r="210" spans="1:2" x14ac:dyDescent="0.2">
      <c r="A210" t="s">
        <v>392</v>
      </c>
      <c r="B210">
        <v>4703660</v>
      </c>
    </row>
    <row r="211" spans="1:2" x14ac:dyDescent="0.2">
      <c r="A211" t="s">
        <v>393</v>
      </c>
      <c r="B211">
        <v>4703690</v>
      </c>
    </row>
    <row r="212" spans="1:2" x14ac:dyDescent="0.2">
      <c r="A212" t="s">
        <v>394</v>
      </c>
      <c r="B212">
        <v>4703720</v>
      </c>
    </row>
    <row r="213" spans="1:2" x14ac:dyDescent="0.2">
      <c r="A213" t="s">
        <v>395</v>
      </c>
      <c r="B213">
        <v>4703750</v>
      </c>
    </row>
    <row r="214" spans="1:2" x14ac:dyDescent="0.2">
      <c r="A214" t="s">
        <v>396</v>
      </c>
      <c r="B214">
        <v>4703780</v>
      </c>
    </row>
    <row r="215" spans="1:2" x14ac:dyDescent="0.2">
      <c r="A215" t="s">
        <v>397</v>
      </c>
      <c r="B215">
        <v>4700148</v>
      </c>
    </row>
    <row r="216" spans="1:2" x14ac:dyDescent="0.2">
      <c r="A216" t="s">
        <v>398</v>
      </c>
      <c r="B216">
        <v>4703870</v>
      </c>
    </row>
    <row r="217" spans="1:2" x14ac:dyDescent="0.2">
      <c r="A217" t="s">
        <v>399</v>
      </c>
    </row>
    <row r="218" spans="1:2" x14ac:dyDescent="0.2">
      <c r="A218" t="s">
        <v>400</v>
      </c>
      <c r="B218">
        <v>4703900</v>
      </c>
    </row>
    <row r="219" spans="1:2" x14ac:dyDescent="0.2">
      <c r="A219" t="s">
        <v>401</v>
      </c>
    </row>
    <row r="220" spans="1:2" x14ac:dyDescent="0.2">
      <c r="A220" t="s">
        <v>402</v>
      </c>
    </row>
    <row r="221" spans="1:2" x14ac:dyDescent="0.2">
      <c r="A221" t="s">
        <v>403</v>
      </c>
    </row>
    <row r="222" spans="1:2" x14ac:dyDescent="0.2">
      <c r="A222" t="s">
        <v>404</v>
      </c>
    </row>
    <row r="223" spans="1:2" x14ac:dyDescent="0.2">
      <c r="A223" t="s">
        <v>405</v>
      </c>
      <c r="B223">
        <v>4703960</v>
      </c>
    </row>
    <row r="224" spans="1:2" x14ac:dyDescent="0.2">
      <c r="A224" t="s">
        <v>406</v>
      </c>
    </row>
    <row r="225" spans="1:2" x14ac:dyDescent="0.2">
      <c r="A225" t="s">
        <v>407</v>
      </c>
    </row>
    <row r="226" spans="1:2" x14ac:dyDescent="0.2">
      <c r="A226" t="s">
        <v>408</v>
      </c>
      <c r="B226">
        <v>4704020</v>
      </c>
    </row>
    <row r="227" spans="1:2" x14ac:dyDescent="0.2">
      <c r="A227" t="s">
        <v>409</v>
      </c>
      <c r="B227">
        <v>4704050</v>
      </c>
    </row>
    <row r="228" spans="1:2" x14ac:dyDescent="0.2">
      <c r="A228" t="s">
        <v>518</v>
      </c>
    </row>
    <row r="229" spans="1:2" x14ac:dyDescent="0.2">
      <c r="A229" t="s">
        <v>410</v>
      </c>
      <c r="B229">
        <v>4704080</v>
      </c>
    </row>
    <row r="230" spans="1:2" x14ac:dyDescent="0.2">
      <c r="A230" t="s">
        <v>411</v>
      </c>
      <c r="B230">
        <v>4704100</v>
      </c>
    </row>
    <row r="231" spans="1:2" x14ac:dyDescent="0.2">
      <c r="A231" t="s">
        <v>412</v>
      </c>
      <c r="B231">
        <v>4704200</v>
      </c>
    </row>
    <row r="232" spans="1:2" x14ac:dyDescent="0.2">
      <c r="A232" t="s">
        <v>413</v>
      </c>
      <c r="B232">
        <v>4704230</v>
      </c>
    </row>
    <row r="233" spans="1:2" x14ac:dyDescent="0.2">
      <c r="A233" t="s">
        <v>414</v>
      </c>
      <c r="B233">
        <v>4704260</v>
      </c>
    </row>
    <row r="234" spans="1:2" x14ac:dyDescent="0.2">
      <c r="A234" t="s">
        <v>415</v>
      </c>
      <c r="B234">
        <v>4704290</v>
      </c>
    </row>
    <row r="235" spans="1:2" x14ac:dyDescent="0.2">
      <c r="A235" t="s">
        <v>416</v>
      </c>
    </row>
    <row r="236" spans="1:2" x14ac:dyDescent="0.2">
      <c r="A236" t="s">
        <v>417</v>
      </c>
      <c r="B236">
        <v>4704320</v>
      </c>
    </row>
    <row r="237" spans="1:2" x14ac:dyDescent="0.2">
      <c r="A237" t="s">
        <v>418</v>
      </c>
    </row>
    <row r="238" spans="1:2" x14ac:dyDescent="0.2">
      <c r="A238" t="s">
        <v>419</v>
      </c>
    </row>
    <row r="239" spans="1:2" x14ac:dyDescent="0.2">
      <c r="A239" t="s">
        <v>549</v>
      </c>
    </row>
    <row r="240" spans="1:2" x14ac:dyDescent="0.2">
      <c r="A240" t="s">
        <v>475</v>
      </c>
    </row>
    <row r="241" spans="1:2" x14ac:dyDescent="0.2">
      <c r="A241" t="s">
        <v>477</v>
      </c>
    </row>
    <row r="242" spans="1:2" x14ac:dyDescent="0.2">
      <c r="A242" t="s">
        <v>478</v>
      </c>
    </row>
    <row r="243" spans="1:2" x14ac:dyDescent="0.2">
      <c r="A243" t="s">
        <v>523</v>
      </c>
    </row>
    <row r="244" spans="1:2" x14ac:dyDescent="0.2">
      <c r="A244" t="s">
        <v>425</v>
      </c>
      <c r="B244">
        <v>4704350</v>
      </c>
    </row>
    <row r="245" spans="1:2" x14ac:dyDescent="0.2">
      <c r="A245" t="s">
        <v>426</v>
      </c>
      <c r="B245">
        <v>4704380</v>
      </c>
    </row>
    <row r="246" spans="1:2" x14ac:dyDescent="0.2">
      <c r="A246" t="s">
        <v>427</v>
      </c>
      <c r="B246">
        <v>4704440</v>
      </c>
    </row>
    <row r="247" spans="1:2" x14ac:dyDescent="0.2">
      <c r="A247" t="s">
        <v>428</v>
      </c>
      <c r="B247">
        <v>4704470</v>
      </c>
    </row>
    <row r="248" spans="1:2" x14ac:dyDescent="0.2">
      <c r="A248" t="s">
        <v>429</v>
      </c>
      <c r="B248">
        <v>4704490</v>
      </c>
    </row>
    <row r="249" spans="1:2" x14ac:dyDescent="0.2">
      <c r="A249" t="s">
        <v>430</v>
      </c>
      <c r="B249">
        <v>4704500</v>
      </c>
    </row>
    <row r="250" spans="1:2" x14ac:dyDescent="0.2">
      <c r="A250" t="s">
        <v>431</v>
      </c>
      <c r="B250">
        <v>4704530</v>
      </c>
    </row>
    <row r="251" spans="1:2" x14ac:dyDescent="0.2">
      <c r="A251" t="s">
        <v>432</v>
      </c>
      <c r="B251">
        <v>4704550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E758A-D960-3E48-B6E6-89D2A220525E}">
  <sheetPr>
    <tabColor rgb="FFFFFF00"/>
  </sheetPr>
  <dimension ref="A1:K11"/>
  <sheetViews>
    <sheetView workbookViewId="0">
      <selection activeCell="B17" sqref="B17"/>
    </sheetView>
  </sheetViews>
  <sheetFormatPr baseColWidth="10" defaultRowHeight="16" x14ac:dyDescent="0.2"/>
  <cols>
    <col min="1" max="1" width="25.5" style="3" bestFit="1" customWidth="1"/>
    <col min="2" max="2" width="14" bestFit="1" customWidth="1"/>
    <col min="3" max="3" width="17" bestFit="1" customWidth="1"/>
    <col min="4" max="4" width="11.5" bestFit="1" customWidth="1"/>
    <col min="5" max="5" width="6.1640625" bestFit="1" customWidth="1"/>
    <col min="7" max="7" width="25.5" style="3" bestFit="1" customWidth="1"/>
    <col min="8" max="8" width="16" bestFit="1" customWidth="1"/>
    <col min="9" max="9" width="17" bestFit="1" customWidth="1"/>
    <col min="10" max="10" width="10" bestFit="1" customWidth="1"/>
    <col min="11" max="11" width="6.1640625" bestFit="1" customWidth="1"/>
  </cols>
  <sheetData>
    <row r="1" spans="1:11" x14ac:dyDescent="0.2">
      <c r="A1" s="6" t="s">
        <v>583</v>
      </c>
      <c r="B1" s="6"/>
      <c r="C1" s="6"/>
      <c r="D1" s="6"/>
      <c r="E1" s="6"/>
      <c r="G1" s="6" t="s">
        <v>582</v>
      </c>
      <c r="H1" s="6"/>
      <c r="I1" s="6"/>
      <c r="J1" s="6"/>
      <c r="K1" s="6"/>
    </row>
    <row r="2" spans="1:11" x14ac:dyDescent="0.2">
      <c r="A2" s="3" t="s">
        <v>577</v>
      </c>
      <c r="B2" s="3" t="s">
        <v>578</v>
      </c>
      <c r="C2" s="3" t="s">
        <v>579</v>
      </c>
      <c r="D2" s="3" t="s">
        <v>580</v>
      </c>
      <c r="E2" s="3" t="s">
        <v>581</v>
      </c>
      <c r="G2" s="3" t="s">
        <v>577</v>
      </c>
      <c r="H2" s="3" t="s">
        <v>578</v>
      </c>
      <c r="I2" s="3" t="s">
        <v>579</v>
      </c>
      <c r="J2" s="3" t="s">
        <v>580</v>
      </c>
      <c r="K2" s="3" t="s">
        <v>581</v>
      </c>
    </row>
    <row r="3" spans="1:11" x14ac:dyDescent="0.2">
      <c r="A3" s="3">
        <v>2015</v>
      </c>
      <c r="B3" s="2">
        <v>8310939</v>
      </c>
      <c r="C3" s="2">
        <f>SUMIF('Final Data'!B:B,'Final Check'!A3,'Final Data'!F:F)</f>
        <v>8310939</v>
      </c>
      <c r="D3" s="2">
        <f>B3-C3</f>
        <v>0</v>
      </c>
      <c r="G3" s="3">
        <v>2015</v>
      </c>
      <c r="H3" s="2">
        <v>338412630</v>
      </c>
      <c r="I3" s="2">
        <f>SUMIF('Final Data'!B:B,'Final Check'!G3,'Final Data'!G:G)</f>
        <v>338412624</v>
      </c>
      <c r="J3">
        <f>H3-I3</f>
        <v>6</v>
      </c>
    </row>
    <row r="4" spans="1:11" x14ac:dyDescent="0.2">
      <c r="A4" s="3">
        <v>2016</v>
      </c>
      <c r="B4" s="2">
        <v>17584205</v>
      </c>
      <c r="C4" s="2">
        <f>SUMIF('Final Data'!B:B,'Final Check'!A4,'Final Data'!F:F)</f>
        <v>17584206</v>
      </c>
      <c r="D4" s="2">
        <f t="shared" ref="D4:D11" si="0">B4-C4</f>
        <v>-1</v>
      </c>
      <c r="G4" s="3">
        <v>2016</v>
      </c>
      <c r="H4" s="2">
        <v>326379930</v>
      </c>
      <c r="I4" s="2">
        <f>SUMIF('Final Data'!B:B,'Final Check'!G4,'Final Data'!G:G)</f>
        <v>326379928</v>
      </c>
      <c r="J4">
        <f t="shared" ref="J4:J6" si="1">H4-I4</f>
        <v>2</v>
      </c>
    </row>
    <row r="5" spans="1:11" x14ac:dyDescent="0.2">
      <c r="A5" s="3">
        <v>2017</v>
      </c>
      <c r="B5" s="2">
        <v>26253539</v>
      </c>
      <c r="C5" s="2">
        <f>SUMIF('Final Data'!B:B,'Final Check'!A5,'Final Data'!F:F)</f>
        <v>26253539</v>
      </c>
      <c r="D5" s="2">
        <f t="shared" si="0"/>
        <v>0</v>
      </c>
      <c r="G5" s="3">
        <v>2017</v>
      </c>
      <c r="H5" s="2">
        <v>319505383</v>
      </c>
      <c r="I5" s="2">
        <f>SUMIF('Final Data'!B:B,'Final Check'!G5,'Final Data'!G:G)</f>
        <v>319505383</v>
      </c>
      <c r="J5">
        <f t="shared" si="1"/>
        <v>0</v>
      </c>
    </row>
    <row r="6" spans="1:11" x14ac:dyDescent="0.2">
      <c r="A6" s="3">
        <v>2018</v>
      </c>
      <c r="B6" s="2">
        <v>34955185</v>
      </c>
      <c r="C6" s="2">
        <f>SUMIF('Final Data'!B:B,'Final Check'!A6,'Final Data'!F:F)</f>
        <v>34955192</v>
      </c>
      <c r="D6" s="2">
        <f t="shared" si="0"/>
        <v>-7</v>
      </c>
      <c r="G6" s="3">
        <v>2018</v>
      </c>
      <c r="H6" s="2">
        <v>317952025</v>
      </c>
      <c r="I6" s="2">
        <f>SUMIF('Final Data'!B:B,'Final Check'!G6,'Final Data'!G:G)</f>
        <v>317952019</v>
      </c>
      <c r="J6">
        <f t="shared" si="1"/>
        <v>6</v>
      </c>
    </row>
    <row r="7" spans="1:11" x14ac:dyDescent="0.2">
      <c r="A7" s="3">
        <v>2019</v>
      </c>
      <c r="B7" s="2">
        <v>20529150.829999998</v>
      </c>
      <c r="C7" s="2">
        <f>SUMIF('Final Data'!B:B,'Final Check'!A7,'Final Data'!F:F)</f>
        <v>20529160</v>
      </c>
      <c r="D7" s="2">
        <f>B7-C7</f>
        <v>-9.1700000017881393</v>
      </c>
      <c r="G7" s="3">
        <v>2019</v>
      </c>
      <c r="H7" s="2">
        <v>350738822.75</v>
      </c>
      <c r="I7" s="2">
        <f>SUMIF('Final Data'!B:B,'Final Check'!G7,'Final Data'!G:G)</f>
        <v>350738812</v>
      </c>
      <c r="J7">
        <f>H7-I7</f>
        <v>10.75</v>
      </c>
    </row>
    <row r="8" spans="1:11" x14ac:dyDescent="0.2">
      <c r="A8" s="3">
        <v>2020</v>
      </c>
      <c r="B8" s="2">
        <v>25617002.879999999</v>
      </c>
      <c r="C8" s="2">
        <f>SUMIF('Final Data'!B:B,'Final Check'!A8,'Final Data'!F:F)</f>
        <v>25617002.430000003</v>
      </c>
      <c r="D8" s="2">
        <f t="shared" si="0"/>
        <v>0.44999999552965164</v>
      </c>
      <c r="G8" s="3">
        <v>2020</v>
      </c>
      <c r="H8" s="2">
        <v>353793821.19999999</v>
      </c>
      <c r="I8" s="2">
        <f>SUMIF('Final Data'!B:B,'Final Check'!G8,'Final Data'!G:G)</f>
        <v>353793826</v>
      </c>
      <c r="J8">
        <f>H8-I8</f>
        <v>-4.800000011920929</v>
      </c>
    </row>
    <row r="9" spans="1:11" x14ac:dyDescent="0.2">
      <c r="A9" s="3">
        <v>2021</v>
      </c>
      <c r="B9" s="2">
        <v>29153069.780000001</v>
      </c>
      <c r="C9" s="2">
        <f>SUMIF('Final Data'!B:B,'Final Check'!A9,'Final Data'!F:F)</f>
        <v>29153074</v>
      </c>
      <c r="D9" s="2">
        <f t="shared" si="0"/>
        <v>-4.2199999988079071</v>
      </c>
      <c r="G9" s="3">
        <v>2021</v>
      </c>
      <c r="H9" s="2">
        <v>337078947</v>
      </c>
      <c r="I9" s="2">
        <f>SUMIF('Final Data'!B:B,'Final Check'!G9,'Final Data'!G:G)</f>
        <v>337078947</v>
      </c>
      <c r="J9">
        <f>H9-I9</f>
        <v>0</v>
      </c>
    </row>
    <row r="10" spans="1:11" x14ac:dyDescent="0.2">
      <c r="A10" s="3">
        <v>2022</v>
      </c>
      <c r="B10" s="2">
        <v>34324801.340000004</v>
      </c>
      <c r="C10" s="2">
        <f>SUMIF('Final Data'!B:B,'Final Check'!A10,'Final Data'!F:F)</f>
        <v>34324801.339999996</v>
      </c>
      <c r="D10" s="2">
        <f>B10-C10</f>
        <v>0</v>
      </c>
      <c r="G10" s="3">
        <v>2022</v>
      </c>
      <c r="H10" s="2">
        <v>338966572.94999999</v>
      </c>
      <c r="I10" s="2">
        <f>SUMIF('Final Data'!B:B,'Final Check'!G10,'Final Data'!G:G)</f>
        <v>338966572.94999999</v>
      </c>
      <c r="J10">
        <f>H10-I10</f>
        <v>0</v>
      </c>
    </row>
    <row r="11" spans="1:11" x14ac:dyDescent="0.2">
      <c r="A11" s="3">
        <v>2023</v>
      </c>
      <c r="B11" s="2">
        <v>57085586.850000001</v>
      </c>
      <c r="C11" s="2">
        <f>SUMIF('Final Data'!B:B,'Final Check'!A11,'Final Data'!F:F)</f>
        <v>57085586.849999994</v>
      </c>
      <c r="D11" s="2">
        <f t="shared" si="0"/>
        <v>0</v>
      </c>
      <c r="G11" s="3">
        <v>2023</v>
      </c>
      <c r="H11" s="2">
        <v>281994609.16000003</v>
      </c>
      <c r="I11" s="2">
        <f>SUMIF('Final Data'!B:B,'Final Check'!G11,'Final Data'!G:G)</f>
        <v>281994609.15999997</v>
      </c>
      <c r="J11">
        <f>H11-I11</f>
        <v>0</v>
      </c>
    </row>
  </sheetData>
  <mergeCells count="2">
    <mergeCell ref="A1:E1"/>
    <mergeCell ref="G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CEDF6-E1F3-8B42-A71C-7ADC978269A1}">
  <sheetPr>
    <tabColor rgb="FFFFFF00"/>
  </sheetPr>
  <dimension ref="A1"/>
  <sheetViews>
    <sheetView tabSelected="1" workbookViewId="0">
      <selection activeCell="A8" sqref="A8"/>
    </sheetView>
  </sheetViews>
  <sheetFormatPr baseColWidth="10" defaultRowHeight="16" x14ac:dyDescent="0.2"/>
  <cols>
    <col min="1" max="1" width="56.33203125" bestFit="1" customWidth="1"/>
  </cols>
  <sheetData>
    <row r="1" spans="1:1" x14ac:dyDescent="0.2">
      <c r="A1" t="s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 Data</vt:lpstr>
      <vt:lpstr>LEAID Match</vt:lpstr>
      <vt:lpstr>Final Check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Michael Gelberg</dc:creator>
  <cp:lastModifiedBy>Gregory Kearney</cp:lastModifiedBy>
  <dcterms:created xsi:type="dcterms:W3CDTF">2025-02-25T00:06:15Z</dcterms:created>
  <dcterms:modified xsi:type="dcterms:W3CDTF">2025-02-27T01:28:51Z</dcterms:modified>
</cp:coreProperties>
</file>